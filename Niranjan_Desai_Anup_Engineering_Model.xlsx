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79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s" sheetId="4" state="visible" r:id="rId4"/>
    <sheet xmlns:r="http://schemas.openxmlformats.org/officeDocument/2006/relationships" name="Graphical Representation" sheetId="5" state="visible" r:id="rId5"/>
    <sheet xmlns:r="http://schemas.openxmlformats.org/officeDocument/2006/relationships" name="Revenue Segments" sheetId="6" state="visible" r:id="rId6"/>
    <sheet xmlns:r="http://schemas.openxmlformats.org/officeDocument/2006/relationships" name="DCF Model" sheetId="7" state="visible" r:id="rId7"/>
    <sheet xmlns:r="http://schemas.openxmlformats.org/officeDocument/2006/relationships" name="Monte-Carlo" sheetId="8" state="visible" r:id="rId8"/>
    <sheet xmlns:r="http://schemas.openxmlformats.org/officeDocument/2006/relationships" name="Estimate Sheet" sheetId="9" state="visible" r:id="rId9"/>
    <sheet xmlns:r="http://schemas.openxmlformats.org/officeDocument/2006/relationships" name="Peer Comps" sheetId="10" state="visible" r:id="rId10"/>
    <sheet xmlns:r="http://schemas.openxmlformats.org/officeDocument/2006/relationships" name="Peer Data" sheetId="11" state="visible" r:id="rId11"/>
    <sheet xmlns:r="http://schemas.openxmlformats.org/officeDocument/2006/relationships" name="Beta" sheetId="12" state="visible" r:id="rId12"/>
    <sheet xmlns:r="http://schemas.openxmlformats.org/officeDocument/2006/relationships" name="Risk Data" sheetId="13" state="visible" r:id="rId13"/>
    <sheet xmlns:r="http://schemas.openxmlformats.org/officeDocument/2006/relationships" name="Guidance" sheetId="14" state="visible" r:id="rId14"/>
  </sheets>
  <definedNames>
    <definedName name="_xlchart.v5.0" hidden="1">'Graphical Representation'!$B$257:$B$263</definedName>
    <definedName name="_xlchart.v5.1" hidden="1">'Graphical Representation'!$E$257:$E$263</definedName>
    <definedName name="_xlchart.v5.2" hidden="1">'Graphical Representation'!$B$251:$B$254</definedName>
    <definedName name="_xlchart.v5.3" hidden="1">'Graphical Representation'!$E$251:$E$254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(* #,##0_);_(* \(#,##0\);_(* &quot;-&quot;??_);_(@_)"/>
    <numFmt numFmtId="165" formatCode="0.0%"/>
    <numFmt numFmtId="166" formatCode="#,##0.000"/>
    <numFmt numFmtId="167" formatCode="0.00_);\(0.00\)"/>
    <numFmt numFmtId="168" formatCode="0.0%;\(0.0%\);\-"/>
    <numFmt numFmtId="169" formatCode="[$-F800]dddd\,\ mmmm\ dd\,\ yyyy"/>
    <numFmt numFmtId="170" formatCode="0.00000"/>
    <numFmt numFmtId="171" formatCode="&quot;$&quot;#,##0.00_);[Red]\(&quot;$&quot;#,##0.00\)"/>
    <numFmt numFmtId="172" formatCode="0.000"/>
    <numFmt numFmtId="173" formatCode="_(* #,##0.0000_);_(* \(#,##0.0000\);_(* &quot;-&quot;????_);_(@_)"/>
    <numFmt numFmtId="174" formatCode="0.0E+00"/>
    <numFmt numFmtId="175" formatCode="_(* #,##0.000_);_(* \(#,##0.000\);_(* &quot;-&quot;??_);_(@_)"/>
    <numFmt numFmtId="176" formatCode="0.00&quot;x&quot;"/>
    <numFmt numFmtId="177" formatCode="_(* #,##0.0000_);_(* \(#,##0.0000\);_(* &quot;-&quot;??_);_(@_)"/>
  </numFmts>
  <fonts count="47">
    <font>
      <name val="Arial"/>
      <family val="2"/>
      <color theme="1"/>
      <sz val="10"/>
    </font>
    <font>
      <name val="Arial"/>
      <family val="2"/>
      <color theme="1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color rgb="FF0070C0"/>
      <sz val="10"/>
      <scheme val="minor"/>
    </font>
    <font>
      <name val="Aptos Narrow"/>
      <family val="2"/>
      <sz val="10"/>
      <scheme val="minor"/>
    </font>
    <font>
      <name val="Aptos Narrow"/>
      <family val="2"/>
      <b val="1"/>
      <sz val="10"/>
      <scheme val="minor"/>
    </font>
    <font>
      <name val="Arial"/>
      <family val="2"/>
      <sz val="8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ptos Narrow"/>
      <family val="2"/>
      <color theme="0" tint="-0.499984740745262"/>
      <sz val="10"/>
      <scheme val="minor"/>
    </font>
    <font>
      <name val="Aptos Narrow"/>
      <family val="2"/>
      <color rgb="FFFF0000"/>
      <sz val="10"/>
      <scheme val="minor"/>
    </font>
    <font>
      <name val="Aptos Narrow"/>
      <family val="2"/>
      <i val="1"/>
      <sz val="10"/>
      <scheme val="minor"/>
    </font>
    <font>
      <name val="Aptos Narrow"/>
      <family val="2"/>
      <i val="1"/>
      <color theme="1"/>
      <sz val="10"/>
      <scheme val="minor"/>
    </font>
    <font>
      <name val="Aptos Narrow"/>
      <family val="2"/>
      <i val="1"/>
      <color theme="2" tint="-0.499984740745262"/>
      <sz val="10"/>
      <scheme val="minor"/>
    </font>
    <font>
      <name val="Aptos Narrow"/>
      <family val="2"/>
      <b val="1"/>
      <i val="1"/>
      <sz val="10"/>
      <scheme val="minor"/>
    </font>
    <font>
      <name val="Arial"/>
      <family val="2"/>
      <color theme="10"/>
      <sz val="10"/>
      <u val="single"/>
    </font>
    <font>
      <name val="Aptos Narrow"/>
      <family val="2"/>
      <color rgb="FF0000FF"/>
      <sz val="10"/>
      <scheme val="minor"/>
    </font>
    <font>
      <name val="Aptos Narrow"/>
      <family val="2"/>
      <color theme="8"/>
      <sz val="10"/>
      <scheme val="minor"/>
    </font>
    <font>
      <name val="Aptos Narrow"/>
      <family val="2"/>
      <b val="1"/>
      <color theme="0"/>
      <sz val="10"/>
      <scheme val="minor"/>
    </font>
    <font>
      <name val="Aptos Narrow"/>
      <family val="2"/>
      <b val="1"/>
      <color theme="1"/>
      <sz val="10"/>
      <u val="single"/>
      <scheme val="minor"/>
    </font>
    <font>
      <name val="Aptos Narrow"/>
      <family val="2"/>
      <b val="1"/>
      <i val="1"/>
      <color theme="1"/>
      <sz val="10"/>
      <scheme val="minor"/>
    </font>
    <font>
      <name val="Aptos Narrow"/>
      <family val="2"/>
      <color rgb="FFC00000"/>
      <sz val="10"/>
      <scheme val="minor"/>
    </font>
    <font>
      <name val="Aptos Narrow"/>
      <family val="2"/>
      <color theme="10"/>
      <sz val="10"/>
      <u val="single"/>
      <scheme val="minor"/>
    </font>
    <font>
      <name val="Aptos Narrow"/>
      <family val="2"/>
      <b val="1"/>
      <color rgb="FFC00000"/>
      <sz val="10"/>
      <scheme val="minor"/>
    </font>
    <font>
      <name val="Aptos Narrow"/>
      <family val="2"/>
      <i val="1"/>
      <color rgb="FFC00000"/>
      <sz val="10"/>
      <scheme val="minor"/>
    </font>
    <font>
      <name val="Aptos Narrow"/>
      <family val="2"/>
      <b val="1"/>
      <color rgb="FF0000FF"/>
      <sz val="10"/>
      <scheme val="minor"/>
    </font>
    <font>
      <name val="Aptos Narrow"/>
      <family val="2"/>
      <color theme="10"/>
      <sz val="10"/>
      <u val="single"/>
    </font>
    <font>
      <name val="Aptos Narrow"/>
      <family val="2"/>
      <color theme="1"/>
      <sz val="10"/>
    </font>
    <font>
      <name val="Aptos Narrow"/>
      <family val="2"/>
      <b val="1"/>
      <color theme="1"/>
      <sz val="10"/>
    </font>
    <font>
      <name val="Aptos Narrow"/>
      <family val="2"/>
      <color rgb="FF0000FF"/>
      <sz val="10"/>
    </font>
    <font>
      <name val="Aptos Narrow"/>
      <family val="2"/>
      <b val="1"/>
      <color rgb="FF000000"/>
      <sz val="12"/>
    </font>
    <font>
      <name val="Aptos Narrow"/>
      <family val="2"/>
      <i val="1"/>
      <color rgb="FF595959"/>
      <sz val="9"/>
    </font>
    <font>
      <name val="Aptos Narrow"/>
      <family val="2"/>
      <color rgb="FF000000"/>
      <sz val="10"/>
    </font>
    <font>
      <name val="Aptos Narrow"/>
      <family val="2"/>
      <b val="1"/>
      <color rgb="FF000000"/>
      <sz val="10"/>
    </font>
    <font>
      <name val="Aptos Narrow"/>
      <b val="1"/>
      <color rgb="FFFFFFFF"/>
      <sz val="26"/>
    </font>
    <font>
      <name val="Aptos Narrow"/>
      <b val="1"/>
      <color rgb="FFFFFFFF"/>
      <sz val="12"/>
    </font>
    <font>
      <name val="Aptos Narrow"/>
      <color rgb="FF333333"/>
      <sz val="10.5"/>
    </font>
    <font>
      <name val="Aptos Narrow"/>
      <color rgb="FF333333"/>
      <sz val="10"/>
    </font>
    <font>
      <name val="Aptos Narrow"/>
      <b val="1"/>
      <color rgb="FF333333"/>
      <sz val="10"/>
    </font>
    <font>
      <name val="Aptos Narrow"/>
      <i val="1"/>
      <color rgb="FF808080"/>
      <sz val="8.5"/>
    </font>
    <font>
      <name val="Aptos Narrow"/>
      <b val="1"/>
      <color rgb="FFFFFFFF"/>
      <sz val="24"/>
    </font>
    <font>
      <name val="Aptos Narrow"/>
      <b val="1"/>
      <color rgb="FF1F3864"/>
      <sz val="10"/>
    </font>
    <font>
      <name val="Aptos Narrow"/>
      <b val="1"/>
      <color rgb="FF8E1C2F"/>
      <sz val="11"/>
    </font>
    <font>
      <name val="Aptos Narrow"/>
      <color rgb="FF8E1C2F"/>
      <sz val="10.5"/>
    </font>
    <font>
      <name val="Aptos Narrow"/>
      <b val="1"/>
      <color rgb="FF8E1C2F"/>
      <sz val="10"/>
    </font>
    <font>
      <name val="Aptos Narrow"/>
      <color rgb="FF8E1C2F"/>
      <sz val="10"/>
      <u val="single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A02B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E1C2F"/>
        <bgColor indexed="64"/>
      </patternFill>
    </fill>
    <fill>
      <patternFill patternType="solid">
        <fgColor rgb="FFBC4B5B"/>
        <bgColor indexed="64"/>
      </patternFill>
    </fill>
    <fill>
      <patternFill patternType="solid">
        <fgColor rgb="FFF3DCE0"/>
        <bgColor indexed="64"/>
      </patternFill>
    </fill>
    <fill>
      <patternFill patternType="solid">
        <fgColor rgb="FF5B6670"/>
        <bgColor indexed="64"/>
      </patternFill>
    </fill>
    <fill>
      <patternFill patternType="solid">
        <fgColor rgb="FFF7EFF1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/>
      <bottom style="medium">
        <color rgb="FFC9A227"/>
      </bottom>
      <diagonal/>
    </border>
    <border>
      <left/>
      <right/>
      <top/>
      <bottom style="thick">
        <color rgb="FFC9A227"/>
      </bottom>
      <diagonal/>
    </border>
    <border>
      <left/>
      <right/>
      <top style="medium">
        <color rgb="FFC9A227"/>
      </top>
      <bottom/>
      <diagonal/>
    </border>
    <border>
      <left/>
      <right style="thick">
        <color rgb="FF5B6670"/>
      </right>
      <top/>
      <bottom/>
      <diagonal/>
    </border>
    <border>
      <left/>
      <right style="thick">
        <color rgb="FF5B6670"/>
      </right>
      <top style="medium">
        <color rgb="FFC9A227"/>
      </top>
      <bottom/>
      <diagonal/>
    </border>
    <border>
      <left/>
      <right style="medium">
        <color rgb="FF5B6670"/>
      </right>
      <top/>
      <bottom/>
      <diagonal/>
    </border>
  </borders>
  <cellStyleXfs count="4">
    <xf numFmtId="0" fontId="1" fillId="0" borderId="0"/>
    <xf numFmtId="43" fontId="1" fillId="0" borderId="0"/>
    <xf numFmtId="9" fontId="1" fillId="0" borderId="0"/>
    <xf numFmtId="0" fontId="16" fillId="0" borderId="0"/>
  </cellStyleXfs>
  <cellXfs count="593">
    <xf numFmtId="0" fontId="0" fillId="0" borderId="0" pivotButton="0" quotePrefix="0" xfId="0"/>
    <xf numFmtId="43" fontId="3" fillId="2" borderId="0" pivotButton="0" quotePrefix="0" xfId="1"/>
    <xf numFmtId="43" fontId="2" fillId="2" borderId="0" pivotButton="0" quotePrefix="0" xfId="1"/>
    <xf numFmtId="164" fontId="3" fillId="2" borderId="0" applyAlignment="1" pivotButton="0" quotePrefix="0" xfId="1">
      <alignment vertical="center"/>
    </xf>
    <xf numFmtId="0" fontId="2" fillId="0" borderId="0" pivotButton="0" quotePrefix="0" xfId="0"/>
    <xf numFmtId="17" fontId="3" fillId="2" borderId="0" applyAlignment="1" pivotButton="0" quotePrefix="0" xfId="1">
      <alignment wrapText="1"/>
    </xf>
    <xf numFmtId="0" fontId="3" fillId="2" borderId="0" pivotButton="0" quotePrefix="0" xfId="0"/>
    <xf numFmtId="43" fontId="3" fillId="2" borderId="0" applyAlignment="1" pivotButton="0" quotePrefix="0" xfId="1">
      <alignment vertical="center"/>
    </xf>
    <xf numFmtId="164" fontId="2" fillId="2" borderId="0" pivotButton="0" quotePrefix="0" xfId="1"/>
    <xf numFmtId="43" fontId="3" fillId="2" borderId="0" applyAlignment="1" pivotButton="0" quotePrefix="0" xfId="1">
      <alignment wrapText="1"/>
    </xf>
    <xf numFmtId="0" fontId="3" fillId="2" borderId="0" applyAlignment="1" pivotButton="0" quotePrefix="0" xfId="1">
      <alignment wrapText="1"/>
    </xf>
    <xf numFmtId="165" fontId="2" fillId="2" borderId="0" pivotButton="0" quotePrefix="0" xfId="2"/>
    <xf numFmtId="0" fontId="2" fillId="2" borderId="0" pivotButton="0" quotePrefix="0" xfId="0"/>
    <xf numFmtId="0" fontId="3" fillId="2" borderId="0" applyAlignment="1" pivotButton="0" quotePrefix="0" xfId="0">
      <alignment wrapText="1"/>
    </xf>
    <xf numFmtId="166" fontId="2" fillId="2" borderId="0" pivotButton="0" quotePrefix="0" xfId="0"/>
    <xf numFmtId="0" fontId="3" fillId="2" borderId="0" applyAlignment="1" pivotButton="0" quotePrefix="0" xfId="0">
      <alignment horizontal="right" wrapText="1"/>
    </xf>
    <xf numFmtId="0" fontId="2" fillId="2" borderId="0" applyAlignment="1" pivotButton="0" quotePrefix="0" xfId="0">
      <alignment wrapText="1"/>
    </xf>
    <xf numFmtId="17" fontId="2" fillId="2" borderId="0" applyAlignment="1" pivotButton="0" quotePrefix="0" xfId="1">
      <alignment horizontal="center" wrapText="1"/>
    </xf>
    <xf numFmtId="0" fontId="4" fillId="2" borderId="0" pivotButton="0" quotePrefix="0" xfId="0"/>
    <xf numFmtId="165" fontId="2" fillId="2" borderId="0" pivotButton="0" quotePrefix="0" xfId="2"/>
    <xf numFmtId="167" fontId="2" fillId="2" borderId="0" pivotButton="0" quotePrefix="0" xfId="0"/>
    <xf numFmtId="2" fontId="2" fillId="2" borderId="0" pivotButton="0" quotePrefix="0" xfId="0"/>
    <xf numFmtId="1" fontId="2" fillId="2" borderId="0" pivotButton="0" quotePrefix="0" xfId="0"/>
    <xf numFmtId="43" fontId="2" fillId="2" borderId="0" pivotButton="0" quotePrefix="0" xfId="0"/>
    <xf numFmtId="43" fontId="2" fillId="2" borderId="0" applyAlignment="1" pivotButton="0" quotePrefix="0" xfId="1">
      <alignment wrapText="1"/>
    </xf>
    <xf numFmtId="43" fontId="5" fillId="2" borderId="0" applyAlignment="1" pivotButton="0" quotePrefix="0" xfId="1">
      <alignment wrapText="1"/>
    </xf>
    <xf numFmtId="43" fontId="3" fillId="2" borderId="0" pivotButton="0" quotePrefix="0" xfId="1"/>
    <xf numFmtId="4" fontId="2" fillId="2" borderId="0" pivotButton="0" quotePrefix="0" xfId="0"/>
    <xf numFmtId="4" fontId="3" fillId="2" borderId="0" pivotButton="0" quotePrefix="0" xfId="0"/>
    <xf numFmtId="4" fontId="4" fillId="2" borderId="0" applyAlignment="1" pivotButton="0" quotePrefix="0" xfId="1">
      <alignment horizontal="right"/>
    </xf>
    <xf numFmtId="4" fontId="10" fillId="2" borderId="0" pivotButton="0" quotePrefix="0" xfId="0"/>
    <xf numFmtId="2" fontId="2" fillId="2" borderId="0" pivotButton="0" quotePrefix="0" xfId="2"/>
    <xf numFmtId="9" fontId="10" fillId="2" borderId="0" pivotButton="0" quotePrefix="0" xfId="0"/>
    <xf numFmtId="10" fontId="2" fillId="2" borderId="0" pivotButton="0" quotePrefix="0" xfId="2"/>
    <xf numFmtId="165" fontId="10" fillId="2" borderId="0" pivotButton="0" quotePrefix="0" xfId="2"/>
    <xf numFmtId="164" fontId="11" fillId="2" borderId="0" pivotButton="0" quotePrefix="0" xfId="1"/>
    <xf numFmtId="43" fontId="11" fillId="2" borderId="0" pivotButton="0" quotePrefix="0" xfId="1"/>
    <xf numFmtId="165" fontId="13" fillId="2" borderId="0" pivotButton="0" quotePrefix="0" xfId="2"/>
    <xf numFmtId="10" fontId="12" fillId="2" borderId="0" pivotButton="0" quotePrefix="0" xfId="0"/>
    <xf numFmtId="165" fontId="4" fillId="2" borderId="0" pivotButton="0" quotePrefix="0" xfId="0"/>
    <xf numFmtId="165" fontId="2" fillId="2" borderId="0" pivotButton="0" quotePrefix="0" xfId="0"/>
    <xf numFmtId="9" fontId="2" fillId="2" borderId="0" pivotButton="0" quotePrefix="0" xfId="2"/>
    <xf numFmtId="165" fontId="2" fillId="2" borderId="0" applyAlignment="1" pivotButton="0" quotePrefix="0" xfId="2">
      <alignment horizontal="center" wrapText="1"/>
    </xf>
    <xf numFmtId="165" fontId="3" fillId="2" borderId="0" applyAlignment="1" pivotButton="0" quotePrefix="0" xfId="2">
      <alignment wrapText="1"/>
    </xf>
    <xf numFmtId="0" fontId="14" fillId="2" borderId="0" applyAlignment="1" pivotButton="0" quotePrefix="0" xfId="0">
      <alignment horizontal="left"/>
    </xf>
    <xf numFmtId="165" fontId="10" fillId="2" borderId="0" pivotButton="0" quotePrefix="0" xfId="0"/>
    <xf numFmtId="0" fontId="3" fillId="2" borderId="0" applyAlignment="1" pivotButton="0" quotePrefix="0" xfId="1">
      <alignment horizontal="center"/>
    </xf>
    <xf numFmtId="10" fontId="15" fillId="2" borderId="0" pivotButton="0" quotePrefix="0" xfId="0"/>
    <xf numFmtId="2" fontId="3" fillId="2" borderId="0" pivotButton="0" quotePrefix="0" xfId="2"/>
    <xf numFmtId="2" fontId="3" fillId="2" borderId="0" pivotButton="0" quotePrefix="0" xfId="0"/>
    <xf numFmtId="165" fontId="2" fillId="2" borderId="0" applyAlignment="1" pivotButton="0" quotePrefix="0" xfId="2">
      <alignment wrapText="1"/>
    </xf>
    <xf numFmtId="4" fontId="5" fillId="2" borderId="0" pivotButton="0" quotePrefix="0" xfId="0"/>
    <xf numFmtId="1" fontId="3" fillId="2" borderId="0" applyAlignment="1" pivotButton="0" quotePrefix="0" xfId="1">
      <alignment horizontal="center"/>
    </xf>
    <xf numFmtId="17" fontId="3" fillId="2" borderId="0" applyAlignment="1" pivotButton="0" quotePrefix="0" xfId="1">
      <alignment horizontal="center"/>
    </xf>
    <xf numFmtId="1" fontId="3" fillId="2" borderId="0" applyAlignment="1" pivotButton="0" quotePrefix="0" xfId="1">
      <alignment horizontal="center" vertical="center"/>
    </xf>
    <xf numFmtId="0" fontId="2" fillId="2" borderId="6" applyAlignment="1" pivotButton="0" quotePrefix="0" xfId="0">
      <alignment wrapText="1"/>
    </xf>
    <xf numFmtId="0" fontId="2" fillId="2" borderId="11" pivotButton="0" quotePrefix="0" xfId="0"/>
    <xf numFmtId="0" fontId="2" fillId="2" borderId="12" pivotButton="0" quotePrefix="0" xfId="0"/>
    <xf numFmtId="0" fontId="3" fillId="2" borderId="6" applyAlignment="1" pivotButton="0" quotePrefix="0" xfId="0">
      <alignment horizontal="center"/>
    </xf>
    <xf numFmtId="43" fontId="3" fillId="2" borderId="11" applyAlignment="1" pivotButton="0" quotePrefix="0" xfId="1">
      <alignment vertical="center"/>
    </xf>
    <xf numFmtId="0" fontId="2" fillId="2" borderId="1" pivotButton="0" quotePrefix="0" xfId="0"/>
    <xf numFmtId="0" fontId="3" fillId="2" borderId="1" pivotButton="0" quotePrefix="0" xfId="0"/>
    <xf numFmtId="0" fontId="3" fillId="2" borderId="13" applyAlignment="1" pivotButton="0" quotePrefix="0" xfId="0">
      <alignment horizontal="center"/>
    </xf>
    <xf numFmtId="0" fontId="3" fillId="2" borderId="6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wrapText="1"/>
    </xf>
    <xf numFmtId="0" fontId="3" fillId="2" borderId="10" applyAlignment="1" pivotButton="0" quotePrefix="0" xfId="0">
      <alignment horizontal="center" vertical="center" wrapText="1"/>
    </xf>
    <xf numFmtId="43" fontId="17" fillId="2" borderId="0" pivotButton="0" quotePrefix="0" xfId="0"/>
    <xf numFmtId="43" fontId="17" fillId="2" borderId="0" pivotButton="0" quotePrefix="0" xfId="1"/>
    <xf numFmtId="9" fontId="2" fillId="2" borderId="0" pivotButton="0" quotePrefix="0" xfId="0"/>
    <xf numFmtId="0" fontId="13" fillId="2" borderId="0" pivotButton="0" quotePrefix="0" xfId="0"/>
    <xf numFmtId="168" fontId="13" fillId="2" borderId="0" pivotButton="0" quotePrefix="0" xfId="2"/>
    <xf numFmtId="0" fontId="20" fillId="2" borderId="0" pivotButton="0" quotePrefix="0" xfId="0"/>
    <xf numFmtId="43" fontId="3" fillId="2" borderId="0" pivotButton="0" quotePrefix="0" xfId="0"/>
    <xf numFmtId="165" fontId="18" fillId="2" borderId="0" pivotButton="0" quotePrefix="0" xfId="2"/>
    <xf numFmtId="0" fontId="20" fillId="2" borderId="2" pivotButton="0" quotePrefix="0" xfId="0"/>
    <xf numFmtId="0" fontId="2" fillId="2" borderId="10" pivotButton="0" quotePrefix="0" xfId="0"/>
    <xf numFmtId="0" fontId="2" fillId="2" borderId="5" pivotButton="0" quotePrefix="0" xfId="0"/>
    <xf numFmtId="165" fontId="2" fillId="2" borderId="11" pivotButton="0" quotePrefix="0" xfId="2"/>
    <xf numFmtId="2" fontId="2" fillId="2" borderId="11" pivotButton="0" quotePrefix="0" xfId="0"/>
    <xf numFmtId="0" fontId="3" fillId="2" borderId="5" pivotButton="0" quotePrefix="0" xfId="0"/>
    <xf numFmtId="165" fontId="3" fillId="2" borderId="11" pivotButton="0" quotePrefix="0" xfId="0"/>
    <xf numFmtId="0" fontId="20" fillId="2" borderId="5" pivotButton="0" quotePrefix="0" xfId="0"/>
    <xf numFmtId="43" fontId="2" fillId="2" borderId="5" pivotButton="0" quotePrefix="0" xfId="0"/>
    <xf numFmtId="4" fontId="2" fillId="2" borderId="11" pivotButton="0" quotePrefix="0" xfId="0"/>
    <xf numFmtId="43" fontId="2" fillId="2" borderId="11" pivotButton="0" quotePrefix="0" xfId="0"/>
    <xf numFmtId="43" fontId="3" fillId="2" borderId="5" pivotButton="0" quotePrefix="0" xfId="0"/>
    <xf numFmtId="164" fontId="2" fillId="2" borderId="11" pivotButton="0" quotePrefix="0" xfId="1"/>
    <xf numFmtId="43" fontId="2" fillId="2" borderId="11" pivotButton="0" quotePrefix="0" xfId="1"/>
    <xf numFmtId="165" fontId="2" fillId="2" borderId="11" pivotButton="0" quotePrefix="0" xfId="0"/>
    <xf numFmtId="0" fontId="3" fillId="2" borderId="7" pivotButton="0" quotePrefix="0" xfId="0"/>
    <xf numFmtId="165" fontId="3" fillId="2" borderId="12" pivotButton="0" quotePrefix="0" xfId="2"/>
    <xf numFmtId="167" fontId="2" fillId="2" borderId="1" pivotButton="0" quotePrefix="0" xfId="0"/>
    <xf numFmtId="167" fontId="2" fillId="2" borderId="11" pivotButton="0" quotePrefix="0" xfId="0"/>
    <xf numFmtId="167" fontId="2" fillId="2" borderId="6" pivotButton="0" quotePrefix="0" xfId="0"/>
    <xf numFmtId="167" fontId="2" fillId="2" borderId="12" pivotButton="0" quotePrefix="0" xfId="0"/>
    <xf numFmtId="0" fontId="3" fillId="2" borderId="11" pivotButton="0" quotePrefix="0" xfId="0"/>
    <xf numFmtId="167" fontId="3" fillId="2" borderId="11" pivotButton="0" quotePrefix="0" xfId="0"/>
    <xf numFmtId="167" fontId="3" fillId="2" borderId="5" pivotButton="0" quotePrefix="0" xfId="0"/>
    <xf numFmtId="167" fontId="3" fillId="2" borderId="0" pivotButton="0" quotePrefix="0" xfId="0"/>
    <xf numFmtId="167" fontId="2" fillId="2" borderId="7" pivotButton="0" quotePrefix="0" xfId="0"/>
    <xf numFmtId="167" fontId="2" fillId="2" borderId="8" pivotButton="0" quotePrefix="0" xfId="0"/>
    <xf numFmtId="167" fontId="3" fillId="2" borderId="10" pivotButton="0" quotePrefix="0" xfId="0"/>
    <xf numFmtId="167" fontId="3" fillId="2" borderId="6" pivotButton="0" quotePrefix="0" xfId="0"/>
    <xf numFmtId="43" fontId="3" fillId="2" borderId="11" pivotButton="0" quotePrefix="0" xfId="1"/>
    <xf numFmtId="43" fontId="21" fillId="2" borderId="1" pivotButton="0" quotePrefix="0" xfId="1"/>
    <xf numFmtId="165" fontId="13" fillId="2" borderId="11" pivotButton="0" quotePrefix="0" xfId="2"/>
    <xf numFmtId="167" fontId="2" fillId="2" borderId="9" pivotButton="0" quotePrefix="0" xfId="0"/>
    <xf numFmtId="43" fontId="3" fillId="2" borderId="1" pivotButton="0" quotePrefix="0" xfId="1"/>
    <xf numFmtId="43" fontId="3" fillId="2" borderId="13" pivotButton="0" quotePrefix="0" xfId="1"/>
    <xf numFmtId="0" fontId="3" fillId="0" borderId="2" applyAlignment="1" pivotButton="0" quotePrefix="0" xfId="0">
      <alignment wrapText="1"/>
    </xf>
    <xf numFmtId="4" fontId="3" fillId="0" borderId="10" pivotButton="0" quotePrefix="0" xfId="0"/>
    <xf numFmtId="0" fontId="3" fillId="2" borderId="2" pivotButton="0" quotePrefix="0" xfId="0"/>
    <xf numFmtId="4" fontId="2" fillId="2" borderId="10" pivotButton="0" quotePrefix="0" xfId="0"/>
    <xf numFmtId="0" fontId="2" fillId="2" borderId="5" applyAlignment="1" pivotButton="0" quotePrefix="0" xfId="0">
      <alignment wrapText="1"/>
    </xf>
    <xf numFmtId="4" fontId="3" fillId="2" borderId="12" pivotButton="0" quotePrefix="0" xfId="0"/>
    <xf numFmtId="4" fontId="3" fillId="2" borderId="1" pivotButton="0" quotePrefix="0" xfId="0"/>
    <xf numFmtId="165" fontId="3" fillId="2" borderId="1" pivotButton="0" quotePrefix="0" xfId="2"/>
    <xf numFmtId="0" fontId="2" fillId="2" borderId="2" pivotButton="0" quotePrefix="0" xfId="0"/>
    <xf numFmtId="165" fontId="2" fillId="2" borderId="10" pivotButton="0" quotePrefix="0" xfId="2"/>
    <xf numFmtId="43" fontId="2" fillId="2" borderId="3" pivotButton="0" quotePrefix="0" xfId="0"/>
    <xf numFmtId="165" fontId="2" fillId="2" borderId="2" pivotButton="0" quotePrefix="0" xfId="2"/>
    <xf numFmtId="43" fontId="2" fillId="2" borderId="10" pivotButton="0" quotePrefix="0" xfId="0"/>
    <xf numFmtId="165" fontId="2" fillId="2" borderId="5" pivotButton="0" quotePrefix="0" xfId="2"/>
    <xf numFmtId="0" fontId="2" fillId="2" borderId="7" pivotButton="0" quotePrefix="0" xfId="0"/>
    <xf numFmtId="43" fontId="2" fillId="2" borderId="12" pivotButton="0" quotePrefix="0" xfId="0"/>
    <xf numFmtId="0" fontId="3" fillId="0" borderId="7" pivotButton="0" quotePrefix="0" xfId="0"/>
    <xf numFmtId="0" fontId="2" fillId="2" borderId="9" pivotButton="0" quotePrefix="0" xfId="0"/>
    <xf numFmtId="4" fontId="2" fillId="2" borderId="12" pivotButton="0" quotePrefix="0" xfId="0"/>
    <xf numFmtId="165" fontId="2" fillId="2" borderId="12" pivotButton="0" quotePrefix="0" xfId="2"/>
    <xf numFmtId="165" fontId="2" fillId="2" borderId="1" pivotButton="0" quotePrefix="0" xfId="2"/>
    <xf numFmtId="4" fontId="2" fillId="2" borderId="6" pivotButton="0" quotePrefix="0" xfId="0"/>
    <xf numFmtId="2" fontId="2" fillId="2" borderId="6" pivotButton="0" quotePrefix="0" xfId="0"/>
    <xf numFmtId="43" fontId="2" fillId="2" borderId="6" pivotButton="0" quotePrefix="0" xfId="0"/>
    <xf numFmtId="165" fontId="5" fillId="2" borderId="0" pivotButton="0" quotePrefix="0" xfId="2"/>
    <xf numFmtId="2" fontId="18" fillId="2" borderId="0" pivotButton="0" quotePrefix="0" xfId="2"/>
    <xf numFmtId="164" fontId="3" fillId="2" borderId="0" applyAlignment="1" pivotButton="0" quotePrefix="0" xfId="1">
      <alignment horizontal="center" vertical="center"/>
    </xf>
    <xf numFmtId="43" fontId="3" fillId="2" borderId="0" applyAlignment="1" pivotButton="0" quotePrefix="0" xfId="1">
      <alignment horizontal="center"/>
    </xf>
    <xf numFmtId="165" fontId="12" fillId="2" borderId="0" pivotButton="0" quotePrefix="0" xfId="2"/>
    <xf numFmtId="0" fontId="3" fillId="2" borderId="1" applyAlignment="1" pivotButton="0" quotePrefix="0" xfId="0">
      <alignment horizontal="center"/>
    </xf>
    <xf numFmtId="169" fontId="2" fillId="2" borderId="5" applyAlignment="1" pivotButton="0" quotePrefix="0" xfId="0">
      <alignment wrapText="1"/>
    </xf>
    <xf numFmtId="170" fontId="2" fillId="2" borderId="6" pivotButton="0" quotePrefix="0" xfId="0"/>
    <xf numFmtId="0" fontId="23" fillId="2" borderId="0" pivotButton="0" quotePrefix="0" xfId="3"/>
    <xf numFmtId="2" fontId="2" fillId="2" borderId="1" pivotButton="0" quotePrefix="0" xfId="0"/>
    <xf numFmtId="169" fontId="2" fillId="2" borderId="7" applyAlignment="1" pivotButton="0" quotePrefix="0" xfId="0">
      <alignment wrapText="1"/>
    </xf>
    <xf numFmtId="0" fontId="2" fillId="2" borderId="8" pivotButton="0" quotePrefix="0" xfId="0"/>
    <xf numFmtId="0" fontId="3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wrapText="1"/>
    </xf>
    <xf numFmtId="0" fontId="2" fillId="2" borderId="10" applyAlignment="1" pivotButton="0" quotePrefix="0" xfId="0">
      <alignment wrapText="1"/>
    </xf>
    <xf numFmtId="4" fontId="2" fillId="2" borderId="4" pivotButton="0" quotePrefix="0" xfId="0"/>
    <xf numFmtId="43" fontId="2" fillId="2" borderId="10" applyAlignment="1" pivotButton="0" quotePrefix="0" xfId="0">
      <alignment horizontal="center"/>
    </xf>
    <xf numFmtId="43" fontId="2" fillId="2" borderId="4" applyAlignment="1" pivotButton="0" quotePrefix="0" xfId="0">
      <alignment horizontal="center"/>
    </xf>
    <xf numFmtId="43" fontId="2" fillId="2" borderId="3" applyAlignment="1" pivotButton="0" quotePrefix="0" xfId="0">
      <alignment horizontal="center"/>
    </xf>
    <xf numFmtId="43" fontId="2" fillId="2" borderId="2" applyAlignment="1" pivotButton="0" quotePrefix="0" xfId="0">
      <alignment horizontal="center"/>
    </xf>
    <xf numFmtId="43" fontId="2" fillId="2" borderId="11" applyAlignment="1" pivotButton="0" quotePrefix="0" xfId="0">
      <alignment horizontal="center"/>
    </xf>
    <xf numFmtId="43" fontId="2" fillId="2" borderId="6" applyAlignment="1" pivotButton="0" quotePrefix="0" xfId="0">
      <alignment horizontal="center"/>
    </xf>
    <xf numFmtId="43" fontId="2" fillId="2" borderId="0" applyAlignment="1" pivotButton="0" quotePrefix="0" xfId="0">
      <alignment horizontal="center"/>
    </xf>
    <xf numFmtId="43" fontId="2" fillId="2" borderId="5" applyAlignment="1" pivotButton="0" quotePrefix="0" xfId="0">
      <alignment horizontal="center"/>
    </xf>
    <xf numFmtId="4" fontId="2" fillId="2" borderId="9" pivotButton="0" quotePrefix="0" xfId="0"/>
    <xf numFmtId="43" fontId="2" fillId="2" borderId="12" applyAlignment="1" pivotButton="0" quotePrefix="0" xfId="0">
      <alignment horizontal="center"/>
    </xf>
    <xf numFmtId="43" fontId="2" fillId="2" borderId="9" applyAlignment="1" pivotButton="0" quotePrefix="0" xfId="0">
      <alignment horizontal="center"/>
    </xf>
    <xf numFmtId="43" fontId="2" fillId="2" borderId="8" applyAlignment="1" pivotButton="0" quotePrefix="0" xfId="0">
      <alignment horizontal="center"/>
    </xf>
    <xf numFmtId="43" fontId="2" fillId="2" borderId="7" applyAlignment="1" pivotButton="0" quotePrefix="0" xfId="0">
      <alignment horizontal="center"/>
    </xf>
    <xf numFmtId="0" fontId="3" fillId="2" borderId="10" pivotButton="0" quotePrefix="0" xfId="0"/>
    <xf numFmtId="43" fontId="3" fillId="2" borderId="6" applyAlignment="1" pivotButton="0" quotePrefix="0" xfId="0">
      <alignment horizontal="center"/>
    </xf>
    <xf numFmtId="14" fontId="2" fillId="2" borderId="1" pivotButton="0" quotePrefix="0" xfId="0"/>
    <xf numFmtId="0" fontId="3" fillId="2" borderId="12" pivotButton="0" quotePrefix="0" xfId="0"/>
    <xf numFmtId="0" fontId="2" fillId="2" borderId="0" applyAlignment="1" pivotButton="0" quotePrefix="0" xfId="0">
      <alignment horizontal="center" vertical="center"/>
    </xf>
    <xf numFmtId="165" fontId="2" fillId="2" borderId="1" pivotButton="0" quotePrefix="0" xfId="0"/>
    <xf numFmtId="14" fontId="2" fillId="2" borderId="0" pivotButton="0" quotePrefix="0" xfId="0"/>
    <xf numFmtId="0" fontId="3" fillId="2" borderId="4" applyAlignment="1" pivotButton="0" quotePrefix="0" xfId="0">
      <alignment horizontal="center" vertical="center" wrapText="1"/>
    </xf>
    <xf numFmtId="0" fontId="2" fillId="2" borderId="6" pivotButton="0" quotePrefix="0" xfId="0"/>
    <xf numFmtId="165" fontId="12" fillId="2" borderId="6" applyAlignment="1" pivotButton="0" quotePrefix="0" xfId="0">
      <alignment horizontal="right"/>
    </xf>
    <xf numFmtId="2" fontId="3" fillId="2" borderId="6" pivotButton="0" quotePrefix="0" xfId="0"/>
    <xf numFmtId="2" fontId="3" fillId="2" borderId="9" pivotButton="0" quotePrefix="0" xfId="0"/>
    <xf numFmtId="0" fontId="20" fillId="2" borderId="11" pivotButton="0" quotePrefix="0" xfId="0"/>
    <xf numFmtId="10" fontId="12" fillId="2" borderId="11" applyAlignment="1" pivotButton="0" quotePrefix="0" xfId="0">
      <alignment horizontal="left"/>
    </xf>
    <xf numFmtId="43" fontId="22" fillId="2" borderId="0" pivotButton="0" quotePrefix="0" xfId="1"/>
    <xf numFmtId="43" fontId="24" fillId="2" borderId="0" pivotButton="0" quotePrefix="0" xfId="1"/>
    <xf numFmtId="0" fontId="25" fillId="2" borderId="0" applyAlignment="1" pivotButton="0" quotePrefix="0" xfId="0">
      <alignment horizontal="left"/>
    </xf>
    <xf numFmtId="164" fontId="13" fillId="2" borderId="0" pivotButton="0" quotePrefix="0" xfId="1"/>
    <xf numFmtId="165" fontId="13" fillId="2" borderId="0" pivotButton="0" quotePrefix="0" xfId="2"/>
    <xf numFmtId="43" fontId="13" fillId="2" borderId="0" pivotButton="0" quotePrefix="0" xfId="1"/>
    <xf numFmtId="43" fontId="2" fillId="2" borderId="0" pivotButton="0" quotePrefix="0" xfId="1"/>
    <xf numFmtId="0" fontId="3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wrapText="1"/>
    </xf>
    <xf numFmtId="4" fontId="22" fillId="2" borderId="0" pivotButton="0" quotePrefix="0" xfId="0"/>
    <xf numFmtId="0" fontId="22" fillId="2" borderId="0" pivotButton="0" quotePrefix="0" xfId="0"/>
    <xf numFmtId="0" fontId="25" fillId="0" borderId="0" applyAlignment="1" pivotButton="0" quotePrefix="0" xfId="0">
      <alignment horizontal="left"/>
    </xf>
    <xf numFmtId="0" fontId="22" fillId="2" borderId="0" applyAlignment="1" pivotButton="0" quotePrefix="0" xfId="0">
      <alignment wrapText="1"/>
    </xf>
    <xf numFmtId="4" fontId="24" fillId="2" borderId="0" pivotButton="0" quotePrefix="0" xfId="0"/>
    <xf numFmtId="1" fontId="18" fillId="2" borderId="0" pivotButton="0" quotePrefix="0" xfId="2"/>
    <xf numFmtId="167" fontId="22" fillId="2" borderId="0" pivotButton="0" quotePrefix="0" xfId="0"/>
    <xf numFmtId="167" fontId="24" fillId="2" borderId="0" pivotButton="0" quotePrefix="0" xfId="0"/>
    <xf numFmtId="0" fontId="24" fillId="2" borderId="0" pivotButton="0" quotePrefix="0" xfId="0"/>
    <xf numFmtId="164" fontId="22" fillId="2" borderId="0" pivotButton="0" quotePrefix="0" xfId="1"/>
    <xf numFmtId="0" fontId="3" fillId="0" borderId="15" applyAlignment="1" pivotButton="0" quotePrefix="0" xfId="0">
      <alignment wrapText="1"/>
    </xf>
    <xf numFmtId="0" fontId="3" fillId="0" borderId="1" applyAlignment="1" pivotButton="0" quotePrefix="0" xfId="0">
      <alignment horizontal="center" wrapText="1"/>
    </xf>
    <xf numFmtId="0" fontId="3" fillId="0" borderId="13" applyAlignment="1" pivotButton="0" quotePrefix="0" xfId="0">
      <alignment horizontal="center" wrapText="1"/>
    </xf>
    <xf numFmtId="0" fontId="3" fillId="0" borderId="10" applyAlignment="1" pivotButton="0" quotePrefix="0" xfId="0">
      <alignment horizontal="center" wrapText="1"/>
    </xf>
    <xf numFmtId="164" fontId="3" fillId="2" borderId="0" pivotButton="0" quotePrefix="0" xfId="1"/>
    <xf numFmtId="43" fontId="26" fillId="2" borderId="0" pivotButton="0" quotePrefix="0" xfId="0"/>
    <xf numFmtId="43" fontId="3" fillId="2" borderId="4" applyAlignment="1" pivotButton="0" quotePrefix="0" xfId="0">
      <alignment horizontal="center"/>
    </xf>
    <xf numFmtId="43" fontId="3" fillId="2" borderId="6" pivotButton="0" quotePrefix="0" xfId="0"/>
    <xf numFmtId="43" fontId="3" fillId="2" borderId="9" pivotButton="0" quotePrefix="0" xfId="0"/>
    <xf numFmtId="170" fontId="2" fillId="2" borderId="0" pivotButton="0" quotePrefix="0" xfId="0"/>
    <xf numFmtId="170" fontId="2" fillId="2" borderId="8" pivotButton="0" quotePrefix="0" xfId="0"/>
    <xf numFmtId="169" fontId="2" fillId="2" borderId="0" pivotButton="0" quotePrefix="0" xfId="0"/>
    <xf numFmtId="170" fontId="2" fillId="2" borderId="5" pivotButton="0" quotePrefix="0" xfId="0"/>
    <xf numFmtId="170" fontId="2" fillId="2" borderId="7" pivotButton="0" quotePrefix="0" xfId="0"/>
    <xf numFmtId="169" fontId="2" fillId="2" borderId="8" pivotButton="0" quotePrefix="0" xfId="0"/>
    <xf numFmtId="165" fontId="3" fillId="2" borderId="0" pivotButton="0" quotePrefix="0" xfId="2"/>
    <xf numFmtId="171" fontId="2" fillId="2" borderId="0" pivotButton="0" quotePrefix="0" xfId="0"/>
    <xf numFmtId="10" fontId="2" fillId="2" borderId="11" pivotButton="0" quotePrefix="0" xfId="0"/>
    <xf numFmtId="2" fontId="13" fillId="2" borderId="0" pivotButton="0" quotePrefix="0" xfId="0"/>
    <xf numFmtId="0" fontId="3" fillId="2" borderId="15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wrapText="1"/>
    </xf>
    <xf numFmtId="0" fontId="3" fillId="2" borderId="2" applyAlignment="1" pivotButton="0" quotePrefix="0" xfId="0">
      <alignment horizontal="center"/>
    </xf>
    <xf numFmtId="4" fontId="2" fillId="2" borderId="0" applyAlignment="1" pivotButton="0" quotePrefix="0" xfId="0">
      <alignment horizontal="right"/>
    </xf>
    <xf numFmtId="164" fontId="2" fillId="2" borderId="0" pivotButton="0" quotePrefix="0" xfId="1"/>
    <xf numFmtId="172" fontId="2" fillId="2" borderId="0" applyAlignment="1" pivotButton="0" quotePrefix="0" xfId="0">
      <alignment wrapText="1"/>
    </xf>
    <xf numFmtId="172" fontId="2" fillId="2" borderId="8" applyAlignment="1" pivotButton="0" quotePrefix="0" xfId="0">
      <alignment wrapText="1"/>
    </xf>
    <xf numFmtId="165" fontId="3" fillId="2" borderId="9" pivotButton="0" quotePrefix="0" xfId="2"/>
    <xf numFmtId="165" fontId="3" fillId="2" borderId="6" pivotButton="0" quotePrefix="0" xfId="2"/>
    <xf numFmtId="173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1">
      <alignment horizontal="left"/>
    </xf>
    <xf numFmtId="0" fontId="3" fillId="2" borderId="0" applyAlignment="1" pivotButton="0" quotePrefix="0" xfId="1">
      <alignment horizontal="left" vertical="center"/>
    </xf>
    <xf numFmtId="0" fontId="3" fillId="2" borderId="0" applyAlignment="1" pivotButton="0" quotePrefix="0" xfId="1">
      <alignment horizontal="left"/>
    </xf>
    <xf numFmtId="0" fontId="12" fillId="2" borderId="0" applyAlignment="1" pivotButton="0" quotePrefix="0" xfId="2">
      <alignment horizontal="left"/>
    </xf>
    <xf numFmtId="0" fontId="6" fillId="2" borderId="0" applyAlignment="1" pivotButton="0" quotePrefix="0" xfId="0">
      <alignment horizontal="left"/>
    </xf>
    <xf numFmtId="0" fontId="12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/>
    </xf>
    <xf numFmtId="0" fontId="13" fillId="2" borderId="0" applyAlignment="1" pivotButton="0" quotePrefix="0" xfId="2">
      <alignment horizontal="left"/>
    </xf>
    <xf numFmtId="0" fontId="13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left"/>
    </xf>
    <xf numFmtId="0" fontId="2" fillId="2" borderId="0" pivotButton="0" quotePrefix="0" xfId="2"/>
    <xf numFmtId="0" fontId="2" fillId="2" borderId="0" pivotButton="0" quotePrefix="0" xfId="1"/>
    <xf numFmtId="0" fontId="2" fillId="2" borderId="0" applyAlignment="1" pivotButton="0" quotePrefix="0" xfId="0">
      <alignment horizontal="center"/>
    </xf>
    <xf numFmtId="0" fontId="2" fillId="2" borderId="3" pivotButton="0" quotePrefix="0" xfId="0"/>
    <xf numFmtId="0" fontId="3" fillId="2" borderId="3" pivotButton="0" quotePrefix="0" xfId="0"/>
    <xf numFmtId="0" fontId="3" fillId="2" borderId="4" pivotButton="0" quotePrefix="0" xfId="0"/>
    <xf numFmtId="165" fontId="2" fillId="2" borderId="6" pivotButton="0" quotePrefix="0" xfId="2"/>
    <xf numFmtId="43" fontId="2" fillId="2" borderId="8" pivotButton="0" quotePrefix="0" xfId="0"/>
    <xf numFmtId="165" fontId="2" fillId="2" borderId="8" pivotButton="0" quotePrefix="0" xfId="2"/>
    <xf numFmtId="2" fontId="2" fillId="2" borderId="8" pivotButton="0" quotePrefix="0" xfId="0"/>
    <xf numFmtId="165" fontId="2" fillId="2" borderId="9" pivotButton="0" quotePrefix="0" xfId="2"/>
    <xf numFmtId="2" fontId="2" fillId="2" borderId="9" pivotButton="0" quotePrefix="0" xfId="0"/>
    <xf numFmtId="0" fontId="2" fillId="2" borderId="3" applyAlignment="1" pivotButton="0" quotePrefix="0" xfId="0">
      <alignment wrapText="1"/>
    </xf>
    <xf numFmtId="0" fontId="2" fillId="2" borderId="4" pivotButton="0" quotePrefix="0" xfId="0"/>
    <xf numFmtId="174" fontId="2" fillId="2" borderId="0" pivotButton="0" quotePrefix="0" xfId="0"/>
    <xf numFmtId="174" fontId="2" fillId="2" borderId="8" pivotButton="0" quotePrefix="0" xfId="0"/>
    <xf numFmtId="0" fontId="2" fillId="2" borderId="5" pivotButton="0" quotePrefix="1" xfId="0"/>
    <xf numFmtId="43" fontId="2" fillId="2" borderId="9" pivotButton="0" quotePrefix="0" xfId="0"/>
    <xf numFmtId="175" fontId="3" fillId="2" borderId="5" applyAlignment="1" pivotButton="0" quotePrefix="0" xfId="1">
      <alignment horizontal="left"/>
    </xf>
    <xf numFmtId="10" fontId="12" fillId="2" borderId="5" applyAlignment="1" pivotButton="0" quotePrefix="0" xfId="2">
      <alignment horizontal="left"/>
    </xf>
    <xf numFmtId="165" fontId="12" fillId="2" borderId="6" pivotButton="0" quotePrefix="0" xfId="2"/>
    <xf numFmtId="0" fontId="13" fillId="2" borderId="5" pivotButton="0" quotePrefix="0" xfId="0"/>
    <xf numFmtId="165" fontId="13" fillId="2" borderId="6" pivotButton="0" quotePrefix="0" xfId="2"/>
    <xf numFmtId="0" fontId="27" fillId="2" borderId="0" pivotButton="0" quotePrefix="0" xfId="3"/>
    <xf numFmtId="43" fontId="13" fillId="2" borderId="0" pivotButton="0" quotePrefix="0" xfId="0"/>
    <xf numFmtId="9" fontId="2" fillId="2" borderId="0" pivotButton="0" quotePrefix="1" xfId="0"/>
    <xf numFmtId="14" fontId="2" fillId="2" borderId="0" pivotButton="0" quotePrefix="0" xfId="1"/>
    <xf numFmtId="14" fontId="12" fillId="2" borderId="0" applyAlignment="1" pivotButton="0" quotePrefix="0" xfId="0">
      <alignment horizontal="left"/>
    </xf>
    <xf numFmtId="14" fontId="17" fillId="2" borderId="0" pivotButton="0" quotePrefix="0" xfId="0"/>
    <xf numFmtId="1" fontId="13" fillId="2" borderId="0" pivotButton="0" quotePrefix="0" xfId="2"/>
    <xf numFmtId="165" fontId="2" fillId="2" borderId="6" pivotButton="0" quotePrefix="0" xfId="0"/>
    <xf numFmtId="165" fontId="2" fillId="2" borderId="8" pivotButton="0" quotePrefix="0" xfId="0"/>
    <xf numFmtId="165" fontId="2" fillId="2" borderId="9" pivotButton="0" quotePrefix="0" xfId="0"/>
    <xf numFmtId="14" fontId="2" fillId="0" borderId="1" pivotButton="0" quotePrefix="0" xfId="0"/>
    <xf numFmtId="0" fontId="2" fillId="0" borderId="1" pivotButton="0" quotePrefix="0" xfId="0"/>
    <xf numFmtId="43" fontId="10" fillId="2" borderId="0" pivotButton="0" quotePrefix="0" xfId="0"/>
    <xf numFmtId="2" fontId="2" fillId="2" borderId="0" pivotButton="0" quotePrefix="0" xfId="2"/>
    <xf numFmtId="2" fontId="2" fillId="2" borderId="6" pivotButton="0" quotePrefix="0" xfId="2"/>
    <xf numFmtId="167" fontId="2" fillId="2" borderId="10" pivotButton="0" quotePrefix="0" xfId="0"/>
    <xf numFmtId="165" fontId="3" fillId="6" borderId="0" pivotButton="0" quotePrefix="0" xfId="2"/>
    <xf numFmtId="2" fontId="3" fillId="6" borderId="0" pivotButton="0" quotePrefix="0" xfId="0"/>
    <xf numFmtId="0" fontId="2" fillId="2" borderId="4" applyAlignment="1" pivotButton="0" quotePrefix="0" xfId="0">
      <alignment wrapText="1"/>
    </xf>
    <xf numFmtId="14" fontId="2" fillId="2" borderId="5" pivotButton="0" quotePrefix="0" xfId="0"/>
    <xf numFmtId="14" fontId="2" fillId="2" borderId="7" pivotButton="0" quotePrefix="0" xfId="0"/>
    <xf numFmtId="2" fontId="13" fillId="2" borderId="0" pivotButton="0" quotePrefix="0" xfId="2"/>
    <xf numFmtId="4" fontId="3" fillId="2" borderId="6" pivotButton="0" quotePrefix="0" xfId="0"/>
    <xf numFmtId="43" fontId="3" fillId="2" borderId="9" applyAlignment="1" pivotButton="0" quotePrefix="0" xfId="0">
      <alignment horizontal="right"/>
    </xf>
    <xf numFmtId="165" fontId="3" fillId="2" borderId="0" pivotButton="0" quotePrefix="0" xfId="0"/>
    <xf numFmtId="164" fontId="2" fillId="2" borderId="6" applyAlignment="1" pivotButton="0" quotePrefix="0" xfId="1">
      <alignment horizontal="right" wrapText="1"/>
    </xf>
    <xf numFmtId="0" fontId="3" fillId="2" borderId="6" applyAlignment="1" pivotButton="0" quotePrefix="0" xfId="0">
      <alignment horizontal="right"/>
    </xf>
    <xf numFmtId="0" fontId="2" fillId="2" borderId="6" applyAlignment="1" pivotButton="0" quotePrefix="0" xfId="0">
      <alignment horizontal="right" wrapText="1"/>
    </xf>
    <xf numFmtId="43" fontId="2" fillId="2" borderId="6" applyAlignment="1" pivotButton="0" quotePrefix="0" xfId="1">
      <alignment horizontal="right" wrapText="1"/>
    </xf>
    <xf numFmtId="9" fontId="2" fillId="2" borderId="6" applyAlignment="1" pivotButton="0" quotePrefix="0" xfId="2">
      <alignment horizontal="right" wrapText="1"/>
    </xf>
    <xf numFmtId="10" fontId="2" fillId="2" borderId="6" applyAlignment="1" pivotButton="0" quotePrefix="0" xfId="0">
      <alignment horizontal="right" wrapText="1"/>
    </xf>
    <xf numFmtId="0" fontId="2" fillId="2" borderId="9" applyAlignment="1" pivotButton="0" quotePrefix="0" xfId="0">
      <alignment horizontal="right" wrapText="1"/>
    </xf>
    <xf numFmtId="0" fontId="2" fillId="2" borderId="6" applyAlignment="1" pivotButton="0" quotePrefix="0" xfId="0">
      <alignment horizontal="left" wrapText="1"/>
    </xf>
    <xf numFmtId="0" fontId="2" fillId="2" borderId="9" applyAlignment="1" pivotButton="0" quotePrefix="0" xfId="0">
      <alignment horizontal="left" wrapText="1"/>
    </xf>
    <xf numFmtId="169" fontId="2" fillId="2" borderId="7" pivotButton="0" quotePrefix="0" xfId="0"/>
    <xf numFmtId="164" fontId="2" fillId="2" borderId="8" pivotButton="0" quotePrefix="0" xfId="1"/>
    <xf numFmtId="170" fontId="2" fillId="2" borderId="9" pivotButton="0" quotePrefix="0" xfId="0"/>
    <xf numFmtId="0" fontId="3" fillId="2" borderId="11" applyAlignment="1" pivotButton="0" quotePrefix="0" xfId="0">
      <alignment horizontal="center" vertical="center" wrapText="1"/>
    </xf>
    <xf numFmtId="43" fontId="17" fillId="2" borderId="11" pivotButton="0" quotePrefix="0" xfId="0"/>
    <xf numFmtId="165" fontId="12" fillId="2" borderId="11" applyAlignment="1" pivotButton="0" quotePrefix="0" xfId="0">
      <alignment horizontal="right"/>
    </xf>
    <xf numFmtId="2" fontId="3" fillId="2" borderId="11" pivotButton="0" quotePrefix="0" xfId="0"/>
    <xf numFmtId="2" fontId="3" fillId="2" borderId="12" pivotButton="0" quotePrefix="0" xfId="0"/>
    <xf numFmtId="9" fontId="3" fillId="2" borderId="0" pivotButton="0" quotePrefix="0" xfId="0"/>
    <xf numFmtId="9" fontId="2" fillId="2" borderId="6" applyAlignment="1" pivotButton="0" quotePrefix="0" xfId="0">
      <alignment horizontal="right" wrapText="1"/>
    </xf>
    <xf numFmtId="0" fontId="0" fillId="2" borderId="0" pivotButton="0" quotePrefix="0" xfId="0"/>
    <xf numFmtId="0" fontId="28" fillId="2" borderId="0" pivotButton="0" quotePrefix="0" xfId="0"/>
    <xf numFmtId="0" fontId="29" fillId="2" borderId="0" pivotButton="0" quotePrefix="0" xfId="0"/>
    <xf numFmtId="0" fontId="29" fillId="2" borderId="0" applyAlignment="1" pivotButton="0" quotePrefix="0" xfId="0">
      <alignment horizontal="center"/>
    </xf>
    <xf numFmtId="3" fontId="28" fillId="2" borderId="0" pivotButton="0" quotePrefix="0" xfId="0"/>
    <xf numFmtId="165" fontId="30" fillId="2" borderId="0" pivotButton="0" quotePrefix="0" xfId="0"/>
    <xf numFmtId="0" fontId="28" fillId="2" borderId="0" applyAlignment="1" pivotButton="0" quotePrefix="0" xfId="0">
      <alignment horizontal="center"/>
    </xf>
    <xf numFmtId="4" fontId="29" fillId="2" borderId="0" pivotButton="0" quotePrefix="0" xfId="0"/>
    <xf numFmtId="4" fontId="28" fillId="2" borderId="0" pivotButton="0" quotePrefix="0" xfId="0"/>
    <xf numFmtId="176" fontId="30" fillId="2" borderId="0" pivotButton="0" quotePrefix="0" xfId="0"/>
    <xf numFmtId="3" fontId="30" fillId="2" borderId="0" pivotButton="0" quotePrefix="0" xfId="0"/>
    <xf numFmtId="165" fontId="29" fillId="2" borderId="0" pivotButton="0" quotePrefix="0" xfId="0"/>
    <xf numFmtId="0" fontId="31" fillId="2" borderId="0" pivotButton="0" quotePrefix="0" xfId="0"/>
    <xf numFmtId="0" fontId="32" fillId="2" borderId="0" pivotButton="0" quotePrefix="0" xfId="0"/>
    <xf numFmtId="165" fontId="33" fillId="2" borderId="0" pivotButton="0" quotePrefix="0" xfId="0"/>
    <xf numFmtId="4" fontId="33" fillId="2" borderId="0" pivotButton="0" quotePrefix="0" xfId="0"/>
    <xf numFmtId="2" fontId="33" fillId="2" borderId="0" pivotButton="0" quotePrefix="0" xfId="0"/>
    <xf numFmtId="4" fontId="34" fillId="2" borderId="0" pivotButton="0" quotePrefix="0" xfId="0"/>
    <xf numFmtId="0" fontId="3" fillId="5" borderId="0" applyAlignment="1" pivotButton="0" quotePrefix="0" xfId="0">
      <alignment horizontal="center" wrapText="1"/>
    </xf>
    <xf numFmtId="0" fontId="3" fillId="5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3" fillId="2" borderId="5" applyAlignment="1" pivotButton="0" quotePrefix="0" xfId="0">
      <alignment horizontal="left" vertical="center"/>
    </xf>
    <xf numFmtId="0" fontId="3" fillId="2" borderId="15" applyAlignment="1" pivotButton="0" quotePrefix="0" xfId="0">
      <alignment horizontal="center"/>
    </xf>
    <xf numFmtId="0" fontId="3" fillId="2" borderId="14" applyAlignment="1" pivotButton="0" quotePrefix="0" xfId="0">
      <alignment horizontal="center"/>
    </xf>
    <xf numFmtId="0" fontId="3" fillId="2" borderId="13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pivotButton="0" quotePrefix="0" xfId="0"/>
    <xf numFmtId="0" fontId="37" fillId="0" borderId="0" applyAlignment="1" pivotButton="0" quotePrefix="0" xfId="0">
      <alignment horizontal="left" vertical="top" wrapText="1"/>
    </xf>
    <xf numFmtId="0" fontId="40" fillId="0" borderId="0" applyAlignment="1" pivotButton="0" quotePrefix="0" xfId="0">
      <alignment horizontal="left" vertical="center" wrapText="1"/>
    </xf>
    <xf numFmtId="0" fontId="0" fillId="7" borderId="16" pivotButton="0" quotePrefix="0" xfId="0"/>
    <xf numFmtId="0" fontId="0" fillId="4" borderId="17" pivotButton="0" quotePrefix="0" xfId="0"/>
    <xf numFmtId="0" fontId="38" fillId="0" borderId="0" applyAlignment="1" pivotButton="0" quotePrefix="0" xfId="0">
      <alignment vertical="center"/>
    </xf>
    <xf numFmtId="0" fontId="39" fillId="0" borderId="0" applyAlignment="1" pivotButton="0" quotePrefix="0" xfId="0">
      <alignment vertical="center"/>
    </xf>
    <xf numFmtId="0" fontId="0" fillId="0" borderId="18" pivotButton="0" quotePrefix="0" xfId="0"/>
    <xf numFmtId="0" fontId="0" fillId="3" borderId="0" pivotButton="0" quotePrefix="0" xfId="0"/>
    <xf numFmtId="0" fontId="0" fillId="0" borderId="0" pivotButton="0" quotePrefix="0" xfId="0"/>
    <xf numFmtId="17" fontId="19" fillId="8" borderId="0" applyAlignment="1" pivotButton="0" quotePrefix="0" xfId="1">
      <alignment horizontal="center"/>
    </xf>
    <xf numFmtId="17" fontId="19" fillId="9" borderId="0" applyAlignment="1" pivotButton="0" quotePrefix="0" xfId="1">
      <alignment horizontal="center"/>
    </xf>
    <xf numFmtId="1" fontId="19" fillId="8" borderId="0" applyAlignment="1" pivotButton="0" quotePrefix="0" xfId="1">
      <alignment horizontal="center"/>
    </xf>
    <xf numFmtId="1" fontId="19" fillId="8" borderId="0" applyAlignment="1" pivotButton="0" quotePrefix="0" xfId="1">
      <alignment horizontal="center" vertical="center"/>
    </xf>
    <xf numFmtId="0" fontId="19" fillId="8" borderId="0" applyAlignment="1" pivotButton="0" quotePrefix="0" xfId="1">
      <alignment horizontal="center"/>
    </xf>
    <xf numFmtId="0" fontId="19" fillId="9" borderId="0" applyAlignment="1" pivotButton="0" quotePrefix="0" xfId="1">
      <alignment horizontal="center"/>
    </xf>
    <xf numFmtId="164" fontId="3" fillId="10" borderId="0" applyAlignment="1" pivotButton="0" quotePrefix="0" xfId="1">
      <alignment horizontal="center" vertical="center"/>
    </xf>
    <xf numFmtId="177" fontId="3" fillId="10" borderId="0" applyAlignment="1" pivotButton="0" quotePrefix="0" xfId="1">
      <alignment horizontal="left" vertical="center"/>
    </xf>
    <xf numFmtId="43" fontId="3" fillId="10" borderId="0" pivotButton="0" quotePrefix="0" xfId="1"/>
    <xf numFmtId="43" fontId="3" fillId="10" borderId="0" applyAlignment="1" pivotButton="0" quotePrefix="0" xfId="1">
      <alignment horizontal="center"/>
    </xf>
    <xf numFmtId="0" fontId="3" fillId="10" borderId="0" pivotButton="0" quotePrefix="0" xfId="0"/>
    <xf numFmtId="43" fontId="2" fillId="10" borderId="0" pivotButton="0" quotePrefix="0" xfId="1"/>
    <xf numFmtId="164" fontId="3" fillId="10" borderId="0" applyAlignment="1" pivotButton="0" quotePrefix="0" xfId="1">
      <alignment horizontal="left" vertical="center"/>
    </xf>
    <xf numFmtId="43" fontId="3" fillId="10" borderId="0" applyAlignment="1" pivotButton="0" quotePrefix="0" xfId="1">
      <alignment horizontal="left"/>
    </xf>
    <xf numFmtId="0" fontId="3" fillId="10" borderId="0" applyAlignment="1" pivotButton="0" quotePrefix="0" xfId="0">
      <alignment horizontal="left"/>
    </xf>
    <xf numFmtId="0" fontId="2" fillId="10" borderId="0" applyAlignment="1" pivotButton="0" quotePrefix="0" xfId="0">
      <alignment horizontal="left"/>
    </xf>
    <xf numFmtId="0" fontId="2" fillId="10" borderId="0" pivotButton="0" quotePrefix="0" xfId="0"/>
    <xf numFmtId="167" fontId="2" fillId="10" borderId="0" pivotButton="0" quotePrefix="0" xfId="0"/>
    <xf numFmtId="43" fontId="3" fillId="10" borderId="0" applyAlignment="1" pivotButton="0" quotePrefix="0" xfId="1">
      <alignment vertical="center"/>
    </xf>
    <xf numFmtId="17" fontId="3" fillId="10" borderId="0" applyAlignment="1" pivotButton="0" quotePrefix="0" xfId="1">
      <alignment wrapText="1"/>
    </xf>
    <xf numFmtId="0" fontId="3" fillId="10" borderId="10" applyAlignment="1" pivotButton="0" quotePrefix="0" xfId="0">
      <alignment horizontal="center"/>
    </xf>
    <xf numFmtId="9" fontId="3" fillId="10" borderId="1" pivotButton="0" quotePrefix="0" xfId="0"/>
    <xf numFmtId="0" fontId="3" fillId="10" borderId="0" applyAlignment="1" pivotButton="0" quotePrefix="0" xfId="0">
      <alignment horizontal="center" wrapText="1"/>
    </xf>
    <xf numFmtId="0" fontId="3" fillId="10" borderId="1" pivotButton="0" quotePrefix="0" xfId="0"/>
    <xf numFmtId="4" fontId="6" fillId="10" borderId="14" applyAlignment="1" pivotButton="0" quotePrefix="0" xfId="0">
      <alignment horizontal="right"/>
    </xf>
    <xf numFmtId="4" fontId="6" fillId="10" borderId="1" applyAlignment="1" pivotButton="0" quotePrefix="0" xfId="0">
      <alignment horizontal="center"/>
    </xf>
    <xf numFmtId="0" fontId="6" fillId="10" borderId="14" applyAlignment="1" pivotButton="0" quotePrefix="0" xfId="0">
      <alignment horizontal="center"/>
    </xf>
    <xf numFmtId="0" fontId="6" fillId="10" borderId="1" applyAlignment="1" pivotButton="0" quotePrefix="0" xfId="0">
      <alignment horizontal="center"/>
    </xf>
    <xf numFmtId="0" fontId="6" fillId="10" borderId="10" applyAlignment="1" pivotButton="0" quotePrefix="0" xfId="0">
      <alignment horizontal="center"/>
    </xf>
    <xf numFmtId="0" fontId="3" fillId="10" borderId="13" applyAlignment="1" pivotButton="0" quotePrefix="0" xfId="0">
      <alignment horizontal="center" wrapText="1"/>
    </xf>
    <xf numFmtId="0" fontId="3" fillId="10" borderId="0" applyAlignment="1" pivotButton="0" quotePrefix="0" xfId="0">
      <alignment horizontal="center"/>
    </xf>
    <xf numFmtId="0" fontId="3" fillId="10" borderId="8" applyAlignment="1" pivotButton="0" quotePrefix="0" xfId="0">
      <alignment horizontal="center"/>
    </xf>
    <xf numFmtId="43" fontId="3" fillId="10" borderId="10" applyAlignment="1" pivotButton="0" quotePrefix="0" xfId="1">
      <alignment vertical="center"/>
    </xf>
    <xf numFmtId="0" fontId="3" fillId="10" borderId="4" applyAlignment="1" pivotButton="0" quotePrefix="0" xfId="0">
      <alignment horizontal="center"/>
    </xf>
    <xf numFmtId="17" fontId="19" fillId="8" borderId="3" applyAlignment="1" pivotButton="0" quotePrefix="0" xfId="1">
      <alignment horizontal="center"/>
    </xf>
    <xf numFmtId="17" fontId="19" fillId="8" borderId="3" applyAlignment="1" pivotButton="0" quotePrefix="0" xfId="1">
      <alignment horizontal="center"/>
    </xf>
    <xf numFmtId="17" fontId="19" fillId="9" borderId="3" applyAlignment="1" pivotButton="0" quotePrefix="0" xfId="1">
      <alignment horizontal="center"/>
    </xf>
    <xf numFmtId="17" fontId="19" fillId="9" borderId="3" applyAlignment="1" pivotButton="0" quotePrefix="0" xfId="1">
      <alignment horizontal="center"/>
    </xf>
    <xf numFmtId="17" fontId="19" fillId="9" borderId="4" applyAlignment="1" pivotButton="0" quotePrefix="0" xfId="1">
      <alignment horizontal="center"/>
    </xf>
    <xf numFmtId="17" fontId="19" fillId="8" borderId="0" applyAlignment="1" pivotButton="0" quotePrefix="0" xfId="1">
      <alignment horizontal="center"/>
    </xf>
    <xf numFmtId="17" fontId="19" fillId="9" borderId="0" applyAlignment="1" pivotButton="0" quotePrefix="0" xfId="1">
      <alignment horizontal="center"/>
    </xf>
    <xf numFmtId="17" fontId="19" fillId="9" borderId="6" applyAlignment="1" pivotButton="0" quotePrefix="0" xfId="1">
      <alignment horizontal="center"/>
    </xf>
    <xf numFmtId="0" fontId="29" fillId="10" borderId="0" pivotButton="0" quotePrefix="0" xfId="0"/>
    <xf numFmtId="0" fontId="28" fillId="10" borderId="0" pivotButton="0" quotePrefix="0" xfId="0"/>
    <xf numFmtId="3" fontId="29" fillId="10" borderId="0" applyAlignment="1" pivotButton="0" quotePrefix="0" xfId="0">
      <alignment horizontal="center"/>
    </xf>
    <xf numFmtId="165" fontId="28" fillId="10" borderId="0" pivotButton="0" quotePrefix="0" xfId="0"/>
    <xf numFmtId="176" fontId="28" fillId="10" borderId="0" pivotButton="0" quotePrefix="0" xfId="0"/>
    <xf numFmtId="4" fontId="28" fillId="10" borderId="0" pivotButton="0" quotePrefix="0" xfId="0"/>
    <xf numFmtId="0" fontId="3" fillId="10" borderId="10" applyAlignment="1" pivotButton="0" quotePrefix="0" xfId="0">
      <alignment horizontal="center" vertical="center" wrapText="1"/>
    </xf>
    <xf numFmtId="0" fontId="3" fillId="10" borderId="13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0" borderId="12" applyAlignment="1" pivotButton="0" quotePrefix="0" xfId="0">
      <alignment horizontal="center" vertical="center" wrapText="1"/>
    </xf>
    <xf numFmtId="0" fontId="3" fillId="10" borderId="13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/>
    </xf>
    <xf numFmtId="0" fontId="3" fillId="10" borderId="3" applyAlignment="1" pivotButton="0" quotePrefix="0" xfId="0">
      <alignment horizontal="center"/>
    </xf>
    <xf numFmtId="0" fontId="3" fillId="10" borderId="15" applyAlignment="1" pivotButton="0" quotePrefix="0" xfId="0">
      <alignment horizontal="center"/>
    </xf>
    <xf numFmtId="0" fontId="3" fillId="10" borderId="14" applyAlignment="1" pivotButton="0" quotePrefix="0" xfId="0">
      <alignment horizontal="center"/>
    </xf>
    <xf numFmtId="0" fontId="3" fillId="10" borderId="13" applyAlignment="1" pivotButton="0" quotePrefix="0" xfId="0">
      <alignment horizontal="center"/>
    </xf>
    <xf numFmtId="49" fontId="3" fillId="10" borderId="15" applyAlignment="1" pivotButton="0" quotePrefix="0" xfId="0">
      <alignment horizontal="center" wrapText="1"/>
    </xf>
    <xf numFmtId="49" fontId="3" fillId="10" borderId="14" applyAlignment="1" pivotButton="0" quotePrefix="0" xfId="0">
      <alignment horizontal="center" wrapText="1"/>
    </xf>
    <xf numFmtId="49" fontId="3" fillId="10" borderId="7" applyAlignment="1" pivotButton="0" quotePrefix="0" xfId="0">
      <alignment horizontal="center" wrapText="1"/>
    </xf>
    <xf numFmtId="49" fontId="3" fillId="10" borderId="8" applyAlignment="1" pivotButton="0" quotePrefix="0" xfId="0">
      <alignment horizontal="center" wrapText="1"/>
    </xf>
    <xf numFmtId="49" fontId="3" fillId="10" borderId="9" applyAlignment="1" pivotButton="0" quotePrefix="0" xfId="0">
      <alignment horizontal="center" wrapText="1"/>
    </xf>
    <xf numFmtId="0" fontId="42" fillId="0" borderId="0" pivotButton="0" quotePrefix="0" xfId="0"/>
    <xf numFmtId="0" fontId="38" fillId="0" borderId="0" applyAlignment="1" pivotButton="0" quotePrefix="0" xfId="0">
      <alignment vertical="top" wrapText="1"/>
    </xf>
    <xf numFmtId="49" fontId="38" fillId="0" borderId="0" applyAlignment="1" pivotButton="0" quotePrefix="0" xfId="0">
      <alignment horizontal="left" vertical="center"/>
    </xf>
    <xf numFmtId="0" fontId="41" fillId="8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36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0" fillId="11" borderId="19" pivotButton="0" quotePrefix="0" xfId="0"/>
    <xf numFmtId="0" fontId="43" fillId="0" borderId="18" applyAlignment="1" pivotButton="0" quotePrefix="0" xfId="0">
      <alignment horizontal="left" vertical="center"/>
    </xf>
    <xf numFmtId="0" fontId="43" fillId="0" borderId="18" applyAlignment="1" pivotButton="0" quotePrefix="0" xfId="0">
      <alignment vertical="center"/>
    </xf>
    <xf numFmtId="0" fontId="43" fillId="0" borderId="0" applyAlignment="1" pivotButton="0" quotePrefix="0" xfId="0">
      <alignment horizontal="left" vertical="center"/>
    </xf>
    <xf numFmtId="0" fontId="44" fillId="12" borderId="20" applyAlignment="1" pivotButton="0" quotePrefix="0" xfId="3">
      <alignment horizontal="left" vertical="center" indent="1"/>
    </xf>
    <xf numFmtId="0" fontId="44" fillId="12" borderId="0" applyAlignment="1" pivotButton="0" quotePrefix="0" xfId="3">
      <alignment horizontal="left" vertical="center" indent="1"/>
    </xf>
    <xf numFmtId="0" fontId="0" fillId="0" borderId="21" pivotButton="0" quotePrefix="0" xfId="0"/>
    <xf numFmtId="0" fontId="0" fillId="0" borderId="22" pivotButton="0" quotePrefix="0" xfId="0"/>
    <xf numFmtId="0" fontId="45" fillId="0" borderId="0" applyAlignment="1" pivotButton="0" quotePrefix="0" xfId="0">
      <alignment vertical="center"/>
    </xf>
    <xf numFmtId="0" fontId="45" fillId="0" borderId="0" applyAlignment="1" pivotButton="0" quotePrefix="0" xfId="0">
      <alignment vertical="top"/>
    </xf>
    <xf numFmtId="0" fontId="45" fillId="0" borderId="0" applyAlignment="1" pivotButton="0" quotePrefix="0" xfId="0">
      <alignment vertical="center"/>
    </xf>
    <xf numFmtId="0" fontId="46" fillId="0" borderId="0" applyAlignment="1" pivotButton="0" quotePrefix="0" xfId="3">
      <alignment vertical="center"/>
    </xf>
    <xf numFmtId="0" fontId="35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0" fillId="13" borderId="23" pivotButton="0" quotePrefix="0" xfId="0"/>
    <xf numFmtId="0" fontId="36" fillId="11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164" fontId="2" fillId="2" borderId="0" pivotButton="0" quotePrefix="0" xfId="1"/>
    <xf numFmtId="43" fontId="2" fillId="2" borderId="0" applyAlignment="1" pivotButton="0" quotePrefix="0" xfId="1">
      <alignment wrapText="1"/>
    </xf>
    <xf numFmtId="43" fontId="2" fillId="2" borderId="0" pivotButton="0" quotePrefix="0" xfId="1"/>
    <xf numFmtId="43" fontId="3" fillId="2" borderId="0" pivotButton="0" quotePrefix="0" xfId="1"/>
    <xf numFmtId="164" fontId="3" fillId="2" borderId="0" applyAlignment="1" pivotButton="0" quotePrefix="0" xfId="1">
      <alignment vertical="center"/>
    </xf>
    <xf numFmtId="43" fontId="3" fillId="2" borderId="0" applyAlignment="1" pivotButton="0" quotePrefix="0" xfId="1">
      <alignment vertical="center"/>
    </xf>
    <xf numFmtId="43" fontId="2" fillId="10" borderId="0" pivotButton="0" quotePrefix="0" xfId="1"/>
    <xf numFmtId="164" fontId="3" fillId="10" borderId="0" applyAlignment="1" pivotButton="0" quotePrefix="0" xfId="1">
      <alignment horizontal="center" vertical="center"/>
    </xf>
    <xf numFmtId="43" fontId="3" fillId="10" borderId="0" pivotButton="0" quotePrefix="0" xfId="1"/>
    <xf numFmtId="43" fontId="3" fillId="10" borderId="0" applyAlignment="1" pivotButton="0" quotePrefix="0" xfId="1">
      <alignment horizontal="center"/>
    </xf>
    <xf numFmtId="164" fontId="3" fillId="2" borderId="0" applyAlignment="1" pivotButton="0" quotePrefix="0" xfId="1">
      <alignment horizontal="center" vertical="center"/>
    </xf>
    <xf numFmtId="43" fontId="3" fillId="2" borderId="0" applyAlignment="1" pivotButton="0" quotePrefix="0" xfId="1">
      <alignment horizontal="center"/>
    </xf>
    <xf numFmtId="43" fontId="3" fillId="2" borderId="0" applyAlignment="1" pivotButton="0" quotePrefix="0" xfId="1">
      <alignment wrapText="1"/>
    </xf>
    <xf numFmtId="164" fontId="3" fillId="2" borderId="0" pivotButton="0" quotePrefix="0" xfId="1"/>
    <xf numFmtId="43" fontId="26" fillId="2" borderId="0" pivotButton="0" quotePrefix="0" xfId="0"/>
    <xf numFmtId="43" fontId="3" fillId="2" borderId="0" pivotButton="0" quotePrefix="0" xfId="0"/>
    <xf numFmtId="165" fontId="4" fillId="2" borderId="0" pivotButton="0" quotePrefix="0" xfId="0"/>
    <xf numFmtId="165" fontId="2" fillId="2" borderId="0" pivotButton="0" quotePrefix="0" xfId="0"/>
    <xf numFmtId="165" fontId="12" fillId="2" borderId="0" pivotButton="0" quotePrefix="0" xfId="2"/>
    <xf numFmtId="43" fontId="17" fillId="2" borderId="0" pivotButton="0" quotePrefix="0" xfId="0"/>
    <xf numFmtId="43" fontId="2" fillId="2" borderId="0" pivotButton="0" quotePrefix="0" xfId="0"/>
    <xf numFmtId="165" fontId="2" fillId="2" borderId="0" pivotButton="0" quotePrefix="0" xfId="2"/>
    <xf numFmtId="165" fontId="18" fillId="2" borderId="0" pivotButton="0" quotePrefix="0" xfId="2"/>
    <xf numFmtId="43" fontId="22" fillId="2" borderId="0" pivotButton="0" quotePrefix="0" xfId="1"/>
    <xf numFmtId="164" fontId="22" fillId="2" borderId="0" pivotButton="0" quotePrefix="0" xfId="1"/>
    <xf numFmtId="43" fontId="11" fillId="2" borderId="0" pivotButton="0" quotePrefix="0" xfId="1"/>
    <xf numFmtId="164" fontId="11" fillId="2" borderId="0" pivotButton="0" quotePrefix="0" xfId="1"/>
    <xf numFmtId="43" fontId="24" fillId="2" borderId="0" pivotButton="0" quotePrefix="0" xfId="1"/>
    <xf numFmtId="43" fontId="13" fillId="2" borderId="0" pivotButton="0" quotePrefix="0" xfId="1"/>
    <xf numFmtId="164" fontId="13" fillId="2" borderId="0" pivotButton="0" quotePrefix="0" xfId="1"/>
    <xf numFmtId="165" fontId="13" fillId="2" borderId="0" pivotButton="0" quotePrefix="0" xfId="2"/>
    <xf numFmtId="43" fontId="5" fillId="2" borderId="0" applyAlignment="1" pivotButton="0" quotePrefix="0" xfId="1">
      <alignment wrapText="1"/>
    </xf>
    <xf numFmtId="165" fontId="2" fillId="2" borderId="0" applyAlignment="1" pivotButton="0" quotePrefix="0" xfId="2">
      <alignment wrapText="1"/>
    </xf>
    <xf numFmtId="167" fontId="2" fillId="2" borderId="0" pivotButton="0" quotePrefix="0" xfId="0"/>
    <xf numFmtId="164" fontId="3" fillId="10" borderId="0" applyAlignment="1" pivotButton="0" quotePrefix="0" xfId="1">
      <alignment horizontal="left" vertical="center"/>
    </xf>
    <xf numFmtId="43" fontId="3" fillId="10" borderId="0" applyAlignment="1" pivotButton="0" quotePrefix="0" xfId="1">
      <alignment horizontal="left"/>
    </xf>
    <xf numFmtId="166" fontId="2" fillId="2" borderId="0" pivotButton="0" quotePrefix="0" xfId="0"/>
    <xf numFmtId="43" fontId="17" fillId="2" borderId="0" pivotButton="0" quotePrefix="0" xfId="1"/>
    <xf numFmtId="43" fontId="10" fillId="2" borderId="0" pivotButton="0" quotePrefix="0" xfId="0"/>
    <xf numFmtId="165" fontId="10" fillId="2" borderId="0" pivotButton="0" quotePrefix="0" xfId="0"/>
    <xf numFmtId="167" fontId="2" fillId="10" borderId="0" pivotButton="0" quotePrefix="0" xfId="0"/>
    <xf numFmtId="167" fontId="3" fillId="2" borderId="0" pivotButton="0" quotePrefix="0" xfId="0"/>
    <xf numFmtId="167" fontId="22" fillId="2" borderId="0" pivotButton="0" quotePrefix="0" xfId="0"/>
    <xf numFmtId="167" fontId="24" fillId="2" borderId="0" pivotButton="0" quotePrefix="0" xfId="0"/>
    <xf numFmtId="0" fontId="0" fillId="0" borderId="5" pivotButton="0" quotePrefix="0" xfId="0"/>
    <xf numFmtId="0" fontId="0" fillId="0" borderId="6" pivotButton="0" quotePrefix="0" xfId="0"/>
    <xf numFmtId="175" fontId="3" fillId="2" borderId="5" applyAlignment="1" pivotButton="0" quotePrefix="0" xfId="1">
      <alignment horizontal="left"/>
    </xf>
    <xf numFmtId="43" fontId="2" fillId="2" borderId="6" pivotButton="0" quotePrefix="0" xfId="0"/>
    <xf numFmtId="165" fontId="12" fillId="2" borderId="6" pivotButton="0" quotePrefix="0" xfId="2"/>
    <xf numFmtId="165" fontId="13" fillId="2" borderId="6" pivotButton="0" quotePrefix="0" xfId="2"/>
    <xf numFmtId="165" fontId="2" fillId="2" borderId="6" pivotButton="0" quotePrefix="0" xfId="2"/>
    <xf numFmtId="43" fontId="2" fillId="2" borderId="8" pivotButton="0" quotePrefix="0" xfId="0"/>
    <xf numFmtId="165" fontId="2" fillId="2" borderId="8" pivotButton="0" quotePrefix="0" xfId="2"/>
    <xf numFmtId="165" fontId="2" fillId="2" borderId="9" pivotButton="0" quotePrefix="0" xfId="2"/>
    <xf numFmtId="174" fontId="2" fillId="2" borderId="0" pivotButton="0" quotePrefix="0" xfId="0"/>
    <xf numFmtId="174" fontId="2" fillId="2" borderId="8" pivotButton="0" quotePrefix="0" xfId="0"/>
    <xf numFmtId="165" fontId="2" fillId="2" borderId="6" pivotButton="0" quotePrefix="0" xfId="0"/>
    <xf numFmtId="165" fontId="2" fillId="2" borderId="8" pivotButton="0" quotePrefix="0" xfId="0"/>
    <xf numFmtId="165" fontId="2" fillId="2" borderId="9" pivotButton="0" quotePrefix="0" xfId="0"/>
    <xf numFmtId="43" fontId="2" fillId="2" borderId="9" pivotButton="0" quotePrefix="0" xfId="0"/>
    <xf numFmtId="43" fontId="3" fillId="10" borderId="0" applyAlignment="1" pivotButton="0" quotePrefix="0" xfId="1">
      <alignment vertical="center"/>
    </xf>
    <xf numFmtId="165" fontId="2" fillId="2" borderId="0" applyAlignment="1" pivotButton="0" quotePrefix="0" xfId="2">
      <alignment horizontal="center" wrapText="1"/>
    </xf>
    <xf numFmtId="165" fontId="3" fillId="2" borderId="0" applyAlignment="1" pivotButton="0" quotePrefix="0" xfId="2">
      <alignment wrapText="1"/>
    </xf>
    <xf numFmtId="165" fontId="5" fillId="2" borderId="0" pivotButton="0" quotePrefix="0" xfId="2"/>
    <xf numFmtId="165" fontId="10" fillId="2" borderId="0" pivotButton="0" quotePrefix="0" xfId="2"/>
    <xf numFmtId="165" fontId="3" fillId="2" borderId="0" pivotButton="0" quotePrefix="0" xfId="2"/>
    <xf numFmtId="43" fontId="13" fillId="2" borderId="0" pivotButton="0" quotePrefix="0" xfId="0"/>
    <xf numFmtId="168" fontId="13" fillId="2" borderId="0" pivotButton="0" quotePrefix="0" xfId="2"/>
    <xf numFmtId="0" fontId="0" fillId="0" borderId="4" pivotButton="0" quotePrefix="0" xfId="0"/>
    <xf numFmtId="165" fontId="2" fillId="2" borderId="11" pivotButton="0" quotePrefix="0" xfId="2"/>
    <xf numFmtId="165" fontId="3" fillId="2" borderId="11" pivotButton="0" quotePrefix="0" xfId="0"/>
    <xf numFmtId="43" fontId="2" fillId="2" borderId="5" pivotButton="0" quotePrefix="0" xfId="0"/>
    <xf numFmtId="43" fontId="2" fillId="2" borderId="11" pivotButton="0" quotePrefix="0" xfId="0"/>
    <xf numFmtId="43" fontId="3" fillId="2" borderId="5" pivotButton="0" quotePrefix="0" xfId="0"/>
    <xf numFmtId="164" fontId="2" fillId="2" borderId="11" pivotButton="0" quotePrefix="0" xfId="1"/>
    <xf numFmtId="43" fontId="2" fillId="2" borderId="11" pivotButton="0" quotePrefix="0" xfId="1"/>
    <xf numFmtId="165" fontId="2" fillId="2" borderId="11" pivotButton="0" quotePrefix="0" xfId="0"/>
    <xf numFmtId="165" fontId="3" fillId="2" borderId="12" pivotButton="0" quotePrefix="0" xfId="2"/>
    <xf numFmtId="167" fontId="2" fillId="2" borderId="1" pivotButton="0" quotePrefix="0" xfId="0"/>
    <xf numFmtId="167" fontId="2" fillId="2" borderId="10" pivotButton="0" quotePrefix="0" xfId="0"/>
    <xf numFmtId="167" fontId="2" fillId="2" borderId="11" pivotButton="0" quotePrefix="0" xfId="0"/>
    <xf numFmtId="167" fontId="2" fillId="2" borderId="6" pivotButton="0" quotePrefix="0" xfId="0"/>
    <xf numFmtId="167" fontId="2" fillId="2" borderId="12" pivotButton="0" quotePrefix="0" xfId="0"/>
    <xf numFmtId="167" fontId="3" fillId="2" borderId="11" pivotButton="0" quotePrefix="0" xfId="0"/>
    <xf numFmtId="167" fontId="3" fillId="2" borderId="5" pivotButton="0" quotePrefix="0" xfId="0"/>
    <xf numFmtId="167" fontId="3" fillId="2" borderId="10" pivotButton="0" quotePrefix="0" xfId="0"/>
    <xf numFmtId="167" fontId="2" fillId="2" borderId="7" pivotButton="0" quotePrefix="0" xfId="0"/>
    <xf numFmtId="167" fontId="2" fillId="2" borderId="8" pivotButton="0" quotePrefix="0" xfId="0"/>
    <xf numFmtId="167" fontId="3" fillId="2" borderId="6" pivotButton="0" quotePrefix="0" xfId="0"/>
    <xf numFmtId="43" fontId="3" fillId="2" borderId="11" pivotButton="0" quotePrefix="0" xfId="1"/>
    <xf numFmtId="43" fontId="21" fillId="2" borderId="1" pivotButton="0" quotePrefix="0" xfId="1"/>
    <xf numFmtId="165" fontId="13" fillId="2" borderId="11" pivotButton="0" quotePrefix="0" xfId="2"/>
    <xf numFmtId="167" fontId="2" fillId="2" borderId="9" pivotButton="0" quotePrefix="0" xfId="0"/>
    <xf numFmtId="43" fontId="3" fillId="2" borderId="1" pivotButton="0" quotePrefix="0" xfId="1"/>
    <xf numFmtId="43" fontId="3" fillId="2" borderId="13" pivotButton="0" quotePrefix="0" xfId="1"/>
    <xf numFmtId="171" fontId="2" fillId="2" borderId="0" pivotButton="0" quotePrefix="0" xfId="0"/>
    <xf numFmtId="165" fontId="3" fillId="6" borderId="0" pivotButton="0" quotePrefix="0" xfId="2"/>
    <xf numFmtId="165" fontId="3" fillId="2" borderId="1" pivotButton="0" quotePrefix="0" xfId="2"/>
    <xf numFmtId="165" fontId="3" fillId="2" borderId="0" pivotButton="0" quotePrefix="0" xfId="0"/>
    <xf numFmtId="165" fontId="33" fillId="2" borderId="0" pivotButton="0" quotePrefix="0" xfId="0"/>
    <xf numFmtId="165" fontId="30" fillId="2" borderId="0" pivotButton="0" quotePrefix="0" xfId="0"/>
    <xf numFmtId="176" fontId="30" fillId="2" borderId="0" pivotButton="0" quotePrefix="0" xfId="0"/>
    <xf numFmtId="165" fontId="29" fillId="2" borderId="0" pivotButton="0" quotePrefix="0" xfId="0"/>
    <xf numFmtId="165" fontId="28" fillId="10" borderId="0" pivotButton="0" quotePrefix="0" xfId="0"/>
    <xf numFmtId="176" fontId="28" fillId="10" borderId="0" pivotButton="0" quotePrefix="0" xfId="0"/>
    <xf numFmtId="43" fontId="17" fillId="2" borderId="11" pivotButton="0" quotePrefix="0" xfId="0"/>
    <xf numFmtId="165" fontId="12" fillId="2" borderId="6" applyAlignment="1" pivotButton="0" quotePrefix="0" xfId="0">
      <alignment horizontal="right"/>
    </xf>
    <xf numFmtId="165" fontId="12" fillId="2" borderId="11" applyAlignment="1" pivotButton="0" quotePrefix="0" xfId="0">
      <alignment horizontal="right"/>
    </xf>
    <xf numFmtId="165" fontId="3" fillId="2" borderId="6" pivotButton="0" quotePrefix="0" xfId="2"/>
    <xf numFmtId="165" fontId="3" fillId="2" borderId="9" pivotButton="0" quotePrefix="0" xfId="2"/>
    <xf numFmtId="0" fontId="0" fillId="0" borderId="14" pivotButton="0" quotePrefix="0" xfId="0"/>
    <xf numFmtId="0" fontId="0" fillId="0" borderId="13" pivotButton="0" quotePrefix="0" xfId="0"/>
    <xf numFmtId="165" fontId="2" fillId="2" borderId="10" pivotButton="0" quotePrefix="0" xfId="2"/>
    <xf numFmtId="43" fontId="2" fillId="2" borderId="3" pivotButton="0" quotePrefix="0" xfId="0"/>
    <xf numFmtId="165" fontId="2" fillId="2" borderId="2" pivotButton="0" quotePrefix="0" xfId="2"/>
    <xf numFmtId="43" fontId="2" fillId="2" borderId="10" pivotButton="0" quotePrefix="0" xfId="0"/>
    <xf numFmtId="165" fontId="2" fillId="2" borderId="5" pivotButton="0" quotePrefix="0" xfId="2"/>
    <xf numFmtId="43" fontId="2" fillId="2" borderId="12" pivotButton="0" quotePrefix="0" xfId="0"/>
    <xf numFmtId="165" fontId="2" fillId="2" borderId="12" pivotButton="0" quotePrefix="0" xfId="2"/>
    <xf numFmtId="43" fontId="3" fillId="2" borderId="9" applyAlignment="1" pivotButton="0" quotePrefix="0" xfId="0">
      <alignment horizontal="right"/>
    </xf>
    <xf numFmtId="0" fontId="0" fillId="0" borderId="12" pivotButton="0" quotePrefix="0" xfId="0"/>
    <xf numFmtId="43" fontId="2" fillId="2" borderId="10" applyAlignment="1" pivotButton="0" quotePrefix="0" xfId="0">
      <alignment horizontal="center"/>
    </xf>
    <xf numFmtId="43" fontId="2" fillId="2" borderId="4" applyAlignment="1" pivotButton="0" quotePrefix="0" xfId="0">
      <alignment horizontal="center"/>
    </xf>
    <xf numFmtId="43" fontId="2" fillId="2" borderId="3" applyAlignment="1" pivotButton="0" quotePrefix="0" xfId="0">
      <alignment horizontal="center"/>
    </xf>
    <xf numFmtId="43" fontId="2" fillId="2" borderId="2" applyAlignment="1" pivotButton="0" quotePrefix="0" xfId="0">
      <alignment horizontal="center"/>
    </xf>
    <xf numFmtId="43" fontId="2" fillId="2" borderId="11" applyAlignment="1" pivotButton="0" quotePrefix="0" xfId="0">
      <alignment horizontal="center"/>
    </xf>
    <xf numFmtId="43" fontId="2" fillId="2" borderId="6" applyAlignment="1" pivotButton="0" quotePrefix="0" xfId="0">
      <alignment horizontal="center"/>
    </xf>
    <xf numFmtId="43" fontId="2" fillId="2" borderId="0" applyAlignment="1" pivotButton="0" quotePrefix="0" xfId="0">
      <alignment horizontal="center"/>
    </xf>
    <xf numFmtId="43" fontId="2" fillId="2" borderId="5" applyAlignment="1" pivotButton="0" quotePrefix="0" xfId="0">
      <alignment horizontal="center"/>
    </xf>
    <xf numFmtId="43" fontId="2" fillId="2" borderId="12" applyAlignment="1" pivotButton="0" quotePrefix="0" xfId="0">
      <alignment horizontal="center"/>
    </xf>
    <xf numFmtId="43" fontId="2" fillId="2" borderId="9" applyAlignment="1" pivotButton="0" quotePrefix="0" xfId="0">
      <alignment horizontal="center"/>
    </xf>
    <xf numFmtId="43" fontId="2" fillId="2" borderId="8" applyAlignment="1" pivotButton="0" quotePrefix="0" xfId="0">
      <alignment horizontal="center"/>
    </xf>
    <xf numFmtId="43" fontId="2" fillId="2" borderId="7" applyAlignment="1" pivotButton="0" quotePrefix="0" xfId="0">
      <alignment horizontal="center"/>
    </xf>
    <xf numFmtId="0" fontId="0" fillId="0" borderId="8" pivotButton="0" quotePrefix="0" xfId="0"/>
    <xf numFmtId="43" fontId="3" fillId="2" borderId="4" applyAlignment="1" pivotButton="0" quotePrefix="0" xfId="0">
      <alignment horizontal="center"/>
    </xf>
    <xf numFmtId="43" fontId="3" fillId="2" borderId="6" pivotButton="0" quotePrefix="0" xfId="0"/>
    <xf numFmtId="43" fontId="3" fillId="2" borderId="6" applyAlignment="1" pivotButton="0" quotePrefix="0" xfId="0">
      <alignment horizontal="center"/>
    </xf>
    <xf numFmtId="43" fontId="3" fillId="2" borderId="9" pivotButton="0" quotePrefix="0" xfId="0"/>
    <xf numFmtId="173" fontId="2" fillId="2" borderId="0" pivotButton="0" quotePrefix="0" xfId="0"/>
    <xf numFmtId="165" fontId="2" fillId="2" borderId="1" pivotButton="0" quotePrefix="0" xfId="2"/>
    <xf numFmtId="165" fontId="2" fillId="2" borderId="1" pivotButton="0" quotePrefix="0" xfId="0"/>
    <xf numFmtId="0" fontId="0" fillId="0" borderId="3" pivotButton="0" quotePrefix="0" xfId="0"/>
    <xf numFmtId="169" fontId="2" fillId="2" borderId="5" applyAlignment="1" pivotButton="0" quotePrefix="0" xfId="0">
      <alignment wrapText="1"/>
    </xf>
    <xf numFmtId="172" fontId="2" fillId="2" borderId="0" applyAlignment="1" pivotButton="0" quotePrefix="0" xfId="0">
      <alignment wrapText="1"/>
    </xf>
    <xf numFmtId="170" fontId="2" fillId="2" borderId="0" pivotButton="0" quotePrefix="0" xfId="0"/>
    <xf numFmtId="170" fontId="2" fillId="2" borderId="5" pivotButton="0" quotePrefix="0" xfId="0"/>
    <xf numFmtId="169" fontId="2" fillId="2" borderId="0" pivotButton="0" quotePrefix="0" xfId="0"/>
    <xf numFmtId="170" fontId="2" fillId="2" borderId="6" pivotButton="0" quotePrefix="0" xfId="0"/>
    <xf numFmtId="169" fontId="2" fillId="2" borderId="7" applyAlignment="1" pivotButton="0" quotePrefix="0" xfId="0">
      <alignment wrapText="1"/>
    </xf>
    <xf numFmtId="172" fontId="2" fillId="2" borderId="8" applyAlignment="1" pivotButton="0" quotePrefix="0" xfId="0">
      <alignment wrapText="1"/>
    </xf>
    <xf numFmtId="170" fontId="2" fillId="2" borderId="8" pivotButton="0" quotePrefix="0" xfId="0"/>
    <xf numFmtId="169" fontId="2" fillId="2" borderId="7" pivotButton="0" quotePrefix="0" xfId="0"/>
    <xf numFmtId="164" fontId="2" fillId="2" borderId="8" pivotButton="0" quotePrefix="0" xfId="1"/>
    <xf numFmtId="170" fontId="2" fillId="2" borderId="9" pivotButton="0" quotePrefix="0" xfId="0"/>
    <xf numFmtId="170" fontId="2" fillId="2" borderId="7" pivotButton="0" quotePrefix="0" xfId="0"/>
    <xf numFmtId="169" fontId="2" fillId="2" borderId="8" pivotButton="0" quotePrefix="0" xfId="0"/>
    <xf numFmtId="43" fontId="3" fillId="10" borderId="10" applyAlignment="1" pivotButton="0" quotePrefix="0" xfId="1">
      <alignment vertical="center"/>
    </xf>
    <xf numFmtId="43" fontId="3" fillId="2" borderId="11" applyAlignment="1" pivotButton="0" quotePrefix="0" xfId="1">
      <alignment vertical="center"/>
    </xf>
    <xf numFmtId="43" fontId="2" fillId="2" borderId="6" applyAlignment="1" pivotButton="0" quotePrefix="0" xfId="1">
      <alignment horizontal="right" wrapText="1"/>
    </xf>
    <xf numFmtId="164" fontId="2" fillId="2" borderId="6" applyAlignment="1" pivotButton="0" quotePrefix="0" xfId="1">
      <alignment horizontal="right" wrapText="1"/>
    </xf>
  </cellXfs>
  <cellStyles count="4">
    <cellStyle name="Normal" xfId="0" builtinId="0"/>
    <cellStyle name="Comma" xfId="1" builtinId="3"/>
    <cellStyle name="Percent" xfId="2" builtinId="5"/>
    <cellStyle name="Hyperlink" xfId="3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5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 b="1"/>
              <a:t>Yearly</a:t>
            </a:r>
            <a:r>
              <a:rPr lang="en-US" sz="1500" b="1" baseline="0"/>
              <a:t xml:space="preserve"> Revenue</a:t>
            </a:r>
            <a:endParaRPr lang="en-US" sz="1500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5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'Graphical Representation'!$B$157</f>
              <strCache>
                <ptCount val="1"/>
                <pt idx="0">
                  <v xml:space="preserve"> Revenue from operations </v>
                </pt>
              </strCache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6"/>
            <invertIfNegative val="0"/>
            <bubble3D val="0"/>
            <spPr>
              <a:solidFill xmlns:a="http://schemas.openxmlformats.org/drawingml/2006/main">
                <a:srgbClr val="BF8F00"/>
              </a:solidFill>
              <a:ln xmlns:a="http://schemas.openxmlformats.org/drawingml/2006/main">
                <a:solidFill>
                  <a:srgbClr val="BF8F00"/>
                </a:solidFill>
                <a:prstDash val="solid"/>
              </a:ln>
            </spPr>
          </dPt>
          <dLbls>
            <delete val="1"/>
          </dLbls>
          <cat>
            <strRef>
              <f>'Graphical Representation'!$C$155:$W$156</f>
              <strCache>
                <ptCount val="7"/>
                <pt idx="0">
                  <v>FY21</v>
                </pt>
                <pt idx="1">
                  <v>FY22</v>
                </pt>
                <pt idx="2">
                  <v>FY23</v>
                </pt>
                <pt idx="3">
                  <v>FY24</v>
                </pt>
                <pt idx="4">
                  <v>FY25</v>
                </pt>
                <pt idx="5">
                  <v xml:space="preserve">FY26 </v>
                </pt>
                <pt idx="6">
                  <v>FY27 E</v>
                </pt>
              </strCache>
            </strRef>
          </cat>
          <val>
            <numRef>
              <f>'Graphical Representation'!$C$157:$W$157</f>
              <numCache>
                <formatCode>_(* #,##0.00_);_(* \(#,##0.00\);_(* "-"??_);_(@_)</formatCode>
                <ptCount val="7"/>
                <pt idx="0">
                  <v>279.1296</v>
                </pt>
                <pt idx="1">
                  <v>288.2416</v>
                </pt>
                <pt idx="2">
                  <v>411.3381</v>
                </pt>
                <pt idx="3">
                  <v>550.3845</v>
                </pt>
                <pt idx="4">
                  <v>732.7860000000001</v>
                </pt>
                <pt idx="5">
                  <v>822.2877</v>
                </pt>
                <pt idx="6">
                  <v>896.0407503328895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075144992"/>
        <axId val="1075139232"/>
      </barChart>
      <lineChart>
        <grouping val="standard"/>
        <varyColors val="0"/>
        <ser>
          <idx val="1"/>
          <order val="1"/>
          <tx>
            <strRef>
              <f>'Graphical Representation'!$B$158</f>
              <strCache>
                <ptCount val="1"/>
                <pt idx="0">
                  <v xml:space="preserve"> Growth %</v>
                </pt>
              </strCache>
            </strRef>
          </tx>
          <spPr>
            <a:ln xmlns:a="http://schemas.openxmlformats.org/drawingml/2006/main" w="28575" cap="rnd">
              <a:solidFill>
                <a:srgbClr val="C55A1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showLegendKey val="0"/>
              <showVal val="1"/>
              <showCatName val="0"/>
              <showSerName val="0"/>
              <showPercent val="0"/>
              <showBubbleSize val="0"/>
            </dLbl>
            <numFmt formatCode="0%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'Graphical Representation'!$C$155:$W$156</f>
              <strCache>
                <ptCount val="7"/>
                <pt idx="0">
                  <v>FY21</v>
                </pt>
                <pt idx="1">
                  <v>FY22</v>
                </pt>
                <pt idx="2">
                  <v>FY23</v>
                </pt>
                <pt idx="3">
                  <v>FY24</v>
                </pt>
                <pt idx="4">
                  <v>FY25</v>
                </pt>
                <pt idx="5">
                  <v xml:space="preserve">FY26 </v>
                </pt>
                <pt idx="6">
                  <v>FY27 E</v>
                </pt>
              </strCache>
            </strRef>
          </cat>
          <val>
            <numRef>
              <f>'Graphical Representation'!$C$158:$W$158</f>
              <numCache>
                <formatCode>0.0%</formatCode>
                <ptCount val="7"/>
                <pt idx="1">
                  <v>0.03264433438804062</v>
                </pt>
                <pt idx="2">
                  <v>0.4270601467657687</v>
                </pt>
                <pt idx="3">
                  <v>0.3380343323412054</v>
                </pt>
                <pt idx="4">
                  <v>0.3314074070036493</v>
                </pt>
                <pt idx="5">
                  <v>0.1221389327852878</v>
                </pt>
                <pt idx="6">
                  <v>0.08969251313486695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075141152"/>
        <axId val="1075142112"/>
      </lineChart>
      <catAx>
        <axId val="10751449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75139232"/>
        <crosses val="autoZero"/>
        <auto val="1"/>
        <lblAlgn val="ctr"/>
        <lblOffset val="100"/>
        <noMultiLvlLbl val="0"/>
      </catAx>
      <valAx>
        <axId val="1075139232"/>
        <scaling>
          <orientation val="minMax"/>
        </scaling>
        <delete val="0"/>
        <axPos val="l"/>
        <numFmt formatCode="_(* #,##0_);_(* \(#,##0\);_(* &quot;-&quot;_);_(@_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75144992"/>
        <crosses val="autoZero"/>
        <crossBetween val="between"/>
      </valAx>
      <catAx>
        <axId val="1075141152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75142112"/>
        <crosses val="autoZero"/>
        <auto val="1"/>
        <lblAlgn val="ctr"/>
        <lblOffset val="100"/>
        <noMultiLvlLbl val="0"/>
      </catAx>
      <valAx>
        <axId val="1075142112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75141152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solidFill>
        <a:schemeClr val="bg2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5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 b="1"/>
              <a:t>Revenue</a:t>
            </a:r>
            <a:r>
              <a:rPr lang="en-US" sz="1500" b="1" baseline="0"/>
              <a:t xml:space="preserve"> &amp; Profitability Trend</a:t>
            </a:r>
            <a:endParaRPr lang="en-US" sz="1500" b="1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5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Revenue (Cr)</v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5"/>
            <invertIfNegative val="0"/>
            <bubble3D val="0"/>
            <spPr>
              <a:solidFill xmlns:a="http://schemas.openxmlformats.org/drawingml/2006/main">
                <a:srgbClr val="BF8F00"/>
              </a:solidFill>
              <a:ln xmlns:a="http://schemas.openxmlformats.org/drawingml/2006/main">
                <a:solidFill>
                  <a:srgbClr val="BF8F00"/>
                </a:solidFill>
                <a:prstDash val="solid"/>
              </a:ln>
            </spPr>
          </dPt>
          <dLbls>
            <dLbl>
              <idx val="0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-5400000" spcFirstLastPara="1" vertOverflow="ellipsis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5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'Graphical Representation'!$H$155:$W$156</f>
              <strCache>
                <ptCount val="6"/>
                <pt idx="0">
                  <v>FY22</v>
                </pt>
                <pt idx="1">
                  <v>FY23</v>
                </pt>
                <pt idx="2">
                  <v>FY24</v>
                </pt>
                <pt idx="3">
                  <v>FY25</v>
                </pt>
                <pt idx="4">
                  <v xml:space="preserve">FY26 </v>
                </pt>
                <pt idx="5">
                  <v>FY27 E</v>
                </pt>
              </strCache>
            </strRef>
          </cat>
          <val>
            <numRef>
              <f>'Graphical Representation'!$H$157:$W$157</f>
              <numCache>
                <formatCode>_(* #,##0.00_);_(* \(#,##0.00\);_(* "-"??_);_(@_)</formatCode>
                <ptCount val="6"/>
                <pt idx="0">
                  <v>288.2416</v>
                </pt>
                <pt idx="1">
                  <v>411.3381</v>
                </pt>
                <pt idx="2">
                  <v>550.3845</v>
                </pt>
                <pt idx="3">
                  <v>732.7860000000001</v>
                </pt>
                <pt idx="4">
                  <v>822.2877</v>
                </pt>
                <pt idx="5">
                  <v>896.0407503328895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1281743520"/>
        <axId val="1281741120"/>
      </barChart>
      <lineChart>
        <grouping val="standard"/>
        <varyColors val="0"/>
        <ser>
          <idx val="1"/>
          <order val="1"/>
          <tx>
            <v>EBITDA Margin (%)</v>
          </tx>
          <spPr>
            <a:ln xmlns:a="http://schemas.openxmlformats.org/drawingml/2006/main" w="28575" cap="rnd">
              <a:solidFill>
                <a:srgbClr val="C55A1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showLegendKey val="0"/>
              <showVal val="1"/>
              <showCatName val="0"/>
              <showSerName val="0"/>
              <showPercent val="0"/>
              <showBubbleSize val="0"/>
            </dLbl>
            <numFmt formatCode="0%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'Graphical Representation'!$H$155:$W$156</f>
              <strCache>
                <ptCount val="6"/>
                <pt idx="0">
                  <v>FY22</v>
                </pt>
                <pt idx="1">
                  <v>FY23</v>
                </pt>
                <pt idx="2">
                  <v>FY24</v>
                </pt>
                <pt idx="3">
                  <v>FY25</v>
                </pt>
                <pt idx="4">
                  <v xml:space="preserve">FY26 </v>
                </pt>
                <pt idx="5">
                  <v>FY27 E</v>
                </pt>
              </strCache>
            </strRef>
          </cat>
          <val>
            <numRef>
              <f>'Graphical Representation'!$H$178:$W$178</f>
              <numCache>
                <formatCode>0.0%</formatCode>
                <ptCount val="6"/>
                <pt idx="0">
                  <v>0.2427761988554047</v>
                </pt>
                <pt idx="1">
                  <v>0.2010630670973586</v>
                </pt>
                <pt idx="2">
                  <v>0.2302946394747671</v>
                </pt>
                <pt idx="3">
                  <v>0.2254737399459052</v>
                </pt>
                <pt idx="4">
                  <v>0.2118020250090084</v>
                </pt>
                <pt idx="5">
                  <v>0.212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281744000"/>
        <axId val="1281743040"/>
      </lineChart>
      <catAx>
        <axId val="12817435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281741120"/>
        <crosses val="autoZero"/>
        <auto val="1"/>
        <lblAlgn val="ctr"/>
        <lblOffset val="100"/>
        <noMultiLvlLbl val="0"/>
      </catAx>
      <valAx>
        <axId val="1281741120"/>
        <scaling>
          <orientation val="minMax"/>
          <min val="100"/>
        </scaling>
        <delete val="0"/>
        <axPos val="l"/>
        <numFmt formatCode="_(* #,##0_);_(* \(#,##0\);_(* &quot;-&quot;_);_(@_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281743520"/>
        <crosses val="autoZero"/>
        <crossBetween val="between"/>
        <majorUnit val="200"/>
      </valAx>
      <catAx>
        <axId val="128174400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281743040"/>
        <crosses val="autoZero"/>
        <auto val="1"/>
        <lblAlgn val="ctr"/>
        <lblOffset val="100"/>
        <noMultiLvlLbl val="0"/>
      </catAx>
      <valAx>
        <axId val="1281743040"/>
        <scaling>
          <orientation val="minMax"/>
        </scaling>
        <delete val="0"/>
        <axPos val="r"/>
        <numFmt formatCode="0%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281744000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15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0" strike="noStrike" kern="1200" spc="0" baseline="0" dirty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rPr>
              <a:t>Revenue Segment Mix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en-US" sz="1500" b="1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percentStacked"/>
        <varyColors val="0"/>
        <ser>
          <idx val="0"/>
          <order val="0"/>
          <tx>
            <strRef>
              <f>'Graphical Representation'!$B$161</f>
              <strCache>
                <ptCount val="1"/>
                <pt idx="0">
                  <v>Heat Exchangers</v>
                </pt>
              </strCache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'Graphical Representation'!$K$155:$Z$156</f>
              <strCache>
                <ptCount val="6"/>
                <pt idx="0">
                  <v>FY23</v>
                </pt>
                <pt idx="1">
                  <v>FY24</v>
                </pt>
                <pt idx="2">
                  <v>FY25</v>
                </pt>
                <pt idx="3">
                  <v xml:space="preserve">FY26 </v>
                </pt>
                <pt idx="4">
                  <v>FY27 E</v>
                </pt>
                <pt idx="5">
                  <v>FY28 E</v>
                </pt>
              </strCache>
            </strRef>
          </cat>
          <val>
            <numRef>
              <f>'Graphical Representation'!$K$161:$Z$161</f>
              <numCache>
                <formatCode>0.00</formatCode>
                <ptCount val="6"/>
                <pt idx="0">
                  <v>305.8</v>
                </pt>
                <pt idx="1">
                  <v>387.6</v>
                </pt>
                <pt idx="2">
                  <v>467.6</v>
                </pt>
                <pt idx="3">
                  <v>443.2</v>
                </pt>
                <pt idx="4">
                  <v>496.55745</v>
                </pt>
                <pt idx="5">
                  <v>500.7056725000001</v>
                </pt>
              </numCache>
            </numRef>
          </val>
        </ser>
        <ser>
          <idx val="1"/>
          <order val="1"/>
          <tx>
            <strRef>
              <f>'Graphical Representation'!$B$163</f>
              <strCache>
                <ptCount val="1"/>
                <pt idx="0">
                  <v>Vessels</v>
                </pt>
              </strCache>
            </strRef>
          </tx>
          <spPr>
            <a:solidFill xmlns:a="http://schemas.openxmlformats.org/drawingml/2006/main">
              <a:srgbClr val="BF8F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'Graphical Representation'!$K$155:$Z$156</f>
              <strCache>
                <ptCount val="6"/>
                <pt idx="0">
                  <v>FY23</v>
                </pt>
                <pt idx="1">
                  <v>FY24</v>
                </pt>
                <pt idx="2">
                  <v>FY25</v>
                </pt>
                <pt idx="3">
                  <v xml:space="preserve">FY26 </v>
                </pt>
                <pt idx="4">
                  <v>FY27 E</v>
                </pt>
                <pt idx="5">
                  <v>FY28 E</v>
                </pt>
              </strCache>
            </strRef>
          </cat>
          <val>
            <numRef>
              <f>'Graphical Representation'!$K$163:$Z$163</f>
              <numCache>
                <formatCode>0.00</formatCode>
                <ptCount val="6"/>
                <pt idx="0">
                  <v>44.5</v>
                </pt>
                <pt idx="1">
                  <v>71.5</v>
                </pt>
                <pt idx="2">
                  <v>130.5</v>
                </pt>
                <pt idx="3">
                  <v>267.1</v>
                </pt>
                <pt idx="4">
                  <v>268.733956391478</v>
                </pt>
                <pt idx="5">
                  <v>404.6753081668887</v>
                </pt>
              </numCache>
            </numRef>
          </val>
        </ser>
        <ser>
          <idx val="2"/>
          <order val="2"/>
          <tx>
            <strRef>
              <f>'Graphical Representation'!$B$165</f>
              <strCache>
                <ptCount val="1"/>
                <pt idx="0">
                  <v>Towers &amp; Reactors</v>
                </pt>
              </strCache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'Graphical Representation'!$K$155:$Z$156</f>
              <strCache>
                <ptCount val="6"/>
                <pt idx="0">
                  <v>FY23</v>
                </pt>
                <pt idx="1">
                  <v>FY24</v>
                </pt>
                <pt idx="2">
                  <v>FY25</v>
                </pt>
                <pt idx="3">
                  <v xml:space="preserve">FY26 </v>
                </pt>
                <pt idx="4">
                  <v>FY27 E</v>
                </pt>
                <pt idx="5">
                  <v>FY28 E</v>
                </pt>
              </strCache>
            </strRef>
          </cat>
          <val>
            <numRef>
              <f>'Graphical Representation'!$K$165:$Z$165</f>
              <numCache>
                <formatCode>0.00</formatCode>
                <ptCount val="6"/>
                <pt idx="0">
                  <v>30.6</v>
                </pt>
                <pt idx="1">
                  <v>49.7</v>
                </pt>
                <pt idx="2">
                  <v>94.90000000000001</v>
                </pt>
                <pt idx="3">
                  <v>49.9</v>
                </pt>
                <pt idx="4">
                  <v>56.25784394141147</v>
                </pt>
                <pt idx="5">
                  <v>40.17454110252996</v>
                </pt>
              </numCache>
            </numRef>
          </val>
        </ser>
        <ser>
          <idx val="3"/>
          <order val="3"/>
          <tx>
            <strRef>
              <f>'Graphical Representation'!$B$167</f>
              <strCache>
                <ptCount val="1"/>
                <pt idx="0">
                  <v>Tank &amp; Silos</v>
                </pt>
              </strCache>
            </strRef>
          </tx>
          <spPr>
            <a:solidFill xmlns:a="http://schemas.openxmlformats.org/drawingml/2006/main">
              <a:schemeClr val="bg1">
                <a:lumMod val="50000"/>
              </a:schemeClr>
            </a:solidFill>
            <a:ln xmlns:a="http://schemas.openxmlformats.org/drawingml/2006/main">
              <a:solidFill>
                <a:schemeClr val="bg1">
                  <a:lumMod val="50000"/>
                </a:schemeClr>
              </a:solidFill>
              <a:prstDash val="solid"/>
            </a:ln>
          </spPr>
          <invertIfNegative val="0"/>
          <cat>
            <strRef>
              <f>'Graphical Representation'!$K$155:$Z$156</f>
              <strCache>
                <ptCount val="6"/>
                <pt idx="0">
                  <v>FY23</v>
                </pt>
                <pt idx="1">
                  <v>FY24</v>
                </pt>
                <pt idx="2">
                  <v>FY25</v>
                </pt>
                <pt idx="3">
                  <v xml:space="preserve">FY26 </v>
                </pt>
                <pt idx="4">
                  <v>FY27 E</v>
                </pt>
                <pt idx="5">
                  <v>FY28 E</v>
                </pt>
              </strCache>
            </strRef>
          </cat>
          <val>
            <numRef>
              <f>'Graphical Representation'!$K$167:$Z$167</f>
              <numCache>
                <formatCode>0.00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26.3</v>
                </pt>
                <pt idx="4">
                  <v>35.57429999999999</v>
                </pt>
                <pt idx="5">
                  <v>80.54598200000001</v>
                </pt>
              </numCache>
            </numRef>
          </val>
        </ser>
        <ser>
          <idx val="4"/>
          <order val="4"/>
          <tx>
            <strRef>
              <f>'Graphical Representation'!$B$169</f>
              <strCache>
                <ptCount val="1"/>
                <pt idx="0">
                  <v>Centrifuge &amp; Others</v>
                </pt>
              </strCache>
            </strRef>
          </tx>
          <spPr>
            <a:solidFill xmlns:a="http://schemas.openxmlformats.org/drawingml/2006/main">
              <a:schemeClr val="tx1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cat>
            <strRef>
              <f>'Graphical Representation'!$K$155:$Z$156</f>
              <strCache>
                <ptCount val="6"/>
                <pt idx="0">
                  <v>FY23</v>
                </pt>
                <pt idx="1">
                  <v>FY24</v>
                </pt>
                <pt idx="2">
                  <v>FY25</v>
                </pt>
                <pt idx="3">
                  <v xml:space="preserve">FY26 </v>
                </pt>
                <pt idx="4">
                  <v>FY27 E</v>
                </pt>
                <pt idx="5">
                  <v>FY28 E</v>
                </pt>
              </strCache>
            </strRef>
          </cat>
          <val>
            <numRef>
              <f>'Graphical Representation'!$K$169:$Z$169</f>
              <numCache>
                <formatCode>0.00</formatCode>
                <ptCount val="6"/>
                <pt idx="0">
                  <v>30.3</v>
                </pt>
                <pt idx="1">
                  <v>41.7</v>
                </pt>
                <pt idx="2">
                  <v>15.3</v>
                </pt>
                <pt idx="3">
                  <v>35.8</v>
                </pt>
                <pt idx="4">
                  <v>38.9172</v>
                </pt>
                <pt idx="5">
                  <v>53.77876666666667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302730751"/>
        <axId val="1302731231"/>
      </barChart>
      <catAx>
        <axId val="130273075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02731231"/>
        <crosses val="autoZero"/>
        <auto val="1"/>
        <lblAlgn val="ctr"/>
        <lblOffset val="100"/>
        <noMultiLvlLbl val="0"/>
      </catAx>
      <valAx>
        <axId val="1302731231"/>
        <scaling>
          <orientation val="minMax"/>
        </scaling>
        <delete val="0"/>
        <axPos val="l"/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0273075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 algn="ctr" rtl="0">
              <a:defRPr lang="en-US" sz="15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rPr>
              <a:t>Order Book &amp; Inflow Trend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algn="ctr" rtl="0">
            <a:defRPr lang="en-US" sz="1500" b="1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Order Book (Cr)</v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solidFill>
                <a:schemeClr val="accent3"/>
              </a:solidFill>
              <a:prstDash val="solid"/>
            </a:ln>
          </spPr>
          <invertIfNegative val="0"/>
          <dLbls>
            <numFmt formatCode="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-5400000" spcFirstLastPara="1" vertOverflow="ellipsis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'Graphical Representation'!$K$155:$Z$156</f>
              <strCache>
                <ptCount val="6"/>
                <pt idx="0">
                  <v>FY23</v>
                </pt>
                <pt idx="1">
                  <v>FY24</v>
                </pt>
                <pt idx="2">
                  <v>FY25</v>
                </pt>
                <pt idx="3">
                  <v xml:space="preserve">FY26 </v>
                </pt>
                <pt idx="4">
                  <v>FY27 E</v>
                </pt>
                <pt idx="5">
                  <v>FY28 E</v>
                </pt>
              </strCache>
            </strRef>
          </cat>
          <val>
            <numRef>
              <f>'Graphical Representation'!$K$172:$Z$172</f>
              <numCache>
                <formatCode>0.00</formatCode>
                <ptCount val="6"/>
                <pt idx="0">
                  <v>530</v>
                </pt>
                <pt idx="1">
                  <v>854.1</v>
                </pt>
                <pt idx="2">
                  <v>741.3000000000001</v>
                </pt>
                <pt idx="3">
                  <v>768.9000000000001</v>
                </pt>
                <pt idx="4">
                  <v>792.7621249445185</v>
                </pt>
                <pt idx="5">
                  <v>691.4774683832667</v>
                </pt>
              </numCache>
            </numRef>
          </val>
        </ser>
        <ser>
          <idx val="1"/>
          <order val="1"/>
          <tx>
            <v>Order Inflow (Cr)</v>
          </tx>
          <spPr>
            <a:solidFill xmlns:a="http://schemas.openxmlformats.org/drawingml/2006/main">
              <a:srgbClr val="BF8F00"/>
            </a:solidFill>
            <a:ln xmlns:a="http://schemas.openxmlformats.org/drawingml/2006/main">
              <a:solidFill>
                <a:srgbClr val="BF8F00"/>
              </a:solidFill>
              <a:prstDash val="solid"/>
            </a:ln>
          </spPr>
          <invertIfNegative val="0"/>
          <dLbls>
            <numFmt formatCode="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-5400000" spcFirstLastPara="1" vertOverflow="ellipsis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'Graphical Representation'!$K$155:$Z$156</f>
              <strCache>
                <ptCount val="6"/>
                <pt idx="0">
                  <v>FY23</v>
                </pt>
                <pt idx="1">
                  <v>FY24</v>
                </pt>
                <pt idx="2">
                  <v>FY25</v>
                </pt>
                <pt idx="3">
                  <v xml:space="preserve">FY26 </v>
                </pt>
                <pt idx="4">
                  <v>FY27 E</v>
                </pt>
                <pt idx="5">
                  <v>FY28 E</v>
                </pt>
              </strCache>
            </strRef>
          </cat>
          <val>
            <numRef>
              <f>'Graphical Representation'!$K$173:$Z$173</f>
              <numCache>
                <formatCode>0.00</formatCode>
                <ptCount val="6"/>
                <pt idx="0">
                  <v>547.9</v>
                </pt>
                <pt idx="1">
                  <v>874.6</v>
                </pt>
                <pt idx="2">
                  <v>595.4999999999999</v>
                </pt>
                <pt idx="3">
                  <v>849.9000000000001</v>
                </pt>
                <pt idx="4">
                  <v>919.902875277408</v>
                </pt>
                <pt idx="5">
                  <v>978.5956138748336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65698559"/>
        <axId val="1365699519"/>
      </barChart>
      <lineChart>
        <grouping val="standard"/>
        <varyColors val="0"/>
        <ser>
          <idx val="2"/>
          <order val="2"/>
          <tx>
            <v>Order Book to Bill ratio</v>
          </tx>
          <spPr>
            <a:ln xmlns:a="http://schemas.openxmlformats.org/drawingml/2006/main" w="28575" cap="rnd">
              <a:solidFill>
                <a:srgbClr val="C55A1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showLegendKey val="0"/>
              <showVal val="1"/>
              <showCatName val="0"/>
              <showSerName val="0"/>
              <showPercent val="0"/>
              <showBubbleSize val="0"/>
            </dLbl>
            <numFmt formatCode="0.00&quot;x&quot;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'Graphical Representation'!$K$155:$Z$156</f>
              <strCache>
                <ptCount val="6"/>
                <pt idx="0">
                  <v>FY23</v>
                </pt>
                <pt idx="1">
                  <v>FY24</v>
                </pt>
                <pt idx="2">
                  <v>FY25</v>
                </pt>
                <pt idx="3">
                  <v xml:space="preserve">FY26 </v>
                </pt>
                <pt idx="4">
                  <v>FY27 E</v>
                </pt>
                <pt idx="5">
                  <v>FY28 E</v>
                </pt>
              </strCache>
            </strRef>
          </cat>
          <val>
            <numRef>
              <f>'Graphical Representation'!$K$174:$Z$174</f>
              <numCache>
                <formatCode>0.00</formatCode>
                <ptCount val="6"/>
                <pt idx="0">
                  <v>1.288477775338584</v>
                </pt>
                <pt idx="1">
                  <v>1.551824224701095</v>
                </pt>
                <pt idx="2">
                  <v>1.0116186717541</v>
                </pt>
                <pt idx="3">
                  <v>0.9350741838896534</v>
                </pt>
                <pt idx="4">
                  <v>0.8847389191283971</v>
                </pt>
                <pt idx="5">
                  <v>0.6403279023738706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051044928"/>
        <axId val="2051043008"/>
      </lineChart>
      <catAx>
        <axId val="136569855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65699519"/>
        <crosses val="autoZero"/>
        <auto val="1"/>
        <lblAlgn val="ctr"/>
        <lblOffset val="100"/>
        <noMultiLvlLbl val="0"/>
      </catAx>
      <valAx>
        <axId val="1365699519"/>
        <scaling>
          <orientation val="minMax"/>
        </scaling>
        <delete val="0"/>
        <axPos val="l"/>
        <numFmt formatCode="0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65698559"/>
        <crosses val="autoZero"/>
        <crossBetween val="between"/>
      </valAx>
      <catAx>
        <axId val="2051044928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2051043008"/>
        <crosses val="autoZero"/>
        <auto val="1"/>
        <lblAlgn val="ctr"/>
        <lblOffset val="100"/>
        <noMultiLvlLbl val="0"/>
      </catAx>
      <valAx>
        <axId val="2051043008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51044928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 algn="ctr" rtl="0">
              <a:defRPr lang="en-US" sz="15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rPr>
              <a:t>CMP vs P/E Trend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algn="ctr" rtl="0">
            <a:defRPr lang="en-US" sz="1500" b="1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'Graphical Representation'!$B$188</f>
              <strCache>
                <ptCount val="1"/>
                <pt idx="0">
                  <v>CMP</v>
                </pt>
              </strCache>
            </strRef>
          </tx>
          <spPr>
            <a:ln xmlns:a="http://schemas.openxmlformats.org/drawingml/2006/main" w="28575" cap="rnd">
              <a:solidFill>
                <a:srgbClr val="BF8F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'Graphical Representation'!$H$155:$T$156</f>
              <strCache>
                <ptCount val="5"/>
                <pt idx="0">
                  <v>FY22</v>
                </pt>
                <pt idx="1">
                  <v>FY23</v>
                </pt>
                <pt idx="2">
                  <v>FY24</v>
                </pt>
                <pt idx="3">
                  <v>FY25</v>
                </pt>
                <pt idx="4">
                  <v xml:space="preserve">FY26 </v>
                </pt>
              </strCache>
            </strRef>
          </cat>
          <val>
            <numRef>
              <f>'Graphical Representation'!$H$188:$T$188</f>
              <numCache>
                <formatCode>0.00</formatCode>
                <ptCount val="5"/>
                <pt idx="0">
                  <v>400.45</v>
                </pt>
                <pt idx="1">
                  <v>699.45</v>
                </pt>
                <pt idx="2">
                  <v>1949.25</v>
                </pt>
                <pt idx="3">
                  <v>2991.2</v>
                </pt>
                <pt idx="4">
                  <v>1840.1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91439376"/>
        <axId val="1191439856"/>
      </lineChart>
      <lineChart>
        <grouping val="standard"/>
        <varyColors val="0"/>
        <ser>
          <idx val="2"/>
          <order val="2"/>
          <tx>
            <strRef>
              <f>'Graphical Representation'!$B$187</f>
              <strCache>
                <ptCount val="1"/>
                <pt idx="0">
                  <v>PE ratio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'Graphical Representation'!$H$155:$T$156</f>
              <strCache>
                <ptCount val="5"/>
                <pt idx="0">
                  <v>FY22</v>
                </pt>
                <pt idx="1">
                  <v>FY23</v>
                </pt>
                <pt idx="2">
                  <v>FY24</v>
                </pt>
                <pt idx="3">
                  <v>FY25</v>
                </pt>
                <pt idx="4">
                  <v xml:space="preserve">FY26 </v>
                </pt>
              </strCache>
            </strRef>
          </cat>
          <val>
            <numRef>
              <f>'Graphical Representation'!$H$187:$T$187</f>
              <numCache>
                <formatCode>0.00</formatCode>
                <ptCount val="5"/>
                <pt idx="0">
                  <v>12.90803089708385</v>
                </pt>
                <pt idx="1">
                  <v>27.2034777853393</v>
                </pt>
                <pt idx="2">
                  <v>37.68047656438755</v>
                </pt>
                <pt idx="3">
                  <v>50.63558718440066</v>
                </pt>
                <pt idx="4">
                  <v>33.3899463640613</v>
                </pt>
              </numCache>
            </numRef>
          </val>
          <smooth val="0"/>
        </ser>
        <ser>
          <idx val="3"/>
          <order val="3"/>
          <tx>
            <strRef>
              <f>'Graphical Representation'!$B$186</f>
              <strCache>
                <ptCount val="1"/>
                <pt idx="0">
                  <v>EPS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'Graphical Representation'!$H$155:$T$156</f>
              <strCache>
                <ptCount val="5"/>
                <pt idx="0">
                  <v>FY22</v>
                </pt>
                <pt idx="1">
                  <v>FY23</v>
                </pt>
                <pt idx="2">
                  <v>FY24</v>
                </pt>
                <pt idx="3">
                  <v>FY25</v>
                </pt>
                <pt idx="4">
                  <v xml:space="preserve">FY26 </v>
                </pt>
              </strCache>
            </strRef>
          </cat>
          <val>
            <numRef>
              <f>'Graphical Representation'!$H$186:$T$186</f>
              <numCache>
                <formatCode>0.00</formatCode>
                <ptCount val="5"/>
                <pt idx="0">
                  <v>31.02332208473941</v>
                </pt>
                <pt idx="1">
                  <v>25.71178602674665</v>
                </pt>
                <pt idx="2">
                  <v>51.73103362079737</v>
                </pt>
                <pt idx="3">
                  <v>59.07307817142291</v>
                </pt>
                <pt idx="4">
                  <v>55.10940269076204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23979711"/>
        <axId val="1423994111"/>
      </lineChart>
      <catAx>
        <axId val="11914393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91439856"/>
        <crosses val="autoZero"/>
        <auto val="1"/>
        <lblAlgn val="ctr"/>
        <lblOffset val="100"/>
        <noMultiLvlLbl val="0"/>
      </catAx>
      <valAx>
        <axId val="1191439856"/>
        <scaling>
          <orientation val="minMax"/>
        </scaling>
        <delete val="0"/>
        <axPos val="l"/>
        <numFmt formatCode="#,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91439376"/>
        <crosses val="autoZero"/>
        <crossBetween val="between"/>
      </valAx>
      <catAx>
        <axId val="1423979711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423994111"/>
        <crosses val="autoZero"/>
        <auto val="1"/>
        <lblAlgn val="ctr"/>
        <lblOffset val="100"/>
        <noMultiLvlLbl val="0"/>
      </catAx>
      <valAx>
        <axId val="1423994111"/>
        <scaling>
          <orientation val="minMax"/>
        </scaling>
        <delete val="0"/>
        <axPos val="r"/>
        <numFmt formatCode="0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423979711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 algn="ctr" rtl="0">
              <a:defRPr lang="en-US" sz="15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rPr>
              <a:t>Revenue Mix- Domestic, Export &amp; DE/SEZ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algn="ctr" rtl="0">
            <a:defRPr lang="en-US" sz="1500" b="1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percentStacked"/>
        <varyColors val="0"/>
        <ser>
          <idx val="0"/>
          <order val="0"/>
          <tx>
            <v>Export (Cr)</v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'Graphical Representation'!$H$155:$Z$156</f>
              <strCache>
                <ptCount val="7"/>
                <pt idx="0">
                  <v>FY22</v>
                </pt>
                <pt idx="1">
                  <v>FY23</v>
                </pt>
                <pt idx="2">
                  <v>FY24</v>
                </pt>
                <pt idx="3">
                  <v>FY25</v>
                </pt>
                <pt idx="4">
                  <v xml:space="preserve">FY26 </v>
                </pt>
                <pt idx="5">
                  <v>FY27 E</v>
                </pt>
                <pt idx="6">
                  <v>FY28 E</v>
                </pt>
              </strCache>
            </strRef>
          </cat>
          <val>
            <numRef>
              <f>'Graphical Representation'!$H$195:$Z$195</f>
              <numCache>
                <formatCode>0.00</formatCode>
                <ptCount val="7"/>
                <pt idx="0">
                  <v>27.5</v>
                </pt>
                <pt idx="1">
                  <v>78.7</v>
                </pt>
                <pt idx="2">
                  <v>171.8</v>
                </pt>
                <pt idx="3">
                  <v>380.2</v>
                </pt>
                <pt idx="4">
                  <v>395.1</v>
                </pt>
                <pt idx="5">
                  <v>206.489129629408</v>
                </pt>
                <pt idx="6">
                  <v>248.8542368898692</v>
                </pt>
              </numCache>
            </numRef>
          </val>
        </ser>
        <ser>
          <idx val="1"/>
          <order val="1"/>
          <tx>
            <v>Domestic (Cr)</v>
          </tx>
          <spPr>
            <a:solidFill xmlns:a="http://schemas.openxmlformats.org/drawingml/2006/main">
              <a:srgbClr val="BF8F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'Graphical Representation'!$H$155:$Z$156</f>
              <strCache>
                <ptCount val="7"/>
                <pt idx="0">
                  <v>FY22</v>
                </pt>
                <pt idx="1">
                  <v>FY23</v>
                </pt>
                <pt idx="2">
                  <v>FY24</v>
                </pt>
                <pt idx="3">
                  <v>FY25</v>
                </pt>
                <pt idx="4">
                  <v xml:space="preserve">FY26 </v>
                </pt>
                <pt idx="5">
                  <v>FY27 E</v>
                </pt>
                <pt idx="6">
                  <v>FY28 E</v>
                </pt>
              </strCache>
            </strRef>
          </cat>
          <val>
            <numRef>
              <f>'Graphical Representation'!$H$196:$Z$196</f>
              <numCache>
                <formatCode>0.00</formatCode>
                <ptCount val="7"/>
                <pt idx="0">
                  <v>260.7</v>
                </pt>
                <pt idx="1">
                  <v>332.6</v>
                </pt>
                <pt idx="2">
                  <v>325.6</v>
                </pt>
                <pt idx="3">
                  <v>265</v>
                </pt>
                <pt idx="4">
                  <v>396.7</v>
                </pt>
                <pt idx="5">
                  <v>528.6640426964049</v>
                </pt>
                <pt idx="6">
                  <v>637.1293595572904</v>
                </pt>
              </numCache>
            </numRef>
          </val>
        </ser>
        <ser>
          <idx val="2"/>
          <order val="2"/>
          <tx>
            <v>DE/SEZ (Cr)</v>
          </tx>
          <spPr>
            <a:solidFill xmlns:a="http://schemas.openxmlformats.org/drawingml/2006/main">
              <a:srgbClr val="37562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'Graphical Representation'!$H$155:$Z$156</f>
              <strCache>
                <ptCount val="7"/>
                <pt idx="0">
                  <v>FY22</v>
                </pt>
                <pt idx="1">
                  <v>FY23</v>
                </pt>
                <pt idx="2">
                  <v>FY24</v>
                </pt>
                <pt idx="3">
                  <v>FY25</v>
                </pt>
                <pt idx="4">
                  <v xml:space="preserve">FY26 </v>
                </pt>
                <pt idx="5">
                  <v>FY27 E</v>
                </pt>
                <pt idx="6">
                  <v>FY28 E</v>
                </pt>
              </strCache>
            </strRef>
          </cat>
          <val>
            <numRef>
              <f>'Graphical Representation'!$H$197:$Z$197</f>
              <numCache>
                <formatCode>0.00</formatCode>
                <ptCount val="7"/>
                <pt idx="0">
                  <v>0</v>
                </pt>
                <pt idx="1">
                  <v>0</v>
                </pt>
                <pt idx="2">
                  <v>53</v>
                </pt>
                <pt idx="3">
                  <v>63.1</v>
                </pt>
                <pt idx="4">
                  <v>30.5</v>
                </pt>
                <pt idx="5">
                  <v>26.88122250998671</v>
                </pt>
                <pt idx="6">
                  <v>32.39640811308259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671294688"/>
        <axId val="1671296608"/>
      </barChart>
      <catAx>
        <axId val="16712946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71296608"/>
        <crosses val="autoZero"/>
        <auto val="1"/>
        <lblAlgn val="ctr"/>
        <lblOffset val="100"/>
        <noMultiLvlLbl val="0"/>
      </catAx>
      <valAx>
        <axId val="1671296608"/>
        <scaling>
          <orientation val="minMax"/>
        </scaling>
        <delete val="0"/>
        <axPos val="l"/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7129468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 algn="ctr" rtl="0">
              <a:defRPr lang="en-US" sz="15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rPr>
              <a:t>PAT &amp; EPS Trend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algn="ctr" rtl="0">
            <a:defRPr lang="en-US" sz="1500" b="1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1"/>
          <order val="0"/>
          <tx>
            <v>PAT</v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solidFill>
                <a:srgbClr val="1F4E79"/>
              </a:solidFill>
              <a:prstDash val="solid"/>
            </a:ln>
          </spPr>
          <invertIfNegative val="0"/>
          <dLbls>
            <numFmt formatCode="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'Graphical Representation'!$E$155:$T$155</f>
              <strCache>
                <ptCount val="6"/>
                <pt idx="0">
                  <v>FY21</v>
                </pt>
                <pt idx="1">
                  <v>FY22</v>
                </pt>
                <pt idx="2">
                  <v>FY23</v>
                </pt>
                <pt idx="3">
                  <v>FY24</v>
                </pt>
                <pt idx="4">
                  <v>FY25</v>
                </pt>
                <pt idx="5">
                  <v xml:space="preserve">FY26 </v>
                </pt>
              </strCache>
            </strRef>
          </cat>
          <val>
            <numRef>
              <f>'Graphical Representation'!$E$183:$T$183</f>
              <numCache>
                <formatCode>0.00</formatCode>
                <ptCount val="6"/>
                <pt idx="0">
                  <v>53.52320000000002</v>
                </pt>
                <pt idx="1">
                  <v>62.05440000000002</v>
                </pt>
                <pt idx="2">
                  <v>51.43</v>
                </pt>
                <pt idx="3">
                  <v>103.475</v>
                </pt>
                <pt idx="4">
                  <v>118.3027000000001</v>
                </pt>
                <pt idx="5">
                  <v>110.3924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1318921728"/>
        <axId val="1318920288"/>
      </barChart>
      <lineChart>
        <grouping val="standard"/>
        <varyColors val="0"/>
        <ser>
          <idx val="2"/>
          <order val="1"/>
          <tx>
            <v>EPS</v>
          </tx>
          <spPr>
            <a:ln xmlns:a="http://schemas.openxmlformats.org/drawingml/2006/main" w="28575" cap="rnd">
              <a:solidFill>
                <a:srgbClr val="C55A1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showLegendKey val="0"/>
              <showVal val="1"/>
              <showCatName val="0"/>
              <showSerName val="0"/>
              <showPercent val="0"/>
              <showBubbleSize val="0"/>
            </dLbl>
            <numFmt formatCode="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'Graphical Representation'!$E$155:$T$155</f>
              <strCache>
                <ptCount val="6"/>
                <pt idx="0">
                  <v>FY21</v>
                </pt>
                <pt idx="1">
                  <v>FY22</v>
                </pt>
                <pt idx="2">
                  <v>FY23</v>
                </pt>
                <pt idx="3">
                  <v>FY24</v>
                </pt>
                <pt idx="4">
                  <v>FY25</v>
                </pt>
                <pt idx="5">
                  <v xml:space="preserve">FY26 </v>
                </pt>
              </strCache>
            </strRef>
          </cat>
          <val>
            <numRef>
              <f>'Graphical Representation'!$E$186:$T$186</f>
              <numCache>
                <formatCode>0.00</formatCode>
                <ptCount val="6"/>
                <pt idx="0">
                  <v>26.75825521809774</v>
                </pt>
                <pt idx="1">
                  <v>31.02332208473941</v>
                </pt>
                <pt idx="2">
                  <v>25.71178602674665</v>
                </pt>
                <pt idx="3">
                  <v>51.73103362079737</v>
                </pt>
                <pt idx="4">
                  <v>59.07307817142291</v>
                </pt>
                <pt idx="5">
                  <v>55.10940269076204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318921728"/>
        <axId val="1318920288"/>
      </lineChart>
      <catAx>
        <axId val="1318921728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18920288"/>
        <crosses val="autoZero"/>
        <auto val="1"/>
        <lblAlgn val="ctr"/>
        <lblOffset val="100"/>
        <noMultiLvlLbl val="0"/>
      </catAx>
      <valAx>
        <axId val="1318920288"/>
        <scaling>
          <orientation val="minMax"/>
        </scaling>
        <delete val="0"/>
        <axPos val="l"/>
        <numFmt formatCode="0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1892172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 algn="ctr" rtl="0">
              <a:defRPr lang="en-US" sz="15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rPr>
              <a:t>EV/EBITDA Vs EBITDA Margin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algn="ctr" rtl="0">
            <a:defRPr lang="en-US" sz="1500" b="1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'Graphical Representation'!$Q$220:$Q$225</f>
              <numCache>
                <formatCode>_(* #,##0.00_);_(* \(#,##0.00\);_(* "-"??_);_(@_)</formatCode>
                <ptCount val="6"/>
                <pt idx="0">
                  <v>13.13902475077965</v>
                </pt>
                <pt idx="1">
                  <v>41.44578131228448</v>
                </pt>
                <pt idx="2">
                  <v>9.150280661666089</v>
                </pt>
                <pt idx="3">
                  <v>54.54783837793052</v>
                </pt>
                <pt idx="4">
                  <v>9.173934323596511</v>
                </pt>
                <pt idx="5">
                  <v>22.53139411135138</v>
                </pt>
              </numCache>
            </numRef>
          </xVal>
          <yVal>
            <numRef>
              <f>'Graphical Representation'!$R$220:$R$225</f>
            </numRef>
          </yVal>
          <smooth val="0"/>
        </ser>
        <ser>
          <idx val="1"/>
          <order val="1"/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xVal>
            <numRef>
              <f>'Graphical Representation'!$Q$220:$Q$225</f>
              <numCache>
                <formatCode>_(* #,##0.00_);_(* \(#,##0.00\);_(* "-"??_);_(@_)</formatCode>
                <ptCount val="6"/>
                <pt idx="0">
                  <v>13.13902475077965</v>
                </pt>
                <pt idx="1">
                  <v>41.44578131228448</v>
                </pt>
                <pt idx="2">
                  <v>9.150280661666089</v>
                </pt>
                <pt idx="3">
                  <v>54.54783837793052</v>
                </pt>
                <pt idx="4">
                  <v>9.173934323596511</v>
                </pt>
                <pt idx="5">
                  <v>22.53139411135138</v>
                </pt>
              </numCache>
            </numRef>
          </xVal>
          <yVal>
            <numRef>
              <f>'Graphical Representation'!$S$220:$S$225</f>
            </numRef>
          </yVal>
          <smooth val="0"/>
        </ser>
        <ser>
          <idx val="2"/>
          <order val="2"/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10"/>
            <spPr>
              <a:solidFill xmlns:a="http://schemas.openxmlformats.org/drawingml/2006/main">
                <a:srgbClr val="BF8F00"/>
              </a:solidFill>
              <a:ln xmlns:a="http://schemas.openxmlformats.org/drawingml/2006/main" w="9525">
                <a:noFill/>
                <a:prstDash val="solid"/>
              </a:ln>
            </spPr>
          </marker>
          <dPt>
            <idx val="3"/>
            <marker>
              <symbol val="circle"/>
              <size val="10"/>
              <spPr>
                <a:solidFill xmlns:a="http://schemas.openxmlformats.org/drawingml/2006/main">
                  <a:srgbClr val="C00000"/>
                </a:solidFill>
                <a:ln xmlns:a="http://schemas.openxmlformats.org/drawingml/2006/main" w="9525">
                  <a:noFill/>
                  <a:prstDash val="solid"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dLbls>
            <dLbl>
              <idx val="0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0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0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xVal>
            <numRef>
              <f>('Graphical Representation'!$T$220,'Graphical Representation'!$T$222,'Graphical Representation'!$T$224,'Graphical Representation'!$T$225)</f>
              <numCache>
                <formatCode>0.0%</formatCode>
                <ptCount val="4"/>
                <pt idx="0">
                  <v>0.08170699015798488</v>
                </pt>
                <pt idx="1">
                  <v>0.1142527965856399</v>
                </pt>
                <pt idx="2">
                  <v>0.09219929096324068</v>
                </pt>
                <pt idx="3">
                  <v>0.2118020250090084</v>
                </pt>
              </numCache>
            </numRef>
          </xVal>
          <yVal>
            <numRef>
              <f>('Graphical Representation'!$Q$220,'Graphical Representation'!$Q$222,'Graphical Representation'!$Q$224,'Graphical Representation'!$Q$225)</f>
              <numCache>
                <formatCode>_(* #,##0.00_);_(* \(#,##0.00\);_(* "-"??_);_(@_)</formatCode>
                <ptCount val="4"/>
                <pt idx="0">
                  <v>13.13902475077965</v>
                </pt>
                <pt idx="1">
                  <v>9.150280661666089</v>
                </pt>
                <pt idx="2">
                  <v>9.173934323596511</v>
                </pt>
                <pt idx="3">
                  <v>22.53139411135138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441619392"/>
        <axId val="1441615552"/>
      </scatterChart>
      <valAx>
        <axId val="1441619392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1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EBITDA</a:t>
                </a:r>
                <a:r>
                  <a:rPr lang="en-US" sz="1100" b="1" baseline="0"/>
                  <a:t xml:space="preserve"> Margin</a:t>
                </a:r>
                <a:endParaRPr lang="en-US" sz="11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1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0%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441615552"/>
        <crosses val="autoZero"/>
        <crossBetween val="midCat"/>
      </valAx>
      <valAx>
        <axId val="1441615552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1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EV/EBITDA</a:t>
                </a:r>
                <a:r>
                  <a:rPr lang="en-US" sz="1100" b="1" baseline="0"/>
                  <a:t xml:space="preserve"> (FY26)</a:t>
                </a:r>
                <a:endParaRPr lang="en-US" sz="1100" b="1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1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_(* #,##0_);_(* \(#,##0\);_(* &quot;-&quot;_);_(@_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441619392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 algn="ctr" rtl="0">
              <a:defRPr lang="en-US" sz="15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rPr>
              <a:t>Valuation Football Field (₹ Per Share)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algn="ctr" rtl="0">
            <a:defRPr lang="en-US" sz="1500" b="1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stacked"/>
        <varyColors val="0"/>
        <ser>
          <idx val="0"/>
          <order val="0"/>
          <tx>
            <strRef>
              <f>'Graphical Representation'!$H$227</f>
              <strCache>
                <ptCount val="1"/>
                <pt idx="0">
                  <v>Min</v>
                </pt>
              </strCache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'Graphical Representation'!$B$228:$B$231</f>
              <strCache>
                <ptCount val="4"/>
                <pt idx="0">
                  <v>DCF</v>
                </pt>
                <pt idx="1">
                  <v>EV/EBITDA Implied</v>
                </pt>
                <pt idx="2">
                  <v>EV/EBITDA Peer Implied</v>
                </pt>
                <pt idx="3">
                  <v>P/E Implied</v>
                </pt>
              </strCache>
            </strRef>
          </cat>
          <val>
            <numRef>
              <f>'Graphical Representation'!$H$228:$H$230</f>
              <numCache>
                <formatCode>0.00</formatCode>
                <ptCount val="3"/>
                <pt idx="0">
                  <v>1199.091625161244</v>
                </pt>
                <pt idx="1">
                  <v>504.266501717249</v>
                </pt>
                <pt idx="2">
                  <v>748.0402918669203</v>
                </pt>
              </numCache>
            </numRef>
          </val>
        </ser>
        <ser>
          <idx val="1"/>
          <order val="1"/>
          <tx>
            <strRef>
              <f>'Graphical Representation'!$K$227</f>
              <strCache>
                <ptCount val="1"/>
                <pt idx="0">
                  <v>Range</v>
                </pt>
              </strCache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'Graphical Representation'!$B$228:$B$231</f>
              <strCache>
                <ptCount val="4"/>
                <pt idx="0">
                  <v>DCF</v>
                </pt>
                <pt idx="1">
                  <v>EV/EBITDA Implied</v>
                </pt>
                <pt idx="2">
                  <v>EV/EBITDA Peer Implied</v>
                </pt>
                <pt idx="3">
                  <v>P/E Implied</v>
                </pt>
              </strCache>
            </strRef>
          </cat>
          <val>
            <numRef>
              <f>'Graphical Representation'!$K$228:$K$230</f>
              <numCache>
                <formatCode>0.00</formatCode>
                <ptCount val="3"/>
                <pt idx="0">
                  <v>741.2121339661292</v>
                </pt>
                <pt idx="1">
                  <v>1779.785750454696</v>
                </pt>
                <pt idx="2">
                  <v>2807.90527090489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238284528"/>
        <axId val="1238279248"/>
      </barChart>
      <scatterChart>
        <scatterStyle val="lineMarker"/>
        <varyColors val="0"/>
        <ser>
          <idx val="2"/>
          <order val="2"/>
          <tx>
            <v>CMP</v>
          </tx>
          <spPr>
            <a:ln xmlns:a="http://schemas.openxmlformats.org/drawingml/2006/main" w="28575" cap="rnd">
              <a:solidFill>
                <a:srgbClr val="C0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</dLbl>
            <dLbl>
              <idx val="1"/>
            </dLbl>
            <dLbl>
              <idx val="2"/>
              <showLegendKey val="0"/>
              <showVal val="0"/>
              <showCatName val="1"/>
              <showSerName val="0"/>
              <showPercent val="0"/>
              <showBubbleSize val="0"/>
            </dLbl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100" b="1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1"/>
            <showSerName val="0"/>
            <showPercent val="0"/>
            <showBubbleSize val="0"/>
            <showLeaderLines val="0"/>
          </dLbls>
          <xVal>
            <numLit>
              <formatCode>General</formatCode>
              <ptCount val="3"/>
              <pt idx="0">
                <v>1911</v>
              </pt>
              <pt idx="1">
                <v>1911</v>
              </pt>
              <pt idx="2">
                <v>1911</v>
              </pt>
            </numLit>
          </xVal>
          <yVal>
            <numLit>
              <formatCode>General</formatCode>
              <ptCount val="3"/>
              <pt idx="0">
                <v>0</v>
              </pt>
              <pt idx="1">
                <v>1</v>
              </pt>
              <pt idx="2">
                <v>2</v>
              </pt>
            </numLit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54718784"/>
        <axId val="1254726944"/>
      </scatterChart>
      <catAx>
        <axId val="123828452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238279248"/>
        <crosses val="autoZero"/>
        <auto val="1"/>
        <lblAlgn val="ctr"/>
        <lblOffset val="100"/>
        <noMultiLvlLbl val="0"/>
      </catAx>
      <valAx>
        <axId val="1238279248"/>
        <scaling>
          <orientation val="minMax"/>
        </scaling>
        <delete val="0"/>
        <axPos val="b"/>
        <numFmt formatCode="#,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238284528"/>
        <crosses val="autoZero"/>
        <crossBetween val="between"/>
      </valAx>
      <valAx>
        <axId val="1254718784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254726944"/>
        <crosses val="autoZero"/>
        <crossBetween val="midCat"/>
      </valAx>
      <valAx>
        <axId val="1254726944"/>
        <scaling>
          <orientation val="minMax"/>
        </scaling>
        <delete val="0"/>
        <axPos val="r"/>
        <numFmt formatCode="#,##0" sourceLinked="0"/>
        <majorTickMark val="out"/>
        <minorTickMark val="none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254718784"/>
        <crosses val="max"/>
        <crossBetween val="midCat"/>
      </valAx>
    </plotArea>
    <legend>
      <legendPos val="b"/>
      <legendEntry>
        <idx val="0"/>
        <delete val="1"/>
      </legendEntry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 algn="ctr" rtl="0">
              <a:defRPr lang="en-US" sz="15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rPr>
              <a:t>Stress Test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algn="ctr" rtl="0">
            <a:defRPr lang="en-US" sz="1500" b="1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rgbClr val="BF8F00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'Graphical Representation'!$B$207:$B$209</f>
              <strCache>
                <ptCount val="3"/>
                <pt idx="0">
                  <v>Base Case</v>
                </pt>
                <pt idx="1">
                  <v>Moderate Case</v>
                </pt>
                <pt idx="2">
                  <v>Severe Case</v>
                </pt>
              </strCache>
            </strRef>
          </cat>
          <val>
            <numRef>
              <f>'Graphical Representation'!$W$207:$W$209</f>
              <numCache>
                <formatCode>0.00</formatCode>
                <ptCount val="3"/>
                <pt idx="0">
                  <v>896.0407503328895</v>
                </pt>
                <pt idx="1">
                  <v>860.2887243946072</v>
                </pt>
                <pt idx="2">
                  <v>786.230956379594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14881904"/>
        <axId val="1714876624"/>
      </barChart>
      <catAx>
        <axId val="171488190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14876624"/>
        <crosses val="autoZero"/>
        <auto val="1"/>
        <lblAlgn val="ctr"/>
        <lblOffset val="100"/>
        <noMultiLvlLbl val="0"/>
      </catAx>
      <valAx>
        <axId val="1714876624"/>
        <scaling>
          <orientation val="minMax"/>
        </scaling>
        <delete val="0"/>
        <axPos val="l"/>
        <numFmt formatCode="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14881904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 algn="ctr" rtl="0">
              <a:defRPr lang="en-US" sz="15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rPr>
              <a:t>Return Ratios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algn="ctr" rtl="0">
            <a:defRPr lang="en-US" sz="1500" b="1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'Graphical Representation'!$E$155:$T$155</f>
              <strCache>
                <ptCount val="6"/>
                <pt idx="0">
                  <v>FY21</v>
                </pt>
                <pt idx="1">
                  <v>FY22</v>
                </pt>
                <pt idx="2">
                  <v>FY23</v>
                </pt>
                <pt idx="3">
                  <v>FY24</v>
                </pt>
                <pt idx="4">
                  <v>FY25</v>
                </pt>
                <pt idx="5">
                  <v xml:space="preserve">FY26 </v>
                </pt>
              </strCache>
            </strRef>
          </cat>
          <val>
            <numRef>
              <f>'Graphical Representation'!$C$199:$D$199</f>
            </numRef>
          </val>
          <smooth val="0"/>
        </ser>
        <ser>
          <idx val="1"/>
          <order val="1"/>
          <tx>
            <v>ROE (%)</v>
          </tx>
          <spPr>
            <a:ln xmlns:a="http://schemas.openxmlformats.org/drawingml/2006/main" w="28575" cap="rnd">
              <a:solidFill>
                <a:srgbClr val="C0000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C00000"/>
              </a:solidFill>
              <a:ln xmlns:a="http://schemas.openxmlformats.org/drawingml/2006/main" w="9525">
                <a:solidFill>
                  <a:srgbClr val="C00000"/>
                </a:solidFill>
                <a:prstDash val="solid"/>
              </a:ln>
            </spPr>
          </marker>
          <dLbls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'Graphical Representation'!$E$155:$T$155</f>
              <strCache>
                <ptCount val="6"/>
                <pt idx="0">
                  <v>FY21</v>
                </pt>
                <pt idx="1">
                  <v>FY22</v>
                </pt>
                <pt idx="2">
                  <v>FY23</v>
                </pt>
                <pt idx="3">
                  <v>FY24</v>
                </pt>
                <pt idx="4">
                  <v>FY25</v>
                </pt>
                <pt idx="5">
                  <v xml:space="preserve">FY26 </v>
                </pt>
              </strCache>
            </strRef>
          </cat>
          <val>
            <numRef>
              <f>'Graphical Representation'!$E$200:$T$200</f>
              <numCache>
                <formatCode>0.0%</formatCode>
                <ptCount val="6"/>
                <pt idx="0">
                  <v>0.1587523146287504</v>
                </pt>
                <pt idx="1">
                  <v>0.1577343179866141</v>
                </pt>
                <pt idx="2">
                  <v>0.1175057256338409</v>
                </pt>
                <pt idx="3">
                  <v>0.1958098304766575</v>
                </pt>
                <pt idx="4">
                  <v>0.1933183007137255</v>
                </pt>
                <pt idx="5">
                  <v>0.1597559501972847</v>
                </pt>
              </numCache>
            </numRef>
          </val>
          <smooth val="0"/>
        </ser>
        <ser>
          <idx val="2"/>
          <order val="2"/>
          <tx>
            <v>ROCE (%)</v>
          </tx>
          <spPr>
            <a:ln xmlns:a="http://schemas.openxmlformats.org/drawingml/2006/main" w="28575" cap="rnd">
              <a:solidFill>
                <a:srgbClr val="BF8F0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BF8F00"/>
              </a:solidFill>
              <a:ln xmlns:a="http://schemas.openxmlformats.org/drawingml/2006/main" w="9525">
                <a:solidFill>
                  <a:srgbClr val="BF8F00"/>
                </a:solidFill>
                <a:prstDash val="solid"/>
              </a:ln>
            </spPr>
          </marker>
          <dLbls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'Graphical Representation'!$E$155:$T$155</f>
              <strCache>
                <ptCount val="6"/>
                <pt idx="0">
                  <v>FY21</v>
                </pt>
                <pt idx="1">
                  <v>FY22</v>
                </pt>
                <pt idx="2">
                  <v>FY23</v>
                </pt>
                <pt idx="3">
                  <v>FY24</v>
                </pt>
                <pt idx="4">
                  <v>FY25</v>
                </pt>
                <pt idx="5">
                  <v xml:space="preserve">FY26 </v>
                </pt>
              </strCache>
            </strRef>
          </cat>
          <val>
            <numRef>
              <f>'Graphical Representation'!$E$201:$T$201</f>
              <numCache>
                <formatCode>0.0%</formatCode>
                <ptCount val="6"/>
                <pt idx="0">
                  <v>0.1665821199400644</v>
                </pt>
                <pt idx="1">
                  <v>0.1440222123662851</v>
                </pt>
                <pt idx="2">
                  <v>0.1462355461813574</v>
                </pt>
                <pt idx="3">
                  <v>0.1958802392290298</v>
                </pt>
                <pt idx="4">
                  <v>0.2210829711937825</v>
                </pt>
                <pt idx="5">
                  <v>0.1970689334256716</v>
                </pt>
              </numCache>
            </numRef>
          </val>
          <smooth val="0"/>
        </ser>
        <ser>
          <idx val="3"/>
          <order val="3"/>
          <tx>
            <v>ROA (%)</v>
          </tx>
          <spPr>
            <a:ln xmlns:a="http://schemas.openxmlformats.org/drawingml/2006/main" w="28575" cap="rnd">
              <a:solidFill>
                <a:srgbClr val="1F4E79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1F4E79"/>
              </a:solidFill>
              <a:ln xmlns:a="http://schemas.openxmlformats.org/drawingml/2006/main" w="9525">
                <a:solidFill>
                  <a:srgbClr val="1F4E79"/>
                </a:solidFill>
                <a:prstDash val="solid"/>
              </a:ln>
            </spPr>
          </marker>
          <dLbls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val>
            <numRef>
              <f>'Graphical Representation'!$E$199:$T$199</f>
              <numCache>
                <formatCode>0.0%</formatCode>
                <ptCount val="6"/>
                <pt idx="0">
                  <v>0.124263939214607</v>
                </pt>
                <pt idx="1">
                  <v>0.1181282951745396</v>
                </pt>
                <pt idx="2">
                  <v>0.07999507244041434</v>
                </pt>
                <pt idx="3">
                  <v>0.1279948759992815</v>
                </pt>
                <pt idx="4">
                  <v>0.1277352866992488</v>
                </pt>
                <pt idx="5">
                  <v>0.1137293089067718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65109120"/>
        <axId val="1465114400"/>
      </lineChart>
      <catAx>
        <axId val="14651091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465114400"/>
        <crosses val="autoZero"/>
        <auto val="1"/>
        <lblAlgn val="ctr"/>
        <lblOffset val="100"/>
        <noMultiLvlLbl val="0"/>
      </catAx>
      <valAx>
        <axId val="1465114400"/>
        <scaling>
          <orientation val="minMax"/>
        </scaling>
        <delete val="0"/>
        <axPos val="l"/>
        <numFmt formatCode="0%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4651091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 algn="ctr" rtl="0">
              <a:defRPr lang="en-US" sz="15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rPr>
              <a:t>CVaR Analysis at 95% Confidence - FY27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algn="ctr" rtl="0">
            <a:defRPr lang="en-US" sz="1500" b="1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1F4E79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rgbClr val="BF8F00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rgbClr val="595959"/>
              </a:solidFill>
              <a:ln xmlns:a="http://schemas.openxmlformats.org/drawingml/2006/main">
                <a:noFill/>
                <a:prstDash val="solid"/>
              </a:ln>
            </spPr>
          </dPt>
          <dLbls>
            <numFmt formatCode="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'Graphical Representation'!$B$212:$B$215</f>
              <strCache>
                <ptCount val="4"/>
                <pt idx="0">
                  <v>Currency CVaR</v>
                </pt>
                <pt idx="1">
                  <v>Geopolitical CVaR</v>
                </pt>
                <pt idx="2">
                  <v>Combined CVaR (Markowitz)</v>
                </pt>
                <pt idx="3">
                  <v>Undiversified Sum</v>
                </pt>
              </strCache>
            </strRef>
          </cat>
          <val>
            <numRef>
              <f>'Graphical Representation'!$W$212:$W$215</f>
              <numCache>
                <formatCode>_(* #,##0.00_);_(* \(#,##0.00\);_(* "-"??_);_(@_)</formatCode>
                <ptCount val="4"/>
                <pt idx="0">
                  <v>37.6503068907763</v>
                </pt>
                <pt idx="1">
                  <v>125.1564065275428</v>
                </pt>
                <pt idx="2">
                  <v>134.00635549709</v>
                </pt>
                <pt idx="3">
                  <v>162.8067134183191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760000079"/>
        <axId val="760000559"/>
      </barChart>
      <catAx>
        <axId val="76000007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760000559"/>
        <crosses val="autoZero"/>
        <auto val="1"/>
        <lblAlgn val="ctr"/>
        <lblOffset val="100"/>
        <noMultiLvlLbl val="0"/>
      </catAx>
      <valAx>
        <axId val="760000559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1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₹' Crores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1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_(* #,##0_);_(* \(#,##0\);_(* &quot;-&quot;_);_(@_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7600000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 algn="ctr" rtl="0">
              <a:defRPr lang="en-US" sz="15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rPr>
              <a:t xml:space="preserve">Combined Loss Distribution- CVaR at 95% Confidence 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algn="ctr" rtl="0">
            <a:defRPr lang="en-US" sz="1500" b="1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'Graphical Representation'!$F$233</f>
              <strCache>
                <ptCount val="1"/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'Graphical Representation'!$E$234:$E$248</f>
              <numCache>
                <formatCode>General</formatCode>
                <ptCount val="15"/>
                <pt idx="0">
                  <v>-210</v>
                </pt>
                <pt idx="1">
                  <v>-180</v>
                </pt>
                <pt idx="2">
                  <v>-150</v>
                </pt>
                <pt idx="3">
                  <v>-120</v>
                </pt>
                <pt idx="4">
                  <v>-90</v>
                </pt>
                <pt idx="5">
                  <v>-60</v>
                </pt>
                <pt idx="6">
                  <v>-30</v>
                </pt>
                <pt idx="7">
                  <v>0</v>
                </pt>
                <pt idx="8">
                  <v>30</v>
                </pt>
                <pt idx="9">
                  <v>60</v>
                </pt>
                <pt idx="10">
                  <v>90</v>
                </pt>
                <pt idx="11">
                  <v>120</v>
                </pt>
                <pt idx="12">
                  <v>150</v>
                </pt>
                <pt idx="13">
                  <v>180</v>
                </pt>
                <pt idx="14">
                  <v>210</v>
                </pt>
              </numCache>
            </numRef>
          </cat>
          <val>
            <numRef>
              <f>'Graphical Representation'!$F$234:$F$248</f>
            </numRef>
          </val>
        </ser>
        <ser>
          <idx val="1"/>
          <order val="1"/>
          <tx>
            <strRef>
              <f>'Graphical Representation'!$G$233</f>
              <strCache>
                <ptCount val="1"/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'Graphical Representation'!$E$234:$E$248</f>
              <numCache>
                <formatCode>General</formatCode>
                <ptCount val="15"/>
                <pt idx="0">
                  <v>-210</v>
                </pt>
                <pt idx="1">
                  <v>-180</v>
                </pt>
                <pt idx="2">
                  <v>-150</v>
                </pt>
                <pt idx="3">
                  <v>-120</v>
                </pt>
                <pt idx="4">
                  <v>-90</v>
                </pt>
                <pt idx="5">
                  <v>-60</v>
                </pt>
                <pt idx="6">
                  <v>-30</v>
                </pt>
                <pt idx="7">
                  <v>0</v>
                </pt>
                <pt idx="8">
                  <v>30</v>
                </pt>
                <pt idx="9">
                  <v>60</v>
                </pt>
                <pt idx="10">
                  <v>90</v>
                </pt>
                <pt idx="11">
                  <v>120</v>
                </pt>
                <pt idx="12">
                  <v>150</v>
                </pt>
                <pt idx="13">
                  <v>180</v>
                </pt>
                <pt idx="14">
                  <v>210</v>
                </pt>
              </numCache>
            </numRef>
          </cat>
          <val>
            <numRef>
              <f>'Graphical Representation'!$G$234:$G$248</f>
            </numRef>
          </val>
        </ser>
        <ser>
          <idx val="2"/>
          <order val="2"/>
          <tx>
            <strRef>
              <f>'Graphical Representation'!$H$233</f>
              <strCache>
                <ptCount val="1"/>
                <pt idx="0">
                  <v>Probability Density</v>
                </pt>
              </strCache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solidFill>
                <a:schemeClr val="bg1"/>
              </a:solidFill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chemeClr val="bg1"/>
                </a:solidFill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chemeClr val="bg1"/>
                </a:solidFill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chemeClr val="bg1"/>
                </a:solidFill>
                <a:prstDash val="solid"/>
              </a:ln>
            </spPr>
          </dPt>
          <cat>
            <numRef>
              <f>'Graphical Representation'!$E$234:$E$248</f>
              <numCache>
                <formatCode>General</formatCode>
                <ptCount val="15"/>
                <pt idx="0">
                  <v>-210</v>
                </pt>
                <pt idx="1">
                  <v>-180</v>
                </pt>
                <pt idx="2">
                  <v>-150</v>
                </pt>
                <pt idx="3">
                  <v>-120</v>
                </pt>
                <pt idx="4">
                  <v>-90</v>
                </pt>
                <pt idx="5">
                  <v>-60</v>
                </pt>
                <pt idx="6">
                  <v>-30</v>
                </pt>
                <pt idx="7">
                  <v>0</v>
                </pt>
                <pt idx="8">
                  <v>30</v>
                </pt>
                <pt idx="9">
                  <v>60</v>
                </pt>
                <pt idx="10">
                  <v>90</v>
                </pt>
                <pt idx="11">
                  <v>120</v>
                </pt>
                <pt idx="12">
                  <v>150</v>
                </pt>
                <pt idx="13">
                  <v>180</v>
                </pt>
                <pt idx="14">
                  <v>210</v>
                </pt>
              </numCache>
            </numRef>
          </cat>
          <val>
            <numRef>
              <f>'Graphical Representation'!$H$234:$H$248</f>
              <numCache>
                <formatCode>0.0E+00</formatCode>
                <ptCount val="15"/>
                <pt idx="0">
                  <v>6.609711230595189e-05</v>
                </pt>
                <pt idx="1">
                  <v>0.0002153243079630983</v>
                </pt>
                <pt idx="2">
                  <v>0.0005849170957747128</v>
                </pt>
                <pt idx="3">
                  <v>0.001324909611812253</v>
                </pt>
                <pt idx="4">
                  <v>0.002502469929260428</v>
                </pt>
                <pt idx="5">
                  <v>0.003941324247695703</v>
                </pt>
                <pt idx="6">
                  <v>0.005176141543761771</v>
                </pt>
                <pt idx="7">
                  <v>0.005668404097775402</v>
                </pt>
                <pt idx="8">
                  <v>0.005176141543761771</v>
                </pt>
                <pt idx="9">
                  <v>0.003941324247695703</v>
                </pt>
                <pt idx="10">
                  <v>0.002502469929260428</v>
                </pt>
                <pt idx="11">
                  <v>0.001324909611812253</v>
                </pt>
                <pt idx="12">
                  <v>0.0005849170957747128</v>
                </pt>
                <pt idx="13">
                  <v>0.0002153243079630983</v>
                </pt>
                <pt idx="14">
                  <v>6.609711230595189e-05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0"/>
        <overlap val="-27"/>
        <axId val="844802495"/>
        <axId val="844794815"/>
      </barChart>
      <catAx>
        <axId val="844802495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1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₹' Crores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1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844794815"/>
        <crosses val="autoZero"/>
        <auto val="1"/>
        <lblAlgn val="ctr"/>
        <lblOffset val="100"/>
        <noMultiLvlLbl val="0"/>
      </catAx>
      <valAx>
        <axId val="844794815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1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Frequency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1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0.0E+00" sourceLinked="1"/>
        <majorTickMark val="none"/>
        <minorTickMark val="none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844802495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 algn="ctr" rtl="0">
              <a:defRPr lang="en-US" sz="15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rPr>
              <a:t>Receivable Days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algn="ctr" rtl="0">
            <a:defRPr lang="en-US" sz="1500" b="1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DSO</v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4"/>
            <invertIfNegative val="0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dPt>
          <dPt>
            <idx val="5"/>
            <invertIfNegative val="0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'Graphical Representation'!$E$155:$T$156</f>
              <strCache>
                <ptCount val="6"/>
                <pt idx="0">
                  <v>FY21</v>
                </pt>
                <pt idx="1">
                  <v>FY22</v>
                </pt>
                <pt idx="2">
                  <v>FY23</v>
                </pt>
                <pt idx="3">
                  <v>FY24</v>
                </pt>
                <pt idx="4">
                  <v>FY25</v>
                </pt>
                <pt idx="5">
                  <v xml:space="preserve">FY26 </v>
                </pt>
              </strCache>
            </strRef>
          </cat>
          <val>
            <numRef>
              <f>'Graphical Representation'!$E$203:$T$203</f>
              <numCache>
                <formatCode>0</formatCode>
                <ptCount val="6"/>
                <pt idx="0">
                  <v>143.9912875596139</v>
                </pt>
                <pt idx="1">
                  <v>158.02839527674</v>
                </pt>
                <pt idx="2">
                  <v>131.8263564692889</v>
                </pt>
                <pt idx="3">
                  <v>84.61368297980775</v>
                </pt>
                <pt idx="4">
                  <v>141.2856420564803</v>
                </pt>
                <pt idx="5">
                  <v>184.6284439132435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80"/>
        <overlap val="-27"/>
        <axId val="1542443791"/>
        <axId val="1542438991"/>
      </barChart>
      <catAx>
        <axId val="154244379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542438991"/>
        <crosses val="autoZero"/>
        <auto val="1"/>
        <lblAlgn val="ctr"/>
        <lblOffset val="100"/>
        <noMultiLvlLbl val="0"/>
      </catAx>
      <valAx>
        <axId val="1542438991"/>
        <scaling>
          <orientation val="minMax"/>
          <min val="60"/>
        </scaling>
        <delete val="0"/>
        <axPos val="l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Days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542443791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 algn="ctr" rtl="0">
              <a:defRPr lang="en-US" sz="15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rPr>
              <a:t>ANUP Vs BSE Capital Goods Index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algn="ctr" rtl="0">
            <a:defRPr lang="en-US" sz="1500" b="1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v>ANUP (₹)</v>
          </tx>
          <spPr>
            <a:ln xmlns:a="http://schemas.openxmlformats.org/drawingml/2006/main" w="28575" cap="rnd">
              <a:solidFill>
                <a:srgbClr val="1F4E7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'Graphical Representation'!$B$267:$B$762</f>
              <numCache>
                <formatCode>m/d/yyyy</formatCode>
                <ptCount val="496"/>
                <pt idx="0">
                  <v>46176</v>
                </pt>
                <pt idx="1">
                  <v>46175</v>
                </pt>
                <pt idx="2">
                  <v>46174</v>
                </pt>
                <pt idx="3">
                  <v>46171</v>
                </pt>
                <pt idx="4">
                  <v>46169</v>
                </pt>
                <pt idx="5">
                  <v>46168</v>
                </pt>
                <pt idx="6">
                  <v>46167</v>
                </pt>
                <pt idx="7">
                  <v>46164</v>
                </pt>
                <pt idx="8">
                  <v>46163</v>
                </pt>
                <pt idx="9">
                  <v>46162</v>
                </pt>
                <pt idx="10">
                  <v>46161</v>
                </pt>
                <pt idx="11">
                  <v>46160</v>
                </pt>
                <pt idx="12">
                  <v>46157</v>
                </pt>
                <pt idx="13">
                  <v>46156</v>
                </pt>
                <pt idx="14">
                  <v>46155</v>
                </pt>
                <pt idx="15">
                  <v>46154</v>
                </pt>
                <pt idx="16">
                  <v>46153</v>
                </pt>
                <pt idx="17">
                  <v>46150</v>
                </pt>
                <pt idx="18">
                  <v>46149</v>
                </pt>
                <pt idx="19">
                  <v>46148</v>
                </pt>
                <pt idx="20">
                  <v>46147</v>
                </pt>
                <pt idx="21">
                  <v>46146</v>
                </pt>
                <pt idx="22">
                  <v>46142</v>
                </pt>
                <pt idx="23">
                  <v>46141</v>
                </pt>
                <pt idx="24">
                  <v>46140</v>
                </pt>
                <pt idx="25">
                  <v>46139</v>
                </pt>
                <pt idx="26">
                  <v>46136</v>
                </pt>
                <pt idx="27">
                  <v>46135</v>
                </pt>
                <pt idx="28">
                  <v>46134</v>
                </pt>
                <pt idx="29">
                  <v>46133</v>
                </pt>
                <pt idx="30">
                  <v>46132</v>
                </pt>
                <pt idx="31">
                  <v>46129</v>
                </pt>
                <pt idx="32">
                  <v>46128</v>
                </pt>
                <pt idx="33">
                  <v>46127</v>
                </pt>
                <pt idx="34">
                  <v>46125</v>
                </pt>
                <pt idx="35">
                  <v>46122</v>
                </pt>
                <pt idx="36">
                  <v>46121</v>
                </pt>
                <pt idx="37">
                  <v>46120</v>
                </pt>
                <pt idx="38">
                  <v>46119</v>
                </pt>
                <pt idx="39">
                  <v>46118</v>
                </pt>
                <pt idx="40">
                  <v>46114</v>
                </pt>
                <pt idx="41">
                  <v>46113</v>
                </pt>
                <pt idx="42">
                  <v>46111</v>
                </pt>
                <pt idx="43">
                  <v>46108</v>
                </pt>
                <pt idx="44">
                  <v>46106</v>
                </pt>
                <pt idx="45">
                  <v>46105</v>
                </pt>
                <pt idx="46">
                  <v>46104</v>
                </pt>
                <pt idx="47">
                  <v>46101</v>
                </pt>
                <pt idx="48">
                  <v>46100</v>
                </pt>
                <pt idx="49">
                  <v>46099</v>
                </pt>
                <pt idx="50">
                  <v>46098</v>
                </pt>
                <pt idx="51">
                  <v>46097</v>
                </pt>
                <pt idx="52">
                  <v>46094</v>
                </pt>
                <pt idx="53">
                  <v>46093</v>
                </pt>
                <pt idx="54">
                  <v>46092</v>
                </pt>
                <pt idx="55">
                  <v>46091</v>
                </pt>
                <pt idx="56">
                  <v>46090</v>
                </pt>
                <pt idx="57">
                  <v>46087</v>
                </pt>
                <pt idx="58">
                  <v>46086</v>
                </pt>
                <pt idx="59">
                  <v>46085</v>
                </pt>
                <pt idx="60">
                  <v>46083</v>
                </pt>
                <pt idx="61">
                  <v>46080</v>
                </pt>
                <pt idx="62">
                  <v>46079</v>
                </pt>
                <pt idx="63">
                  <v>46078</v>
                </pt>
                <pt idx="64">
                  <v>46077</v>
                </pt>
                <pt idx="65">
                  <v>46076</v>
                </pt>
                <pt idx="66">
                  <v>46073</v>
                </pt>
                <pt idx="67">
                  <v>46072</v>
                </pt>
                <pt idx="68">
                  <v>46071</v>
                </pt>
                <pt idx="69">
                  <v>46070</v>
                </pt>
                <pt idx="70">
                  <v>46069</v>
                </pt>
                <pt idx="71">
                  <v>46066</v>
                </pt>
                <pt idx="72">
                  <v>46065</v>
                </pt>
                <pt idx="73">
                  <v>46064</v>
                </pt>
                <pt idx="74">
                  <v>46063</v>
                </pt>
                <pt idx="75">
                  <v>46062</v>
                </pt>
                <pt idx="76">
                  <v>46059</v>
                </pt>
                <pt idx="77">
                  <v>46058</v>
                </pt>
                <pt idx="78">
                  <v>46057</v>
                </pt>
                <pt idx="79">
                  <v>46056</v>
                </pt>
                <pt idx="80">
                  <v>46055</v>
                </pt>
                <pt idx="81">
                  <v>46054</v>
                </pt>
                <pt idx="82">
                  <v>46052</v>
                </pt>
                <pt idx="83">
                  <v>46051</v>
                </pt>
                <pt idx="84">
                  <v>46050</v>
                </pt>
                <pt idx="85">
                  <v>46049</v>
                </pt>
                <pt idx="86">
                  <v>46045</v>
                </pt>
                <pt idx="87">
                  <v>46044</v>
                </pt>
                <pt idx="88">
                  <v>46043</v>
                </pt>
                <pt idx="89">
                  <v>46042</v>
                </pt>
                <pt idx="90">
                  <v>46041</v>
                </pt>
                <pt idx="91">
                  <v>46038</v>
                </pt>
                <pt idx="92">
                  <v>46036</v>
                </pt>
                <pt idx="93">
                  <v>46035</v>
                </pt>
                <pt idx="94">
                  <v>46034</v>
                </pt>
                <pt idx="95">
                  <v>46031</v>
                </pt>
                <pt idx="96">
                  <v>46030</v>
                </pt>
                <pt idx="97">
                  <v>46029</v>
                </pt>
                <pt idx="98">
                  <v>46028</v>
                </pt>
                <pt idx="99">
                  <v>46027</v>
                </pt>
                <pt idx="100">
                  <v>46024</v>
                </pt>
                <pt idx="101">
                  <v>46023</v>
                </pt>
                <pt idx="102">
                  <v>46022</v>
                </pt>
                <pt idx="103">
                  <v>46021</v>
                </pt>
                <pt idx="104">
                  <v>46020</v>
                </pt>
                <pt idx="105">
                  <v>46017</v>
                </pt>
                <pt idx="106">
                  <v>46015</v>
                </pt>
                <pt idx="107">
                  <v>46014</v>
                </pt>
                <pt idx="108">
                  <v>46013</v>
                </pt>
                <pt idx="109">
                  <v>46010</v>
                </pt>
                <pt idx="110">
                  <v>46009</v>
                </pt>
                <pt idx="111">
                  <v>46008</v>
                </pt>
                <pt idx="112">
                  <v>46007</v>
                </pt>
                <pt idx="113">
                  <v>46006</v>
                </pt>
                <pt idx="114">
                  <v>46003</v>
                </pt>
                <pt idx="115">
                  <v>46002</v>
                </pt>
                <pt idx="116">
                  <v>46001</v>
                </pt>
                <pt idx="117">
                  <v>46000</v>
                </pt>
                <pt idx="118">
                  <v>45999</v>
                </pt>
                <pt idx="119">
                  <v>45996</v>
                </pt>
                <pt idx="120">
                  <v>45995</v>
                </pt>
                <pt idx="121">
                  <v>45994</v>
                </pt>
                <pt idx="122">
                  <v>45993</v>
                </pt>
                <pt idx="123">
                  <v>45992</v>
                </pt>
                <pt idx="124">
                  <v>45989</v>
                </pt>
                <pt idx="125">
                  <v>45988</v>
                </pt>
                <pt idx="126">
                  <v>45987</v>
                </pt>
                <pt idx="127">
                  <v>45986</v>
                </pt>
                <pt idx="128">
                  <v>45985</v>
                </pt>
                <pt idx="129">
                  <v>45982</v>
                </pt>
                <pt idx="130">
                  <v>45981</v>
                </pt>
                <pt idx="131">
                  <v>45980</v>
                </pt>
                <pt idx="132">
                  <v>45979</v>
                </pt>
                <pt idx="133">
                  <v>45978</v>
                </pt>
                <pt idx="134">
                  <v>45975</v>
                </pt>
                <pt idx="135">
                  <v>45974</v>
                </pt>
                <pt idx="136">
                  <v>45973</v>
                </pt>
                <pt idx="137">
                  <v>45972</v>
                </pt>
                <pt idx="138">
                  <v>45971</v>
                </pt>
                <pt idx="139">
                  <v>45968</v>
                </pt>
                <pt idx="140">
                  <v>45967</v>
                </pt>
                <pt idx="141">
                  <v>45965</v>
                </pt>
                <pt idx="142">
                  <v>45964</v>
                </pt>
                <pt idx="143">
                  <v>45961</v>
                </pt>
                <pt idx="144">
                  <v>45960</v>
                </pt>
                <pt idx="145">
                  <v>45959</v>
                </pt>
                <pt idx="146">
                  <v>45958</v>
                </pt>
                <pt idx="147">
                  <v>45957</v>
                </pt>
                <pt idx="148">
                  <v>45954</v>
                </pt>
                <pt idx="149">
                  <v>45953</v>
                </pt>
                <pt idx="150">
                  <v>45951</v>
                </pt>
                <pt idx="151">
                  <v>45950</v>
                </pt>
                <pt idx="152">
                  <v>45947</v>
                </pt>
                <pt idx="153">
                  <v>45946</v>
                </pt>
                <pt idx="154">
                  <v>45945</v>
                </pt>
                <pt idx="155">
                  <v>45944</v>
                </pt>
                <pt idx="156">
                  <v>45943</v>
                </pt>
                <pt idx="157">
                  <v>45940</v>
                </pt>
                <pt idx="158">
                  <v>45939</v>
                </pt>
                <pt idx="159">
                  <v>45938</v>
                </pt>
                <pt idx="160">
                  <v>45937</v>
                </pt>
                <pt idx="161">
                  <v>45936</v>
                </pt>
                <pt idx="162">
                  <v>45933</v>
                </pt>
                <pt idx="163">
                  <v>45931</v>
                </pt>
                <pt idx="164">
                  <v>45930</v>
                </pt>
                <pt idx="165">
                  <v>45929</v>
                </pt>
                <pt idx="166">
                  <v>45926</v>
                </pt>
                <pt idx="167">
                  <v>45925</v>
                </pt>
                <pt idx="168">
                  <v>45924</v>
                </pt>
                <pt idx="169">
                  <v>45923</v>
                </pt>
                <pt idx="170">
                  <v>45922</v>
                </pt>
                <pt idx="171">
                  <v>45919</v>
                </pt>
                <pt idx="172">
                  <v>45918</v>
                </pt>
                <pt idx="173">
                  <v>45917</v>
                </pt>
                <pt idx="174">
                  <v>45916</v>
                </pt>
                <pt idx="175">
                  <v>45915</v>
                </pt>
                <pt idx="176">
                  <v>45912</v>
                </pt>
                <pt idx="177">
                  <v>45911</v>
                </pt>
                <pt idx="178">
                  <v>45910</v>
                </pt>
                <pt idx="179">
                  <v>45909</v>
                </pt>
                <pt idx="180">
                  <v>45908</v>
                </pt>
                <pt idx="181">
                  <v>45905</v>
                </pt>
                <pt idx="182">
                  <v>45904</v>
                </pt>
                <pt idx="183">
                  <v>45903</v>
                </pt>
                <pt idx="184">
                  <v>45902</v>
                </pt>
                <pt idx="185">
                  <v>45901</v>
                </pt>
                <pt idx="186">
                  <v>45898</v>
                </pt>
                <pt idx="187">
                  <v>45897</v>
                </pt>
                <pt idx="188">
                  <v>45895</v>
                </pt>
                <pt idx="189">
                  <v>45894</v>
                </pt>
                <pt idx="190">
                  <v>45891</v>
                </pt>
                <pt idx="191">
                  <v>45890</v>
                </pt>
                <pt idx="192">
                  <v>45889</v>
                </pt>
                <pt idx="193">
                  <v>45888</v>
                </pt>
                <pt idx="194">
                  <v>45887</v>
                </pt>
                <pt idx="195">
                  <v>45883</v>
                </pt>
                <pt idx="196">
                  <v>45882</v>
                </pt>
                <pt idx="197">
                  <v>45881</v>
                </pt>
                <pt idx="198">
                  <v>45880</v>
                </pt>
                <pt idx="199">
                  <v>45877</v>
                </pt>
                <pt idx="200">
                  <v>45876</v>
                </pt>
                <pt idx="201">
                  <v>45875</v>
                </pt>
                <pt idx="202">
                  <v>45874</v>
                </pt>
                <pt idx="203">
                  <v>45873</v>
                </pt>
                <pt idx="204">
                  <v>45870</v>
                </pt>
                <pt idx="205">
                  <v>45869</v>
                </pt>
                <pt idx="206">
                  <v>45868</v>
                </pt>
                <pt idx="207">
                  <v>45867</v>
                </pt>
                <pt idx="208">
                  <v>45866</v>
                </pt>
                <pt idx="209">
                  <v>45863</v>
                </pt>
                <pt idx="210">
                  <v>45862</v>
                </pt>
                <pt idx="211">
                  <v>45861</v>
                </pt>
                <pt idx="212">
                  <v>45860</v>
                </pt>
                <pt idx="213">
                  <v>45859</v>
                </pt>
                <pt idx="214">
                  <v>45856</v>
                </pt>
                <pt idx="215">
                  <v>45855</v>
                </pt>
                <pt idx="216">
                  <v>45854</v>
                </pt>
                <pt idx="217">
                  <v>45853</v>
                </pt>
                <pt idx="218">
                  <v>45852</v>
                </pt>
                <pt idx="219">
                  <v>45849</v>
                </pt>
                <pt idx="220">
                  <v>45848</v>
                </pt>
                <pt idx="221">
                  <v>45847</v>
                </pt>
                <pt idx="222">
                  <v>45846</v>
                </pt>
                <pt idx="223">
                  <v>45845</v>
                </pt>
                <pt idx="224">
                  <v>45842</v>
                </pt>
                <pt idx="225">
                  <v>45841</v>
                </pt>
                <pt idx="226">
                  <v>45840</v>
                </pt>
                <pt idx="227">
                  <v>45839</v>
                </pt>
                <pt idx="228">
                  <v>45838</v>
                </pt>
                <pt idx="229">
                  <v>45835</v>
                </pt>
                <pt idx="230">
                  <v>45834</v>
                </pt>
                <pt idx="231">
                  <v>45833</v>
                </pt>
                <pt idx="232">
                  <v>45832</v>
                </pt>
                <pt idx="233">
                  <v>45831</v>
                </pt>
                <pt idx="234">
                  <v>45828</v>
                </pt>
                <pt idx="235">
                  <v>45827</v>
                </pt>
                <pt idx="236">
                  <v>45826</v>
                </pt>
                <pt idx="237">
                  <v>45825</v>
                </pt>
                <pt idx="238">
                  <v>45824</v>
                </pt>
                <pt idx="239">
                  <v>45821</v>
                </pt>
                <pt idx="240">
                  <v>45820</v>
                </pt>
                <pt idx="241">
                  <v>45819</v>
                </pt>
                <pt idx="242">
                  <v>45818</v>
                </pt>
                <pt idx="243">
                  <v>45817</v>
                </pt>
                <pt idx="244">
                  <v>45814</v>
                </pt>
                <pt idx="245">
                  <v>45813</v>
                </pt>
                <pt idx="246">
                  <v>45812</v>
                </pt>
                <pt idx="247">
                  <v>45811</v>
                </pt>
                <pt idx="248">
                  <v>45810</v>
                </pt>
                <pt idx="249">
                  <v>45807</v>
                </pt>
                <pt idx="250">
                  <v>45806</v>
                </pt>
                <pt idx="251">
                  <v>45805</v>
                </pt>
                <pt idx="252">
                  <v>45804</v>
                </pt>
                <pt idx="253">
                  <v>45803</v>
                </pt>
                <pt idx="254">
                  <v>45800</v>
                </pt>
                <pt idx="255">
                  <v>45799</v>
                </pt>
                <pt idx="256">
                  <v>45798</v>
                </pt>
                <pt idx="257">
                  <v>45797</v>
                </pt>
                <pt idx="258">
                  <v>45796</v>
                </pt>
                <pt idx="259">
                  <v>45793</v>
                </pt>
                <pt idx="260">
                  <v>45792</v>
                </pt>
                <pt idx="261">
                  <v>45791</v>
                </pt>
                <pt idx="262">
                  <v>45790</v>
                </pt>
                <pt idx="263">
                  <v>45789</v>
                </pt>
                <pt idx="264">
                  <v>45786</v>
                </pt>
                <pt idx="265">
                  <v>45785</v>
                </pt>
                <pt idx="266">
                  <v>45784</v>
                </pt>
                <pt idx="267">
                  <v>45783</v>
                </pt>
                <pt idx="268">
                  <v>45782</v>
                </pt>
                <pt idx="269">
                  <v>45779</v>
                </pt>
                <pt idx="270">
                  <v>45777</v>
                </pt>
                <pt idx="271">
                  <v>45776</v>
                </pt>
                <pt idx="272">
                  <v>45775</v>
                </pt>
                <pt idx="273">
                  <v>45772</v>
                </pt>
                <pt idx="274">
                  <v>45771</v>
                </pt>
                <pt idx="275">
                  <v>45770</v>
                </pt>
                <pt idx="276">
                  <v>45769</v>
                </pt>
                <pt idx="277">
                  <v>45768</v>
                </pt>
                <pt idx="278">
                  <v>45764</v>
                </pt>
                <pt idx="279">
                  <v>45763</v>
                </pt>
                <pt idx="280">
                  <v>45762</v>
                </pt>
                <pt idx="281">
                  <v>45758</v>
                </pt>
                <pt idx="282">
                  <v>45756</v>
                </pt>
                <pt idx="283">
                  <v>45755</v>
                </pt>
                <pt idx="284">
                  <v>45754</v>
                </pt>
                <pt idx="285">
                  <v>45751</v>
                </pt>
                <pt idx="286">
                  <v>45750</v>
                </pt>
                <pt idx="287">
                  <v>45749</v>
                </pt>
                <pt idx="288">
                  <v>45748</v>
                </pt>
                <pt idx="289">
                  <v>45744</v>
                </pt>
                <pt idx="290">
                  <v>45743</v>
                </pt>
                <pt idx="291">
                  <v>45742</v>
                </pt>
                <pt idx="292">
                  <v>45741</v>
                </pt>
                <pt idx="293">
                  <v>45740</v>
                </pt>
                <pt idx="294">
                  <v>45737</v>
                </pt>
                <pt idx="295">
                  <v>45736</v>
                </pt>
                <pt idx="296">
                  <v>45735</v>
                </pt>
                <pt idx="297">
                  <v>45734</v>
                </pt>
                <pt idx="298">
                  <v>45733</v>
                </pt>
                <pt idx="299">
                  <v>45729</v>
                </pt>
                <pt idx="300">
                  <v>45728</v>
                </pt>
                <pt idx="301">
                  <v>45727</v>
                </pt>
                <pt idx="302">
                  <v>45726</v>
                </pt>
                <pt idx="303">
                  <v>45723</v>
                </pt>
                <pt idx="304">
                  <v>45722</v>
                </pt>
                <pt idx="305">
                  <v>45721</v>
                </pt>
                <pt idx="306">
                  <v>45720</v>
                </pt>
                <pt idx="307">
                  <v>45719</v>
                </pt>
                <pt idx="308">
                  <v>45716</v>
                </pt>
                <pt idx="309">
                  <v>45715</v>
                </pt>
                <pt idx="310">
                  <v>45713</v>
                </pt>
                <pt idx="311">
                  <v>45712</v>
                </pt>
                <pt idx="312">
                  <v>45709</v>
                </pt>
                <pt idx="313">
                  <v>45708</v>
                </pt>
                <pt idx="314">
                  <v>45707</v>
                </pt>
                <pt idx="315">
                  <v>45706</v>
                </pt>
                <pt idx="316">
                  <v>45705</v>
                </pt>
                <pt idx="317">
                  <v>45702</v>
                </pt>
                <pt idx="318">
                  <v>45701</v>
                </pt>
                <pt idx="319">
                  <v>45700</v>
                </pt>
                <pt idx="320">
                  <v>45699</v>
                </pt>
                <pt idx="321">
                  <v>45698</v>
                </pt>
                <pt idx="322">
                  <v>45695</v>
                </pt>
                <pt idx="323">
                  <v>45694</v>
                </pt>
                <pt idx="324">
                  <v>45693</v>
                </pt>
                <pt idx="325">
                  <v>45692</v>
                </pt>
                <pt idx="326">
                  <v>45691</v>
                </pt>
                <pt idx="327">
                  <v>45689</v>
                </pt>
                <pt idx="328">
                  <v>45688</v>
                </pt>
                <pt idx="329">
                  <v>45687</v>
                </pt>
                <pt idx="330">
                  <v>45686</v>
                </pt>
                <pt idx="331">
                  <v>45685</v>
                </pt>
                <pt idx="332">
                  <v>45684</v>
                </pt>
                <pt idx="333">
                  <v>45681</v>
                </pt>
                <pt idx="334">
                  <v>45680</v>
                </pt>
                <pt idx="335">
                  <v>45679</v>
                </pt>
                <pt idx="336">
                  <v>45678</v>
                </pt>
                <pt idx="337">
                  <v>45677</v>
                </pt>
                <pt idx="338">
                  <v>45674</v>
                </pt>
                <pt idx="339">
                  <v>45673</v>
                </pt>
                <pt idx="340">
                  <v>45672</v>
                </pt>
                <pt idx="341">
                  <v>45671</v>
                </pt>
                <pt idx="342">
                  <v>45670</v>
                </pt>
                <pt idx="343">
                  <v>45667</v>
                </pt>
                <pt idx="344">
                  <v>45666</v>
                </pt>
                <pt idx="345">
                  <v>45665</v>
                </pt>
                <pt idx="346">
                  <v>45664</v>
                </pt>
                <pt idx="347">
                  <v>45663</v>
                </pt>
                <pt idx="348">
                  <v>45660</v>
                </pt>
                <pt idx="349">
                  <v>45659</v>
                </pt>
                <pt idx="350">
                  <v>45658</v>
                </pt>
                <pt idx="351">
                  <v>45657</v>
                </pt>
                <pt idx="352">
                  <v>45656</v>
                </pt>
                <pt idx="353">
                  <v>45653</v>
                </pt>
                <pt idx="354">
                  <v>45652</v>
                </pt>
                <pt idx="355">
                  <v>45650</v>
                </pt>
                <pt idx="356">
                  <v>45649</v>
                </pt>
                <pt idx="357">
                  <v>45646</v>
                </pt>
                <pt idx="358">
                  <v>45645</v>
                </pt>
                <pt idx="359">
                  <v>45644</v>
                </pt>
                <pt idx="360">
                  <v>45643</v>
                </pt>
                <pt idx="361">
                  <v>45642</v>
                </pt>
                <pt idx="362">
                  <v>45639</v>
                </pt>
                <pt idx="363">
                  <v>45638</v>
                </pt>
                <pt idx="364">
                  <v>45637</v>
                </pt>
                <pt idx="365">
                  <v>45636</v>
                </pt>
                <pt idx="366">
                  <v>45635</v>
                </pt>
                <pt idx="367">
                  <v>45632</v>
                </pt>
                <pt idx="368">
                  <v>45631</v>
                </pt>
                <pt idx="369">
                  <v>45630</v>
                </pt>
                <pt idx="370">
                  <v>45629</v>
                </pt>
                <pt idx="371">
                  <v>45628</v>
                </pt>
                <pt idx="372">
                  <v>45625</v>
                </pt>
                <pt idx="373">
                  <v>45624</v>
                </pt>
                <pt idx="374">
                  <v>45623</v>
                </pt>
                <pt idx="375">
                  <v>45622</v>
                </pt>
                <pt idx="376">
                  <v>45621</v>
                </pt>
                <pt idx="377">
                  <v>45618</v>
                </pt>
                <pt idx="378">
                  <v>45617</v>
                </pt>
                <pt idx="379">
                  <v>45615</v>
                </pt>
                <pt idx="380">
                  <v>45614</v>
                </pt>
                <pt idx="381">
                  <v>45610</v>
                </pt>
                <pt idx="382">
                  <v>45609</v>
                </pt>
                <pt idx="383">
                  <v>45608</v>
                </pt>
                <pt idx="384">
                  <v>45607</v>
                </pt>
                <pt idx="385">
                  <v>45604</v>
                </pt>
                <pt idx="386">
                  <v>45603</v>
                </pt>
                <pt idx="387">
                  <v>45602</v>
                </pt>
                <pt idx="388">
                  <v>45601</v>
                </pt>
                <pt idx="389">
                  <v>45600</v>
                </pt>
                <pt idx="390">
                  <v>45597</v>
                </pt>
                <pt idx="391">
                  <v>45596</v>
                </pt>
                <pt idx="392">
                  <v>45595</v>
                </pt>
                <pt idx="393">
                  <v>45594</v>
                </pt>
                <pt idx="394">
                  <v>45593</v>
                </pt>
                <pt idx="395">
                  <v>45590</v>
                </pt>
                <pt idx="396">
                  <v>45589</v>
                </pt>
                <pt idx="397">
                  <v>45588</v>
                </pt>
                <pt idx="398">
                  <v>45587</v>
                </pt>
                <pt idx="399">
                  <v>45586</v>
                </pt>
                <pt idx="400">
                  <v>45583</v>
                </pt>
                <pt idx="401">
                  <v>45582</v>
                </pt>
                <pt idx="402">
                  <v>45581</v>
                </pt>
                <pt idx="403">
                  <v>45580</v>
                </pt>
                <pt idx="404">
                  <v>45579</v>
                </pt>
                <pt idx="405">
                  <v>45576</v>
                </pt>
                <pt idx="406">
                  <v>45575</v>
                </pt>
                <pt idx="407">
                  <v>45574</v>
                </pt>
                <pt idx="408">
                  <v>45573</v>
                </pt>
                <pt idx="409">
                  <v>45572</v>
                </pt>
                <pt idx="410">
                  <v>45569</v>
                </pt>
                <pt idx="411">
                  <v>45568</v>
                </pt>
                <pt idx="412">
                  <v>45566</v>
                </pt>
                <pt idx="413">
                  <v>45565</v>
                </pt>
                <pt idx="414">
                  <v>45562</v>
                </pt>
                <pt idx="415">
                  <v>45561</v>
                </pt>
                <pt idx="416">
                  <v>45560</v>
                </pt>
                <pt idx="417">
                  <v>45559</v>
                </pt>
                <pt idx="418">
                  <v>45558</v>
                </pt>
                <pt idx="419">
                  <v>45555</v>
                </pt>
                <pt idx="420">
                  <v>45554</v>
                </pt>
                <pt idx="421">
                  <v>45553</v>
                </pt>
                <pt idx="422">
                  <v>45552</v>
                </pt>
                <pt idx="423">
                  <v>45551</v>
                </pt>
                <pt idx="424">
                  <v>45548</v>
                </pt>
                <pt idx="425">
                  <v>45547</v>
                </pt>
                <pt idx="426">
                  <v>45546</v>
                </pt>
                <pt idx="427">
                  <v>45545</v>
                </pt>
                <pt idx="428">
                  <v>45544</v>
                </pt>
                <pt idx="429">
                  <v>45541</v>
                </pt>
                <pt idx="430">
                  <v>45540</v>
                </pt>
                <pt idx="431">
                  <v>45539</v>
                </pt>
                <pt idx="432">
                  <v>45538</v>
                </pt>
                <pt idx="433">
                  <v>45537</v>
                </pt>
                <pt idx="434">
                  <v>45534</v>
                </pt>
                <pt idx="435">
                  <v>45533</v>
                </pt>
                <pt idx="436">
                  <v>45532</v>
                </pt>
                <pt idx="437">
                  <v>45531</v>
                </pt>
                <pt idx="438">
                  <v>45530</v>
                </pt>
                <pt idx="439">
                  <v>45527</v>
                </pt>
                <pt idx="440">
                  <v>45526</v>
                </pt>
                <pt idx="441">
                  <v>45525</v>
                </pt>
                <pt idx="442">
                  <v>45524</v>
                </pt>
                <pt idx="443">
                  <v>45523</v>
                </pt>
                <pt idx="444">
                  <v>45520</v>
                </pt>
                <pt idx="445">
                  <v>45518</v>
                </pt>
                <pt idx="446">
                  <v>45517</v>
                </pt>
                <pt idx="447">
                  <v>45516</v>
                </pt>
                <pt idx="448">
                  <v>45513</v>
                </pt>
                <pt idx="449">
                  <v>45512</v>
                </pt>
                <pt idx="450">
                  <v>45511</v>
                </pt>
                <pt idx="451">
                  <v>45510</v>
                </pt>
                <pt idx="452">
                  <v>45509</v>
                </pt>
                <pt idx="453">
                  <v>45506</v>
                </pt>
                <pt idx="454">
                  <v>45505</v>
                </pt>
                <pt idx="455">
                  <v>45504</v>
                </pt>
                <pt idx="456">
                  <v>45503</v>
                </pt>
                <pt idx="457">
                  <v>45502</v>
                </pt>
                <pt idx="458">
                  <v>45499</v>
                </pt>
                <pt idx="459">
                  <v>45498</v>
                </pt>
                <pt idx="460">
                  <v>45497</v>
                </pt>
                <pt idx="461">
                  <v>45496</v>
                </pt>
                <pt idx="462">
                  <v>45495</v>
                </pt>
                <pt idx="463">
                  <v>45492</v>
                </pt>
                <pt idx="464">
                  <v>45491</v>
                </pt>
                <pt idx="465">
                  <v>45489</v>
                </pt>
                <pt idx="466">
                  <v>45488</v>
                </pt>
                <pt idx="467">
                  <v>45485</v>
                </pt>
                <pt idx="468">
                  <v>45484</v>
                </pt>
                <pt idx="469">
                  <v>45483</v>
                </pt>
                <pt idx="470">
                  <v>45482</v>
                </pt>
                <pt idx="471">
                  <v>45481</v>
                </pt>
                <pt idx="472">
                  <v>45478</v>
                </pt>
                <pt idx="473">
                  <v>45477</v>
                </pt>
                <pt idx="474">
                  <v>45476</v>
                </pt>
                <pt idx="475">
                  <v>45475</v>
                </pt>
                <pt idx="476">
                  <v>45474</v>
                </pt>
                <pt idx="477">
                  <v>45471</v>
                </pt>
                <pt idx="478">
                  <v>45470</v>
                </pt>
                <pt idx="479">
                  <v>45469</v>
                </pt>
                <pt idx="480">
                  <v>45468</v>
                </pt>
                <pt idx="481">
                  <v>45467</v>
                </pt>
                <pt idx="482">
                  <v>45464</v>
                </pt>
                <pt idx="483">
                  <v>45463</v>
                </pt>
                <pt idx="484">
                  <v>45462</v>
                </pt>
                <pt idx="485">
                  <v>45461</v>
                </pt>
                <pt idx="486">
                  <v>45457</v>
                </pt>
                <pt idx="487">
                  <v>45456</v>
                </pt>
                <pt idx="488">
                  <v>45455</v>
                </pt>
                <pt idx="489">
                  <v>45454</v>
                </pt>
                <pt idx="490">
                  <v>45453</v>
                </pt>
                <pt idx="491">
                  <v>45450</v>
                </pt>
                <pt idx="492">
                  <v>45449</v>
                </pt>
                <pt idx="493">
                  <v>45448</v>
                </pt>
                <pt idx="494">
                  <v>45447</v>
                </pt>
                <pt idx="495">
                  <v>45446</v>
                </pt>
              </numCache>
            </numRef>
          </cat>
          <val>
            <numRef>
              <f>'Graphical Representation'!$H$267:$H$762</f>
              <numCache>
                <formatCode>0.00</formatCode>
                <ptCount val="496"/>
                <pt idx="0">
                  <v>111.3311520578612</v>
                </pt>
                <pt idx="1">
                  <v>107.3589346191378</v>
                </pt>
                <pt idx="2">
                  <v>105.6253946386545</v>
                </pt>
                <pt idx="3">
                  <v>105.6426152344871</v>
                </pt>
                <pt idx="4">
                  <v>111.7616669536766</v>
                </pt>
                <pt idx="5">
                  <v>113.7248148785948</v>
                </pt>
                <pt idx="6">
                  <v>113.5239079272143</v>
                </pt>
                <pt idx="7">
                  <v>113.5181677286034</v>
                </pt>
                <pt idx="8">
                  <v>113.5640893174904</v>
                </pt>
                <pt idx="9">
                  <v>112.0486768842202</v>
                </pt>
                <pt idx="10">
                  <v>112.2495838356007</v>
                </pt>
                <pt idx="11">
                  <v>110.7628723953849</v>
                </pt>
                <pt idx="12">
                  <v>112.8810056827966</v>
                </pt>
                <pt idx="13">
                  <v>112.5882555536422</v>
                </pt>
                <pt idx="14">
                  <v>113.6100109063774</v>
                </pt>
                <pt idx="15">
                  <v>113.1048734286206</v>
                </pt>
                <pt idx="16">
                  <v>118.6843464783882</v>
                </pt>
                <pt idx="17">
                  <v>124.0973537684404</v>
                </pt>
                <pt idx="18">
                  <v>125.4118592503301</v>
                </pt>
                <pt idx="19">
                  <v>121.7955341254808</v>
                </pt>
                <pt idx="20">
                  <v>118.9483956144883</v>
                </pt>
                <pt idx="21">
                  <v>119.2526261408645</v>
                </pt>
                <pt idx="22">
                  <v>118.3743757534011</v>
                </pt>
                <pt idx="23">
                  <v>120.1480971241605</v>
                </pt>
                <pt idx="24">
                  <v>124.6828540267493</v>
                </pt>
                <pt idx="25">
                  <v>127.1741002238678</v>
                </pt>
                <pt idx="26">
                  <v>121.0493083060674</v>
                </pt>
                <pt idx="27">
                  <v>123.8620056253947</v>
                </pt>
                <pt idx="28">
                  <v>117.8233166867574</v>
                </pt>
                <pt idx="29">
                  <v>117.3698409964985</v>
                </pt>
                <pt idx="30">
                  <v>116.4284484243155</v>
                </pt>
                <pt idx="31">
                  <v>116.0840365076632</v>
                </pt>
                <pt idx="32">
                  <v>117.6740715228747</v>
                </pt>
                <pt idx="33">
                  <v>115.8027667757304</v>
                </pt>
                <pt idx="34">
                  <v>110.8719361689915</v>
                </pt>
                <pt idx="35">
                  <v>109.7411170426497</v>
                </pt>
                <pt idx="36">
                  <v>106.9571207163768</v>
                </pt>
                <pt idx="37">
                  <v>105.0743355720108</v>
                </pt>
                <pt idx="38">
                  <v>99.74743126112165</v>
                </pt>
                <pt idx="39">
                  <v>98.59365134033638</v>
                </pt>
                <pt idx="40">
                  <v>100.3845933069284</v>
                </pt>
                <pt idx="41">
                  <v>99.23655358475403</v>
                </pt>
                <pt idx="42">
                  <v>92.05556512255325</v>
                </pt>
                <pt idx="43">
                  <v>96.02204236266574</v>
                </pt>
                <pt idx="44">
                  <v>98.43292577923197</v>
                </pt>
                <pt idx="45">
                  <v>94.71901727799782</v>
                </pt>
                <pt idx="46">
                  <v>86.54497445611618</v>
                </pt>
                <pt idx="47">
                  <v>91.16583433786811</v>
                </pt>
                <pt idx="48">
                  <v>93.71448252109523</v>
                </pt>
                <pt idx="49">
                  <v>95.18397336547847</v>
                </pt>
                <pt idx="50">
                  <v>88.67458814074968</v>
                </pt>
                <pt idx="51">
                  <v>86.3785086964009</v>
                </pt>
                <pt idx="52">
                  <v>87.35434246024913</v>
                </pt>
                <pt idx="53">
                  <v>89.35193157683256</v>
                </pt>
                <pt idx="54">
                  <v>87.67005338384708</v>
                </pt>
                <pt idx="55">
                  <v>86.0111359853051</v>
                </pt>
                <pt idx="56">
                  <v>83.20991906319959</v>
                </pt>
                <pt idx="57">
                  <v>84.90901785201768</v>
                </pt>
                <pt idx="58">
                  <v>83.87004190344986</v>
                </pt>
                <pt idx="59">
                  <v>85.54043969921359</v>
                </pt>
                <pt idx="60">
                  <v>89.42081396016303</v>
                </pt>
                <pt idx="61">
                  <v>90.19000057401986</v>
                </pt>
                <pt idx="62">
                  <v>92.60662418919695</v>
                </pt>
                <pt idx="63">
                  <v>91.05103036565066</v>
                </pt>
                <pt idx="64">
                  <v>93.59967854887779</v>
                </pt>
                <pt idx="65">
                  <v>99.27673497503015</v>
                </pt>
                <pt idx="66">
                  <v>97.61207737787728</v>
                </pt>
                <pt idx="67">
                  <v>99.21359279031056</v>
                </pt>
                <pt idx="68">
                  <v>103.22599161931</v>
                </pt>
                <pt idx="69">
                  <v>103.1169278457035</v>
                </pt>
                <pt idx="70">
                  <v>108.1166408357729</v>
                </pt>
                <pt idx="71">
                  <v>113.9142414327536</v>
                </pt>
                <pt idx="72">
                  <v>117.4674243728833</v>
                </pt>
                <pt idx="73">
                  <v>119.4650134894667</v>
                </pt>
                <pt idx="74">
                  <v>121.4339016129958</v>
                </pt>
                <pt idx="75">
                  <v>115.911830549337</v>
                </pt>
                <pt idx="76">
                  <v>110.9982205384306</v>
                </pt>
                <pt idx="77">
                  <v>109.0867344010103</v>
                </pt>
                <pt idx="78">
                  <v>111.2565294759199</v>
                </pt>
                <pt idx="79">
                  <v>118.9369152172665</v>
                </pt>
                <pt idx="80">
                  <v>101.9803685207508</v>
                </pt>
                <pt idx="81">
                  <v>100.8782503874634</v>
                </pt>
                <pt idx="82">
                  <v>101.6703977957637</v>
                </pt>
                <pt idx="83">
                  <v>99.38005855002584</v>
                </pt>
                <pt idx="84">
                  <v>102.2731186499053</v>
                </pt>
                <pt idx="85">
                  <v>99.39727914585845</v>
                </pt>
                <pt idx="86">
                  <v>104.4716147178693</v>
                </pt>
                <pt idx="87">
                  <v>107.6459445496814</v>
                </pt>
                <pt idx="88">
                  <v>105.5048504678262</v>
                </pt>
                <pt idx="89">
                  <v>113.041731243901</v>
                </pt>
                <pt idx="90">
                  <v>114.0520061994145</v>
                </pt>
                <pt idx="91">
                  <v>113.2368979966707</v>
                </pt>
                <pt idx="92">
                  <v>114.9130359910453</v>
                </pt>
                <pt idx="93">
                  <v>118.0414442339705</v>
                </pt>
                <pt idx="94">
                  <v>121.7151713449285</v>
                </pt>
                <pt idx="95">
                  <v>124.1949371448252</v>
                </pt>
                <pt idx="96">
                  <v>126.2843694391826</v>
                </pt>
                <pt idx="97">
                  <v>127.2774237988635</v>
                </pt>
                <pt idx="98">
                  <v>129.0109637793468</v>
                </pt>
                <pt idx="99">
                  <v>129.1257677515642</v>
                </pt>
                <pt idx="100">
                  <v>129.5218414557144</v>
                </pt>
                <pt idx="101">
                  <v>128.1097525974399</v>
                </pt>
                <pt idx="102">
                  <v>128.7583950404684</v>
                </pt>
                <pt idx="103">
                  <v>127.8858848516159</v>
                </pt>
                <pt idx="104">
                  <v>128.9593019918489</v>
                </pt>
                <pt idx="105">
                  <v>127.656276907181</v>
                </pt>
                <pt idx="106">
                  <v>127.0765168474829</v>
                </pt>
                <pt idx="107">
                  <v>126.5771195683371</v>
                </pt>
                <pt idx="108">
                  <v>127.1339188335917</v>
                </pt>
                <pt idx="109">
                  <v>124.9354227656277</v>
                </pt>
                <pt idx="110">
                  <v>123.6496182767924</v>
                </pt>
                <pt idx="111">
                  <v>124.9296825670168</v>
                </pt>
                <pt idx="112">
                  <v>126.4221342058435</v>
                </pt>
                <pt idx="113">
                  <v>130.7215429653866</v>
                </pt>
                <pt idx="114">
                  <v>127.3520463808048</v>
                </pt>
                <pt idx="115">
                  <v>127.4553699558005</v>
                </pt>
                <pt idx="116">
                  <v>126.3245508294587</v>
                </pt>
                <pt idx="117">
                  <v>127.340565983583</v>
                </pt>
                <pt idx="118">
                  <v>129.0626255668446</v>
                </pt>
                <pt idx="119">
                  <v>125.3888984558866</v>
                </pt>
                <pt idx="120">
                  <v>126.9559726766546</v>
                </pt>
                <pt idx="121">
                  <v>125.4118592503301</v>
                </pt>
                <pt idx="122">
                  <v>128.0408702141094</v>
                </pt>
                <pt idx="123">
                  <v>129.5792434418231</v>
                </pt>
                <pt idx="124">
                  <v>129.717008208484</v>
                </pt>
                <pt idx="125">
                  <v>130.8420871362149</v>
                </pt>
                <pt idx="126">
                  <v>132.5354457264222</v>
                </pt>
                <pt idx="127">
                  <v>130.4287928362321</v>
                </pt>
                <pt idx="128">
                  <v>130.2278858848516</v>
                </pt>
                <pt idx="129">
                  <v>132.7765340680788</v>
                </pt>
                <pt idx="130">
                  <v>137.9254922220309</v>
                </pt>
                <pt idx="131">
                  <v>137.5983009012112</v>
                </pt>
                <pt idx="132">
                  <v>139.7853165719534</v>
                </pt>
                <pt idx="133">
                  <v>140.4684002066471</v>
                </pt>
                <pt idx="134">
                  <v>140.6291257677516</v>
                </pt>
                <pt idx="135">
                  <v>140.4798806038689</v>
                </pt>
                <pt idx="136">
                  <v>138.7693014178291</v>
                </pt>
                <pt idx="137">
                  <v>137.9140118248091</v>
                </pt>
                <pt idx="138">
                  <v>137.6327420928764</v>
                </pt>
                <pt idx="139">
                  <v>132.7707938694679</v>
                </pt>
                <pt idx="140">
                  <v>131.6744159347914</v>
                </pt>
                <pt idx="141">
                  <v>133.6490442569313</v>
                </pt>
                <pt idx="142">
                  <v>135.4342460249125</v>
                </pt>
                <pt idx="143">
                  <v>132.4378623500373</v>
                </pt>
                <pt idx="144">
                  <v>134.4182308707881</v>
                </pt>
                <pt idx="145">
                  <v>132.2025142069916</v>
                </pt>
                <pt idx="146">
                  <v>132.0130876528328</v>
                </pt>
                <pt idx="147">
                  <v>131.9269846736697</v>
                </pt>
                <pt idx="148">
                  <v>132.9602204236267</v>
                </pt>
                <pt idx="149">
                  <v>133.9475345846966</v>
                </pt>
                <pt idx="150">
                  <v>133.2185293611159</v>
                </pt>
                <pt idx="151">
                  <v>134.5732162332817</v>
                </pt>
                <pt idx="152">
                  <v>136.8750358762413</v>
                </pt>
                <pt idx="153">
                  <v>136.8176338901326</v>
                </pt>
                <pt idx="154">
                  <v>133.9130933930314</v>
                </pt>
                <pt idx="155">
                  <v>132.6272889041961</v>
                </pt>
                <pt idx="156">
                  <v>134.8544859652144</v>
                </pt>
                <pt idx="157">
                  <v>137.6671832845417</v>
                </pt>
                <pt idx="158">
                  <v>137.4433155387177</v>
                </pt>
                <pt idx="159">
                  <v>136.7602319040239</v>
                </pt>
                <pt idx="160">
                  <v>142.402847138511</v>
                </pt>
                <pt idx="161">
                  <v>143.074450375983</v>
                </pt>
                <pt idx="162">
                  <v>133.4768382986051</v>
                </pt>
                <pt idx="163">
                  <v>133.3562941277768</v>
                </pt>
                <pt idx="164">
                  <v>134.7282015957752</v>
                </pt>
                <pt idx="165">
                  <v>132.2312152000459</v>
                </pt>
                <pt idx="166">
                  <v>131.6055335514609</v>
                </pt>
                <pt idx="167">
                  <v>135.7212559554561</v>
                </pt>
                <pt idx="168">
                  <v>138.4995120831181</v>
                </pt>
                <pt idx="169">
                  <v>140.4396992135928</v>
                </pt>
                <pt idx="170">
                  <v>143.1318523620917</v>
                </pt>
                <pt idx="171">
                  <v>145.6116181619884</v>
                </pt>
                <pt idx="172">
                  <v>130.7961655473279</v>
                </pt>
                <pt idx="173">
                  <v>132.633029102807</v>
                </pt>
                <pt idx="174">
                  <v>132.7593134722462</v>
                </pt>
                <pt idx="175">
                  <v>131.9729062625567</v>
                </pt>
                <pt idx="176">
                  <v>130.6009987945583</v>
                </pt>
                <pt idx="177">
                  <v>131.3644452098043</v>
                </pt>
                <pt idx="178">
                  <v>131.5940531542392</v>
                </pt>
                <pt idx="179">
                  <v>128.8731990126858</v>
                </pt>
                <pt idx="180">
                  <v>129.9695769473624</v>
                </pt>
                <pt idx="181">
                  <v>129.8031111876471</v>
                </pt>
                <pt idx="182">
                  <v>133.4997990930486</v>
                </pt>
                <pt idx="183">
                  <v>133.0291028069571</v>
                </pt>
                <pt idx="184">
                  <v>132.633029102807</v>
                </pt>
                <pt idx="185">
                  <v>129.0798461626772</v>
                </pt>
                <pt idx="186">
                  <v>127.1281786349808</v>
                </pt>
                <pt idx="187">
                  <v>128.5345272946444</v>
                </pt>
                <pt idx="188">
                  <v>128.37380173354</v>
                </pt>
                <pt idx="189">
                  <v>131.0487342862063</v>
                </pt>
                <pt idx="190">
                  <v>131.2783422306412</v>
                </pt>
                <pt idx="191">
                  <v>132.5584065208656</v>
                </pt>
                <pt idx="192">
                  <v>133.5629412777682</v>
                </pt>
                <pt idx="193">
                  <v>132.3345387750416</v>
                </pt>
                <pt idx="194">
                  <v>134.8257849721601</v>
                </pt>
                <pt idx="195">
                  <v>127.4209287641353</v>
                </pt>
                <pt idx="196">
                  <v>129.1602089432294</v>
                </pt>
                <pt idx="197">
                  <v>128.9707823890707</v>
                </pt>
                <pt idx="198">
                  <v>133.3390735319442</v>
                </pt>
                <pt idx="199">
                  <v>132.6100683083635</v>
                </pt>
                <pt idx="200">
                  <v>135.1701968888124</v>
                </pt>
                <pt idx="201">
                  <v>140.7726307330234</v>
                </pt>
                <pt idx="202">
                  <v>150.3243212215143</v>
                </pt>
                <pt idx="203">
                  <v>152.8729694047414</v>
                </pt>
                <pt idx="204">
                  <v>149.8134435451467</v>
                </pt>
                <pt idx="205">
                  <v>151.8454738533954</v>
                </pt>
                <pt idx="206">
                  <v>154.7442741518857</v>
                </pt>
                <pt idx="207">
                  <v>154.5778083921704</v>
                </pt>
                <pt idx="208">
                  <v>147.1901727799782</v>
                </pt>
                <pt idx="209">
                  <v>152.1152631881063</v>
                </pt>
                <pt idx="210">
                  <v>155.6799265254578</v>
                </pt>
                <pt idx="211">
                  <v>157.5856724642673</v>
                </pt>
                <pt idx="212">
                  <v>156.1506228115493</v>
                </pt>
                <pt idx="213">
                  <v>160.0137764766661</v>
                </pt>
                <pt idx="214">
                  <v>161.5693703002124</v>
                </pt>
                <pt idx="215">
                  <v>164.7781413236898</v>
                </pt>
                <pt idx="216">
                  <v>163.3603122668044</v>
                </pt>
                <pt idx="217">
                  <v>167.1488433499799</v>
                </pt>
                <pt idx="218">
                  <v>164.8699845014638</v>
                </pt>
                <pt idx="219">
                  <v>163.561219218185</v>
                </pt>
                <pt idx="220">
                  <v>164.6575971528615</v>
                </pt>
                <pt idx="221">
                  <v>166.3337351472361</v>
                </pt>
                <pt idx="222">
                  <v>163.7047241834568</v>
                </pt>
                <pt idx="223">
                  <v>160.4385511738706</v>
                </pt>
                <pt idx="224">
                  <v>158.4524424545089</v>
                </pt>
                <pt idx="225">
                  <v>159.6291831697377</v>
                </pt>
                <pt idx="226">
                  <v>158.6361288100568</v>
                </pt>
                <pt idx="227">
                  <v>157.8267608059239</v>
                </pt>
                <pt idx="228">
                  <v>158.9518397336548</v>
                </pt>
                <pt idx="229">
                  <v>155.5249411629642</v>
                </pt>
                <pt idx="230">
                  <v>150.1291544687446</v>
                </pt>
                <pt idx="231">
                  <v>153.1312783422306</v>
                </pt>
                <pt idx="232">
                  <v>148.4702370702026</v>
                </pt>
                <pt idx="233">
                  <v>148.3037713104873</v>
                </pt>
                <pt idx="234">
                  <v>148.6481832271397</v>
                </pt>
                <pt idx="235">
                  <v>149.2279432868377</v>
                </pt>
                <pt idx="236">
                  <v>151.8397336547845</v>
                </pt>
                <pt idx="237">
                  <v>153.0910969519545</v>
                </pt>
                <pt idx="238">
                  <v>156.208024797658</v>
                </pt>
                <pt idx="239">
                  <v>156.9944320073475</v>
                </pt>
                <pt idx="240">
                  <v>156.2022845990471</v>
                </pt>
                <pt idx="241">
                  <v>158.4524424545089</v>
                </pt>
                <pt idx="242">
                  <v>159.1355260892027</v>
                </pt>
                <pt idx="243">
                  <v>160.6337179266403</v>
                </pt>
                <pt idx="244">
                  <v>160.5189139544228</v>
                </pt>
                <pt idx="245">
                  <v>161.0527524252339</v>
                </pt>
                <pt idx="246">
                  <v>159.6004821766833</v>
                </pt>
                <pt idx="247">
                  <v>160.4615119683141</v>
                </pt>
                <pt idx="248">
                  <v>156.7877848573561</v>
                </pt>
                <pt idx="249">
                  <v>159.4741978072441</v>
                </pt>
                <pt idx="250">
                  <v>160.5189139544228</v>
                </pt>
                <pt idx="251">
                  <v>161.5923310946559</v>
                </pt>
                <pt idx="252">
                  <v>162.1032087710235</v>
                </pt>
                <pt idx="253">
                  <v>160.8116640835773</v>
                </pt>
                <pt idx="254">
                  <v>159.703805751679</v>
                </pt>
                <pt idx="255">
                  <v>161.184776993284</v>
                </pt>
                <pt idx="256">
                  <v>163.4636358418001</v>
                </pt>
                <pt idx="257">
                  <v>164.4624304000918</v>
                </pt>
                <pt idx="258">
                  <v>168.4633488318696</v>
                </pt>
                <pt idx="259">
                  <v>171.7008208484013</v>
                </pt>
                <pt idx="260">
                  <v>171.046438206762</v>
                </pt>
                <pt idx="261">
                  <v>171.8500660122841</v>
                </pt>
                <pt idx="262">
                  <v>173.6524883760978</v>
                </pt>
                <pt idx="263">
                  <v>189.5298777337696</v>
                </pt>
                <pt idx="264">
                  <v>181.2754721313357</v>
                </pt>
                <pt idx="265">
                  <v>177.5787842259342</v>
                </pt>
                <pt idx="266">
                  <v>179.0654956661501</v>
                </pt>
                <pt idx="267">
                  <v>174.5824005510591</v>
                </pt>
                <pt idx="268">
                  <v>178.8531083175478</v>
                </pt>
                <pt idx="269">
                  <v>167.2751277194191</v>
                </pt>
                <pt idx="270">
                  <v>171.5974972734057</v>
                </pt>
                <pt idx="271">
                  <v>177.3376958842776</v>
                </pt>
                <pt idx="272">
                  <v>173.239194076115</v>
                </pt>
                <pt idx="273">
                  <v>174.2322484357959</v>
                </pt>
                <pt idx="274">
                  <v>176.9531025773492</v>
                </pt>
                <pt idx="275">
                  <v>181.3156535216119</v>
                </pt>
                <pt idx="276">
                  <v>185.4715573158831</v>
                </pt>
                <pt idx="277">
                  <v>191.0280695712072</v>
                </pt>
                <pt idx="278">
                  <v>181.7978302049251</v>
                </pt>
                <pt idx="279">
                  <v>180.9884622007922</v>
                </pt>
                <pt idx="280">
                  <v>183.14677687848</v>
                </pt>
                <pt idx="281">
                  <v>175.9055163308651</v>
                </pt>
                <pt idx="282">
                  <v>166.9249756041559</v>
                </pt>
                <pt idx="283">
                  <v>175.1047586246484</v>
                </pt>
                <pt idx="284">
                  <v>171.3477986338328</v>
                </pt>
                <pt idx="285">
                  <v>182.4235118535101</v>
                </pt>
                <pt idx="286">
                  <v>196.3635841800126</v>
                </pt>
                <pt idx="287">
                  <v>194.6271741002239</v>
                </pt>
                <pt idx="288">
                  <v>194.7678089661903</v>
                </pt>
                <pt idx="289">
                  <v>199.5006027208541</v>
                </pt>
                <pt idx="290">
                  <v>203.5818839331841</v>
                </pt>
                <pt idx="291">
                  <v>193.0945410711211</v>
                </pt>
                <pt idx="292">
                  <v>188.8898455886574</v>
                </pt>
                <pt idx="293">
                  <v>193.5078353711039</v>
                </pt>
                <pt idx="294">
                  <v>187.5064577234373</v>
                </pt>
                <pt idx="295">
                  <v>179.9954078411113</v>
                </pt>
                <pt idx="296">
                  <v>182.1278916250502</v>
                </pt>
                <pt idx="297">
                  <v>181.8466218931175</v>
                </pt>
                <pt idx="298">
                  <v>176.5225876815338</v>
                </pt>
                <pt idx="299">
                  <v>165.6850927042076</v>
                </pt>
                <pt idx="300">
                  <v>170.8541415532978</v>
                </pt>
                <pt idx="301">
                  <v>172.9349635497388</v>
                </pt>
                <pt idx="302">
                  <v>173.0239366282073</v>
                </pt>
                <pt idx="303">
                  <v>175.5324034211584</v>
                </pt>
                <pt idx="304">
                  <v>176.1925262614086</v>
                </pt>
                <pt idx="305">
                  <v>163.0991332300098</v>
                </pt>
                <pt idx="306">
                  <v>157.9501750760576</v>
                </pt>
                <pt idx="307">
                  <v>157.419206704552</v>
                </pt>
                <pt idx="308">
                  <v>160.6193674301131</v>
                </pt>
                <pt idx="309">
                  <v>167.3411400034441</v>
                </pt>
                <pt idx="310">
                  <v>174.8751506802136</v>
                </pt>
                <pt idx="311">
                  <v>184.5990471270306</v>
                </pt>
                <pt idx="312">
                  <v>182.5297055278113</v>
                </pt>
                <pt idx="313">
                  <v>178.3163997474313</v>
                </pt>
                <pt idx="314">
                  <v>177.2372424085873</v>
                </pt>
                <pt idx="315">
                  <v>163.3230009758338</v>
                </pt>
                <pt idx="316">
                  <v>163.2168073015326</v>
                </pt>
                <pt idx="317">
                  <v>156.8279662476322</v>
                </pt>
                <pt idx="318">
                  <v>161.428735434246</v>
                </pt>
                <pt idx="319">
                  <v>153.2604328109753</v>
                </pt>
                <pt idx="320">
                  <v>154.2965386602376</v>
                </pt>
                <pt idx="321">
                  <v>161.9281327133919</v>
                </pt>
                <pt idx="322">
                  <v>160.6509385224729</v>
                </pt>
                <pt idx="323">
                  <v>161.6239021870157</v>
                </pt>
                <pt idx="324">
                  <v>162.5710349578096</v>
                </pt>
                <pt idx="325">
                  <v>162.751851214052</v>
                </pt>
                <pt idx="326">
                  <v>168.6585155846392</v>
                </pt>
                <pt idx="327">
                  <v>173.8017335399805</v>
                </pt>
                <pt idx="328">
                  <v>162.1376499626887</v>
                </pt>
                <pt idx="329">
                  <v>171.8787670053384</v>
                </pt>
                <pt idx="330">
                  <v>175.8768153378107</v>
                </pt>
                <pt idx="331">
                  <v>169.9787612651398</v>
                </pt>
                <pt idx="332">
                  <v>162.9269272716836</v>
                </pt>
                <pt idx="333">
                  <v>169.38752080822</v>
                </pt>
                <pt idx="334">
                  <v>176.4250043051489</v>
                </pt>
                <pt idx="335">
                  <v>173.7615521497044</v>
                </pt>
                <pt idx="336">
                  <v>173.6094368865163</v>
                </pt>
                <pt idx="337">
                  <v>178.7497847425521</v>
                </pt>
                <pt idx="338">
                  <v>177.9691177314735</v>
                </pt>
                <pt idx="339">
                  <v>177.8055220710637</v>
                </pt>
                <pt idx="340">
                  <v>174.7546065093852</v>
                </pt>
                <pt idx="341">
                  <v>179.0224441765685</v>
                </pt>
                <pt idx="342">
                  <v>166.0180242236382</v>
                </pt>
                <pt idx="343">
                  <v>177.5271224384364</v>
                </pt>
                <pt idx="344">
                  <v>189.0620515469836</v>
                </pt>
                <pt idx="345">
                  <v>196.6965156994432</v>
                </pt>
                <pt idx="346">
                  <v>200.4965271798404</v>
                </pt>
                <pt idx="347">
                  <v>197.2246139716434</v>
                </pt>
                <pt idx="348">
                  <v>201.8397336547845</v>
                </pt>
                <pt idx="349">
                  <v>203.363756385971</v>
                </pt>
                <pt idx="350">
                  <v>200.4333849951208</v>
                </pt>
                <pt idx="351">
                  <v>200.829458699271</v>
                </pt>
                <pt idx="352">
                  <v>199.3886688479421</v>
                </pt>
                <pt idx="353">
                  <v>197.6120773778773</v>
                </pt>
                <pt idx="354">
                  <v>200.8868606853797</v>
                </pt>
                <pt idx="355">
                  <v>194.1306469203834</v>
                </pt>
                <pt idx="356">
                  <v>196.7309568911084</v>
                </pt>
                <pt idx="357">
                  <v>196.3980253716778</v>
                </pt>
                <pt idx="358">
                  <v>197.7670627403708</v>
                </pt>
                <pt idx="359">
                  <v>195.0462085988175</v>
                </pt>
                <pt idx="360">
                  <v>207.5139199816314</v>
                </pt>
                <pt idx="361">
                  <v>211.2163480856437</v>
                </pt>
                <pt idx="362">
                  <v>214.140979277883</v>
                </pt>
                <pt idx="363">
                  <v>214.7838815223007</v>
                </pt>
                <pt idx="364">
                  <v>208.2888467940991</v>
                </pt>
                <pt idx="365">
                  <v>205.2723724240859</v>
                </pt>
                <pt idx="366">
                  <v>211.6353825842374</v>
                </pt>
                <pt idx="367">
                  <v>206.5093852247288</v>
                </pt>
                <pt idx="368">
                  <v>208.650479306584</v>
                </pt>
                <pt idx="369">
                  <v>212.5337236668389</v>
                </pt>
                <pt idx="370">
                  <v>204.5060559095345</v>
                </pt>
                <pt idx="371">
                  <v>206.3716204580678</v>
                </pt>
                <pt idx="372">
                  <v>209.8128695252856</v>
                </pt>
                <pt idx="373">
                  <v>199.7818724527869</v>
                </pt>
                <pt idx="374">
                  <v>199.2279432868377</v>
                </pt>
                <pt idx="375">
                  <v>205.4015268928305</v>
                </pt>
                <pt idx="376">
                  <v>211.2077377877275</v>
                </pt>
                <pt idx="377">
                  <v>197.1327707938695</v>
                </pt>
                <pt idx="378">
                  <v>200.2382182423512</v>
                </pt>
                <pt idx="379">
                  <v>195.9617702772516</v>
                </pt>
                <pt idx="380">
                  <v>187.7504161643993</v>
                </pt>
                <pt idx="381">
                  <v>202.8787096033523</v>
                </pt>
                <pt idx="382">
                  <v>186.2034326387693</v>
                </pt>
                <pt idx="383">
                  <v>200.9098214798232</v>
                </pt>
                <pt idx="384">
                  <v>194.8539119453533</v>
                </pt>
                <pt idx="385">
                  <v>204.4630044199529</v>
                </pt>
                <pt idx="386">
                  <v>202.0377705068595</v>
                </pt>
                <pt idx="387">
                  <v>204.2735778657942</v>
                </pt>
                <pt idx="388">
                  <v>187.8967912289765</v>
                </pt>
                <pt idx="389">
                  <v>189.9747431261122</v>
                </pt>
                <pt idx="390">
                  <v>206.8365765455485</v>
                </pt>
                <pt idx="391">
                  <v>199.8507548361173</v>
                </pt>
                <pt idx="392">
                  <v>178.5546179897825</v>
                </pt>
                <pt idx="393">
                  <v>180.750243958441</v>
                </pt>
                <pt idx="394">
                  <v>157.3130130302509</v>
                </pt>
                <pt idx="395">
                  <v>157.4565179955227</v>
                </pt>
                <pt idx="396">
                  <v>157.663165145514</v>
                </pt>
                <pt idx="397">
                  <v>157.5282704781586</v>
                </pt>
                <pt idx="398">
                  <v>159.2015383732277</v>
                </pt>
                <pt idx="399">
                  <v>161.204867688422</v>
                </pt>
                <pt idx="400">
                  <v>154.9365708053499</v>
                </pt>
                <pt idx="401">
                  <v>156.0472992365536</v>
                </pt>
                <pt idx="402">
                  <v>156.9800815108203</v>
                </pt>
                <pt idx="403">
                  <v>154.1300729005224</v>
                </pt>
                <pt idx="404">
                  <v>156.9312898226279</v>
                </pt>
                <pt idx="405">
                  <v>157.0030423052638</v>
                </pt>
                <pt idx="406">
                  <v>157.1723781642845</v>
                </pt>
                <pt idx="407">
                  <v>157.9817461684174</v>
                </pt>
                <pt idx="408">
                  <v>161.1905171918948</v>
                </pt>
                <pt idx="409">
                  <v>157.5053096837151</v>
                </pt>
                <pt idx="410">
                  <v>152.3018196429597</v>
                </pt>
                <pt idx="411">
                  <v>149.6670684805694</v>
                </pt>
                <pt idx="412">
                  <v>133.7035761437346</v>
                </pt>
                <pt idx="413">
                  <v>133.3591642270823</v>
                </pt>
                <pt idx="414">
                  <v>127.4582400551059</v>
                </pt>
                <pt idx="415">
                  <v>128.5115665002009</v>
                </pt>
                <pt idx="416">
                  <v>125.14781011423</v>
                </pt>
                <pt idx="417">
                  <v>126.5598989725045</v>
                </pt>
                <pt idx="418">
                  <v>129.4127776821078</v>
                </pt>
                <pt idx="419">
                  <v>127.8198725675908</v>
                </pt>
                <pt idx="420">
                  <v>123.5836059927673</v>
                </pt>
                <pt idx="421">
                  <v>127.0564261523449</v>
                </pt>
                <pt idx="422">
                  <v>129.49314046266</v>
                </pt>
                <pt idx="423">
                  <v>127.9633775328626</v>
                </pt>
                <pt idx="424">
                  <v>129.8547729751449</v>
                </pt>
                <pt idx="425">
                  <v>127.6993283967626</v>
                </pt>
                <pt idx="426">
                  <v>130.8334768382986</v>
                </pt>
                <pt idx="427">
                  <v>131.0889156764824</v>
                </pt>
                <pt idx="428">
                  <v>128.6464611675564</v>
                </pt>
                <pt idx="429">
                  <v>130.5321164112278</v>
                </pt>
                <pt idx="430">
                  <v>133.528500086103</v>
                </pt>
                <pt idx="431">
                  <v>131.4132368979967</v>
                </pt>
                <pt idx="432">
                  <v>128.5201767981172</v>
                </pt>
                <pt idx="433">
                  <v>127.6849779002354</v>
                </pt>
                <pt idx="434">
                  <v>126.82681820791</v>
                </pt>
                <pt idx="435">
                  <v>127.0105045634579</v>
                </pt>
                <pt idx="436">
                  <v>126.5197175822284</v>
                </pt>
                <pt idx="437">
                  <v>127.5500832328799</v>
                </pt>
                <pt idx="438">
                  <v>115.5329774410195</v>
                </pt>
                <pt idx="439">
                  <v>115.3205900924172</v>
                </pt>
                <pt idx="440">
                  <v>113.9056311348373</v>
                </pt>
                <pt idx="441">
                  <v>113.4062338556914</v>
                </pt>
                <pt idx="442">
                  <v>111.678434073819</v>
                </pt>
                <pt idx="443">
                  <v>111.1331152057861</v>
                </pt>
                <pt idx="444">
                  <v>108.8427759600482</v>
                </pt>
                <pt idx="445">
                  <v>109.2589403593364</v>
                </pt>
                <pt idx="446">
                  <v>108.4581826531198</v>
                </pt>
                <pt idx="447">
                  <v>106.5266058205614</v>
                </pt>
                <pt idx="448">
                  <v>103.561793238046</v>
                </pt>
                <pt idx="449">
                  <v>100.111933872912</v>
                </pt>
                <pt idx="450">
                  <v>98.24636932437862</v>
                </pt>
                <pt idx="451">
                  <v>97.12416049595316</v>
                </pt>
                <pt idx="452">
                  <v>97.35089834108261</v>
                </pt>
                <pt idx="453">
                  <v>102.9131507950175</v>
                </pt>
                <pt idx="454">
                  <v>102.712243843637</v>
                </pt>
                <pt idx="455">
                  <v>102.732334538775</v>
                </pt>
                <pt idx="456">
                  <v>104.0468400206647</v>
                </pt>
                <pt idx="457">
                  <v>103.0910969519546</v>
                </pt>
                <pt idx="458">
                  <v>103.5015211526319</v>
                </pt>
                <pt idx="459">
                  <v>103.8602835658114</v>
                </pt>
                <pt idx="460">
                  <v>104.4027323345388</v>
                </pt>
                <pt idx="461">
                  <v>101.1451696228689</v>
                </pt>
                <pt idx="462">
                  <v>101.2886745881408</v>
                </pt>
                <pt idx="463">
                  <v>101.9315768325584</v>
                </pt>
                <pt idx="464">
                  <v>104.1157224039952</v>
                </pt>
                <pt idx="465">
                  <v>105.1403478560358</v>
                </pt>
                <pt idx="466">
                  <v>103.7770506859538</v>
                </pt>
                <pt idx="467">
                  <v>102.7036335457207</v>
                </pt>
                <pt idx="468">
                  <v>102.0722116985248</v>
                </pt>
                <pt idx="469">
                  <v>101.8971356408932</v>
                </pt>
                <pt idx="470">
                  <v>103.3436656908329</v>
                </pt>
                <pt idx="471">
                  <v>101.5756845186844</v>
                </pt>
                <pt idx="472">
                  <v>103.6048447276276</v>
                </pt>
                <pt idx="473">
                  <v>103.2661730095861</v>
                </pt>
                <pt idx="474">
                  <v>104.3740313414844</v>
                </pt>
                <pt idx="475">
                  <v>104.1300729005224</v>
                </pt>
                <pt idx="476">
                  <v>104.4256931289823</v>
                </pt>
                <pt idx="477">
                  <v>104.4457838241203</v>
                </pt>
                <pt idx="478">
                  <v>102.3735721255955</v>
                </pt>
                <pt idx="479">
                  <v>103.495780954021</v>
                </pt>
                <pt idx="480">
                  <v>109.4368865162735</v>
                </pt>
                <pt idx="481">
                  <v>110.737041501636</v>
                </pt>
                <pt idx="482">
                  <v>109.6406635669594</v>
                </pt>
                <pt idx="483">
                  <v>110.7887032891338</v>
                </pt>
                <pt idx="484">
                  <v>111.7559267550657</v>
                </pt>
                <pt idx="485">
                  <v>113.5382584237415</v>
                </pt>
                <pt idx="486">
                  <v>102.6290109637794</v>
                </pt>
                <pt idx="487">
                  <v>103.8028815797027</v>
                </pt>
                <pt idx="488">
                  <v>102.9590723839045</v>
                </pt>
                <pt idx="489">
                  <v>102.8672292061305</v>
                </pt>
                <pt idx="490">
                  <v>102.8385282130762</v>
                </pt>
                <pt idx="491">
                  <v>101.2370128006429</v>
                </pt>
                <pt idx="492">
                  <v>102.7352046380805</v>
                </pt>
                <pt idx="493">
                  <v>100.381723207623</v>
                </pt>
                <pt idx="494">
                  <v>92.37701624476206</v>
                </pt>
                <pt idx="495">
                  <v>100</v>
                </pt>
              </numCache>
            </numRef>
          </val>
          <smooth val="0"/>
        </ser>
        <ser>
          <idx val="1"/>
          <order val="1"/>
          <tx>
            <v>BSE Cap Goods (₹)</v>
          </tx>
          <spPr>
            <a:ln xmlns:a="http://schemas.openxmlformats.org/drawingml/2006/main" w="28575" cap="rnd">
              <a:solidFill>
                <a:srgbClr val="BF8F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'Graphical Representation'!$B$267:$B$762</f>
              <numCache>
                <formatCode>m/d/yyyy</formatCode>
                <ptCount val="496"/>
                <pt idx="0">
                  <v>46176</v>
                </pt>
                <pt idx="1">
                  <v>46175</v>
                </pt>
                <pt idx="2">
                  <v>46174</v>
                </pt>
                <pt idx="3">
                  <v>46171</v>
                </pt>
                <pt idx="4">
                  <v>46169</v>
                </pt>
                <pt idx="5">
                  <v>46168</v>
                </pt>
                <pt idx="6">
                  <v>46167</v>
                </pt>
                <pt idx="7">
                  <v>46164</v>
                </pt>
                <pt idx="8">
                  <v>46163</v>
                </pt>
                <pt idx="9">
                  <v>46162</v>
                </pt>
                <pt idx="10">
                  <v>46161</v>
                </pt>
                <pt idx="11">
                  <v>46160</v>
                </pt>
                <pt idx="12">
                  <v>46157</v>
                </pt>
                <pt idx="13">
                  <v>46156</v>
                </pt>
                <pt idx="14">
                  <v>46155</v>
                </pt>
                <pt idx="15">
                  <v>46154</v>
                </pt>
                <pt idx="16">
                  <v>46153</v>
                </pt>
                <pt idx="17">
                  <v>46150</v>
                </pt>
                <pt idx="18">
                  <v>46149</v>
                </pt>
                <pt idx="19">
                  <v>46148</v>
                </pt>
                <pt idx="20">
                  <v>46147</v>
                </pt>
                <pt idx="21">
                  <v>46146</v>
                </pt>
                <pt idx="22">
                  <v>46142</v>
                </pt>
                <pt idx="23">
                  <v>46141</v>
                </pt>
                <pt idx="24">
                  <v>46140</v>
                </pt>
                <pt idx="25">
                  <v>46139</v>
                </pt>
                <pt idx="26">
                  <v>46136</v>
                </pt>
                <pt idx="27">
                  <v>46135</v>
                </pt>
                <pt idx="28">
                  <v>46134</v>
                </pt>
                <pt idx="29">
                  <v>46133</v>
                </pt>
                <pt idx="30">
                  <v>46132</v>
                </pt>
                <pt idx="31">
                  <v>46129</v>
                </pt>
                <pt idx="32">
                  <v>46128</v>
                </pt>
                <pt idx="33">
                  <v>46127</v>
                </pt>
                <pt idx="34">
                  <v>46125</v>
                </pt>
                <pt idx="35">
                  <v>46122</v>
                </pt>
                <pt idx="36">
                  <v>46121</v>
                </pt>
                <pt idx="37">
                  <v>46120</v>
                </pt>
                <pt idx="38">
                  <v>46119</v>
                </pt>
                <pt idx="39">
                  <v>46118</v>
                </pt>
                <pt idx="40">
                  <v>46114</v>
                </pt>
                <pt idx="41">
                  <v>46113</v>
                </pt>
                <pt idx="42">
                  <v>46111</v>
                </pt>
                <pt idx="43">
                  <v>46108</v>
                </pt>
                <pt idx="44">
                  <v>46106</v>
                </pt>
                <pt idx="45">
                  <v>46105</v>
                </pt>
                <pt idx="46">
                  <v>46104</v>
                </pt>
                <pt idx="47">
                  <v>46101</v>
                </pt>
                <pt idx="48">
                  <v>46100</v>
                </pt>
                <pt idx="49">
                  <v>46099</v>
                </pt>
                <pt idx="50">
                  <v>46098</v>
                </pt>
                <pt idx="51">
                  <v>46097</v>
                </pt>
                <pt idx="52">
                  <v>46094</v>
                </pt>
                <pt idx="53">
                  <v>46093</v>
                </pt>
                <pt idx="54">
                  <v>46092</v>
                </pt>
                <pt idx="55">
                  <v>46091</v>
                </pt>
                <pt idx="56">
                  <v>46090</v>
                </pt>
                <pt idx="57">
                  <v>46087</v>
                </pt>
                <pt idx="58">
                  <v>46086</v>
                </pt>
                <pt idx="59">
                  <v>46085</v>
                </pt>
                <pt idx="60">
                  <v>46083</v>
                </pt>
                <pt idx="61">
                  <v>46080</v>
                </pt>
                <pt idx="62">
                  <v>46079</v>
                </pt>
                <pt idx="63">
                  <v>46078</v>
                </pt>
                <pt idx="64">
                  <v>46077</v>
                </pt>
                <pt idx="65">
                  <v>46076</v>
                </pt>
                <pt idx="66">
                  <v>46073</v>
                </pt>
                <pt idx="67">
                  <v>46072</v>
                </pt>
                <pt idx="68">
                  <v>46071</v>
                </pt>
                <pt idx="69">
                  <v>46070</v>
                </pt>
                <pt idx="70">
                  <v>46069</v>
                </pt>
                <pt idx="71">
                  <v>46066</v>
                </pt>
                <pt idx="72">
                  <v>46065</v>
                </pt>
                <pt idx="73">
                  <v>46064</v>
                </pt>
                <pt idx="74">
                  <v>46063</v>
                </pt>
                <pt idx="75">
                  <v>46062</v>
                </pt>
                <pt idx="76">
                  <v>46059</v>
                </pt>
                <pt idx="77">
                  <v>46058</v>
                </pt>
                <pt idx="78">
                  <v>46057</v>
                </pt>
                <pt idx="79">
                  <v>46056</v>
                </pt>
                <pt idx="80">
                  <v>46055</v>
                </pt>
                <pt idx="81">
                  <v>46054</v>
                </pt>
                <pt idx="82">
                  <v>46052</v>
                </pt>
                <pt idx="83">
                  <v>46051</v>
                </pt>
                <pt idx="84">
                  <v>46050</v>
                </pt>
                <pt idx="85">
                  <v>46049</v>
                </pt>
                <pt idx="86">
                  <v>46045</v>
                </pt>
                <pt idx="87">
                  <v>46044</v>
                </pt>
                <pt idx="88">
                  <v>46043</v>
                </pt>
                <pt idx="89">
                  <v>46042</v>
                </pt>
                <pt idx="90">
                  <v>46041</v>
                </pt>
                <pt idx="91">
                  <v>46038</v>
                </pt>
                <pt idx="92">
                  <v>46036</v>
                </pt>
                <pt idx="93">
                  <v>46035</v>
                </pt>
                <pt idx="94">
                  <v>46034</v>
                </pt>
                <pt idx="95">
                  <v>46031</v>
                </pt>
                <pt idx="96">
                  <v>46030</v>
                </pt>
                <pt idx="97">
                  <v>46029</v>
                </pt>
                <pt idx="98">
                  <v>46028</v>
                </pt>
                <pt idx="99">
                  <v>46027</v>
                </pt>
                <pt idx="100">
                  <v>46024</v>
                </pt>
                <pt idx="101">
                  <v>46023</v>
                </pt>
                <pt idx="102">
                  <v>46022</v>
                </pt>
                <pt idx="103">
                  <v>46021</v>
                </pt>
                <pt idx="104">
                  <v>46020</v>
                </pt>
                <pt idx="105">
                  <v>46017</v>
                </pt>
                <pt idx="106">
                  <v>46015</v>
                </pt>
                <pt idx="107">
                  <v>46014</v>
                </pt>
                <pt idx="108">
                  <v>46013</v>
                </pt>
                <pt idx="109">
                  <v>46010</v>
                </pt>
                <pt idx="110">
                  <v>46009</v>
                </pt>
                <pt idx="111">
                  <v>46008</v>
                </pt>
                <pt idx="112">
                  <v>46007</v>
                </pt>
                <pt idx="113">
                  <v>46006</v>
                </pt>
                <pt idx="114">
                  <v>46003</v>
                </pt>
                <pt idx="115">
                  <v>46002</v>
                </pt>
                <pt idx="116">
                  <v>46001</v>
                </pt>
                <pt idx="117">
                  <v>46000</v>
                </pt>
                <pt idx="118">
                  <v>45999</v>
                </pt>
                <pt idx="119">
                  <v>45996</v>
                </pt>
                <pt idx="120">
                  <v>45995</v>
                </pt>
                <pt idx="121">
                  <v>45994</v>
                </pt>
                <pt idx="122">
                  <v>45993</v>
                </pt>
                <pt idx="123">
                  <v>45992</v>
                </pt>
                <pt idx="124">
                  <v>45989</v>
                </pt>
                <pt idx="125">
                  <v>45988</v>
                </pt>
                <pt idx="126">
                  <v>45987</v>
                </pt>
                <pt idx="127">
                  <v>45986</v>
                </pt>
                <pt idx="128">
                  <v>45985</v>
                </pt>
                <pt idx="129">
                  <v>45982</v>
                </pt>
                <pt idx="130">
                  <v>45981</v>
                </pt>
                <pt idx="131">
                  <v>45980</v>
                </pt>
                <pt idx="132">
                  <v>45979</v>
                </pt>
                <pt idx="133">
                  <v>45978</v>
                </pt>
                <pt idx="134">
                  <v>45975</v>
                </pt>
                <pt idx="135">
                  <v>45974</v>
                </pt>
                <pt idx="136">
                  <v>45973</v>
                </pt>
                <pt idx="137">
                  <v>45972</v>
                </pt>
                <pt idx="138">
                  <v>45971</v>
                </pt>
                <pt idx="139">
                  <v>45968</v>
                </pt>
                <pt idx="140">
                  <v>45967</v>
                </pt>
                <pt idx="141">
                  <v>45965</v>
                </pt>
                <pt idx="142">
                  <v>45964</v>
                </pt>
                <pt idx="143">
                  <v>45961</v>
                </pt>
                <pt idx="144">
                  <v>45960</v>
                </pt>
                <pt idx="145">
                  <v>45959</v>
                </pt>
                <pt idx="146">
                  <v>45958</v>
                </pt>
                <pt idx="147">
                  <v>45957</v>
                </pt>
                <pt idx="148">
                  <v>45954</v>
                </pt>
                <pt idx="149">
                  <v>45953</v>
                </pt>
                <pt idx="150">
                  <v>45951</v>
                </pt>
                <pt idx="151">
                  <v>45950</v>
                </pt>
                <pt idx="152">
                  <v>45947</v>
                </pt>
                <pt idx="153">
                  <v>45946</v>
                </pt>
                <pt idx="154">
                  <v>45945</v>
                </pt>
                <pt idx="155">
                  <v>45944</v>
                </pt>
                <pt idx="156">
                  <v>45943</v>
                </pt>
                <pt idx="157">
                  <v>45940</v>
                </pt>
                <pt idx="158">
                  <v>45939</v>
                </pt>
                <pt idx="159">
                  <v>45938</v>
                </pt>
                <pt idx="160">
                  <v>45937</v>
                </pt>
                <pt idx="161">
                  <v>45936</v>
                </pt>
                <pt idx="162">
                  <v>45933</v>
                </pt>
                <pt idx="163">
                  <v>45931</v>
                </pt>
                <pt idx="164">
                  <v>45930</v>
                </pt>
                <pt idx="165">
                  <v>45929</v>
                </pt>
                <pt idx="166">
                  <v>45926</v>
                </pt>
                <pt idx="167">
                  <v>45925</v>
                </pt>
                <pt idx="168">
                  <v>45924</v>
                </pt>
                <pt idx="169">
                  <v>45923</v>
                </pt>
                <pt idx="170">
                  <v>45922</v>
                </pt>
                <pt idx="171">
                  <v>45919</v>
                </pt>
                <pt idx="172">
                  <v>45918</v>
                </pt>
                <pt idx="173">
                  <v>45917</v>
                </pt>
                <pt idx="174">
                  <v>45916</v>
                </pt>
                <pt idx="175">
                  <v>45915</v>
                </pt>
                <pt idx="176">
                  <v>45912</v>
                </pt>
                <pt idx="177">
                  <v>45911</v>
                </pt>
                <pt idx="178">
                  <v>45910</v>
                </pt>
                <pt idx="179">
                  <v>45909</v>
                </pt>
                <pt idx="180">
                  <v>45908</v>
                </pt>
                <pt idx="181">
                  <v>45905</v>
                </pt>
                <pt idx="182">
                  <v>45904</v>
                </pt>
                <pt idx="183">
                  <v>45903</v>
                </pt>
                <pt idx="184">
                  <v>45902</v>
                </pt>
                <pt idx="185">
                  <v>45901</v>
                </pt>
                <pt idx="186">
                  <v>45898</v>
                </pt>
                <pt idx="187">
                  <v>45897</v>
                </pt>
                <pt idx="188">
                  <v>45895</v>
                </pt>
                <pt idx="189">
                  <v>45894</v>
                </pt>
                <pt idx="190">
                  <v>45891</v>
                </pt>
                <pt idx="191">
                  <v>45890</v>
                </pt>
                <pt idx="192">
                  <v>45889</v>
                </pt>
                <pt idx="193">
                  <v>45888</v>
                </pt>
                <pt idx="194">
                  <v>45887</v>
                </pt>
                <pt idx="195">
                  <v>45883</v>
                </pt>
                <pt idx="196">
                  <v>45882</v>
                </pt>
                <pt idx="197">
                  <v>45881</v>
                </pt>
                <pt idx="198">
                  <v>45880</v>
                </pt>
                <pt idx="199">
                  <v>45877</v>
                </pt>
                <pt idx="200">
                  <v>45876</v>
                </pt>
                <pt idx="201">
                  <v>45875</v>
                </pt>
                <pt idx="202">
                  <v>45874</v>
                </pt>
                <pt idx="203">
                  <v>45873</v>
                </pt>
                <pt idx="204">
                  <v>45870</v>
                </pt>
                <pt idx="205">
                  <v>45869</v>
                </pt>
                <pt idx="206">
                  <v>45868</v>
                </pt>
                <pt idx="207">
                  <v>45867</v>
                </pt>
                <pt idx="208">
                  <v>45866</v>
                </pt>
                <pt idx="209">
                  <v>45863</v>
                </pt>
                <pt idx="210">
                  <v>45862</v>
                </pt>
                <pt idx="211">
                  <v>45861</v>
                </pt>
                <pt idx="212">
                  <v>45860</v>
                </pt>
                <pt idx="213">
                  <v>45859</v>
                </pt>
                <pt idx="214">
                  <v>45856</v>
                </pt>
                <pt idx="215">
                  <v>45855</v>
                </pt>
                <pt idx="216">
                  <v>45854</v>
                </pt>
                <pt idx="217">
                  <v>45853</v>
                </pt>
                <pt idx="218">
                  <v>45852</v>
                </pt>
                <pt idx="219">
                  <v>45849</v>
                </pt>
                <pt idx="220">
                  <v>45848</v>
                </pt>
                <pt idx="221">
                  <v>45847</v>
                </pt>
                <pt idx="222">
                  <v>45846</v>
                </pt>
                <pt idx="223">
                  <v>45845</v>
                </pt>
                <pt idx="224">
                  <v>45842</v>
                </pt>
                <pt idx="225">
                  <v>45841</v>
                </pt>
                <pt idx="226">
                  <v>45840</v>
                </pt>
                <pt idx="227">
                  <v>45839</v>
                </pt>
                <pt idx="228">
                  <v>45838</v>
                </pt>
                <pt idx="229">
                  <v>45835</v>
                </pt>
                <pt idx="230">
                  <v>45834</v>
                </pt>
                <pt idx="231">
                  <v>45833</v>
                </pt>
                <pt idx="232">
                  <v>45832</v>
                </pt>
                <pt idx="233">
                  <v>45831</v>
                </pt>
                <pt idx="234">
                  <v>45828</v>
                </pt>
                <pt idx="235">
                  <v>45827</v>
                </pt>
                <pt idx="236">
                  <v>45826</v>
                </pt>
                <pt idx="237">
                  <v>45825</v>
                </pt>
                <pt idx="238">
                  <v>45824</v>
                </pt>
                <pt idx="239">
                  <v>45821</v>
                </pt>
                <pt idx="240">
                  <v>45820</v>
                </pt>
                <pt idx="241">
                  <v>45819</v>
                </pt>
                <pt idx="242">
                  <v>45818</v>
                </pt>
                <pt idx="243">
                  <v>45817</v>
                </pt>
                <pt idx="244">
                  <v>45814</v>
                </pt>
                <pt idx="245">
                  <v>45813</v>
                </pt>
                <pt idx="246">
                  <v>45812</v>
                </pt>
                <pt idx="247">
                  <v>45811</v>
                </pt>
                <pt idx="248">
                  <v>45810</v>
                </pt>
                <pt idx="249">
                  <v>45807</v>
                </pt>
                <pt idx="250">
                  <v>45806</v>
                </pt>
                <pt idx="251">
                  <v>45805</v>
                </pt>
                <pt idx="252">
                  <v>45804</v>
                </pt>
                <pt idx="253">
                  <v>45803</v>
                </pt>
                <pt idx="254">
                  <v>45800</v>
                </pt>
                <pt idx="255">
                  <v>45799</v>
                </pt>
                <pt idx="256">
                  <v>45798</v>
                </pt>
                <pt idx="257">
                  <v>45797</v>
                </pt>
                <pt idx="258">
                  <v>45796</v>
                </pt>
                <pt idx="259">
                  <v>45793</v>
                </pt>
                <pt idx="260">
                  <v>45792</v>
                </pt>
                <pt idx="261">
                  <v>45791</v>
                </pt>
                <pt idx="262">
                  <v>45790</v>
                </pt>
                <pt idx="263">
                  <v>45789</v>
                </pt>
                <pt idx="264">
                  <v>45786</v>
                </pt>
                <pt idx="265">
                  <v>45785</v>
                </pt>
                <pt idx="266">
                  <v>45784</v>
                </pt>
                <pt idx="267">
                  <v>45783</v>
                </pt>
                <pt idx="268">
                  <v>45782</v>
                </pt>
                <pt idx="269">
                  <v>45779</v>
                </pt>
                <pt idx="270">
                  <v>45777</v>
                </pt>
                <pt idx="271">
                  <v>45776</v>
                </pt>
                <pt idx="272">
                  <v>45775</v>
                </pt>
                <pt idx="273">
                  <v>45772</v>
                </pt>
                <pt idx="274">
                  <v>45771</v>
                </pt>
                <pt idx="275">
                  <v>45770</v>
                </pt>
                <pt idx="276">
                  <v>45769</v>
                </pt>
                <pt idx="277">
                  <v>45768</v>
                </pt>
                <pt idx="278">
                  <v>45764</v>
                </pt>
                <pt idx="279">
                  <v>45763</v>
                </pt>
                <pt idx="280">
                  <v>45762</v>
                </pt>
                <pt idx="281">
                  <v>45758</v>
                </pt>
                <pt idx="282">
                  <v>45756</v>
                </pt>
                <pt idx="283">
                  <v>45755</v>
                </pt>
                <pt idx="284">
                  <v>45754</v>
                </pt>
                <pt idx="285">
                  <v>45751</v>
                </pt>
                <pt idx="286">
                  <v>45750</v>
                </pt>
                <pt idx="287">
                  <v>45749</v>
                </pt>
                <pt idx="288">
                  <v>45748</v>
                </pt>
                <pt idx="289">
                  <v>45744</v>
                </pt>
                <pt idx="290">
                  <v>45743</v>
                </pt>
                <pt idx="291">
                  <v>45742</v>
                </pt>
                <pt idx="292">
                  <v>45741</v>
                </pt>
                <pt idx="293">
                  <v>45740</v>
                </pt>
                <pt idx="294">
                  <v>45737</v>
                </pt>
                <pt idx="295">
                  <v>45736</v>
                </pt>
                <pt idx="296">
                  <v>45735</v>
                </pt>
                <pt idx="297">
                  <v>45734</v>
                </pt>
                <pt idx="298">
                  <v>45733</v>
                </pt>
                <pt idx="299">
                  <v>45729</v>
                </pt>
                <pt idx="300">
                  <v>45728</v>
                </pt>
                <pt idx="301">
                  <v>45727</v>
                </pt>
                <pt idx="302">
                  <v>45726</v>
                </pt>
                <pt idx="303">
                  <v>45723</v>
                </pt>
                <pt idx="304">
                  <v>45722</v>
                </pt>
                <pt idx="305">
                  <v>45721</v>
                </pt>
                <pt idx="306">
                  <v>45720</v>
                </pt>
                <pt idx="307">
                  <v>45719</v>
                </pt>
                <pt idx="308">
                  <v>45716</v>
                </pt>
                <pt idx="309">
                  <v>45715</v>
                </pt>
                <pt idx="310">
                  <v>45713</v>
                </pt>
                <pt idx="311">
                  <v>45712</v>
                </pt>
                <pt idx="312">
                  <v>45709</v>
                </pt>
                <pt idx="313">
                  <v>45708</v>
                </pt>
                <pt idx="314">
                  <v>45707</v>
                </pt>
                <pt idx="315">
                  <v>45706</v>
                </pt>
                <pt idx="316">
                  <v>45705</v>
                </pt>
                <pt idx="317">
                  <v>45702</v>
                </pt>
                <pt idx="318">
                  <v>45701</v>
                </pt>
                <pt idx="319">
                  <v>45700</v>
                </pt>
                <pt idx="320">
                  <v>45699</v>
                </pt>
                <pt idx="321">
                  <v>45698</v>
                </pt>
                <pt idx="322">
                  <v>45695</v>
                </pt>
                <pt idx="323">
                  <v>45694</v>
                </pt>
                <pt idx="324">
                  <v>45693</v>
                </pt>
                <pt idx="325">
                  <v>45692</v>
                </pt>
                <pt idx="326">
                  <v>45691</v>
                </pt>
                <pt idx="327">
                  <v>45689</v>
                </pt>
                <pt idx="328">
                  <v>45688</v>
                </pt>
                <pt idx="329">
                  <v>45687</v>
                </pt>
                <pt idx="330">
                  <v>45686</v>
                </pt>
                <pt idx="331">
                  <v>45685</v>
                </pt>
                <pt idx="332">
                  <v>45684</v>
                </pt>
                <pt idx="333">
                  <v>45681</v>
                </pt>
                <pt idx="334">
                  <v>45680</v>
                </pt>
                <pt idx="335">
                  <v>45679</v>
                </pt>
                <pt idx="336">
                  <v>45678</v>
                </pt>
                <pt idx="337">
                  <v>45677</v>
                </pt>
                <pt idx="338">
                  <v>45674</v>
                </pt>
                <pt idx="339">
                  <v>45673</v>
                </pt>
                <pt idx="340">
                  <v>45672</v>
                </pt>
                <pt idx="341">
                  <v>45671</v>
                </pt>
                <pt idx="342">
                  <v>45670</v>
                </pt>
                <pt idx="343">
                  <v>45667</v>
                </pt>
                <pt idx="344">
                  <v>45666</v>
                </pt>
                <pt idx="345">
                  <v>45665</v>
                </pt>
                <pt idx="346">
                  <v>45664</v>
                </pt>
                <pt idx="347">
                  <v>45663</v>
                </pt>
                <pt idx="348">
                  <v>45660</v>
                </pt>
                <pt idx="349">
                  <v>45659</v>
                </pt>
                <pt idx="350">
                  <v>45658</v>
                </pt>
                <pt idx="351">
                  <v>45657</v>
                </pt>
                <pt idx="352">
                  <v>45656</v>
                </pt>
                <pt idx="353">
                  <v>45653</v>
                </pt>
                <pt idx="354">
                  <v>45652</v>
                </pt>
                <pt idx="355">
                  <v>45650</v>
                </pt>
                <pt idx="356">
                  <v>45649</v>
                </pt>
                <pt idx="357">
                  <v>45646</v>
                </pt>
                <pt idx="358">
                  <v>45645</v>
                </pt>
                <pt idx="359">
                  <v>45644</v>
                </pt>
                <pt idx="360">
                  <v>45643</v>
                </pt>
                <pt idx="361">
                  <v>45642</v>
                </pt>
                <pt idx="362">
                  <v>45639</v>
                </pt>
                <pt idx="363">
                  <v>45638</v>
                </pt>
                <pt idx="364">
                  <v>45637</v>
                </pt>
                <pt idx="365">
                  <v>45636</v>
                </pt>
                <pt idx="366">
                  <v>45635</v>
                </pt>
                <pt idx="367">
                  <v>45632</v>
                </pt>
                <pt idx="368">
                  <v>45631</v>
                </pt>
                <pt idx="369">
                  <v>45630</v>
                </pt>
                <pt idx="370">
                  <v>45629</v>
                </pt>
                <pt idx="371">
                  <v>45628</v>
                </pt>
                <pt idx="372">
                  <v>45625</v>
                </pt>
                <pt idx="373">
                  <v>45624</v>
                </pt>
                <pt idx="374">
                  <v>45623</v>
                </pt>
                <pt idx="375">
                  <v>45622</v>
                </pt>
                <pt idx="376">
                  <v>45621</v>
                </pt>
                <pt idx="377">
                  <v>45618</v>
                </pt>
                <pt idx="378">
                  <v>45617</v>
                </pt>
                <pt idx="379">
                  <v>45615</v>
                </pt>
                <pt idx="380">
                  <v>45614</v>
                </pt>
                <pt idx="381">
                  <v>45610</v>
                </pt>
                <pt idx="382">
                  <v>45609</v>
                </pt>
                <pt idx="383">
                  <v>45608</v>
                </pt>
                <pt idx="384">
                  <v>45607</v>
                </pt>
                <pt idx="385">
                  <v>45604</v>
                </pt>
                <pt idx="386">
                  <v>45603</v>
                </pt>
                <pt idx="387">
                  <v>45602</v>
                </pt>
                <pt idx="388">
                  <v>45601</v>
                </pt>
                <pt idx="389">
                  <v>45600</v>
                </pt>
                <pt idx="390">
                  <v>45597</v>
                </pt>
                <pt idx="391">
                  <v>45596</v>
                </pt>
                <pt idx="392">
                  <v>45595</v>
                </pt>
                <pt idx="393">
                  <v>45594</v>
                </pt>
                <pt idx="394">
                  <v>45593</v>
                </pt>
                <pt idx="395">
                  <v>45590</v>
                </pt>
                <pt idx="396">
                  <v>45589</v>
                </pt>
                <pt idx="397">
                  <v>45588</v>
                </pt>
                <pt idx="398">
                  <v>45587</v>
                </pt>
                <pt idx="399">
                  <v>45586</v>
                </pt>
                <pt idx="400">
                  <v>45583</v>
                </pt>
                <pt idx="401">
                  <v>45582</v>
                </pt>
                <pt idx="402">
                  <v>45581</v>
                </pt>
                <pt idx="403">
                  <v>45580</v>
                </pt>
                <pt idx="404">
                  <v>45579</v>
                </pt>
                <pt idx="405">
                  <v>45576</v>
                </pt>
                <pt idx="406">
                  <v>45575</v>
                </pt>
                <pt idx="407">
                  <v>45574</v>
                </pt>
                <pt idx="408">
                  <v>45573</v>
                </pt>
                <pt idx="409">
                  <v>45572</v>
                </pt>
                <pt idx="410">
                  <v>45569</v>
                </pt>
                <pt idx="411">
                  <v>45568</v>
                </pt>
                <pt idx="412">
                  <v>45566</v>
                </pt>
                <pt idx="413">
                  <v>45565</v>
                </pt>
                <pt idx="414">
                  <v>45562</v>
                </pt>
                <pt idx="415">
                  <v>45561</v>
                </pt>
                <pt idx="416">
                  <v>45560</v>
                </pt>
                <pt idx="417">
                  <v>45559</v>
                </pt>
                <pt idx="418">
                  <v>45558</v>
                </pt>
                <pt idx="419">
                  <v>45555</v>
                </pt>
                <pt idx="420">
                  <v>45554</v>
                </pt>
                <pt idx="421">
                  <v>45553</v>
                </pt>
                <pt idx="422">
                  <v>45552</v>
                </pt>
                <pt idx="423">
                  <v>45551</v>
                </pt>
                <pt idx="424">
                  <v>45548</v>
                </pt>
                <pt idx="425">
                  <v>45547</v>
                </pt>
                <pt idx="426">
                  <v>45546</v>
                </pt>
                <pt idx="427">
                  <v>45545</v>
                </pt>
                <pt idx="428">
                  <v>45544</v>
                </pt>
                <pt idx="429">
                  <v>45541</v>
                </pt>
                <pt idx="430">
                  <v>45540</v>
                </pt>
                <pt idx="431">
                  <v>45539</v>
                </pt>
                <pt idx="432">
                  <v>45538</v>
                </pt>
                <pt idx="433">
                  <v>45537</v>
                </pt>
                <pt idx="434">
                  <v>45534</v>
                </pt>
                <pt idx="435">
                  <v>45533</v>
                </pt>
                <pt idx="436">
                  <v>45532</v>
                </pt>
                <pt idx="437">
                  <v>45531</v>
                </pt>
                <pt idx="438">
                  <v>45530</v>
                </pt>
                <pt idx="439">
                  <v>45527</v>
                </pt>
                <pt idx="440">
                  <v>45526</v>
                </pt>
                <pt idx="441">
                  <v>45525</v>
                </pt>
                <pt idx="442">
                  <v>45524</v>
                </pt>
                <pt idx="443">
                  <v>45523</v>
                </pt>
                <pt idx="444">
                  <v>45520</v>
                </pt>
                <pt idx="445">
                  <v>45518</v>
                </pt>
                <pt idx="446">
                  <v>45517</v>
                </pt>
                <pt idx="447">
                  <v>45516</v>
                </pt>
                <pt idx="448">
                  <v>45513</v>
                </pt>
                <pt idx="449">
                  <v>45512</v>
                </pt>
                <pt idx="450">
                  <v>45511</v>
                </pt>
                <pt idx="451">
                  <v>45510</v>
                </pt>
                <pt idx="452">
                  <v>45509</v>
                </pt>
                <pt idx="453">
                  <v>45506</v>
                </pt>
                <pt idx="454">
                  <v>45505</v>
                </pt>
                <pt idx="455">
                  <v>45504</v>
                </pt>
                <pt idx="456">
                  <v>45503</v>
                </pt>
                <pt idx="457">
                  <v>45502</v>
                </pt>
                <pt idx="458">
                  <v>45499</v>
                </pt>
                <pt idx="459">
                  <v>45498</v>
                </pt>
                <pt idx="460">
                  <v>45497</v>
                </pt>
                <pt idx="461">
                  <v>45496</v>
                </pt>
                <pt idx="462">
                  <v>45495</v>
                </pt>
                <pt idx="463">
                  <v>45492</v>
                </pt>
                <pt idx="464">
                  <v>45491</v>
                </pt>
                <pt idx="465">
                  <v>45489</v>
                </pt>
                <pt idx="466">
                  <v>45488</v>
                </pt>
                <pt idx="467">
                  <v>45485</v>
                </pt>
                <pt idx="468">
                  <v>45484</v>
                </pt>
                <pt idx="469">
                  <v>45483</v>
                </pt>
                <pt idx="470">
                  <v>45482</v>
                </pt>
                <pt idx="471">
                  <v>45481</v>
                </pt>
                <pt idx="472">
                  <v>45478</v>
                </pt>
                <pt idx="473">
                  <v>45477</v>
                </pt>
                <pt idx="474">
                  <v>45476</v>
                </pt>
                <pt idx="475">
                  <v>45475</v>
                </pt>
                <pt idx="476">
                  <v>45474</v>
                </pt>
                <pt idx="477">
                  <v>45471</v>
                </pt>
                <pt idx="478">
                  <v>45470</v>
                </pt>
                <pt idx="479">
                  <v>45469</v>
                </pt>
                <pt idx="480">
                  <v>45468</v>
                </pt>
                <pt idx="481">
                  <v>45467</v>
                </pt>
                <pt idx="482">
                  <v>45464</v>
                </pt>
                <pt idx="483">
                  <v>45463</v>
                </pt>
                <pt idx="484">
                  <v>45462</v>
                </pt>
                <pt idx="485">
                  <v>45461</v>
                </pt>
                <pt idx="486">
                  <v>45457</v>
                </pt>
                <pt idx="487">
                  <v>45456</v>
                </pt>
                <pt idx="488">
                  <v>45455</v>
                </pt>
                <pt idx="489">
                  <v>45454</v>
                </pt>
                <pt idx="490">
                  <v>45453</v>
                </pt>
                <pt idx="491">
                  <v>45450</v>
                </pt>
                <pt idx="492">
                  <v>45449</v>
                </pt>
                <pt idx="493">
                  <v>45448</v>
                </pt>
                <pt idx="494">
                  <v>45447</v>
                </pt>
                <pt idx="495">
                  <v>45446</v>
                </pt>
              </numCache>
            </numRef>
          </cat>
          <val>
            <numRef>
              <f>'Graphical Representation'!$N$267:$N$762</f>
              <numCache>
                <formatCode>0.00</formatCode>
                <ptCount val="496"/>
                <pt idx="0">
                  <v>107.0083164829298</v>
                </pt>
                <pt idx="1">
                  <v>107.5674284039273</v>
                </pt>
                <pt idx="2">
                  <v>106.9538824564138</v>
                </pt>
                <pt idx="3">
                  <v>109.6259515611768</v>
                </pt>
                <pt idx="4">
                  <v>110.7506727614329</v>
                </pt>
                <pt idx="5">
                  <v>107.304807624616</v>
                </pt>
                <pt idx="6">
                  <v>106.7493038399387</v>
                </pt>
                <pt idx="7">
                  <v>106.2323637077372</v>
                </pt>
                <pt idx="8">
                  <v>106.1753795698369</v>
                </pt>
                <pt idx="9">
                  <v>104.8237934073381</v>
                </pt>
                <pt idx="10">
                  <v>103.2498999284748</v>
                </pt>
                <pt idx="11">
                  <v>103.386683562511</v>
                </pt>
                <pt idx="12">
                  <v>104.2106001348032</v>
                </pt>
                <pt idx="13">
                  <v>105.2657629777271</v>
                </pt>
                <pt idx="14">
                  <v>104.5463738433448</v>
                </pt>
                <pt idx="15">
                  <v>103.3837943405704</v>
                </pt>
                <pt idx="16">
                  <v>106.4170026234949</v>
                </pt>
                <pt idx="17">
                  <v>108.685204619988</v>
                </pt>
                <pt idx="18">
                  <v>108.9506874923954</v>
                </pt>
                <pt idx="19">
                  <v>106.7601825065886</v>
                </pt>
                <pt idx="20">
                  <v>106.3500757640805</v>
                </pt>
                <pt idx="21">
                  <v>105.8922629484957</v>
                </pt>
                <pt idx="22">
                  <v>104.7312162254364</v>
                </pt>
                <pt idx="23">
                  <v>105.7522645463847</v>
                </pt>
                <pt idx="24">
                  <v>105.7236436154231</v>
                </pt>
                <pt idx="25">
                  <v>105.2708767649178</v>
                </pt>
                <pt idx="26">
                  <v>104.5668561209523</v>
                </pt>
                <pt idx="27">
                  <v>105.3254735645009</v>
                </pt>
                <pt idx="28">
                  <v>104.9072010397943</v>
                </pt>
                <pt idx="29">
                  <v>103.7542115835554</v>
                </pt>
                <pt idx="30">
                  <v>103.8127285011707</v>
                </pt>
                <pt idx="31">
                  <v>103.2418155328098</v>
                </pt>
                <pt idx="32">
                  <v>101.0276135013206</v>
                </pt>
                <pt idx="33">
                  <v>100.0054528977472</v>
                </pt>
                <pt idx="34">
                  <v>97.53199406366623</v>
                </pt>
                <pt idx="35">
                  <v>97.90904430913481</v>
                </pt>
                <pt idx="36">
                  <v>95.73567118863811</v>
                </pt>
                <pt idx="37">
                  <v>94.19463074048045</v>
                </pt>
                <pt idx="38">
                  <v>91.40014272485098</v>
                </pt>
                <pt idx="39">
                  <v>90.81231492193605</v>
                </pt>
                <pt idx="40">
                  <v>90.01388589906414</v>
                </pt>
                <pt idx="41">
                  <v>90.0137095615748</v>
                </pt>
                <pt idx="42">
                  <v>87.14243335155034</v>
                </pt>
                <pt idx="43">
                  <v>89.12176741166542</v>
                </pt>
                <pt idx="44">
                  <v>91.19759877171444</v>
                </pt>
                <pt idx="45">
                  <v>89.37152911867743</v>
                </pt>
                <pt idx="46">
                  <v>87.7044887521776</v>
                </pt>
                <pt idx="47">
                  <v>91.34877425776499</v>
                </pt>
                <pt idx="48">
                  <v>91.18067037273812</v>
                </pt>
                <pt idx="49">
                  <v>93.88400547080278</v>
                </pt>
                <pt idx="50">
                  <v>92.16158156822897</v>
                </pt>
                <pt idx="51">
                  <v>90.89138193927018</v>
                </pt>
                <pt idx="52">
                  <v>91.72289458802611</v>
                </pt>
                <pt idx="53">
                  <v>94.55035771416154</v>
                </pt>
                <pt idx="54">
                  <v>94.03294282718099</v>
                </pt>
                <pt idx="55">
                  <v>95.02459704509911</v>
                </pt>
                <pt idx="56">
                  <v>93.72786540620629</v>
                </pt>
                <pt idx="57">
                  <v>95.7898610555535</v>
                </pt>
                <pt idx="58">
                  <v>94.55699071664505</v>
                </pt>
                <pt idx="59">
                  <v>92.43725132175121</v>
                </pt>
                <pt idx="60">
                  <v>94.9424373394905</v>
                </pt>
                <pt idx="61">
                  <v>95.56741809496641</v>
                </pt>
                <pt idx="62">
                  <v>96.04190158550463</v>
                </pt>
                <pt idx="63">
                  <v>95.20638743218296</v>
                </pt>
                <pt idx="64">
                  <v>94.95018262459904</v>
                </pt>
                <pt idx="65">
                  <v>94.6444676757783</v>
                </pt>
                <pt idx="66">
                  <v>94.42582275342308</v>
                </pt>
                <pt idx="67">
                  <v>93.02256970654865</v>
                </pt>
                <pt idx="68">
                  <v>95.09286678231692</v>
                </pt>
                <pt idx="69">
                  <v>94.25081457746755</v>
                </pt>
                <pt idx="70">
                  <v>93.53628150625313</v>
                </pt>
                <pt idx="71">
                  <v>92.56791740134967</v>
                </pt>
                <pt idx="72">
                  <v>93.65600109709047</v>
                </pt>
                <pt idx="73">
                  <v>93.59173286443837</v>
                </pt>
                <pt idx="74">
                  <v>93.56057538651481</v>
                </pt>
                <pt idx="75">
                  <v>93.64255875463411</v>
                </pt>
                <pt idx="76">
                  <v>91.90208060603669</v>
                </pt>
                <pt idx="77">
                  <v>91.53137851018423</v>
                </pt>
                <pt idx="78">
                  <v>92.51703725346493</v>
                </pt>
                <pt idx="79">
                  <v>92.36426116558808</v>
                </pt>
                <pt idx="80">
                  <v>89.06339970269499</v>
                </pt>
                <pt idx="81">
                  <v>87.7013282417918</v>
                </pt>
                <pt idx="82">
                  <v>90.42956761911969</v>
                </pt>
                <pt idx="83">
                  <v>89.53272871277565</v>
                </pt>
                <pt idx="84">
                  <v>88.97755047423254</v>
                </pt>
                <pt idx="85">
                  <v>84.47957448949957</v>
                </pt>
                <pt idx="86">
                  <v>83.80291328522576</v>
                </pt>
                <pt idx="87">
                  <v>85.59475990090918</v>
                </pt>
                <pt idx="88">
                  <v>83.89180094427368</v>
                </pt>
                <pt idx="89">
                  <v>84.66920511264777</v>
                </pt>
                <pt idx="90">
                  <v>87.06865645889633</v>
                </pt>
                <pt idx="91">
                  <v>86.74780361483714</v>
                </pt>
                <pt idx="92">
                  <v>87.82469666221617</v>
                </pt>
                <pt idx="93">
                  <v>87.64209240979693</v>
                </pt>
                <pt idx="94">
                  <v>88.23374537978822</v>
                </pt>
                <pt idx="95">
                  <v>88.959129988808</v>
                </pt>
                <pt idx="96">
                  <v>89.88823865570063</v>
                </pt>
                <pt idx="97">
                  <v>92.01621165490428</v>
                </pt>
                <pt idx="98">
                  <v>91.63677407111854</v>
                </pt>
                <pt idx="99">
                  <v>92.22146849249214</v>
                </pt>
                <pt idx="100">
                  <v>92.06542337885146</v>
                </pt>
                <pt idx="101">
                  <v>91.23400568105133</v>
                </pt>
                <pt idx="102">
                  <v>91.03355064894231</v>
                </pt>
                <pt idx="103">
                  <v>90.02202455241815</v>
                </pt>
                <pt idx="104">
                  <v>90.42774998653731</v>
                </pt>
                <pt idx="105">
                  <v>91.073647081133</v>
                </pt>
                <pt idx="106">
                  <v>91.56499114853625</v>
                </pt>
                <pt idx="107">
                  <v>91.7555170235534</v>
                </pt>
                <pt idx="108">
                  <v>91.73846654477676</v>
                </pt>
                <pt idx="109">
                  <v>90.24955417135148</v>
                </pt>
                <pt idx="110">
                  <v>88.7822363581588</v>
                </pt>
                <pt idx="111">
                  <v>89.50052677433834</v>
                </pt>
                <pt idx="112">
                  <v>90.36401076635322</v>
                </pt>
                <pt idx="113">
                  <v>90.82638122781623</v>
                </pt>
                <pt idx="114">
                  <v>90.58572124813846</v>
                </pt>
                <pt idx="115">
                  <v>89.89655364654398</v>
                </pt>
                <pt idx="116">
                  <v>89.4017777803098</v>
                </pt>
                <pt idx="117">
                  <v>90.29148180054682</v>
                </pt>
                <pt idx="118">
                  <v>89.16307107743697</v>
                </pt>
                <pt idx="119">
                  <v>91.75974912329747</v>
                </pt>
                <pt idx="120">
                  <v>92.1475152623488</v>
                </pt>
                <pt idx="121">
                  <v>92.33907203345747</v>
                </pt>
                <pt idx="122">
                  <v>93.5678730456889</v>
                </pt>
                <pt idx="123">
                  <v>93.91618028039559</v>
                </pt>
                <pt idx="124">
                  <v>93.8774538548528</v>
                </pt>
                <pt idx="125">
                  <v>94.07530451788855</v>
                </pt>
                <pt idx="126">
                  <v>94.53222208160437</v>
                </pt>
                <pt idx="127">
                  <v>93.00093445304924</v>
                </pt>
                <pt idx="128">
                  <v>92.82767608756485</v>
                </pt>
                <pt idx="129">
                  <v>94.08827210556592</v>
                </pt>
                <pt idx="130">
                  <v>95.80371033067755</v>
                </pt>
                <pt idx="131">
                  <v>95.47931717240937</v>
                </pt>
                <pt idx="132">
                  <v>95.66997869164908</v>
                </pt>
                <pt idx="133">
                  <v>96.58100598367359</v>
                </pt>
                <pt idx="134">
                  <v>96.00275466287188</v>
                </pt>
                <pt idx="135">
                  <v>95.85410215936108</v>
                </pt>
                <pt idx="136">
                  <v>96.53422229131034</v>
                </pt>
                <pt idx="137">
                  <v>96.39098199227993</v>
                </pt>
                <pt idx="138">
                  <v>95.25702342046711</v>
                </pt>
                <pt idx="139">
                  <v>94.09102568328403</v>
                </pt>
                <pt idx="140">
                  <v>94.28368117259548</v>
                </pt>
                <pt idx="141">
                  <v>95.47391853235119</v>
                </pt>
                <pt idx="142">
                  <v>95.6639018304781</v>
                </pt>
                <pt idx="143">
                  <v>95.49948746830502</v>
                </pt>
                <pt idx="144">
                  <v>95.11305064263485</v>
                </pt>
                <pt idx="145">
                  <v>94.98037702854239</v>
                </pt>
                <pt idx="146">
                  <v>94.03069113308638</v>
                </pt>
                <pt idx="147">
                  <v>94.16288999239985</v>
                </pt>
                <pt idx="148">
                  <v>94.03161351379984</v>
                </pt>
                <pt idx="149">
                  <v>93.94066406256889</v>
                </pt>
                <pt idx="150">
                  <v>94.20546871386352</v>
                </pt>
                <pt idx="151">
                  <v>93.83050738942248</v>
                </pt>
                <pt idx="152">
                  <v>93.67842308708074</v>
                </pt>
                <pt idx="153">
                  <v>93.91764523799931</v>
                </pt>
                <pt idx="154">
                  <v>93.71208998312177</v>
                </pt>
                <pt idx="155">
                  <v>92.90096466101761</v>
                </pt>
                <pt idx="156">
                  <v>93.54459649709645</v>
                </pt>
                <pt idx="157">
                  <v>94.34406998048215</v>
                </pt>
                <pt idx="158">
                  <v>93.89937396121958</v>
                </pt>
                <pt idx="159">
                  <v>93.17428776948945</v>
                </pt>
                <pt idx="160">
                  <v>94.30189819168618</v>
                </pt>
                <pt idx="161">
                  <v>94.35970975934409</v>
                </pt>
                <pt idx="162">
                  <v>94.21604896322373</v>
                </pt>
                <pt idx="163">
                  <v>93.2669327735025</v>
                </pt>
                <pt idx="164">
                  <v>92.6314260263554</v>
                </pt>
                <pt idx="165">
                  <v>92.62209370384281</v>
                </pt>
                <pt idx="166">
                  <v>92.70731896888145</v>
                </pt>
                <pt idx="167">
                  <v>94.38447839438476</v>
                </pt>
                <pt idx="168">
                  <v>94.47145346989451</v>
                </pt>
                <pt idx="169">
                  <v>95.51675497783776</v>
                </pt>
                <pt idx="170">
                  <v>95.88166506538661</v>
                </pt>
                <pt idx="171">
                  <v>96.62095320721947</v>
                </pt>
                <pt idx="172">
                  <v>96.55153049410984</v>
                </pt>
                <pt idx="173">
                  <v>96.86990104889608</v>
                </pt>
                <pt idx="174">
                  <v>95.95226788323257</v>
                </pt>
                <pt idx="175">
                  <v>95.10747566508736</v>
                </pt>
                <pt idx="176">
                  <v>94.53288673829493</v>
                </pt>
                <pt idx="177">
                  <v>92.89955396110294</v>
                </pt>
                <pt idx="178">
                  <v>92.73486831048474</v>
                </pt>
                <pt idx="179">
                  <v>91.02345871878333</v>
                </pt>
                <pt idx="180">
                  <v>91.01903671712768</v>
                </pt>
                <pt idx="181">
                  <v>90.68166240675986</v>
                </pt>
                <pt idx="182">
                  <v>90.91072480540818</v>
                </pt>
                <pt idx="183">
                  <v>91.44065965413165</v>
                </pt>
                <pt idx="184">
                  <v>91.16600723227864</v>
                </pt>
                <pt idx="185">
                  <v>90.4436203605776</v>
                </pt>
                <pt idx="186">
                  <v>88.73448959181533</v>
                </pt>
                <pt idx="187">
                  <v>88.54072181987885</v>
                </pt>
                <pt idx="188">
                  <v>89.36149144620751</v>
                </pt>
                <pt idx="189">
                  <v>90.70671589466792</v>
                </pt>
                <pt idx="190">
                  <v>91.08647902458782</v>
                </pt>
                <pt idx="191">
                  <v>91.01256648771124</v>
                </pt>
                <pt idx="192">
                  <v>91.05391084674956</v>
                </pt>
                <pt idx="193">
                  <v>90.93429977129027</v>
                </pt>
                <pt idx="194">
                  <v>90.57378455655258</v>
                </pt>
                <pt idx="195">
                  <v>90.55787348924552</v>
                </pt>
                <pt idx="196">
                  <v>91.06207662894808</v>
                </pt>
                <pt idx="197">
                  <v>90.15004556967658</v>
                </pt>
                <pt idx="198">
                  <v>90.83633751375262</v>
                </pt>
                <pt idx="199">
                  <v>90.54422768045529</v>
                </pt>
                <pt idx="200">
                  <v>92.03292302312448</v>
                </pt>
                <pt idx="201">
                  <v>92.41637567589819</v>
                </pt>
                <pt idx="202">
                  <v>93.18869318592606</v>
                </pt>
                <pt idx="203">
                  <v>92.92375289040882</v>
                </pt>
                <pt idx="204">
                  <v>92.03490342877396</v>
                </pt>
                <pt idx="205">
                  <v>92.5590869624606</v>
                </pt>
                <pt idx="206">
                  <v>93.17777382600943</v>
                </pt>
                <pt idx="207">
                  <v>92.92917865931149</v>
                </pt>
                <pt idx="208">
                  <v>92.3818813500995</v>
                </pt>
                <pt idx="209">
                  <v>93.77913892233649</v>
                </pt>
                <pt idx="210">
                  <v>95.53190643749845</v>
                </pt>
                <pt idx="211">
                  <v>95.99978405439768</v>
                </pt>
                <pt idx="212">
                  <v>96.29432191927893</v>
                </pt>
                <pt idx="213">
                  <v>96.49123663717897</v>
                </pt>
                <pt idx="214">
                  <v>95.22307167155867</v>
                </pt>
                <pt idx="215">
                  <v>96.67555000680255</v>
                </pt>
                <pt idx="216">
                  <v>96.62865779906124</v>
                </pt>
                <pt idx="217">
                  <v>96.86208794167622</v>
                </pt>
                <pt idx="218">
                  <v>96.19359251960094</v>
                </pt>
                <pt idx="219">
                  <v>96.26268968657638</v>
                </pt>
                <pt idx="220">
                  <v>97.44073263072339</v>
                </pt>
                <pt idx="221">
                  <v>97.86455300413294</v>
                </pt>
                <pt idx="222">
                  <v>97.87213551617441</v>
                </pt>
                <pt idx="223">
                  <v>97.66503391715963</v>
                </pt>
                <pt idx="224">
                  <v>98.10117078597824</v>
                </pt>
                <pt idx="225">
                  <v>97.83712574232996</v>
                </pt>
                <pt idx="226">
                  <v>97.70879274335962</v>
                </pt>
                <pt idx="227">
                  <v>98.38746148212745</v>
                </pt>
                <pt idx="228">
                  <v>98.11522352743614</v>
                </pt>
                <pt idx="229">
                  <v>97.05178638693572</v>
                </pt>
                <pt idx="230">
                  <v>96.24934229507582</v>
                </pt>
                <pt idx="231">
                  <v>95.90469745437844</v>
                </pt>
                <pt idx="232">
                  <v>96.42574760652379</v>
                </pt>
                <pt idx="233">
                  <v>96.17633857449044</v>
                </pt>
                <pt idx="234">
                  <v>95.28105957670591</v>
                </pt>
                <pt idx="235">
                  <v>94.20043631320631</v>
                </pt>
                <pt idx="236">
                  <v>94.74304033231749</v>
                </pt>
                <pt idx="237">
                  <v>95.19605134242339</v>
                </pt>
                <pt idx="238">
                  <v>95.40800900460607</v>
                </pt>
                <pt idx="239">
                  <v>94.63551515708889</v>
                </pt>
                <pt idx="240">
                  <v>94.64517302573566</v>
                </pt>
                <pt idx="241">
                  <v>96.52574452739992</v>
                </pt>
                <pt idx="242">
                  <v>96.93694998811078</v>
                </pt>
                <pt idx="243">
                  <v>96.73682050213593</v>
                </pt>
                <pt idx="244">
                  <v>96.03298976008199</v>
                </pt>
                <pt idx="245">
                  <v>96.31881926587447</v>
                </pt>
                <pt idx="246">
                  <v>95.91870950256957</v>
                </pt>
                <pt idx="247">
                  <v>95.74908640224994</v>
                </pt>
                <pt idx="248">
                  <v>96.59347168772744</v>
                </pt>
                <pt idx="249">
                  <v>96.42898950344312</v>
                </pt>
                <pt idx="250">
                  <v>95.83284670968486</v>
                </pt>
                <pt idx="251">
                  <v>95.53546031612971</v>
                </pt>
                <pt idx="252">
                  <v>95.17904155691352</v>
                </pt>
                <pt idx="253">
                  <v>94.78119705212549</v>
                </pt>
                <pt idx="254">
                  <v>93.92823905178177</v>
                </pt>
                <pt idx="255">
                  <v>93.52967563261413</v>
                </pt>
                <pt idx="256">
                  <v>93.72630549764678</v>
                </pt>
                <pt idx="257">
                  <v>92.20855516250381</v>
                </pt>
                <pt idx="258">
                  <v>93.32369988064664</v>
                </pt>
                <pt idx="259">
                  <v>93.47126723037692</v>
                </pt>
                <pt idx="260">
                  <v>91.96980776636421</v>
                </pt>
                <pt idx="261">
                  <v>90.7978416833882</v>
                </pt>
                <pt idx="262">
                  <v>89.46113569210497</v>
                </pt>
                <pt idx="263">
                  <v>88.54100667274624</v>
                </pt>
                <pt idx="264">
                  <v>85.25539162046964</v>
                </pt>
                <pt idx="265">
                  <v>83.8561129493164</v>
                </pt>
                <pt idx="266">
                  <v>84.62029180599023</v>
                </pt>
                <pt idx="267">
                  <v>84.25820311827077</v>
                </pt>
                <pt idx="268">
                  <v>85.7279760918919</v>
                </pt>
                <pt idx="269">
                  <v>85.00594189516953</v>
                </pt>
                <pt idx="270">
                  <v>85.15797193982225</v>
                </pt>
                <pt idx="271">
                  <v>85.84905212495492</v>
                </pt>
                <pt idx="272">
                  <v>85.04679793500661</v>
                </pt>
                <pt idx="273">
                  <v>83.43335060084286</v>
                </pt>
                <pt idx="274">
                  <v>85.18812565049882</v>
                </pt>
                <pt idx="275">
                  <v>85.2249123636589</v>
                </pt>
                <pt idx="276">
                  <v>84.35680290365448</v>
                </pt>
                <pt idx="277">
                  <v>84.47299574470509</v>
                </pt>
                <pt idx="278">
                  <v>82.89447679785226</v>
                </pt>
                <pt idx="279">
                  <v>82.2741079459436</v>
                </pt>
                <pt idx="280">
                  <v>82.33069871559842</v>
                </pt>
                <pt idx="281">
                  <v>79.41417159292573</v>
                </pt>
                <pt idx="282">
                  <v>77.7444319063968</v>
                </pt>
                <pt idx="283">
                  <v>79.048000014107</v>
                </pt>
                <pt idx="284">
                  <v>77.39304554783784</v>
                </pt>
                <pt idx="285">
                  <v>80.9030568375065</v>
                </pt>
                <pt idx="286">
                  <v>84.26371027370698</v>
                </pt>
                <pt idx="287">
                  <v>83.9555266000355</v>
                </pt>
                <pt idx="288">
                  <v>83.83213105076661</v>
                </pt>
                <pt idx="289">
                  <v>85.08186196654009</v>
                </pt>
                <pt idx="290">
                  <v>85.20807891563837</v>
                </pt>
                <pt idx="291">
                  <v>84.77758484647853</v>
                </pt>
                <pt idx="292">
                  <v>84.73424651736849</v>
                </pt>
                <pt idx="293">
                  <v>85.6007011178576</v>
                </pt>
                <pt idx="294">
                  <v>83.96618823592925</v>
                </pt>
                <pt idx="295">
                  <v>83.13729352066885</v>
                </pt>
                <pt idx="296">
                  <v>82.42833542700191</v>
                </pt>
                <pt idx="297">
                  <v>80.62361617459689</v>
                </pt>
                <pt idx="298">
                  <v>78.70084575529212</v>
                </pt>
                <pt idx="299">
                  <v>78.3437487749631</v>
                </pt>
                <pt idx="300">
                  <v>78.39133276823949</v>
                </pt>
                <pt idx="301">
                  <v>78.63121957584866</v>
                </pt>
                <pt idx="302">
                  <v>78.26339313751463</v>
                </pt>
                <pt idx="303">
                  <v>79.91053449656393</v>
                </pt>
                <pt idx="304">
                  <v>79.53482712889877</v>
                </pt>
                <pt idx="305">
                  <v>78.89100539090833</v>
                </pt>
                <pt idx="306">
                  <v>77.14923862219652</v>
                </pt>
                <pt idx="307">
                  <v>76.07412251413311</v>
                </pt>
                <pt idx="308">
                  <v>74.93138776112022</v>
                </pt>
                <pt idx="309">
                  <v>76.62980263629973</v>
                </pt>
                <pt idx="310">
                  <v>77.85913266099918</v>
                </pt>
                <pt idx="311">
                  <v>78.34602759790224</v>
                </pt>
                <pt idx="312">
                  <v>79.21461181268563</v>
                </pt>
                <pt idx="313">
                  <v>79.2644881933234</v>
                </pt>
                <pt idx="314">
                  <v>78.37529962113211</v>
                </pt>
                <pt idx="315">
                  <v>76.69743484567145</v>
                </pt>
                <pt idx="316">
                  <v>77.40391065006543</v>
                </pt>
                <pt idx="317">
                  <v>77.79074084398106</v>
                </pt>
                <pt idx="318">
                  <v>80.00267761695346</v>
                </pt>
                <pt idx="319">
                  <v>79.92668972347161</v>
                </pt>
                <pt idx="320">
                  <v>79.79577948427251</v>
                </pt>
                <pt idx="321">
                  <v>81.91726868963747</v>
                </pt>
                <pt idx="322">
                  <v>82.84457328836999</v>
                </pt>
                <pt idx="323">
                  <v>83.45517575625384</v>
                </pt>
                <pt idx="324">
                  <v>84.16463573354427</v>
                </pt>
                <pt idx="325">
                  <v>84.02825903217575</v>
                </pt>
                <pt idx="326">
                  <v>81.24905812042955</v>
                </pt>
                <pt idx="327">
                  <v>84.88850112727131</v>
                </pt>
                <pt idx="328">
                  <v>87.53090484055902</v>
                </pt>
                <pt idx="329">
                  <v>84.2517464532766</v>
                </pt>
                <pt idx="330">
                  <v>83.77299016972754</v>
                </pt>
                <pt idx="331">
                  <v>81.57137592209246</v>
                </pt>
                <pt idx="332">
                  <v>82.88112940635169</v>
                </pt>
                <pt idx="333">
                  <v>84.41297317621934</v>
                </pt>
                <pt idx="334">
                  <v>86.03879126348116</v>
                </pt>
                <pt idx="335">
                  <v>85.74791579260919</v>
                </pt>
                <pt idx="336">
                  <v>87.3336781409471</v>
                </pt>
                <pt idx="337">
                  <v>89.2642074097827</v>
                </pt>
                <pt idx="338">
                  <v>88.41240238533078</v>
                </pt>
                <pt idx="339">
                  <v>87.0272849710135</v>
                </pt>
                <pt idx="340">
                  <v>85.69441771122891</v>
                </pt>
                <pt idx="341">
                  <v>85.39039831519023</v>
                </pt>
                <pt idx="342">
                  <v>84.00597268640804</v>
                </pt>
                <pt idx="343">
                  <v>87.12787872646895</v>
                </pt>
                <pt idx="344">
                  <v>88.65121760358166</v>
                </pt>
                <pt idx="345">
                  <v>90.03427322571591</v>
                </pt>
                <pt idx="346">
                  <v>91.2580554017124</v>
                </pt>
                <pt idx="347">
                  <v>90.23319547810993</v>
                </pt>
                <pt idx="348">
                  <v>92.52456550781739</v>
                </pt>
                <pt idx="349">
                  <v>93.51166207985727</v>
                </pt>
                <pt idx="350">
                  <v>93.05751165828181</v>
                </pt>
                <pt idx="351">
                  <v>91.9389758345748</v>
                </pt>
                <pt idx="352">
                  <v>90.75177690540457</v>
                </pt>
                <pt idx="353">
                  <v>92.45530556777483</v>
                </pt>
                <pt idx="354">
                  <v>93.02038583456532</v>
                </pt>
                <pt idx="355">
                  <v>92.98555239821019</v>
                </pt>
                <pt idx="356">
                  <v>93.07420946207976</v>
                </pt>
                <pt idx="357">
                  <v>92.99415224192092</v>
                </pt>
                <pt idx="358">
                  <v>95.89429354250757</v>
                </pt>
                <pt idx="359">
                  <v>96.93418284597041</v>
                </pt>
                <pt idx="360">
                  <v>98.47390754516918</v>
                </pt>
                <pt idx="361">
                  <v>99.48837712132304</v>
                </pt>
                <pt idx="362">
                  <v>99.1096584519169</v>
                </pt>
                <pt idx="363">
                  <v>98.92896678303583</v>
                </pt>
                <pt idx="364">
                  <v>99.72483213010126</v>
                </pt>
                <pt idx="365">
                  <v>99.48995059430482</v>
                </pt>
                <pt idx="366">
                  <v>99.83658940507394</v>
                </pt>
                <pt idx="367">
                  <v>98.76890660040716</v>
                </pt>
                <pt idx="368">
                  <v>98.49523081695666</v>
                </pt>
                <pt idx="369">
                  <v>97.9777888011316</v>
                </pt>
                <pt idx="370">
                  <v>97.43960678367608</v>
                </pt>
                <pt idx="371">
                  <v>96.25707401576211</v>
                </pt>
                <pt idx="372">
                  <v>95.90081802961302</v>
                </pt>
                <pt idx="373">
                  <v>95.1779835319775</v>
                </pt>
                <pt idx="374">
                  <v>95.40191857901283</v>
                </pt>
                <pt idx="375">
                  <v>94.33731489819833</v>
                </pt>
                <pt idx="376">
                  <v>94.43828845747696</v>
                </pt>
                <pt idx="377">
                  <v>91.44764533159383</v>
                </pt>
                <pt idx="378">
                  <v>89.33885242546113</v>
                </pt>
                <pt idx="379">
                  <v>89.96996429979704</v>
                </pt>
                <pt idx="380">
                  <v>89.61680100192247</v>
                </pt>
                <pt idx="381">
                  <v>89.56076637358018</v>
                </pt>
                <pt idx="382">
                  <v>89.42687196148464</v>
                </pt>
                <pt idx="383">
                  <v>91.92273922113358</v>
                </pt>
                <pt idx="384">
                  <v>93.93036866607606</v>
                </pt>
                <pt idx="385">
                  <v>94.24483266725237</v>
                </pt>
                <pt idx="386">
                  <v>95.10506119792566</v>
                </pt>
                <pt idx="387">
                  <v>95.59148138004974</v>
                </pt>
                <pt idx="388">
                  <v>93.09979196245585</v>
                </pt>
                <pt idx="389">
                  <v>92.94881994273914</v>
                </pt>
                <pt idx="390">
                  <v>94.37832014668022</v>
                </pt>
                <pt idx="391">
                  <v>93.73802515847653</v>
                </pt>
                <pt idx="392">
                  <v>91.77637910498416</v>
                </pt>
                <pt idx="393">
                  <v>91.25031011660384</v>
                </pt>
                <pt idx="394">
                  <v>90.09840581414544</v>
                </pt>
                <pt idx="395">
                  <v>90.10764318570222</v>
                </pt>
                <pt idx="396">
                  <v>92.15897719915569</v>
                </pt>
                <pt idx="397">
                  <v>92.11459440953188</v>
                </pt>
                <pt idx="398">
                  <v>93.20863288664334</v>
                </pt>
                <pt idx="399">
                  <v>96.04500783820139</v>
                </pt>
                <pt idx="400">
                  <v>97.42105065402895</v>
                </pt>
                <pt idx="401">
                  <v>97.41732043790837</v>
                </pt>
                <pt idx="402">
                  <v>98.13916473271915</v>
                </pt>
                <pt idx="403">
                  <v>98.14639456978196</v>
                </pt>
                <pt idx="404">
                  <v>97.74681381894507</v>
                </pt>
                <pt idx="405">
                  <v>97.09395817573169</v>
                </pt>
                <pt idx="406">
                  <v>96.99537195477025</v>
                </pt>
                <pt idx="407">
                  <v>96.63084167104458</v>
                </pt>
                <pt idx="408">
                  <v>95.94270496554161</v>
                </pt>
                <pt idx="409">
                  <v>93.31269913419649</v>
                </pt>
                <pt idx="410">
                  <v>95.35938055081591</v>
                </pt>
                <pt idx="411">
                  <v>95.97055272443455</v>
                </pt>
                <pt idx="412">
                  <v>99.12612566053649</v>
                </pt>
                <pt idx="413">
                  <v>99.16542179181405</v>
                </pt>
                <pt idx="414">
                  <v>99.97536700918189</v>
                </pt>
                <pt idx="415">
                  <v>99.81363840261565</v>
                </pt>
                <pt idx="416">
                  <v>100.4665211746735</v>
                </pt>
                <pt idx="417">
                  <v>100.7371178342718</v>
                </pt>
                <pt idx="418">
                  <v>100.251714983817</v>
                </pt>
                <pt idx="419">
                  <v>99.52744265742224</v>
                </pt>
                <pt idx="420">
                  <v>97.27451420039019</v>
                </pt>
                <pt idx="421">
                  <v>98.72027814661702</v>
                </pt>
                <pt idx="422">
                  <v>98.91328631090713</v>
                </pt>
                <pt idx="423">
                  <v>99.09864414104449</v>
                </pt>
                <pt idx="424">
                  <v>98.5509670280093</v>
                </pt>
                <pt idx="425">
                  <v>98.48687513284655</v>
                </pt>
                <pt idx="426">
                  <v>96.89673147611977</v>
                </pt>
                <pt idx="427">
                  <v>97.06436060636764</v>
                </pt>
                <pt idx="428">
                  <v>96.03263708510332</v>
                </pt>
                <pt idx="429">
                  <v>96.50191183749496</v>
                </pt>
                <pt idx="430">
                  <v>98.17319786816114</v>
                </pt>
                <pt idx="431">
                  <v>98.77640772591512</v>
                </pt>
                <pt idx="432">
                  <v>99.05683859164944</v>
                </pt>
                <pt idx="433">
                  <v>98.44256016533402</v>
                </pt>
                <pt idx="434">
                  <v>99.25002309342888</v>
                </pt>
                <pt idx="435">
                  <v>98.73359840927306</v>
                </pt>
                <pt idx="436">
                  <v>99.61797161156323</v>
                </pt>
                <pt idx="437">
                  <v>99.92695558614784</v>
                </pt>
                <pt idx="438">
                  <v>99.66368371456819</v>
                </pt>
                <pt idx="439">
                  <v>99.50412541556302</v>
                </pt>
                <pt idx="440">
                  <v>99.27165834692828</v>
                </pt>
                <pt idx="441">
                  <v>99.18457475604046</v>
                </pt>
                <pt idx="442">
                  <v>98.75448761954834</v>
                </pt>
                <pt idx="443">
                  <v>98.76693975917995</v>
                </pt>
                <pt idx="444">
                  <v>98.81351998520935</v>
                </pt>
                <pt idx="445">
                  <v>97.0392392963483</v>
                </pt>
                <pt idx="446">
                  <v>97.59878527885806</v>
                </pt>
                <pt idx="447">
                  <v>98.42918564498895</v>
                </pt>
                <pt idx="448">
                  <v>98.37777648463619</v>
                </pt>
                <pt idx="449">
                  <v>97.05079618411099</v>
                </pt>
                <pt idx="450">
                  <v>97.91942109216116</v>
                </pt>
                <pt idx="451">
                  <v>95.16987200746803</v>
                </pt>
                <pt idx="452">
                  <v>95.55249723048408</v>
                </pt>
                <pt idx="453">
                  <v>99.66881106618122</v>
                </pt>
                <pt idx="454">
                  <v>101.3956162771439</v>
                </pt>
                <pt idx="455">
                  <v>102.6014527224948</v>
                </pt>
                <pt idx="456">
                  <v>102.3957075657057</v>
                </pt>
                <pt idx="457">
                  <v>102.280301461146</v>
                </pt>
                <pt idx="458">
                  <v>99.5577862700104</v>
                </pt>
                <pt idx="459">
                  <v>98.07838255658703</v>
                </pt>
                <pt idx="460">
                  <v>97.06621893221681</v>
                </pt>
                <pt idx="461">
                  <v>96.57737071850879</v>
                </pt>
                <pt idx="462">
                  <v>98.5832096597134</v>
                </pt>
                <pt idx="463">
                  <v>97.12013751068707</v>
                </pt>
                <pt idx="464">
                  <v>98.94657340312499</v>
                </pt>
                <pt idx="465">
                  <v>101.0007695096746</v>
                </pt>
                <pt idx="466">
                  <v>101.5429937249626</v>
                </pt>
                <pt idx="467">
                  <v>101.6665656117209</v>
                </pt>
                <pt idx="468">
                  <v>102.250758149471</v>
                </pt>
                <pt idx="469">
                  <v>102.0148864108498</v>
                </pt>
                <pt idx="470">
                  <v>102.460993130027</v>
                </pt>
                <pt idx="471">
                  <v>102.5743103135593</v>
                </pt>
                <pt idx="472">
                  <v>101.9114441267204</v>
                </pt>
                <pt idx="473">
                  <v>100.3567714341948</v>
                </pt>
                <pt idx="474">
                  <v>100.0480180547886</v>
                </pt>
                <pt idx="475">
                  <v>99.08114603633338</v>
                </pt>
                <pt idx="476">
                  <v>98.64943116917046</v>
                </pt>
                <pt idx="477">
                  <v>98.10388367042957</v>
                </pt>
                <pt idx="478">
                  <v>98.51674399065573</v>
                </pt>
                <pt idx="479">
                  <v>98.59054801215427</v>
                </pt>
                <pt idx="480">
                  <v>98.60530610356952</v>
                </pt>
                <pt idx="481">
                  <v>98.32742534921944</v>
                </pt>
                <pt idx="482">
                  <v>97.36436493341834</v>
                </pt>
                <pt idx="483">
                  <v>98.30619702838776</v>
                </pt>
                <pt idx="484">
                  <v>97.94439319353569</v>
                </pt>
                <pt idx="485">
                  <v>100.0920888627005</v>
                </pt>
                <pt idx="486">
                  <v>99.36715187961521</v>
                </pt>
                <pt idx="487">
                  <v>97.78347845230483</v>
                </pt>
                <pt idx="488">
                  <v>95.81811574711412</v>
                </pt>
                <pt idx="489">
                  <v>94.69453395832765</v>
                </pt>
                <pt idx="490">
                  <v>93.39527933689507</v>
                </pt>
                <pt idx="491">
                  <v>93.394112796581</v>
                </pt>
                <pt idx="492">
                  <v>92.0843457478995</v>
                </pt>
                <pt idx="493">
                  <v>89.04131682326113</v>
                </pt>
                <pt idx="494">
                  <v>87.93721354483523</v>
                </pt>
                <pt idx="495">
                  <v>100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798311023"/>
        <axId val="1798312943"/>
      </lineChart>
      <dateAx>
        <axId val="1798311023"/>
        <scaling>
          <orientation val="minMax"/>
        </scaling>
        <delete val="0"/>
        <axPos val="b"/>
        <numFmt formatCode="[$-409]mmm\-yy;@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27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98312943"/>
        <crosses val="autoZero"/>
        <lblOffset val="100"/>
        <baseTimeUnit val="days"/>
        <majorUnit val="4"/>
        <majorTimeUnit val="months"/>
        <minorUnit val="1"/>
        <minorTimeUnit val="months"/>
      </dateAx>
      <valAx>
        <axId val="1798312943"/>
        <scaling>
          <orientation val="minMax"/>
          <max val="220"/>
          <min val="50"/>
        </scaling>
        <delete val="0"/>
        <axPos val="l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1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Indexed Return (Base=100)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1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98311023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algn="ctr" rtl="0">
            <a:defRPr lang="en-US" sz="1500" b="1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FY25 Opn Orderbook</v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1F4E79"/>
              </a:solidFill>
              <a:ln xmlns:a="http://schemas.openxmlformats.org/drawingml/2006/main" w="19050">
                <a:solidFill>
                  <a:srgbClr val="1F4E79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BF8F00"/>
              </a:solidFill>
              <a:ln xmlns:a="http://schemas.openxmlformats.org/drawingml/2006/main" w="19050">
                <a:solidFill>
                  <a:srgbClr val="BF8F00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'Graphical Representation'!$K$252:$K$253</f>
              <strCache>
                <ptCount val="2"/>
                <pt idx="0">
                  <v>Export</v>
                </pt>
                <pt idx="1">
                  <v>Domestic</v>
                </pt>
              </strCache>
            </strRef>
          </cat>
          <val>
            <numRef>
              <f>'Graphical Representation'!$N$252:$N$253</f>
              <numCache>
                <formatCode>0.0%</formatCode>
                <ptCount val="2"/>
                <pt idx="0">
                  <v>0.74</v>
                </pt>
                <pt idx="1">
                  <v>0.26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algn="ctr" rtl="0">
            <a:defRPr lang="en-US" sz="1500" b="1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FY27 Opn Orderbook</v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1F4E79"/>
              </a:solidFill>
              <a:ln xmlns:a="http://schemas.openxmlformats.org/drawingml/2006/main" w="19050">
                <a:solidFill>
                  <a:srgbClr val="1F4E79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BF8F00"/>
              </a:solidFill>
              <a:ln xmlns:a="http://schemas.openxmlformats.org/drawingml/2006/main" w="19050">
                <a:solidFill>
                  <a:srgbClr val="BF8F00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'Graphical Representation'!$K$252:$K$253</f>
              <strCache>
                <ptCount val="2"/>
                <pt idx="0">
                  <v>Export</v>
                </pt>
                <pt idx="1">
                  <v>Domestic</v>
                </pt>
              </strCache>
            </strRef>
          </cat>
          <val>
            <numRef>
              <f>'Graphical Representation'!$Q$252:$Q$253</f>
              <numCache>
                <formatCode>0.0%</formatCode>
                <ptCount val="2"/>
                <pt idx="0">
                  <v>0.399</v>
                </pt>
                <pt idx="1">
                  <v>0.601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 algn="ctr" rtl="0">
              <a:defRPr lang="en-US" sz="15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rPr>
              <a:t>Revenue Vs Order Inflow &amp; Book-to-Bill</a:t>
            </a:r>
          </a:p>
        </rich>
      </tx>
      <layout>
        <manualLayout>
          <xMode val="edge"/>
          <yMode val="edge"/>
          <wMode val="factor"/>
          <hMode val="factor"/>
          <x val="0.2205420738070391"/>
          <y val="0.02517481963001605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algn="ctr" rtl="0">
            <a:defRPr lang="en-US" sz="1500" b="1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Order Inflows (₹ Cr)</v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solidFill>
                <a:srgbClr val="1F4E79"/>
              </a:solidFill>
              <a:prstDash val="solid"/>
            </a:ln>
          </spPr>
          <invertIfNegative val="0"/>
          <dLbls>
            <numFmt formatCode="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-5400000" spcFirstLastPara="1" vertOverflow="ellipsis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'Graphical Representation'!$E$155:$T$156</f>
              <strCache>
                <ptCount val="6"/>
                <pt idx="0">
                  <v>FY21</v>
                </pt>
                <pt idx="1">
                  <v>FY22</v>
                </pt>
                <pt idx="2">
                  <v>FY23</v>
                </pt>
                <pt idx="3">
                  <v>FY24</v>
                </pt>
                <pt idx="4">
                  <v>FY25</v>
                </pt>
                <pt idx="5">
                  <v xml:space="preserve">FY26 </v>
                </pt>
              </strCache>
            </strRef>
          </cat>
          <val>
            <numRef>
              <f>'Graphical Representation'!$E$173:$T$173</f>
              <numCache>
                <formatCode>0.00</formatCode>
                <ptCount val="6"/>
                <pt idx="0">
                  <v>256</v>
                </pt>
                <pt idx="1">
                  <v>425.5</v>
                </pt>
                <pt idx="2">
                  <v>547.9</v>
                </pt>
                <pt idx="3">
                  <v>874.6</v>
                </pt>
                <pt idx="4">
                  <v>595.4999999999999</v>
                </pt>
                <pt idx="5">
                  <v>849.9000000000001</v>
                </pt>
              </numCache>
            </numRef>
          </val>
        </ser>
        <ser>
          <idx val="1"/>
          <order val="1"/>
          <tx>
            <v>Revenue (₹ Cr)</v>
          </tx>
          <spPr>
            <a:solidFill xmlns:a="http://schemas.openxmlformats.org/drawingml/2006/main">
              <a:srgbClr val="BF8F00"/>
            </a:solidFill>
            <a:ln xmlns:a="http://schemas.openxmlformats.org/drawingml/2006/main">
              <a:solidFill>
                <a:srgbClr val="BF8F00"/>
              </a:solidFill>
              <a:prstDash val="solid"/>
            </a:ln>
          </spPr>
          <invertIfNegative val="0"/>
          <dLbls>
            <numFmt formatCode="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-5400000" spcFirstLastPara="1" vertOverflow="ellipsis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'Graphical Representation'!$E$155:$T$156</f>
              <strCache>
                <ptCount val="6"/>
                <pt idx="0">
                  <v>FY21</v>
                </pt>
                <pt idx="1">
                  <v>FY22</v>
                </pt>
                <pt idx="2">
                  <v>FY23</v>
                </pt>
                <pt idx="3">
                  <v>FY24</v>
                </pt>
                <pt idx="4">
                  <v>FY25</v>
                </pt>
                <pt idx="5">
                  <v xml:space="preserve">FY26 </v>
                </pt>
              </strCache>
            </strRef>
          </cat>
          <val>
            <numRef>
              <f>'Graphical Representation'!$C$157:$T$157</f>
              <numCache>
                <formatCode>_(* #,##0.00_);_(* \(#,##0.00\);_(* "-"??_);_(@_)</formatCode>
                <ptCount val="6"/>
                <pt idx="0">
                  <v>279.1296</v>
                </pt>
                <pt idx="1">
                  <v>288.2416</v>
                </pt>
                <pt idx="2">
                  <v>411.3381</v>
                </pt>
                <pt idx="3">
                  <v>550.3845</v>
                </pt>
                <pt idx="4">
                  <v>732.7860000000001</v>
                </pt>
                <pt idx="5">
                  <v>822.2877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928514527"/>
        <axId val="1928521727"/>
      </barChart>
      <lineChart>
        <grouping val="standard"/>
        <varyColors val="0"/>
        <ser>
          <idx val="2"/>
          <order val="2"/>
          <tx>
            <v>Book-to-Bill ratio (x)</v>
          </tx>
          <spPr>
            <a:ln xmlns:a="http://schemas.openxmlformats.org/drawingml/2006/main" w="28575" cap="rnd">
              <a:solidFill>
                <a:srgbClr val="C55A1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showLegendKey val="0"/>
              <showVal val="1"/>
              <showCatName val="0"/>
              <showSerName val="0"/>
              <showPercent val="0"/>
              <showBubbleSize val="0"/>
            </dLbl>
            <numFmt formatCode="0.00&quot;x&quot;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'Graphical Representation'!$E$155:$T$156</f>
              <strCache>
                <ptCount val="6"/>
                <pt idx="0">
                  <v>FY21</v>
                </pt>
                <pt idx="1">
                  <v>FY22</v>
                </pt>
                <pt idx="2">
                  <v>FY23</v>
                </pt>
                <pt idx="3">
                  <v>FY24</v>
                </pt>
                <pt idx="4">
                  <v>FY25</v>
                </pt>
                <pt idx="5">
                  <v xml:space="preserve">FY26 </v>
                </pt>
              </strCache>
            </strRef>
          </cat>
          <val>
            <numRef>
              <f>'Graphical Representation'!$E$175:$T$175</f>
              <numCache>
                <formatCode>0.00</formatCode>
                <ptCount val="6"/>
                <pt idx="0">
                  <v>0.9171366992250195</v>
                </pt>
                <pt idx="1">
                  <v>1.476192194325871</v>
                </pt>
                <pt idx="2">
                  <v>1.331994288883038</v>
                </pt>
                <pt idx="3">
                  <v>1.589070913152532</v>
                </pt>
                <pt idx="4">
                  <v>0.8126519884386435</v>
                </pt>
                <pt idx="5">
                  <v>1.033579852890904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28293727"/>
        <axId val="1928295167"/>
      </lineChart>
      <catAx>
        <axId val="19285145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928521727"/>
        <crosses val="autoZero"/>
        <auto val="1"/>
        <lblAlgn val="ctr"/>
        <lblOffset val="100"/>
        <noMultiLvlLbl val="0"/>
      </catAx>
      <valAx>
        <axId val="1928521727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₹ Crores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928514527"/>
        <crosses val="autoZero"/>
        <crossBetween val="between"/>
      </valAx>
      <catAx>
        <axId val="1928293727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928295167"/>
        <crosses val="autoZero"/>
        <auto val="1"/>
        <lblAlgn val="ctr"/>
        <lblOffset val="100"/>
        <noMultiLvlLbl val="0"/>
      </catAx>
      <valAx>
        <axId val="1928295167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928293727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algn="ctr" rtl="0">
            <a:defRPr lang="en-US" sz="1500" b="1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'Graphical Representation'!$W$266</f>
              <strCache>
                <ptCount val="1"/>
                <pt idx="0">
                  <v>Anup PE (Daily-5 Years)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'Graphical Representation'!$T$267:$T$1576</f>
              <numCache>
                <formatCode>m/d/yyyy</formatCode>
                <ptCount val="1310"/>
                <pt idx="0">
                  <v>46177</v>
                </pt>
                <pt idx="1">
                  <v>46176</v>
                </pt>
                <pt idx="2">
                  <v>46175</v>
                </pt>
                <pt idx="3">
                  <v>46174</v>
                </pt>
                <pt idx="4">
                  <v>46171</v>
                </pt>
                <pt idx="5">
                  <v>46170</v>
                </pt>
                <pt idx="6">
                  <v>46169</v>
                </pt>
                <pt idx="7">
                  <v>46168</v>
                </pt>
                <pt idx="8">
                  <v>46167</v>
                </pt>
                <pt idx="9">
                  <v>46164</v>
                </pt>
                <pt idx="10">
                  <v>46163</v>
                </pt>
                <pt idx="11">
                  <v>46162</v>
                </pt>
                <pt idx="12">
                  <v>46161</v>
                </pt>
                <pt idx="13">
                  <v>46160</v>
                </pt>
                <pt idx="14">
                  <v>46157</v>
                </pt>
                <pt idx="15">
                  <v>46156</v>
                </pt>
                <pt idx="16">
                  <v>46155</v>
                </pt>
                <pt idx="17">
                  <v>46154</v>
                </pt>
                <pt idx="18">
                  <v>46153</v>
                </pt>
                <pt idx="19">
                  <v>46150</v>
                </pt>
                <pt idx="20">
                  <v>46149</v>
                </pt>
                <pt idx="21">
                  <v>46148</v>
                </pt>
                <pt idx="22">
                  <v>46147</v>
                </pt>
                <pt idx="23">
                  <v>46146</v>
                </pt>
                <pt idx="24">
                  <v>46143</v>
                </pt>
                <pt idx="25">
                  <v>46142</v>
                </pt>
                <pt idx="26">
                  <v>46141</v>
                </pt>
                <pt idx="27">
                  <v>46140</v>
                </pt>
                <pt idx="28">
                  <v>46139</v>
                </pt>
                <pt idx="29">
                  <v>46136</v>
                </pt>
                <pt idx="30">
                  <v>46135</v>
                </pt>
                <pt idx="31">
                  <v>46134</v>
                </pt>
                <pt idx="32">
                  <v>46133</v>
                </pt>
                <pt idx="33">
                  <v>46132</v>
                </pt>
                <pt idx="34">
                  <v>46129</v>
                </pt>
                <pt idx="35">
                  <v>46128</v>
                </pt>
                <pt idx="36">
                  <v>46127</v>
                </pt>
                <pt idx="37">
                  <v>46126</v>
                </pt>
                <pt idx="38">
                  <v>46125</v>
                </pt>
                <pt idx="39">
                  <v>46122</v>
                </pt>
                <pt idx="40">
                  <v>46121</v>
                </pt>
                <pt idx="41">
                  <v>46120</v>
                </pt>
                <pt idx="42">
                  <v>46119</v>
                </pt>
                <pt idx="43">
                  <v>46118</v>
                </pt>
                <pt idx="44">
                  <v>46115</v>
                </pt>
                <pt idx="45">
                  <v>46114</v>
                </pt>
                <pt idx="46">
                  <v>46113</v>
                </pt>
                <pt idx="47">
                  <v>46112</v>
                </pt>
                <pt idx="48">
                  <v>46111</v>
                </pt>
                <pt idx="49">
                  <v>46108</v>
                </pt>
                <pt idx="50">
                  <v>46107</v>
                </pt>
                <pt idx="51">
                  <v>46106</v>
                </pt>
                <pt idx="52">
                  <v>46105</v>
                </pt>
                <pt idx="53">
                  <v>46104</v>
                </pt>
                <pt idx="54">
                  <v>46101</v>
                </pt>
                <pt idx="55">
                  <v>46100</v>
                </pt>
                <pt idx="56">
                  <v>46099</v>
                </pt>
                <pt idx="57">
                  <v>46098</v>
                </pt>
                <pt idx="58">
                  <v>46097</v>
                </pt>
                <pt idx="59">
                  <v>46094</v>
                </pt>
                <pt idx="60">
                  <v>46093</v>
                </pt>
                <pt idx="61">
                  <v>46092</v>
                </pt>
                <pt idx="62">
                  <v>46091</v>
                </pt>
                <pt idx="63">
                  <v>46090</v>
                </pt>
                <pt idx="64">
                  <v>46087</v>
                </pt>
                <pt idx="65">
                  <v>46086</v>
                </pt>
                <pt idx="66">
                  <v>46085</v>
                </pt>
                <pt idx="67">
                  <v>46084</v>
                </pt>
                <pt idx="68">
                  <v>46083</v>
                </pt>
                <pt idx="69">
                  <v>46080</v>
                </pt>
                <pt idx="70">
                  <v>46079</v>
                </pt>
                <pt idx="71">
                  <v>46078</v>
                </pt>
                <pt idx="72">
                  <v>46077</v>
                </pt>
                <pt idx="73">
                  <v>46076</v>
                </pt>
                <pt idx="74">
                  <v>46073</v>
                </pt>
                <pt idx="75">
                  <v>46072</v>
                </pt>
                <pt idx="76">
                  <v>46071</v>
                </pt>
                <pt idx="77">
                  <v>46070</v>
                </pt>
                <pt idx="78">
                  <v>46069</v>
                </pt>
                <pt idx="79">
                  <v>46066</v>
                </pt>
                <pt idx="80">
                  <v>46065</v>
                </pt>
                <pt idx="81">
                  <v>46064</v>
                </pt>
                <pt idx="82">
                  <v>46063</v>
                </pt>
                <pt idx="83">
                  <v>46062</v>
                </pt>
                <pt idx="84">
                  <v>46059</v>
                </pt>
                <pt idx="85">
                  <v>46058</v>
                </pt>
                <pt idx="86">
                  <v>46057</v>
                </pt>
                <pt idx="87">
                  <v>46056</v>
                </pt>
                <pt idx="88">
                  <v>46055</v>
                </pt>
                <pt idx="89">
                  <v>46054</v>
                </pt>
                <pt idx="90">
                  <v>46052</v>
                </pt>
                <pt idx="91">
                  <v>46051</v>
                </pt>
                <pt idx="92">
                  <v>46050</v>
                </pt>
                <pt idx="93">
                  <v>46049</v>
                </pt>
                <pt idx="94">
                  <v>46048</v>
                </pt>
                <pt idx="95">
                  <v>46045</v>
                </pt>
                <pt idx="96">
                  <v>46044</v>
                </pt>
                <pt idx="97">
                  <v>46043</v>
                </pt>
                <pt idx="98">
                  <v>46042</v>
                </pt>
                <pt idx="99">
                  <v>46041</v>
                </pt>
                <pt idx="100">
                  <v>46038</v>
                </pt>
                <pt idx="101">
                  <v>46037</v>
                </pt>
                <pt idx="102">
                  <v>46036</v>
                </pt>
                <pt idx="103">
                  <v>46035</v>
                </pt>
                <pt idx="104">
                  <v>46034</v>
                </pt>
                <pt idx="105">
                  <v>46031</v>
                </pt>
                <pt idx="106">
                  <v>46030</v>
                </pt>
                <pt idx="107">
                  <v>46029</v>
                </pt>
                <pt idx="108">
                  <v>46028</v>
                </pt>
                <pt idx="109">
                  <v>46027</v>
                </pt>
                <pt idx="110">
                  <v>46024</v>
                </pt>
                <pt idx="111">
                  <v>46023</v>
                </pt>
                <pt idx="112">
                  <v>46022</v>
                </pt>
                <pt idx="113">
                  <v>46021</v>
                </pt>
                <pt idx="114">
                  <v>46020</v>
                </pt>
                <pt idx="115">
                  <v>46017</v>
                </pt>
                <pt idx="116">
                  <v>46016</v>
                </pt>
                <pt idx="117">
                  <v>46015</v>
                </pt>
                <pt idx="118">
                  <v>46014</v>
                </pt>
                <pt idx="119">
                  <v>46013</v>
                </pt>
                <pt idx="120">
                  <v>46010</v>
                </pt>
                <pt idx="121">
                  <v>46009</v>
                </pt>
                <pt idx="122">
                  <v>46008</v>
                </pt>
                <pt idx="123">
                  <v>46007</v>
                </pt>
                <pt idx="124">
                  <v>46006</v>
                </pt>
                <pt idx="125">
                  <v>46003</v>
                </pt>
                <pt idx="126">
                  <v>46002</v>
                </pt>
                <pt idx="127">
                  <v>46001</v>
                </pt>
                <pt idx="128">
                  <v>46000</v>
                </pt>
                <pt idx="129">
                  <v>45999</v>
                </pt>
                <pt idx="130">
                  <v>45996</v>
                </pt>
                <pt idx="131">
                  <v>45995</v>
                </pt>
                <pt idx="132">
                  <v>45994</v>
                </pt>
                <pt idx="133">
                  <v>45993</v>
                </pt>
                <pt idx="134">
                  <v>45992</v>
                </pt>
                <pt idx="135">
                  <v>45989</v>
                </pt>
                <pt idx="136">
                  <v>45988</v>
                </pt>
                <pt idx="137">
                  <v>45987</v>
                </pt>
                <pt idx="138">
                  <v>45986</v>
                </pt>
                <pt idx="139">
                  <v>45985</v>
                </pt>
                <pt idx="140">
                  <v>45982</v>
                </pt>
                <pt idx="141">
                  <v>45981</v>
                </pt>
                <pt idx="142">
                  <v>45980</v>
                </pt>
                <pt idx="143">
                  <v>45979</v>
                </pt>
                <pt idx="144">
                  <v>45978</v>
                </pt>
                <pt idx="145">
                  <v>45975</v>
                </pt>
                <pt idx="146">
                  <v>45974</v>
                </pt>
                <pt idx="147">
                  <v>45973</v>
                </pt>
                <pt idx="148">
                  <v>45972</v>
                </pt>
                <pt idx="149">
                  <v>45971</v>
                </pt>
                <pt idx="150">
                  <v>45968</v>
                </pt>
                <pt idx="151">
                  <v>45967</v>
                </pt>
                <pt idx="152">
                  <v>45966</v>
                </pt>
                <pt idx="153">
                  <v>45965</v>
                </pt>
                <pt idx="154">
                  <v>45964</v>
                </pt>
                <pt idx="155">
                  <v>45961</v>
                </pt>
                <pt idx="156">
                  <v>45960</v>
                </pt>
                <pt idx="157">
                  <v>45959</v>
                </pt>
                <pt idx="158">
                  <v>45958</v>
                </pt>
                <pt idx="159">
                  <v>45957</v>
                </pt>
                <pt idx="160">
                  <v>45954</v>
                </pt>
                <pt idx="161">
                  <v>45953</v>
                </pt>
                <pt idx="162">
                  <v>45952</v>
                </pt>
                <pt idx="163">
                  <v>45951</v>
                </pt>
                <pt idx="164">
                  <v>45950</v>
                </pt>
                <pt idx="165">
                  <v>45947</v>
                </pt>
                <pt idx="166">
                  <v>45946</v>
                </pt>
                <pt idx="167">
                  <v>45945</v>
                </pt>
                <pt idx="168">
                  <v>45944</v>
                </pt>
                <pt idx="169">
                  <v>45943</v>
                </pt>
                <pt idx="170">
                  <v>45940</v>
                </pt>
                <pt idx="171">
                  <v>45939</v>
                </pt>
                <pt idx="172">
                  <v>45938</v>
                </pt>
                <pt idx="173">
                  <v>45937</v>
                </pt>
                <pt idx="174">
                  <v>45936</v>
                </pt>
                <pt idx="175">
                  <v>45933</v>
                </pt>
                <pt idx="176">
                  <v>45932</v>
                </pt>
                <pt idx="177">
                  <v>45931</v>
                </pt>
                <pt idx="178">
                  <v>45930</v>
                </pt>
                <pt idx="179">
                  <v>45929</v>
                </pt>
                <pt idx="180">
                  <v>45926</v>
                </pt>
                <pt idx="181">
                  <v>45925</v>
                </pt>
                <pt idx="182">
                  <v>45924</v>
                </pt>
                <pt idx="183">
                  <v>45923</v>
                </pt>
                <pt idx="184">
                  <v>45922</v>
                </pt>
                <pt idx="185">
                  <v>45919</v>
                </pt>
                <pt idx="186">
                  <v>45918</v>
                </pt>
                <pt idx="187">
                  <v>45917</v>
                </pt>
                <pt idx="188">
                  <v>45916</v>
                </pt>
                <pt idx="189">
                  <v>45915</v>
                </pt>
                <pt idx="190">
                  <v>45912</v>
                </pt>
                <pt idx="191">
                  <v>45911</v>
                </pt>
                <pt idx="192">
                  <v>45910</v>
                </pt>
                <pt idx="193">
                  <v>45909</v>
                </pt>
                <pt idx="194">
                  <v>45908</v>
                </pt>
                <pt idx="195">
                  <v>45905</v>
                </pt>
                <pt idx="196">
                  <v>45904</v>
                </pt>
                <pt idx="197">
                  <v>45903</v>
                </pt>
                <pt idx="198">
                  <v>45902</v>
                </pt>
                <pt idx="199">
                  <v>45901</v>
                </pt>
                <pt idx="200">
                  <v>45898</v>
                </pt>
                <pt idx="201">
                  <v>45897</v>
                </pt>
                <pt idx="202">
                  <v>45896</v>
                </pt>
                <pt idx="203">
                  <v>45895</v>
                </pt>
                <pt idx="204">
                  <v>45894</v>
                </pt>
                <pt idx="205">
                  <v>45891</v>
                </pt>
                <pt idx="206">
                  <v>45890</v>
                </pt>
                <pt idx="207">
                  <v>45889</v>
                </pt>
                <pt idx="208">
                  <v>45888</v>
                </pt>
                <pt idx="209">
                  <v>45887</v>
                </pt>
                <pt idx="210">
                  <v>45884</v>
                </pt>
                <pt idx="211">
                  <v>45883</v>
                </pt>
                <pt idx="212">
                  <v>45882</v>
                </pt>
                <pt idx="213">
                  <v>45881</v>
                </pt>
                <pt idx="214">
                  <v>45880</v>
                </pt>
                <pt idx="215">
                  <v>45877</v>
                </pt>
                <pt idx="216">
                  <v>45876</v>
                </pt>
                <pt idx="217">
                  <v>45875</v>
                </pt>
                <pt idx="218">
                  <v>45874</v>
                </pt>
                <pt idx="219">
                  <v>45873</v>
                </pt>
                <pt idx="220">
                  <v>45870</v>
                </pt>
                <pt idx="221">
                  <v>45869</v>
                </pt>
                <pt idx="222">
                  <v>45868</v>
                </pt>
                <pt idx="223">
                  <v>45867</v>
                </pt>
                <pt idx="224">
                  <v>45866</v>
                </pt>
                <pt idx="225">
                  <v>45863</v>
                </pt>
                <pt idx="226">
                  <v>45862</v>
                </pt>
                <pt idx="227">
                  <v>45861</v>
                </pt>
                <pt idx="228">
                  <v>45860</v>
                </pt>
                <pt idx="229">
                  <v>45859</v>
                </pt>
                <pt idx="230">
                  <v>45856</v>
                </pt>
                <pt idx="231">
                  <v>45855</v>
                </pt>
                <pt idx="232">
                  <v>45854</v>
                </pt>
                <pt idx="233">
                  <v>45853</v>
                </pt>
                <pt idx="234">
                  <v>45852</v>
                </pt>
                <pt idx="235">
                  <v>45849</v>
                </pt>
                <pt idx="236">
                  <v>45848</v>
                </pt>
                <pt idx="237">
                  <v>45847</v>
                </pt>
                <pt idx="238">
                  <v>45846</v>
                </pt>
                <pt idx="239">
                  <v>45845</v>
                </pt>
                <pt idx="240">
                  <v>45842</v>
                </pt>
                <pt idx="241">
                  <v>45841</v>
                </pt>
                <pt idx="242">
                  <v>45840</v>
                </pt>
                <pt idx="243">
                  <v>45839</v>
                </pt>
                <pt idx="244">
                  <v>45838</v>
                </pt>
                <pt idx="245">
                  <v>45835</v>
                </pt>
                <pt idx="246">
                  <v>45834</v>
                </pt>
                <pt idx="247">
                  <v>45833</v>
                </pt>
                <pt idx="248">
                  <v>45832</v>
                </pt>
                <pt idx="249">
                  <v>45831</v>
                </pt>
                <pt idx="250">
                  <v>45828</v>
                </pt>
                <pt idx="251">
                  <v>45827</v>
                </pt>
                <pt idx="252">
                  <v>45826</v>
                </pt>
                <pt idx="253">
                  <v>45825</v>
                </pt>
                <pt idx="254">
                  <v>45824</v>
                </pt>
                <pt idx="255">
                  <v>45821</v>
                </pt>
                <pt idx="256">
                  <v>45820</v>
                </pt>
                <pt idx="257">
                  <v>45819</v>
                </pt>
                <pt idx="258">
                  <v>45818</v>
                </pt>
                <pt idx="259">
                  <v>45817</v>
                </pt>
                <pt idx="260">
                  <v>45814</v>
                </pt>
                <pt idx="261">
                  <v>45813</v>
                </pt>
                <pt idx="262">
                  <v>45812</v>
                </pt>
                <pt idx="263">
                  <v>45811</v>
                </pt>
                <pt idx="264">
                  <v>45810</v>
                </pt>
                <pt idx="265">
                  <v>45807</v>
                </pt>
                <pt idx="266">
                  <v>45806</v>
                </pt>
                <pt idx="267">
                  <v>45805</v>
                </pt>
                <pt idx="268">
                  <v>45804</v>
                </pt>
                <pt idx="269">
                  <v>45803</v>
                </pt>
                <pt idx="270">
                  <v>45800</v>
                </pt>
                <pt idx="271">
                  <v>45799</v>
                </pt>
                <pt idx="272">
                  <v>45798</v>
                </pt>
                <pt idx="273">
                  <v>45797</v>
                </pt>
                <pt idx="274">
                  <v>45796</v>
                </pt>
                <pt idx="275">
                  <v>45793</v>
                </pt>
                <pt idx="276">
                  <v>45792</v>
                </pt>
                <pt idx="277">
                  <v>45791</v>
                </pt>
                <pt idx="278">
                  <v>45790</v>
                </pt>
                <pt idx="279">
                  <v>45789</v>
                </pt>
                <pt idx="280">
                  <v>45786</v>
                </pt>
                <pt idx="281">
                  <v>45785</v>
                </pt>
                <pt idx="282">
                  <v>45784</v>
                </pt>
                <pt idx="283">
                  <v>45783</v>
                </pt>
                <pt idx="284">
                  <v>45782</v>
                </pt>
                <pt idx="285">
                  <v>45779</v>
                </pt>
                <pt idx="286">
                  <v>45778</v>
                </pt>
                <pt idx="287">
                  <v>45777</v>
                </pt>
                <pt idx="288">
                  <v>45776</v>
                </pt>
                <pt idx="289">
                  <v>45775</v>
                </pt>
                <pt idx="290">
                  <v>45772</v>
                </pt>
                <pt idx="291">
                  <v>45771</v>
                </pt>
                <pt idx="292">
                  <v>45770</v>
                </pt>
                <pt idx="293">
                  <v>45769</v>
                </pt>
                <pt idx="294">
                  <v>45768</v>
                </pt>
                <pt idx="295">
                  <v>45765</v>
                </pt>
                <pt idx="296">
                  <v>45764</v>
                </pt>
                <pt idx="297">
                  <v>45763</v>
                </pt>
                <pt idx="298">
                  <v>45762</v>
                </pt>
                <pt idx="299">
                  <v>45761</v>
                </pt>
                <pt idx="300">
                  <v>45758</v>
                </pt>
                <pt idx="301">
                  <v>45757</v>
                </pt>
                <pt idx="302">
                  <v>45756</v>
                </pt>
                <pt idx="303">
                  <v>45755</v>
                </pt>
                <pt idx="304">
                  <v>45754</v>
                </pt>
                <pt idx="305">
                  <v>45751</v>
                </pt>
                <pt idx="306">
                  <v>45750</v>
                </pt>
                <pt idx="307">
                  <v>45749</v>
                </pt>
                <pt idx="308">
                  <v>45748</v>
                </pt>
                <pt idx="309">
                  <v>45747</v>
                </pt>
                <pt idx="310">
                  <v>45744</v>
                </pt>
                <pt idx="311">
                  <v>45743</v>
                </pt>
                <pt idx="312">
                  <v>45742</v>
                </pt>
                <pt idx="313">
                  <v>45741</v>
                </pt>
                <pt idx="314">
                  <v>45740</v>
                </pt>
                <pt idx="315">
                  <v>45737</v>
                </pt>
                <pt idx="316">
                  <v>45736</v>
                </pt>
                <pt idx="317">
                  <v>45735</v>
                </pt>
                <pt idx="318">
                  <v>45734</v>
                </pt>
                <pt idx="319">
                  <v>45733</v>
                </pt>
                <pt idx="320">
                  <v>45730</v>
                </pt>
                <pt idx="321">
                  <v>45729</v>
                </pt>
                <pt idx="322">
                  <v>45728</v>
                </pt>
                <pt idx="323">
                  <v>45727</v>
                </pt>
                <pt idx="324">
                  <v>45726</v>
                </pt>
                <pt idx="325">
                  <v>45723</v>
                </pt>
                <pt idx="326">
                  <v>45722</v>
                </pt>
                <pt idx="327">
                  <v>45721</v>
                </pt>
                <pt idx="328">
                  <v>45720</v>
                </pt>
                <pt idx="329">
                  <v>45719</v>
                </pt>
                <pt idx="330">
                  <v>45716</v>
                </pt>
                <pt idx="331">
                  <v>45715</v>
                </pt>
                <pt idx="332">
                  <v>45714</v>
                </pt>
                <pt idx="333">
                  <v>45713</v>
                </pt>
                <pt idx="334">
                  <v>45712</v>
                </pt>
                <pt idx="335">
                  <v>45709</v>
                </pt>
                <pt idx="336">
                  <v>45708</v>
                </pt>
                <pt idx="337">
                  <v>45707</v>
                </pt>
                <pt idx="338">
                  <v>45706</v>
                </pt>
                <pt idx="339">
                  <v>45705</v>
                </pt>
                <pt idx="340">
                  <v>45702</v>
                </pt>
                <pt idx="341">
                  <v>45701</v>
                </pt>
                <pt idx="342">
                  <v>45700</v>
                </pt>
                <pt idx="343">
                  <v>45699</v>
                </pt>
                <pt idx="344">
                  <v>45698</v>
                </pt>
                <pt idx="345">
                  <v>45695</v>
                </pt>
                <pt idx="346">
                  <v>45694</v>
                </pt>
                <pt idx="347">
                  <v>45693</v>
                </pt>
                <pt idx="348">
                  <v>45692</v>
                </pt>
                <pt idx="349">
                  <v>45691</v>
                </pt>
                <pt idx="350">
                  <v>45689</v>
                </pt>
                <pt idx="351">
                  <v>45688</v>
                </pt>
                <pt idx="352">
                  <v>45687</v>
                </pt>
                <pt idx="353">
                  <v>45686</v>
                </pt>
                <pt idx="354">
                  <v>45685</v>
                </pt>
                <pt idx="355">
                  <v>45684</v>
                </pt>
                <pt idx="356">
                  <v>45681</v>
                </pt>
                <pt idx="357">
                  <v>45680</v>
                </pt>
                <pt idx="358">
                  <v>45679</v>
                </pt>
                <pt idx="359">
                  <v>45678</v>
                </pt>
                <pt idx="360">
                  <v>45677</v>
                </pt>
                <pt idx="361">
                  <v>45674</v>
                </pt>
                <pt idx="362">
                  <v>45673</v>
                </pt>
                <pt idx="363">
                  <v>45672</v>
                </pt>
                <pt idx="364">
                  <v>45671</v>
                </pt>
                <pt idx="365">
                  <v>45670</v>
                </pt>
                <pt idx="366">
                  <v>45667</v>
                </pt>
                <pt idx="367">
                  <v>45666</v>
                </pt>
                <pt idx="368">
                  <v>45665</v>
                </pt>
                <pt idx="369">
                  <v>45664</v>
                </pt>
                <pt idx="370">
                  <v>45663</v>
                </pt>
                <pt idx="371">
                  <v>45660</v>
                </pt>
                <pt idx="372">
                  <v>45659</v>
                </pt>
                <pt idx="373">
                  <v>45658</v>
                </pt>
                <pt idx="374">
                  <v>45657</v>
                </pt>
                <pt idx="375">
                  <v>45656</v>
                </pt>
                <pt idx="376">
                  <v>45653</v>
                </pt>
                <pt idx="377">
                  <v>45652</v>
                </pt>
                <pt idx="378">
                  <v>45651</v>
                </pt>
                <pt idx="379">
                  <v>45650</v>
                </pt>
                <pt idx="380">
                  <v>45649</v>
                </pt>
                <pt idx="381">
                  <v>45646</v>
                </pt>
                <pt idx="382">
                  <v>45645</v>
                </pt>
                <pt idx="383">
                  <v>45644</v>
                </pt>
                <pt idx="384">
                  <v>45643</v>
                </pt>
                <pt idx="385">
                  <v>45642</v>
                </pt>
                <pt idx="386">
                  <v>45639</v>
                </pt>
                <pt idx="387">
                  <v>45638</v>
                </pt>
                <pt idx="388">
                  <v>45637</v>
                </pt>
                <pt idx="389">
                  <v>45636</v>
                </pt>
                <pt idx="390">
                  <v>45635</v>
                </pt>
                <pt idx="391">
                  <v>45632</v>
                </pt>
                <pt idx="392">
                  <v>45631</v>
                </pt>
                <pt idx="393">
                  <v>45630</v>
                </pt>
                <pt idx="394">
                  <v>45629</v>
                </pt>
                <pt idx="395">
                  <v>45628</v>
                </pt>
                <pt idx="396">
                  <v>45625</v>
                </pt>
                <pt idx="397">
                  <v>45624</v>
                </pt>
                <pt idx="398">
                  <v>45623</v>
                </pt>
                <pt idx="399">
                  <v>45622</v>
                </pt>
                <pt idx="400">
                  <v>45621</v>
                </pt>
                <pt idx="401">
                  <v>45618</v>
                </pt>
                <pt idx="402">
                  <v>45617</v>
                </pt>
                <pt idx="403">
                  <v>45616</v>
                </pt>
                <pt idx="404">
                  <v>45615</v>
                </pt>
                <pt idx="405">
                  <v>45614</v>
                </pt>
                <pt idx="406">
                  <v>45611</v>
                </pt>
                <pt idx="407">
                  <v>45610</v>
                </pt>
                <pt idx="408">
                  <v>45609</v>
                </pt>
                <pt idx="409">
                  <v>45608</v>
                </pt>
                <pt idx="410">
                  <v>45607</v>
                </pt>
                <pt idx="411">
                  <v>45604</v>
                </pt>
                <pt idx="412">
                  <v>45603</v>
                </pt>
                <pt idx="413">
                  <v>45602</v>
                </pt>
                <pt idx="414">
                  <v>45601</v>
                </pt>
                <pt idx="415">
                  <v>45600</v>
                </pt>
                <pt idx="416">
                  <v>45597</v>
                </pt>
                <pt idx="417">
                  <v>45596</v>
                </pt>
                <pt idx="418">
                  <v>45595</v>
                </pt>
                <pt idx="419">
                  <v>45594</v>
                </pt>
                <pt idx="420">
                  <v>45593</v>
                </pt>
                <pt idx="421">
                  <v>45590</v>
                </pt>
                <pt idx="422">
                  <v>45589</v>
                </pt>
                <pt idx="423">
                  <v>45588</v>
                </pt>
                <pt idx="424">
                  <v>45587</v>
                </pt>
                <pt idx="425">
                  <v>45586</v>
                </pt>
                <pt idx="426">
                  <v>45583</v>
                </pt>
                <pt idx="427">
                  <v>45582</v>
                </pt>
                <pt idx="428">
                  <v>45581</v>
                </pt>
                <pt idx="429">
                  <v>45580</v>
                </pt>
                <pt idx="430">
                  <v>45579</v>
                </pt>
                <pt idx="431">
                  <v>45576</v>
                </pt>
                <pt idx="432">
                  <v>45575</v>
                </pt>
                <pt idx="433">
                  <v>45574</v>
                </pt>
                <pt idx="434">
                  <v>45573</v>
                </pt>
                <pt idx="435">
                  <v>45572</v>
                </pt>
                <pt idx="436">
                  <v>45569</v>
                </pt>
                <pt idx="437">
                  <v>45568</v>
                </pt>
                <pt idx="438">
                  <v>45567</v>
                </pt>
                <pt idx="439">
                  <v>45566</v>
                </pt>
                <pt idx="440">
                  <v>45565</v>
                </pt>
                <pt idx="441">
                  <v>45562</v>
                </pt>
                <pt idx="442">
                  <v>45561</v>
                </pt>
                <pt idx="443">
                  <v>45560</v>
                </pt>
                <pt idx="444">
                  <v>45559</v>
                </pt>
                <pt idx="445">
                  <v>45558</v>
                </pt>
                <pt idx="446">
                  <v>45555</v>
                </pt>
                <pt idx="447">
                  <v>45554</v>
                </pt>
                <pt idx="448">
                  <v>45553</v>
                </pt>
                <pt idx="449">
                  <v>45552</v>
                </pt>
                <pt idx="450">
                  <v>45551</v>
                </pt>
                <pt idx="451">
                  <v>45548</v>
                </pt>
                <pt idx="452">
                  <v>45547</v>
                </pt>
                <pt idx="453">
                  <v>45546</v>
                </pt>
                <pt idx="454">
                  <v>45545</v>
                </pt>
                <pt idx="455">
                  <v>45544</v>
                </pt>
                <pt idx="456">
                  <v>45541</v>
                </pt>
                <pt idx="457">
                  <v>45540</v>
                </pt>
                <pt idx="458">
                  <v>45539</v>
                </pt>
                <pt idx="459">
                  <v>45538</v>
                </pt>
                <pt idx="460">
                  <v>45537</v>
                </pt>
                <pt idx="461">
                  <v>45534</v>
                </pt>
                <pt idx="462">
                  <v>45533</v>
                </pt>
                <pt idx="463">
                  <v>45532</v>
                </pt>
                <pt idx="464">
                  <v>45531</v>
                </pt>
                <pt idx="465">
                  <v>45530</v>
                </pt>
                <pt idx="466">
                  <v>45527</v>
                </pt>
                <pt idx="467">
                  <v>45526</v>
                </pt>
                <pt idx="468">
                  <v>45525</v>
                </pt>
                <pt idx="469">
                  <v>45524</v>
                </pt>
                <pt idx="470">
                  <v>45523</v>
                </pt>
                <pt idx="471">
                  <v>45520</v>
                </pt>
                <pt idx="472">
                  <v>45519</v>
                </pt>
                <pt idx="473">
                  <v>45518</v>
                </pt>
                <pt idx="474">
                  <v>45517</v>
                </pt>
                <pt idx="475">
                  <v>45516</v>
                </pt>
                <pt idx="476">
                  <v>45513</v>
                </pt>
                <pt idx="477">
                  <v>45512</v>
                </pt>
                <pt idx="478">
                  <v>45511</v>
                </pt>
                <pt idx="479">
                  <v>45510</v>
                </pt>
                <pt idx="480">
                  <v>45509</v>
                </pt>
                <pt idx="481">
                  <v>45506</v>
                </pt>
                <pt idx="482">
                  <v>45505</v>
                </pt>
                <pt idx="483">
                  <v>45504</v>
                </pt>
                <pt idx="484">
                  <v>45503</v>
                </pt>
                <pt idx="485">
                  <v>45502</v>
                </pt>
                <pt idx="486">
                  <v>45499</v>
                </pt>
                <pt idx="487">
                  <v>45498</v>
                </pt>
                <pt idx="488">
                  <v>45497</v>
                </pt>
                <pt idx="489">
                  <v>45496</v>
                </pt>
                <pt idx="490">
                  <v>45495</v>
                </pt>
                <pt idx="491">
                  <v>45492</v>
                </pt>
                <pt idx="492">
                  <v>45491</v>
                </pt>
                <pt idx="493">
                  <v>45490</v>
                </pt>
                <pt idx="494">
                  <v>45489</v>
                </pt>
                <pt idx="495">
                  <v>45488</v>
                </pt>
                <pt idx="496">
                  <v>45485</v>
                </pt>
                <pt idx="497">
                  <v>45484</v>
                </pt>
                <pt idx="498">
                  <v>45483</v>
                </pt>
                <pt idx="499">
                  <v>45482</v>
                </pt>
                <pt idx="500">
                  <v>45481</v>
                </pt>
                <pt idx="501">
                  <v>45478</v>
                </pt>
                <pt idx="502">
                  <v>45477</v>
                </pt>
                <pt idx="503">
                  <v>45476</v>
                </pt>
                <pt idx="504">
                  <v>45475</v>
                </pt>
                <pt idx="505">
                  <v>45474</v>
                </pt>
                <pt idx="506">
                  <v>45471</v>
                </pt>
                <pt idx="507">
                  <v>45470</v>
                </pt>
                <pt idx="508">
                  <v>45469</v>
                </pt>
                <pt idx="509">
                  <v>45468</v>
                </pt>
                <pt idx="510">
                  <v>45467</v>
                </pt>
                <pt idx="511">
                  <v>45464</v>
                </pt>
                <pt idx="512">
                  <v>45463</v>
                </pt>
                <pt idx="513">
                  <v>45462</v>
                </pt>
                <pt idx="514">
                  <v>45461</v>
                </pt>
                <pt idx="515">
                  <v>45460</v>
                </pt>
                <pt idx="516">
                  <v>45457</v>
                </pt>
                <pt idx="517">
                  <v>45456</v>
                </pt>
                <pt idx="518">
                  <v>45455</v>
                </pt>
                <pt idx="519">
                  <v>45454</v>
                </pt>
                <pt idx="520">
                  <v>45453</v>
                </pt>
                <pt idx="521">
                  <v>45450</v>
                </pt>
                <pt idx="522">
                  <v>45449</v>
                </pt>
                <pt idx="523">
                  <v>45448</v>
                </pt>
                <pt idx="524">
                  <v>45447</v>
                </pt>
                <pt idx="525">
                  <v>45446</v>
                </pt>
                <pt idx="526">
                  <v>45443</v>
                </pt>
                <pt idx="527">
                  <v>45442</v>
                </pt>
                <pt idx="528">
                  <v>45441</v>
                </pt>
                <pt idx="529">
                  <v>45440</v>
                </pt>
                <pt idx="530">
                  <v>45439</v>
                </pt>
                <pt idx="531">
                  <v>45436</v>
                </pt>
                <pt idx="532">
                  <v>45435</v>
                </pt>
                <pt idx="533">
                  <v>45434</v>
                </pt>
                <pt idx="534">
                  <v>45433</v>
                </pt>
                <pt idx="535">
                  <v>45432</v>
                </pt>
                <pt idx="536">
                  <v>45430</v>
                </pt>
                <pt idx="537">
                  <v>45429</v>
                </pt>
                <pt idx="538">
                  <v>45428</v>
                </pt>
                <pt idx="539">
                  <v>45427</v>
                </pt>
                <pt idx="540">
                  <v>45426</v>
                </pt>
                <pt idx="541">
                  <v>45425</v>
                </pt>
                <pt idx="542">
                  <v>45422</v>
                </pt>
                <pt idx="543">
                  <v>45421</v>
                </pt>
                <pt idx="544">
                  <v>45420</v>
                </pt>
                <pt idx="545">
                  <v>45419</v>
                </pt>
                <pt idx="546">
                  <v>45418</v>
                </pt>
                <pt idx="547">
                  <v>45415</v>
                </pt>
                <pt idx="548">
                  <v>45414</v>
                </pt>
                <pt idx="549">
                  <v>45413</v>
                </pt>
                <pt idx="550">
                  <v>45412</v>
                </pt>
                <pt idx="551">
                  <v>45411</v>
                </pt>
                <pt idx="552">
                  <v>45408</v>
                </pt>
                <pt idx="553">
                  <v>45407</v>
                </pt>
                <pt idx="554">
                  <v>45406</v>
                </pt>
                <pt idx="555">
                  <v>45405</v>
                </pt>
                <pt idx="556">
                  <v>45404</v>
                </pt>
                <pt idx="557">
                  <v>45401</v>
                </pt>
                <pt idx="558">
                  <v>45400</v>
                </pt>
                <pt idx="559">
                  <v>45399</v>
                </pt>
                <pt idx="560">
                  <v>45398</v>
                </pt>
                <pt idx="561">
                  <v>45397</v>
                </pt>
                <pt idx="562">
                  <v>45394</v>
                </pt>
                <pt idx="563">
                  <v>45393</v>
                </pt>
                <pt idx="564">
                  <v>45392</v>
                </pt>
                <pt idx="565">
                  <v>45391</v>
                </pt>
                <pt idx="566">
                  <v>45390</v>
                </pt>
                <pt idx="567">
                  <v>45387</v>
                </pt>
                <pt idx="568">
                  <v>45386</v>
                </pt>
                <pt idx="569">
                  <v>45385</v>
                </pt>
                <pt idx="570">
                  <v>45384</v>
                </pt>
                <pt idx="571">
                  <v>45383</v>
                </pt>
                <pt idx="572">
                  <v>45380</v>
                </pt>
                <pt idx="573">
                  <v>45379</v>
                </pt>
                <pt idx="574">
                  <v>45378</v>
                </pt>
                <pt idx="575">
                  <v>45377</v>
                </pt>
                <pt idx="576">
                  <v>45376</v>
                </pt>
                <pt idx="577">
                  <v>45373</v>
                </pt>
                <pt idx="578">
                  <v>45372</v>
                </pt>
                <pt idx="579">
                  <v>45371</v>
                </pt>
                <pt idx="580">
                  <v>45370</v>
                </pt>
                <pt idx="581">
                  <v>45369</v>
                </pt>
                <pt idx="582">
                  <v>45366</v>
                </pt>
                <pt idx="583">
                  <v>45365</v>
                </pt>
                <pt idx="584">
                  <v>45364</v>
                </pt>
                <pt idx="585">
                  <v>45363</v>
                </pt>
                <pt idx="586">
                  <v>45362</v>
                </pt>
                <pt idx="587">
                  <v>45359</v>
                </pt>
                <pt idx="588">
                  <v>45358</v>
                </pt>
                <pt idx="589">
                  <v>45357</v>
                </pt>
                <pt idx="590">
                  <v>45356</v>
                </pt>
                <pt idx="591">
                  <v>45355</v>
                </pt>
                <pt idx="592">
                  <v>45353</v>
                </pt>
                <pt idx="593">
                  <v>45352</v>
                </pt>
                <pt idx="594">
                  <v>45351</v>
                </pt>
                <pt idx="595">
                  <v>45350</v>
                </pt>
                <pt idx="596">
                  <v>45349</v>
                </pt>
                <pt idx="597">
                  <v>45348</v>
                </pt>
                <pt idx="598">
                  <v>45345</v>
                </pt>
                <pt idx="599">
                  <v>45344</v>
                </pt>
                <pt idx="600">
                  <v>45343</v>
                </pt>
                <pt idx="601">
                  <v>45342</v>
                </pt>
                <pt idx="602">
                  <v>45341</v>
                </pt>
                <pt idx="603">
                  <v>45338</v>
                </pt>
                <pt idx="604">
                  <v>45337</v>
                </pt>
                <pt idx="605">
                  <v>45336</v>
                </pt>
                <pt idx="606">
                  <v>45335</v>
                </pt>
                <pt idx="607">
                  <v>45334</v>
                </pt>
                <pt idx="608">
                  <v>45331</v>
                </pt>
                <pt idx="609">
                  <v>45330</v>
                </pt>
                <pt idx="610">
                  <v>45329</v>
                </pt>
                <pt idx="611">
                  <v>45328</v>
                </pt>
                <pt idx="612">
                  <v>45327</v>
                </pt>
                <pt idx="613">
                  <v>45324</v>
                </pt>
                <pt idx="614">
                  <v>45323</v>
                </pt>
                <pt idx="615">
                  <v>45322</v>
                </pt>
                <pt idx="616">
                  <v>45321</v>
                </pt>
                <pt idx="617">
                  <v>45320</v>
                </pt>
                <pt idx="618">
                  <v>45317</v>
                </pt>
                <pt idx="619">
                  <v>45316</v>
                </pt>
                <pt idx="620">
                  <v>45315</v>
                </pt>
                <pt idx="621">
                  <v>45314</v>
                </pt>
                <pt idx="622">
                  <v>45313</v>
                </pt>
                <pt idx="623">
                  <v>45311</v>
                </pt>
                <pt idx="624">
                  <v>45310</v>
                </pt>
                <pt idx="625">
                  <v>45309</v>
                </pt>
                <pt idx="626">
                  <v>45308</v>
                </pt>
                <pt idx="627">
                  <v>45307</v>
                </pt>
                <pt idx="628">
                  <v>45306</v>
                </pt>
                <pt idx="629">
                  <v>45303</v>
                </pt>
                <pt idx="630">
                  <v>45302</v>
                </pt>
                <pt idx="631">
                  <v>45301</v>
                </pt>
                <pt idx="632">
                  <v>45300</v>
                </pt>
                <pt idx="633">
                  <v>45299</v>
                </pt>
                <pt idx="634">
                  <v>45296</v>
                </pt>
                <pt idx="635">
                  <v>45295</v>
                </pt>
                <pt idx="636">
                  <v>45294</v>
                </pt>
                <pt idx="637">
                  <v>45293</v>
                </pt>
                <pt idx="638">
                  <v>45292</v>
                </pt>
                <pt idx="639">
                  <v>45289</v>
                </pt>
                <pt idx="640">
                  <v>45288</v>
                </pt>
                <pt idx="641">
                  <v>45287</v>
                </pt>
                <pt idx="642">
                  <v>45286</v>
                </pt>
                <pt idx="643">
                  <v>45285</v>
                </pt>
                <pt idx="644">
                  <v>45282</v>
                </pt>
                <pt idx="645">
                  <v>45281</v>
                </pt>
                <pt idx="646">
                  <v>45280</v>
                </pt>
                <pt idx="647">
                  <v>45279</v>
                </pt>
                <pt idx="648">
                  <v>45278</v>
                </pt>
                <pt idx="649">
                  <v>45275</v>
                </pt>
                <pt idx="650">
                  <v>45274</v>
                </pt>
                <pt idx="651">
                  <v>45273</v>
                </pt>
                <pt idx="652">
                  <v>45272</v>
                </pt>
                <pt idx="653">
                  <v>45271</v>
                </pt>
                <pt idx="654">
                  <v>45268</v>
                </pt>
                <pt idx="655">
                  <v>45267</v>
                </pt>
                <pt idx="656">
                  <v>45266</v>
                </pt>
                <pt idx="657">
                  <v>45265</v>
                </pt>
                <pt idx="658">
                  <v>45264</v>
                </pt>
                <pt idx="659">
                  <v>45261</v>
                </pt>
                <pt idx="660">
                  <v>45260</v>
                </pt>
                <pt idx="661">
                  <v>45259</v>
                </pt>
                <pt idx="662">
                  <v>45258</v>
                </pt>
                <pt idx="663">
                  <v>45257</v>
                </pt>
                <pt idx="664">
                  <v>45254</v>
                </pt>
                <pt idx="665">
                  <v>45253</v>
                </pt>
                <pt idx="666">
                  <v>45252</v>
                </pt>
                <pt idx="667">
                  <v>45251</v>
                </pt>
                <pt idx="668">
                  <v>45250</v>
                </pt>
                <pt idx="669">
                  <v>45247</v>
                </pt>
                <pt idx="670">
                  <v>45246</v>
                </pt>
                <pt idx="671">
                  <v>45245</v>
                </pt>
                <pt idx="672">
                  <v>45244</v>
                </pt>
                <pt idx="673">
                  <v>45243</v>
                </pt>
                <pt idx="674">
                  <v>45242</v>
                </pt>
                <pt idx="675">
                  <v>45240</v>
                </pt>
                <pt idx="676">
                  <v>45239</v>
                </pt>
                <pt idx="677">
                  <v>45238</v>
                </pt>
                <pt idx="678">
                  <v>45237</v>
                </pt>
                <pt idx="679">
                  <v>45236</v>
                </pt>
                <pt idx="680">
                  <v>45233</v>
                </pt>
                <pt idx="681">
                  <v>45232</v>
                </pt>
                <pt idx="682">
                  <v>45231</v>
                </pt>
                <pt idx="683">
                  <v>45230</v>
                </pt>
                <pt idx="684">
                  <v>45229</v>
                </pt>
                <pt idx="685">
                  <v>45226</v>
                </pt>
                <pt idx="686">
                  <v>45225</v>
                </pt>
                <pt idx="687">
                  <v>45224</v>
                </pt>
                <pt idx="688">
                  <v>45223</v>
                </pt>
                <pt idx="689">
                  <v>45222</v>
                </pt>
                <pt idx="690">
                  <v>45219</v>
                </pt>
                <pt idx="691">
                  <v>45218</v>
                </pt>
                <pt idx="692">
                  <v>45217</v>
                </pt>
                <pt idx="693">
                  <v>45216</v>
                </pt>
                <pt idx="694">
                  <v>45215</v>
                </pt>
                <pt idx="695">
                  <v>45212</v>
                </pt>
                <pt idx="696">
                  <v>45211</v>
                </pt>
                <pt idx="697">
                  <v>45210</v>
                </pt>
                <pt idx="698">
                  <v>45209</v>
                </pt>
                <pt idx="699">
                  <v>45208</v>
                </pt>
                <pt idx="700">
                  <v>45205</v>
                </pt>
                <pt idx="701">
                  <v>45204</v>
                </pt>
                <pt idx="702">
                  <v>45203</v>
                </pt>
                <pt idx="703">
                  <v>45202</v>
                </pt>
                <pt idx="704">
                  <v>45201</v>
                </pt>
                <pt idx="705">
                  <v>45198</v>
                </pt>
                <pt idx="706">
                  <v>45197</v>
                </pt>
                <pt idx="707">
                  <v>45196</v>
                </pt>
                <pt idx="708">
                  <v>45195</v>
                </pt>
                <pt idx="709">
                  <v>45194</v>
                </pt>
                <pt idx="710">
                  <v>45191</v>
                </pt>
                <pt idx="711">
                  <v>45190</v>
                </pt>
                <pt idx="712">
                  <v>45189</v>
                </pt>
                <pt idx="713">
                  <v>45188</v>
                </pt>
                <pt idx="714">
                  <v>45187</v>
                </pt>
                <pt idx="715">
                  <v>45184</v>
                </pt>
                <pt idx="716">
                  <v>45183</v>
                </pt>
                <pt idx="717">
                  <v>45182</v>
                </pt>
                <pt idx="718">
                  <v>45181</v>
                </pt>
                <pt idx="719">
                  <v>45180</v>
                </pt>
                <pt idx="720">
                  <v>45177</v>
                </pt>
                <pt idx="721">
                  <v>45176</v>
                </pt>
                <pt idx="722">
                  <v>45175</v>
                </pt>
                <pt idx="723">
                  <v>45174</v>
                </pt>
                <pt idx="724">
                  <v>45173</v>
                </pt>
                <pt idx="725">
                  <v>45170</v>
                </pt>
                <pt idx="726">
                  <v>45169</v>
                </pt>
                <pt idx="727">
                  <v>45168</v>
                </pt>
                <pt idx="728">
                  <v>45167</v>
                </pt>
                <pt idx="729">
                  <v>45166</v>
                </pt>
                <pt idx="730">
                  <v>45163</v>
                </pt>
                <pt idx="731">
                  <v>45162</v>
                </pt>
                <pt idx="732">
                  <v>45161</v>
                </pt>
                <pt idx="733">
                  <v>45160</v>
                </pt>
                <pt idx="734">
                  <v>45159</v>
                </pt>
                <pt idx="735">
                  <v>45156</v>
                </pt>
                <pt idx="736">
                  <v>45155</v>
                </pt>
                <pt idx="737">
                  <v>45154</v>
                </pt>
                <pt idx="738">
                  <v>45153</v>
                </pt>
                <pt idx="739">
                  <v>45152</v>
                </pt>
                <pt idx="740">
                  <v>45149</v>
                </pt>
                <pt idx="741">
                  <v>45148</v>
                </pt>
                <pt idx="742">
                  <v>45147</v>
                </pt>
                <pt idx="743">
                  <v>45146</v>
                </pt>
                <pt idx="744">
                  <v>45145</v>
                </pt>
                <pt idx="745">
                  <v>45142</v>
                </pt>
                <pt idx="746">
                  <v>45141</v>
                </pt>
                <pt idx="747">
                  <v>45140</v>
                </pt>
                <pt idx="748">
                  <v>45139</v>
                </pt>
                <pt idx="749">
                  <v>45138</v>
                </pt>
                <pt idx="750">
                  <v>45135</v>
                </pt>
                <pt idx="751">
                  <v>45134</v>
                </pt>
                <pt idx="752">
                  <v>45133</v>
                </pt>
                <pt idx="753">
                  <v>45132</v>
                </pt>
                <pt idx="754">
                  <v>45131</v>
                </pt>
                <pt idx="755">
                  <v>45128</v>
                </pt>
                <pt idx="756">
                  <v>45127</v>
                </pt>
                <pt idx="757">
                  <v>45126</v>
                </pt>
                <pt idx="758">
                  <v>45125</v>
                </pt>
                <pt idx="759">
                  <v>45124</v>
                </pt>
                <pt idx="760">
                  <v>45121</v>
                </pt>
                <pt idx="761">
                  <v>45120</v>
                </pt>
                <pt idx="762">
                  <v>45119</v>
                </pt>
                <pt idx="763">
                  <v>45118</v>
                </pt>
                <pt idx="764">
                  <v>45117</v>
                </pt>
                <pt idx="765">
                  <v>45114</v>
                </pt>
                <pt idx="766">
                  <v>45113</v>
                </pt>
                <pt idx="767">
                  <v>45112</v>
                </pt>
                <pt idx="768">
                  <v>45111</v>
                </pt>
                <pt idx="769">
                  <v>45110</v>
                </pt>
                <pt idx="770">
                  <v>45107</v>
                </pt>
                <pt idx="771">
                  <v>45106</v>
                </pt>
                <pt idx="772">
                  <v>45105</v>
                </pt>
                <pt idx="773">
                  <v>45104</v>
                </pt>
                <pt idx="774">
                  <v>45103</v>
                </pt>
                <pt idx="775">
                  <v>45100</v>
                </pt>
                <pt idx="776">
                  <v>45099</v>
                </pt>
                <pt idx="777">
                  <v>45098</v>
                </pt>
                <pt idx="778">
                  <v>45097</v>
                </pt>
                <pt idx="779">
                  <v>45096</v>
                </pt>
                <pt idx="780">
                  <v>45093</v>
                </pt>
                <pt idx="781">
                  <v>45092</v>
                </pt>
                <pt idx="782">
                  <v>45091</v>
                </pt>
                <pt idx="783">
                  <v>45090</v>
                </pt>
                <pt idx="784">
                  <v>45089</v>
                </pt>
                <pt idx="785">
                  <v>45086</v>
                </pt>
                <pt idx="786">
                  <v>45085</v>
                </pt>
                <pt idx="787">
                  <v>45084</v>
                </pt>
                <pt idx="788">
                  <v>45083</v>
                </pt>
                <pt idx="789">
                  <v>45082</v>
                </pt>
                <pt idx="790">
                  <v>45079</v>
                </pt>
                <pt idx="791">
                  <v>45078</v>
                </pt>
                <pt idx="792">
                  <v>45077</v>
                </pt>
                <pt idx="793">
                  <v>45076</v>
                </pt>
                <pt idx="794">
                  <v>45075</v>
                </pt>
                <pt idx="795">
                  <v>45072</v>
                </pt>
                <pt idx="796">
                  <v>45071</v>
                </pt>
                <pt idx="797">
                  <v>45070</v>
                </pt>
                <pt idx="798">
                  <v>45069</v>
                </pt>
                <pt idx="799">
                  <v>45068</v>
                </pt>
                <pt idx="800">
                  <v>45065</v>
                </pt>
                <pt idx="801">
                  <v>45064</v>
                </pt>
                <pt idx="802">
                  <v>45063</v>
                </pt>
                <pt idx="803">
                  <v>45062</v>
                </pt>
                <pt idx="804">
                  <v>45061</v>
                </pt>
                <pt idx="805">
                  <v>45058</v>
                </pt>
                <pt idx="806">
                  <v>45057</v>
                </pt>
                <pt idx="807">
                  <v>45056</v>
                </pt>
                <pt idx="808">
                  <v>45055</v>
                </pt>
                <pt idx="809">
                  <v>45054</v>
                </pt>
                <pt idx="810">
                  <v>45051</v>
                </pt>
                <pt idx="811">
                  <v>45050</v>
                </pt>
                <pt idx="812">
                  <v>45049</v>
                </pt>
                <pt idx="813">
                  <v>45048</v>
                </pt>
                <pt idx="814">
                  <v>45047</v>
                </pt>
                <pt idx="815">
                  <v>45044</v>
                </pt>
                <pt idx="816">
                  <v>45043</v>
                </pt>
                <pt idx="817">
                  <v>45042</v>
                </pt>
                <pt idx="818">
                  <v>45041</v>
                </pt>
                <pt idx="819">
                  <v>45040</v>
                </pt>
                <pt idx="820">
                  <v>45037</v>
                </pt>
                <pt idx="821">
                  <v>45036</v>
                </pt>
                <pt idx="822">
                  <v>45035</v>
                </pt>
                <pt idx="823">
                  <v>45034</v>
                </pt>
                <pt idx="824">
                  <v>45033</v>
                </pt>
                <pt idx="825">
                  <v>45030</v>
                </pt>
                <pt idx="826">
                  <v>45029</v>
                </pt>
                <pt idx="827">
                  <v>45028</v>
                </pt>
                <pt idx="828">
                  <v>45027</v>
                </pt>
                <pt idx="829">
                  <v>45026</v>
                </pt>
                <pt idx="830">
                  <v>45023</v>
                </pt>
                <pt idx="831">
                  <v>45022</v>
                </pt>
                <pt idx="832">
                  <v>45021</v>
                </pt>
                <pt idx="833">
                  <v>45020</v>
                </pt>
                <pt idx="834">
                  <v>45019</v>
                </pt>
                <pt idx="835">
                  <v>45016</v>
                </pt>
                <pt idx="836">
                  <v>45015</v>
                </pt>
                <pt idx="837">
                  <v>45014</v>
                </pt>
                <pt idx="838">
                  <v>45013</v>
                </pt>
                <pt idx="839">
                  <v>45012</v>
                </pt>
                <pt idx="840">
                  <v>45009</v>
                </pt>
                <pt idx="841">
                  <v>45008</v>
                </pt>
                <pt idx="842">
                  <v>45007</v>
                </pt>
                <pt idx="843">
                  <v>45006</v>
                </pt>
                <pt idx="844">
                  <v>45005</v>
                </pt>
                <pt idx="845">
                  <v>45002</v>
                </pt>
                <pt idx="846">
                  <v>45001</v>
                </pt>
                <pt idx="847">
                  <v>45000</v>
                </pt>
                <pt idx="848">
                  <v>44999</v>
                </pt>
                <pt idx="849">
                  <v>44998</v>
                </pt>
                <pt idx="850">
                  <v>44995</v>
                </pt>
                <pt idx="851">
                  <v>44994</v>
                </pt>
                <pt idx="852">
                  <v>44993</v>
                </pt>
                <pt idx="853">
                  <v>44992</v>
                </pt>
                <pt idx="854">
                  <v>44991</v>
                </pt>
                <pt idx="855">
                  <v>44988</v>
                </pt>
                <pt idx="856">
                  <v>44987</v>
                </pt>
                <pt idx="857">
                  <v>44986</v>
                </pt>
                <pt idx="858">
                  <v>44985</v>
                </pt>
                <pt idx="859">
                  <v>44984</v>
                </pt>
                <pt idx="860">
                  <v>44981</v>
                </pt>
                <pt idx="861">
                  <v>44980</v>
                </pt>
                <pt idx="862">
                  <v>44979</v>
                </pt>
                <pt idx="863">
                  <v>44978</v>
                </pt>
                <pt idx="864">
                  <v>44977</v>
                </pt>
                <pt idx="865">
                  <v>44974</v>
                </pt>
                <pt idx="866">
                  <v>44973</v>
                </pt>
                <pt idx="867">
                  <v>44972</v>
                </pt>
                <pt idx="868">
                  <v>44971</v>
                </pt>
                <pt idx="869">
                  <v>44970</v>
                </pt>
                <pt idx="870">
                  <v>44967</v>
                </pt>
                <pt idx="871">
                  <v>44966</v>
                </pt>
                <pt idx="872">
                  <v>44965</v>
                </pt>
                <pt idx="873">
                  <v>44964</v>
                </pt>
                <pt idx="874">
                  <v>44963</v>
                </pt>
                <pt idx="875">
                  <v>44960</v>
                </pt>
                <pt idx="876">
                  <v>44959</v>
                </pt>
                <pt idx="877">
                  <v>44958</v>
                </pt>
                <pt idx="878">
                  <v>44957</v>
                </pt>
                <pt idx="879">
                  <v>44956</v>
                </pt>
                <pt idx="880">
                  <v>44953</v>
                </pt>
                <pt idx="881">
                  <v>44952</v>
                </pt>
                <pt idx="882">
                  <v>44951</v>
                </pt>
                <pt idx="883">
                  <v>44950</v>
                </pt>
                <pt idx="884">
                  <v>44949</v>
                </pt>
                <pt idx="885">
                  <v>44946</v>
                </pt>
                <pt idx="886">
                  <v>44945</v>
                </pt>
                <pt idx="887">
                  <v>44944</v>
                </pt>
                <pt idx="888">
                  <v>44943</v>
                </pt>
                <pt idx="889">
                  <v>44942</v>
                </pt>
                <pt idx="890">
                  <v>44939</v>
                </pt>
                <pt idx="891">
                  <v>44938</v>
                </pt>
                <pt idx="892">
                  <v>44937</v>
                </pt>
                <pt idx="893">
                  <v>44936</v>
                </pt>
                <pt idx="894">
                  <v>44935</v>
                </pt>
                <pt idx="895">
                  <v>44932</v>
                </pt>
                <pt idx="896">
                  <v>44931</v>
                </pt>
                <pt idx="897">
                  <v>44930</v>
                </pt>
                <pt idx="898">
                  <v>44929</v>
                </pt>
                <pt idx="899">
                  <v>44928</v>
                </pt>
                <pt idx="900">
                  <v>44925</v>
                </pt>
                <pt idx="901">
                  <v>44924</v>
                </pt>
                <pt idx="902">
                  <v>44923</v>
                </pt>
                <pt idx="903">
                  <v>44922</v>
                </pt>
                <pt idx="904">
                  <v>44921</v>
                </pt>
                <pt idx="905">
                  <v>44918</v>
                </pt>
                <pt idx="906">
                  <v>44917</v>
                </pt>
                <pt idx="907">
                  <v>44916</v>
                </pt>
                <pt idx="908">
                  <v>44915</v>
                </pt>
                <pt idx="909">
                  <v>44914</v>
                </pt>
                <pt idx="910">
                  <v>44911</v>
                </pt>
                <pt idx="911">
                  <v>44910</v>
                </pt>
                <pt idx="912">
                  <v>44909</v>
                </pt>
                <pt idx="913">
                  <v>44908</v>
                </pt>
                <pt idx="914">
                  <v>44907</v>
                </pt>
                <pt idx="915">
                  <v>44904</v>
                </pt>
                <pt idx="916">
                  <v>44903</v>
                </pt>
                <pt idx="917">
                  <v>44902</v>
                </pt>
                <pt idx="918">
                  <v>44901</v>
                </pt>
                <pt idx="919">
                  <v>44900</v>
                </pt>
                <pt idx="920">
                  <v>44897</v>
                </pt>
                <pt idx="921">
                  <v>44896</v>
                </pt>
                <pt idx="922">
                  <v>44895</v>
                </pt>
                <pt idx="923">
                  <v>44894</v>
                </pt>
                <pt idx="924">
                  <v>44893</v>
                </pt>
                <pt idx="925">
                  <v>44890</v>
                </pt>
                <pt idx="926">
                  <v>44889</v>
                </pt>
                <pt idx="927">
                  <v>44888</v>
                </pt>
                <pt idx="928">
                  <v>44887</v>
                </pt>
                <pt idx="929">
                  <v>44886</v>
                </pt>
                <pt idx="930">
                  <v>44883</v>
                </pt>
                <pt idx="931">
                  <v>44882</v>
                </pt>
                <pt idx="932">
                  <v>44881</v>
                </pt>
                <pt idx="933">
                  <v>44880</v>
                </pt>
                <pt idx="934">
                  <v>44879</v>
                </pt>
                <pt idx="935">
                  <v>44876</v>
                </pt>
                <pt idx="936">
                  <v>44875</v>
                </pt>
                <pt idx="937">
                  <v>44874</v>
                </pt>
                <pt idx="938">
                  <v>44873</v>
                </pt>
                <pt idx="939">
                  <v>44872</v>
                </pt>
                <pt idx="940">
                  <v>44869</v>
                </pt>
                <pt idx="941">
                  <v>44868</v>
                </pt>
                <pt idx="942">
                  <v>44867</v>
                </pt>
                <pt idx="943">
                  <v>44866</v>
                </pt>
                <pt idx="944">
                  <v>44865</v>
                </pt>
                <pt idx="945">
                  <v>44862</v>
                </pt>
                <pt idx="946">
                  <v>44861</v>
                </pt>
                <pt idx="947">
                  <v>44860</v>
                </pt>
                <pt idx="948">
                  <v>44859</v>
                </pt>
                <pt idx="949">
                  <v>44858</v>
                </pt>
                <pt idx="950">
                  <v>44855</v>
                </pt>
                <pt idx="951">
                  <v>44854</v>
                </pt>
                <pt idx="952">
                  <v>44853</v>
                </pt>
                <pt idx="953">
                  <v>44852</v>
                </pt>
                <pt idx="954">
                  <v>44851</v>
                </pt>
                <pt idx="955">
                  <v>44848</v>
                </pt>
                <pt idx="956">
                  <v>44847</v>
                </pt>
                <pt idx="957">
                  <v>44846</v>
                </pt>
                <pt idx="958">
                  <v>44845</v>
                </pt>
                <pt idx="959">
                  <v>44844</v>
                </pt>
                <pt idx="960">
                  <v>44841</v>
                </pt>
                <pt idx="961">
                  <v>44840</v>
                </pt>
                <pt idx="962">
                  <v>44839</v>
                </pt>
                <pt idx="963">
                  <v>44838</v>
                </pt>
                <pt idx="964">
                  <v>44837</v>
                </pt>
                <pt idx="965">
                  <v>44834</v>
                </pt>
                <pt idx="966">
                  <v>44833</v>
                </pt>
                <pt idx="967">
                  <v>44832</v>
                </pt>
                <pt idx="968">
                  <v>44831</v>
                </pt>
                <pt idx="969">
                  <v>44830</v>
                </pt>
                <pt idx="970">
                  <v>44827</v>
                </pt>
                <pt idx="971">
                  <v>44826</v>
                </pt>
                <pt idx="972">
                  <v>44825</v>
                </pt>
                <pt idx="973">
                  <v>44824</v>
                </pt>
                <pt idx="974">
                  <v>44823</v>
                </pt>
                <pt idx="975">
                  <v>44820</v>
                </pt>
                <pt idx="976">
                  <v>44819</v>
                </pt>
                <pt idx="977">
                  <v>44818</v>
                </pt>
                <pt idx="978">
                  <v>44817</v>
                </pt>
                <pt idx="979">
                  <v>44816</v>
                </pt>
                <pt idx="980">
                  <v>44813</v>
                </pt>
                <pt idx="981">
                  <v>44812</v>
                </pt>
                <pt idx="982">
                  <v>44811</v>
                </pt>
                <pt idx="983">
                  <v>44810</v>
                </pt>
                <pt idx="984">
                  <v>44809</v>
                </pt>
                <pt idx="985">
                  <v>44806</v>
                </pt>
                <pt idx="986">
                  <v>44805</v>
                </pt>
                <pt idx="987">
                  <v>44804</v>
                </pt>
                <pt idx="988">
                  <v>44803</v>
                </pt>
                <pt idx="989">
                  <v>44802</v>
                </pt>
                <pt idx="990">
                  <v>44799</v>
                </pt>
                <pt idx="991">
                  <v>44798</v>
                </pt>
                <pt idx="992">
                  <v>44797</v>
                </pt>
                <pt idx="993">
                  <v>44796</v>
                </pt>
                <pt idx="994">
                  <v>44795</v>
                </pt>
                <pt idx="995">
                  <v>44792</v>
                </pt>
                <pt idx="996">
                  <v>44791</v>
                </pt>
                <pt idx="997">
                  <v>44790</v>
                </pt>
                <pt idx="998">
                  <v>44789</v>
                </pt>
                <pt idx="999">
                  <v>44788</v>
                </pt>
                <pt idx="1000">
                  <v>44785</v>
                </pt>
                <pt idx="1001">
                  <v>44784</v>
                </pt>
                <pt idx="1002">
                  <v>44783</v>
                </pt>
                <pt idx="1003">
                  <v>44782</v>
                </pt>
                <pt idx="1004">
                  <v>44781</v>
                </pt>
                <pt idx="1005">
                  <v>44778</v>
                </pt>
                <pt idx="1006">
                  <v>44777</v>
                </pt>
                <pt idx="1007">
                  <v>44776</v>
                </pt>
                <pt idx="1008">
                  <v>44775</v>
                </pt>
                <pt idx="1009">
                  <v>44774</v>
                </pt>
                <pt idx="1010">
                  <v>44771</v>
                </pt>
                <pt idx="1011">
                  <v>44770</v>
                </pt>
                <pt idx="1012">
                  <v>44769</v>
                </pt>
                <pt idx="1013">
                  <v>44768</v>
                </pt>
                <pt idx="1014">
                  <v>44767</v>
                </pt>
                <pt idx="1015">
                  <v>44764</v>
                </pt>
                <pt idx="1016">
                  <v>44763</v>
                </pt>
                <pt idx="1017">
                  <v>44762</v>
                </pt>
                <pt idx="1018">
                  <v>44761</v>
                </pt>
                <pt idx="1019">
                  <v>44760</v>
                </pt>
                <pt idx="1020">
                  <v>44757</v>
                </pt>
                <pt idx="1021">
                  <v>44756</v>
                </pt>
                <pt idx="1022">
                  <v>44755</v>
                </pt>
                <pt idx="1023">
                  <v>44754</v>
                </pt>
                <pt idx="1024">
                  <v>44753</v>
                </pt>
                <pt idx="1025">
                  <v>44750</v>
                </pt>
                <pt idx="1026">
                  <v>44749</v>
                </pt>
                <pt idx="1027">
                  <v>44748</v>
                </pt>
                <pt idx="1028">
                  <v>44747</v>
                </pt>
                <pt idx="1029">
                  <v>44746</v>
                </pt>
                <pt idx="1030">
                  <v>44743</v>
                </pt>
                <pt idx="1031">
                  <v>44742</v>
                </pt>
                <pt idx="1032">
                  <v>44741</v>
                </pt>
                <pt idx="1033">
                  <v>44740</v>
                </pt>
                <pt idx="1034">
                  <v>44739</v>
                </pt>
                <pt idx="1035">
                  <v>44736</v>
                </pt>
                <pt idx="1036">
                  <v>44735</v>
                </pt>
                <pt idx="1037">
                  <v>44734</v>
                </pt>
                <pt idx="1038">
                  <v>44733</v>
                </pt>
                <pt idx="1039">
                  <v>44732</v>
                </pt>
                <pt idx="1040">
                  <v>44729</v>
                </pt>
                <pt idx="1041">
                  <v>44728</v>
                </pt>
                <pt idx="1042">
                  <v>44727</v>
                </pt>
                <pt idx="1043">
                  <v>44726</v>
                </pt>
                <pt idx="1044">
                  <v>44725</v>
                </pt>
                <pt idx="1045">
                  <v>44722</v>
                </pt>
                <pt idx="1046">
                  <v>44721</v>
                </pt>
                <pt idx="1047">
                  <v>44720</v>
                </pt>
                <pt idx="1048">
                  <v>44719</v>
                </pt>
                <pt idx="1049">
                  <v>44718</v>
                </pt>
                <pt idx="1050">
                  <v>44715</v>
                </pt>
                <pt idx="1051">
                  <v>44714</v>
                </pt>
                <pt idx="1052">
                  <v>44713</v>
                </pt>
                <pt idx="1053">
                  <v>44712</v>
                </pt>
                <pt idx="1054">
                  <v>44711</v>
                </pt>
                <pt idx="1055">
                  <v>44708</v>
                </pt>
                <pt idx="1056">
                  <v>44707</v>
                </pt>
                <pt idx="1057">
                  <v>44706</v>
                </pt>
                <pt idx="1058">
                  <v>44705</v>
                </pt>
                <pt idx="1059">
                  <v>44704</v>
                </pt>
                <pt idx="1060">
                  <v>44701</v>
                </pt>
                <pt idx="1061">
                  <v>44700</v>
                </pt>
                <pt idx="1062">
                  <v>44699</v>
                </pt>
                <pt idx="1063">
                  <v>44698</v>
                </pt>
                <pt idx="1064">
                  <v>44697</v>
                </pt>
                <pt idx="1065">
                  <v>44694</v>
                </pt>
                <pt idx="1066">
                  <v>44693</v>
                </pt>
                <pt idx="1067">
                  <v>44692</v>
                </pt>
                <pt idx="1068">
                  <v>44691</v>
                </pt>
                <pt idx="1069">
                  <v>44690</v>
                </pt>
                <pt idx="1070">
                  <v>44687</v>
                </pt>
                <pt idx="1071">
                  <v>44686</v>
                </pt>
                <pt idx="1072">
                  <v>44685</v>
                </pt>
                <pt idx="1073">
                  <v>44684</v>
                </pt>
                <pt idx="1074">
                  <v>44683</v>
                </pt>
                <pt idx="1075">
                  <v>44680</v>
                </pt>
                <pt idx="1076">
                  <v>44679</v>
                </pt>
                <pt idx="1077">
                  <v>44678</v>
                </pt>
                <pt idx="1078">
                  <v>44677</v>
                </pt>
                <pt idx="1079">
                  <v>44676</v>
                </pt>
                <pt idx="1080">
                  <v>44673</v>
                </pt>
                <pt idx="1081">
                  <v>44672</v>
                </pt>
                <pt idx="1082">
                  <v>44671</v>
                </pt>
                <pt idx="1083">
                  <v>44670</v>
                </pt>
                <pt idx="1084">
                  <v>44669</v>
                </pt>
                <pt idx="1085">
                  <v>44666</v>
                </pt>
                <pt idx="1086">
                  <v>44665</v>
                </pt>
                <pt idx="1087">
                  <v>44664</v>
                </pt>
                <pt idx="1088">
                  <v>44663</v>
                </pt>
                <pt idx="1089">
                  <v>44662</v>
                </pt>
                <pt idx="1090">
                  <v>44659</v>
                </pt>
                <pt idx="1091">
                  <v>44658</v>
                </pt>
                <pt idx="1092">
                  <v>44657</v>
                </pt>
                <pt idx="1093">
                  <v>44656</v>
                </pt>
                <pt idx="1094">
                  <v>44655</v>
                </pt>
                <pt idx="1095">
                  <v>44652</v>
                </pt>
                <pt idx="1096">
                  <v>44651</v>
                </pt>
                <pt idx="1097">
                  <v>44650</v>
                </pt>
                <pt idx="1098">
                  <v>44649</v>
                </pt>
                <pt idx="1099">
                  <v>44648</v>
                </pt>
                <pt idx="1100">
                  <v>44645</v>
                </pt>
                <pt idx="1101">
                  <v>44644</v>
                </pt>
                <pt idx="1102">
                  <v>44643</v>
                </pt>
                <pt idx="1103">
                  <v>44642</v>
                </pt>
                <pt idx="1104">
                  <v>44641</v>
                </pt>
                <pt idx="1105">
                  <v>44638</v>
                </pt>
                <pt idx="1106">
                  <v>44637</v>
                </pt>
                <pt idx="1107">
                  <v>44636</v>
                </pt>
                <pt idx="1108">
                  <v>44635</v>
                </pt>
                <pt idx="1109">
                  <v>44634</v>
                </pt>
                <pt idx="1110">
                  <v>44631</v>
                </pt>
                <pt idx="1111">
                  <v>44630</v>
                </pt>
                <pt idx="1112">
                  <v>44629</v>
                </pt>
                <pt idx="1113">
                  <v>44628</v>
                </pt>
                <pt idx="1114">
                  <v>44627</v>
                </pt>
                <pt idx="1115">
                  <v>44624</v>
                </pt>
                <pt idx="1116">
                  <v>44623</v>
                </pt>
                <pt idx="1117">
                  <v>44622</v>
                </pt>
                <pt idx="1118">
                  <v>44621</v>
                </pt>
                <pt idx="1119">
                  <v>44620</v>
                </pt>
                <pt idx="1120">
                  <v>44617</v>
                </pt>
                <pt idx="1121">
                  <v>44616</v>
                </pt>
                <pt idx="1122">
                  <v>44615</v>
                </pt>
                <pt idx="1123">
                  <v>44614</v>
                </pt>
                <pt idx="1124">
                  <v>44613</v>
                </pt>
                <pt idx="1125">
                  <v>44610</v>
                </pt>
                <pt idx="1126">
                  <v>44609</v>
                </pt>
                <pt idx="1127">
                  <v>44608</v>
                </pt>
                <pt idx="1128">
                  <v>44607</v>
                </pt>
                <pt idx="1129">
                  <v>44606</v>
                </pt>
                <pt idx="1130">
                  <v>44603</v>
                </pt>
                <pt idx="1131">
                  <v>44602</v>
                </pt>
                <pt idx="1132">
                  <v>44601</v>
                </pt>
                <pt idx="1133">
                  <v>44600</v>
                </pt>
                <pt idx="1134">
                  <v>44599</v>
                </pt>
                <pt idx="1135">
                  <v>44596</v>
                </pt>
                <pt idx="1136">
                  <v>44595</v>
                </pt>
                <pt idx="1137">
                  <v>44594</v>
                </pt>
                <pt idx="1138">
                  <v>44593</v>
                </pt>
                <pt idx="1139">
                  <v>44592</v>
                </pt>
                <pt idx="1140">
                  <v>44589</v>
                </pt>
                <pt idx="1141">
                  <v>44588</v>
                </pt>
                <pt idx="1142">
                  <v>44587</v>
                </pt>
                <pt idx="1143">
                  <v>44586</v>
                </pt>
                <pt idx="1144">
                  <v>44585</v>
                </pt>
                <pt idx="1145">
                  <v>44582</v>
                </pt>
                <pt idx="1146">
                  <v>44581</v>
                </pt>
                <pt idx="1147">
                  <v>44580</v>
                </pt>
                <pt idx="1148">
                  <v>44579</v>
                </pt>
                <pt idx="1149">
                  <v>44578</v>
                </pt>
                <pt idx="1150">
                  <v>44575</v>
                </pt>
                <pt idx="1151">
                  <v>44574</v>
                </pt>
                <pt idx="1152">
                  <v>44573</v>
                </pt>
                <pt idx="1153">
                  <v>44572</v>
                </pt>
                <pt idx="1154">
                  <v>44571</v>
                </pt>
                <pt idx="1155">
                  <v>44568</v>
                </pt>
                <pt idx="1156">
                  <v>44567</v>
                </pt>
                <pt idx="1157">
                  <v>44566</v>
                </pt>
                <pt idx="1158">
                  <v>44565</v>
                </pt>
                <pt idx="1159">
                  <v>44564</v>
                </pt>
                <pt idx="1160">
                  <v>44561</v>
                </pt>
                <pt idx="1161">
                  <v>44560</v>
                </pt>
                <pt idx="1162">
                  <v>44559</v>
                </pt>
                <pt idx="1163">
                  <v>44558</v>
                </pt>
                <pt idx="1164">
                  <v>44557</v>
                </pt>
                <pt idx="1165">
                  <v>44554</v>
                </pt>
                <pt idx="1166">
                  <v>44553</v>
                </pt>
                <pt idx="1167">
                  <v>44552</v>
                </pt>
                <pt idx="1168">
                  <v>44551</v>
                </pt>
                <pt idx="1169">
                  <v>44550</v>
                </pt>
                <pt idx="1170">
                  <v>44547</v>
                </pt>
                <pt idx="1171">
                  <v>44546</v>
                </pt>
                <pt idx="1172">
                  <v>44545</v>
                </pt>
                <pt idx="1173">
                  <v>44544</v>
                </pt>
                <pt idx="1174">
                  <v>44543</v>
                </pt>
                <pt idx="1175">
                  <v>44540</v>
                </pt>
                <pt idx="1176">
                  <v>44539</v>
                </pt>
                <pt idx="1177">
                  <v>44538</v>
                </pt>
                <pt idx="1178">
                  <v>44537</v>
                </pt>
                <pt idx="1179">
                  <v>44536</v>
                </pt>
                <pt idx="1180">
                  <v>44533</v>
                </pt>
                <pt idx="1181">
                  <v>44532</v>
                </pt>
                <pt idx="1182">
                  <v>44531</v>
                </pt>
                <pt idx="1183">
                  <v>44530</v>
                </pt>
                <pt idx="1184">
                  <v>44529</v>
                </pt>
                <pt idx="1185">
                  <v>44526</v>
                </pt>
                <pt idx="1186">
                  <v>44525</v>
                </pt>
                <pt idx="1187">
                  <v>44524</v>
                </pt>
                <pt idx="1188">
                  <v>44523</v>
                </pt>
                <pt idx="1189">
                  <v>44522</v>
                </pt>
                <pt idx="1190">
                  <v>44519</v>
                </pt>
                <pt idx="1191">
                  <v>44518</v>
                </pt>
                <pt idx="1192">
                  <v>44517</v>
                </pt>
                <pt idx="1193">
                  <v>44516</v>
                </pt>
                <pt idx="1194">
                  <v>44515</v>
                </pt>
                <pt idx="1195">
                  <v>44512</v>
                </pt>
                <pt idx="1196">
                  <v>44511</v>
                </pt>
                <pt idx="1197">
                  <v>44510</v>
                </pt>
                <pt idx="1198">
                  <v>44509</v>
                </pt>
                <pt idx="1199">
                  <v>44508</v>
                </pt>
                <pt idx="1200">
                  <v>44505</v>
                </pt>
                <pt idx="1201">
                  <v>44504</v>
                </pt>
                <pt idx="1202">
                  <v>44503</v>
                </pt>
                <pt idx="1203">
                  <v>44502</v>
                </pt>
                <pt idx="1204">
                  <v>44501</v>
                </pt>
                <pt idx="1205">
                  <v>44498</v>
                </pt>
                <pt idx="1206">
                  <v>44497</v>
                </pt>
                <pt idx="1207">
                  <v>44496</v>
                </pt>
                <pt idx="1208">
                  <v>44495</v>
                </pt>
                <pt idx="1209">
                  <v>44494</v>
                </pt>
                <pt idx="1210">
                  <v>44491</v>
                </pt>
                <pt idx="1211">
                  <v>44490</v>
                </pt>
                <pt idx="1212">
                  <v>44489</v>
                </pt>
                <pt idx="1213">
                  <v>44488</v>
                </pt>
                <pt idx="1214">
                  <v>44487</v>
                </pt>
                <pt idx="1215">
                  <v>44484</v>
                </pt>
                <pt idx="1216">
                  <v>44483</v>
                </pt>
                <pt idx="1217">
                  <v>44482</v>
                </pt>
                <pt idx="1218">
                  <v>44481</v>
                </pt>
                <pt idx="1219">
                  <v>44480</v>
                </pt>
                <pt idx="1220">
                  <v>44477</v>
                </pt>
                <pt idx="1221">
                  <v>44476</v>
                </pt>
                <pt idx="1222">
                  <v>44475</v>
                </pt>
                <pt idx="1223">
                  <v>44474</v>
                </pt>
                <pt idx="1224">
                  <v>44473</v>
                </pt>
                <pt idx="1225">
                  <v>44470</v>
                </pt>
                <pt idx="1226">
                  <v>44469</v>
                </pt>
                <pt idx="1227">
                  <v>44468</v>
                </pt>
                <pt idx="1228">
                  <v>44467</v>
                </pt>
                <pt idx="1229">
                  <v>44466</v>
                </pt>
                <pt idx="1230">
                  <v>44463</v>
                </pt>
                <pt idx="1231">
                  <v>44462</v>
                </pt>
                <pt idx="1232">
                  <v>44461</v>
                </pt>
                <pt idx="1233">
                  <v>44460</v>
                </pt>
                <pt idx="1234">
                  <v>44459</v>
                </pt>
                <pt idx="1235">
                  <v>44456</v>
                </pt>
                <pt idx="1236">
                  <v>44455</v>
                </pt>
                <pt idx="1237">
                  <v>44454</v>
                </pt>
                <pt idx="1238">
                  <v>44453</v>
                </pt>
                <pt idx="1239">
                  <v>44452</v>
                </pt>
                <pt idx="1240">
                  <v>44449</v>
                </pt>
                <pt idx="1241">
                  <v>44448</v>
                </pt>
                <pt idx="1242">
                  <v>44447</v>
                </pt>
                <pt idx="1243">
                  <v>44446</v>
                </pt>
                <pt idx="1244">
                  <v>44445</v>
                </pt>
                <pt idx="1245">
                  <v>44442</v>
                </pt>
                <pt idx="1246">
                  <v>44441</v>
                </pt>
                <pt idx="1247">
                  <v>44440</v>
                </pt>
                <pt idx="1248">
                  <v>44439</v>
                </pt>
                <pt idx="1249">
                  <v>44438</v>
                </pt>
                <pt idx="1250">
                  <v>44435</v>
                </pt>
                <pt idx="1251">
                  <v>44434</v>
                </pt>
                <pt idx="1252">
                  <v>44433</v>
                </pt>
                <pt idx="1253">
                  <v>44432</v>
                </pt>
                <pt idx="1254">
                  <v>44431</v>
                </pt>
                <pt idx="1255">
                  <v>44428</v>
                </pt>
                <pt idx="1256">
                  <v>44427</v>
                </pt>
                <pt idx="1257">
                  <v>44426</v>
                </pt>
                <pt idx="1258">
                  <v>44425</v>
                </pt>
                <pt idx="1259">
                  <v>44424</v>
                </pt>
                <pt idx="1260">
                  <v>44421</v>
                </pt>
                <pt idx="1261">
                  <v>44420</v>
                </pt>
                <pt idx="1262">
                  <v>44419</v>
                </pt>
                <pt idx="1263">
                  <v>44418</v>
                </pt>
                <pt idx="1264">
                  <v>44417</v>
                </pt>
                <pt idx="1265">
                  <v>44414</v>
                </pt>
                <pt idx="1266">
                  <v>44413</v>
                </pt>
                <pt idx="1267">
                  <v>44412</v>
                </pt>
                <pt idx="1268">
                  <v>44411</v>
                </pt>
                <pt idx="1269">
                  <v>44410</v>
                </pt>
                <pt idx="1270">
                  <v>44407</v>
                </pt>
                <pt idx="1271">
                  <v>44406</v>
                </pt>
                <pt idx="1272">
                  <v>44405</v>
                </pt>
                <pt idx="1273">
                  <v>44404</v>
                </pt>
                <pt idx="1274">
                  <v>44403</v>
                </pt>
                <pt idx="1275">
                  <v>44400</v>
                </pt>
                <pt idx="1276">
                  <v>44399</v>
                </pt>
                <pt idx="1277">
                  <v>44398</v>
                </pt>
                <pt idx="1278">
                  <v>44397</v>
                </pt>
                <pt idx="1279">
                  <v>44396</v>
                </pt>
                <pt idx="1280">
                  <v>44393</v>
                </pt>
                <pt idx="1281">
                  <v>44392</v>
                </pt>
                <pt idx="1282">
                  <v>44391</v>
                </pt>
                <pt idx="1283">
                  <v>44390</v>
                </pt>
                <pt idx="1284">
                  <v>44389</v>
                </pt>
                <pt idx="1285">
                  <v>44386</v>
                </pt>
                <pt idx="1286">
                  <v>44385</v>
                </pt>
                <pt idx="1287">
                  <v>44384</v>
                </pt>
                <pt idx="1288">
                  <v>44383</v>
                </pt>
                <pt idx="1289">
                  <v>44382</v>
                </pt>
                <pt idx="1290">
                  <v>44379</v>
                </pt>
                <pt idx="1291">
                  <v>44378</v>
                </pt>
                <pt idx="1292">
                  <v>44377</v>
                </pt>
                <pt idx="1293">
                  <v>44376</v>
                </pt>
                <pt idx="1294">
                  <v>44375</v>
                </pt>
                <pt idx="1295">
                  <v>44372</v>
                </pt>
                <pt idx="1296">
                  <v>44371</v>
                </pt>
                <pt idx="1297">
                  <v>44370</v>
                </pt>
                <pt idx="1298">
                  <v>44369</v>
                </pt>
                <pt idx="1299">
                  <v>44368</v>
                </pt>
                <pt idx="1300">
                  <v>44365</v>
                </pt>
                <pt idx="1301">
                  <v>44364</v>
                </pt>
                <pt idx="1302">
                  <v>44363</v>
                </pt>
                <pt idx="1303">
                  <v>44362</v>
                </pt>
                <pt idx="1304">
                  <v>44361</v>
                </pt>
                <pt idx="1305">
                  <v>44358</v>
                </pt>
                <pt idx="1306">
                  <v>44357</v>
                </pt>
                <pt idx="1307">
                  <v>44356</v>
                </pt>
                <pt idx="1308">
                  <v>44355</v>
                </pt>
                <pt idx="1309">
                  <v>44354</v>
                </pt>
              </numCache>
            </numRef>
          </cat>
          <val>
            <numRef>
              <f>'Graphical Representation'!$W$267:$W$1576</f>
              <numCache>
                <formatCode>General</formatCode>
                <ptCount val="1310"/>
                <pt idx="0">
                  <v>34.6698</v>
                </pt>
                <pt idx="1">
                  <v>35.0998</v>
                </pt>
                <pt idx="2">
                  <v>33.9314</v>
                </pt>
                <pt idx="3">
                  <v>33.3835</v>
                </pt>
                <pt idx="4">
                  <v>33.389</v>
                </pt>
                <pt idx="6">
                  <v>35.3229</v>
                </pt>
                <pt idx="7">
                  <v>35.9434</v>
                </pt>
                <pt idx="8">
                  <v>35.8799</v>
                </pt>
                <pt idx="9">
                  <v>35.8781</v>
                </pt>
                <pt idx="10">
                  <v>35.8926</v>
                </pt>
                <pt idx="11">
                  <v>35.4136</v>
                </pt>
                <pt idx="12">
                  <v>35.4771</v>
                </pt>
                <pt idx="13">
                  <v>35.0073</v>
                </pt>
                <pt idx="14">
                  <v>35.6767</v>
                </pt>
                <pt idx="15">
                  <v>35.5842</v>
                </pt>
                <pt idx="16">
                  <v>35.9071</v>
                </pt>
                <pt idx="17">
                  <v>35.7475</v>
                </pt>
                <pt idx="18">
                  <v>37.5109</v>
                </pt>
                <pt idx="19">
                  <v>39.2217</v>
                </pt>
                <pt idx="20">
                  <v>39.6372</v>
                </pt>
                <pt idx="21">
                  <v>38.4942</v>
                </pt>
                <pt idx="22">
                  <v>37.5943</v>
                </pt>
                <pt idx="23">
                  <v>37.6905</v>
                </pt>
                <pt idx="25">
                  <v>37.4129</v>
                </pt>
                <pt idx="26">
                  <v>37.9735</v>
                </pt>
                <pt idx="27">
                  <v>39.4067</v>
                </pt>
                <pt idx="28">
                  <v>40.1941</v>
                </pt>
                <pt idx="29">
                  <v>38.2583</v>
                </pt>
                <pt idx="30">
                  <v>39.1473</v>
                </pt>
                <pt idx="31">
                  <v>37.2388</v>
                </pt>
                <pt idx="32">
                  <v>37.0954</v>
                </pt>
                <pt idx="33">
                  <v>36.7979</v>
                </pt>
                <pt idx="34">
                  <v>36.689</v>
                </pt>
                <pt idx="35">
                  <v>37.1916</v>
                </pt>
                <pt idx="36">
                  <v>36.6001</v>
                </pt>
                <pt idx="38">
                  <v>35.0417</v>
                </pt>
                <pt idx="39">
                  <v>34.6843</v>
                </pt>
                <pt idx="40">
                  <v>33.8044</v>
                </pt>
                <pt idx="41">
                  <v>33.2094</v>
                </pt>
                <pt idx="42">
                  <v>31.5258</v>
                </pt>
                <pt idx="43">
                  <v>31.1611</v>
                </pt>
                <pt idx="45">
                  <v>31.7271</v>
                </pt>
                <pt idx="46">
                  <v>31.3643</v>
                </pt>
                <pt idx="48">
                  <v>29.0947</v>
                </pt>
                <pt idx="49">
                  <v>28.2329</v>
                </pt>
                <pt idx="51">
                  <v>28.9418</v>
                </pt>
                <pt idx="52">
                  <v>27.8498</v>
                </pt>
                <pt idx="53">
                  <v>25.4464</v>
                </pt>
                <pt idx="54">
                  <v>26.8051</v>
                </pt>
                <pt idx="55">
                  <v>27.5544</v>
                </pt>
                <pt idx="56">
                  <v>27.9865</v>
                </pt>
                <pt idx="57">
                  <v>26.0726</v>
                </pt>
                <pt idx="58">
                  <v>25.3975</v>
                </pt>
                <pt idx="59">
                  <v>25.6844</v>
                </pt>
                <pt idx="60">
                  <v>26.2717</v>
                </pt>
                <pt idx="61">
                  <v>25.7772</v>
                </pt>
                <pt idx="62">
                  <v>25.2895</v>
                </pt>
                <pt idx="63">
                  <v>24.4658</v>
                </pt>
                <pt idx="64">
                  <v>24.9654</v>
                </pt>
                <pt idx="65">
                  <v>24.6599</v>
                </pt>
                <pt idx="66">
                  <v>25.1511</v>
                </pt>
                <pt idx="68">
                  <v>26.292</v>
                </pt>
                <pt idx="69">
                  <v>26.5181</v>
                </pt>
                <pt idx="70">
                  <v>27.2287</v>
                </pt>
                <pt idx="71">
                  <v>26.7713</v>
                </pt>
                <pt idx="72">
                  <v>27.5207</v>
                </pt>
                <pt idx="73">
                  <v>29.1899</v>
                </pt>
                <pt idx="74">
                  <v>28.7004</v>
                </pt>
                <pt idx="75">
                  <v>29.1713</v>
                </pt>
                <pt idx="76">
                  <v>30.3511</v>
                </pt>
                <pt idx="77">
                  <v>30.319</v>
                </pt>
                <pt idx="78">
                  <v>31.789</v>
                </pt>
                <pt idx="79">
                  <v>33.4937</v>
                </pt>
                <pt idx="80">
                  <v>34.5384</v>
                </pt>
                <pt idx="81">
                  <v>35.1257</v>
                </pt>
                <pt idx="82">
                  <v>35.7046</v>
                </pt>
                <pt idx="83">
                  <v>34.081</v>
                </pt>
                <pt idx="84">
                  <v>32.6363</v>
                </pt>
                <pt idx="85">
                  <v>32.0743</v>
                </pt>
                <pt idx="86">
                  <v>32.7122</v>
                </pt>
                <pt idx="87">
                  <v>34.9705</v>
                </pt>
                <pt idx="88">
                  <v>29.9848</v>
                </pt>
                <pt idx="89">
                  <v>29.6608</v>
                </pt>
                <pt idx="90">
                  <v>29.8937</v>
                </pt>
                <pt idx="91">
                  <v>29.2203</v>
                </pt>
                <pt idx="92">
                  <v>30.0709</v>
                </pt>
                <pt idx="93">
                  <v>29.2253</v>
                </pt>
                <pt idx="95">
                  <v>30.7173</v>
                </pt>
                <pt idx="96">
                  <v>31.6506</v>
                </pt>
                <pt idx="97">
                  <v>31.0211</v>
                </pt>
                <pt idx="98">
                  <v>33.2371</v>
                </pt>
                <pt idx="99">
                  <v>33.5342</v>
                </pt>
                <pt idx="100">
                  <v>33.2945</v>
                </pt>
                <pt idx="102">
                  <v>33.7873</v>
                </pt>
                <pt idx="103">
                  <v>34.7072</v>
                </pt>
                <pt idx="104">
                  <v>35.7873</v>
                </pt>
                <pt idx="105">
                  <v>36.5165</v>
                </pt>
                <pt idx="106">
                  <v>37.1308</v>
                </pt>
                <pt idx="107">
                  <v>37.4228</v>
                </pt>
                <pt idx="108">
                  <v>37.9325</v>
                </pt>
                <pt idx="109">
                  <v>37.9662</v>
                </pt>
                <pt idx="110">
                  <v>38.0827</v>
                </pt>
                <pt idx="111">
                  <v>37.6675</v>
                </pt>
                <pt idx="112">
                  <v>37.8582</v>
                </pt>
                <pt idx="113">
                  <v>37.6017</v>
                </pt>
                <pt idx="114">
                  <v>37.9173</v>
                </pt>
                <pt idx="115">
                  <v>37.5342</v>
                </pt>
                <pt idx="117">
                  <v>37.3637</v>
                </pt>
                <pt idx="118">
                  <v>37.2169</v>
                </pt>
                <pt idx="119">
                  <v>37.3806</v>
                </pt>
                <pt idx="120">
                  <v>36.7342</v>
                </pt>
                <pt idx="121">
                  <v>36.3561</v>
                </pt>
                <pt idx="122">
                  <v>36.7325</v>
                </pt>
                <pt idx="123">
                  <v>37.1713</v>
                </pt>
                <pt idx="124">
                  <v>38.4354</v>
                </pt>
                <pt idx="125">
                  <v>37.4447</v>
                </pt>
                <pt idx="126">
                  <v>37.4751</v>
                </pt>
                <pt idx="127">
                  <v>37.1426</v>
                </pt>
                <pt idx="128">
                  <v>37.4413</v>
                </pt>
                <pt idx="129">
                  <v>37.9477</v>
                </pt>
                <pt idx="130">
                  <v>36.8675</v>
                </pt>
                <pt idx="131">
                  <v>37.3283</v>
                </pt>
                <pt idx="132">
                  <v>36.8743</v>
                </pt>
                <pt idx="133">
                  <v>37.6473</v>
                </pt>
                <pt idx="134">
                  <v>38.0996</v>
                </pt>
                <pt idx="135">
                  <v>38.1401</v>
                </pt>
                <pt idx="136">
                  <v>38.4709</v>
                </pt>
                <pt idx="137">
                  <v>38.9688</v>
                </pt>
                <pt idx="138">
                  <v>38.3494</v>
                </pt>
                <pt idx="139">
                  <v>38.2903</v>
                </pt>
                <pt idx="140">
                  <v>39.0397</v>
                </pt>
                <pt idx="141">
                  <v>40.5536</v>
                </pt>
                <pt idx="142">
                  <v>40.4574</v>
                </pt>
                <pt idx="143">
                  <v>41.1004</v>
                </pt>
                <pt idx="144">
                  <v>41.3013</v>
                </pt>
                <pt idx="145">
                  <v>41.3485</v>
                </pt>
                <pt idx="146">
                  <v>41.3046</v>
                </pt>
                <pt idx="147">
                  <v>40.8017</v>
                </pt>
                <pt idx="148">
                  <v>40.5502</v>
                </pt>
                <pt idx="149">
                  <v>40.4675</v>
                </pt>
                <pt idx="150">
                  <v>39.038</v>
                </pt>
                <pt idx="151">
                  <v>38.7156</v>
                </pt>
                <pt idx="153">
                  <v>39.2962</v>
                </pt>
                <pt idx="154">
                  <v>39.8211</v>
                </pt>
                <pt idx="155">
                  <v>38.9401</v>
                </pt>
                <pt idx="156">
                  <v>39.5224</v>
                </pt>
                <pt idx="157">
                  <v>38.8709</v>
                </pt>
                <pt idx="158">
                  <v>38.8152</v>
                </pt>
                <pt idx="159">
                  <v>38.7899</v>
                </pt>
                <pt idx="160">
                  <v>39.0937</v>
                </pt>
                <pt idx="161">
                  <v>39.384</v>
                </pt>
                <pt idx="163">
                  <v>39.1696</v>
                </pt>
                <pt idx="164">
                  <v>39.5679</v>
                </pt>
                <pt idx="165">
                  <v>40.2447</v>
                </pt>
                <pt idx="166">
                  <v>40.2278</v>
                </pt>
                <pt idx="167">
                  <v>39.3738</v>
                </pt>
                <pt idx="168">
                  <v>38.9958</v>
                </pt>
                <pt idx="169">
                  <v>39.6506</v>
                </pt>
                <pt idx="170">
                  <v>40.4776</v>
                </pt>
                <pt idx="171">
                  <v>40.4118</v>
                </pt>
                <pt idx="172">
                  <v>40.211</v>
                </pt>
                <pt idx="173">
                  <v>41.87</v>
                </pt>
                <pt idx="174">
                  <v>42.0675</v>
                </pt>
                <pt idx="175">
                  <v>39.2456</v>
                </pt>
                <pt idx="177">
                  <v>39.2101</v>
                </pt>
                <pt idx="178">
                  <v>39.6135</v>
                </pt>
                <pt idx="179">
                  <v>38.8793</v>
                </pt>
                <pt idx="180">
                  <v>38.6954</v>
                </pt>
                <pt idx="181">
                  <v>39.9055</v>
                </pt>
                <pt idx="182">
                  <v>40.7224</v>
                </pt>
                <pt idx="183">
                  <v>41.2928</v>
                </pt>
                <pt idx="184">
                  <v>42.0844</v>
                </pt>
                <pt idx="185">
                  <v>42.8135</v>
                </pt>
                <pt idx="186">
                  <v>38.4574</v>
                </pt>
                <pt idx="187">
                  <v>38.9975</v>
                </pt>
                <pt idx="188">
                  <v>39.0346</v>
                </pt>
                <pt idx="189">
                  <v>38.8034</v>
                </pt>
                <pt idx="190">
                  <v>38.4</v>
                </pt>
                <pt idx="191">
                  <v>38.6245</v>
                </pt>
                <pt idx="192">
                  <v>38.692</v>
                </pt>
                <pt idx="193">
                  <v>37.892</v>
                </pt>
                <pt idx="194">
                  <v>38.2143</v>
                </pt>
                <pt idx="195">
                  <v>38.1654</v>
                </pt>
                <pt idx="196">
                  <v>39.2523</v>
                </pt>
                <pt idx="197">
                  <v>39.1139</v>
                </pt>
                <pt idx="198">
                  <v>38.9975</v>
                </pt>
                <pt idx="199">
                  <v>37.9527</v>
                </pt>
                <pt idx="200">
                  <v>37.3789</v>
                </pt>
                <pt idx="201">
                  <v>37.7924</v>
                </pt>
                <pt idx="203">
                  <v>37.7451</v>
                </pt>
                <pt idx="204">
                  <v>38.5316</v>
                </pt>
                <pt idx="205">
                  <v>38.5992</v>
                </pt>
                <pt idx="206">
                  <v>38.9755</v>
                </pt>
                <pt idx="207">
                  <v>39.2709</v>
                </pt>
                <pt idx="208">
                  <v>38.9097</v>
                </pt>
                <pt idx="209">
                  <v>39.6422</v>
                </pt>
                <pt idx="211">
                  <v>37.465</v>
                </pt>
                <pt idx="212">
                  <v>37.9764</v>
                </pt>
                <pt idx="213">
                  <v>37.9207</v>
                </pt>
                <pt idx="214">
                  <v>39.2051</v>
                </pt>
                <pt idx="215">
                  <v>38.9907</v>
                </pt>
                <pt idx="216">
                  <v>39.7435</v>
                </pt>
                <pt idx="217">
                  <v>41.3907</v>
                </pt>
                <pt idx="218">
                  <v>44.1992</v>
                </pt>
                <pt idx="219">
                  <v>44.9485</v>
                </pt>
                <pt idx="220">
                  <v>44.0489</v>
                </pt>
                <pt idx="221">
                  <v>44.6464</v>
                </pt>
                <pt idx="222">
                  <v>45.4987</v>
                </pt>
                <pt idx="223">
                  <v>45.4498</v>
                </pt>
                <pt idx="224">
                  <v>43.2776</v>
                </pt>
                <pt idx="225">
                  <v>44.7257</v>
                </pt>
                <pt idx="226">
                  <v>45.7738</v>
                </pt>
                <pt idx="227">
                  <v>46.3342</v>
                </pt>
                <pt idx="228">
                  <v>45.9122</v>
                </pt>
                <pt idx="229">
                  <v>47.0481</v>
                </pt>
                <pt idx="230">
                  <v>47.5055</v>
                </pt>
                <pt idx="231">
                  <v>48.4489</v>
                </pt>
                <pt idx="232">
                  <v>48.0321</v>
                </pt>
                <pt idx="233">
                  <v>49.146</v>
                </pt>
                <pt idx="234">
                  <v>48.4759</v>
                </pt>
                <pt idx="235">
                  <v>48.0911</v>
                </pt>
                <pt idx="236">
                  <v>48.4135</v>
                </pt>
                <pt idx="237">
                  <v>48.9063</v>
                </pt>
                <pt idx="238">
                  <v>48.1333</v>
                </pt>
                <pt idx="239">
                  <v>47.173</v>
                </pt>
                <pt idx="240">
                  <v>46.589</v>
                </pt>
                <pt idx="241">
                  <v>46.935</v>
                </pt>
                <pt idx="242">
                  <v>46.643</v>
                </pt>
                <pt idx="243">
                  <v>46.4051</v>
                </pt>
                <pt idx="244">
                  <v>46.7359</v>
                </pt>
                <pt idx="245">
                  <v>45.7283</v>
                </pt>
                <pt idx="246">
                  <v>44.1418</v>
                </pt>
                <pt idx="247">
                  <v>45.0245</v>
                </pt>
                <pt idx="248">
                  <v>43.654</v>
                </pt>
                <pt idx="249">
                  <v>43.6051</v>
                </pt>
                <pt idx="250">
                  <v>43.7063</v>
                </pt>
                <pt idx="251">
                  <v>43.8768</v>
                </pt>
                <pt idx="252">
                  <v>44.6447</v>
                </pt>
                <pt idx="253">
                  <v>45.0127</v>
                </pt>
                <pt idx="254">
                  <v>45.9291</v>
                </pt>
                <pt idx="255">
                  <v>46.1603</v>
                </pt>
                <pt idx="256">
                  <v>45.9274</v>
                </pt>
                <pt idx="257">
                  <v>46.589</v>
                </pt>
                <pt idx="258">
                  <v>46.7899</v>
                </pt>
                <pt idx="259">
                  <v>47.2304</v>
                </pt>
                <pt idx="260">
                  <v>47.1966</v>
                </pt>
                <pt idx="261">
                  <v>47.3536</v>
                </pt>
                <pt idx="262">
                  <v>46.9266</v>
                </pt>
                <pt idx="263">
                  <v>47.1797</v>
                </pt>
                <pt idx="264">
                  <v>46.0996</v>
                </pt>
                <pt idx="265">
                  <v>46.8895</v>
                </pt>
                <pt idx="266">
                  <v>47.1966</v>
                </pt>
                <pt idx="267">
                  <v>47.5122</v>
                </pt>
                <pt idx="268">
                  <v>47.6624</v>
                </pt>
                <pt idx="269">
                  <v>47.2827</v>
                </pt>
                <pt idx="270">
                  <v>46.957</v>
                </pt>
                <pt idx="271">
                  <v>47.3924</v>
                </pt>
                <pt idx="272">
                  <v>48.0624</v>
                </pt>
                <pt idx="273">
                  <v>48.3561</v>
                </pt>
                <pt idx="274">
                  <v>49.5325</v>
                </pt>
                <pt idx="275">
                  <v>50.4844</v>
                </pt>
                <pt idx="276">
                  <v>50.292</v>
                </pt>
                <pt idx="277">
                  <v>50.5283</v>
                </pt>
                <pt idx="278">
                  <v>51.0582</v>
                </pt>
                <pt idx="279">
                  <v>55.7266</v>
                </pt>
                <pt idx="280">
                  <v>53.2996</v>
                </pt>
                <pt idx="281">
                  <v>52.2127</v>
                </pt>
                <pt idx="282">
                  <v>52.6498</v>
                </pt>
                <pt idx="283">
                  <v>51.3316</v>
                </pt>
                <pt idx="284">
                  <v>52.5873</v>
                </pt>
                <pt idx="285">
                  <v>49.1831</v>
                </pt>
                <pt idx="287">
                  <v>50.454</v>
                </pt>
                <pt idx="288">
                  <v>52.1418</v>
                </pt>
                <pt idx="289">
                  <v>50.9367</v>
                </pt>
                <pt idx="290">
                  <v>51.2287</v>
                </pt>
                <pt idx="291">
                  <v>52.0287</v>
                </pt>
                <pt idx="292">
                  <v>53.3114</v>
                </pt>
                <pt idx="293">
                  <v>54.5333</v>
                </pt>
                <pt idx="294">
                  <v>56.1671</v>
                </pt>
                <pt idx="296">
                  <v>53.4532</v>
                </pt>
                <pt idx="297">
                  <v>53.2152</v>
                </pt>
                <pt idx="298">
                  <v>53.8498</v>
                </pt>
                <pt idx="300">
                  <v>51.7207</v>
                </pt>
                <pt idx="302">
                  <v>49.0802</v>
                </pt>
                <pt idx="303">
                  <v>51.4852</v>
                </pt>
                <pt idx="304">
                  <v>50.3806</v>
                </pt>
                <pt idx="305">
                  <v>53.6371</v>
                </pt>
                <pt idx="306">
                  <v>57.7359</v>
                </pt>
                <pt idx="307">
                  <v>57.2253</v>
                </pt>
                <pt idx="308">
                  <v>57.2667</v>
                </pt>
                <pt idx="310">
                  <v>58.6582</v>
                </pt>
                <pt idx="311">
                  <v>136.3815</v>
                </pt>
                <pt idx="312">
                  <v>129.3559</v>
                </pt>
                <pt idx="313">
                  <v>126.5391</v>
                </pt>
                <pt idx="314">
                  <v>129.6328</v>
                </pt>
                <pt idx="315">
                  <v>125.6124</v>
                </pt>
                <pt idx="316">
                  <v>120.5807</v>
                </pt>
                <pt idx="317">
                  <v>122.0092</v>
                </pt>
                <pt idx="318">
                  <v>121.8208</v>
                </pt>
                <pt idx="319">
                  <v>118.2542</v>
                </pt>
                <pt idx="321">
                  <v>110.994</v>
                </pt>
                <pt idx="322">
                  <v>114.4568</v>
                </pt>
                <pt idx="323">
                  <v>115.8508</v>
                </pt>
                <pt idx="324">
                  <v>115.9104</v>
                </pt>
                <pt idx="325">
                  <v>117.5909</v>
                </pt>
                <pt idx="326">
                  <v>118.0331</v>
                </pt>
                <pt idx="327">
                  <v>109.2617</v>
                </pt>
                <pt idx="328">
                  <v>105.8123</v>
                </pt>
                <pt idx="329">
                  <v>105.4566</v>
                </pt>
                <pt idx="330">
                  <v>107.6005</v>
                </pt>
                <pt idx="331">
                  <v>112.1034</v>
                </pt>
                <pt idx="333">
                  <v>117.1506</v>
                </pt>
                <pt idx="334">
                  <v>123.6647</v>
                </pt>
                <pt idx="335">
                  <v>122.2784</v>
                </pt>
                <pt idx="336">
                  <v>119.4559</v>
                </pt>
                <pt idx="337">
                  <v>118.7329</v>
                </pt>
                <pt idx="338">
                  <v>109.4117</v>
                </pt>
                <pt idx="339">
                  <v>109.3405</v>
                </pt>
                <pt idx="340">
                  <v>105.0606</v>
                </pt>
                <pt idx="341">
                  <v>108.1427</v>
                </pt>
                <pt idx="342">
                  <v>102.6706</v>
                </pt>
                <pt idx="343">
                  <v>103.3647</v>
                </pt>
                <pt idx="344">
                  <v>108.4772</v>
                </pt>
                <pt idx="345">
                  <v>107.6216</v>
                </pt>
                <pt idx="346">
                  <v>108.2734</v>
                </pt>
                <pt idx="347">
                  <v>108.9079</v>
                </pt>
                <pt idx="348">
                  <v>109.029</v>
                </pt>
                <pt idx="349">
                  <v>112.986</v>
                </pt>
                <pt idx="350">
                  <v>116.4315</v>
                </pt>
                <pt idx="351">
                  <v>108.6176</v>
                </pt>
                <pt idx="352">
                  <v>115.1432</v>
                </pt>
                <pt idx="353">
                  <v>117.8216</v>
                </pt>
                <pt idx="354">
                  <v>113.8704</v>
                </pt>
                <pt idx="355">
                  <v>109.1463</v>
                </pt>
                <pt idx="356">
                  <v>113.4743</v>
                </pt>
                <pt idx="357">
                  <v>118.1888</v>
                </pt>
                <pt idx="358">
                  <v>116.4045</v>
                </pt>
                <pt idx="359">
                  <v>116.3026</v>
                </pt>
                <pt idx="360">
                  <v>119.7462</v>
                </pt>
                <pt idx="361">
                  <v>119.2232</v>
                </pt>
                <pt idx="362">
                  <v>119.1136</v>
                </pt>
                <pt idx="363">
                  <v>117.0698</v>
                </pt>
                <pt idx="364">
                  <v>119.9289</v>
                </pt>
                <pt idx="365">
                  <v>111.2171</v>
                </pt>
                <pt idx="366">
                  <v>118.9271</v>
                </pt>
                <pt idx="367">
                  <v>126.6545</v>
                </pt>
                <pt idx="368">
                  <v>131.7689</v>
                </pt>
                <pt idx="369">
                  <v>134.3146</v>
                </pt>
                <pt idx="370">
                  <v>132.1227</v>
                </pt>
                <pt idx="371">
                  <v>135.2144</v>
                </pt>
                <pt idx="372">
                  <v>136.2353</v>
                </pt>
                <pt idx="373">
                  <v>134.2723</v>
                </pt>
                <pt idx="374">
                  <v>134.5376</v>
                </pt>
                <pt idx="375">
                  <v>133.5724</v>
                </pt>
                <pt idx="376">
                  <v>132.3822</v>
                </pt>
                <pt idx="377">
                  <v>134.576</v>
                </pt>
                <pt idx="379">
                  <v>130.05</v>
                </pt>
                <pt idx="380">
                  <v>131.792</v>
                </pt>
                <pt idx="381">
                  <v>131.5689</v>
                </pt>
                <pt idx="382">
                  <v>132.4861</v>
                </pt>
                <pt idx="383">
                  <v>130.6633</v>
                </pt>
                <pt idx="384">
                  <v>139.0156</v>
                </pt>
                <pt idx="385">
                  <v>141.4959</v>
                </pt>
                <pt idx="386">
                  <v>143.4551</v>
                </pt>
                <pt idx="387">
                  <v>143.8858</v>
                </pt>
                <pt idx="388">
                  <v>139.5347</v>
                </pt>
                <pt idx="389">
                  <v>137.5139</v>
                </pt>
                <pt idx="390">
                  <v>141.7766</v>
                </pt>
                <pt idx="391">
                  <v>138.3426</v>
                </pt>
                <pt idx="392">
                  <v>139.777</v>
                </pt>
                <pt idx="393">
                  <v>142.3784</v>
                </pt>
                <pt idx="394">
                  <v>137.0006</v>
                </pt>
                <pt idx="395">
                  <v>138.2503</v>
                </pt>
                <pt idx="396">
                  <v>140.5557</v>
                </pt>
                <pt idx="397">
                  <v>133.8358</v>
                </pt>
                <pt idx="398">
                  <v>133.4647</v>
                </pt>
                <pt idx="399">
                  <v>137.6005</v>
                </pt>
                <pt idx="400">
                  <v>141.4901</v>
                </pt>
                <pt idx="401">
                  <v>132.0611</v>
                </pt>
                <pt idx="402">
                  <v>134.1415</v>
                </pt>
                <pt idx="404">
                  <v>131.2767</v>
                </pt>
                <pt idx="405">
                  <v>125.7758</v>
                </pt>
                <pt idx="407">
                  <v>135.9104</v>
                </pt>
                <pt idx="408">
                  <v>124.7395</v>
                </pt>
                <pt idx="409">
                  <v>134.5914</v>
                </pt>
                <pt idx="410">
                  <v>130.5345</v>
                </pt>
                <pt idx="411">
                  <v>136.9717</v>
                </pt>
                <pt idx="412">
                  <v>135.347</v>
                </pt>
                <pt idx="413">
                  <v>136.8448</v>
                </pt>
                <pt idx="414">
                  <v>125.8739</v>
                </pt>
                <pt idx="415">
                  <v>127.2659</v>
                </pt>
                <pt idx="416">
                  <v>138.5618</v>
                </pt>
                <pt idx="417">
                  <v>133.8819</v>
                </pt>
                <pt idx="418">
                  <v>119.6155</v>
                </pt>
                <pt idx="419">
                  <v>121.0863</v>
                </pt>
                <pt idx="420">
                  <v>105.3855</v>
                </pt>
                <pt idx="421">
                  <v>105.4816</v>
                </pt>
                <pt idx="422">
                  <v>105.6201</v>
                </pt>
                <pt idx="423">
                  <v>105.5297</v>
                </pt>
                <pt idx="424">
                  <v>106.6506</v>
                </pt>
                <pt idx="425">
                  <v>107.9927</v>
                </pt>
                <pt idx="426">
                  <v>103.7935</v>
                </pt>
                <pt idx="427">
                  <v>104.5376</v>
                </pt>
                <pt idx="428">
                  <v>105.1625</v>
                </pt>
                <pt idx="429">
                  <v>103.2532</v>
                </pt>
                <pt idx="430">
                  <v>105.1298</v>
                </pt>
                <pt idx="431">
                  <v>105.1778</v>
                </pt>
                <pt idx="432">
                  <v>105.2913</v>
                </pt>
                <pt idx="433">
                  <v>105.8335</v>
                </pt>
                <pt idx="434">
                  <v>107.9831</v>
                </pt>
                <pt idx="435">
                  <v>105.5143</v>
                </pt>
                <pt idx="436">
                  <v>102.0285</v>
                </pt>
                <pt idx="437">
                  <v>100.2634</v>
                </pt>
                <pt idx="439">
                  <v>89.5693</v>
                </pt>
                <pt idx="440">
                  <v>89.3386</v>
                </pt>
                <pt idx="441">
                  <v>85.38549999999999</v>
                </pt>
                <pt idx="442">
                  <v>86.0911</v>
                </pt>
                <pt idx="443">
                  <v>83.8377</v>
                </pt>
                <pt idx="444">
                  <v>84.7837</v>
                </pt>
                <pt idx="445">
                  <v>86.6949</v>
                </pt>
                <pt idx="446">
                  <v>85.62779999999999</v>
                </pt>
                <pt idx="447">
                  <v>82.7898</v>
                </pt>
                <pt idx="448">
                  <v>85.1163</v>
                </pt>
                <pt idx="449">
                  <v>86.7487</v>
                </pt>
                <pt idx="450">
                  <v>85.7239</v>
                </pt>
                <pt idx="451">
                  <v>86.991</v>
                </pt>
                <pt idx="452">
                  <v>85.547</v>
                </pt>
                <pt idx="453">
                  <v>87.64660000000001</v>
                </pt>
                <pt idx="454">
                  <v>87.8177</v>
                </pt>
                <pt idx="455">
                  <v>86.1815</v>
                </pt>
                <pt idx="456">
                  <v>87.4447</v>
                </pt>
                <pt idx="457">
                  <v>89.452</v>
                </pt>
                <pt idx="458">
                  <v>88.035</v>
                </pt>
                <pt idx="459">
                  <v>86.09690000000001</v>
                </pt>
                <pt idx="460">
                  <v>85.53740000000001</v>
                </pt>
                <pt idx="461">
                  <v>84.96250000000001</v>
                </pt>
                <pt idx="462">
                  <v>85.0856</v>
                </pt>
                <pt idx="463">
                  <v>84.7568</v>
                </pt>
                <pt idx="464">
                  <v>85.447</v>
                </pt>
                <pt idx="465">
                  <v>77.3967</v>
                </pt>
                <pt idx="466">
                  <v>77.2544</v>
                </pt>
                <pt idx="467">
                  <v>76.3065</v>
                </pt>
                <pt idx="468">
                  <v>75.97190000000001</v>
                </pt>
                <pt idx="469">
                  <v>74.8145</v>
                </pt>
                <pt idx="470">
                  <v>74.4491</v>
                </pt>
                <pt idx="471">
                  <v>72.9148</v>
                </pt>
                <pt idx="473">
                  <v>73.1936</v>
                </pt>
                <pt idx="474">
                  <v>72.6572</v>
                </pt>
                <pt idx="475">
                  <v>71.36320000000001</v>
                </pt>
                <pt idx="476">
                  <v>69.377</v>
                </pt>
                <pt idx="477">
                  <v>67.0659</v>
                </pt>
                <pt idx="478">
                  <v>65.81619999999999</v>
                </pt>
                <pt idx="479">
                  <v>65.06440000000001</v>
                </pt>
                <pt idx="480">
                  <v>65.2163</v>
                </pt>
                <pt idx="481">
                  <v>68.9425</v>
                </pt>
                <pt idx="482">
                  <v>68.8079</v>
                </pt>
                <pt idx="483">
                  <v>68.8214</v>
                </pt>
                <pt idx="484">
                  <v>69.702</v>
                </pt>
                <pt idx="485">
                  <v>69.0617</v>
                </pt>
                <pt idx="486">
                  <v>69.33669999999999</v>
                </pt>
                <pt idx="487">
                  <v>69.577</v>
                </pt>
                <pt idx="488">
                  <v>69.9404</v>
                </pt>
                <pt idx="489">
                  <v>67.7581</v>
                </pt>
                <pt idx="490">
                  <v>67.85429999999999</v>
                </pt>
                <pt idx="491">
                  <v>68.28489999999999</v>
                </pt>
                <pt idx="492">
                  <v>69.74809999999999</v>
                </pt>
                <pt idx="494">
                  <v>70.4345</v>
                </pt>
                <pt idx="495">
                  <v>69.52119999999999</v>
                </pt>
                <pt idx="496">
                  <v>68.8022</v>
                </pt>
                <pt idx="497">
                  <v>68.3792</v>
                </pt>
                <pt idx="498">
                  <v>68.2619</v>
                </pt>
                <pt idx="499">
                  <v>69.23090000000001</v>
                </pt>
                <pt idx="500">
                  <v>68.04649999999999</v>
                </pt>
                <pt idx="501">
                  <v>69.4059</v>
                </pt>
                <pt idx="502">
                  <v>69.179</v>
                </pt>
                <pt idx="503">
                  <v>69.9212</v>
                </pt>
                <pt idx="504">
                  <v>69.7577</v>
                </pt>
                <pt idx="505">
                  <v>69.9558</v>
                </pt>
                <pt idx="506">
                  <v>69.9692</v>
                </pt>
                <pt idx="507">
                  <v>68.581</v>
                </pt>
                <pt idx="508">
                  <v>69.33280000000001</v>
                </pt>
                <pt idx="509">
                  <v>73.3128</v>
                </pt>
                <pt idx="510">
                  <v>74.18380000000001</v>
                </pt>
                <pt idx="511">
                  <v>73.44929999999999</v>
                </pt>
                <pt idx="512">
                  <v>74.2184</v>
                </pt>
                <pt idx="513">
                  <v>74.8664</v>
                </pt>
                <pt idx="514">
                  <v>76.0604</v>
                </pt>
                <pt idx="516">
                  <v>68.7522</v>
                </pt>
                <pt idx="517">
                  <v>69.5386</v>
                </pt>
                <pt idx="518">
                  <v>68.97329999999999</v>
                </pt>
                <pt idx="519">
                  <v>68.9118</v>
                </pt>
                <pt idx="520">
                  <v>68.8925</v>
                </pt>
                <pt idx="521">
                  <v>67.81959999999999</v>
                </pt>
                <pt idx="522">
                  <v>68.8233</v>
                </pt>
                <pt idx="523">
                  <v>67.2467</v>
                </pt>
                <pt idx="524">
                  <v>61.8843</v>
                </pt>
                <pt idx="525">
                  <v>66.991</v>
                </pt>
                <pt idx="526">
                  <v>66.4122</v>
                </pt>
                <pt idx="527">
                  <v>65.5759</v>
                </pt>
                <pt idx="528">
                  <v>66.3122</v>
                </pt>
                <pt idx="529">
                  <v>65.5163</v>
                </pt>
                <pt idx="530">
                  <v>66.7718</v>
                </pt>
                <pt idx="531">
                  <v>67.7024</v>
                </pt>
                <pt idx="532">
                  <v>68.1965</v>
                </pt>
                <pt idx="533">
                  <v>68.8656</v>
                </pt>
                <pt idx="534">
                  <v>70.0538</v>
                </pt>
                <pt idx="536">
                  <v>71.4478</v>
                </pt>
                <pt idx="537">
                  <v>71.52849999999999</v>
                </pt>
                <pt idx="538">
                  <v>69.52509999999999</v>
                </pt>
                <pt idx="539">
                  <v>69.8712</v>
                </pt>
                <pt idx="540">
                  <v>69.9808</v>
                </pt>
                <pt idx="541">
                  <v>68.3753</v>
                </pt>
                <pt idx="542">
                  <v>69.8077</v>
                </pt>
                <pt idx="543">
                  <v>72.6514</v>
                </pt>
                <pt idx="544">
                  <v>75.67010000000001</v>
                </pt>
                <pt idx="545">
                  <v>74.9567</v>
                </pt>
                <pt idx="546">
                  <v>79.3578</v>
                </pt>
                <pt idx="547">
                  <v>70.6133</v>
                </pt>
                <pt idx="548">
                  <v>69.5578</v>
                </pt>
                <pt idx="550">
                  <v>68.5311</v>
                </pt>
                <pt idx="551">
                  <v>68.34650000000001</v>
                </pt>
                <pt idx="552">
                  <v>68.78870000000001</v>
                </pt>
                <pt idx="553">
                  <v>69.84229999999999</v>
                </pt>
                <pt idx="554">
                  <v>67.4524</v>
                </pt>
                <pt idx="555">
                  <v>70.2653</v>
                </pt>
                <pt idx="556">
                  <v>69.1482</v>
                </pt>
                <pt idx="557">
                  <v>64.0185</v>
                </pt>
                <pt idx="558">
                  <v>64.5818</v>
                </pt>
                <pt idx="560">
                  <v>64.1444</v>
                </pt>
                <pt idx="561">
                  <v>64.304</v>
                </pt>
                <pt idx="562">
                  <v>64.827</v>
                </pt>
                <pt idx="564">
                  <v>64.8625</v>
                </pt>
                <pt idx="565">
                  <v>64.9721</v>
                </pt>
                <pt idx="566">
                  <v>65.1644</v>
                </pt>
                <pt idx="567">
                  <v>64.976</v>
                </pt>
                <pt idx="568">
                  <v>65.9114</v>
                </pt>
                <pt idx="569">
                  <v>61.9342</v>
                </pt>
                <pt idx="570">
                  <v>60.5134</v>
                </pt>
                <pt idx="571">
                  <v>60.7595</v>
                </pt>
                <pt idx="573">
                  <v>60.7297</v>
                </pt>
                <pt idx="574">
                  <v>61.0325</v>
                </pt>
                <pt idx="575">
                  <v>61.4305</v>
                </pt>
                <pt idx="577">
                  <v>61.1969</v>
                </pt>
                <pt idx="578">
                  <v>60.4115</v>
                </pt>
                <pt idx="579">
                  <v>58.4955</v>
                </pt>
                <pt idx="580">
                  <v>62.9148</v>
                </pt>
                <pt idx="581">
                  <v>59.8914</v>
                </pt>
                <pt idx="582">
                  <v>52.1871</v>
                </pt>
                <pt idx="583">
                  <v>49.5587</v>
                </pt>
                <pt idx="584">
                  <v>49.4703</v>
                </pt>
                <pt idx="585">
                  <v>52.314</v>
                </pt>
                <pt idx="586">
                  <v>52.8485</v>
                </pt>
                <pt idx="588">
                  <v>54.1031</v>
                </pt>
                <pt idx="589">
                  <v>52.6283</v>
                </pt>
                <pt idx="590">
                  <v>53.9915</v>
                </pt>
                <pt idx="591">
                  <v>53.0888</v>
                </pt>
                <pt idx="592">
                  <v>53.4368</v>
                </pt>
                <pt idx="593">
                  <v>53.434</v>
                </pt>
                <pt idx="594">
                  <v>54.1156</v>
                </pt>
                <pt idx="595">
                  <v>53.8031</v>
                </pt>
                <pt idx="596">
                  <v>53.5714</v>
                </pt>
                <pt idx="597">
                  <v>53.5839</v>
                </pt>
                <pt idx="598">
                  <v>53.9944</v>
                </pt>
                <pt idx="599">
                  <v>53.8127</v>
                </pt>
                <pt idx="600">
                  <v>54.2588</v>
                </pt>
                <pt idx="601">
                  <v>54.0531</v>
                </pt>
                <pt idx="602">
                  <v>54.9346</v>
                </pt>
                <pt idx="603">
                  <v>56.12</v>
                </pt>
                <pt idx="604">
                  <v>52.6899</v>
                </pt>
                <pt idx="605">
                  <v>51.6881</v>
                </pt>
                <pt idx="606">
                  <v>50.9335</v>
                </pt>
                <pt idx="607">
                  <v>51.8314</v>
                </pt>
                <pt idx="608">
                  <v>59.5001</v>
                </pt>
                <pt idx="609">
                  <v>59.7347</v>
                </pt>
                <pt idx="610">
                  <v>57.7033</v>
                </pt>
                <pt idx="611">
                  <v>57.3063</v>
                </pt>
                <pt idx="612">
                  <v>56.4007</v>
                </pt>
                <pt idx="613">
                  <v>57.9696</v>
                </pt>
                <pt idx="614">
                  <v>56.618</v>
                </pt>
                <pt idx="615">
                  <v>56.5795</v>
                </pt>
                <pt idx="616">
                  <v>56.4334</v>
                </pt>
                <pt idx="617">
                  <v>56.3642</v>
                </pt>
                <pt idx="619">
                  <v>57.1092</v>
                </pt>
                <pt idx="620">
                  <v>57.6716</v>
                </pt>
                <pt idx="621">
                  <v>57.364</v>
                </pt>
                <pt idx="623">
                  <v>57.6514</v>
                </pt>
                <pt idx="624">
                  <v>57.5312</v>
                </pt>
                <pt idx="625">
                  <v>54.9971</v>
                </pt>
                <pt idx="626">
                  <v>54.3357</v>
                </pt>
                <pt idx="627">
                  <v>53.2686</v>
                </pt>
                <pt idx="628">
                  <v>54.1627</v>
                </pt>
                <pt idx="629">
                  <v>54.9337</v>
                </pt>
                <pt idx="630">
                  <v>56.4949</v>
                </pt>
                <pt idx="631">
                  <v>55.8191</v>
                </pt>
                <pt idx="632">
                  <v>55.1356</v>
                </pt>
                <pt idx="633">
                  <v>54.7491</v>
                </pt>
                <pt idx="634">
                  <v>52.0756</v>
                </pt>
                <pt idx="635">
                  <v>52.0929</v>
                </pt>
                <pt idx="636">
                  <v>52.0823</v>
                </pt>
                <pt idx="637">
                  <v>51.2921</v>
                </pt>
                <pt idx="638">
                  <v>51.8987</v>
                </pt>
                <pt idx="639">
                  <v>52.2996</v>
                </pt>
                <pt idx="640">
                  <v>53.1619</v>
                </pt>
                <pt idx="641">
                  <v>52.4986</v>
                </pt>
                <pt idx="642">
                  <v>52.5284</v>
                </pt>
                <pt idx="644">
                  <v>50.721</v>
                </pt>
                <pt idx="645">
                  <v>50.2086</v>
                </pt>
                <pt idx="646">
                  <v>50.9325</v>
                </pt>
                <pt idx="647">
                  <v>51.6487</v>
                </pt>
                <pt idx="648">
                  <v>52.6812</v>
                </pt>
                <pt idx="649">
                  <v>52.3851</v>
                </pt>
                <pt idx="650">
                  <v>52.7524</v>
                </pt>
                <pt idx="651">
                  <v>53.3176</v>
                </pt>
                <pt idx="652">
                  <v>52.5418</v>
                </pt>
                <pt idx="653">
                  <v>53.3369</v>
                </pt>
                <pt idx="654">
                  <v>51.2796</v>
                </pt>
                <pt idx="655">
                  <v>50.449</v>
                </pt>
                <pt idx="656">
                  <v>48.4157</v>
                </pt>
                <pt idx="657">
                  <v>49.6789</v>
                </pt>
                <pt idx="658">
                  <v>50.4413</v>
                </pt>
                <pt idx="659">
                  <v>49.502</v>
                </pt>
                <pt idx="660">
                  <v>48.9819</v>
                </pt>
                <pt idx="661">
                  <v>50.0038</v>
                </pt>
                <pt idx="662">
                  <v>50.5182</v>
                </pt>
                <pt idx="664">
                  <v>52.1957</v>
                </pt>
                <pt idx="665">
                  <v>52.7495</v>
                </pt>
                <pt idx="666">
                  <v>53.3417</v>
                </pt>
                <pt idx="667">
                  <v>55.548</v>
                </pt>
                <pt idx="668">
                  <v>52.9648</v>
                </pt>
                <pt idx="669">
                  <v>51.8756</v>
                </pt>
                <pt idx="670">
                  <v>52.9581</v>
                </pt>
                <pt idx="671">
                  <v>54.004</v>
                </pt>
                <pt idx="673">
                  <v>52.4457</v>
                </pt>
                <pt idx="674">
                  <v>53.9291</v>
                </pt>
                <pt idx="675">
                  <v>49.5962</v>
                </pt>
                <pt idx="676">
                  <v>47.1034</v>
                </pt>
                <pt idx="677">
                  <v>47.1784</v>
                </pt>
                <pt idx="678">
                  <v>47.5582</v>
                </pt>
                <pt idx="679">
                  <v>48.1927</v>
                </pt>
                <pt idx="680">
                  <v>47.6024</v>
                </pt>
                <pt idx="681">
                  <v>47.1534</v>
                </pt>
                <pt idx="682">
                  <v>46.0267</v>
                </pt>
                <pt idx="683">
                  <v>47.3409</v>
                </pt>
                <pt idx="684">
                  <v>47.2861</v>
                </pt>
                <pt idx="685">
                  <v>41.0815</v>
                </pt>
                <pt idx="686">
                  <v>38.7589</v>
                </pt>
                <pt idx="687">
                  <v>40.7499</v>
                </pt>
                <pt idx="689">
                  <v>40.5066</v>
                </pt>
                <pt idx="690">
                  <v>40.8229</v>
                </pt>
                <pt idx="691">
                  <v>41.4795</v>
                </pt>
                <pt idx="692">
                  <v>41.3046</v>
                </pt>
                <pt idx="693">
                  <v>40.4893</v>
                </pt>
                <pt idx="694">
                  <v>40.9758</v>
                </pt>
                <pt idx="695">
                  <v>39.7972</v>
                </pt>
                <pt idx="696">
                  <v>39.3559</v>
                </pt>
                <pt idx="697">
                  <v>39.776</v>
                </pt>
                <pt idx="698">
                  <v>39.427</v>
                </pt>
                <pt idx="699">
                  <v>39.1463</v>
                </pt>
                <pt idx="700">
                  <v>38.508</v>
                </pt>
                <pt idx="701">
                  <v>37.8591</v>
                </pt>
                <pt idx="702">
                  <v>37.6706</v>
                </pt>
                <pt idx="703">
                  <v>37.7302</v>
                </pt>
                <pt idx="705">
                  <v>38.1215</v>
                </pt>
                <pt idx="706">
                  <v>37.4832</v>
                </pt>
                <pt idx="707">
                  <v>37.8206</v>
                </pt>
                <pt idx="708">
                  <v>38.0744</v>
                </pt>
                <pt idx="709">
                  <v>38.135</v>
                </pt>
                <pt idx="710">
                  <v>38.633</v>
                </pt>
                <pt idx="711">
                  <v>39.4914</v>
                </pt>
                <pt idx="712">
                  <v>40.2153</v>
                </pt>
                <pt idx="714">
                  <v>40.9421</v>
                </pt>
                <pt idx="715">
                  <v>42.0563</v>
                </pt>
                <pt idx="716">
                  <v>41.1373</v>
                </pt>
                <pt idx="717">
                  <v>40.3528</v>
                </pt>
                <pt idx="718">
                  <v>39.8222</v>
                </pt>
                <pt idx="719">
                  <v>41.0959</v>
                </pt>
                <pt idx="720">
                  <v>41.8669</v>
                </pt>
                <pt idx="721">
                  <v>41.5074</v>
                </pt>
                <pt idx="722">
                  <v>40.97</v>
                </pt>
                <pt idx="723">
                  <v>41.3786</v>
                </pt>
                <pt idx="724">
                  <v>41.293</v>
                </pt>
                <pt idx="725">
                  <v>41.6766</v>
                </pt>
                <pt idx="726">
                  <v>42.7831</v>
                </pt>
                <pt idx="727">
                  <v>41.6035</v>
                </pt>
                <pt idx="728">
                  <v>41.0633</v>
                </pt>
                <pt idx="729">
                  <v>41.0267</v>
                </pt>
                <pt idx="730">
                  <v>42.0563</v>
                </pt>
                <pt idx="731">
                  <v>42.6264</v>
                </pt>
                <pt idx="732">
                  <v>42.3207</v>
                </pt>
                <pt idx="733">
                  <v>42.6226</v>
                </pt>
                <pt idx="734">
                  <v>41.8064</v>
                </pt>
                <pt idx="735">
                  <v>41.1027</v>
                </pt>
                <pt idx="736">
                  <v>41.193</v>
                </pt>
                <pt idx="737">
                  <v>41.2873</v>
                </pt>
                <pt idx="739">
                  <v>40.546</v>
                </pt>
                <pt idx="740">
                  <v>40.2788</v>
                </pt>
                <pt idx="741">
                  <v>40.6018</v>
                </pt>
                <pt idx="742">
                  <v>40.6355</v>
                </pt>
                <pt idx="743">
                  <v>41.2796</v>
                </pt>
                <pt idx="744">
                  <v>41.3449</v>
                </pt>
                <pt idx="745">
                  <v>40.7922</v>
                </pt>
                <pt idx="746">
                  <v>41.7525</v>
                </pt>
                <pt idx="747">
                  <v>41.8295</v>
                </pt>
                <pt idx="748">
                  <v>43.0552</v>
                </pt>
                <pt idx="749">
                  <v>40.2865</v>
                </pt>
                <pt idx="750">
                  <v>38.508</v>
                </pt>
                <pt idx="751">
                  <v>38.0225</v>
                </pt>
                <pt idx="752">
                  <v>37.7764</v>
                </pt>
                <pt idx="753">
                  <v>37.7889</v>
                </pt>
                <pt idx="754">
                  <v>36.4026</v>
                </pt>
                <pt idx="755">
                  <v>37.1794</v>
                </pt>
                <pt idx="756">
                  <v>37.3745</v>
                </pt>
                <pt idx="757">
                  <v>36.1853</v>
                </pt>
                <pt idx="758">
                  <v>35.5807</v>
                </pt>
                <pt idx="759">
                  <v>36.443</v>
                </pt>
                <pt idx="760">
                  <v>35.9248</v>
                </pt>
                <pt idx="761">
                  <v>36.1181</v>
                </pt>
                <pt idx="762">
                  <v>36.79</v>
                </pt>
                <pt idx="763">
                  <v>37.6331</v>
                </pt>
                <pt idx="764">
                  <v>35.6624</v>
                </pt>
                <pt idx="765">
                  <v>35.3451</v>
                </pt>
                <pt idx="766">
                  <v>35.8258</v>
                </pt>
                <pt idx="767">
                  <v>33.7541</v>
                </pt>
                <pt idx="768">
                  <v>33.1648</v>
                </pt>
                <pt idx="769">
                  <v>33.4647</v>
                </pt>
                <pt idx="770">
                  <v>33.7897</v>
                </pt>
                <pt idx="772">
                  <v>31.5978</v>
                </pt>
                <pt idx="773">
                  <v>31.8391</v>
                </pt>
                <pt idx="774">
                  <v>31.1354</v>
                </pt>
                <pt idx="775">
                  <v>30.8806</v>
                </pt>
                <pt idx="776">
                  <v>31.368</v>
                </pt>
                <pt idx="777">
                  <v>32.3053</v>
                </pt>
                <pt idx="778">
                  <v>32.4082</v>
                </pt>
                <pt idx="779">
                  <v>31.9583</v>
                </pt>
                <pt idx="780">
                  <v>31.3651</v>
                </pt>
                <pt idx="781">
                  <v>31.4949</v>
                </pt>
                <pt idx="782">
                  <v>31.045</v>
                </pt>
                <pt idx="783">
                  <v>30.8796</v>
                </pt>
                <pt idx="784">
                  <v>31.6679</v>
                </pt>
                <pt idx="785">
                  <v>30.8787</v>
                </pt>
                <pt idx="786">
                  <v>31.1998</v>
                </pt>
                <pt idx="787">
                  <v>31.7737</v>
                </pt>
                <pt idx="788">
                  <v>30.9191</v>
                </pt>
                <pt idx="789">
                  <v>30.4989</v>
                </pt>
                <pt idx="790">
                  <v>30.4153</v>
                </pt>
                <pt idx="791">
                  <v>29.6885</v>
                </pt>
                <pt idx="792">
                  <v>29.7789</v>
                </pt>
                <pt idx="793">
                  <v>28.0734</v>
                </pt>
                <pt idx="794">
                  <v>27.6341</v>
                </pt>
                <pt idx="795">
                  <v>27.0025</v>
                </pt>
                <pt idx="796">
                  <v>25.7076</v>
                </pt>
                <pt idx="797">
                  <v>26.4824</v>
                </pt>
                <pt idx="798">
                  <v>25.9191</v>
                </pt>
                <pt idx="799">
                  <v>26.8968</v>
                </pt>
                <pt idx="800">
                  <v>27.3495</v>
                </pt>
                <pt idx="801">
                  <v>28.1657</v>
                </pt>
                <pt idx="802">
                  <v>24.9625</v>
                </pt>
                <pt idx="803">
                  <v>24.1031</v>
                </pt>
                <pt idx="804">
                  <v>23.9723</v>
                </pt>
                <pt idx="805">
                  <v>24.0069</v>
                </pt>
                <pt idx="806">
                  <v>22.4601</v>
                </pt>
                <pt idx="807">
                  <v>22.5466</v>
                </pt>
                <pt idx="808">
                  <v>21.8631</v>
                </pt>
                <pt idx="809">
                  <v>22.1352</v>
                </pt>
                <pt idx="810">
                  <v>22.2025</v>
                </pt>
                <pt idx="811">
                  <v>22.3371</v>
                </pt>
                <pt idx="812">
                  <v>21.9381</v>
                </pt>
                <pt idx="813">
                  <v>21.567</v>
                </pt>
                <pt idx="815">
                  <v>21.8554</v>
                </pt>
                <pt idx="816">
                  <v>21.3344</v>
                </pt>
                <pt idx="817">
                  <v>21.4536</v>
                </pt>
                <pt idx="818">
                  <v>21.2978</v>
                </pt>
                <pt idx="819">
                  <v>21.1536</v>
                </pt>
                <pt idx="820">
                  <v>20.8623</v>
                </pt>
                <pt idx="821">
                  <v>21.2517</v>
                </pt>
                <pt idx="822">
                  <v>20.7854</v>
                </pt>
                <pt idx="823">
                  <v>20.9979</v>
                </pt>
                <pt idx="824">
                  <v>20.571</v>
                </pt>
                <pt idx="826">
                  <v>20.148</v>
                </pt>
                <pt idx="827">
                  <v>20.0596</v>
                </pt>
                <pt idx="828">
                  <v>19.702</v>
                </pt>
                <pt idx="829">
                  <v>19.777</v>
                </pt>
                <pt idx="831">
                  <v>20.274</v>
                </pt>
                <pt idx="832">
                  <v>19.9913</v>
                </pt>
                <pt idx="834">
                  <v>20.4663</v>
                </pt>
                <pt idx="835">
                  <v>19.2598</v>
                </pt>
                <pt idx="837">
                  <v>15.5451</v>
                </pt>
                <pt idx="838">
                  <v>15.7377</v>
                </pt>
                <pt idx="839">
                  <v>15.5435</v>
                </pt>
                <pt idx="840">
                  <v>15.3454</v>
                </pt>
                <pt idx="841">
                  <v>15.5738</v>
                </pt>
                <pt idx="842">
                  <v>15.5515</v>
                </pt>
                <pt idx="843">
                  <v>15.7831</v>
                </pt>
                <pt idx="844">
                  <v>15.7433</v>
                </pt>
                <pt idx="845">
                  <v>15.8459</v>
                </pt>
                <pt idx="846">
                  <v>15.5594</v>
                </pt>
                <pt idx="847">
                  <v>15.8977</v>
                </pt>
                <pt idx="848">
                  <v>16.0512</v>
                </pt>
                <pt idx="849">
                  <v>16.1698</v>
                </pt>
                <pt idx="850">
                  <v>16.9123</v>
                </pt>
                <pt idx="851">
                  <v>17.1821</v>
                </pt>
                <pt idx="852">
                  <v>17.4487</v>
                </pt>
                <pt idx="854">
                  <v>17.4813</v>
                </pt>
                <pt idx="855">
                  <v>17.3635</v>
                </pt>
                <pt idx="856">
                  <v>17.3221</v>
                </pt>
                <pt idx="857">
                  <v>17.6938</v>
                </pt>
                <pt idx="858">
                  <v>18.593</v>
                </pt>
                <pt idx="859">
                  <v>18.1935</v>
                </pt>
                <pt idx="860">
                  <v>18.5341</v>
                </pt>
                <pt idx="861">
                  <v>18.3662</v>
                </pt>
                <pt idx="862">
                  <v>18.289</v>
                </pt>
                <pt idx="863">
                  <v>18.5294</v>
                </pt>
                <pt idx="864">
                  <v>18.0025</v>
                </pt>
                <pt idx="865">
                  <v>17.8505</v>
                </pt>
                <pt idx="866">
                  <v>18.1275</v>
                </pt>
                <pt idx="867">
                  <v>18.3479</v>
                </pt>
                <pt idx="868">
                  <v>17.985</v>
                </pt>
                <pt idx="869">
                  <v>17.8155</v>
                </pt>
                <pt idx="870">
                  <v>18.1434</v>
                </pt>
                <pt idx="871">
                  <v>18.7785</v>
                </pt>
                <pt idx="872">
                  <v>17.7256</v>
                </pt>
                <pt idx="873">
                  <v>17.9882</v>
                </pt>
                <pt idx="874">
                  <v>17.7789</v>
                </pt>
                <pt idx="875">
                  <v>17.7797</v>
                </pt>
                <pt idx="876">
                  <v>18.1609</v>
                </pt>
                <pt idx="877">
                  <v>17.2887</v>
                </pt>
                <pt idx="878">
                  <v>16.7189</v>
                </pt>
                <pt idx="879">
                  <v>16.4436</v>
                </pt>
                <pt idx="880">
                  <v>16.1611</v>
                </pt>
                <pt idx="882">
                  <v>16.7802</v>
                </pt>
                <pt idx="883">
                  <v>16.5423</v>
                </pt>
                <pt idx="884">
                  <v>16.4332</v>
                </pt>
                <pt idx="885">
                  <v>16.8765</v>
                </pt>
                <pt idx="886">
                  <v>16.4969</v>
                </pt>
                <pt idx="887">
                  <v>16.2319</v>
                </pt>
                <pt idx="888">
                  <v>15.3517</v>
                </pt>
                <pt idx="889">
                  <v>15.9406</v>
                </pt>
                <pt idx="890">
                  <v>15.1361</v>
                </pt>
                <pt idx="891">
                  <v>15.2936</v>
                </pt>
                <pt idx="892">
                  <v>14.6021</v>
                </pt>
                <pt idx="893">
                  <v>14.7159</v>
                </pt>
                <pt idx="894">
                  <v>14.8257</v>
                </pt>
                <pt idx="895">
                  <v>14.8257</v>
                </pt>
                <pt idx="896">
                  <v>14.6395</v>
                </pt>
                <pt idx="897">
                  <v>14.8973</v>
                </pt>
                <pt idx="898">
                  <v>15.1178</v>
                </pt>
                <pt idx="899">
                  <v>14.0474</v>
                </pt>
                <pt idx="900">
                  <v>13.7641</v>
                </pt>
                <pt idx="901">
                  <v>13.4848</v>
                </pt>
                <pt idx="902">
                  <v>13.5612</v>
                </pt>
                <pt idx="903">
                  <v>13.6217</v>
                </pt>
                <pt idx="904">
                  <v>13.6129</v>
                </pt>
                <pt idx="905">
                  <v>13.1561</v>
                </pt>
                <pt idx="906">
                  <v>13.6249</v>
                </pt>
                <pt idx="907">
                  <v>13.5875</v>
                </pt>
                <pt idx="908">
                  <v>13.4068</v>
                </pt>
                <pt idx="909">
                  <v>13.4808</v>
                </pt>
                <pt idx="910">
                  <v>13.6034</v>
                </pt>
                <pt idx="911">
                  <v>13.7235</v>
                </pt>
                <pt idx="912">
                  <v>13.7013</v>
                </pt>
                <pt idx="913">
                  <v>13.7132</v>
                </pt>
                <pt idx="914">
                  <v>13.7936</v>
                </pt>
                <pt idx="915">
                  <v>13.8238</v>
                </pt>
                <pt idx="916">
                  <v>14.1557</v>
                </pt>
                <pt idx="917">
                  <v>14.0618</v>
                </pt>
                <pt idx="918">
                  <v>14.1549</v>
                </pt>
                <pt idx="919">
                  <v>13.9535</v>
                </pt>
                <pt idx="920">
                  <v>14.0132</v>
                </pt>
                <pt idx="921">
                  <v>14.1939</v>
                </pt>
                <pt idx="922">
                  <v>14.2575</v>
                </pt>
                <pt idx="923">
                  <v>14.2209</v>
                </pt>
                <pt idx="924">
                  <v>13.9129</v>
                </pt>
                <pt idx="925">
                  <v>13.858</v>
                </pt>
                <pt idx="926">
                  <v>13.6201</v>
                </pt>
                <pt idx="927">
                  <v>13.8166</v>
                </pt>
                <pt idx="928">
                  <v>13.7681</v>
                </pt>
                <pt idx="929">
                  <v>13.7506</v>
                </pt>
                <pt idx="930">
                  <v>14.4254</v>
                </pt>
                <pt idx="931">
                  <v>14.9523</v>
                </pt>
                <pt idx="932">
                  <v>14.8018</v>
                </pt>
                <pt idx="933">
                  <v>14.096</v>
                </pt>
                <pt idx="934">
                  <v>13.9121</v>
                </pt>
                <pt idx="935">
                  <v>13.9352</v>
                </pt>
                <pt idx="936">
                  <v>13.858</v>
                </pt>
                <pt idx="937">
                  <v>13.5357</v>
                </pt>
                <pt idx="939">
                  <v>13.5127</v>
                </pt>
                <pt idx="940">
                  <v>13.453</v>
                </pt>
                <pt idx="941">
                  <v>13.527</v>
                </pt>
                <pt idx="942">
                  <v>13.4657</v>
                </pt>
                <pt idx="943">
                  <v>13.4052</v>
                </pt>
                <pt idx="944">
                  <v>13.4418</v>
                </pt>
                <pt idx="945">
                  <v>13.3694</v>
                </pt>
                <pt idx="946">
                  <v>13.3559</v>
                </pt>
                <pt idx="948">
                  <v>13.4076</v>
                </pt>
                <pt idx="949">
                  <v>13.5493</v>
                </pt>
                <pt idx="950">
                  <v>13.5381</v>
                </pt>
                <pt idx="951">
                  <v>13.5262</v>
                </pt>
                <pt idx="952">
                  <v>13.7219</v>
                </pt>
                <pt idx="953">
                  <v>13.64</v>
                </pt>
                <pt idx="954">
                  <v>13.5867</v>
                </pt>
                <pt idx="955">
                  <v>13.7928</v>
                </pt>
                <pt idx="956">
                  <v>14.2687</v>
                </pt>
                <pt idx="957">
                  <v>13.9893</v>
                </pt>
                <pt idx="958">
                  <v>13.8015</v>
                </pt>
                <pt idx="959">
                  <v>14.1676</v>
                </pt>
                <pt idx="960">
                  <v>14.2671</v>
                </pt>
                <pt idx="961">
                  <v>14.0641</v>
                </pt>
                <pt idx="963">
                  <v>13.5811</v>
                </pt>
                <pt idx="964">
                  <v>13.5349</v>
                </pt>
                <pt idx="965">
                  <v>13.1506</v>
                </pt>
                <pt idx="966">
                  <v>13.0169</v>
                </pt>
                <pt idx="967">
                  <v>12.8991</v>
                </pt>
                <pt idx="968">
                  <v>13.4044</v>
                </pt>
                <pt idx="969">
                  <v>13.3726</v>
                </pt>
                <pt idx="970">
                  <v>14.4262</v>
                </pt>
                <pt idx="971">
                  <v>14.63</v>
                </pt>
                <pt idx="972">
                  <v>14.6069</v>
                </pt>
                <pt idx="973">
                  <v>14.7358</v>
                </pt>
                <pt idx="974">
                  <v>14.8464</v>
                </pt>
                <pt idx="975">
                  <v>15.1074</v>
                </pt>
                <pt idx="976">
                  <v>15.6581</v>
                </pt>
                <pt idx="977">
                  <v>15.526</v>
                </pt>
                <pt idx="978">
                  <v>15.8467</v>
                </pt>
                <pt idx="979">
                  <v>15.6724</v>
                </pt>
                <pt idx="980">
                  <v>14.9737</v>
                </pt>
                <pt idx="981">
                  <v>14.4859</v>
                </pt>
                <pt idx="982">
                  <v>14.1445</v>
                </pt>
                <pt idx="983">
                  <v>13.8771</v>
                </pt>
                <pt idx="984">
                  <v>14.0442</v>
                </pt>
                <pt idx="985">
                  <v>14.1923</v>
                </pt>
                <pt idx="986">
                  <v>14.6284</v>
                </pt>
                <pt idx="988">
                  <v>15.0024</v>
                </pt>
                <pt idx="989">
                  <v>14.7064</v>
                </pt>
                <pt idx="990">
                  <v>14.0196</v>
                </pt>
                <pt idx="991">
                  <v>14.213</v>
                </pt>
                <pt idx="992">
                  <v>13.7633</v>
                </pt>
                <pt idx="993">
                  <v>13.558</v>
                </pt>
                <pt idx="994">
                  <v>13.7426</v>
                </pt>
                <pt idx="995">
                  <v>13.6925</v>
                </pt>
                <pt idx="996">
                  <v>13.0845</v>
                </pt>
                <pt idx="997">
                  <v>13.0837</v>
                </pt>
                <pt idx="998">
                  <v>13.1004</v>
                </pt>
                <pt idx="1000">
                  <v>13.3487</v>
                </pt>
                <pt idx="1001">
                  <v>13.0161</v>
                </pt>
                <pt idx="1002">
                  <v>12.8911</v>
                </pt>
                <pt idx="1004">
                  <v>13.605</v>
                </pt>
                <pt idx="1005">
                  <v>13.5381</v>
                </pt>
                <pt idx="1006">
                  <v>13.301</v>
                </pt>
                <pt idx="1007">
                  <v>13.4872</v>
                </pt>
                <pt idx="1008">
                  <v>13.4808</v>
                </pt>
                <pt idx="1009">
                  <v>13.6782</v>
                </pt>
                <pt idx="1010">
                  <v>13.8222</v>
                </pt>
                <pt idx="1011">
                  <v>13.4609</v>
                </pt>
                <pt idx="1012">
                  <v>13.5851</v>
                </pt>
                <pt idx="1013">
                  <v>13.6838</v>
                </pt>
                <pt idx="1014">
                  <v>13.9726</v>
                </pt>
                <pt idx="1015">
                  <v>13.6129</v>
                </pt>
                <pt idx="1016">
                  <v>13.5031</v>
                </pt>
                <pt idx="1017">
                  <v>13.3288</v>
                </pt>
                <pt idx="1018">
                  <v>13.188</v>
                </pt>
                <pt idx="1019">
                  <v>13.3026</v>
                </pt>
                <pt idx="1020">
                  <v>12.8442</v>
                </pt>
                <pt idx="1021">
                  <v>12.0524</v>
                </pt>
                <pt idx="1022">
                  <v>12.2179</v>
                </pt>
                <pt idx="1023">
                  <v>12.2465</v>
                </pt>
                <pt idx="1024">
                  <v>12.3261</v>
                </pt>
                <pt idx="1025">
                  <v>12.5442</v>
                </pt>
                <pt idx="1026">
                  <v>12.3763</v>
                </pt>
                <pt idx="1027">
                  <v>12.1566</v>
                </pt>
                <pt idx="1028">
                  <v>12.1113</v>
                </pt>
                <pt idx="1029">
                  <v>12.2839</v>
                </pt>
                <pt idx="1030">
                  <v>12.0802</v>
                </pt>
                <pt idx="1031">
                  <v>11.8956</v>
                </pt>
                <pt idx="1032">
                  <v>11.6847</v>
                </pt>
                <pt idx="1033">
                  <v>11.4953</v>
                </pt>
                <pt idx="1034">
                  <v>10.994</v>
                </pt>
                <pt idx="1035">
                  <v>10.8706</v>
                </pt>
                <pt idx="1036">
                  <v>10.8825</v>
                </pt>
                <pt idx="1037">
                  <v>10.6446</v>
                </pt>
                <pt idx="1038">
                  <v>10.5921</v>
                </pt>
                <pt idx="1039">
                  <v>10.1417</v>
                </pt>
                <pt idx="1040">
                  <v>10.5873</v>
                </pt>
                <pt idx="1041">
                  <v>10.4345</v>
                </pt>
                <pt idx="1042">
                  <v>10.3915</v>
                </pt>
                <pt idx="1043">
                  <v>10.0653</v>
                </pt>
                <pt idx="1044">
                  <v>9.8735</v>
                </pt>
                <pt idx="1045">
                  <v>10.5459</v>
                </pt>
                <pt idx="1046">
                  <v>10.6884</v>
                </pt>
                <pt idx="1047">
                  <v>11.1364</v>
                </pt>
                <pt idx="1048">
                  <v>11.4985</v>
                </pt>
                <pt idx="1049">
                  <v>11.5996</v>
                </pt>
                <pt idx="1050">
                  <v>11.6187</v>
                </pt>
                <pt idx="1051">
                  <v>11.7738</v>
                </pt>
                <pt idx="1052">
                  <v>11.8876</v>
                </pt>
                <pt idx="1053">
                  <v>12.2282</v>
                </pt>
                <pt idx="1054">
                  <v>11.9879</v>
                </pt>
                <pt idx="1055">
                  <v>11.7794</v>
                </pt>
                <pt idx="1056">
                  <v>11.5311</v>
                </pt>
                <pt idx="1057">
                  <v>11.8001</v>
                </pt>
                <pt idx="1058">
                  <v>12.3603</v>
                </pt>
                <pt idx="1059">
                  <v>12.4622</v>
                </pt>
                <pt idx="1060">
                  <v>12.7471</v>
                </pt>
                <pt idx="1061">
                  <v>12.7574</v>
                </pt>
                <pt idx="1062">
                  <v>12.8768</v>
                </pt>
                <pt idx="1063">
                  <v>12.876</v>
                </pt>
                <pt idx="1064">
                  <v>12.9198</v>
                </pt>
                <pt idx="1065">
                  <v>12.7065</v>
                </pt>
                <pt idx="1066">
                  <v>12.6484</v>
                </pt>
                <pt idx="1067">
                  <v>12.4598</v>
                </pt>
                <pt idx="1068">
                  <v>12.4009</v>
                </pt>
                <pt idx="1069">
                  <v>12.8211</v>
                </pt>
                <pt idx="1070">
                  <v>13.0893</v>
                </pt>
                <pt idx="1071">
                  <v>13.1362</v>
                </pt>
                <pt idx="1072">
                  <v>13.1633</v>
                </pt>
                <pt idx="1074">
                  <v>13.4514</v>
                </pt>
                <pt idx="1075">
                  <v>13.6893</v>
                </pt>
                <pt idx="1076">
                  <v>13.8413</v>
                </pt>
                <pt idx="1077">
                  <v>13.8867</v>
                </pt>
                <pt idx="1078">
                  <v>13.8716</v>
                </pt>
                <pt idx="1079">
                  <v>14.1342</v>
                </pt>
                <pt idx="1080">
                  <v>14.3968</v>
                </pt>
                <pt idx="1081">
                  <v>14.174</v>
                </pt>
                <pt idx="1082">
                  <v>14.1405</v>
                </pt>
                <pt idx="1083">
                  <v>14.1795</v>
                </pt>
                <pt idx="1084">
                  <v>14.6331</v>
                </pt>
                <pt idx="1087">
                  <v>14.5217</v>
                </pt>
                <pt idx="1088">
                  <v>14.6602</v>
                </pt>
                <pt idx="1089">
                  <v>14.1947</v>
                </pt>
                <pt idx="1090">
                  <v>14.2034</v>
                </pt>
                <pt idx="1091">
                  <v>14.2018</v>
                </pt>
                <pt idx="1092">
                  <v>13.9257</v>
                </pt>
                <pt idx="1093">
                  <v>14.0037</v>
                </pt>
                <pt idx="1094">
                  <v>13.9106</v>
                </pt>
                <pt idx="1095">
                  <v>13.1259</v>
                </pt>
                <pt idx="1096">
                  <v>12.6428</v>
                </pt>
                <pt idx="1097">
                  <v>15.2779</v>
                </pt>
                <pt idx="1098">
                  <v>15.1628</v>
                </pt>
                <pt idx="1099">
                  <v>15.5188</v>
                </pt>
                <pt idx="1100">
                  <v>15.9937</v>
                </pt>
                <pt idx="1101">
                  <v>16.1079</v>
                </pt>
                <pt idx="1102">
                  <v>16.1194</v>
                </pt>
                <pt idx="1103">
                  <v>16.153</v>
                </pt>
                <pt idx="1104">
                  <v>16.4131</v>
                </pt>
                <pt idx="1106">
                  <v>16.3507</v>
                </pt>
                <pt idx="1107">
                  <v>16.2538</v>
                </pt>
                <pt idx="1108">
                  <v>16.321</v>
                </pt>
                <pt idx="1109">
                  <v>15.8373</v>
                </pt>
                <pt idx="1110">
                  <v>15.7587</v>
                </pt>
                <pt idx="1111">
                  <v>15.9678</v>
                </pt>
                <pt idx="1112">
                  <v>15.3748</v>
                </pt>
                <pt idx="1113">
                  <v>15.1781</v>
                </pt>
                <pt idx="1114">
                  <v>14.8768</v>
                </pt>
                <pt idx="1115">
                  <v>15.6992</v>
                </pt>
                <pt idx="1116">
                  <v>15.9467</v>
                </pt>
                <pt idx="1117">
                  <v>15.8911</v>
                </pt>
                <pt idx="1119">
                  <v>16.2509</v>
                </pt>
                <pt idx="1120">
                  <v>15.6032</v>
                </pt>
                <pt idx="1121">
                  <v>14.9191</v>
                </pt>
                <pt idx="1122">
                  <v>15.9573</v>
                </pt>
                <pt idx="1123">
                  <v>15.6877</v>
                </pt>
                <pt idx="1124">
                  <v>15.9842</v>
                </pt>
                <pt idx="1125">
                  <v>16.5359</v>
                </pt>
                <pt idx="1126">
                  <v>16.4313</v>
                </pt>
                <pt idx="1127">
                  <v>16.9639</v>
                </pt>
                <pt idx="1128">
                  <v>16.2461</v>
                </pt>
                <pt idx="1129">
                  <v>16.036</v>
                </pt>
                <pt idx="1130">
                  <v>17.2565</v>
                </pt>
                <pt idx="1131">
                  <v>17.5559</v>
                </pt>
                <pt idx="1132">
                  <v>17.5271</v>
                </pt>
                <pt idx="1133">
                  <v>17.5578</v>
                </pt>
                <pt idx="1134">
                  <v>17.7862</v>
                </pt>
                <pt idx="1135">
                  <v>17.7507</v>
                </pt>
                <pt idx="1136">
                  <v>17.933</v>
                </pt>
                <pt idx="1137">
                  <v>18.1182</v>
                </pt>
                <pt idx="1138">
                  <v>17.7862</v>
                </pt>
                <pt idx="1139">
                  <v>17.649</v>
                </pt>
                <pt idx="1140">
                  <v>17.483</v>
                </pt>
                <pt idx="1141">
                  <v>17.6365</v>
                </pt>
                <pt idx="1143">
                  <v>17.6557</v>
                </pt>
                <pt idx="1144">
                  <v>17.8284</v>
                </pt>
                <pt idx="1145">
                  <v>18.2995</v>
                </pt>
                <pt idx="1146">
                  <v>18.8973</v>
                </pt>
                <pt idx="1147">
                  <v>18.7803</v>
                </pt>
                <pt idx="1148">
                  <v>19.024</v>
                </pt>
                <pt idx="1149">
                  <v>22.7969</v>
                </pt>
                <pt idx="1150">
                  <v>22.3786</v>
                </pt>
                <pt idx="1151">
                  <v>23.0886</v>
                </pt>
                <pt idx="1152">
                  <v>20.0737</v>
                </pt>
                <pt idx="1153">
                  <v>20.1428</v>
                </pt>
                <pt idx="1154">
                  <v>19.9605</v>
                </pt>
                <pt idx="1155">
                  <v>19.8559</v>
                </pt>
                <pt idx="1156">
                  <v>19.4836</v>
                </pt>
                <pt idx="1157">
                  <v>19.5278</v>
                </pt>
                <pt idx="1158">
                  <v>19.2015</v>
                </pt>
                <pt idx="1159">
                  <v>19.5527</v>
                </pt>
                <pt idx="1160">
                  <v>19.45</v>
                </pt>
                <pt idx="1161">
                  <v>19.3944</v>
                </pt>
                <pt idx="1162">
                  <v>19.6535</v>
                </pt>
                <pt idx="1163">
                  <v>19.4779</v>
                </pt>
                <pt idx="1164">
                  <v>19.3819</v>
                </pt>
                <pt idx="1165">
                  <v>19.4366</v>
                </pt>
                <pt idx="1166">
                  <v>19.5383</v>
                </pt>
                <pt idx="1167">
                  <v>19.6707</v>
                </pt>
                <pt idx="1168">
                  <v>19.4414</v>
                </pt>
                <pt idx="1169">
                  <v>19.3522</v>
                </pt>
                <pt idx="1170">
                  <v>19.8876</v>
                </pt>
                <pt idx="1171">
                  <v>20.709</v>
                </pt>
                <pt idx="1172">
                  <v>20.7972</v>
                </pt>
                <pt idx="1173">
                  <v>19.8722</v>
                </pt>
                <pt idx="1174">
                  <v>20.1246</v>
                </pt>
                <pt idx="1175">
                  <v>19.5345</v>
                </pt>
                <pt idx="1176">
                  <v>19.5067</v>
                </pt>
                <pt idx="1177">
                  <v>19.1986</v>
                </pt>
                <pt idx="1178">
                  <v>18.9683</v>
                </pt>
                <pt idx="1179">
                  <v>18.8503</v>
                </pt>
                <pt idx="1180">
                  <v>19.1938</v>
                </pt>
                <pt idx="1181">
                  <v>19.3982</v>
                </pt>
                <pt idx="1182">
                  <v>18.9482</v>
                </pt>
                <pt idx="1183">
                  <v>18.8714</v>
                </pt>
                <pt idx="1184">
                  <v>18.0932</v>
                </pt>
                <pt idx="1185">
                  <v>18.6124</v>
                </pt>
                <pt idx="1186">
                  <v>19.6823</v>
                </pt>
                <pt idx="1187">
                  <v>19.4788</v>
                </pt>
                <pt idx="1188">
                  <v>19.4491</v>
                </pt>
                <pt idx="1189">
                  <v>19.0086</v>
                </pt>
                <pt idx="1191">
                  <v>19.451</v>
                </pt>
                <pt idx="1192">
                  <v>20.4461</v>
                </pt>
                <pt idx="1193">
                  <v>20.7819</v>
                </pt>
                <pt idx="1194">
                  <v>20.2225</v>
                </pt>
                <pt idx="1195">
                  <v>19.9538</v>
                </pt>
                <pt idx="1196">
                  <v>20.1236</v>
                </pt>
                <pt idx="1197">
                  <v>20.0354</v>
                </pt>
                <pt idx="1198">
                  <v>20.4547</v>
                </pt>
                <pt idx="1199">
                  <v>21.1628</v>
                </pt>
                <pt idx="1201">
                  <v>20.2042</v>
                </pt>
                <pt idx="1202">
                  <v>20.2916</v>
                </pt>
                <pt idx="1203">
                  <v>19.9682</v>
                </pt>
                <pt idx="1204">
                  <v>20.4221</v>
                </pt>
                <pt idx="1205">
                  <v>19.4155</v>
                </pt>
                <pt idx="1206">
                  <v>19.3368</v>
                </pt>
                <pt idx="1207">
                  <v>19.9077</v>
                </pt>
                <pt idx="1208">
                  <v>18.3159</v>
                </pt>
                <pt idx="1209">
                  <v>17.8466</v>
                </pt>
                <pt idx="1210">
                  <v>17.8956</v>
                </pt>
                <pt idx="1211">
                  <v>17.9148</v>
                </pt>
                <pt idx="1212">
                  <v>18.1671</v>
                </pt>
                <pt idx="1213">
                  <v>18.6517</v>
                </pt>
                <pt idx="1214">
                  <v>18.4214</v>
                </pt>
                <pt idx="1216">
                  <v>18.739</v>
                </pt>
                <pt idx="1217">
                  <v>18.5116</v>
                </pt>
                <pt idx="1218">
                  <v>18.4502</v>
                </pt>
                <pt idx="1219">
                  <v>18.5701</v>
                </pt>
                <pt idx="1220">
                  <v>18.7899</v>
                </pt>
                <pt idx="1221">
                  <v>18.8215</v>
                </pt>
                <pt idx="1222">
                  <v>18.4819</v>
                </pt>
                <pt idx="1223">
                  <v>18.7381</v>
                </pt>
                <pt idx="1224">
                  <v>18.6104</v>
                </pt>
                <pt idx="1225">
                  <v>18.1547</v>
                </pt>
                <pt idx="1226">
                  <v>18.3974</v>
                </pt>
                <pt idx="1227">
                  <v>18.195</v>
                </pt>
                <pt idx="1228">
                  <v>18.2976</v>
                </pt>
                <pt idx="1229">
                  <v>18.4262</v>
                </pt>
                <pt idx="1230">
                  <v>18.5202</v>
                </pt>
                <pt idx="1231">
                  <v>18.8964</v>
                </pt>
                <pt idx="1232">
                  <v>18.8743</v>
                </pt>
                <pt idx="1233">
                  <v>18.62</v>
                </pt>
                <pt idx="1234">
                  <v>18.5049</v>
                </pt>
                <pt idx="1235">
                  <v>20.1764</v>
                </pt>
                <pt idx="1236">
                  <v>20.6178</v>
                </pt>
                <pt idx="1237">
                  <v>21.0842</v>
                </pt>
                <pt idx="1238">
                  <v>20.9642</v>
                </pt>
                <pt idx="1239">
                  <v>20.5727</v>
                </pt>
                <pt idx="1241">
                  <v>20.1812</v>
                </pt>
                <pt idx="1242">
                  <v>19.3445</v>
                </pt>
                <pt idx="1243">
                  <v>19.3099</v>
                </pt>
                <pt idx="1244">
                  <v>19.2063</v>
                </pt>
                <pt idx="1245">
                  <v>19.2553</v>
                </pt>
                <pt idx="1246">
                  <v>19.1775</v>
                </pt>
                <pt idx="1247">
                  <v>19.0029</v>
                </pt>
                <pt idx="1248">
                  <v>19.4107</v>
                </pt>
                <pt idx="1249">
                  <v>18.6757</v>
                </pt>
                <pt idx="1250">
                  <v>18.1978</v>
                </pt>
                <pt idx="1251">
                  <v>18.2544</v>
                </pt>
                <pt idx="1252">
                  <v>18.4886</v>
                </pt>
                <pt idx="1253">
                  <v>18.0932</v>
                </pt>
                <pt idx="1254">
                  <v>17.933</v>
                </pt>
                <pt idx="1255">
                  <v>18.5068</v>
                </pt>
                <pt idx="1257">
                  <v>19.2936</v>
                </pt>
                <pt idx="1258">
                  <v>19.4481</v>
                </pt>
                <pt idx="1259">
                  <v>19.2783</v>
                </pt>
                <pt idx="1260">
                  <v>19.1967</v>
                </pt>
                <pt idx="1261">
                  <v>19.7245</v>
                </pt>
                <pt idx="1262">
                  <v>18.4703</v>
                </pt>
                <pt idx="1263">
                  <v>18.3984</v>
                </pt>
                <pt idx="1264">
                  <v>19.0221</v>
                </pt>
                <pt idx="1265">
                  <v>19.3234</v>
                </pt>
                <pt idx="1266">
                  <v>19.3896</v>
                </pt>
                <pt idx="1267">
                  <v>19.2025</v>
                </pt>
                <pt idx="1268">
                  <v>20.0162</v>
                </pt>
                <pt idx="1269">
                  <v>19.8828</v>
                </pt>
                <pt idx="1270">
                  <v>19.7235</v>
                </pt>
                <pt idx="1271">
                  <v>19.9509</v>
                </pt>
                <pt idx="1272">
                  <v>20.0162</v>
                </pt>
                <pt idx="1273">
                  <v>17.8831</v>
                </pt>
                <pt idx="1274">
                  <v>18.4502</v>
                </pt>
                <pt idx="1275">
                  <v>18.5989</v>
                </pt>
                <pt idx="1276">
                  <v>19.2303</v>
                </pt>
                <pt idx="1278">
                  <v>18.9895</v>
                </pt>
                <pt idx="1279">
                  <v>19.1132</v>
                </pt>
                <pt idx="1280">
                  <v>18.6335</v>
                </pt>
                <pt idx="1281">
                  <v>17.0675</v>
                </pt>
                <pt idx="1282">
                  <v>16.9485</v>
                </pt>
                <pt idx="1283">
                  <v>16.8257</v>
                </pt>
                <pt idx="1284">
                  <v>16.9658</v>
                </pt>
                <pt idx="1285">
                  <v>16.6453</v>
                </pt>
                <pt idx="1286">
                  <v>16.7077</v>
                </pt>
                <pt idx="1287">
                  <v>16.9955</v>
                </pt>
                <pt idx="1288">
                  <v>16.9207</v>
                </pt>
                <pt idx="1289">
                  <v>17.4772</v>
                </pt>
                <pt idx="1290">
                  <v>16.6683</v>
                </pt>
                <pt idx="1291">
                  <v>16.628</v>
                </pt>
                <pt idx="1292">
                  <v>16.6002</v>
                </pt>
                <pt idx="1293">
                  <v>16.9629</v>
                </pt>
                <pt idx="1294">
                  <v>16.8516</v>
                </pt>
                <pt idx="1295">
                  <v>16.7048</v>
                </pt>
                <pt idx="1296">
                  <v>16.6578</v>
                </pt>
                <pt idx="1297">
                  <v>17.0761</v>
                </pt>
                <pt idx="1298">
                  <v>16.5599</v>
                </pt>
                <pt idx="1299">
                  <v>16.7268</v>
                </pt>
                <pt idx="1300">
                  <v>16.3133</v>
                </pt>
                <pt idx="1301">
                  <v>16.7316</v>
                </pt>
                <pt idx="1302">
                  <v>16.7288</v>
                </pt>
                <pt idx="1303">
                  <v>17.0588</v>
                </pt>
                <pt idx="1304">
                  <v>16.912</v>
                </pt>
                <pt idx="1305">
                  <v>17.055</v>
                </pt>
                <pt idx="1306">
                  <v>17.2853</v>
                </pt>
                <pt idx="1307">
                  <v>16.9427</v>
                </pt>
                <pt idx="1308">
                  <v>17.1855</v>
                </pt>
                <pt idx="1309">
                  <v>17.2412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77549327"/>
        <axId val="1577548367"/>
      </lineChart>
      <dateAx>
        <axId val="1577549327"/>
        <scaling>
          <orientation val="minMax"/>
        </scaling>
        <delete val="0"/>
        <axPos val="b"/>
        <numFmt formatCode="[$-409]mmm\-yy;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577548367"/>
        <crosses val="autoZero"/>
        <lblOffset val="100"/>
        <baseTimeUnit val="days"/>
        <majorUnit val="8"/>
        <majorTimeUnit val="months"/>
      </dateAx>
      <valAx>
        <axId val="1577548367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577549327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 algn="ctr" rtl="0">
              <a:defRPr lang="en-US" sz="15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rPr>
              <a:t xml:space="preserve">India's Refining Capacity </a:t>
            </a:r>
            <a:r>
              <a:rPr lang="en-US" sz="15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rPr>
              <a:t>Trajectory (MMTPA)</a:t>
            </a:r>
            <a:br>
              <a:rPr lang="en-US" sz="15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rPr>
            </a:b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algn="ctr" rtl="0">
            <a:defRPr lang="en-US" sz="1500" b="1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'Graphical Representation'!$R$234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'Graphical Representation'!$Q$235:$Q$242</f>
              <strCache>
                <ptCount val="8"/>
                <pt idx="0">
                  <v>FY20</v>
                </pt>
                <pt idx="1">
                  <v>FY21</v>
                </pt>
                <pt idx="2">
                  <v>FY22</v>
                </pt>
                <pt idx="3">
                  <v>FY23</v>
                </pt>
                <pt idx="4">
                  <v>FY24</v>
                </pt>
                <pt idx="5">
                  <v>FY25</v>
                </pt>
                <pt idx="6">
                  <v>FY30</v>
                </pt>
                <pt idx="7">
                  <v>FY47 (Viksit Bharat)</v>
                </pt>
              </strCache>
            </strRef>
          </cat>
          <val>
            <numRef>
              <f>'Graphical Representation'!$R$235:$R$242</f>
            </numRef>
          </val>
          <smooth val="0"/>
        </ser>
        <ser>
          <idx val="1"/>
          <order val="1"/>
          <tx>
            <strRef>
              <f>'Graphical Representation'!$S$234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'Graphical Representation'!$Q$235:$Q$242</f>
              <strCache>
                <ptCount val="8"/>
                <pt idx="0">
                  <v>FY20</v>
                </pt>
                <pt idx="1">
                  <v>FY21</v>
                </pt>
                <pt idx="2">
                  <v>FY22</v>
                </pt>
                <pt idx="3">
                  <v>FY23</v>
                </pt>
                <pt idx="4">
                  <v>FY24</v>
                </pt>
                <pt idx="5">
                  <v>FY25</v>
                </pt>
                <pt idx="6">
                  <v>FY30</v>
                </pt>
                <pt idx="7">
                  <v>FY47 (Viksit Bharat)</v>
                </pt>
              </strCache>
            </strRef>
          </cat>
          <val>
            <numRef>
              <f>'Graphical Representation'!$S$235:$S$242</f>
            </numRef>
          </val>
          <smooth val="0"/>
        </ser>
        <ser>
          <idx val="2"/>
          <order val="2"/>
          <tx>
            <strRef>
              <f>'Graphical Representation'!$T$234</f>
              <strCache>
                <ptCount val="1"/>
                <pt idx="0">
                  <v>Actuals</v>
                </pt>
              </strCache>
            </strRef>
          </tx>
          <spPr>
            <a:ln xmlns:a="http://schemas.openxmlformats.org/drawingml/2006/main" w="25400" cap="rnd">
              <a:solidFill>
                <a:srgbClr val="1F4E79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1F4E79"/>
              </a:solidFill>
              <a:ln xmlns:a="http://schemas.openxmlformats.org/drawingml/2006/main" w="9525">
                <a:solidFill>
                  <a:srgbClr val="1F4E79"/>
                </a:solidFill>
                <a:prstDash val="solid"/>
              </a:ln>
            </spPr>
          </marker>
          <dLbls>
            <dLbl>
              <idx val="5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numFmt formatCode="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'Graphical Representation'!$Q$235:$Q$242</f>
              <strCache>
                <ptCount val="8"/>
                <pt idx="0">
                  <v>FY20</v>
                </pt>
                <pt idx="1">
                  <v>FY21</v>
                </pt>
                <pt idx="2">
                  <v>FY22</v>
                </pt>
                <pt idx="3">
                  <v>FY23</v>
                </pt>
                <pt idx="4">
                  <v>FY24</v>
                </pt>
                <pt idx="5">
                  <v>FY25</v>
                </pt>
                <pt idx="6">
                  <v>FY30</v>
                </pt>
                <pt idx="7">
                  <v>FY47 (Viksit Bharat)</v>
                </pt>
              </strCache>
            </strRef>
          </cat>
          <val>
            <numRef>
              <f>'Graphical Representation'!$T$235:$T$242</f>
              <numCache>
                <formatCode>0.00</formatCode>
                <ptCount val="8"/>
                <pt idx="0">
                  <v>249.866</v>
                </pt>
                <pt idx="1">
                  <v>248.866</v>
                </pt>
                <pt idx="2">
                  <v>251.216</v>
                </pt>
                <pt idx="3">
                  <v>253.916</v>
                </pt>
                <pt idx="4">
                  <v>256.8</v>
                </pt>
                <pt idx="5">
                  <v>258.116</v>
                </pt>
              </numCache>
            </numRef>
          </val>
          <smooth val="0"/>
        </ser>
        <ser>
          <idx val="3"/>
          <order val="3"/>
          <tx>
            <strRef>
              <f>'Graphical Representation'!$U$234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'Graphical Representation'!$Q$235:$Q$242</f>
              <strCache>
                <ptCount val="8"/>
                <pt idx="0">
                  <v>FY20</v>
                </pt>
                <pt idx="1">
                  <v>FY21</v>
                </pt>
                <pt idx="2">
                  <v>FY22</v>
                </pt>
                <pt idx="3">
                  <v>FY23</v>
                </pt>
                <pt idx="4">
                  <v>FY24</v>
                </pt>
                <pt idx="5">
                  <v>FY25</v>
                </pt>
                <pt idx="6">
                  <v>FY30</v>
                </pt>
                <pt idx="7">
                  <v>FY47 (Viksit Bharat)</v>
                </pt>
              </strCache>
            </strRef>
          </cat>
          <val>
            <numRef>
              <f>'Graphical Representation'!$U$235:$U$242</f>
            </numRef>
          </val>
          <smooth val="0"/>
        </ser>
        <ser>
          <idx val="4"/>
          <order val="4"/>
          <tx>
            <strRef>
              <f>'Graphical Representation'!$V$234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'Graphical Representation'!$Q$235:$Q$242</f>
              <strCache>
                <ptCount val="8"/>
                <pt idx="0">
                  <v>FY20</v>
                </pt>
                <pt idx="1">
                  <v>FY21</v>
                </pt>
                <pt idx="2">
                  <v>FY22</v>
                </pt>
                <pt idx="3">
                  <v>FY23</v>
                </pt>
                <pt idx="4">
                  <v>FY24</v>
                </pt>
                <pt idx="5">
                  <v>FY25</v>
                </pt>
                <pt idx="6">
                  <v>FY30</v>
                </pt>
                <pt idx="7">
                  <v>FY47 (Viksit Bharat)</v>
                </pt>
              </strCache>
            </strRef>
          </cat>
          <val>
            <numRef>
              <f>'Graphical Representation'!$V$235:$V$242</f>
            </numRef>
          </val>
          <smooth val="0"/>
        </ser>
        <ser>
          <idx val="5"/>
          <order val="5"/>
          <tx>
            <strRef>
              <f>'Graphical Representation'!$W$234</f>
              <strCache>
                <ptCount val="1"/>
                <pt idx="0">
                  <v>Projected</v>
                </pt>
              </strCache>
            </strRef>
          </tx>
          <spPr>
            <a:ln xmlns:a="http://schemas.openxmlformats.org/drawingml/2006/main" w="28575" cap="rnd">
              <a:solidFill>
                <a:srgbClr val="C55A11"/>
              </a:solidFill>
              <a:prstDash val="dash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C55A11"/>
              </a:solidFill>
              <a:ln xmlns:a="http://schemas.openxmlformats.org/drawingml/2006/main" w="9525">
                <a:solidFill>
                  <a:srgbClr val="C55A11"/>
                </a:solidFill>
                <a:prstDash val="solid"/>
              </a:ln>
            </spPr>
          </marker>
          <dLbls>
            <dLbl>
              <idx val="5"/>
            </dLbl>
            <numFmt formatCode="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'Graphical Representation'!$Q$235:$Q$242</f>
              <strCache>
                <ptCount val="8"/>
                <pt idx="0">
                  <v>FY20</v>
                </pt>
                <pt idx="1">
                  <v>FY21</v>
                </pt>
                <pt idx="2">
                  <v>FY22</v>
                </pt>
                <pt idx="3">
                  <v>FY23</v>
                </pt>
                <pt idx="4">
                  <v>FY24</v>
                </pt>
                <pt idx="5">
                  <v>FY25</v>
                </pt>
                <pt idx="6">
                  <v>FY30</v>
                </pt>
                <pt idx="7">
                  <v>FY47 (Viksit Bharat)</v>
                </pt>
              </strCache>
            </strRef>
          </cat>
          <val>
            <numRef>
              <f>'Graphical Representation'!$W$235:$W$242</f>
              <numCache>
                <formatCode>0.00</formatCode>
                <ptCount val="8"/>
                <pt idx="5">
                  <v>258.116</v>
                </pt>
                <pt idx="6">
                  <v>309.5</v>
                </pt>
                <pt idx="7">
                  <v>450</v>
                </pt>
              </numCache>
            </numRef>
          </val>
          <smooth val="0"/>
        </ser>
        <dLbls>
          <dLblPos val="t"/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792106528"/>
        <axId val="1569557903"/>
      </lineChart>
      <catAx>
        <axId val="7921065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569557903"/>
        <crosses val="autoZero"/>
        <auto val="1"/>
        <lblAlgn val="ctr"/>
        <lblOffset val="100"/>
        <noMultiLvlLbl val="0"/>
      </catAx>
      <valAx>
        <axId val="1569557903"/>
        <scaling>
          <orientation val="minMax"/>
          <min val="200"/>
        </scaling>
        <delete val="0"/>
        <axPos val="l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MMTPA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7921065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 algn="ctr" rtl="0">
              <a:defRPr lang="en-US" sz="15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rPr>
              <a:t>DCF Scenario Analysis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algn="ctr" rtl="0">
            <a:defRPr lang="en-US" sz="1500" b="1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'Graphical Representation'!$T$227</f>
              <strCache>
                <ptCount val="1"/>
                <pt idx="0">
                  <v>DCF per share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solidFill>
                  <a:srgbClr val="1F4E79"/>
                </a:solidFill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rgbClr val="BF8F00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rgbClr val="375623"/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en-US" sz="1200" b="1" i="0" strike="noStrike" kern="1200" spc="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'Graphical Representation'!$Q$228:$Q$230</f>
              <strCache>
                <ptCount val="3"/>
                <pt idx="0">
                  <v>Conservative</v>
                </pt>
                <pt idx="1">
                  <v>Base Case</v>
                </pt>
                <pt idx="2">
                  <v>Aggressive</v>
                </pt>
              </strCache>
            </strRef>
          </cat>
          <val>
            <numRef>
              <f>'Graphical Representation'!$T$228:$T$230</f>
              <numCache>
                <formatCode>0.00</formatCode>
                <ptCount val="3"/>
                <pt idx="0">
                  <v>1317.715288016287</v>
                </pt>
                <pt idx="1">
                  <v>1468.674480375586</v>
                </pt>
                <pt idx="2">
                  <v>1667.277054022404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64"/>
        <axId val="810382575"/>
        <axId val="810381135"/>
      </barChart>
      <lineChart>
        <grouping val="standard"/>
        <varyColors val="0"/>
        <ser>
          <idx val="1"/>
          <order val="1"/>
          <tx>
            <v>CMP</v>
          </tx>
          <spPr>
            <a:ln xmlns:a="http://schemas.openxmlformats.org/drawingml/2006/main" w="28575" cap="rnd">
              <a:solidFill>
                <a:srgbClr val="C00000"/>
              </a:solidFill>
              <a:prstDash val="dash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Lit>
              <formatCode>General</formatCode>
              <ptCount val="3"/>
              <pt idx="0">
                <v>1911</v>
              </pt>
              <pt idx="1">
                <v>1911</v>
              </pt>
              <pt idx="2">
                <v>1911</v>
              </pt>
            </numLit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10382575"/>
        <axId val="810381135"/>
      </lineChart>
      <catAx>
        <axId val="8103825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11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810381135"/>
        <crosses val="autoZero"/>
        <auto val="1"/>
        <lblAlgn val="ctr"/>
        <lblOffset val="100"/>
        <noMultiLvlLbl val="0"/>
      </catAx>
      <valAx>
        <axId val="810381135"/>
        <scaling>
          <orientation val="minMax"/>
          <min val="1200"/>
        </scaling>
        <delete val="0"/>
        <axPos val="l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en-US" sz="1100" b="1" i="0" strike="noStrike" kern="1200" spc="0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 xml:space="preserve"> ₹  Per Share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lang="en-US" sz="1100" b="1" i="0" strike="noStrike" kern="1200" spc="0" baseline="0">
                  <a:solidFill>
                    <a:sysClr val="windowText" lastClr="000000">
                      <a:lumOff val="35000"/>
                      <a:lumMod val="65000"/>
                    </a:sys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11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810382575"/>
        <crosses val="autoZero"/>
        <crossBetween val="between"/>
        <majorUnit val="200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 algn="ctr" rtl="0">
              <a:defRPr lang="en-US" sz="15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rPr>
              <a:t>FY26 Revenue Comparision (₹' Cr)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algn="ctr" rtl="0">
            <a:defRPr lang="en-US" sz="1500" b="1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'Graphical Representation'!$N$256</f>
              <strCache>
                <ptCount val="1"/>
                <pt idx="0">
                  <v>Values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solidFill>
                  <a:srgbClr val="1F4E79"/>
                </a:solidFill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rgbClr val="BF8F00"/>
              </a:solidFill>
              <a:ln xmlns:a="http://schemas.openxmlformats.org/drawingml/2006/main">
                <a:solidFill>
                  <a:srgbClr val="BF8F00"/>
                </a:solidFill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dPt>
          <dLbls>
            <numFmt formatCode="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'Graphical Representation'!$K$257:$K$259</f>
              <strCache>
                <ptCount val="3"/>
                <pt idx="0">
                  <v>Estimate</v>
                </pt>
                <pt idx="1">
                  <v>Consensus</v>
                </pt>
                <pt idx="2">
                  <v>Actual</v>
                </pt>
              </strCache>
            </strRef>
          </cat>
          <val>
            <numRef>
              <f>'Graphical Representation'!$N$257:$N$259</f>
              <numCache>
                <formatCode>_(* #,##0.00_);_(* \(#,##0.00\);_(* "-"??_);_(@_)</formatCode>
                <ptCount val="3"/>
                <pt idx="0">
                  <v>847.9313908667922</v>
                </pt>
                <pt idx="1">
                  <v>858.3333</v>
                </pt>
                <pt idx="2">
                  <v>822.2877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80"/>
        <overlap val="-27"/>
        <axId val="214426176"/>
        <axId val="214428576"/>
      </barChart>
      <catAx>
        <axId val="2144261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14428576"/>
        <crosses val="autoZero"/>
        <auto val="1"/>
        <lblAlgn val="ctr"/>
        <lblOffset val="100"/>
        <noMultiLvlLbl val="0"/>
      </catAx>
      <valAx>
        <axId val="214428576"/>
        <scaling>
          <orientation val="minMax"/>
        </scaling>
        <delete val="0"/>
        <axPos val="l"/>
        <numFmt formatCode="_(* #,##0_);_(* \(#,##0\);_(* &quot;-&quot;_);_(@_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1442617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DCF Value per Share (1,000 trials)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Frequency</v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'Monte-Carlo'!$H$23:$H$34</f>
              <numCache>
                <formatCode>#,##0</formatCode>
                <ptCount val="12"/>
                <pt idx="0">
                  <v>1004.779831807257</v>
                </pt>
                <pt idx="1">
                  <v>1198.489824244067</v>
                </pt>
                <pt idx="2">
                  <v>1392.199816680877</v>
                </pt>
                <pt idx="3">
                  <v>1585.909809117687</v>
                </pt>
                <pt idx="4">
                  <v>1779.619801554497</v>
                </pt>
                <pt idx="5">
                  <v>1973.329793991307</v>
                </pt>
                <pt idx="6">
                  <v>2167.039786428117</v>
                </pt>
                <pt idx="7">
                  <v>2360.749778864927</v>
                </pt>
                <pt idx="8">
                  <v>2554.459771301737</v>
                </pt>
                <pt idx="9">
                  <v>2748.169763738547</v>
                </pt>
                <pt idx="10">
                  <v>2941.879756175357</v>
                </pt>
                <pt idx="11">
                  <v>3135.589748612167</v>
                </pt>
              </numCache>
            </numRef>
          </cat>
          <val>
            <numRef>
              <f>'Monte-Carlo'!$I$23:$I$34</f>
              <numCache>
                <formatCode>General</formatCode>
                <ptCount val="12"/>
                <pt idx="0">
                  <formatCode>#,##0</formatCode>
                  <v>17</v>
                </pt>
                <pt idx="1">
                  <v>129</v>
                </pt>
                <pt idx="2">
                  <v>246</v>
                </pt>
                <pt idx="3">
                  <v>243</v>
                </pt>
                <pt idx="4">
                  <v>186</v>
                </pt>
                <pt idx="5">
                  <v>99</v>
                </pt>
                <pt idx="6">
                  <v>43</v>
                </pt>
                <pt idx="7">
                  <v>19</v>
                </pt>
                <pt idx="8">
                  <v>10</v>
                </pt>
                <pt idx="9">
                  <v>5</v>
                </pt>
                <pt idx="10">
                  <v>2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"/>
        <overlap val="-27"/>
        <axId val="78752015"/>
        <axId val="78746255"/>
      </barChart>
      <catAx>
        <axId val="78752015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 per Share (₹)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78746255"/>
        <crosses val="autoZero"/>
        <auto val="1"/>
        <lblAlgn val="ctr"/>
        <lblOffset val="100"/>
        <noMultiLvlLbl val="0"/>
      </catAx>
      <valAx>
        <axId val="7874625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Frequency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78752015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Niranjan Desai</author>
  </authors>
  <commentList>
    <comment ref="C48" authorId="0" shapeId="0">
      <text>
        <t xml:space="preserve">Niranjan Desai:
There was a stock split on FY2025, it is backdated to make model comparable
</t>
      </text>
    </comment>
    <comment ref="O48" authorId="0" shapeId="0">
      <text>
        <t xml:space="preserve">Niranjan Desai:
Stock Split
</t>
      </text>
    </comment>
    <comment ref="O53" authorId="0" shapeId="0">
      <text>
        <t xml:space="preserve">Niranjan Desai:
Final Div= 15
Special Div= 5 (excluded)
</t>
      </text>
    </comment>
  </commentList>
</comments>
</file>

<file path=xl/comments/comment2.xml><?xml version="1.0" encoding="utf-8"?>
<comments xmlns="http://schemas.openxmlformats.org/spreadsheetml/2006/main">
  <authors>
    <author>Niranjan Desai</author>
  </authors>
  <commentList>
    <comment ref="V14" authorId="0" shapeId="0">
      <text>
        <t>Niranjan Desai:
3 Cr added for Houston office. Guidance: Q3FY26-CC</t>
      </text>
    </comment>
    <comment ref="U36" authorId="0" shapeId="0">
      <text>
        <t>Niranjan Desai:
Phase-2 Kheda moves to PPE</t>
      </text>
    </comment>
    <comment ref="V40" authorId="0" shapeId="0">
      <text>
        <t>Niranjan Desai:
Houston office Lease 3 Cr: Guidance: Q3 FY26-CC</t>
      </text>
    </comment>
  </commentList>
</comments>
</file>

<file path=xl/comments/comment3.xml><?xml version="1.0" encoding="utf-8"?>
<comments xmlns="http://schemas.openxmlformats.org/spreadsheetml/2006/main">
  <authors>
    <author>Niranjan Desai</author>
  </authors>
  <commentList>
    <comment ref="Q14" authorId="0" shapeId="0">
      <text>
        <t xml:space="preserve">Niranjan Desai
Only Standalone figures were available
</t>
      </text>
    </comment>
    <comment ref="L26" authorId="0" shapeId="0">
      <text>
        <t>Niranjan Desai:
Bifurcation of vessels and reactors was not available. Hence, bifurcated in same proportion as last year</t>
      </text>
    </comment>
    <comment ref="Q26" authorId="0" shapeId="0">
      <text>
        <t>Niranjan Desai:
Only Standalone figures were available</t>
      </text>
    </comment>
    <comment ref="L29" authorId="0" shapeId="0">
      <text>
        <t>Niranjan Desai:
Bifurcation of vessels and reactors was not available. Hence, bifurcated in same proportion as last year</t>
      </text>
    </comment>
    <comment ref="L33" authorId="0" shapeId="0">
      <text>
        <t>Niranjan Desai:
Bifurcation of vessels and reactors was not available. Hence, bifurcated in same proportion as last year</t>
      </text>
    </comment>
    <comment ref="L38" authorId="0" shapeId="0">
      <text>
        <t>Niranjan Desai:
Bifurcation of vessels and reactors was not available. Hence, bifurcated in same proportion as last year</t>
      </text>
    </comment>
    <comment ref="Q38" authorId="0" shapeId="0">
      <text>
        <t>Niranjan Desai:
Only Standalone figures were available</t>
      </text>
    </comment>
    <comment ref="L41" authorId="0" shapeId="0">
      <text>
        <t>Niranjan Desai:
Bifurcation of vessels and reactors was not available. Hence, bifurcated in same proportion as last year</t>
      </text>
    </comment>
    <comment ref="L45" authorId="0" shapeId="0">
      <text>
        <t>Niranjan Desai:
Bifurcation of vessels and reactors was not available. Hence, bifurcated in same proportion as last year</t>
      </text>
    </comment>
    <comment ref="L57" authorId="0" shapeId="0">
      <text>
        <t>Niranjan Desai:
Bifurcation of vessels and reactors was not available. Hence, bifurcated in same proportion as last year</t>
      </text>
    </comment>
    <comment ref="Q62" authorId="0" shapeId="0">
      <text>
        <t>Niranjan Desai:
Only Standalone figures were available</t>
      </text>
    </comment>
    <comment ref="B88" authorId="0" shapeId="0">
      <text>
        <t xml:space="preserve">Niranjan Desai:
Anup does not disclose regional split. Estimates from mgmt commentary
</t>
      </text>
    </comment>
    <comment ref="E118" authorId="0" shapeId="0">
      <text>
        <t>Niranjan Desai:
Temporary flat tariff rate of 10% as per US Supreme court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3.xml" Id="rId1"/></Relationships>
</file>

<file path=xl/drawings/drawing1.xml><?xml version="1.0" encoding="utf-8"?>
<wsDr xmlns="http://schemas.openxmlformats.org/drawingml/2006/spreadsheetDrawing">
  <twoCellAnchor>
    <from>
      <col>1</col>
      <colOff>8842</colOff>
      <row>5</row>
      <rowOff>163510</rowOff>
    </from>
    <to>
      <col>16</col>
      <colOff>506524</colOff>
      <row>23</row>
      <rowOff>19238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16</col>
      <colOff>599271</colOff>
      <row>5</row>
      <rowOff>158069</rowOff>
    </from>
    <to>
      <col>37</col>
      <colOff>472271</colOff>
      <row>23</row>
      <rowOff>10622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20561</colOff>
      <row>40</row>
      <rowOff>144951</rowOff>
    </from>
    <to>
      <col>16</col>
      <colOff>493183</colOff>
      <row>58</row>
      <rowOff>58737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37</col>
      <colOff>561633</colOff>
      <row>40</row>
      <rowOff>166120</rowOff>
    </from>
    <to>
      <col>46</col>
      <colOff>543490</colOff>
      <row>58</row>
      <rowOff>79906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1</col>
      <colOff>2418</colOff>
      <row>58</row>
      <rowOff>117022</rowOff>
    </from>
    <to>
      <col>16</col>
      <colOff>475040</colOff>
      <row>76</row>
      <rowOff>21055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17</col>
      <colOff>338</colOff>
      <row>40</row>
      <rowOff>159883</rowOff>
    </from>
    <to>
      <col>37</col>
      <colOff>433385</colOff>
      <row>58</row>
      <rowOff>73669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37</col>
      <colOff>571500</colOff>
      <row>6</row>
      <rowOff>23812</rowOff>
    </from>
    <to>
      <col>46</col>
      <colOff>592931</colOff>
      <row>23</row>
      <rowOff>43052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16</col>
      <colOff>588509</colOff>
      <row>58</row>
      <rowOff>130969</rowOff>
    </from>
    <to>
      <col>37</col>
      <colOff>414337</colOff>
      <row>76</row>
      <rowOff>41352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37</col>
      <colOff>561635</colOff>
      <row>58</row>
      <rowOff>148203</rowOff>
    </from>
    <to>
      <col>46</col>
      <colOff>543492</colOff>
      <row>76</row>
      <rowOff>61988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>
    <from>
      <col>0</col>
      <colOff>155688</colOff>
      <row>76</row>
      <rowOff>91054</rowOff>
    </from>
    <to>
      <col>16</col>
      <colOff>461622</colOff>
      <row>94</row>
      <rowOff>4839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  <twoCellAnchor>
    <from>
      <col>37</col>
      <colOff>571500</colOff>
      <row>23</row>
      <rowOff>107156</rowOff>
    </from>
    <to>
      <col>46</col>
      <colOff>592931</colOff>
      <row>40</row>
      <rowOff>126397</rowOff>
    </to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twoCellAnchor>
  <twoCellAnchor>
    <from>
      <col>16</col>
      <colOff>577735</colOff>
      <row>76</row>
      <rowOff>100011</rowOff>
    </from>
    <to>
      <col>37</col>
      <colOff>408666</colOff>
      <row>94</row>
      <rowOff>13796</rowOff>
    </to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twoCellAnchor>
  <twoCellAnchor>
    <from>
      <col>37</col>
      <colOff>572066</colOff>
      <row>76</row>
      <rowOff>112485</rowOff>
    </from>
    <to>
      <col>46</col>
      <colOff>552675</colOff>
      <row>94</row>
      <rowOff>26270</rowOff>
    </to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twoCellAnchor>
  <twoCellAnchor>
    <from>
      <col>0</col>
      <colOff>128022</colOff>
      <row>94</row>
      <rowOff>51595</rowOff>
    </from>
    <to>
      <col>16</col>
      <colOff>443481</colOff>
      <row>111</row>
      <rowOff>138417</rowOff>
    </to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twoCellAnchor>
  <twoCellAnchor>
    <from>
      <col>16</col>
      <colOff>559594</colOff>
      <row>94</row>
      <rowOff>64860</rowOff>
    </from>
    <to>
      <col>37</col>
      <colOff>390525</colOff>
      <row>111</row>
      <rowOff>145332</rowOff>
    </to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twoCellAnchor>
  <twoCellAnchor>
    <from>
      <col>0</col>
      <colOff>121707</colOff>
      <row>112</row>
      <rowOff>21430</rowOff>
    </from>
    <to>
      <col>16</col>
      <colOff>430136</colOff>
      <row>129</row>
      <rowOff>101902</rowOff>
    </to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twoCellAnchor>
  <twoCellAnchor>
    <from>
      <col>16</col>
      <colOff>559854</colOff>
      <row>112</row>
      <rowOff>33073</rowOff>
    </from>
    <to>
      <col>37</col>
      <colOff>382507</colOff>
      <row>129</row>
      <rowOff>113545</rowOff>
    </to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twoCellAnchor>
  <twoCellAnchor>
    <from>
      <col>37</col>
      <colOff>559594</colOff>
      <row>94</row>
      <rowOff>83343</rowOff>
    </from>
    <to>
      <col>46</col>
      <colOff>540203</colOff>
      <row>111</row>
      <rowOff>160414</rowOff>
    </to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twoCellAnchor>
  <twoCellAnchor>
    <from>
      <col>37</col>
      <colOff>571498</colOff>
      <row>112</row>
      <rowOff>42069</rowOff>
    </from>
    <to>
      <col>46</col>
      <colOff>547005</colOff>
      <row>129</row>
      <rowOff>122541</rowOff>
    </to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twoCellAnchor>
  <twoCellAnchor>
    <from>
      <col>0</col>
      <colOff>68263</colOff>
      <row>130</row>
      <rowOff>35719</rowOff>
    </from>
    <to>
      <col>16</col>
      <colOff>361610</colOff>
      <row>147</row>
      <rowOff>116191</rowOff>
    </to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twoCellAnchor>
  <twoCellAnchor>
    <from>
      <col>16</col>
      <colOff>562768</colOff>
      <row>130</row>
      <rowOff>68263</rowOff>
    </from>
    <to>
      <col>37</col>
      <colOff>392905</colOff>
      <row>147</row>
      <rowOff>119062</rowOff>
    </to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twoCellAnchor>
  <twoCellAnchor>
    <from>
      <col>37</col>
      <colOff>571500</colOff>
      <row>130</row>
      <rowOff>59530</rowOff>
    </from>
    <to>
      <col>46</col>
      <colOff>535781</colOff>
      <row>147</row>
      <rowOff>142873</rowOff>
    </to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7</col>
      <colOff>0</colOff>
      <row>36</row>
      <rowOff>0</rowOff>
    </from>
    <to>
      <col>17</col>
      <colOff>0</colOff>
      <row>57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mr.niranjandesai@gmail.com" TargetMode="External" Id="rId1"/><Relationship Type="http://schemas.openxmlformats.org/officeDocument/2006/relationships/hyperlink" Target="mailto:niranjan.desai553@nmims.in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https://ppac.gov.in/infrastructure/installed-refinery-capacity" TargetMode="External" Id="rId1"/><Relationship Type="http://schemas.openxmlformats.org/officeDocument/2006/relationships/drawing" Target="/xl/drawings/drawing1.xml" Id="rId2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rbi.org.in/Scripts/BS_NSDPDisplay.aspx?param=4" TargetMode="External" Id="rId1"/><Relationship Type="http://schemas.openxmlformats.org/officeDocument/2006/relationships/hyperlink" Target="https://pages.stern.nyu.edu/~adamodar/New_Home_Page/datafile/ctryprem.html" TargetMode="External" Id="rId2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rbi.org.in/scripts/referenceratearchive.aspx" TargetMode="External" Id="rId1"/><Relationship Type="http://schemas.openxmlformats.org/officeDocument/2006/relationships/hyperlink" Target="https://www.macrotrends.net/2480/brent-crude-oil-prices-10-year-daily-chart" TargetMode="External" Id="rId2"/><Relationship Type="http://schemas.openxmlformats.org/officeDocument/2006/relationships/hyperlink" Target="https://in.investing.com/commodities/ncdex-steel-futures" TargetMode="External" Id="rId3"/></Relationships>
</file>

<file path=xl/worksheets/sheet1.xml><?xml version="1.0" encoding="utf-8"?>
<worksheet xmlns="http://schemas.openxmlformats.org/spreadsheetml/2006/main">
  <sheetPr>
    <tabColor rgb="FF8E1C2F"/>
    <outlinePr summaryBelow="1" summaryRight="1"/>
    <pageSetUpPr/>
  </sheetPr>
  <dimension ref="A2:I41"/>
  <sheetViews>
    <sheetView showGridLines="0" tabSelected="1" zoomScale="80" zoomScaleNormal="80" workbookViewId="0">
      <selection activeCell="P12" sqref="P12"/>
    </sheetView>
  </sheetViews>
  <sheetFormatPr baseColWidth="8" defaultColWidth="10.5546875" defaultRowHeight="13.8"/>
  <cols>
    <col width="1.109375" customWidth="1" style="12" min="1" max="1"/>
    <col width="13.6640625" customWidth="1" style="12" min="2" max="9"/>
    <col width="1.109375" customWidth="1" style="12" min="10" max="12"/>
    <col width="10.5546875" customWidth="1" style="12" min="13" max="16384"/>
  </cols>
  <sheetData>
    <row r="1" ht="10.05" customHeight="1" s="343"/>
    <row r="2" ht="24" customHeight="1" s="343">
      <c r="B2" s="427" t="n"/>
      <c r="C2" s="429" t="n"/>
      <c r="D2" s="411" t="inlineStr">
        <is>
          <t>THE ANUP ENGINEERING LIMITED</t>
        </is>
      </c>
    </row>
    <row r="3" ht="24" customHeight="1" s="343">
      <c r="B3" s="428" t="n"/>
      <c r="C3" s="429" t="n"/>
    </row>
    <row r="4" ht="24" customHeight="1" s="343">
      <c r="B4" s="428" t="n"/>
      <c r="C4" s="429" t="n"/>
    </row>
    <row r="5" ht="24" customHeight="1" s="343">
      <c r="B5" s="428" t="n"/>
      <c r="C5" s="429" t="n"/>
    </row>
    <row r="6" ht="24" customHeight="1" s="343">
      <c r="B6" s="428" t="n"/>
      <c r="C6" s="429" t="n"/>
    </row>
    <row r="7" ht="16.05" customHeight="1" s="343">
      <c r="B7" s="430" t="inlineStr">
        <is>
          <t>Integrated Financial Model  •  Forecasts &amp; Equity Valuation</t>
        </is>
      </c>
    </row>
    <row r="8" ht="19.95" customHeight="1" s="343" thickBot="1">
      <c r="B8" s="431" t="n"/>
      <c r="C8" s="431" t="n"/>
      <c r="D8" s="431" t="n"/>
      <c r="E8" s="431" t="n"/>
      <c r="F8" s="431" t="n"/>
      <c r="G8" s="431" t="n"/>
      <c r="H8" s="431" t="n"/>
      <c r="I8" s="431" t="n"/>
    </row>
    <row r="9" ht="7.95" customHeight="1" s="343" thickTop="1"/>
    <row r="10" ht="22.05" customHeight="1" s="343" thickBot="1">
      <c r="B10" s="416" t="inlineStr">
        <is>
          <t>ABOUT THE COMPANY</t>
        </is>
      </c>
      <c r="C10" s="341" t="n"/>
      <c r="D10" s="341" t="n"/>
      <c r="E10" s="341" t="n"/>
      <c r="F10" s="341" t="n"/>
      <c r="G10" s="341" t="n"/>
      <c r="H10" s="341" t="n"/>
      <c r="I10" s="341" t="n"/>
    </row>
    <row r="11" ht="18" customHeight="1" s="343">
      <c r="B11" s="335" t="inlineStr">
        <is>
          <t>The Anup Engineering Limited, part of the Lalbhai Group, is an Indian heavy-engineering company specializing in the design and fabrication of critical process equipment — including heat exchangers, reactors, pressure vessels and other custom-built equipment — for the oil &amp; gas, refining, petrochemical, fertilizer and power sectors.</t>
        </is>
      </c>
    </row>
    <row r="12" ht="18" customHeight="1" s="343"/>
    <row r="13" ht="18" customHeight="1" s="343"/>
    <row r="14" ht="18" customHeight="1" s="343"/>
    <row r="15" ht="10.05" customHeight="1" s="343"/>
    <row r="16" ht="22.05" customHeight="1" s="343" thickBot="1">
      <c r="B16" s="416" t="inlineStr">
        <is>
          <t>TABLE OF CONTENTS</t>
        </is>
      </c>
      <c r="C16" s="341" t="n"/>
      <c r="D16" s="341" t="n"/>
      <c r="E16" s="341" t="n"/>
      <c r="F16" s="341" t="n"/>
      <c r="G16" s="341" t="n"/>
      <c r="H16" s="341" t="n"/>
      <c r="I16" s="341" t="n"/>
    </row>
    <row r="17" ht="22.05" customHeight="1" s="343">
      <c r="A17" s="421" t="n"/>
      <c r="B17" s="419" t="inlineStr">
        <is>
          <t>01   Income Statement</t>
        </is>
      </c>
      <c r="C17" s="432" t="n"/>
      <c r="D17" s="432" t="n"/>
      <c r="E17" s="422" t="n"/>
      <c r="F17" s="419" t="inlineStr">
        <is>
          <t>07   DCF Model</t>
        </is>
      </c>
      <c r="G17" s="432" t="n"/>
      <c r="H17" s="432" t="n"/>
    </row>
    <row r="18" ht="22.05" customHeight="1" s="343">
      <c r="A18" s="421" t="n"/>
      <c r="B18" s="420" t="inlineStr">
        <is>
          <t>02   Balance Sheet</t>
        </is>
      </c>
      <c r="E18" s="421" t="n"/>
      <c r="F18" s="420" t="inlineStr">
        <is>
          <t>08   Peer Comparison</t>
        </is>
      </c>
    </row>
    <row r="19" ht="22.05" customHeight="1" s="343">
      <c r="A19" s="421" t="n"/>
      <c r="B19" s="420" t="inlineStr">
        <is>
          <t>03   Cash Flow Statement</t>
        </is>
      </c>
      <c r="E19" s="421" t="n"/>
      <c r="F19" s="420" t="inlineStr">
        <is>
          <t>09   Peer Data</t>
        </is>
      </c>
    </row>
    <row r="20" ht="22.05" customHeight="1" s="343">
      <c r="A20" s="421" t="n"/>
      <c r="B20" s="420" t="inlineStr">
        <is>
          <t>04   Revenue Segments</t>
        </is>
      </c>
      <c r="E20" s="421" t="n"/>
      <c r="F20" s="420" t="inlineStr">
        <is>
          <t>10   Beta</t>
        </is>
      </c>
    </row>
    <row r="21" ht="22.05" customHeight="1" s="343">
      <c r="A21" s="421" t="n"/>
      <c r="B21" s="420" t="inlineStr">
        <is>
          <t>05   Graphical Representation</t>
        </is>
      </c>
      <c r="E21" s="421" t="n"/>
      <c r="F21" s="420" t="inlineStr">
        <is>
          <t>11   Risk Data</t>
        </is>
      </c>
    </row>
    <row r="22" ht="22.05" customHeight="1" s="343">
      <c r="A22" s="421" t="n"/>
      <c r="B22" s="420" t="inlineStr">
        <is>
          <t>06   Estimate Sheet</t>
        </is>
      </c>
      <c r="E22" s="421" t="n"/>
      <c r="F22" s="420" t="inlineStr">
        <is>
          <t>12   Guidance</t>
        </is>
      </c>
    </row>
    <row r="23" ht="10.05" customHeight="1" s="343"/>
    <row r="24" ht="19.95" customHeight="1" s="343" thickBot="1">
      <c r="B24" s="417" t="inlineStr">
        <is>
          <t>COLOR KEY</t>
        </is>
      </c>
      <c r="C24" s="341" t="n"/>
      <c r="D24" s="341" t="n"/>
      <c r="E24" s="341" t="n"/>
    </row>
    <row r="25" ht="18" customHeight="1" s="343">
      <c r="B25" s="342" t="n"/>
      <c r="C25" s="339" t="inlineStr">
        <is>
          <t>Hardcoded data / Actuals</t>
        </is>
      </c>
    </row>
    <row r="26" ht="18" customHeight="1" s="343">
      <c r="B26" s="337" t="n"/>
      <c r="C26" s="339" t="inlineStr">
        <is>
          <t>Formula / Cell links</t>
        </is>
      </c>
    </row>
    <row r="27" ht="18" customHeight="1" s="343">
      <c r="B27" s="338" t="n"/>
      <c r="C27" s="339" t="inlineStr">
        <is>
          <t>Assumptions / Drivers</t>
        </is>
      </c>
    </row>
    <row r="28" ht="7.95" customHeight="1" s="343"/>
    <row r="29" ht="19.95" customHeight="1" s="343" thickBot="1">
      <c r="B29" s="417" t="inlineStr">
        <is>
          <t>AUTHOR &amp; MODEL INFORMATION</t>
        </is>
      </c>
      <c r="C29" s="341" t="n"/>
      <c r="D29" s="341" t="n"/>
      <c r="E29" s="341" t="n"/>
      <c r="F29" s="341" t="n"/>
      <c r="G29" s="341" t="n"/>
      <c r="H29" s="341" t="n"/>
      <c r="I29" s="341" t="n"/>
    </row>
    <row r="30" ht="16.05" customHeight="1" s="343">
      <c r="B30" s="425" t="inlineStr">
        <is>
          <t>Author</t>
        </is>
      </c>
      <c r="D30" s="340" t="inlineStr">
        <is>
          <t>Niranjan Desai</t>
        </is>
      </c>
    </row>
    <row r="31" ht="16.05" customHeight="1" s="343">
      <c r="B31" s="425" t="inlineStr">
        <is>
          <t>Date</t>
        </is>
      </c>
      <c r="D31" s="410" t="inlineStr">
        <is>
          <t xml:space="preserve">5 June 2026 </t>
        </is>
      </c>
    </row>
    <row r="32">
      <c r="B32" s="425" t="inlineStr">
        <is>
          <t>Purpose</t>
        </is>
      </c>
      <c r="D32" s="409" t="inlineStr">
        <is>
          <t>This forecasting financial model is prepared for academic and competition purposes.</t>
        </is>
      </c>
    </row>
    <row r="33" ht="15" customHeight="1" s="343">
      <c r="B33" s="424" t="inlineStr">
        <is>
          <t>Description</t>
        </is>
      </c>
      <c r="D33" s="409" t="inlineStr">
        <is>
          <t>This model comprises proprietary formulas, logical structures and analytical frameworks created by the author for The Anup Engineering Limited (standalone entity).</t>
        </is>
      </c>
    </row>
    <row r="34" ht="15" customHeight="1" s="343"/>
    <row r="35" ht="15" customHeight="1" s="343">
      <c r="B35" s="424" t="inlineStr">
        <is>
          <t>Acknowledgements</t>
        </is>
      </c>
      <c r="D35" s="409" t="inlineStr">
        <is>
          <t>Bloomberg (financial data); NMIMS (academic resources); and The Anup Engineering Limited annual reports &amp; investor presentations.</t>
        </is>
      </c>
    </row>
    <row r="36" ht="15" customHeight="1" s="343"/>
    <row r="37" ht="16.05" customHeight="1" s="343">
      <c r="B37" s="425" t="inlineStr">
        <is>
          <t>Contact</t>
        </is>
      </c>
      <c r="D37" s="339" t="inlineStr">
        <is>
          <t>+91 97699 87893</t>
        </is>
      </c>
    </row>
    <row r="38" ht="16.05" customHeight="1" s="343">
      <c r="B38" s="425" t="inlineStr">
        <is>
          <t>Email (Personal)</t>
        </is>
      </c>
      <c r="D38" s="426" t="inlineStr">
        <is>
          <t>mr.niranjandesai@gmail.com</t>
        </is>
      </c>
    </row>
    <row r="39" ht="16.05" customHeight="1" s="343">
      <c r="B39" s="425" t="inlineStr">
        <is>
          <t>Email (Academic)</t>
        </is>
      </c>
      <c r="D39" s="426" t="inlineStr">
        <is>
          <t>niranjan.desai553@nmims.in</t>
        </is>
      </c>
    </row>
    <row r="40" ht="7.95" customHeight="1" s="343"/>
    <row r="41" ht="25.95" customHeight="1" s="343">
      <c r="B41" s="336" t="inlineStr">
        <is>
          <t>All figures in INR Crores (₹ Cr) unless stated.  Disclaimer: This model is prepared for illustrative and educational purposes only and does not constitute investment advice or a recommendation to buy or sell any security.</t>
        </is>
      </c>
    </row>
  </sheetData>
  <mergeCells count="39">
    <mergeCell ref="F20:H20"/>
    <mergeCell ref="F18:H18"/>
    <mergeCell ref="D32:I32"/>
    <mergeCell ref="B16:I16"/>
    <mergeCell ref="D2:I6"/>
    <mergeCell ref="B17:D17"/>
    <mergeCell ref="B24:E24"/>
    <mergeCell ref="B31:C31"/>
    <mergeCell ref="F17:H17"/>
    <mergeCell ref="B39:C39"/>
    <mergeCell ref="B19:D19"/>
    <mergeCell ref="C27:E27"/>
    <mergeCell ref="F22:H22"/>
    <mergeCell ref="D35:I36"/>
    <mergeCell ref="B33:C34"/>
    <mergeCell ref="D37:I37"/>
    <mergeCell ref="D39:I39"/>
    <mergeCell ref="D30:I30"/>
    <mergeCell ref="B20:D20"/>
    <mergeCell ref="B38:C38"/>
    <mergeCell ref="D38:I38"/>
    <mergeCell ref="B29:I29"/>
    <mergeCell ref="B7:I8"/>
    <mergeCell ref="B37:C37"/>
    <mergeCell ref="B35:C36"/>
    <mergeCell ref="B10:I10"/>
    <mergeCell ref="B30:C30"/>
    <mergeCell ref="F19:H19"/>
    <mergeCell ref="B22:D22"/>
    <mergeCell ref="D31:I31"/>
    <mergeCell ref="D33:I34"/>
    <mergeCell ref="B11:I14"/>
    <mergeCell ref="C26:E26"/>
    <mergeCell ref="B32:C32"/>
    <mergeCell ref="B18:D18"/>
    <mergeCell ref="B21:D21"/>
    <mergeCell ref="B41:I41"/>
    <mergeCell ref="F21:H21"/>
    <mergeCell ref="C25:E25"/>
  </mergeCells>
  <hyperlinks>
    <hyperlink ref="B17" location="'Income Statement'!A1" display="01   Income Statement"/>
    <hyperlink ref="F17" location="'DCF Model'!A1" display="07   DCF Model"/>
    <hyperlink ref="B18" location="'Balance Sheet'!A1" display="02   Balance Sheet"/>
    <hyperlink ref="F18" location="'Peer Comps'!A1" display="08   Peer Comparison"/>
    <hyperlink ref="B19" location="'Cash Flows'!A1" display="03   Cash Flow Statement"/>
    <hyperlink ref="F19" location="'Peer Data'!A1" display="09   Peer Data"/>
    <hyperlink ref="B20" location="'Revenue Segments'!A1" display="04   Revenue Segments"/>
    <hyperlink ref="F20" location="Beta!A1" display="10   Beta"/>
    <hyperlink ref="B21" location="'Graphical Representation'!A1" display="05   Graphical Representation"/>
    <hyperlink ref="F21" location="'Risk Data'!A1" display="11   Risk Data"/>
    <hyperlink ref="B22" location="'Estimate Sheet'!A1" display="06   Estimate Sheet"/>
    <hyperlink ref="F22" location="Guidance!A1" display="12   Guidance"/>
    <hyperlink xmlns:r="http://schemas.openxmlformats.org/officeDocument/2006/relationships" ref="D38" r:id="rId1"/>
    <hyperlink xmlns:r="http://schemas.openxmlformats.org/officeDocument/2006/relationships" ref="D39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8E1C2F"/>
    <outlinePr summaryBelow="1" summaryRight="1"/>
    <pageSetUpPr/>
  </sheetPr>
  <dimension ref="A1:AJ77"/>
  <sheetViews>
    <sheetView zoomScale="80" zoomScaleNormal="80" workbookViewId="0">
      <pane xSplit="2" ySplit="5" topLeftCell="E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ColWidth="10.5546875" defaultRowHeight="13.8" outlineLevelRow="1"/>
  <cols>
    <col width="2.6640625" customWidth="1" style="433" min="1" max="1"/>
    <col width="55.6640625" customWidth="1" style="237" min="2" max="2"/>
    <col hidden="1" outlineLevel="1" width="10.6640625" customWidth="1" style="434" min="3" max="4"/>
    <col collapsed="1" width="10.6640625" customWidth="1" style="434" min="5" max="5"/>
    <col hidden="1" outlineLevel="1" width="10.6640625" customWidth="1" style="434" min="6" max="7"/>
    <col collapsed="1" width="10.6640625" customWidth="1" style="434" min="8" max="8"/>
    <col hidden="1" outlineLevel="1" width="10.6640625" customWidth="1" style="434" min="9" max="10"/>
    <col collapsed="1" width="10.6640625" customWidth="1" style="434" min="11" max="11"/>
    <col hidden="1" outlineLevel="1" width="10.6640625" customWidth="1" style="434" min="12" max="13"/>
    <col collapsed="1" width="10.6640625" customWidth="1" style="434" min="14" max="14"/>
    <col hidden="1" outlineLevel="1" width="10.6640625" customWidth="1" style="435" min="15" max="16"/>
    <col collapsed="1" width="10.6640625" customWidth="1" style="435" min="17" max="17"/>
    <col hidden="1" outlineLevel="1" width="10.6640625" customWidth="1" style="435" min="18" max="19"/>
    <col collapsed="1" width="10.6640625" customWidth="1" style="435" min="20" max="20"/>
    <col hidden="1" outlineLevel="1" width="10.6640625" customWidth="1" style="435" min="21" max="22"/>
    <col collapsed="1" width="10.6640625" customWidth="1" style="435" min="23" max="23"/>
    <col hidden="1" outlineLevel="1" width="10.6640625" customWidth="1" style="435" min="24" max="25"/>
    <col collapsed="1" width="10.6640625" customWidth="1" style="435" min="26" max="26"/>
    <col hidden="1" outlineLevel="1" width="10.6640625" customWidth="1" style="435" min="27" max="28"/>
    <col collapsed="1" width="10.6640625" customWidth="1" style="435" min="29" max="29"/>
    <col hidden="1" outlineLevel="1" width="10.6640625" customWidth="1" style="435" min="30" max="31"/>
    <col collapsed="1" width="10.6640625" customWidth="1" style="435" min="32" max="32"/>
    <col hidden="1" outlineLevel="1" width="10.6640625" customWidth="1" style="435" min="33" max="34"/>
    <col collapsed="1" width="10.6640625" customWidth="1" style="435" min="35" max="35"/>
    <col width="10.6640625" customWidth="1" style="435" min="36" max="61"/>
    <col width="10.5546875" customWidth="1" style="435" min="62" max="16384"/>
  </cols>
  <sheetData>
    <row r="1" ht="12.9" customHeight="1" s="343">
      <c r="A1" s="436" t="n"/>
      <c r="B1" s="436" t="inlineStr">
        <is>
          <t>Anup Engineering Limited</t>
        </is>
      </c>
      <c r="C1" s="436" t="n"/>
      <c r="D1" s="436" t="n"/>
      <c r="E1" s="436" t="n"/>
      <c r="F1" s="436" t="n"/>
      <c r="G1" s="436" t="n"/>
      <c r="H1" s="436" t="n"/>
      <c r="I1" s="436" t="n"/>
      <c r="J1" s="436" t="n"/>
      <c r="K1" s="436" t="n"/>
      <c r="L1" s="436" t="n"/>
      <c r="M1" s="436" t="n"/>
      <c r="N1" s="436" t="n"/>
      <c r="O1" s="436" t="n"/>
      <c r="P1" s="436" t="n"/>
      <c r="Q1" s="436" t="n"/>
      <c r="R1" s="436" t="n"/>
      <c r="S1" s="436" t="n"/>
    </row>
    <row r="2" ht="12.9" customHeight="1" s="343">
      <c r="A2" s="437" t="n"/>
      <c r="B2" s="12" t="inlineStr">
        <is>
          <t>Fiscal year ending 31st Mar, 2026</t>
        </is>
      </c>
      <c r="C2" s="383" t="inlineStr">
        <is>
          <t>H1</t>
        </is>
      </c>
      <c r="D2" s="383" t="inlineStr">
        <is>
          <t>H2</t>
        </is>
      </c>
      <c r="E2" s="383" t="inlineStr">
        <is>
          <t>FY</t>
        </is>
      </c>
      <c r="F2" s="383" t="inlineStr">
        <is>
          <t>H1</t>
        </is>
      </c>
      <c r="G2" s="383" t="inlineStr">
        <is>
          <t>H2</t>
        </is>
      </c>
      <c r="H2" s="383" t="inlineStr">
        <is>
          <t>FY</t>
        </is>
      </c>
      <c r="I2" s="383" t="inlineStr">
        <is>
          <t>H1</t>
        </is>
      </c>
      <c r="J2" s="383" t="inlineStr">
        <is>
          <t>H2</t>
        </is>
      </c>
      <c r="K2" s="383" t="inlineStr">
        <is>
          <t>FY</t>
        </is>
      </c>
      <c r="L2" s="383" t="inlineStr">
        <is>
          <t>H1</t>
        </is>
      </c>
      <c r="M2" s="383" t="inlineStr">
        <is>
          <t>H2</t>
        </is>
      </c>
      <c r="N2" s="383" t="inlineStr">
        <is>
          <t>FY</t>
        </is>
      </c>
      <c r="O2" s="383" t="inlineStr">
        <is>
          <t>H1</t>
        </is>
      </c>
      <c r="P2" s="383" t="inlineStr">
        <is>
          <t>H2</t>
        </is>
      </c>
      <c r="Q2" s="383" t="inlineStr">
        <is>
          <t>FY</t>
        </is>
      </c>
      <c r="R2" s="383" t="inlineStr">
        <is>
          <t>H1</t>
        </is>
      </c>
      <c r="S2" s="383" t="inlineStr">
        <is>
          <t>H2</t>
        </is>
      </c>
      <c r="T2" s="383" t="inlineStr">
        <is>
          <t>FY</t>
        </is>
      </c>
      <c r="U2" s="384" t="inlineStr">
        <is>
          <t>H1</t>
        </is>
      </c>
      <c r="V2" s="384" t="inlineStr">
        <is>
          <t>H2</t>
        </is>
      </c>
      <c r="W2" s="384" t="inlineStr">
        <is>
          <t>FY</t>
        </is>
      </c>
      <c r="X2" s="384" t="inlineStr">
        <is>
          <t>H1</t>
        </is>
      </c>
      <c r="Y2" s="384" t="inlineStr">
        <is>
          <t>H2</t>
        </is>
      </c>
      <c r="Z2" s="384" t="inlineStr">
        <is>
          <t>FY</t>
        </is>
      </c>
      <c r="AA2" s="384" t="inlineStr">
        <is>
          <t>H1</t>
        </is>
      </c>
      <c r="AB2" s="384" t="inlineStr">
        <is>
          <t>H2</t>
        </is>
      </c>
      <c r="AC2" s="384" t="inlineStr">
        <is>
          <t>FY</t>
        </is>
      </c>
      <c r="AD2" s="384" t="inlineStr">
        <is>
          <t>H1</t>
        </is>
      </c>
      <c r="AE2" s="384" t="inlineStr">
        <is>
          <t>H2</t>
        </is>
      </c>
      <c r="AF2" s="384" t="inlineStr">
        <is>
          <t>FY</t>
        </is>
      </c>
      <c r="AG2" s="384" t="inlineStr">
        <is>
          <t>H1</t>
        </is>
      </c>
      <c r="AH2" s="384" t="inlineStr">
        <is>
          <t>H2</t>
        </is>
      </c>
      <c r="AI2" s="384" t="inlineStr">
        <is>
          <t>FY</t>
        </is>
      </c>
      <c r="AJ2" s="12" t="n"/>
    </row>
    <row r="3" ht="12.9" customHeight="1" s="343">
      <c r="A3" s="437" t="n"/>
      <c r="B3" s="12" t="inlineStr">
        <is>
          <t>All amounts in ₹ crores except per share data</t>
        </is>
      </c>
      <c r="C3" s="346" t="n">
        <v>2021</v>
      </c>
      <c r="D3" s="346" t="n">
        <v>2021</v>
      </c>
      <c r="E3" s="346" t="n">
        <v>2021</v>
      </c>
      <c r="F3" s="347" t="n">
        <v>2022</v>
      </c>
      <c r="G3" s="347" t="n">
        <v>2022</v>
      </c>
      <c r="H3" s="347" t="n">
        <v>2022</v>
      </c>
      <c r="I3" s="348" t="n">
        <v>2023</v>
      </c>
      <c r="J3" s="348" t="n">
        <v>2023</v>
      </c>
      <c r="K3" s="348" t="n">
        <v>2023</v>
      </c>
      <c r="L3" s="348" t="n">
        <v>2024</v>
      </c>
      <c r="M3" s="348" t="n">
        <v>2024</v>
      </c>
      <c r="N3" s="348" t="n">
        <v>2024</v>
      </c>
      <c r="O3" s="348" t="n">
        <v>2025</v>
      </c>
      <c r="P3" s="348" t="n">
        <v>2025</v>
      </c>
      <c r="Q3" s="348" t="n">
        <v>2025</v>
      </c>
      <c r="R3" s="348" t="n">
        <v>2026</v>
      </c>
      <c r="S3" s="348" t="n">
        <v>2026</v>
      </c>
      <c r="T3" s="348" t="n">
        <v>2026</v>
      </c>
      <c r="U3" s="349" t="inlineStr">
        <is>
          <t>2027 E</t>
        </is>
      </c>
      <c r="V3" s="349" t="inlineStr">
        <is>
          <t>2027 E</t>
        </is>
      </c>
      <c r="W3" s="349" t="inlineStr">
        <is>
          <t>2027 E</t>
        </is>
      </c>
      <c r="X3" s="349" t="inlineStr">
        <is>
          <t>2028 E</t>
        </is>
      </c>
      <c r="Y3" s="349" t="inlineStr">
        <is>
          <t>2028 E</t>
        </is>
      </c>
      <c r="Z3" s="349" t="inlineStr">
        <is>
          <t>2028 E</t>
        </is>
      </c>
      <c r="AA3" s="349" t="inlineStr">
        <is>
          <t>2029 E</t>
        </is>
      </c>
      <c r="AB3" s="349" t="inlineStr">
        <is>
          <t>2029 E</t>
        </is>
      </c>
      <c r="AC3" s="349" t="inlineStr">
        <is>
          <t>2029 E</t>
        </is>
      </c>
      <c r="AD3" s="349" t="inlineStr">
        <is>
          <t>2030 E</t>
        </is>
      </c>
      <c r="AE3" s="349" t="inlineStr">
        <is>
          <t>2030 E</t>
        </is>
      </c>
      <c r="AF3" s="349" t="inlineStr">
        <is>
          <t>2030 E</t>
        </is>
      </c>
      <c r="AG3" s="349" t="inlineStr">
        <is>
          <t>2031 E</t>
        </is>
      </c>
      <c r="AH3" s="349" t="inlineStr">
        <is>
          <t>2031 E</t>
        </is>
      </c>
      <c r="AI3" s="349" t="inlineStr">
        <is>
          <t>2031 E</t>
        </is>
      </c>
      <c r="AJ3" s="12" t="n"/>
    </row>
    <row r="4" ht="12.9" customHeight="1" s="343">
      <c r="A4" s="437" t="n"/>
      <c r="B4" s="438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6" t="n"/>
    </row>
    <row r="5" ht="12.9" customFormat="1" customHeight="1" s="439">
      <c r="A5" s="440" t="n"/>
      <c r="B5" s="351" t="inlineStr">
        <is>
          <t>INCOME STATEMENT</t>
        </is>
      </c>
      <c r="C5" s="441" t="n"/>
      <c r="D5" s="441" t="n"/>
      <c r="E5" s="442" t="n"/>
      <c r="F5" s="441" t="n"/>
      <c r="G5" s="441" t="n"/>
      <c r="H5" s="442" t="n"/>
      <c r="I5" s="441" t="n"/>
      <c r="J5" s="441" t="n"/>
      <c r="K5" s="442" t="n"/>
      <c r="L5" s="441" t="n"/>
      <c r="M5" s="441" t="n"/>
      <c r="N5" s="442" t="n"/>
      <c r="O5" s="441" t="n"/>
      <c r="P5" s="441" t="n"/>
      <c r="Q5" s="442" t="n"/>
      <c r="R5" s="441" t="n"/>
      <c r="S5" s="354" t="n"/>
    </row>
    <row r="6" ht="12.9" customHeight="1" s="343">
      <c r="A6" s="443" t="n"/>
      <c r="B6" s="226" t="n"/>
      <c r="C6" s="436" t="n"/>
      <c r="D6" s="436" t="n"/>
      <c r="E6" s="444" t="n"/>
      <c r="F6" s="436" t="n"/>
      <c r="G6" s="436" t="n"/>
      <c r="H6" s="444" t="n"/>
      <c r="I6" s="436" t="n"/>
      <c r="J6" s="436" t="n"/>
      <c r="K6" s="444" t="n"/>
      <c r="L6" s="436" t="n"/>
      <c r="M6" s="436" t="n"/>
      <c r="N6" s="444" t="n"/>
      <c r="O6" s="436" t="n"/>
      <c r="P6" s="436" t="n"/>
      <c r="Q6" s="444" t="n"/>
      <c r="R6" s="436" t="n"/>
      <c r="S6" s="6" t="n"/>
    </row>
    <row r="7" ht="12.9" customHeight="1" s="343">
      <c r="B7" s="227" t="inlineStr">
        <is>
          <t>Income</t>
        </is>
      </c>
      <c r="C7" s="445" t="n"/>
      <c r="D7" s="445" t="n"/>
      <c r="E7" s="445" t="n"/>
      <c r="F7" s="445" t="n"/>
      <c r="G7" s="10" t="n"/>
      <c r="H7" s="10" t="n"/>
      <c r="I7" s="445" t="n"/>
      <c r="J7" s="445" t="n"/>
      <c r="K7" s="445" t="n"/>
      <c r="L7" s="445" t="n"/>
      <c r="M7" s="445" t="n"/>
      <c r="N7" s="445" t="n"/>
    </row>
    <row r="8" ht="12.9" customFormat="1" customHeight="1" s="436">
      <c r="A8" s="446" t="n"/>
      <c r="B8" s="227" t="inlineStr">
        <is>
          <t>Revenue from operations</t>
        </is>
      </c>
      <c r="C8" s="447" t="n">
        <v>116.8959</v>
      </c>
      <c r="D8" s="448">
        <f>E8-C8</f>
        <v/>
      </c>
      <c r="E8" s="447" t="n">
        <v>279.1296</v>
      </c>
      <c r="F8" s="447" t="n">
        <v>141.0507</v>
      </c>
      <c r="G8" s="448">
        <f>H8-F8</f>
        <v/>
      </c>
      <c r="H8" s="447" t="n">
        <v>288.2416</v>
      </c>
      <c r="I8" s="447" t="n">
        <v>152.7418</v>
      </c>
      <c r="J8" s="448">
        <f>K8-I8</f>
        <v/>
      </c>
      <c r="K8" s="447" t="n">
        <v>411.3381</v>
      </c>
      <c r="L8" s="447" t="n">
        <v>265.0608</v>
      </c>
      <c r="M8" s="448">
        <f>N8-L8</f>
        <v/>
      </c>
      <c r="N8" s="447" t="n">
        <v>550.3845</v>
      </c>
      <c r="O8" s="447" t="n">
        <v>339.1337</v>
      </c>
      <c r="P8" s="448">
        <f>Q8-O8</f>
        <v/>
      </c>
      <c r="Q8" s="447" t="n">
        <v>732.7860000000001</v>
      </c>
      <c r="R8" s="447" t="n">
        <v>407.5122</v>
      </c>
      <c r="S8" s="448">
        <f>T8-R8</f>
        <v/>
      </c>
      <c r="T8" s="447" t="n">
        <v>822.2877</v>
      </c>
      <c r="U8" s="436">
        <f>'Revenue Segments'!U69</f>
        <v/>
      </c>
      <c r="V8" s="436">
        <f>'Revenue Segments'!V69</f>
        <v/>
      </c>
      <c r="W8" s="436">
        <f>'Revenue Segments'!W69</f>
        <v/>
      </c>
      <c r="X8" s="436">
        <f>'Revenue Segments'!X69</f>
        <v/>
      </c>
      <c r="Y8" s="436">
        <f>'Revenue Segments'!Y69</f>
        <v/>
      </c>
      <c r="Z8" s="436">
        <f>'Revenue Segments'!Z69</f>
        <v/>
      </c>
      <c r="AA8" s="436">
        <f>'Revenue Segments'!AA69</f>
        <v/>
      </c>
      <c r="AB8" s="436">
        <f>'Revenue Segments'!AB69</f>
        <v/>
      </c>
      <c r="AC8" s="436">
        <f>'Revenue Segments'!AC69</f>
        <v/>
      </c>
      <c r="AD8" s="436">
        <f>'Revenue Segments'!AD69</f>
        <v/>
      </c>
      <c r="AE8" s="436">
        <f>'Revenue Segments'!AE69</f>
        <v/>
      </c>
      <c r="AF8" s="436">
        <f>'Revenue Segments'!AF69</f>
        <v/>
      </c>
      <c r="AG8" s="436">
        <f>'Revenue Segments'!AG69</f>
        <v/>
      </c>
      <c r="AH8" s="436">
        <f>'Revenue Segments'!AH69</f>
        <v/>
      </c>
      <c r="AI8" s="436">
        <f>'Revenue Segments'!AI69</f>
        <v/>
      </c>
    </row>
    <row r="9" ht="12.9" customHeight="1" s="343">
      <c r="B9" s="228" t="inlineStr">
        <is>
          <t xml:space="preserve"> Growth %</t>
        </is>
      </c>
      <c r="C9" s="449" t="n"/>
      <c r="D9" s="450" t="n"/>
      <c r="E9" s="449" t="n"/>
      <c r="F9" s="451">
        <f>(F8-C8)/C8</f>
        <v/>
      </c>
      <c r="G9" s="451">
        <f>(G8-D8)/D8</f>
        <v/>
      </c>
      <c r="H9" s="451">
        <f>(H8-E8)/E8</f>
        <v/>
      </c>
      <c r="I9" s="451">
        <f>(I8-F8)/F8</f>
        <v/>
      </c>
      <c r="J9" s="451">
        <f>(J8-G8)/G8</f>
        <v/>
      </c>
      <c r="K9" s="451">
        <f>(K8-H8)/H8</f>
        <v/>
      </c>
      <c r="L9" s="451">
        <f>(L8-I8)/I8</f>
        <v/>
      </c>
      <c r="M9" s="451">
        <f>(M8-J8)/J8</f>
        <v/>
      </c>
      <c r="N9" s="451">
        <f>(N8-K8)/K8</f>
        <v/>
      </c>
      <c r="O9" s="451">
        <f>(O8-L8)/L8</f>
        <v/>
      </c>
      <c r="P9" s="451">
        <f>(P8-M8)/M8</f>
        <v/>
      </c>
      <c r="Q9" s="451">
        <f>(Q8-N8)/N8</f>
        <v/>
      </c>
      <c r="R9" s="451">
        <f>(R8-O8)/O8</f>
        <v/>
      </c>
      <c r="S9" s="451">
        <f>(S8-P8)/P8</f>
        <v/>
      </c>
      <c r="T9" s="451">
        <f>(T8-Q8)/Q8</f>
        <v/>
      </c>
      <c r="U9" s="451">
        <f>(U8-R8)/R8</f>
        <v/>
      </c>
      <c r="V9" s="451">
        <f>(V8-S8)/S8</f>
        <v/>
      </c>
      <c r="W9" s="451">
        <f>(W8-T8)/T8</f>
        <v/>
      </c>
      <c r="X9" s="451">
        <f>(X8-U8)/U8</f>
        <v/>
      </c>
      <c r="Y9" s="451">
        <f>(Y8-V8)/V8</f>
        <v/>
      </c>
      <c r="Z9" s="451">
        <f>(Z8-W8)/W8</f>
        <v/>
      </c>
      <c r="AA9" s="451">
        <f>(AA8-X8)/X8</f>
        <v/>
      </c>
      <c r="AB9" s="451">
        <f>(AB8-Y8)/Y8</f>
        <v/>
      </c>
      <c r="AC9" s="451">
        <f>(AC8-Z8)/Z8</f>
        <v/>
      </c>
      <c r="AD9" s="451">
        <f>(AD8-AA8)/AA8</f>
        <v/>
      </c>
      <c r="AE9" s="451">
        <f>(AE8-AB8)/AB8</f>
        <v/>
      </c>
      <c r="AF9" s="451">
        <f>(AF8-AC8)/AC8</f>
        <v/>
      </c>
      <c r="AG9" s="451">
        <f>(AG8-AD8)/AD8</f>
        <v/>
      </c>
      <c r="AH9" s="451">
        <f>(AH8-AE8)/AE8</f>
        <v/>
      </c>
      <c r="AI9" s="451">
        <f>(AI8-AF8)/AF8</f>
        <v/>
      </c>
    </row>
    <row r="10" ht="12.9" customHeight="1" s="343">
      <c r="B10" s="225" t="n"/>
      <c r="C10" s="452" t="n"/>
      <c r="D10" s="453" t="n"/>
      <c r="E10" s="452" t="n"/>
      <c r="F10" s="452" t="n"/>
      <c r="G10" s="453" t="n"/>
      <c r="H10" s="452" t="n"/>
      <c r="I10" s="452" t="n"/>
      <c r="J10" s="453" t="n"/>
      <c r="K10" s="452" t="n"/>
      <c r="L10" s="452" t="n"/>
      <c r="M10" s="453" t="n"/>
      <c r="N10" s="452" t="n"/>
      <c r="O10" s="452" t="n"/>
      <c r="P10" s="453" t="n"/>
      <c r="Q10" s="452" t="n"/>
      <c r="R10" s="452" t="n"/>
      <c r="S10" s="453" t="n"/>
      <c r="T10" s="452" t="n"/>
    </row>
    <row r="11" ht="12.9" customHeight="1" s="343">
      <c r="B11" s="225" t="n"/>
      <c r="C11" s="452" t="n"/>
      <c r="D11" s="453" t="n"/>
      <c r="E11" s="452" t="n"/>
      <c r="F11" s="452" t="n"/>
      <c r="G11" s="453" t="n"/>
      <c r="H11" s="452" t="n"/>
      <c r="I11" s="452" t="n"/>
      <c r="J11" s="453" t="n"/>
      <c r="K11" s="452" t="n"/>
      <c r="L11" s="452" t="n"/>
      <c r="M11" s="453" t="n"/>
      <c r="N11" s="452" t="n"/>
      <c r="O11" s="452" t="n"/>
      <c r="P11" s="453" t="n"/>
      <c r="Q11" s="452" t="n"/>
      <c r="R11" s="452" t="n"/>
      <c r="S11" s="453" t="n"/>
      <c r="T11" s="452" t="n"/>
    </row>
    <row r="12" ht="12.9" customHeight="1" s="343">
      <c r="B12" s="225" t="inlineStr">
        <is>
          <t>Cost of materials consumed</t>
        </is>
      </c>
      <c r="C12" s="452" t="n">
        <v>53.53319999999999</v>
      </c>
      <c r="D12" s="453">
        <f>E12-C12</f>
        <v/>
      </c>
      <c r="E12" s="452" t="n">
        <v>140.3952</v>
      </c>
      <c r="F12" s="452" t="n">
        <v>69.52370000000001</v>
      </c>
      <c r="G12" s="453">
        <f>H12-F12</f>
        <v/>
      </c>
      <c r="H12" s="452" t="n">
        <v>162.7251</v>
      </c>
      <c r="I12" s="452" t="n">
        <v>103.0964</v>
      </c>
      <c r="J12" s="453">
        <f>K12-I12</f>
        <v/>
      </c>
      <c r="K12" s="452" t="n">
        <v>233.208</v>
      </c>
      <c r="L12" s="452" t="n">
        <v>118.2643</v>
      </c>
      <c r="M12" s="453">
        <f>N12-L12</f>
        <v/>
      </c>
      <c r="N12" s="452" t="n">
        <v>271.6647</v>
      </c>
      <c r="O12" s="452" t="n">
        <v>201.7059</v>
      </c>
      <c r="P12" s="453">
        <f>Q12-O12</f>
        <v/>
      </c>
      <c r="Q12" s="452" t="n">
        <v>409.9813</v>
      </c>
      <c r="R12" s="452" t="n">
        <v>186.8596</v>
      </c>
      <c r="S12" s="453">
        <f>T12-R12</f>
        <v/>
      </c>
      <c r="T12" s="452" t="n">
        <v>374.8979</v>
      </c>
    </row>
    <row r="13" ht="12.9" customHeight="1" s="343">
      <c r="B13" s="225" t="inlineStr">
        <is>
          <t>Changes in inventories</t>
        </is>
      </c>
      <c r="C13" s="452" t="n">
        <v>11.7919</v>
      </c>
      <c r="D13" s="453">
        <f>E13-C13</f>
        <v/>
      </c>
      <c r="E13" s="452" t="n">
        <v>7.666499999999999</v>
      </c>
      <c r="F13" s="452" t="n">
        <v>-2.8458</v>
      </c>
      <c r="G13" s="453">
        <f>H13-F13</f>
        <v/>
      </c>
      <c r="H13" s="452" t="n">
        <v>-22.5585</v>
      </c>
      <c r="I13" s="452" t="n">
        <v>-19.8119</v>
      </c>
      <c r="J13" s="453">
        <f>K13-I13</f>
        <v/>
      </c>
      <c r="K13" s="452" t="n">
        <v>-11.3768</v>
      </c>
      <c r="L13" s="452" t="n">
        <v>21.0177</v>
      </c>
      <c r="M13" s="453">
        <f>N13-L13</f>
        <v/>
      </c>
      <c r="N13" s="452" t="n">
        <v>13.3156</v>
      </c>
      <c r="O13" s="452" t="n">
        <v>-14.7911</v>
      </c>
      <c r="P13" s="453">
        <f>Q13-O13</f>
        <v/>
      </c>
      <c r="Q13" s="452" t="n">
        <v>-12.3133</v>
      </c>
      <c r="R13" s="452" t="n">
        <v>4.9015</v>
      </c>
      <c r="S13" s="453">
        <f>T13-R13</f>
        <v/>
      </c>
      <c r="T13" s="452" t="n">
        <v>18.4005</v>
      </c>
    </row>
    <row r="14" ht="12.9" customFormat="1" customHeight="1" s="436">
      <c r="A14" s="446" t="n"/>
      <c r="B14" s="229" t="inlineStr">
        <is>
          <t>Cost of Goods Sold</t>
        </is>
      </c>
      <c r="C14" s="448">
        <f>C12+C13</f>
        <v/>
      </c>
      <c r="D14" s="448">
        <f>D12+D13</f>
        <v/>
      </c>
      <c r="E14" s="448">
        <f>E12+E13</f>
        <v/>
      </c>
      <c r="F14" s="448">
        <f>F12+F13</f>
        <v/>
      </c>
      <c r="G14" s="448">
        <f>G12+G13</f>
        <v/>
      </c>
      <c r="H14" s="448">
        <f>H12+H13</f>
        <v/>
      </c>
      <c r="I14" s="448">
        <f>I12+I13</f>
        <v/>
      </c>
      <c r="J14" s="448">
        <f>J12+J13</f>
        <v/>
      </c>
      <c r="K14" s="448">
        <f>K12+K13</f>
        <v/>
      </c>
      <c r="L14" s="448">
        <f>L12+L13</f>
        <v/>
      </c>
      <c r="M14" s="448">
        <f>M12+M13</f>
        <v/>
      </c>
      <c r="N14" s="448">
        <f>N12+N13</f>
        <v/>
      </c>
      <c r="O14" s="448">
        <f>O12+O13</f>
        <v/>
      </c>
      <c r="P14" s="448">
        <f>P12+P13</f>
        <v/>
      </c>
      <c r="Q14" s="448">
        <f>Q12+Q13</f>
        <v/>
      </c>
      <c r="R14" s="448">
        <f>R12+R13</f>
        <v/>
      </c>
      <c r="S14" s="448">
        <f>S12+S13</f>
        <v/>
      </c>
      <c r="T14" s="448">
        <f>T12+T13</f>
        <v/>
      </c>
      <c r="U14" s="448">
        <f>U8*U15</f>
        <v/>
      </c>
      <c r="V14" s="448">
        <f>V8*V15</f>
        <v/>
      </c>
      <c r="W14" s="448">
        <f>U14+V14</f>
        <v/>
      </c>
      <c r="X14" s="448">
        <f>X8*X15</f>
        <v/>
      </c>
      <c r="Y14" s="448">
        <f>Y8*Y15</f>
        <v/>
      </c>
      <c r="Z14" s="448">
        <f>X14+Y14</f>
        <v/>
      </c>
      <c r="AA14" s="448">
        <f>AA8*AA15</f>
        <v/>
      </c>
      <c r="AB14" s="448">
        <f>AB8*AB15</f>
        <v/>
      </c>
      <c r="AC14" s="448">
        <f>AA14+AB14</f>
        <v/>
      </c>
      <c r="AD14" s="448">
        <f>AD8*AD15</f>
        <v/>
      </c>
      <c r="AE14" s="448">
        <f>AE8*AE15</f>
        <v/>
      </c>
      <c r="AF14" s="448">
        <f>AD14+AE14</f>
        <v/>
      </c>
      <c r="AG14" s="448">
        <f>AG8*AG15</f>
        <v/>
      </c>
      <c r="AH14" s="448">
        <f>AH8*AH15</f>
        <v/>
      </c>
      <c r="AI14" s="448">
        <f>AG14+AH14</f>
        <v/>
      </c>
    </row>
    <row r="15" ht="12.9" customHeight="1" s="343">
      <c r="B15" s="230" t="inlineStr">
        <is>
          <t>As % of Sales</t>
        </is>
      </c>
      <c r="C15" s="454">
        <f>C14/C8</f>
        <v/>
      </c>
      <c r="D15" s="454">
        <f>D14/D8</f>
        <v/>
      </c>
      <c r="E15" s="454">
        <f>E14/E8</f>
        <v/>
      </c>
      <c r="F15" s="454">
        <f>F14/F8</f>
        <v/>
      </c>
      <c r="G15" s="454">
        <f>G14/G8</f>
        <v/>
      </c>
      <c r="H15" s="454">
        <f>H14/H8</f>
        <v/>
      </c>
      <c r="I15" s="454">
        <f>I14/I8</f>
        <v/>
      </c>
      <c r="J15" s="454">
        <f>J14/J8</f>
        <v/>
      </c>
      <c r="K15" s="454">
        <f>K14/K8</f>
        <v/>
      </c>
      <c r="L15" s="454">
        <f>L14/L8</f>
        <v/>
      </c>
      <c r="M15" s="454">
        <f>M14/M8</f>
        <v/>
      </c>
      <c r="N15" s="454">
        <f>N14/N8</f>
        <v/>
      </c>
      <c r="O15" s="454">
        <f>O14/O8</f>
        <v/>
      </c>
      <c r="P15" s="454">
        <f>P14/P8</f>
        <v/>
      </c>
      <c r="Q15" s="454">
        <f>Q14/Q8</f>
        <v/>
      </c>
      <c r="R15" s="454">
        <f>R14/R8</f>
        <v/>
      </c>
      <c r="S15" s="454">
        <f>S14/S8</f>
        <v/>
      </c>
      <c r="T15" s="454">
        <f>T14/T8</f>
        <v/>
      </c>
      <c r="U15" s="455" t="n">
        <v>0.48</v>
      </c>
      <c r="V15" s="455">
        <f>U15</f>
        <v/>
      </c>
      <c r="W15" s="454">
        <f>W14/W8</f>
        <v/>
      </c>
      <c r="X15" s="455" t="n">
        <v>0.48</v>
      </c>
      <c r="Y15" s="455">
        <f>X15</f>
        <v/>
      </c>
      <c r="Z15" s="454">
        <f>Z14/Z8</f>
        <v/>
      </c>
      <c r="AA15" s="455" t="n">
        <v>0.48</v>
      </c>
      <c r="AB15" s="455">
        <f>AA15</f>
        <v/>
      </c>
      <c r="AC15" s="454">
        <f>AC14/AC8</f>
        <v/>
      </c>
      <c r="AD15" s="455">
        <f>AB15-0.5%</f>
        <v/>
      </c>
      <c r="AE15" s="455">
        <f>AD15</f>
        <v/>
      </c>
      <c r="AF15" s="454">
        <f>AF14/AF8</f>
        <v/>
      </c>
      <c r="AG15" s="455">
        <f>AE15-0.5%</f>
        <v/>
      </c>
      <c r="AH15" s="455">
        <f>AG15</f>
        <v/>
      </c>
      <c r="AI15" s="454">
        <f>AI14/AI8</f>
        <v/>
      </c>
    </row>
    <row r="16" ht="12.9" customHeight="1" s="343">
      <c r="B16" s="225" t="n"/>
      <c r="C16" s="452" t="n"/>
      <c r="D16" s="453" t="n"/>
      <c r="E16" s="452" t="n"/>
      <c r="F16" s="452" t="n"/>
      <c r="G16" s="453" t="n"/>
      <c r="H16" s="452" t="n"/>
      <c r="I16" s="452" t="n"/>
      <c r="J16" s="453" t="n"/>
      <c r="K16" s="452" t="n"/>
      <c r="L16" s="452" t="n"/>
      <c r="M16" s="453" t="n"/>
      <c r="N16" s="452" t="n"/>
      <c r="O16" s="452" t="n"/>
      <c r="P16" s="453" t="n"/>
      <c r="Q16" s="452" t="n"/>
      <c r="R16" s="452" t="n"/>
      <c r="S16" s="453" t="n"/>
      <c r="T16" s="452" t="n"/>
    </row>
    <row r="17" ht="12.9" customFormat="1" customHeight="1" s="436">
      <c r="A17" s="446" t="n"/>
      <c r="B17" s="231" t="inlineStr">
        <is>
          <t xml:space="preserve">Gross Profit </t>
        </is>
      </c>
      <c r="C17" s="448">
        <f>C8-C14</f>
        <v/>
      </c>
      <c r="D17" s="448">
        <f>D8-D14</f>
        <v/>
      </c>
      <c r="E17" s="448">
        <f>E8-E14</f>
        <v/>
      </c>
      <c r="F17" s="448">
        <f>F8-F14</f>
        <v/>
      </c>
      <c r="G17" s="448">
        <f>G8-G14</f>
        <v/>
      </c>
      <c r="H17" s="448">
        <f>H8-H14</f>
        <v/>
      </c>
      <c r="I17" s="448">
        <f>I8-I14</f>
        <v/>
      </c>
      <c r="J17" s="448">
        <f>J8-J14</f>
        <v/>
      </c>
      <c r="K17" s="448">
        <f>K8-K14</f>
        <v/>
      </c>
      <c r="L17" s="448">
        <f>L8-L14</f>
        <v/>
      </c>
      <c r="M17" s="448">
        <f>M8-M14</f>
        <v/>
      </c>
      <c r="N17" s="448">
        <f>N8-N14</f>
        <v/>
      </c>
      <c r="O17" s="448">
        <f>O8-O14</f>
        <v/>
      </c>
      <c r="P17" s="448">
        <f>P8-P14</f>
        <v/>
      </c>
      <c r="Q17" s="448">
        <f>Q8-Q14</f>
        <v/>
      </c>
      <c r="R17" s="448">
        <f>R8-R14</f>
        <v/>
      </c>
      <c r="S17" s="448">
        <f>S8-S14</f>
        <v/>
      </c>
      <c r="T17" s="448">
        <f>T8-T14</f>
        <v/>
      </c>
      <c r="U17" s="448">
        <f>U8-U14</f>
        <v/>
      </c>
      <c r="V17" s="448">
        <f>V8-V14</f>
        <v/>
      </c>
      <c r="W17" s="448">
        <f>W8-W14</f>
        <v/>
      </c>
      <c r="X17" s="448">
        <f>X8-X14</f>
        <v/>
      </c>
      <c r="Y17" s="448">
        <f>Y8-Y14</f>
        <v/>
      </c>
      <c r="Z17" s="448">
        <f>Z8-Z14</f>
        <v/>
      </c>
      <c r="AA17" s="448">
        <f>AA8-AA14</f>
        <v/>
      </c>
      <c r="AB17" s="448">
        <f>AB8-AB14</f>
        <v/>
      </c>
      <c r="AC17" s="448">
        <f>AC8-AC14</f>
        <v/>
      </c>
      <c r="AD17" s="448">
        <f>AD8-AD14</f>
        <v/>
      </c>
      <c r="AE17" s="448">
        <f>AE8-AE14</f>
        <v/>
      </c>
      <c r="AF17" s="448">
        <f>AF8-AF14</f>
        <v/>
      </c>
      <c r="AG17" s="448">
        <f>AG8-AG14</f>
        <v/>
      </c>
      <c r="AH17" s="448">
        <f>AH8-AH14</f>
        <v/>
      </c>
      <c r="AI17" s="448">
        <f>AI8-AI14</f>
        <v/>
      </c>
    </row>
    <row r="18" ht="12.9" customHeight="1" s="343">
      <c r="B18" s="232" t="inlineStr">
        <is>
          <t>Gross Margin</t>
        </is>
      </c>
      <c r="C18" s="454">
        <f>C17/C8</f>
        <v/>
      </c>
      <c r="D18" s="454">
        <f>D17/D8</f>
        <v/>
      </c>
      <c r="E18" s="454">
        <f>E17/E8</f>
        <v/>
      </c>
      <c r="F18" s="454">
        <f>F17/F8</f>
        <v/>
      </c>
      <c r="G18" s="454">
        <f>G17/G8</f>
        <v/>
      </c>
      <c r="H18" s="454">
        <f>H17/H8</f>
        <v/>
      </c>
      <c r="I18" s="454">
        <f>I17/I8</f>
        <v/>
      </c>
      <c r="J18" s="454">
        <f>J17/J8</f>
        <v/>
      </c>
      <c r="K18" s="454">
        <f>K17/K8</f>
        <v/>
      </c>
      <c r="L18" s="454">
        <f>L17/L8</f>
        <v/>
      </c>
      <c r="M18" s="454">
        <f>M17/M8</f>
        <v/>
      </c>
      <c r="N18" s="454">
        <f>N17/N8</f>
        <v/>
      </c>
      <c r="O18" s="454">
        <f>O17/O8</f>
        <v/>
      </c>
      <c r="P18" s="454">
        <f>P17/P8</f>
        <v/>
      </c>
      <c r="Q18" s="454">
        <f>Q17/Q8</f>
        <v/>
      </c>
      <c r="R18" s="454">
        <f>R17/R8</f>
        <v/>
      </c>
      <c r="S18" s="454">
        <f>S17/S8</f>
        <v/>
      </c>
      <c r="T18" s="454">
        <f>T17/T8</f>
        <v/>
      </c>
      <c r="U18" s="454">
        <f>U17/U8</f>
        <v/>
      </c>
      <c r="V18" s="454">
        <f>V17/V8</f>
        <v/>
      </c>
      <c r="W18" s="454">
        <f>W17/W8</f>
        <v/>
      </c>
      <c r="X18" s="454">
        <f>X17/X8</f>
        <v/>
      </c>
      <c r="Y18" s="454">
        <f>Y17/Y8</f>
        <v/>
      </c>
      <c r="Z18" s="454">
        <f>Z17/Z8</f>
        <v/>
      </c>
      <c r="AA18" s="454">
        <f>AA17/AA8</f>
        <v/>
      </c>
      <c r="AB18" s="454">
        <f>AB17/AB8</f>
        <v/>
      </c>
      <c r="AC18" s="454">
        <f>AC17/AC8</f>
        <v/>
      </c>
      <c r="AD18" s="454">
        <f>AD17/AD8</f>
        <v/>
      </c>
      <c r="AE18" s="454">
        <f>AE17/AE8</f>
        <v/>
      </c>
      <c r="AF18" s="454">
        <f>AF17/AF8</f>
        <v/>
      </c>
      <c r="AG18" s="454">
        <f>AG17/AG8</f>
        <v/>
      </c>
      <c r="AH18" s="454">
        <f>AH17/AH8</f>
        <v/>
      </c>
      <c r="AI18" s="454">
        <f>AI17/AI8</f>
        <v/>
      </c>
    </row>
    <row r="19" ht="12.9" customHeight="1" s="343">
      <c r="B19" s="225" t="n"/>
      <c r="C19" s="452" t="n"/>
      <c r="D19" s="453" t="n"/>
      <c r="E19" s="452" t="n"/>
      <c r="F19" s="452" t="n"/>
      <c r="G19" s="453" t="n"/>
      <c r="H19" s="452" t="n"/>
      <c r="I19" s="452" t="n"/>
      <c r="J19" s="453" t="n"/>
      <c r="K19" s="452" t="n"/>
      <c r="L19" s="452" t="n"/>
      <c r="M19" s="453" t="n"/>
      <c r="N19" s="452" t="n"/>
      <c r="O19" s="452" t="n"/>
      <c r="P19" s="453" t="n"/>
      <c r="Q19" s="452" t="n"/>
      <c r="R19" s="452" t="n"/>
      <c r="S19" s="453" t="n"/>
      <c r="T19" s="452" t="n"/>
    </row>
    <row r="20" ht="12.9" customHeight="1" s="343">
      <c r="B20" s="225" t="inlineStr">
        <is>
          <t>Employee benefits expense</t>
        </is>
      </c>
      <c r="C20" s="452" t="n">
        <v>8.444900000000001</v>
      </c>
      <c r="D20" s="453">
        <f>E20-C20</f>
        <v/>
      </c>
      <c r="E20" s="452" t="n">
        <v>17.3837</v>
      </c>
      <c r="F20" s="452" t="n">
        <v>11.1719</v>
      </c>
      <c r="G20" s="453">
        <f>H20-F20</f>
        <v/>
      </c>
      <c r="H20" s="452" t="n">
        <v>20.3548</v>
      </c>
      <c r="I20" s="452" t="n">
        <v>9.4939</v>
      </c>
      <c r="J20" s="453">
        <f>K20-I20</f>
        <v/>
      </c>
      <c r="K20" s="452" t="n">
        <v>20.9578</v>
      </c>
      <c r="L20" s="452" t="n">
        <v>15.5905</v>
      </c>
      <c r="M20" s="453">
        <f>N20-L20</f>
        <v/>
      </c>
      <c r="N20" s="452" t="n">
        <v>30.9611</v>
      </c>
      <c r="O20" s="452" t="n">
        <v>19.5635</v>
      </c>
      <c r="P20" s="453">
        <f>Q20-O20</f>
        <v/>
      </c>
      <c r="Q20" s="452" t="n">
        <v>41.8524</v>
      </c>
      <c r="R20" s="452" t="n">
        <v>25.2866</v>
      </c>
      <c r="S20" s="453">
        <f>T20-R20</f>
        <v/>
      </c>
      <c r="T20" s="452" t="n">
        <v>51.2752</v>
      </c>
      <c r="U20" s="435">
        <f>U8*U21</f>
        <v/>
      </c>
      <c r="V20" s="435">
        <f>V8*V21</f>
        <v/>
      </c>
      <c r="W20" s="435">
        <f>U20+V20</f>
        <v/>
      </c>
      <c r="X20" s="435">
        <f>X8*X21</f>
        <v/>
      </c>
      <c r="Y20" s="435">
        <f>Y8*Y21</f>
        <v/>
      </c>
      <c r="Z20" s="435">
        <f>X20+Y20</f>
        <v/>
      </c>
      <c r="AA20" s="435">
        <f>AA8*AA21</f>
        <v/>
      </c>
      <c r="AB20" s="435">
        <f>AB8*AB21</f>
        <v/>
      </c>
      <c r="AC20" s="435">
        <f>AA20+AB20</f>
        <v/>
      </c>
      <c r="AD20" s="435">
        <f>AD8*AD21</f>
        <v/>
      </c>
      <c r="AE20" s="435">
        <f>AE8*AE21</f>
        <v/>
      </c>
      <c r="AF20" s="435">
        <f>AD20+AE20</f>
        <v/>
      </c>
      <c r="AG20" s="435">
        <f>AG8*AG21</f>
        <v/>
      </c>
      <c r="AH20" s="435">
        <f>AH8*AH21</f>
        <v/>
      </c>
      <c r="AI20" s="435">
        <f>AG20+AH20</f>
        <v/>
      </c>
    </row>
    <row r="21" ht="12.9" customHeight="1" s="343">
      <c r="B21" s="233" t="inlineStr">
        <is>
          <t>As % of Sales</t>
        </is>
      </c>
      <c r="C21" s="454">
        <f>C20/C8</f>
        <v/>
      </c>
      <c r="D21" s="454">
        <f>D20/D8</f>
        <v/>
      </c>
      <c r="E21" s="454">
        <f>E20/E8</f>
        <v/>
      </c>
      <c r="F21" s="454">
        <f>F20/F8</f>
        <v/>
      </c>
      <c r="G21" s="454">
        <f>G20/G8</f>
        <v/>
      </c>
      <c r="H21" s="454">
        <f>H20/H8</f>
        <v/>
      </c>
      <c r="I21" s="454">
        <f>I20/I8</f>
        <v/>
      </c>
      <c r="J21" s="454">
        <f>J20/J8</f>
        <v/>
      </c>
      <c r="K21" s="454">
        <f>K20/K8</f>
        <v/>
      </c>
      <c r="L21" s="454">
        <f>L20/L8</f>
        <v/>
      </c>
      <c r="M21" s="454">
        <f>M20/M8</f>
        <v/>
      </c>
      <c r="N21" s="454">
        <f>N20/N8</f>
        <v/>
      </c>
      <c r="O21" s="454">
        <f>O20/O8</f>
        <v/>
      </c>
      <c r="P21" s="454">
        <f>P20/P8</f>
        <v/>
      </c>
      <c r="Q21" s="454">
        <f>Q20/Q8</f>
        <v/>
      </c>
      <c r="R21" s="454">
        <f>R20/R8</f>
        <v/>
      </c>
      <c r="S21" s="454">
        <f>S20/S8</f>
        <v/>
      </c>
      <c r="T21" s="454">
        <f>T20/T8</f>
        <v/>
      </c>
      <c r="U21" s="455" t="n">
        <v>0.058</v>
      </c>
      <c r="V21" s="455">
        <f>U21</f>
        <v/>
      </c>
      <c r="W21" s="454">
        <f>W20/W8</f>
        <v/>
      </c>
      <c r="X21" s="455">
        <f>V21</f>
        <v/>
      </c>
      <c r="Y21" s="455">
        <f>X21</f>
        <v/>
      </c>
      <c r="Z21" s="454">
        <f>Z20/Z8</f>
        <v/>
      </c>
      <c r="AA21" s="455">
        <f>Y21</f>
        <v/>
      </c>
      <c r="AB21" s="455">
        <f>AA21</f>
        <v/>
      </c>
      <c r="AC21" s="454">
        <f>AC20/AC8</f>
        <v/>
      </c>
      <c r="AD21" s="455">
        <f>AB21</f>
        <v/>
      </c>
      <c r="AE21" s="455">
        <f>AD21</f>
        <v/>
      </c>
      <c r="AF21" s="454">
        <f>AF20/AF8</f>
        <v/>
      </c>
      <c r="AG21" s="455">
        <f>AE21</f>
        <v/>
      </c>
      <c r="AH21" s="455">
        <f>AG21</f>
        <v/>
      </c>
      <c r="AI21" s="454">
        <f>AI20/AI8</f>
        <v/>
      </c>
    </row>
    <row r="22" ht="12.9" customHeight="1" s="343">
      <c r="B22" s="225" t="inlineStr">
        <is>
          <t>Other expenses</t>
        </is>
      </c>
      <c r="C22" s="452" t="n">
        <v>16.6056</v>
      </c>
      <c r="D22" s="453">
        <f>E22-C22</f>
        <v/>
      </c>
      <c r="E22" s="452" t="n">
        <v>44.92319999999999</v>
      </c>
      <c r="F22" s="452" t="n">
        <v>28.0228</v>
      </c>
      <c r="G22" s="453">
        <f>H22-F22</f>
        <v/>
      </c>
      <c r="H22" s="452" t="n">
        <v>57.742</v>
      </c>
      <c r="I22" s="452" t="n">
        <v>30.0765</v>
      </c>
      <c r="J22" s="453">
        <f>K22-I22</f>
        <v/>
      </c>
      <c r="K22" s="452" t="n">
        <v>85.8442</v>
      </c>
      <c r="L22" s="452" t="n">
        <v>50.8185</v>
      </c>
      <c r="M22" s="453">
        <f>N22-L22</f>
        <v/>
      </c>
      <c r="N22" s="452" t="n">
        <v>107.6925</v>
      </c>
      <c r="O22" s="452" t="n">
        <v>56.3075</v>
      </c>
      <c r="P22" s="453">
        <f>Q22-O22</f>
        <v/>
      </c>
      <c r="Q22" s="452" t="n">
        <v>128.0416</v>
      </c>
      <c r="R22" s="452" t="n">
        <v>98.6367</v>
      </c>
      <c r="S22" s="453">
        <f>T22-R22</f>
        <v/>
      </c>
      <c r="T22" s="452" t="n">
        <v>203.5519</v>
      </c>
      <c r="U22" s="435">
        <f>U8*'Income Statement'!U58</f>
        <v/>
      </c>
      <c r="V22" s="435">
        <f>V8*'Income Statement'!V58</f>
        <v/>
      </c>
      <c r="W22" s="435">
        <f>U22+V22</f>
        <v/>
      </c>
      <c r="X22" s="435">
        <f>X8*'Income Statement'!X58</f>
        <v/>
      </c>
      <c r="Y22" s="435">
        <f>Y8*'Income Statement'!Y58</f>
        <v/>
      </c>
      <c r="Z22" s="435">
        <f>X22+Y22</f>
        <v/>
      </c>
      <c r="AA22" s="435">
        <f>AA8*'Income Statement'!AA58</f>
        <v/>
      </c>
      <c r="AB22" s="435">
        <f>AB8*'Income Statement'!AB58</f>
        <v/>
      </c>
      <c r="AC22" s="435">
        <f>AA22+AB22</f>
        <v/>
      </c>
      <c r="AD22" s="435">
        <f>AD8*'Income Statement'!AD58</f>
        <v/>
      </c>
      <c r="AE22" s="435">
        <f>AE8*'Income Statement'!AE58</f>
        <v/>
      </c>
      <c r="AF22" s="435">
        <f>AD22+AE22</f>
        <v/>
      </c>
      <c r="AG22" s="435">
        <f>AG8*'Income Statement'!AG58</f>
        <v/>
      </c>
      <c r="AH22" s="435">
        <f>AH8*'Income Statement'!AH58</f>
        <v/>
      </c>
      <c r="AI22" s="435">
        <f>AG22+AH22</f>
        <v/>
      </c>
    </row>
    <row r="23" ht="12.9" customFormat="1" customHeight="1" s="436">
      <c r="A23" s="446" t="n"/>
      <c r="B23" s="227" t="inlineStr">
        <is>
          <t>EBITDA</t>
        </is>
      </c>
      <c r="C23" s="436">
        <f>C17-SUM(C20,C22)</f>
        <v/>
      </c>
      <c r="D23" s="436">
        <f>D17-SUM(D20,D22)</f>
        <v/>
      </c>
      <c r="E23" s="436">
        <f>E17-SUM(E20,E22)</f>
        <v/>
      </c>
      <c r="F23" s="436">
        <f>F17-SUM(F20,F22)</f>
        <v/>
      </c>
      <c r="G23" s="436">
        <f>G17-SUM(G20,G22)</f>
        <v/>
      </c>
      <c r="H23" s="436">
        <f>H17-SUM(H20,H22)</f>
        <v/>
      </c>
      <c r="I23" s="436">
        <f>I17-SUM(I20,I22)</f>
        <v/>
      </c>
      <c r="J23" s="436">
        <f>J17-SUM(J20,J22)</f>
        <v/>
      </c>
      <c r="K23" s="436">
        <f>K17-SUM(K20,K22)</f>
        <v/>
      </c>
      <c r="L23" s="436">
        <f>L17-SUM(L20,L22)</f>
        <v/>
      </c>
      <c r="M23" s="436">
        <f>M17-SUM(M20,M22)</f>
        <v/>
      </c>
      <c r="N23" s="436">
        <f>N17-SUM(N20,N22)</f>
        <v/>
      </c>
      <c r="O23" s="436">
        <f>O17-SUM(O20,O22)</f>
        <v/>
      </c>
      <c r="P23" s="436">
        <f>P17-SUM(P20,P22)</f>
        <v/>
      </c>
      <c r="Q23" s="436">
        <f>Q17-SUM(Q20,Q22)</f>
        <v/>
      </c>
      <c r="R23" s="436">
        <f>R17-SUM(R20,R22)</f>
        <v/>
      </c>
      <c r="S23" s="436">
        <f>S17-SUM(S20,S22)</f>
        <v/>
      </c>
      <c r="T23" s="436">
        <f>T17-SUM(T20,T22)</f>
        <v/>
      </c>
      <c r="U23" s="436">
        <f>U17-SUM(U20,U22)</f>
        <v/>
      </c>
      <c r="V23" s="436">
        <f>V17-SUM(V20,V22)</f>
        <v/>
      </c>
      <c r="W23" s="436">
        <f>W17-SUM(W20,W22)</f>
        <v/>
      </c>
      <c r="X23" s="436">
        <f>X17-SUM(X20,X22)</f>
        <v/>
      </c>
      <c r="Y23" s="436">
        <f>Y17-SUM(Y20,Y22)</f>
        <v/>
      </c>
      <c r="Z23" s="436">
        <f>Z17-SUM(Z20,Z22)</f>
        <v/>
      </c>
      <c r="AA23" s="436">
        <f>AA17-SUM(AA20,AA22)</f>
        <v/>
      </c>
      <c r="AB23" s="436">
        <f>AB17-SUM(AB20,AB22)</f>
        <v/>
      </c>
      <c r="AC23" s="436">
        <f>AC17-SUM(AC20,AC22)</f>
        <v/>
      </c>
      <c r="AD23" s="436">
        <f>AD17-SUM(AD20,AD22)</f>
        <v/>
      </c>
      <c r="AE23" s="436">
        <f>AE17-SUM(AE20,AE22)</f>
        <v/>
      </c>
      <c r="AF23" s="436">
        <f>AF17-SUM(AF20,AF22)</f>
        <v/>
      </c>
      <c r="AG23" s="436">
        <f>AG17-SUM(AG20,AG22)</f>
        <v/>
      </c>
      <c r="AH23" s="436">
        <f>AH17-SUM(AH20,AH22)</f>
        <v/>
      </c>
      <c r="AI23" s="436">
        <f>AI17-SUM(AI20,AI22)</f>
        <v/>
      </c>
    </row>
    <row r="24" ht="12.9" customHeight="1" s="343">
      <c r="B24" s="232" t="inlineStr">
        <is>
          <t>EBITDA Margin</t>
        </is>
      </c>
      <c r="C24" s="454">
        <f>C23/C8</f>
        <v/>
      </c>
      <c r="D24" s="454">
        <f>D23/D8</f>
        <v/>
      </c>
      <c r="E24" s="454">
        <f>E23/E8</f>
        <v/>
      </c>
      <c r="F24" s="454">
        <f>F23/F8</f>
        <v/>
      </c>
      <c r="G24" s="454">
        <f>G23/G8</f>
        <v/>
      </c>
      <c r="H24" s="454">
        <f>H23/H8</f>
        <v/>
      </c>
      <c r="I24" s="454">
        <f>I23/I8</f>
        <v/>
      </c>
      <c r="J24" s="454">
        <f>J23/J8</f>
        <v/>
      </c>
      <c r="K24" s="454">
        <f>K23/K8</f>
        <v/>
      </c>
      <c r="L24" s="454">
        <f>L23/L8</f>
        <v/>
      </c>
      <c r="M24" s="454">
        <f>M23/M8</f>
        <v/>
      </c>
      <c r="N24" s="454">
        <f>N23/N8</f>
        <v/>
      </c>
      <c r="O24" s="454">
        <f>O23/O8</f>
        <v/>
      </c>
      <c r="P24" s="454">
        <f>P23/P8</f>
        <v/>
      </c>
      <c r="Q24" s="454">
        <f>Q23/Q8</f>
        <v/>
      </c>
      <c r="R24" s="454">
        <f>R23/R8</f>
        <v/>
      </c>
      <c r="S24" s="454">
        <f>S23/S8</f>
        <v/>
      </c>
      <c r="T24" s="454">
        <f>T23/T8</f>
        <v/>
      </c>
      <c r="U24" s="454">
        <f>U23/U8</f>
        <v/>
      </c>
      <c r="V24" s="454">
        <f>V23/V8</f>
        <v/>
      </c>
      <c r="W24" s="454">
        <f>W23/W8</f>
        <v/>
      </c>
      <c r="X24" s="454">
        <f>X23/X8</f>
        <v/>
      </c>
      <c r="Y24" s="454">
        <f>Y23/Y8</f>
        <v/>
      </c>
      <c r="Z24" s="454">
        <f>Z23/Z8</f>
        <v/>
      </c>
      <c r="AA24" s="454">
        <f>AA23/AA8</f>
        <v/>
      </c>
      <c r="AB24" s="454">
        <f>AB23/AB8</f>
        <v/>
      </c>
      <c r="AC24" s="454">
        <f>AC23/AC8</f>
        <v/>
      </c>
      <c r="AD24" s="454">
        <f>AD23/AD8</f>
        <v/>
      </c>
      <c r="AE24" s="454">
        <f>AE23/AE8</f>
        <v/>
      </c>
      <c r="AF24" s="454">
        <f>AF23/AF8</f>
        <v/>
      </c>
      <c r="AG24" s="454">
        <f>AG23/AG8</f>
        <v/>
      </c>
      <c r="AH24" s="454">
        <f>AH23/AH8</f>
        <v/>
      </c>
      <c r="AI24" s="454">
        <f>AI23/AI8</f>
        <v/>
      </c>
    </row>
    <row r="25" ht="12.9" customHeight="1" s="343">
      <c r="B25" s="227" t="n"/>
      <c r="C25" s="435" t="n"/>
      <c r="D25" s="435" t="n"/>
      <c r="E25" s="435" t="n"/>
      <c r="F25" s="435" t="n"/>
      <c r="G25" s="435" t="n"/>
      <c r="H25" s="435" t="n"/>
      <c r="I25" s="435" t="n"/>
      <c r="J25" s="435" t="n"/>
      <c r="K25" s="435" t="n"/>
      <c r="L25" s="435" t="n"/>
      <c r="M25" s="435" t="n"/>
      <c r="N25" s="435" t="n"/>
    </row>
    <row r="26" ht="12.9" customHeight="1" s="343">
      <c r="B26" s="234" t="inlineStr">
        <is>
          <t>D&amp;A Expenses</t>
        </is>
      </c>
      <c r="C26" s="452" t="n">
        <v>4.5149</v>
      </c>
      <c r="D26" s="453">
        <f>E26-C26</f>
        <v/>
      </c>
      <c r="E26" s="452" t="n">
        <v>10.5059</v>
      </c>
      <c r="F26" s="452" t="n">
        <v>5.7862</v>
      </c>
      <c r="G26" s="453">
        <f>H26-F26</f>
        <v/>
      </c>
      <c r="H26" s="452" t="n">
        <v>11.5922</v>
      </c>
      <c r="I26" s="452" t="n">
        <v>5.8629</v>
      </c>
      <c r="J26" s="453">
        <f>K26-I26</f>
        <v/>
      </c>
      <c r="K26" s="452" t="n">
        <v>12.5405</v>
      </c>
      <c r="L26" s="452" t="n">
        <v>7.0289</v>
      </c>
      <c r="M26" s="453">
        <f>N26-L26</f>
        <v/>
      </c>
      <c r="N26" s="452" t="n">
        <v>17.464</v>
      </c>
      <c r="O26" s="452" t="n">
        <v>11.3557</v>
      </c>
      <c r="P26" s="453">
        <f>Q26-O26</f>
        <v/>
      </c>
      <c r="Q26" s="452" t="n">
        <v>23.819</v>
      </c>
      <c r="R26" s="452" t="n">
        <v>13.2423</v>
      </c>
      <c r="S26" s="453">
        <f>T26-R26</f>
        <v/>
      </c>
      <c r="T26" s="452" t="n">
        <v>27.841</v>
      </c>
      <c r="U26" s="435">
        <f>'Balance Sheet'!U63</f>
        <v/>
      </c>
      <c r="V26" s="435">
        <f>'Balance Sheet'!V63</f>
        <v/>
      </c>
      <c r="W26" s="435">
        <f>U26+V26</f>
        <v/>
      </c>
      <c r="X26" s="435">
        <f>'Balance Sheet'!X63</f>
        <v/>
      </c>
      <c r="Y26" s="435">
        <f>'Balance Sheet'!Y63</f>
        <v/>
      </c>
      <c r="Z26" s="435">
        <f>X26+Y26</f>
        <v/>
      </c>
      <c r="AA26" s="435">
        <f>'Balance Sheet'!AA63</f>
        <v/>
      </c>
      <c r="AB26" s="435">
        <f>'Balance Sheet'!AB63</f>
        <v/>
      </c>
      <c r="AC26" s="435">
        <f>AA26+AB26</f>
        <v/>
      </c>
      <c r="AD26" s="435">
        <f>'Balance Sheet'!AD63</f>
        <v/>
      </c>
      <c r="AE26" s="435">
        <f>'Balance Sheet'!AE63</f>
        <v/>
      </c>
      <c r="AF26" s="435">
        <f>AD26+AE26</f>
        <v/>
      </c>
      <c r="AG26" s="435">
        <f>'Balance Sheet'!AG63</f>
        <v/>
      </c>
      <c r="AH26" s="435">
        <f>'Balance Sheet'!AH63</f>
        <v/>
      </c>
      <c r="AI26" s="435">
        <f>AG26+AH26</f>
        <v/>
      </c>
    </row>
    <row r="27" ht="12.9" customFormat="1" customHeight="1" s="436">
      <c r="A27" s="446" t="n"/>
      <c r="B27" s="227" t="inlineStr">
        <is>
          <t>EBIT/Operating Income</t>
        </is>
      </c>
      <c r="C27" s="436">
        <f>C23-C26</f>
        <v/>
      </c>
      <c r="D27" s="436">
        <f>D23-D26</f>
        <v/>
      </c>
      <c r="E27" s="436">
        <f>E23-E26</f>
        <v/>
      </c>
      <c r="F27" s="436">
        <f>F23-F26</f>
        <v/>
      </c>
      <c r="G27" s="436">
        <f>G23-G26</f>
        <v/>
      </c>
      <c r="H27" s="436">
        <f>H23-H26</f>
        <v/>
      </c>
      <c r="I27" s="436">
        <f>I23-I26</f>
        <v/>
      </c>
      <c r="J27" s="436">
        <f>J23-J26</f>
        <v/>
      </c>
      <c r="K27" s="436">
        <f>K23-K26</f>
        <v/>
      </c>
      <c r="L27" s="436">
        <f>L23-L26</f>
        <v/>
      </c>
      <c r="M27" s="436">
        <f>M23-M26</f>
        <v/>
      </c>
      <c r="N27" s="436">
        <f>N23-N26</f>
        <v/>
      </c>
      <c r="O27" s="436">
        <f>O23-O26</f>
        <v/>
      </c>
      <c r="P27" s="436">
        <f>P23-P26</f>
        <v/>
      </c>
      <c r="Q27" s="436">
        <f>Q23-Q26</f>
        <v/>
      </c>
      <c r="R27" s="436">
        <f>R23-R26</f>
        <v/>
      </c>
      <c r="S27" s="436">
        <f>S23-S26</f>
        <v/>
      </c>
      <c r="T27" s="436">
        <f>T23-T26</f>
        <v/>
      </c>
      <c r="U27" s="436">
        <f>U23-U26</f>
        <v/>
      </c>
      <c r="V27" s="436">
        <f>V23-V26</f>
        <v/>
      </c>
      <c r="W27" s="436">
        <f>W23-W26</f>
        <v/>
      </c>
      <c r="X27" s="436">
        <f>X23-X26</f>
        <v/>
      </c>
      <c r="Y27" s="436">
        <f>Y23-Y26</f>
        <v/>
      </c>
      <c r="Z27" s="436">
        <f>Z23-Z26</f>
        <v/>
      </c>
      <c r="AA27" s="436">
        <f>AA23-AA26</f>
        <v/>
      </c>
      <c r="AB27" s="436">
        <f>AB23-AB26</f>
        <v/>
      </c>
      <c r="AC27" s="436">
        <f>AC23-AC26</f>
        <v/>
      </c>
      <c r="AD27" s="436">
        <f>AD23-AD26</f>
        <v/>
      </c>
      <c r="AE27" s="436">
        <f>AE23-AE26</f>
        <v/>
      </c>
      <c r="AF27" s="436">
        <f>AF23-AF26</f>
        <v/>
      </c>
      <c r="AG27" s="436">
        <f>AG23-AG26</f>
        <v/>
      </c>
      <c r="AH27" s="436">
        <f>AH23-AH26</f>
        <v/>
      </c>
      <c r="AI27" s="436">
        <f>AI23-AI26</f>
        <v/>
      </c>
    </row>
    <row r="28" ht="12.9" customHeight="1" s="343">
      <c r="B28" s="233" t="inlineStr">
        <is>
          <t>EBIT Margin</t>
        </is>
      </c>
      <c r="C28" s="454">
        <f>C27/C8</f>
        <v/>
      </c>
      <c r="D28" s="454">
        <f>D27/D8</f>
        <v/>
      </c>
      <c r="E28" s="454">
        <f>E27/E8</f>
        <v/>
      </c>
      <c r="F28" s="454">
        <f>F27/F8</f>
        <v/>
      </c>
      <c r="G28" s="454">
        <f>G27/G8</f>
        <v/>
      </c>
      <c r="H28" s="454">
        <f>H27/H8</f>
        <v/>
      </c>
      <c r="I28" s="454">
        <f>I27/I8</f>
        <v/>
      </c>
      <c r="J28" s="454">
        <f>J27/J8</f>
        <v/>
      </c>
      <c r="K28" s="454">
        <f>K27/K8</f>
        <v/>
      </c>
      <c r="L28" s="454">
        <f>L27/L8</f>
        <v/>
      </c>
      <c r="M28" s="454">
        <f>M27/M8</f>
        <v/>
      </c>
      <c r="N28" s="454">
        <f>N27/N8</f>
        <v/>
      </c>
      <c r="O28" s="454">
        <f>O27/O8</f>
        <v/>
      </c>
      <c r="P28" s="454">
        <f>P27/P8</f>
        <v/>
      </c>
      <c r="Q28" s="454">
        <f>Q27/Q8</f>
        <v/>
      </c>
      <c r="R28" s="454">
        <f>R27/R8</f>
        <v/>
      </c>
      <c r="S28" s="454">
        <f>S27/S8</f>
        <v/>
      </c>
      <c r="T28" s="454">
        <f>T27/T8</f>
        <v/>
      </c>
      <c r="U28" s="454">
        <f>U27/U8</f>
        <v/>
      </c>
      <c r="V28" s="454">
        <f>V27/V8</f>
        <v/>
      </c>
      <c r="W28" s="454">
        <f>W27/W8</f>
        <v/>
      </c>
      <c r="X28" s="454">
        <f>X27/X8</f>
        <v/>
      </c>
      <c r="Y28" s="454">
        <f>Y27/Y8</f>
        <v/>
      </c>
      <c r="Z28" s="454">
        <f>Z27/Z8</f>
        <v/>
      </c>
      <c r="AA28" s="454">
        <f>AA27/AA8</f>
        <v/>
      </c>
      <c r="AB28" s="454">
        <f>AB27/AB8</f>
        <v/>
      </c>
      <c r="AC28" s="454">
        <f>AC27/AC8</f>
        <v/>
      </c>
      <c r="AD28" s="454">
        <f>AD27/AD8</f>
        <v/>
      </c>
      <c r="AE28" s="454">
        <f>AE27/AE8</f>
        <v/>
      </c>
      <c r="AF28" s="454">
        <f>AF27/AF8</f>
        <v/>
      </c>
      <c r="AG28" s="454">
        <f>AG27/AG8</f>
        <v/>
      </c>
      <c r="AH28" s="454">
        <f>AH27/AH8</f>
        <v/>
      </c>
      <c r="AI28" s="454">
        <f>AI27/AI8</f>
        <v/>
      </c>
    </row>
    <row r="29" ht="12.9" customHeight="1" s="343">
      <c r="B29" s="227" t="n"/>
      <c r="C29" s="435" t="n"/>
      <c r="D29" s="435" t="n"/>
      <c r="E29" s="435" t="n"/>
      <c r="F29" s="435" t="n"/>
      <c r="G29" s="435" t="n"/>
      <c r="H29" s="435" t="n"/>
      <c r="I29" s="435" t="n"/>
      <c r="J29" s="435" t="n"/>
      <c r="K29" s="435" t="n"/>
      <c r="L29" s="435" t="n"/>
      <c r="M29" s="435" t="n"/>
      <c r="N29" s="435" t="n"/>
    </row>
    <row r="30" ht="12.9" customHeight="1" s="343">
      <c r="B30" s="225" t="inlineStr">
        <is>
          <t>Other Income</t>
        </is>
      </c>
      <c r="C30" s="452" t="n">
        <v>1.5638</v>
      </c>
      <c r="D30" s="453">
        <f>E30-C30</f>
        <v/>
      </c>
      <c r="E30" s="452" t="n">
        <v>3.5543</v>
      </c>
      <c r="F30" s="452" t="n">
        <v>0.9833</v>
      </c>
      <c r="G30" s="453">
        <f>H30-F30</f>
        <v/>
      </c>
      <c r="H30" s="452" t="n">
        <v>3.7677</v>
      </c>
      <c r="I30" s="452" t="n">
        <v>0.6182</v>
      </c>
      <c r="J30" s="453">
        <f>K30-I30</f>
        <v/>
      </c>
      <c r="K30" s="452" t="n">
        <v>1.2421</v>
      </c>
      <c r="L30" s="452" t="n">
        <v>2.0524</v>
      </c>
      <c r="M30" s="453">
        <f>N30-L30</f>
        <v/>
      </c>
      <c r="N30" s="452" t="n">
        <v>9.063700000000001</v>
      </c>
      <c r="O30" s="452" t="n">
        <v>3.9853</v>
      </c>
      <c r="P30" s="453">
        <f>Q30-O30</f>
        <v/>
      </c>
      <c r="Q30" s="452" t="n">
        <v>5.1341</v>
      </c>
      <c r="R30" s="452" t="n">
        <v>2.6912</v>
      </c>
      <c r="S30" s="453">
        <f>T30-R30</f>
        <v/>
      </c>
      <c r="T30" s="452" t="n">
        <v>1.6776</v>
      </c>
      <c r="U30" s="134">
        <f>T30</f>
        <v/>
      </c>
      <c r="V30" s="134">
        <f>U30</f>
        <v/>
      </c>
      <c r="W30" s="435">
        <f>U30+V30</f>
        <v/>
      </c>
      <c r="X30" s="134">
        <f>V30</f>
        <v/>
      </c>
      <c r="Y30" s="134">
        <f>X30</f>
        <v/>
      </c>
      <c r="Z30" s="435">
        <f>X30+Y30</f>
        <v/>
      </c>
      <c r="AA30" s="134">
        <f>Y30</f>
        <v/>
      </c>
      <c r="AB30" s="134">
        <f>AA30</f>
        <v/>
      </c>
      <c r="AC30" s="435">
        <f>AA30+AB30</f>
        <v/>
      </c>
      <c r="AD30" s="134">
        <f>AB30</f>
        <v/>
      </c>
      <c r="AE30" s="134">
        <f>AD30</f>
        <v/>
      </c>
      <c r="AF30" s="435">
        <f>AD30+AE30</f>
        <v/>
      </c>
      <c r="AG30" s="134">
        <f>AE30</f>
        <v/>
      </c>
      <c r="AH30" s="134">
        <f>AG30</f>
        <v/>
      </c>
      <c r="AI30" s="435">
        <f>AG30+AH30</f>
        <v/>
      </c>
    </row>
    <row r="31" ht="12.9" customHeight="1" s="343">
      <c r="B31" s="225" t="inlineStr">
        <is>
          <t>Finance Cost</t>
        </is>
      </c>
      <c r="C31" s="452" t="n">
        <v>0.2708</v>
      </c>
      <c r="D31" s="453">
        <f>E31-C31</f>
        <v/>
      </c>
      <c r="E31" s="452" t="n">
        <v>0.3444</v>
      </c>
      <c r="F31" s="452" t="n">
        <v>0.2223</v>
      </c>
      <c r="G31" s="453">
        <f>H31-F31</f>
        <v/>
      </c>
      <c r="H31" s="452" t="n">
        <v>1.0315</v>
      </c>
      <c r="I31" s="452" t="n">
        <v>0.5961</v>
      </c>
      <c r="J31" s="453">
        <f>K31-I31</f>
        <v/>
      </c>
      <c r="K31" s="452" t="n">
        <v>1.4083</v>
      </c>
      <c r="L31" s="452" t="n">
        <v>0.2067</v>
      </c>
      <c r="M31" s="453">
        <f>N31-L31</f>
        <v/>
      </c>
      <c r="N31" s="452" t="n">
        <v>2.1744</v>
      </c>
      <c r="O31" s="452" t="n">
        <v>1.9606</v>
      </c>
      <c r="P31" s="453">
        <f>Q31-O31</f>
        <v/>
      </c>
      <c r="Q31" s="452" t="n">
        <v>3.3389</v>
      </c>
      <c r="R31" s="452" t="n">
        <v>2.9776</v>
      </c>
      <c r="S31" s="453">
        <f>T31-R31</f>
        <v/>
      </c>
      <c r="T31" s="452" t="n">
        <v>8.6983</v>
      </c>
      <c r="U31" s="435">
        <f>'Income Statement'!U61</f>
        <v/>
      </c>
      <c r="V31" s="435">
        <f>'Income Statement'!V61</f>
        <v/>
      </c>
      <c r="W31" s="435">
        <f>U31+V31</f>
        <v/>
      </c>
      <c r="X31" s="435">
        <f>'Income Statement'!X61</f>
        <v/>
      </c>
      <c r="Y31" s="435">
        <f>'Income Statement'!Y61</f>
        <v/>
      </c>
      <c r="Z31" s="435">
        <f>X31+Y31</f>
        <v/>
      </c>
      <c r="AA31" s="435">
        <f>'Income Statement'!AA61</f>
        <v/>
      </c>
      <c r="AB31" s="435">
        <f>'Income Statement'!AB61</f>
        <v/>
      </c>
      <c r="AC31" s="435">
        <f>AA31+AB31</f>
        <v/>
      </c>
      <c r="AD31" s="435">
        <f>'Income Statement'!AD61</f>
        <v/>
      </c>
      <c r="AE31" s="435">
        <f>'Income Statement'!AE61</f>
        <v/>
      </c>
      <c r="AF31" s="435">
        <f>AD31+AE31</f>
        <v/>
      </c>
      <c r="AG31" s="435">
        <f>'Income Statement'!AG61</f>
        <v/>
      </c>
      <c r="AH31" s="435">
        <f>'Income Statement'!AH61</f>
        <v/>
      </c>
      <c r="AI31" s="435">
        <f>AG31+AH31</f>
        <v/>
      </c>
    </row>
    <row r="32" ht="12.9" customFormat="1" customHeight="1" s="436">
      <c r="A32" s="446" t="n"/>
      <c r="B32" s="227" t="inlineStr">
        <is>
          <t>PBT</t>
        </is>
      </c>
      <c r="C32" s="436">
        <f>C27+C30-C31</f>
        <v/>
      </c>
      <c r="D32" s="436">
        <f>D27+D30-D31</f>
        <v/>
      </c>
      <c r="E32" s="436">
        <f>E27+E30-E31</f>
        <v/>
      </c>
      <c r="F32" s="436">
        <f>F27+F30-F31</f>
        <v/>
      </c>
      <c r="G32" s="436">
        <f>G27+G30-G31</f>
        <v/>
      </c>
      <c r="H32" s="436">
        <f>H27+H30-H31</f>
        <v/>
      </c>
      <c r="I32" s="436">
        <f>I27+I30-I31</f>
        <v/>
      </c>
      <c r="J32" s="436">
        <f>J27+J30-J31</f>
        <v/>
      </c>
      <c r="K32" s="436">
        <f>K27+K30-K31</f>
        <v/>
      </c>
      <c r="L32" s="436">
        <f>L27+L30-L31</f>
        <v/>
      </c>
      <c r="M32" s="436">
        <f>M27+M30-M31</f>
        <v/>
      </c>
      <c r="N32" s="436">
        <f>N27+N30-N31</f>
        <v/>
      </c>
      <c r="O32" s="436">
        <f>O27+O30-O31</f>
        <v/>
      </c>
      <c r="P32" s="436">
        <f>P27+P30-P31</f>
        <v/>
      </c>
      <c r="Q32" s="436">
        <f>Q27+Q30-Q31</f>
        <v/>
      </c>
      <c r="R32" s="436">
        <f>R27+R30-R31</f>
        <v/>
      </c>
      <c r="S32" s="436">
        <f>S27+S30-S31</f>
        <v/>
      </c>
      <c r="T32" s="436">
        <f>T27+T30-T31</f>
        <v/>
      </c>
      <c r="U32" s="436">
        <f>U27+U30-U31</f>
        <v/>
      </c>
      <c r="V32" s="436">
        <f>V27+V30-V31</f>
        <v/>
      </c>
      <c r="W32" s="436">
        <f>W27+W30-W31</f>
        <v/>
      </c>
      <c r="X32" s="436">
        <f>X27+X30-X31</f>
        <v/>
      </c>
      <c r="Y32" s="436">
        <f>Y27+Y30-Y31</f>
        <v/>
      </c>
      <c r="Z32" s="436">
        <f>Z27+Z30-Z31</f>
        <v/>
      </c>
      <c r="AA32" s="436">
        <f>AA27+AA30-AA31</f>
        <v/>
      </c>
      <c r="AB32" s="436">
        <f>AB27+AB30-AB31</f>
        <v/>
      </c>
      <c r="AC32" s="436">
        <f>AC27+AC30-AC31</f>
        <v/>
      </c>
      <c r="AD32" s="436">
        <f>AD27+AD30-AD31</f>
        <v/>
      </c>
      <c r="AE32" s="436">
        <f>AE27+AE30-AE31</f>
        <v/>
      </c>
      <c r="AF32" s="436">
        <f>AF27+AF30-AF31</f>
        <v/>
      </c>
      <c r="AG32" s="436">
        <f>AG27+AG30-AG31</f>
        <v/>
      </c>
      <c r="AH32" s="436">
        <f>AH27+AH30-AH31</f>
        <v/>
      </c>
      <c r="AI32" s="436">
        <f>AI27+AI30-AI31</f>
        <v/>
      </c>
    </row>
    <row r="33" ht="12.9" customHeight="1" s="343">
      <c r="B33" s="233" t="inlineStr">
        <is>
          <t>PBT Margin</t>
        </is>
      </c>
      <c r="C33" s="454">
        <f>C32/C8</f>
        <v/>
      </c>
      <c r="D33" s="454">
        <f>D32/D8</f>
        <v/>
      </c>
      <c r="E33" s="454">
        <f>E32/E8</f>
        <v/>
      </c>
      <c r="F33" s="454">
        <f>F32/F8</f>
        <v/>
      </c>
      <c r="G33" s="454">
        <f>G32/G8</f>
        <v/>
      </c>
      <c r="H33" s="454">
        <f>H32/H8</f>
        <v/>
      </c>
      <c r="I33" s="454">
        <f>I32/I8</f>
        <v/>
      </c>
      <c r="J33" s="454">
        <f>J32/J8</f>
        <v/>
      </c>
      <c r="K33" s="454">
        <f>K32/K8</f>
        <v/>
      </c>
      <c r="L33" s="454">
        <f>L32/L8</f>
        <v/>
      </c>
      <c r="M33" s="454">
        <f>M32/M8</f>
        <v/>
      </c>
      <c r="N33" s="454">
        <f>N32/N8</f>
        <v/>
      </c>
      <c r="O33" s="454">
        <f>O32/O8</f>
        <v/>
      </c>
      <c r="P33" s="454">
        <f>P32/P8</f>
        <v/>
      </c>
      <c r="Q33" s="454">
        <f>Q32/Q8</f>
        <v/>
      </c>
      <c r="R33" s="454">
        <f>R32/R8</f>
        <v/>
      </c>
      <c r="S33" s="454">
        <f>S32/S8</f>
        <v/>
      </c>
      <c r="T33" s="454">
        <f>T32/T8</f>
        <v/>
      </c>
      <c r="U33" s="454">
        <f>U32/U8</f>
        <v/>
      </c>
      <c r="V33" s="454">
        <f>V32/V8</f>
        <v/>
      </c>
      <c r="W33" s="454">
        <f>W32/W8</f>
        <v/>
      </c>
      <c r="X33" s="454">
        <f>X32/X8</f>
        <v/>
      </c>
      <c r="Y33" s="454">
        <f>Y32/Y8</f>
        <v/>
      </c>
      <c r="Z33" s="454">
        <f>Z32/Z8</f>
        <v/>
      </c>
      <c r="AA33" s="454">
        <f>AA32/AA8</f>
        <v/>
      </c>
      <c r="AB33" s="454">
        <f>AB32/AB8</f>
        <v/>
      </c>
      <c r="AC33" s="454">
        <f>AC32/AC8</f>
        <v/>
      </c>
      <c r="AD33" s="454">
        <f>AD32/AD8</f>
        <v/>
      </c>
      <c r="AE33" s="454">
        <f>AE32/AE8</f>
        <v/>
      </c>
      <c r="AF33" s="454">
        <f>AF32/AF8</f>
        <v/>
      </c>
      <c r="AG33" s="454">
        <f>AG32/AG8</f>
        <v/>
      </c>
      <c r="AH33" s="454">
        <f>AH32/AH8</f>
        <v/>
      </c>
      <c r="AI33" s="454">
        <f>AI32/AI8</f>
        <v/>
      </c>
    </row>
    <row r="34" hidden="1" outlineLevel="1" ht="12.9" customFormat="1" customHeight="1" s="456">
      <c r="A34" s="457" t="n"/>
      <c r="B34" s="178" t="inlineStr">
        <is>
          <t>check</t>
        </is>
      </c>
      <c r="C34" s="456" t="n">
        <v>23.2984</v>
      </c>
      <c r="E34" s="456" t="n">
        <v>61.46500000000002</v>
      </c>
      <c r="F34" s="456" t="n">
        <v>30.15289999999999</v>
      </c>
      <c r="H34" s="456" t="n">
        <v>61.12220000000001</v>
      </c>
      <c r="I34" s="456" t="n">
        <v>24.04610000000003</v>
      </c>
      <c r="K34" s="456" t="n">
        <v>69.9982</v>
      </c>
      <c r="L34" s="456" t="n">
        <v>54.18660000000003</v>
      </c>
      <c r="N34" s="456" t="n">
        <v>116.1759</v>
      </c>
      <c r="O34" s="456" t="n">
        <v>67.01690000000002</v>
      </c>
      <c r="Q34" s="456" t="n">
        <v>143.2002000000001</v>
      </c>
      <c r="R34" s="456" t="n">
        <v>78.2991</v>
      </c>
      <c r="T34" s="456" t="n">
        <v>139.3005</v>
      </c>
    </row>
    <row r="35" hidden="1" outlineLevel="1" ht="12.9" customFormat="1" customHeight="1" s="458">
      <c r="A35" s="459" t="n"/>
      <c r="B35" s="178" t="inlineStr">
        <is>
          <t>difference</t>
        </is>
      </c>
      <c r="C35" s="456">
        <f>C32-C34</f>
        <v/>
      </c>
      <c r="D35" s="456" t="n"/>
      <c r="E35" s="456">
        <f>E32-E34</f>
        <v/>
      </c>
      <c r="F35" s="456">
        <f>F32-F34</f>
        <v/>
      </c>
      <c r="G35" s="456" t="n"/>
      <c r="H35" s="456">
        <f>H32-H34</f>
        <v/>
      </c>
      <c r="I35" s="456">
        <f>I32-I34</f>
        <v/>
      </c>
      <c r="J35" s="456" t="n"/>
      <c r="K35" s="456">
        <f>K32-K34</f>
        <v/>
      </c>
      <c r="L35" s="456">
        <f>L32-L34</f>
        <v/>
      </c>
      <c r="M35" s="456" t="n"/>
      <c r="N35" s="456">
        <f>N32-N34</f>
        <v/>
      </c>
      <c r="O35" s="456">
        <f>O32-O34</f>
        <v/>
      </c>
      <c r="P35" s="456" t="n"/>
      <c r="Q35" s="456">
        <f>Q32-Q34</f>
        <v/>
      </c>
      <c r="R35" s="456">
        <f>R32-R34</f>
        <v/>
      </c>
      <c r="S35" s="456" t="n"/>
      <c r="T35" s="456">
        <f>T32-T34</f>
        <v/>
      </c>
    </row>
    <row r="36" collapsed="1" ht="12.9" customHeight="1" s="343">
      <c r="B36" s="227" t="n"/>
      <c r="C36" s="435" t="n"/>
      <c r="D36" s="435" t="n"/>
      <c r="E36" s="435" t="n"/>
      <c r="F36" s="435" t="n"/>
      <c r="G36" s="435" t="n"/>
      <c r="H36" s="435" t="n"/>
      <c r="I36" s="435" t="n"/>
      <c r="J36" s="435" t="n"/>
      <c r="K36" s="435" t="n"/>
      <c r="L36" s="435" t="n"/>
      <c r="M36" s="435" t="n"/>
      <c r="N36" s="435" t="n"/>
    </row>
    <row r="37" ht="12.9" customHeight="1" s="343">
      <c r="B37" s="227" t="inlineStr">
        <is>
          <t>Tax Expense</t>
        </is>
      </c>
      <c r="C37" s="454" t="n"/>
      <c r="D37" s="454" t="n"/>
      <c r="E37" s="454" t="n"/>
      <c r="F37" s="454" t="n"/>
      <c r="G37" s="454" t="n"/>
      <c r="H37" s="454" t="n"/>
      <c r="I37" s="454" t="n"/>
      <c r="J37" s="454" t="n"/>
      <c r="K37" s="454" t="n"/>
      <c r="L37" s="454" t="n"/>
      <c r="M37" s="454" t="n"/>
      <c r="N37" s="454" t="n"/>
      <c r="O37" s="454" t="n"/>
      <c r="P37" s="454" t="n"/>
      <c r="Q37" s="454" t="n"/>
      <c r="R37" s="454" t="n"/>
      <c r="S37" s="454" t="n"/>
    </row>
    <row r="38" ht="12.9" customHeight="1" s="343">
      <c r="B38" s="225" t="inlineStr">
        <is>
          <t>Current Tax</t>
        </is>
      </c>
      <c r="C38" s="452" t="n">
        <v>6.72</v>
      </c>
      <c r="D38" s="453">
        <f>E38-C38</f>
        <v/>
      </c>
      <c r="E38" s="452" t="n">
        <v>15.15</v>
      </c>
      <c r="F38" s="452" t="n">
        <v>7.13</v>
      </c>
      <c r="G38" s="453">
        <f>H38-F38</f>
        <v/>
      </c>
      <c r="H38" s="452" t="n">
        <v>15.45</v>
      </c>
      <c r="I38" s="452" t="n">
        <v>6.13</v>
      </c>
      <c r="J38" s="453">
        <f>K38-I38</f>
        <v/>
      </c>
      <c r="K38" s="452" t="n">
        <v>18.15</v>
      </c>
      <c r="L38" s="452" t="n">
        <v>14.04</v>
      </c>
      <c r="M38" s="453">
        <f>N38-L38</f>
        <v/>
      </c>
      <c r="N38" s="452" t="n">
        <v>26.5</v>
      </c>
      <c r="O38" s="452" t="n">
        <v>12.5596</v>
      </c>
      <c r="P38" s="453">
        <f>Q38-O38</f>
        <v/>
      </c>
      <c r="Q38" s="452" t="n">
        <v>30.0692</v>
      </c>
      <c r="R38" s="452" t="n">
        <v>20.4941</v>
      </c>
      <c r="S38" s="453">
        <f>T38-R38</f>
        <v/>
      </c>
      <c r="T38" s="452" t="n">
        <v>34.6886</v>
      </c>
    </row>
    <row r="39" ht="12.9" customHeight="1" s="343">
      <c r="B39" s="234" t="inlineStr">
        <is>
          <t xml:space="preserve">  Earlier Years tax</t>
        </is>
      </c>
      <c r="C39" s="452" t="n">
        <v>0</v>
      </c>
      <c r="D39" s="453">
        <f>E39-C39</f>
        <v/>
      </c>
      <c r="E39" s="452" t="n">
        <v>-6.916</v>
      </c>
      <c r="F39" s="452" t="n">
        <v>0</v>
      </c>
      <c r="G39" s="453">
        <f>H39-F39</f>
        <v/>
      </c>
      <c r="H39" s="452" t="n">
        <v>-15.5737</v>
      </c>
      <c r="I39" s="452" t="n">
        <v>0</v>
      </c>
      <c r="J39" s="453">
        <f>K39-I39</f>
        <v/>
      </c>
      <c r="K39" s="452" t="n">
        <v>0</v>
      </c>
      <c r="L39" s="452" t="n">
        <v>0</v>
      </c>
      <c r="M39" s="453">
        <f>N39-L39</f>
        <v/>
      </c>
      <c r="N39" s="452" t="n">
        <v>-14.5115</v>
      </c>
      <c r="O39" s="452" t="n">
        <v>0</v>
      </c>
      <c r="P39" s="453">
        <f>Q39-O39</f>
        <v/>
      </c>
      <c r="Q39" s="452" t="n">
        <v>-3.4566</v>
      </c>
      <c r="R39" s="435" t="n">
        <v>0</v>
      </c>
      <c r="S39" s="453">
        <f>T39-R39</f>
        <v/>
      </c>
      <c r="T39" s="452" t="n">
        <v>-5.3208</v>
      </c>
    </row>
    <row r="40" ht="12.9" customHeight="1" s="343">
      <c r="B40" s="225" t="inlineStr">
        <is>
          <t>Deferred Tax Charge/(Credit)</t>
        </is>
      </c>
      <c r="C40" s="452" t="n">
        <v>-0.2848</v>
      </c>
      <c r="D40" s="453">
        <f>E40-C40</f>
        <v/>
      </c>
      <c r="E40" s="452" t="n">
        <v>-0.2922</v>
      </c>
      <c r="F40" s="452" t="n">
        <v>-0.6154999999999999</v>
      </c>
      <c r="G40" s="453">
        <f>H40-F40</f>
        <v/>
      </c>
      <c r="H40" s="452" t="n">
        <v>-0.8084999999999999</v>
      </c>
      <c r="I40" s="452" t="n">
        <v>-0.1702</v>
      </c>
      <c r="J40" s="453">
        <f>K40-I40</f>
        <v/>
      </c>
      <c r="K40" s="452" t="n">
        <v>0.4182</v>
      </c>
      <c r="L40" s="452" t="n">
        <v>-0.1333</v>
      </c>
      <c r="M40" s="453">
        <f>N40-L40</f>
        <v/>
      </c>
      <c r="N40" s="452" t="n">
        <v>0.7123999999999999</v>
      </c>
      <c r="O40" s="452" t="n">
        <v>-2.0961</v>
      </c>
      <c r="P40" s="453">
        <f>Q40-O40</f>
        <v/>
      </c>
      <c r="Q40" s="452" t="n">
        <v>-1.7151</v>
      </c>
      <c r="R40" s="452" t="n">
        <v>-0.5089</v>
      </c>
      <c r="S40" s="453">
        <f>T40-R40</f>
        <v/>
      </c>
      <c r="T40" s="452" t="n">
        <v>-0.4597</v>
      </c>
    </row>
    <row r="41" ht="12.9" customFormat="1" customHeight="1" s="436">
      <c r="A41" s="446" t="n"/>
      <c r="B41" s="227" t="inlineStr">
        <is>
          <t>Total Tax Expense</t>
        </is>
      </c>
      <c r="C41" s="436">
        <f>SUM(C38:C40)</f>
        <v/>
      </c>
      <c r="D41" s="436">
        <f>SUM(D38:D40)</f>
        <v/>
      </c>
      <c r="E41" s="436">
        <f>SUM(E38:E40)</f>
        <v/>
      </c>
      <c r="F41" s="436">
        <f>SUM(F38:F40)</f>
        <v/>
      </c>
      <c r="G41" s="436">
        <f>SUM(G38:G40)</f>
        <v/>
      </c>
      <c r="H41" s="436">
        <f>SUM(H38:H40)</f>
        <v/>
      </c>
      <c r="I41" s="436">
        <f>SUM(I38:I40)</f>
        <v/>
      </c>
      <c r="J41" s="436">
        <f>SUM(J38:J40)</f>
        <v/>
      </c>
      <c r="K41" s="436">
        <f>SUM(K38:K40)</f>
        <v/>
      </c>
      <c r="L41" s="436">
        <f>SUM(L38:L40)</f>
        <v/>
      </c>
      <c r="M41" s="436">
        <f>SUM(M38:M40)</f>
        <v/>
      </c>
      <c r="N41" s="436">
        <f>SUM(N38:N40)</f>
        <v/>
      </c>
      <c r="O41" s="436">
        <f>SUM(O38:O40)</f>
        <v/>
      </c>
      <c r="P41" s="436">
        <f>SUM(P38:P40)</f>
        <v/>
      </c>
      <c r="Q41" s="436">
        <f>SUM(Q38:Q40)</f>
        <v/>
      </c>
      <c r="R41" s="436">
        <f>SUM(R38:R40)</f>
        <v/>
      </c>
      <c r="S41" s="436">
        <f>SUM(S38:S40)</f>
        <v/>
      </c>
      <c r="T41" s="436">
        <f>SUM(T38:T40)</f>
        <v/>
      </c>
      <c r="U41" s="436">
        <f>U32*U62</f>
        <v/>
      </c>
      <c r="V41" s="436">
        <f>V32*V62</f>
        <v/>
      </c>
      <c r="W41" s="436">
        <f>U41+V41</f>
        <v/>
      </c>
      <c r="X41" s="436">
        <f>X32*X62</f>
        <v/>
      </c>
      <c r="Y41" s="436">
        <f>Y32*Y62</f>
        <v/>
      </c>
      <c r="Z41" s="436">
        <f>X41+Y41</f>
        <v/>
      </c>
      <c r="AA41" s="436">
        <f>AA32*AA62</f>
        <v/>
      </c>
      <c r="AB41" s="436">
        <f>AB32*AB62</f>
        <v/>
      </c>
      <c r="AC41" s="436">
        <f>AA41+AB41</f>
        <v/>
      </c>
      <c r="AD41" s="436">
        <f>AD32*AD62</f>
        <v/>
      </c>
      <c r="AE41" s="436">
        <f>AE32*AE62</f>
        <v/>
      </c>
      <c r="AF41" s="436">
        <f>AD41+AE41</f>
        <v/>
      </c>
      <c r="AG41" s="436">
        <f>AG32*AG62</f>
        <v/>
      </c>
      <c r="AH41" s="436">
        <f>AH32*AH62</f>
        <v/>
      </c>
      <c r="AI41" s="436">
        <f>AG41+AH41</f>
        <v/>
      </c>
    </row>
    <row r="42" ht="12.9" customHeight="1" s="343">
      <c r="B42" s="227" t="n"/>
      <c r="C42" s="435" t="n"/>
      <c r="D42" s="435" t="n"/>
      <c r="E42" s="435" t="n"/>
      <c r="F42" s="445" t="n"/>
      <c r="G42" s="435" t="n"/>
      <c r="H42" s="435" t="n"/>
      <c r="I42" s="445" t="n"/>
      <c r="J42" s="435" t="n"/>
      <c r="K42" s="435" t="n"/>
      <c r="L42" s="445" t="n"/>
      <c r="M42" s="435" t="n"/>
      <c r="N42" s="435" t="n"/>
    </row>
    <row r="43" ht="12.9" customHeight="1" s="343">
      <c r="B43" s="227" t="inlineStr">
        <is>
          <t>PAT</t>
        </is>
      </c>
      <c r="C43" s="436">
        <f>C32-C41</f>
        <v/>
      </c>
      <c r="D43" s="436">
        <f>D32-D41</f>
        <v/>
      </c>
      <c r="E43" s="436">
        <f>E32-E41</f>
        <v/>
      </c>
      <c r="F43" s="436">
        <f>F32-F41</f>
        <v/>
      </c>
      <c r="G43" s="436">
        <f>G32-G41</f>
        <v/>
      </c>
      <c r="H43" s="436">
        <f>H32-H41</f>
        <v/>
      </c>
      <c r="I43" s="436">
        <f>I32-I41</f>
        <v/>
      </c>
      <c r="J43" s="436">
        <f>J32-J41</f>
        <v/>
      </c>
      <c r="K43" s="436">
        <f>K32-K41</f>
        <v/>
      </c>
      <c r="L43" s="436">
        <f>L32-L41</f>
        <v/>
      </c>
      <c r="M43" s="436">
        <f>M32-M41</f>
        <v/>
      </c>
      <c r="N43" s="436">
        <f>N32-N41</f>
        <v/>
      </c>
      <c r="O43" s="436">
        <f>O32-O41</f>
        <v/>
      </c>
      <c r="P43" s="436">
        <f>P32-P41</f>
        <v/>
      </c>
      <c r="Q43" s="436">
        <f>Q32-Q41</f>
        <v/>
      </c>
      <c r="R43" s="436">
        <f>R32-R41</f>
        <v/>
      </c>
      <c r="S43" s="436">
        <f>S32-S41</f>
        <v/>
      </c>
      <c r="T43" s="436">
        <f>T32-T41</f>
        <v/>
      </c>
      <c r="U43" s="436">
        <f>U32-U41</f>
        <v/>
      </c>
      <c r="V43" s="436">
        <f>V32-V41</f>
        <v/>
      </c>
      <c r="W43" s="436">
        <f>W32-W41</f>
        <v/>
      </c>
      <c r="X43" s="436">
        <f>X32-X41</f>
        <v/>
      </c>
      <c r="Y43" s="436">
        <f>Y32-Y41</f>
        <v/>
      </c>
      <c r="Z43" s="436">
        <f>Z32-Z41</f>
        <v/>
      </c>
      <c r="AA43" s="436">
        <f>AA32-AA41</f>
        <v/>
      </c>
      <c r="AB43" s="436">
        <f>AB32-AB41</f>
        <v/>
      </c>
      <c r="AC43" s="436">
        <f>AC32-AC41</f>
        <v/>
      </c>
      <c r="AD43" s="436">
        <f>AD32-AD41</f>
        <v/>
      </c>
      <c r="AE43" s="436">
        <f>AE32-AE41</f>
        <v/>
      </c>
      <c r="AF43" s="436">
        <f>AF32-AF41</f>
        <v/>
      </c>
      <c r="AG43" s="436">
        <f>AG32-AG41</f>
        <v/>
      </c>
      <c r="AH43" s="436">
        <f>AH32-AH41</f>
        <v/>
      </c>
      <c r="AI43" s="436">
        <f>AI32-AI41</f>
        <v/>
      </c>
    </row>
    <row r="44" hidden="1" outlineLevel="1" ht="12.9" customFormat="1" customHeight="1" s="456">
      <c r="A44" s="457" t="n"/>
      <c r="B44" s="178" t="inlineStr">
        <is>
          <t>check</t>
        </is>
      </c>
      <c r="C44" s="456" t="n">
        <v>16.86320000000001</v>
      </c>
      <c r="E44" s="456" t="n">
        <v>53.52320000000002</v>
      </c>
      <c r="F44" s="456" t="n">
        <v>23.63839999999999</v>
      </c>
      <c r="H44" s="456" t="n">
        <v>62.05440000000002</v>
      </c>
      <c r="I44" s="456" t="n">
        <v>18.08630000000004</v>
      </c>
      <c r="K44" s="456" t="n">
        <v>51.43</v>
      </c>
      <c r="L44" s="456" t="n">
        <v>40.27990000000003</v>
      </c>
      <c r="N44" s="456" t="n">
        <v>103.475</v>
      </c>
      <c r="O44" s="456" t="n">
        <v>56.55340000000002</v>
      </c>
      <c r="Q44" s="456" t="n">
        <v>118.3027000000001</v>
      </c>
      <c r="R44" s="456" t="n">
        <v>58.3139</v>
      </c>
      <c r="S44" s="460" t="n"/>
      <c r="T44" s="456" t="n">
        <v>110.3924</v>
      </c>
      <c r="U44" s="460" t="n"/>
      <c r="V44" s="460" t="n"/>
      <c r="W44" s="460" t="n"/>
      <c r="X44" s="460" t="n"/>
      <c r="Y44" s="460" t="n"/>
      <c r="Z44" s="460" t="n"/>
      <c r="AA44" s="460" t="n"/>
      <c r="AB44" s="460" t="n"/>
      <c r="AC44" s="460" t="n"/>
      <c r="AD44" s="460" t="n"/>
      <c r="AE44" s="460" t="n"/>
      <c r="AF44" s="460" t="n"/>
      <c r="AG44" s="460" t="n"/>
      <c r="AH44" s="460" t="n"/>
      <c r="AI44" s="460" t="n"/>
    </row>
    <row r="45" hidden="1" outlineLevel="1" ht="12.9" customFormat="1" customHeight="1" s="456">
      <c r="A45" s="457" t="n"/>
      <c r="B45" s="178" t="inlineStr">
        <is>
          <t>difference</t>
        </is>
      </c>
      <c r="C45" s="460">
        <f>C43-C44</f>
        <v/>
      </c>
      <c r="D45" s="460" t="n"/>
      <c r="E45" s="460">
        <f>E43-E44</f>
        <v/>
      </c>
      <c r="F45" s="460">
        <f>F43-F44</f>
        <v/>
      </c>
      <c r="G45" s="460" t="n"/>
      <c r="H45" s="460">
        <f>H43-H44</f>
        <v/>
      </c>
      <c r="I45" s="460">
        <f>I43-I44</f>
        <v/>
      </c>
      <c r="J45" s="460" t="n"/>
      <c r="K45" s="460">
        <f>K43-K44</f>
        <v/>
      </c>
      <c r="L45" s="460">
        <f>L43-L44</f>
        <v/>
      </c>
      <c r="M45" s="460" t="n"/>
      <c r="N45" s="460">
        <f>N43-N44</f>
        <v/>
      </c>
      <c r="O45" s="460">
        <f>O43-O44</f>
        <v/>
      </c>
      <c r="P45" s="460" t="n"/>
      <c r="Q45" s="460">
        <f>Q43-Q44</f>
        <v/>
      </c>
      <c r="R45" s="460">
        <f>R43-R44</f>
        <v/>
      </c>
      <c r="S45" s="460" t="n"/>
      <c r="T45" s="456">
        <f>T43-T44</f>
        <v/>
      </c>
      <c r="U45" s="460" t="n"/>
      <c r="V45" s="460" t="n"/>
      <c r="W45" s="460" t="n"/>
      <c r="X45" s="460" t="n"/>
      <c r="Y45" s="460" t="n"/>
      <c r="Z45" s="460" t="n"/>
      <c r="AA45" s="460" t="n"/>
      <c r="AB45" s="460" t="n"/>
      <c r="AC45" s="460" t="n"/>
      <c r="AD45" s="460" t="n"/>
      <c r="AE45" s="460" t="n"/>
      <c r="AF45" s="460" t="n"/>
      <c r="AG45" s="460" t="n"/>
      <c r="AH45" s="460" t="n"/>
      <c r="AI45" s="460" t="n"/>
    </row>
    <row r="46" collapsed="1" ht="12.9" customFormat="1" customHeight="1" s="461">
      <c r="A46" s="462" t="n"/>
      <c r="B46" s="233" t="inlineStr">
        <is>
          <t>PAT Margin</t>
        </is>
      </c>
      <c r="C46" s="463">
        <f>C43/C8</f>
        <v/>
      </c>
      <c r="D46" s="463">
        <f>D43/D8</f>
        <v/>
      </c>
      <c r="E46" s="463">
        <f>E43/E8</f>
        <v/>
      </c>
      <c r="F46" s="463">
        <f>F43/F8</f>
        <v/>
      </c>
      <c r="G46" s="463">
        <f>G43/G8</f>
        <v/>
      </c>
      <c r="H46" s="463">
        <f>H43/H8</f>
        <v/>
      </c>
      <c r="I46" s="463">
        <f>I43/I8</f>
        <v/>
      </c>
      <c r="J46" s="463">
        <f>J43/J8</f>
        <v/>
      </c>
      <c r="K46" s="463">
        <f>K43/K8</f>
        <v/>
      </c>
      <c r="L46" s="463">
        <f>L43/L8</f>
        <v/>
      </c>
      <c r="M46" s="463">
        <f>M43/M8</f>
        <v/>
      </c>
      <c r="N46" s="463">
        <f>N43/N8</f>
        <v/>
      </c>
      <c r="O46" s="463">
        <f>O43/O8</f>
        <v/>
      </c>
      <c r="P46" s="463">
        <f>P43/P8</f>
        <v/>
      </c>
      <c r="Q46" s="463">
        <f>Q43/Q8</f>
        <v/>
      </c>
      <c r="R46" s="463">
        <f>R43/R8</f>
        <v/>
      </c>
      <c r="S46" s="463">
        <f>S43/S8</f>
        <v/>
      </c>
      <c r="T46" s="463">
        <f>T43/T8</f>
        <v/>
      </c>
      <c r="U46" s="463">
        <f>U43/U8</f>
        <v/>
      </c>
      <c r="V46" s="463">
        <f>V43/V8</f>
        <v/>
      </c>
      <c r="W46" s="463">
        <f>W43/W8</f>
        <v/>
      </c>
      <c r="X46" s="463">
        <f>X43/X8</f>
        <v/>
      </c>
      <c r="Y46" s="463">
        <f>Y43/Y8</f>
        <v/>
      </c>
      <c r="Z46" s="463">
        <f>Z43/Z8</f>
        <v/>
      </c>
      <c r="AA46" s="463">
        <f>AA43/AA8</f>
        <v/>
      </c>
      <c r="AB46" s="463">
        <f>AB43/AB8</f>
        <v/>
      </c>
      <c r="AC46" s="463">
        <f>AC43/AC8</f>
        <v/>
      </c>
      <c r="AD46" s="463">
        <f>AD43/AD8</f>
        <v/>
      </c>
      <c r="AE46" s="463">
        <f>AE43/AE8</f>
        <v/>
      </c>
      <c r="AF46" s="463">
        <f>AF43/AF8</f>
        <v/>
      </c>
      <c r="AG46" s="463">
        <f>AG43/AG8</f>
        <v/>
      </c>
      <c r="AH46" s="463">
        <f>AH43/AH8</f>
        <v/>
      </c>
      <c r="AI46" s="463">
        <f>AI43/AI8</f>
        <v/>
      </c>
    </row>
    <row r="47" ht="12.9" customHeight="1" s="343">
      <c r="B47" s="225" t="n"/>
      <c r="C47" s="435" t="n"/>
      <c r="E47" s="464" t="n"/>
      <c r="H47" s="464" t="n"/>
      <c r="P47" s="434" t="n"/>
      <c r="Q47" s="434" t="n"/>
    </row>
    <row r="48" ht="12.9" customHeight="1" s="343">
      <c r="B48" s="235" t="inlineStr">
        <is>
          <t>Outstanding Shares (in crores)</t>
        </is>
      </c>
      <c r="C48" s="452" t="n">
        <v>2.00025</v>
      </c>
      <c r="D48" s="452" t="n">
        <v>2.00025</v>
      </c>
      <c r="E48" s="452" t="n">
        <v>2.00025</v>
      </c>
      <c r="F48" s="452" t="n">
        <v>2.00025</v>
      </c>
      <c r="G48" s="452" t="n">
        <v>2.00025</v>
      </c>
      <c r="H48" s="452" t="n">
        <v>2.00025</v>
      </c>
      <c r="I48" s="452" t="n">
        <v>2.00025</v>
      </c>
      <c r="J48" s="452" t="n">
        <v>2.00025</v>
      </c>
      <c r="K48" s="452" t="n">
        <v>2.00025</v>
      </c>
      <c r="L48" s="452" t="n">
        <v>2.00025</v>
      </c>
      <c r="M48" s="452" t="n">
        <v>2.00025</v>
      </c>
      <c r="N48" s="452" t="n">
        <v>2.00025</v>
      </c>
      <c r="O48" s="452" t="n">
        <v>2.00025</v>
      </c>
      <c r="P48" s="452" t="n">
        <v>2.00265</v>
      </c>
      <c r="Q48" s="452" t="n">
        <v>2.00265</v>
      </c>
      <c r="R48" s="452" t="n">
        <v>2.00265</v>
      </c>
      <c r="S48" s="452" t="n">
        <v>2.00315</v>
      </c>
      <c r="T48" s="452" t="n">
        <v>2.00315</v>
      </c>
      <c r="U48" s="134">
        <f>T48</f>
        <v/>
      </c>
      <c r="V48" s="134">
        <f>U48</f>
        <v/>
      </c>
      <c r="W48" s="134">
        <f>V48</f>
        <v/>
      </c>
      <c r="X48" s="134">
        <f>W48</f>
        <v/>
      </c>
      <c r="Y48" s="134">
        <f>X48</f>
        <v/>
      </c>
      <c r="Z48" s="134">
        <f>Y48</f>
        <v/>
      </c>
      <c r="AA48" s="134">
        <f>Z48</f>
        <v/>
      </c>
      <c r="AB48" s="134">
        <f>AA48</f>
        <v/>
      </c>
      <c r="AC48" s="134">
        <f>AB48</f>
        <v/>
      </c>
      <c r="AD48" s="134">
        <f>AC48</f>
        <v/>
      </c>
      <c r="AE48" s="134">
        <f>AD48</f>
        <v/>
      </c>
      <c r="AF48" s="134">
        <f>AE48</f>
        <v/>
      </c>
      <c r="AG48" s="134">
        <f>AF48</f>
        <v/>
      </c>
      <c r="AH48" s="134">
        <f>AG48</f>
        <v/>
      </c>
      <c r="AI48" s="134">
        <f>AH48</f>
        <v/>
      </c>
    </row>
    <row r="49" ht="12.9" customHeight="1" s="343">
      <c r="B49" s="235" t="inlineStr">
        <is>
          <t>EPS</t>
        </is>
      </c>
      <c r="C49" s="435">
        <f>C43/C48</f>
        <v/>
      </c>
      <c r="D49" s="435">
        <f>D43/D48</f>
        <v/>
      </c>
      <c r="E49" s="435">
        <f>E43/E48</f>
        <v/>
      </c>
      <c r="F49" s="435">
        <f>F43/F48</f>
        <v/>
      </c>
      <c r="G49" s="435">
        <f>G43/G48</f>
        <v/>
      </c>
      <c r="H49" s="435">
        <f>H43/H48</f>
        <v/>
      </c>
      <c r="I49" s="435">
        <f>I43/I48</f>
        <v/>
      </c>
      <c r="J49" s="435">
        <f>J43/J48</f>
        <v/>
      </c>
      <c r="K49" s="435">
        <f>K43/K48</f>
        <v/>
      </c>
      <c r="L49" s="435">
        <f>L43/L48</f>
        <v/>
      </c>
      <c r="M49" s="435">
        <f>M43/M48</f>
        <v/>
      </c>
      <c r="N49" s="435">
        <f>N43/N48</f>
        <v/>
      </c>
      <c r="O49" s="435">
        <f>O43/O48</f>
        <v/>
      </c>
      <c r="P49" s="435">
        <f>P43/P48</f>
        <v/>
      </c>
      <c r="Q49" s="435">
        <f>Q43/Q48</f>
        <v/>
      </c>
      <c r="R49" s="435">
        <f>R43/R48</f>
        <v/>
      </c>
      <c r="S49" s="435">
        <f>S43/S48</f>
        <v/>
      </c>
      <c r="T49" s="435">
        <f>T43/T48</f>
        <v/>
      </c>
      <c r="U49" s="435">
        <f>U43/U48</f>
        <v/>
      </c>
      <c r="V49" s="435">
        <f>V43/V48</f>
        <v/>
      </c>
      <c r="W49" s="435">
        <f>W43/W48</f>
        <v/>
      </c>
      <c r="X49" s="435">
        <f>X43/X48</f>
        <v/>
      </c>
      <c r="Y49" s="435">
        <f>Y43/Y48</f>
        <v/>
      </c>
      <c r="Z49" s="435">
        <f>Z43/Z48</f>
        <v/>
      </c>
      <c r="AA49" s="435">
        <f>AA43/AA48</f>
        <v/>
      </c>
      <c r="AB49" s="435">
        <f>AB43/AB48</f>
        <v/>
      </c>
      <c r="AC49" s="435">
        <f>AC43/AC48</f>
        <v/>
      </c>
      <c r="AD49" s="435">
        <f>AD43/AD48</f>
        <v/>
      </c>
      <c r="AE49" s="435">
        <f>AE43/AE48</f>
        <v/>
      </c>
      <c r="AF49" s="435">
        <f>AF43/AF48</f>
        <v/>
      </c>
      <c r="AG49" s="435">
        <f>AG43/AG48</f>
        <v/>
      </c>
      <c r="AH49" s="435">
        <f>AH43/AH48</f>
        <v/>
      </c>
      <c r="AI49" s="435">
        <f>AI43/AI48</f>
        <v/>
      </c>
    </row>
    <row r="50" ht="12.9" customHeight="1" s="343">
      <c r="B50" s="235" t="inlineStr">
        <is>
          <t>MPS</t>
        </is>
      </c>
      <c r="C50" s="452" t="n">
        <v>275.15</v>
      </c>
      <c r="D50" s="452" t="n">
        <v>331.9</v>
      </c>
      <c r="E50" s="452" t="n">
        <v>331.9</v>
      </c>
      <c r="F50" s="452" t="n">
        <v>505.85</v>
      </c>
      <c r="G50" s="452" t="n">
        <v>400.45</v>
      </c>
      <c r="H50" s="452" t="n">
        <v>400.45</v>
      </c>
      <c r="I50" s="452" t="n">
        <v>424.93</v>
      </c>
      <c r="J50" s="452" t="n">
        <v>699.45</v>
      </c>
      <c r="K50" s="452" t="n">
        <v>699.45</v>
      </c>
      <c r="L50" s="452" t="n">
        <v>1196.93</v>
      </c>
      <c r="M50" s="452" t="n">
        <v>1949.25</v>
      </c>
      <c r="N50" s="452" t="n">
        <v>1949.25</v>
      </c>
      <c r="O50" s="452" t="n">
        <v>3148.85</v>
      </c>
      <c r="P50" s="452" t="n">
        <v>2991.2</v>
      </c>
      <c r="Q50" s="452" t="n">
        <v>2991.2</v>
      </c>
      <c r="R50" s="452" t="n">
        <v>2447.3</v>
      </c>
      <c r="S50" s="452" t="n">
        <v>1840.1</v>
      </c>
      <c r="T50" s="452" t="n">
        <v>1840.1</v>
      </c>
    </row>
    <row r="51" ht="12.9" customHeight="1" s="343">
      <c r="B51" s="235" t="inlineStr">
        <is>
          <t>Market Cap</t>
        </is>
      </c>
      <c r="C51" s="453">
        <f>C48*C50</f>
        <v/>
      </c>
      <c r="D51" s="453">
        <f>D48*D50</f>
        <v/>
      </c>
      <c r="E51" s="453">
        <f>E48*E50</f>
        <v/>
      </c>
      <c r="F51" s="453">
        <f>F48*F50</f>
        <v/>
      </c>
      <c r="G51" s="453">
        <f>G48*G50</f>
        <v/>
      </c>
      <c r="H51" s="453">
        <f>H48*H50</f>
        <v/>
      </c>
      <c r="I51" s="453">
        <f>I48*I50</f>
        <v/>
      </c>
      <c r="J51" s="453">
        <f>J48*J50</f>
        <v/>
      </c>
      <c r="K51" s="453">
        <f>K48*K50</f>
        <v/>
      </c>
      <c r="L51" s="453">
        <f>L48*L50</f>
        <v/>
      </c>
      <c r="M51" s="453">
        <f>M48*M50</f>
        <v/>
      </c>
      <c r="N51" s="453">
        <f>N48*N50</f>
        <v/>
      </c>
      <c r="O51" s="453">
        <f>O48*O50</f>
        <v/>
      </c>
      <c r="P51" s="453">
        <f>P48*P50</f>
        <v/>
      </c>
      <c r="Q51" s="453">
        <f>Q48*Q50</f>
        <v/>
      </c>
      <c r="R51" s="453">
        <f>R48*R50</f>
        <v/>
      </c>
      <c r="S51" s="453">
        <f>S48*S50</f>
        <v/>
      </c>
      <c r="T51" s="453">
        <f>T48*T50</f>
        <v/>
      </c>
    </row>
    <row r="52" ht="12.9" customFormat="1" customHeight="1" s="262">
      <c r="B52" s="263" t="inlineStr">
        <is>
          <t>Results Date</t>
        </is>
      </c>
      <c r="C52" s="264" t="inlineStr">
        <is>
          <t>31/10/2020</t>
        </is>
      </c>
      <c r="D52" s="264">
        <f>E52</f>
        <v/>
      </c>
      <c r="E52" s="264" t="inlineStr">
        <is>
          <t>14/05/2021</t>
        </is>
      </c>
      <c r="F52" s="264" t="inlineStr">
        <is>
          <t>26/10/2021</t>
        </is>
      </c>
      <c r="G52" s="264">
        <f>H52</f>
        <v/>
      </c>
      <c r="H52" s="264" t="inlineStr">
        <is>
          <t>17/05/2022</t>
        </is>
      </c>
      <c r="I52" s="264" t="inlineStr">
        <is>
          <t>17/10/2022</t>
        </is>
      </c>
      <c r="J52" s="264">
        <f>K52</f>
        <v/>
      </c>
      <c r="K52" s="264" t="inlineStr">
        <is>
          <t>17/05/2023</t>
        </is>
      </c>
      <c r="L52" s="264" t="inlineStr">
        <is>
          <t>30/10/2023</t>
        </is>
      </c>
      <c r="M52" s="264">
        <f>N52</f>
        <v/>
      </c>
      <c r="N52" s="264" t="n">
        <v>45387</v>
      </c>
      <c r="O52" s="264" t="inlineStr">
        <is>
          <t>26/10/2024</t>
        </is>
      </c>
      <c r="P52" s="264">
        <f>Q52</f>
        <v/>
      </c>
      <c r="Q52" s="264" t="inlineStr">
        <is>
          <t>13/05/2025</t>
        </is>
      </c>
      <c r="R52" s="264" t="n">
        <v>45941</v>
      </c>
      <c r="S52" s="264">
        <f>T52</f>
        <v/>
      </c>
      <c r="T52" s="264" t="inlineStr">
        <is>
          <t>28/05/2026</t>
        </is>
      </c>
    </row>
    <row r="53" ht="12.9" customHeight="1" s="343">
      <c r="B53" s="235" t="inlineStr">
        <is>
          <t>Dividend per Share</t>
        </is>
      </c>
      <c r="C53" s="452" t="n">
        <v>7</v>
      </c>
      <c r="D53" s="452" t="n"/>
      <c r="E53" s="452" t="n">
        <v>7</v>
      </c>
      <c r="F53" s="452" t="n">
        <v>7</v>
      </c>
      <c r="G53" s="452" t="n"/>
      <c r="H53" s="452" t="n">
        <v>7</v>
      </c>
      <c r="I53" s="452" t="n">
        <v>8</v>
      </c>
      <c r="J53" s="453" t="n"/>
      <c r="K53" s="452" t="n">
        <v>8</v>
      </c>
      <c r="L53" s="452" t="n">
        <v>15</v>
      </c>
      <c r="M53" s="453" t="n"/>
      <c r="N53" s="452" t="n">
        <v>15</v>
      </c>
      <c r="O53" s="452" t="n">
        <v>15</v>
      </c>
      <c r="P53" s="453" t="n"/>
      <c r="Q53" s="452" t="n">
        <v>15</v>
      </c>
      <c r="R53" s="452" t="n">
        <v>17</v>
      </c>
      <c r="T53" s="435">
        <f>SUM(R53:S53)</f>
        <v/>
      </c>
      <c r="U53" s="435">
        <f>U56/U48</f>
        <v/>
      </c>
      <c r="W53" s="435">
        <f>W49*W55</f>
        <v/>
      </c>
      <c r="X53" s="435">
        <f>X56/X48</f>
        <v/>
      </c>
      <c r="Z53" s="435">
        <f>Z49*Z55</f>
        <v/>
      </c>
      <c r="AA53" s="435">
        <f>AA56/AA48</f>
        <v/>
      </c>
      <c r="AC53" s="435">
        <f>AC49*AC55</f>
        <v/>
      </c>
      <c r="AD53" s="435">
        <f>AD56/AD48</f>
        <v/>
      </c>
      <c r="AF53" s="435">
        <f>AF49*AF55</f>
        <v/>
      </c>
      <c r="AG53" s="435">
        <f>AG56/AG48</f>
        <v/>
      </c>
      <c r="AI53" s="435">
        <f>AI49*AI55</f>
        <v/>
      </c>
    </row>
    <row r="54" ht="12.9" customHeight="1" s="343">
      <c r="B54" s="235" t="inlineStr">
        <is>
          <t>Dividend Yield</t>
        </is>
      </c>
      <c r="C54" s="465">
        <f>C53/C50</f>
        <v/>
      </c>
      <c r="E54" s="465">
        <f>E53/E50</f>
        <v/>
      </c>
      <c r="F54" s="465">
        <f>F53/F50</f>
        <v/>
      </c>
      <c r="H54" s="465">
        <f>H53/H50</f>
        <v/>
      </c>
      <c r="I54" s="465">
        <f>I53/I50</f>
        <v/>
      </c>
      <c r="J54" s="453" t="n"/>
      <c r="K54" s="465">
        <f>K53/K50</f>
        <v/>
      </c>
      <c r="L54" s="465">
        <f>L53/L50</f>
        <v/>
      </c>
      <c r="M54" s="453" t="n"/>
      <c r="N54" s="465">
        <f>N53/N50</f>
        <v/>
      </c>
      <c r="O54" s="465">
        <f>O53/O50</f>
        <v/>
      </c>
      <c r="P54" s="453" t="n"/>
      <c r="Q54" s="465">
        <f>Q53/Q50</f>
        <v/>
      </c>
      <c r="R54" s="465">
        <f>R53/R50</f>
        <v/>
      </c>
      <c r="T54" s="465">
        <f>T53/T50</f>
        <v/>
      </c>
    </row>
    <row r="55" ht="12.9" customHeight="1" s="343">
      <c r="B55" s="235" t="inlineStr">
        <is>
          <t>Dividend payout ratio</t>
        </is>
      </c>
      <c r="C55" s="465" t="n"/>
      <c r="D55" s="453" t="n"/>
      <c r="E55" s="465">
        <f>E53/E49</f>
        <v/>
      </c>
      <c r="F55" s="465" t="n"/>
      <c r="G55" s="453" t="n"/>
      <c r="H55" s="465">
        <f>H53/H49</f>
        <v/>
      </c>
      <c r="I55" s="465" t="n"/>
      <c r="J55" s="453" t="n"/>
      <c r="K55" s="465">
        <f>K53/K49</f>
        <v/>
      </c>
      <c r="L55" s="465">
        <f>L53/L49</f>
        <v/>
      </c>
      <c r="M55" s="453" t="n"/>
      <c r="N55" s="465">
        <f>N53/N49</f>
        <v/>
      </c>
      <c r="O55" s="465" t="n"/>
      <c r="P55" s="453" t="n"/>
      <c r="Q55" s="465">
        <f>Q53/Q49</f>
        <v/>
      </c>
      <c r="R55" s="465">
        <f>R53/R49</f>
        <v/>
      </c>
      <c r="T55" s="465">
        <f>T53/T49</f>
        <v/>
      </c>
      <c r="U55" s="455" t="n"/>
      <c r="V55" s="455" t="n"/>
      <c r="W55" s="455" t="n">
        <v>0.4</v>
      </c>
      <c r="X55" s="455" t="n"/>
      <c r="Y55" s="455" t="n"/>
      <c r="Z55" s="455">
        <f>W55+5%</f>
        <v/>
      </c>
      <c r="AA55" s="455" t="n"/>
      <c r="AB55" s="455" t="n"/>
      <c r="AC55" s="455">
        <f>Z55+5%</f>
        <v/>
      </c>
      <c r="AD55" s="455" t="n"/>
      <c r="AE55" s="455" t="n"/>
      <c r="AF55" s="455">
        <f>AC55+5%</f>
        <v/>
      </c>
      <c r="AG55" s="455" t="n"/>
      <c r="AH55" s="455" t="n"/>
      <c r="AI55" s="455">
        <f>AF55+5%</f>
        <v/>
      </c>
    </row>
    <row r="56" ht="12.9" customHeight="1" s="343">
      <c r="B56" s="235" t="inlineStr">
        <is>
          <t>Dividend Paid</t>
        </is>
      </c>
      <c r="C56" s="452" t="n">
        <v>0.0005999999999999999</v>
      </c>
      <c r="D56" s="466">
        <f>E56-C56</f>
        <v/>
      </c>
      <c r="E56" s="452" t="n">
        <v>7.0228</v>
      </c>
      <c r="F56" s="452" t="n">
        <v>6.7938</v>
      </c>
      <c r="G56" s="466">
        <f>H56-F56</f>
        <v/>
      </c>
      <c r="H56" s="452" t="n">
        <v>6.7964</v>
      </c>
      <c r="I56" s="452" t="n">
        <v>7.8133</v>
      </c>
      <c r="J56" s="466">
        <f>K56-I56</f>
        <v/>
      </c>
      <c r="K56" s="452" t="n">
        <v>7.81</v>
      </c>
      <c r="L56" s="452" t="n">
        <v>14.6934</v>
      </c>
      <c r="M56" s="466">
        <f>N56-L56</f>
        <v/>
      </c>
      <c r="N56" s="452" t="n">
        <v>14.6675</v>
      </c>
      <c r="O56" s="452" t="n">
        <v>39.2369</v>
      </c>
      <c r="P56" s="466" t="n"/>
      <c r="Q56" s="435">
        <f>SUM(O56:P56)</f>
        <v/>
      </c>
      <c r="R56" s="452" t="n">
        <v>33.5658</v>
      </c>
      <c r="T56" s="435">
        <f>SUM(R56:S56)</f>
        <v/>
      </c>
      <c r="U56" s="435">
        <f>W56</f>
        <v/>
      </c>
      <c r="V56" s="435">
        <f>V53*V48</f>
        <v/>
      </c>
      <c r="W56" s="435">
        <f>W53*W48</f>
        <v/>
      </c>
      <c r="X56" s="435">
        <f>Z56</f>
        <v/>
      </c>
      <c r="Y56" s="435">
        <f>Y53*Y48</f>
        <v/>
      </c>
      <c r="Z56" s="435">
        <f>Z53*Z48</f>
        <v/>
      </c>
      <c r="AA56" s="435">
        <f>AC56</f>
        <v/>
      </c>
      <c r="AB56" s="435">
        <f>AB53*AB48</f>
        <v/>
      </c>
      <c r="AC56" s="435">
        <f>AC53*AC48</f>
        <v/>
      </c>
      <c r="AD56" s="435">
        <f>AF56</f>
        <v/>
      </c>
      <c r="AE56" s="435">
        <f>AE53*AE48</f>
        <v/>
      </c>
      <c r="AF56" s="435">
        <f>AF53*AF48</f>
        <v/>
      </c>
      <c r="AG56" s="435">
        <f>AI56</f>
        <v/>
      </c>
      <c r="AH56" s="435">
        <f>AH53*AH48</f>
        <v/>
      </c>
      <c r="AI56" s="435">
        <f>AI53*AI48</f>
        <v/>
      </c>
    </row>
    <row r="57" ht="12.9" customHeight="1" s="343">
      <c r="B57" s="233" t="n"/>
      <c r="C57" s="436" t="n"/>
      <c r="D57" s="436" t="n"/>
      <c r="E57" s="436" t="n"/>
      <c r="F57" s="436" t="n"/>
      <c r="G57" s="436" t="n"/>
      <c r="H57" s="436" t="n"/>
      <c r="I57" s="436" t="n"/>
      <c r="J57" s="436" t="n"/>
      <c r="K57" s="436" t="n"/>
      <c r="L57" s="436" t="n"/>
      <c r="M57" s="436" t="n"/>
      <c r="N57" s="436" t="n"/>
      <c r="O57" s="436" t="n"/>
      <c r="P57" s="436" t="n"/>
      <c r="Q57" s="436" t="n"/>
      <c r="R57" s="436" t="n"/>
    </row>
    <row r="58" ht="12.9" customHeight="1" s="343">
      <c r="B58" s="12" t="inlineStr">
        <is>
          <t>Other Expenses as % of Revenue</t>
        </is>
      </c>
      <c r="C58" s="12" t="n"/>
      <c r="D58" s="12" t="n"/>
      <c r="E58" s="454">
        <f>E22/E8</f>
        <v/>
      </c>
      <c r="F58" s="454">
        <f>F22/F8</f>
        <v/>
      </c>
      <c r="G58" s="454">
        <f>G22/G8</f>
        <v/>
      </c>
      <c r="H58" s="454">
        <f>H22/H8</f>
        <v/>
      </c>
      <c r="I58" s="454">
        <f>I22/I8</f>
        <v/>
      </c>
      <c r="J58" s="454">
        <f>J22/J8</f>
        <v/>
      </c>
      <c r="K58" s="454">
        <f>K22/K8</f>
        <v/>
      </c>
      <c r="L58" s="454">
        <f>L22/L8</f>
        <v/>
      </c>
      <c r="M58" s="454">
        <f>M22/M8</f>
        <v/>
      </c>
      <c r="N58" s="454">
        <f>N22/N8</f>
        <v/>
      </c>
      <c r="O58" s="454">
        <f>O22/O8</f>
        <v/>
      </c>
      <c r="P58" s="454">
        <f>P22/P8</f>
        <v/>
      </c>
      <c r="Q58" s="454">
        <f>Q22/Q8</f>
        <v/>
      </c>
      <c r="R58" s="454">
        <f>R22/R8</f>
        <v/>
      </c>
      <c r="S58" s="454">
        <f>S22/S8</f>
        <v/>
      </c>
      <c r="T58" s="454">
        <f>T22/T8</f>
        <v/>
      </c>
      <c r="U58" s="455" t="n">
        <v>0.25</v>
      </c>
      <c r="V58" s="455">
        <f>U58</f>
        <v/>
      </c>
      <c r="W58" s="454">
        <f>W22/W8</f>
        <v/>
      </c>
      <c r="X58" s="455">
        <f>W58</f>
        <v/>
      </c>
      <c r="Y58" s="455">
        <f>X58</f>
        <v/>
      </c>
      <c r="Z58" s="454">
        <f>Z22/Z8</f>
        <v/>
      </c>
      <c r="AA58" s="455">
        <f>Z58</f>
        <v/>
      </c>
      <c r="AB58" s="455">
        <f>AA58</f>
        <v/>
      </c>
      <c r="AC58" s="454">
        <f>AC22/AC8</f>
        <v/>
      </c>
      <c r="AD58" s="455">
        <f>AC58</f>
        <v/>
      </c>
      <c r="AE58" s="455">
        <f>AD58</f>
        <v/>
      </c>
      <c r="AF58" s="454">
        <f>AF22/AF8</f>
        <v/>
      </c>
      <c r="AG58" s="455">
        <f>AF58</f>
        <v/>
      </c>
      <c r="AH58" s="455">
        <f>AG58</f>
        <v/>
      </c>
      <c r="AI58" s="454">
        <f>AI22/AI8</f>
        <v/>
      </c>
    </row>
    <row r="59" ht="12.9" customHeight="1" s="343">
      <c r="B59" s="12" t="inlineStr">
        <is>
          <t xml:space="preserve">Average Debt </t>
        </is>
      </c>
      <c r="C59" s="21">
        <f>SUM('Balance Sheet'!C13,'Balance Sheet'!C19,'Balance Sheet'!B13,'Balance Sheet'!B19)/2</f>
        <v/>
      </c>
      <c r="D59" s="21">
        <f>SUM('Balance Sheet'!D13,'Balance Sheet'!D19,'Balance Sheet'!C13,'Balance Sheet'!C19)/2</f>
        <v/>
      </c>
      <c r="E59" s="21">
        <f>SUM('Balance Sheet'!E13,'Balance Sheet'!E19,'Balance Sheet'!D13,'Balance Sheet'!D19)/2</f>
        <v/>
      </c>
      <c r="F59" s="21">
        <f>SUM('Balance Sheet'!F13,'Balance Sheet'!F19,'Balance Sheet'!E13,'Balance Sheet'!E19)/2</f>
        <v/>
      </c>
      <c r="G59" s="21">
        <f>SUM('Balance Sheet'!G13,'Balance Sheet'!G19,'Balance Sheet'!F13,'Balance Sheet'!F19)/2</f>
        <v/>
      </c>
      <c r="H59" s="21">
        <f>SUM('Balance Sheet'!H13,'Balance Sheet'!H19,'Balance Sheet'!G13,'Balance Sheet'!G19)/2</f>
        <v/>
      </c>
      <c r="I59" s="21">
        <f>SUM('Balance Sheet'!I13,'Balance Sheet'!I19,'Balance Sheet'!H13,'Balance Sheet'!H19)/2</f>
        <v/>
      </c>
      <c r="J59" s="21">
        <f>SUM('Balance Sheet'!J13,'Balance Sheet'!J19,'Balance Sheet'!I13,'Balance Sheet'!I19)/2</f>
        <v/>
      </c>
      <c r="K59" s="21">
        <f>SUM('Balance Sheet'!K13,'Balance Sheet'!K19,'Balance Sheet'!J13,'Balance Sheet'!J19)/2</f>
        <v/>
      </c>
      <c r="L59" s="21">
        <f>SUM('Balance Sheet'!L13,'Balance Sheet'!L19,'Balance Sheet'!K13,'Balance Sheet'!K19)/2</f>
        <v/>
      </c>
      <c r="M59" s="21">
        <f>SUM('Balance Sheet'!M13,'Balance Sheet'!M19,'Balance Sheet'!L13,'Balance Sheet'!L19)/2</f>
        <v/>
      </c>
      <c r="N59" s="21">
        <f>SUM('Balance Sheet'!N13,'Balance Sheet'!N19,'Balance Sheet'!M13,'Balance Sheet'!M19)/2</f>
        <v/>
      </c>
      <c r="O59" s="21">
        <f>SUM('Balance Sheet'!O13,'Balance Sheet'!O19,'Balance Sheet'!N13,'Balance Sheet'!N19)/2</f>
        <v/>
      </c>
      <c r="P59" s="21">
        <f>SUM('Balance Sheet'!P13,'Balance Sheet'!P19,'Balance Sheet'!O13,'Balance Sheet'!O19)/2</f>
        <v/>
      </c>
      <c r="Q59" s="21">
        <f>SUM('Balance Sheet'!Q13,'Balance Sheet'!Q19,'Balance Sheet'!P13,'Balance Sheet'!P19)/2</f>
        <v/>
      </c>
      <c r="R59" s="21">
        <f>SUM('Balance Sheet'!R13,'Balance Sheet'!R19,'Balance Sheet'!Q13,'Balance Sheet'!Q19)/2</f>
        <v/>
      </c>
      <c r="S59" s="21">
        <f>SUM('Balance Sheet'!S13,'Balance Sheet'!S19,'Balance Sheet'!R13,'Balance Sheet'!R19)/2</f>
        <v/>
      </c>
      <c r="T59" s="21">
        <f>SUM('Balance Sheet'!T13,'Balance Sheet'!T19,'Balance Sheet'!S13,'Balance Sheet'!S19)/2</f>
        <v/>
      </c>
      <c r="U59" s="21">
        <f>SUM('Balance Sheet'!U13,'Balance Sheet'!U19,'Balance Sheet'!T13,'Balance Sheet'!T19)/2</f>
        <v/>
      </c>
      <c r="V59" s="21">
        <f>SUM('Balance Sheet'!V13,'Balance Sheet'!V19,'Balance Sheet'!U13,'Balance Sheet'!U19)/2</f>
        <v/>
      </c>
      <c r="W59" s="21">
        <f>SUM('Balance Sheet'!W13,'Balance Sheet'!W19,'Balance Sheet'!T13,'Balance Sheet'!T19)/2</f>
        <v/>
      </c>
      <c r="X59" s="21">
        <f>SUM('Balance Sheet'!X13,'Balance Sheet'!X19,'Balance Sheet'!W13,'Balance Sheet'!W19)/2</f>
        <v/>
      </c>
      <c r="Y59" s="21">
        <f>SUM('Balance Sheet'!Y13,'Balance Sheet'!Y19,'Balance Sheet'!X13,'Balance Sheet'!X19)/2</f>
        <v/>
      </c>
      <c r="Z59" s="21">
        <f>SUM('Balance Sheet'!Z13,'Balance Sheet'!Z19,'Balance Sheet'!W13,'Balance Sheet'!W19)/2</f>
        <v/>
      </c>
      <c r="AA59" s="21">
        <f>SUM('Balance Sheet'!AA13,'Balance Sheet'!AA19,'Balance Sheet'!Z13,'Balance Sheet'!Z19)/2</f>
        <v/>
      </c>
      <c r="AB59" s="21">
        <f>SUM('Balance Sheet'!AB13,'Balance Sheet'!AB19,'Balance Sheet'!AA13,'Balance Sheet'!AA19)/2</f>
        <v/>
      </c>
      <c r="AC59" s="21">
        <f>SUM('Balance Sheet'!AC13,'Balance Sheet'!AC19,'Balance Sheet'!Z13,'Balance Sheet'!Z19)/2</f>
        <v/>
      </c>
      <c r="AD59" s="21">
        <f>SUM('Balance Sheet'!AD13,'Balance Sheet'!AD19,'Balance Sheet'!AC13,'Balance Sheet'!AC19)/2</f>
        <v/>
      </c>
      <c r="AE59" s="21">
        <f>SUM('Balance Sheet'!AE13,'Balance Sheet'!AE19,'Balance Sheet'!AD13,'Balance Sheet'!AD19)/2</f>
        <v/>
      </c>
      <c r="AF59" s="21">
        <f>SUM('Balance Sheet'!AF13,'Balance Sheet'!AF19,'Balance Sheet'!AC13,'Balance Sheet'!AC19)/2</f>
        <v/>
      </c>
      <c r="AG59" s="21">
        <f>SUM('Balance Sheet'!AG13,'Balance Sheet'!AG19,'Balance Sheet'!AF13,'Balance Sheet'!AF19)/2</f>
        <v/>
      </c>
      <c r="AH59" s="21">
        <f>SUM('Balance Sheet'!AH13,'Balance Sheet'!AH19,'Balance Sheet'!AG13,'Balance Sheet'!AG19)/2</f>
        <v/>
      </c>
      <c r="AI59" s="21">
        <f>SUM('Balance Sheet'!AI13,'Balance Sheet'!AI19,'Balance Sheet'!AF13,'Balance Sheet'!AF19)/2</f>
        <v/>
      </c>
    </row>
    <row r="60" ht="12.9" customHeight="1" s="343">
      <c r="B60" s="12" t="inlineStr">
        <is>
          <t>Interest Rate</t>
        </is>
      </c>
      <c r="C60" s="454" t="n"/>
      <c r="D60" s="454" t="n"/>
      <c r="E60" s="454" t="n"/>
      <c r="F60" s="454" t="n"/>
      <c r="G60" s="454" t="n"/>
      <c r="H60" s="454" t="n"/>
      <c r="I60" s="454" t="n"/>
      <c r="J60" s="454">
        <f>J61*2/J59</f>
        <v/>
      </c>
      <c r="K60" s="454">
        <f>K61/K59</f>
        <v/>
      </c>
      <c r="L60" s="454">
        <f>L61*2/L59</f>
        <v/>
      </c>
      <c r="M60" s="454">
        <f>M61*2/M59</f>
        <v/>
      </c>
      <c r="N60" s="454">
        <f>N61/N59</f>
        <v/>
      </c>
      <c r="O60" s="454">
        <f>O61*2/O59</f>
        <v/>
      </c>
      <c r="P60" s="454">
        <f>P61*2/P59</f>
        <v/>
      </c>
      <c r="Q60" s="454">
        <f>Q61/Q59</f>
        <v/>
      </c>
      <c r="R60" s="454">
        <f>R61*2/R59</f>
        <v/>
      </c>
      <c r="S60" s="454">
        <f>S61*2/S59</f>
        <v/>
      </c>
      <c r="T60" s="454">
        <f>T61/T59</f>
        <v/>
      </c>
      <c r="U60" s="455">
        <f>S60</f>
        <v/>
      </c>
      <c r="V60" s="455">
        <f>U60</f>
        <v/>
      </c>
      <c r="W60" s="454">
        <f>W61/W59</f>
        <v/>
      </c>
      <c r="X60" s="455">
        <f>V60</f>
        <v/>
      </c>
      <c r="Y60" s="455">
        <f>X60</f>
        <v/>
      </c>
      <c r="Z60" s="454">
        <f>Z61/Z59</f>
        <v/>
      </c>
      <c r="AA60" s="455">
        <f>Y60</f>
        <v/>
      </c>
      <c r="AB60" s="455">
        <f>AA60</f>
        <v/>
      </c>
      <c r="AC60" s="454">
        <f>AC61/AC59</f>
        <v/>
      </c>
      <c r="AD60" s="455">
        <f>AB60</f>
        <v/>
      </c>
      <c r="AE60" s="455">
        <f>AD60</f>
        <v/>
      </c>
      <c r="AF60" s="454">
        <f>AF61/AF59</f>
        <v/>
      </c>
      <c r="AG60" s="455">
        <f>AE60</f>
        <v/>
      </c>
      <c r="AH60" s="455">
        <f>AG60</f>
        <v/>
      </c>
      <c r="AI60" s="454">
        <f>AI61/AI59</f>
        <v/>
      </c>
    </row>
    <row r="61" ht="12.9" customHeight="1" s="343">
      <c r="B61" s="12" t="inlineStr">
        <is>
          <t xml:space="preserve">Finance Cost  </t>
        </is>
      </c>
      <c r="C61" s="453">
        <f>'Income Statement'!C31</f>
        <v/>
      </c>
      <c r="D61" s="453">
        <f>'Income Statement'!D31</f>
        <v/>
      </c>
      <c r="E61" s="453">
        <f>'Income Statement'!E31</f>
        <v/>
      </c>
      <c r="F61" s="453">
        <f>'Income Statement'!F31</f>
        <v/>
      </c>
      <c r="G61" s="453">
        <f>'Income Statement'!G31</f>
        <v/>
      </c>
      <c r="H61" s="453">
        <f>'Income Statement'!H31</f>
        <v/>
      </c>
      <c r="I61" s="453">
        <f>'Income Statement'!I31</f>
        <v/>
      </c>
      <c r="J61" s="453">
        <f>'Income Statement'!J31</f>
        <v/>
      </c>
      <c r="K61" s="453">
        <f>'Income Statement'!K31</f>
        <v/>
      </c>
      <c r="L61" s="453">
        <f>'Income Statement'!L31</f>
        <v/>
      </c>
      <c r="M61" s="453">
        <f>'Income Statement'!M31</f>
        <v/>
      </c>
      <c r="N61" s="453">
        <f>'Income Statement'!N31</f>
        <v/>
      </c>
      <c r="O61" s="453">
        <f>'Income Statement'!O31</f>
        <v/>
      </c>
      <c r="P61" s="453">
        <f>'Income Statement'!P31</f>
        <v/>
      </c>
      <c r="Q61" s="453">
        <f>'Income Statement'!Q31</f>
        <v/>
      </c>
      <c r="R61" s="453">
        <f>'Income Statement'!R31</f>
        <v/>
      </c>
      <c r="S61" s="453">
        <f>'Income Statement'!S31</f>
        <v/>
      </c>
      <c r="T61" s="453">
        <f>'Income Statement'!T31</f>
        <v/>
      </c>
      <c r="U61" s="453">
        <f>U59*U60/2</f>
        <v/>
      </c>
      <c r="V61" s="453">
        <f>V59*V60/2</f>
        <v/>
      </c>
      <c r="W61" s="453">
        <f>U61+V61</f>
        <v/>
      </c>
      <c r="X61" s="453">
        <f>X59*X60/2</f>
        <v/>
      </c>
      <c r="Y61" s="453">
        <f>Y59*Y60/2</f>
        <v/>
      </c>
      <c r="Z61" s="453">
        <f>X61+Y61</f>
        <v/>
      </c>
      <c r="AA61" s="453">
        <f>AA59*AA60/2</f>
        <v/>
      </c>
      <c r="AB61" s="453">
        <f>AB59*AB60/2</f>
        <v/>
      </c>
      <c r="AC61" s="453">
        <f>AA61+AB61</f>
        <v/>
      </c>
      <c r="AD61" s="453">
        <f>AD59*AD60/2</f>
        <v/>
      </c>
      <c r="AE61" s="453">
        <f>AE59*AE60/2</f>
        <v/>
      </c>
      <c r="AF61" s="453">
        <f>AD61+AE61</f>
        <v/>
      </c>
      <c r="AG61" s="453">
        <f>AG59*AG60/2</f>
        <v/>
      </c>
      <c r="AH61" s="453">
        <f>AH59*AH60/2</f>
        <v/>
      </c>
      <c r="AI61" s="453">
        <f>AG61+AH61</f>
        <v/>
      </c>
    </row>
    <row r="62" ht="12.9" customHeight="1" s="343">
      <c r="B62" s="12" t="inlineStr">
        <is>
          <t>Effective Tax Rate</t>
        </is>
      </c>
      <c r="C62" s="454">
        <f>'Income Statement'!C41/'Income Statement'!C32</f>
        <v/>
      </c>
      <c r="D62" s="454">
        <f>'Income Statement'!D41/'Income Statement'!D32</f>
        <v/>
      </c>
      <c r="E62" s="454">
        <f>'Income Statement'!E41/'Income Statement'!E32</f>
        <v/>
      </c>
      <c r="F62" s="454">
        <f>'Income Statement'!F41/'Income Statement'!F32</f>
        <v/>
      </c>
      <c r="G62" s="454">
        <f>'Income Statement'!G41/'Income Statement'!G32</f>
        <v/>
      </c>
      <c r="H62" s="454">
        <f>'Income Statement'!H41/'Income Statement'!H32</f>
        <v/>
      </c>
      <c r="I62" s="454">
        <f>'Income Statement'!I41/'Income Statement'!I32</f>
        <v/>
      </c>
      <c r="J62" s="454">
        <f>'Income Statement'!J41/'Income Statement'!J32</f>
        <v/>
      </c>
      <c r="K62" s="454">
        <f>'Income Statement'!K41/'Income Statement'!K32</f>
        <v/>
      </c>
      <c r="L62" s="454">
        <f>'Income Statement'!L41/'Income Statement'!L32</f>
        <v/>
      </c>
      <c r="M62" s="454">
        <f>'Income Statement'!M41/'Income Statement'!M32</f>
        <v/>
      </c>
      <c r="N62" s="454">
        <f>'Income Statement'!N41/'Income Statement'!N32</f>
        <v/>
      </c>
      <c r="O62" s="454">
        <f>'Income Statement'!O41/'Income Statement'!O32</f>
        <v/>
      </c>
      <c r="P62" s="454">
        <f>'Income Statement'!P41/'Income Statement'!P32</f>
        <v/>
      </c>
      <c r="Q62" s="454">
        <f>'Income Statement'!Q41/'Income Statement'!Q32</f>
        <v/>
      </c>
      <c r="R62" s="454">
        <f>'Income Statement'!R41/'Income Statement'!R32</f>
        <v/>
      </c>
      <c r="S62" s="454">
        <f>'Income Statement'!S41/'Income Statement'!S32</f>
        <v/>
      </c>
      <c r="T62" s="454">
        <f>'Income Statement'!T41/'Income Statement'!T32</f>
        <v/>
      </c>
      <c r="U62" s="455">
        <f>Guidance!D19</f>
        <v/>
      </c>
      <c r="V62" s="455">
        <f>U62</f>
        <v/>
      </c>
      <c r="W62" s="454">
        <f>'Income Statement'!W41/'Income Statement'!W32</f>
        <v/>
      </c>
      <c r="X62" s="455">
        <f>V62</f>
        <v/>
      </c>
      <c r="Y62" s="455">
        <f>V62</f>
        <v/>
      </c>
      <c r="Z62" s="454">
        <f>'Income Statement'!Z41/'Income Statement'!Z32</f>
        <v/>
      </c>
      <c r="AA62" s="455">
        <f>Y62</f>
        <v/>
      </c>
      <c r="AB62" s="455">
        <f>Y62</f>
        <v/>
      </c>
      <c r="AC62" s="454">
        <f>'Income Statement'!AC41/'Income Statement'!AC32</f>
        <v/>
      </c>
      <c r="AD62" s="455">
        <f>AB62</f>
        <v/>
      </c>
      <c r="AE62" s="455">
        <f>AB62</f>
        <v/>
      </c>
      <c r="AF62" s="454">
        <f>'Income Statement'!AF41/'Income Statement'!AF32</f>
        <v/>
      </c>
      <c r="AG62" s="455">
        <f>AE62</f>
        <v/>
      </c>
      <c r="AH62" s="455">
        <f>AE62</f>
        <v/>
      </c>
      <c r="AI62" s="454">
        <f>'Income Statement'!AI41/'Income Statement'!AI32</f>
        <v/>
      </c>
    </row>
    <row r="63" ht="12.9" customHeight="1" s="343"/>
    <row r="64" ht="12.9" customHeight="1" s="343">
      <c r="B64" s="71" t="inlineStr">
        <is>
          <t>Ratio Analysis</t>
        </is>
      </c>
    </row>
    <row r="65" ht="12.9" customHeight="1" s="343">
      <c r="B65" s="12" t="inlineStr">
        <is>
          <t>Interest Coverage Ratio</t>
        </is>
      </c>
      <c r="C65" s="21">
        <f>'Income Statement'!C23/'Income Statement'!C31</f>
        <v/>
      </c>
      <c r="D65" s="21">
        <f>'Income Statement'!D23/'Income Statement'!D31</f>
        <v/>
      </c>
      <c r="E65" s="21">
        <f>'Income Statement'!E23/'Income Statement'!E31</f>
        <v/>
      </c>
      <c r="F65" s="21">
        <f>'Income Statement'!F23/'Income Statement'!F31</f>
        <v/>
      </c>
      <c r="G65" s="21">
        <f>'Income Statement'!G23/'Income Statement'!G31</f>
        <v/>
      </c>
      <c r="H65" s="21">
        <f>'Income Statement'!H23/'Income Statement'!H31</f>
        <v/>
      </c>
      <c r="I65" s="21">
        <f>'Income Statement'!I23/'Income Statement'!I31</f>
        <v/>
      </c>
      <c r="J65" s="21">
        <f>'Income Statement'!J23/'Income Statement'!J31</f>
        <v/>
      </c>
      <c r="K65" s="21">
        <f>'Income Statement'!K23/'Income Statement'!K31</f>
        <v/>
      </c>
      <c r="L65" s="21">
        <f>'Income Statement'!L23/'Income Statement'!L31</f>
        <v/>
      </c>
      <c r="M65" s="21">
        <f>'Income Statement'!M23/'Income Statement'!M31</f>
        <v/>
      </c>
      <c r="N65" s="21">
        <f>'Income Statement'!N23/'Income Statement'!N31</f>
        <v/>
      </c>
      <c r="O65" s="21">
        <f>'Income Statement'!O23/'Income Statement'!O31</f>
        <v/>
      </c>
      <c r="P65" s="21">
        <f>'Income Statement'!P23/'Income Statement'!P31</f>
        <v/>
      </c>
      <c r="Q65" s="21">
        <f>'Income Statement'!Q23/'Income Statement'!Q31</f>
        <v/>
      </c>
      <c r="R65" s="21">
        <f>'Income Statement'!R23/'Income Statement'!R31</f>
        <v/>
      </c>
      <c r="S65" s="21">
        <f>'Income Statement'!S23/'Income Statement'!S31</f>
        <v/>
      </c>
      <c r="T65" s="21">
        <f>'Income Statement'!T23/'Income Statement'!T31</f>
        <v/>
      </c>
      <c r="U65" s="21">
        <f>'Income Statement'!U23/'Income Statement'!U31</f>
        <v/>
      </c>
      <c r="V65" s="21">
        <f>'Income Statement'!V23/'Income Statement'!V31</f>
        <v/>
      </c>
      <c r="W65" s="21">
        <f>'Income Statement'!W23/'Income Statement'!W31</f>
        <v/>
      </c>
      <c r="X65" s="21">
        <f>'Income Statement'!X23/'Income Statement'!X31</f>
        <v/>
      </c>
      <c r="Y65" s="21">
        <f>'Income Statement'!Y23/'Income Statement'!Y31</f>
        <v/>
      </c>
      <c r="Z65" s="21">
        <f>'Income Statement'!Z23/'Income Statement'!Z31</f>
        <v/>
      </c>
      <c r="AA65" s="21">
        <f>'Income Statement'!AA23/'Income Statement'!AA31</f>
        <v/>
      </c>
      <c r="AB65" s="21">
        <f>'Income Statement'!AB23/'Income Statement'!AB31</f>
        <v/>
      </c>
      <c r="AC65" s="21">
        <f>'Income Statement'!AC23/'Income Statement'!AC31</f>
        <v/>
      </c>
      <c r="AD65" s="21">
        <f>'Income Statement'!AD23/'Income Statement'!AD31</f>
        <v/>
      </c>
      <c r="AE65" s="21">
        <f>'Income Statement'!AE23/'Income Statement'!AE31</f>
        <v/>
      </c>
      <c r="AF65" s="21">
        <f>'Income Statement'!AF23/'Income Statement'!AF31</f>
        <v/>
      </c>
      <c r="AG65" s="21">
        <f>'Income Statement'!AG23/'Income Statement'!AG31</f>
        <v/>
      </c>
      <c r="AH65" s="21">
        <f>'Income Statement'!AH23/'Income Statement'!AH31</f>
        <v/>
      </c>
      <c r="AI65" s="21">
        <f>'Income Statement'!AI23/'Income Statement'!AI31</f>
        <v/>
      </c>
    </row>
    <row r="66" ht="12.9" customHeight="1" s="343">
      <c r="B66" s="12" t="inlineStr">
        <is>
          <t>Gross Margin Ratio</t>
        </is>
      </c>
      <c r="C66" s="454">
        <f>'Income Statement'!C17/'Income Statement'!C8</f>
        <v/>
      </c>
      <c r="D66" s="454">
        <f>'Income Statement'!D17/'Income Statement'!D8</f>
        <v/>
      </c>
      <c r="E66" s="454">
        <f>'Income Statement'!E17/'Income Statement'!E8</f>
        <v/>
      </c>
      <c r="F66" s="454">
        <f>'Income Statement'!F17/'Income Statement'!F8</f>
        <v/>
      </c>
      <c r="G66" s="454">
        <f>'Income Statement'!G17/'Income Statement'!G8</f>
        <v/>
      </c>
      <c r="H66" s="454">
        <f>'Income Statement'!H17/'Income Statement'!H8</f>
        <v/>
      </c>
      <c r="I66" s="454">
        <f>'Income Statement'!I17/'Income Statement'!I8</f>
        <v/>
      </c>
      <c r="J66" s="454">
        <f>'Income Statement'!J17/'Income Statement'!J8</f>
        <v/>
      </c>
      <c r="K66" s="454">
        <f>'Income Statement'!K17/'Income Statement'!K8</f>
        <v/>
      </c>
      <c r="L66" s="454">
        <f>'Income Statement'!L17/'Income Statement'!L8</f>
        <v/>
      </c>
      <c r="M66" s="454">
        <f>'Income Statement'!M17/'Income Statement'!M8</f>
        <v/>
      </c>
      <c r="N66" s="454">
        <f>'Income Statement'!N17/'Income Statement'!N8</f>
        <v/>
      </c>
      <c r="O66" s="454">
        <f>'Income Statement'!O17/'Income Statement'!O8</f>
        <v/>
      </c>
      <c r="P66" s="454">
        <f>'Income Statement'!P17/'Income Statement'!P8</f>
        <v/>
      </c>
      <c r="Q66" s="454">
        <f>'Income Statement'!Q17/'Income Statement'!Q8</f>
        <v/>
      </c>
      <c r="R66" s="454">
        <f>'Income Statement'!R17/'Income Statement'!R8</f>
        <v/>
      </c>
      <c r="S66" s="454">
        <f>'Income Statement'!S17/'Income Statement'!S8</f>
        <v/>
      </c>
      <c r="T66" s="454">
        <f>'Income Statement'!T17/'Income Statement'!T8</f>
        <v/>
      </c>
      <c r="U66" s="454">
        <f>'Income Statement'!U17/'Income Statement'!U8</f>
        <v/>
      </c>
      <c r="V66" s="454">
        <f>'Income Statement'!V17/'Income Statement'!V8</f>
        <v/>
      </c>
      <c r="W66" s="454">
        <f>'Income Statement'!W17/'Income Statement'!W8</f>
        <v/>
      </c>
      <c r="X66" s="454">
        <f>'Income Statement'!X17/'Income Statement'!X8</f>
        <v/>
      </c>
      <c r="Y66" s="454">
        <f>'Income Statement'!Y17/'Income Statement'!Y8</f>
        <v/>
      </c>
      <c r="Z66" s="454">
        <f>'Income Statement'!Z17/'Income Statement'!Z8</f>
        <v/>
      </c>
      <c r="AA66" s="454">
        <f>'Income Statement'!AA17/'Income Statement'!AA8</f>
        <v/>
      </c>
      <c r="AB66" s="454">
        <f>'Income Statement'!AB17/'Income Statement'!AB8</f>
        <v/>
      </c>
      <c r="AC66" s="454">
        <f>'Income Statement'!AC17/'Income Statement'!AC8</f>
        <v/>
      </c>
      <c r="AD66" s="454">
        <f>'Income Statement'!AD17/'Income Statement'!AD8</f>
        <v/>
      </c>
      <c r="AE66" s="454">
        <f>'Income Statement'!AE17/'Income Statement'!AE8</f>
        <v/>
      </c>
      <c r="AF66" s="454">
        <f>'Income Statement'!AF17/'Income Statement'!AF8</f>
        <v/>
      </c>
      <c r="AG66" s="454">
        <f>'Income Statement'!AG17/'Income Statement'!AG8</f>
        <v/>
      </c>
      <c r="AH66" s="454">
        <f>'Income Statement'!AH17/'Income Statement'!AH8</f>
        <v/>
      </c>
      <c r="AI66" s="454">
        <f>'Income Statement'!AI17/'Income Statement'!AI8</f>
        <v/>
      </c>
    </row>
    <row r="67" ht="12.9" customHeight="1" s="343">
      <c r="B67" s="12" t="inlineStr">
        <is>
          <t>EBITDA Margin</t>
        </is>
      </c>
      <c r="C67" s="454">
        <f>'Income Statement'!C23/'Income Statement'!C8</f>
        <v/>
      </c>
      <c r="D67" s="454">
        <f>'Income Statement'!D23/'Income Statement'!D8</f>
        <v/>
      </c>
      <c r="E67" s="454">
        <f>'Income Statement'!E23/'Income Statement'!E8</f>
        <v/>
      </c>
      <c r="F67" s="454">
        <f>'Income Statement'!F23/'Income Statement'!F8</f>
        <v/>
      </c>
      <c r="G67" s="454">
        <f>'Income Statement'!G23/'Income Statement'!G8</f>
        <v/>
      </c>
      <c r="H67" s="454">
        <f>'Income Statement'!H23/'Income Statement'!H8</f>
        <v/>
      </c>
      <c r="I67" s="454">
        <f>'Income Statement'!I23/'Income Statement'!I8</f>
        <v/>
      </c>
      <c r="J67" s="454">
        <f>'Income Statement'!J23/'Income Statement'!J8</f>
        <v/>
      </c>
      <c r="K67" s="454">
        <f>'Income Statement'!K23/'Income Statement'!K8</f>
        <v/>
      </c>
      <c r="L67" s="454">
        <f>'Income Statement'!L23/'Income Statement'!L8</f>
        <v/>
      </c>
      <c r="M67" s="454">
        <f>'Income Statement'!M23/'Income Statement'!M8</f>
        <v/>
      </c>
      <c r="N67" s="454">
        <f>'Income Statement'!N23/'Income Statement'!N8</f>
        <v/>
      </c>
      <c r="O67" s="454">
        <f>'Income Statement'!O23/'Income Statement'!O8</f>
        <v/>
      </c>
      <c r="P67" s="454">
        <f>'Income Statement'!P23/'Income Statement'!P8</f>
        <v/>
      </c>
      <c r="Q67" s="454">
        <f>'Income Statement'!Q23/'Income Statement'!Q8</f>
        <v/>
      </c>
      <c r="R67" s="454">
        <f>'Income Statement'!R23/'Income Statement'!R8</f>
        <v/>
      </c>
      <c r="S67" s="454">
        <f>'Income Statement'!S23/'Income Statement'!S8</f>
        <v/>
      </c>
      <c r="T67" s="454">
        <f>'Income Statement'!T23/'Income Statement'!T8</f>
        <v/>
      </c>
      <c r="U67" s="454">
        <f>'Income Statement'!U23/'Income Statement'!U8</f>
        <v/>
      </c>
      <c r="V67" s="454">
        <f>'Income Statement'!V23/'Income Statement'!V8</f>
        <v/>
      </c>
      <c r="W67" s="454">
        <f>'Income Statement'!W23/'Income Statement'!W8</f>
        <v/>
      </c>
      <c r="X67" s="454">
        <f>'Income Statement'!X23/'Income Statement'!X8</f>
        <v/>
      </c>
      <c r="Y67" s="454">
        <f>'Income Statement'!Y23/'Income Statement'!Y8</f>
        <v/>
      </c>
      <c r="Z67" s="454">
        <f>'Income Statement'!Z23/'Income Statement'!Z8</f>
        <v/>
      </c>
      <c r="AA67" s="454">
        <f>'Income Statement'!AA23/'Income Statement'!AA8</f>
        <v/>
      </c>
      <c r="AB67" s="454">
        <f>'Income Statement'!AB23/'Income Statement'!AB8</f>
        <v/>
      </c>
      <c r="AC67" s="454">
        <f>'Income Statement'!AC23/'Income Statement'!AC8</f>
        <v/>
      </c>
      <c r="AD67" s="454">
        <f>'Income Statement'!AD23/'Income Statement'!AD8</f>
        <v/>
      </c>
      <c r="AE67" s="454">
        <f>'Income Statement'!AE23/'Income Statement'!AE8</f>
        <v/>
      </c>
      <c r="AF67" s="454">
        <f>'Income Statement'!AF23/'Income Statement'!AF8</f>
        <v/>
      </c>
      <c r="AG67" s="454">
        <f>'Income Statement'!AG23/'Income Statement'!AG8</f>
        <v/>
      </c>
      <c r="AH67" s="454">
        <f>'Income Statement'!AH23/'Income Statement'!AH8</f>
        <v/>
      </c>
      <c r="AI67" s="454">
        <f>'Income Statement'!AI23/'Income Statement'!AI8</f>
        <v/>
      </c>
    </row>
    <row r="68" ht="12.9" customHeight="1" s="343">
      <c r="B68" s="12" t="inlineStr">
        <is>
          <t>EBIT Margin</t>
        </is>
      </c>
      <c r="C68" s="454">
        <f>'Income Statement'!C27/'Income Statement'!C8</f>
        <v/>
      </c>
      <c r="D68" s="454">
        <f>'Income Statement'!D27/'Income Statement'!D8</f>
        <v/>
      </c>
      <c r="E68" s="454">
        <f>'Income Statement'!E27/'Income Statement'!E8</f>
        <v/>
      </c>
      <c r="F68" s="454">
        <f>'Income Statement'!F27/'Income Statement'!F8</f>
        <v/>
      </c>
      <c r="G68" s="454">
        <f>'Income Statement'!G27/'Income Statement'!G8</f>
        <v/>
      </c>
      <c r="H68" s="454">
        <f>'Income Statement'!H27/'Income Statement'!H8</f>
        <v/>
      </c>
      <c r="I68" s="454">
        <f>'Income Statement'!I27/'Income Statement'!I8</f>
        <v/>
      </c>
      <c r="J68" s="454">
        <f>'Income Statement'!J27/'Income Statement'!J8</f>
        <v/>
      </c>
      <c r="K68" s="454">
        <f>'Income Statement'!K27/'Income Statement'!K8</f>
        <v/>
      </c>
      <c r="L68" s="454">
        <f>'Income Statement'!L27/'Income Statement'!L8</f>
        <v/>
      </c>
      <c r="M68" s="454">
        <f>'Income Statement'!M27/'Income Statement'!M8</f>
        <v/>
      </c>
      <c r="N68" s="454">
        <f>'Income Statement'!N27/'Income Statement'!N8</f>
        <v/>
      </c>
      <c r="O68" s="454">
        <f>'Income Statement'!O27/'Income Statement'!O8</f>
        <v/>
      </c>
      <c r="P68" s="454">
        <f>'Income Statement'!P27/'Income Statement'!P8</f>
        <v/>
      </c>
      <c r="Q68" s="454">
        <f>'Income Statement'!Q27/'Income Statement'!Q8</f>
        <v/>
      </c>
      <c r="R68" s="454">
        <f>'Income Statement'!R27/'Income Statement'!R8</f>
        <v/>
      </c>
      <c r="S68" s="454">
        <f>'Income Statement'!S27/'Income Statement'!S8</f>
        <v/>
      </c>
      <c r="T68" s="454">
        <f>'Income Statement'!T27/'Income Statement'!T8</f>
        <v/>
      </c>
      <c r="U68" s="454">
        <f>'Income Statement'!U27/'Income Statement'!U8</f>
        <v/>
      </c>
      <c r="V68" s="454">
        <f>'Income Statement'!V27/'Income Statement'!V8</f>
        <v/>
      </c>
      <c r="W68" s="454">
        <f>'Income Statement'!W27/'Income Statement'!W8</f>
        <v/>
      </c>
      <c r="X68" s="454">
        <f>'Income Statement'!X27/'Income Statement'!X8</f>
        <v/>
      </c>
      <c r="Y68" s="454">
        <f>'Income Statement'!Y27/'Income Statement'!Y8</f>
        <v/>
      </c>
      <c r="Z68" s="454">
        <f>'Income Statement'!Z27/'Income Statement'!Z8</f>
        <v/>
      </c>
      <c r="AA68" s="454">
        <f>'Income Statement'!AA27/'Income Statement'!AA8</f>
        <v/>
      </c>
      <c r="AB68" s="454">
        <f>'Income Statement'!AB27/'Income Statement'!AB8</f>
        <v/>
      </c>
      <c r="AC68" s="454">
        <f>'Income Statement'!AC27/'Income Statement'!AC8</f>
        <v/>
      </c>
      <c r="AD68" s="454">
        <f>'Income Statement'!AD27/'Income Statement'!AD8</f>
        <v/>
      </c>
      <c r="AE68" s="454">
        <f>'Income Statement'!AE27/'Income Statement'!AE8</f>
        <v/>
      </c>
      <c r="AF68" s="454">
        <f>'Income Statement'!AF27/'Income Statement'!AF8</f>
        <v/>
      </c>
      <c r="AG68" s="454">
        <f>'Income Statement'!AG27/'Income Statement'!AG8</f>
        <v/>
      </c>
      <c r="AH68" s="454">
        <f>'Income Statement'!AH27/'Income Statement'!AH8</f>
        <v/>
      </c>
      <c r="AI68" s="454">
        <f>'Income Statement'!AI27/'Income Statement'!AI8</f>
        <v/>
      </c>
    </row>
    <row r="69" ht="12.9" customHeight="1" s="343">
      <c r="B69" s="236" t="inlineStr">
        <is>
          <t>PAT Margin Ratio</t>
        </is>
      </c>
      <c r="C69" s="454">
        <f>'Income Statement'!C43/'Income Statement'!C8</f>
        <v/>
      </c>
      <c r="D69" s="454">
        <f>'Income Statement'!D43/'Income Statement'!D8</f>
        <v/>
      </c>
      <c r="E69" s="454">
        <f>'Income Statement'!E43/'Income Statement'!E8</f>
        <v/>
      </c>
      <c r="F69" s="454">
        <f>'Income Statement'!F43/'Income Statement'!F8</f>
        <v/>
      </c>
      <c r="G69" s="454">
        <f>'Income Statement'!G43/'Income Statement'!G8</f>
        <v/>
      </c>
      <c r="H69" s="454">
        <f>'Income Statement'!H43/'Income Statement'!H8</f>
        <v/>
      </c>
      <c r="I69" s="454">
        <f>'Income Statement'!I43/'Income Statement'!I8</f>
        <v/>
      </c>
      <c r="J69" s="454">
        <f>'Income Statement'!J43/'Income Statement'!J8</f>
        <v/>
      </c>
      <c r="K69" s="454">
        <f>'Income Statement'!K43/'Income Statement'!K8</f>
        <v/>
      </c>
      <c r="L69" s="454">
        <f>'Income Statement'!L43/'Income Statement'!L8</f>
        <v/>
      </c>
      <c r="M69" s="454">
        <f>'Income Statement'!M43/'Income Statement'!M8</f>
        <v/>
      </c>
      <c r="N69" s="454">
        <f>'Income Statement'!N43/'Income Statement'!N8</f>
        <v/>
      </c>
      <c r="O69" s="454">
        <f>'Income Statement'!O43/'Income Statement'!O8</f>
        <v/>
      </c>
      <c r="P69" s="454">
        <f>'Income Statement'!P43/'Income Statement'!P8</f>
        <v/>
      </c>
      <c r="Q69" s="454">
        <f>'Income Statement'!Q43/'Income Statement'!Q8</f>
        <v/>
      </c>
      <c r="R69" s="454">
        <f>'Income Statement'!R43/'Income Statement'!R8</f>
        <v/>
      </c>
      <c r="S69" s="454">
        <f>'Income Statement'!S43/'Income Statement'!S8</f>
        <v/>
      </c>
      <c r="T69" s="454">
        <f>'Income Statement'!T43/'Income Statement'!T8</f>
        <v/>
      </c>
      <c r="U69" s="454">
        <f>'Income Statement'!U43/'Income Statement'!U8</f>
        <v/>
      </c>
      <c r="V69" s="454">
        <f>'Income Statement'!V43/'Income Statement'!V8</f>
        <v/>
      </c>
      <c r="W69" s="454">
        <f>'Income Statement'!W43/'Income Statement'!W8</f>
        <v/>
      </c>
      <c r="X69" s="454">
        <f>'Income Statement'!X43/'Income Statement'!X8</f>
        <v/>
      </c>
      <c r="Y69" s="454">
        <f>'Income Statement'!Y43/'Income Statement'!Y8</f>
        <v/>
      </c>
      <c r="Z69" s="454">
        <f>'Income Statement'!Z43/'Income Statement'!Z8</f>
        <v/>
      </c>
      <c r="AA69" s="454">
        <f>'Income Statement'!AA43/'Income Statement'!AA8</f>
        <v/>
      </c>
      <c r="AB69" s="454">
        <f>'Income Statement'!AB43/'Income Statement'!AB8</f>
        <v/>
      </c>
      <c r="AC69" s="454">
        <f>'Income Statement'!AC43/'Income Statement'!AC8</f>
        <v/>
      </c>
      <c r="AD69" s="454">
        <f>'Income Statement'!AD43/'Income Statement'!AD8</f>
        <v/>
      </c>
      <c r="AE69" s="454">
        <f>'Income Statement'!AE43/'Income Statement'!AE8</f>
        <v/>
      </c>
      <c r="AF69" s="454">
        <f>'Income Statement'!AF43/'Income Statement'!AF8</f>
        <v/>
      </c>
      <c r="AG69" s="454">
        <f>'Income Statement'!AG43/'Income Statement'!AG8</f>
        <v/>
      </c>
      <c r="AH69" s="454">
        <f>'Income Statement'!AH43/'Income Statement'!AH8</f>
        <v/>
      </c>
      <c r="AI69" s="454">
        <f>'Income Statement'!AI43/'Income Statement'!AI8</f>
        <v/>
      </c>
    </row>
    <row r="70" ht="12.9" customHeight="1" s="343">
      <c r="B70" s="12" t="inlineStr">
        <is>
          <t>Return on Assets</t>
        </is>
      </c>
      <c r="C70" s="454">
        <f>'Income Statement'!C43/'Balance Sheet'!C55</f>
        <v/>
      </c>
      <c r="D70" s="454">
        <f>'Income Statement'!D43/'Balance Sheet'!D55</f>
        <v/>
      </c>
      <c r="E70" s="454">
        <f>'Income Statement'!E43/'Balance Sheet'!E55</f>
        <v/>
      </c>
      <c r="F70" s="454">
        <f>'Income Statement'!F43/'Balance Sheet'!F55</f>
        <v/>
      </c>
      <c r="G70" s="454">
        <f>'Income Statement'!G43/'Balance Sheet'!G55</f>
        <v/>
      </c>
      <c r="H70" s="454">
        <f>'Income Statement'!H43/'Balance Sheet'!H55</f>
        <v/>
      </c>
      <c r="I70" s="454">
        <f>'Income Statement'!I43/'Balance Sheet'!I55</f>
        <v/>
      </c>
      <c r="J70" s="454">
        <f>'Income Statement'!J43/'Balance Sheet'!J55</f>
        <v/>
      </c>
      <c r="K70" s="454">
        <f>'Income Statement'!K43/'Balance Sheet'!K55</f>
        <v/>
      </c>
      <c r="L70" s="454">
        <f>'Income Statement'!L43/'Balance Sheet'!L55</f>
        <v/>
      </c>
      <c r="M70" s="454">
        <f>'Income Statement'!M43/'Balance Sheet'!M55</f>
        <v/>
      </c>
      <c r="N70" s="454">
        <f>'Income Statement'!N43/'Balance Sheet'!N55</f>
        <v/>
      </c>
      <c r="O70" s="454">
        <f>'Income Statement'!O43/'Balance Sheet'!O55</f>
        <v/>
      </c>
      <c r="P70" s="454">
        <f>'Income Statement'!P43/'Balance Sheet'!P55</f>
        <v/>
      </c>
      <c r="Q70" s="454">
        <f>'Income Statement'!Q43/'Balance Sheet'!Q55</f>
        <v/>
      </c>
      <c r="R70" s="454">
        <f>'Income Statement'!R43/'Balance Sheet'!R55</f>
        <v/>
      </c>
      <c r="S70" s="454">
        <f>'Income Statement'!S43/'Balance Sheet'!S55</f>
        <v/>
      </c>
      <c r="T70" s="454">
        <f>'Income Statement'!T43/'Balance Sheet'!T55</f>
        <v/>
      </c>
      <c r="U70" s="454">
        <f>'Income Statement'!U43/'Balance Sheet'!U55</f>
        <v/>
      </c>
      <c r="V70" s="454">
        <f>'Income Statement'!V43/'Balance Sheet'!V55</f>
        <v/>
      </c>
      <c r="W70" s="454">
        <f>'Income Statement'!W43/'Balance Sheet'!W55</f>
        <v/>
      </c>
      <c r="X70" s="454">
        <f>'Income Statement'!X43/'Balance Sheet'!X55</f>
        <v/>
      </c>
      <c r="Y70" s="454">
        <f>'Income Statement'!Y43/'Balance Sheet'!Y55</f>
        <v/>
      </c>
      <c r="Z70" s="454">
        <f>'Income Statement'!Z43/'Balance Sheet'!Z55</f>
        <v/>
      </c>
      <c r="AA70" s="454">
        <f>'Income Statement'!AA43/'Balance Sheet'!AA55</f>
        <v/>
      </c>
      <c r="AB70" s="454">
        <f>'Income Statement'!AB43/'Balance Sheet'!AB55</f>
        <v/>
      </c>
      <c r="AC70" s="454">
        <f>'Income Statement'!AC43/'Balance Sheet'!AC55</f>
        <v/>
      </c>
      <c r="AD70" s="454">
        <f>'Income Statement'!AD43/'Balance Sheet'!AD55</f>
        <v/>
      </c>
      <c r="AE70" s="454">
        <f>'Income Statement'!AE43/'Balance Sheet'!AE55</f>
        <v/>
      </c>
      <c r="AF70" s="454">
        <f>'Income Statement'!AF43/'Balance Sheet'!AF55</f>
        <v/>
      </c>
      <c r="AG70" s="454">
        <f>'Income Statement'!AG43/'Balance Sheet'!AG55</f>
        <v/>
      </c>
      <c r="AH70" s="454">
        <f>'Income Statement'!AH43/'Balance Sheet'!AH55</f>
        <v/>
      </c>
      <c r="AI70" s="454">
        <f>'Income Statement'!AI43/'Balance Sheet'!AI55</f>
        <v/>
      </c>
    </row>
    <row r="71" ht="12.9" customHeight="1" s="343">
      <c r="B71" s="12" t="inlineStr">
        <is>
          <t>Return on Equity</t>
        </is>
      </c>
      <c r="C71" s="454">
        <f>'Income Statement'!C43/'Balance Sheet'!C11</f>
        <v/>
      </c>
      <c r="D71" s="454">
        <f>'Income Statement'!D43/'Balance Sheet'!D11</f>
        <v/>
      </c>
      <c r="E71" s="454">
        <f>'Income Statement'!E43/'Balance Sheet'!E11</f>
        <v/>
      </c>
      <c r="F71" s="454">
        <f>'Income Statement'!F43/'Balance Sheet'!F11</f>
        <v/>
      </c>
      <c r="G71" s="454">
        <f>'Income Statement'!G43/'Balance Sheet'!G11</f>
        <v/>
      </c>
      <c r="H71" s="454">
        <f>'Income Statement'!H43/'Balance Sheet'!H11</f>
        <v/>
      </c>
      <c r="I71" s="454">
        <f>'Income Statement'!I43/'Balance Sheet'!I11</f>
        <v/>
      </c>
      <c r="J71" s="454">
        <f>'Income Statement'!J43/'Balance Sheet'!J11</f>
        <v/>
      </c>
      <c r="K71" s="454">
        <f>'Income Statement'!K43/'Balance Sheet'!K11</f>
        <v/>
      </c>
      <c r="L71" s="454">
        <f>'Income Statement'!L43/'Balance Sheet'!L11</f>
        <v/>
      </c>
      <c r="M71" s="454">
        <f>'Income Statement'!M43/'Balance Sheet'!M11</f>
        <v/>
      </c>
      <c r="N71" s="454">
        <f>'Income Statement'!N43/'Balance Sheet'!N11</f>
        <v/>
      </c>
      <c r="O71" s="454">
        <f>'Income Statement'!O43/'Balance Sheet'!O11</f>
        <v/>
      </c>
      <c r="P71" s="454">
        <f>'Income Statement'!P43/'Balance Sheet'!P11</f>
        <v/>
      </c>
      <c r="Q71" s="454">
        <f>'Income Statement'!Q43/'Balance Sheet'!Q11</f>
        <v/>
      </c>
      <c r="R71" s="454">
        <f>'Income Statement'!R43/'Balance Sheet'!R11</f>
        <v/>
      </c>
      <c r="S71" s="454">
        <f>'Income Statement'!S43/'Balance Sheet'!S11</f>
        <v/>
      </c>
      <c r="T71" s="454">
        <f>'Income Statement'!T43/'Balance Sheet'!T11</f>
        <v/>
      </c>
      <c r="U71" s="454">
        <f>'Income Statement'!U43/'Balance Sheet'!U11</f>
        <v/>
      </c>
      <c r="V71" s="454">
        <f>'Income Statement'!V43/'Balance Sheet'!V11</f>
        <v/>
      </c>
      <c r="W71" s="454">
        <f>'Income Statement'!W43/'Balance Sheet'!W11</f>
        <v/>
      </c>
      <c r="X71" s="454">
        <f>'Income Statement'!X43/'Balance Sheet'!X11</f>
        <v/>
      </c>
      <c r="Y71" s="454">
        <f>'Income Statement'!Y43/'Balance Sheet'!Y11</f>
        <v/>
      </c>
      <c r="Z71" s="454">
        <f>'Income Statement'!Z43/'Balance Sheet'!Z11</f>
        <v/>
      </c>
      <c r="AA71" s="454">
        <f>'Income Statement'!AA43/'Balance Sheet'!AA11</f>
        <v/>
      </c>
      <c r="AB71" s="454">
        <f>'Income Statement'!AB43/'Balance Sheet'!AB11</f>
        <v/>
      </c>
      <c r="AC71" s="454">
        <f>'Income Statement'!AC43/'Balance Sheet'!AC11</f>
        <v/>
      </c>
      <c r="AD71" s="454">
        <f>'Income Statement'!AD43/'Balance Sheet'!AD11</f>
        <v/>
      </c>
      <c r="AE71" s="454">
        <f>'Income Statement'!AE43/'Balance Sheet'!AE11</f>
        <v/>
      </c>
      <c r="AF71" s="454">
        <f>'Income Statement'!AF43/'Balance Sheet'!AF11</f>
        <v/>
      </c>
      <c r="AG71" s="454">
        <f>'Income Statement'!AG43/'Balance Sheet'!AG11</f>
        <v/>
      </c>
      <c r="AH71" s="454">
        <f>'Income Statement'!AH43/'Balance Sheet'!AH11</f>
        <v/>
      </c>
      <c r="AI71" s="454">
        <f>'Income Statement'!AI43/'Balance Sheet'!AI11</f>
        <v/>
      </c>
    </row>
    <row r="72" ht="12.9" customHeight="1" s="343">
      <c r="B72" s="12" t="inlineStr">
        <is>
          <t>Return on Capital Employed</t>
        </is>
      </c>
      <c r="C72" s="454">
        <f>'Income Statement'!C27/('Balance Sheet'!C55-'Balance Sheet'!C28)</f>
        <v/>
      </c>
      <c r="D72" s="454">
        <f>'Income Statement'!D27/('Balance Sheet'!D55-'Balance Sheet'!D28)</f>
        <v/>
      </c>
      <c r="E72" s="454">
        <f>'Income Statement'!E27/('Balance Sheet'!E55-'Balance Sheet'!E28)</f>
        <v/>
      </c>
      <c r="F72" s="454">
        <f>'Income Statement'!F27/('Balance Sheet'!F55-'Balance Sheet'!F28)</f>
        <v/>
      </c>
      <c r="G72" s="454">
        <f>'Income Statement'!G27/('Balance Sheet'!G55-'Balance Sheet'!G28)</f>
        <v/>
      </c>
      <c r="H72" s="454">
        <f>'Income Statement'!H27/('Balance Sheet'!H55-'Balance Sheet'!H28)</f>
        <v/>
      </c>
      <c r="I72" s="454">
        <f>'Income Statement'!I27/('Balance Sheet'!I55-'Balance Sheet'!I28)</f>
        <v/>
      </c>
      <c r="J72" s="454">
        <f>'Income Statement'!J27/('Balance Sheet'!J55-'Balance Sheet'!J28)</f>
        <v/>
      </c>
      <c r="K72" s="454">
        <f>'Income Statement'!K27/('Balance Sheet'!K55-'Balance Sheet'!K28)</f>
        <v/>
      </c>
      <c r="L72" s="454">
        <f>'Income Statement'!L27/('Balance Sheet'!L55-'Balance Sheet'!L28)</f>
        <v/>
      </c>
      <c r="M72" s="454">
        <f>'Income Statement'!M27/('Balance Sheet'!M55-'Balance Sheet'!M28)</f>
        <v/>
      </c>
      <c r="N72" s="454">
        <f>'Income Statement'!N27/('Balance Sheet'!N55-'Balance Sheet'!N28)</f>
        <v/>
      </c>
      <c r="O72" s="454">
        <f>'Income Statement'!O27/('Balance Sheet'!O55-'Balance Sheet'!O28)</f>
        <v/>
      </c>
      <c r="P72" s="454">
        <f>'Income Statement'!P27/('Balance Sheet'!P55-'Balance Sheet'!P28)</f>
        <v/>
      </c>
      <c r="Q72" s="454">
        <f>'Income Statement'!Q27/('Balance Sheet'!Q55-'Balance Sheet'!Q28)</f>
        <v/>
      </c>
      <c r="R72" s="454">
        <f>'Income Statement'!R27/('Balance Sheet'!R55-'Balance Sheet'!R28)</f>
        <v/>
      </c>
      <c r="S72" s="454">
        <f>'Income Statement'!S27/('Balance Sheet'!S55-'Balance Sheet'!S28)</f>
        <v/>
      </c>
      <c r="T72" s="454">
        <f>'Income Statement'!T27/('Balance Sheet'!T55-'Balance Sheet'!T28)</f>
        <v/>
      </c>
      <c r="U72" s="454">
        <f>'Income Statement'!U27/('Balance Sheet'!U55-'Balance Sheet'!U28)</f>
        <v/>
      </c>
      <c r="V72" s="454">
        <f>'Income Statement'!V27/('Balance Sheet'!V55-'Balance Sheet'!V28)</f>
        <v/>
      </c>
      <c r="W72" s="454">
        <f>'Income Statement'!W27/('Balance Sheet'!W55-'Balance Sheet'!W28)</f>
        <v/>
      </c>
      <c r="X72" s="454">
        <f>'Income Statement'!X27/('Balance Sheet'!X55-'Balance Sheet'!X28)</f>
        <v/>
      </c>
      <c r="Y72" s="454">
        <f>'Income Statement'!Y27/('Balance Sheet'!Y55-'Balance Sheet'!Y28)</f>
        <v/>
      </c>
      <c r="Z72" s="454">
        <f>'Income Statement'!Z27/('Balance Sheet'!Z55-'Balance Sheet'!Z28)</f>
        <v/>
      </c>
      <c r="AA72" s="454">
        <f>'Income Statement'!AA27/('Balance Sheet'!AA55-'Balance Sheet'!AA28)</f>
        <v/>
      </c>
      <c r="AB72" s="454">
        <f>'Income Statement'!AB27/('Balance Sheet'!AB55-'Balance Sheet'!AB28)</f>
        <v/>
      </c>
      <c r="AC72" s="454">
        <f>'Income Statement'!AC27/('Balance Sheet'!AC55-'Balance Sheet'!AC28)</f>
        <v/>
      </c>
      <c r="AD72" s="454">
        <f>'Income Statement'!AD27/('Balance Sheet'!AD55-'Balance Sheet'!AD28)</f>
        <v/>
      </c>
      <c r="AE72" s="454">
        <f>'Income Statement'!AE27/('Balance Sheet'!AE55-'Balance Sheet'!AE28)</f>
        <v/>
      </c>
      <c r="AF72" s="454">
        <f>'Income Statement'!AF27/('Balance Sheet'!AF55-'Balance Sheet'!AF28)</f>
        <v/>
      </c>
      <c r="AG72" s="454">
        <f>'Income Statement'!AG27/('Balance Sheet'!AG55-'Balance Sheet'!AG28)</f>
        <v/>
      </c>
      <c r="AH72" s="454">
        <f>'Income Statement'!AH27/('Balance Sheet'!AH55-'Balance Sheet'!AH28)</f>
        <v/>
      </c>
      <c r="AI72" s="454">
        <f>'Income Statement'!AI27/('Balance Sheet'!AI55-'Balance Sheet'!AI28)</f>
        <v/>
      </c>
    </row>
    <row r="73" ht="12.9" customHeight="1" s="343"/>
    <row r="74" ht="12.9" customHeight="1" s="343">
      <c r="B74" s="12" t="inlineStr">
        <is>
          <t>Times Interest Earned Ratio</t>
        </is>
      </c>
      <c r="C74" s="21">
        <f>'Income Statement'!C27/'Income Statement'!C31</f>
        <v/>
      </c>
      <c r="D74" s="21">
        <f>'Income Statement'!D27/'Income Statement'!D31</f>
        <v/>
      </c>
      <c r="E74" s="21">
        <f>'Income Statement'!E27/'Income Statement'!E31</f>
        <v/>
      </c>
      <c r="F74" s="21">
        <f>'Income Statement'!F27/'Income Statement'!F31</f>
        <v/>
      </c>
      <c r="G74" s="21">
        <f>'Income Statement'!G27/'Income Statement'!G31</f>
        <v/>
      </c>
      <c r="H74" s="21">
        <f>'Income Statement'!H27/'Income Statement'!H31</f>
        <v/>
      </c>
      <c r="I74" s="21">
        <f>'Income Statement'!I27/'Income Statement'!I31</f>
        <v/>
      </c>
      <c r="J74" s="21">
        <f>'Income Statement'!J27/'Income Statement'!J31</f>
        <v/>
      </c>
      <c r="K74" s="21">
        <f>'Income Statement'!K27/'Income Statement'!K31</f>
        <v/>
      </c>
      <c r="L74" s="21">
        <f>'Income Statement'!L27/'Income Statement'!L31</f>
        <v/>
      </c>
      <c r="M74" s="21">
        <f>'Income Statement'!M27/'Income Statement'!M31</f>
        <v/>
      </c>
      <c r="N74" s="21">
        <f>'Income Statement'!N27/'Income Statement'!N31</f>
        <v/>
      </c>
      <c r="O74" s="21">
        <f>'Income Statement'!O27/'Income Statement'!O31</f>
        <v/>
      </c>
      <c r="P74" s="21">
        <f>'Income Statement'!P27/'Income Statement'!P31</f>
        <v/>
      </c>
      <c r="Q74" s="21">
        <f>'Income Statement'!Q27/'Income Statement'!Q31</f>
        <v/>
      </c>
      <c r="R74" s="21">
        <f>'Income Statement'!R27/'Income Statement'!R31</f>
        <v/>
      </c>
      <c r="S74" s="21">
        <f>'Income Statement'!S27/'Income Statement'!S31</f>
        <v/>
      </c>
      <c r="T74" s="21">
        <f>'Income Statement'!T27/'Income Statement'!T31</f>
        <v/>
      </c>
      <c r="U74" s="21">
        <f>'Income Statement'!U27/'Income Statement'!U31</f>
        <v/>
      </c>
      <c r="V74" s="21">
        <f>'Income Statement'!V27/'Income Statement'!V31</f>
        <v/>
      </c>
      <c r="W74" s="21">
        <f>'Income Statement'!W27/'Income Statement'!W31</f>
        <v/>
      </c>
      <c r="X74" s="21">
        <f>'Income Statement'!X27/'Income Statement'!X31</f>
        <v/>
      </c>
      <c r="Y74" s="21">
        <f>'Income Statement'!Y27/'Income Statement'!Y31</f>
        <v/>
      </c>
      <c r="Z74" s="21">
        <f>'Income Statement'!Z27/'Income Statement'!Z31</f>
        <v/>
      </c>
      <c r="AA74" s="21">
        <f>'Income Statement'!AA27/'Income Statement'!AA31</f>
        <v/>
      </c>
      <c r="AB74" s="21">
        <f>'Income Statement'!AB27/'Income Statement'!AB31</f>
        <v/>
      </c>
      <c r="AC74" s="21">
        <f>'Income Statement'!AC27/'Income Statement'!AC31</f>
        <v/>
      </c>
      <c r="AD74" s="21">
        <f>'Income Statement'!AD27/'Income Statement'!AD31</f>
        <v/>
      </c>
      <c r="AE74" s="21">
        <f>'Income Statement'!AE27/'Income Statement'!AE31</f>
        <v/>
      </c>
      <c r="AF74" s="21">
        <f>'Income Statement'!AF27/'Income Statement'!AF31</f>
        <v/>
      </c>
      <c r="AG74" s="21">
        <f>'Income Statement'!AG27/'Income Statement'!AG31</f>
        <v/>
      </c>
      <c r="AH74" s="21">
        <f>'Income Statement'!AH27/'Income Statement'!AH31</f>
        <v/>
      </c>
      <c r="AI74" s="21">
        <f>'Income Statement'!AI27/'Income Statement'!AI31</f>
        <v/>
      </c>
    </row>
    <row r="75" ht="12.9" customHeight="1" s="343">
      <c r="B75" s="12" t="inlineStr">
        <is>
          <t>Price/Sales Ratio</t>
        </is>
      </c>
      <c r="C75" s="21">
        <f>'Income Statement'!C51/('Income Statement'!C8*2)</f>
        <v/>
      </c>
      <c r="D75" s="21">
        <f>'Income Statement'!D51/('Income Statement'!D8*2)</f>
        <v/>
      </c>
      <c r="E75" s="21">
        <f>'Income Statement'!E51/'Income Statement'!E8</f>
        <v/>
      </c>
      <c r="F75" s="21">
        <f>'Income Statement'!F51/('Income Statement'!F8*2)</f>
        <v/>
      </c>
      <c r="G75" s="21">
        <f>'Income Statement'!G51/('Income Statement'!G8*2)</f>
        <v/>
      </c>
      <c r="H75" s="21">
        <f>'Income Statement'!H51/'Income Statement'!H8</f>
        <v/>
      </c>
      <c r="I75" s="21">
        <f>'Income Statement'!I51/('Income Statement'!I8*2)</f>
        <v/>
      </c>
      <c r="J75" s="21">
        <f>'Income Statement'!J51/('Income Statement'!J8*2)</f>
        <v/>
      </c>
      <c r="K75" s="21">
        <f>'Income Statement'!K51/'Income Statement'!K8</f>
        <v/>
      </c>
      <c r="L75" s="21">
        <f>'Income Statement'!L51/('Income Statement'!L8*2)</f>
        <v/>
      </c>
      <c r="M75" s="21">
        <f>'Income Statement'!M51/('Income Statement'!M8*2)</f>
        <v/>
      </c>
      <c r="N75" s="21">
        <f>'Income Statement'!N51/'Income Statement'!N8</f>
        <v/>
      </c>
      <c r="O75" s="21">
        <f>'Income Statement'!O51/('Income Statement'!O8*2)</f>
        <v/>
      </c>
      <c r="P75" s="21">
        <f>'Income Statement'!P51/('Income Statement'!P8*2)</f>
        <v/>
      </c>
      <c r="Q75" s="21">
        <f>'Income Statement'!Q51/'Income Statement'!Q8</f>
        <v/>
      </c>
      <c r="R75" s="21">
        <f>'Income Statement'!R51/('Income Statement'!R8*2)</f>
        <v/>
      </c>
      <c r="S75" s="21">
        <f>'Income Statement'!S51/('Income Statement'!S8*2)</f>
        <v/>
      </c>
      <c r="T75" s="21">
        <f>'Income Statement'!T51/'Income Statement'!T8</f>
        <v/>
      </c>
      <c r="U75" s="21">
        <f>'Income Statement'!U51/('Income Statement'!U8*2)</f>
        <v/>
      </c>
      <c r="V75" s="21">
        <f>'Income Statement'!V51/('Income Statement'!V8*2)</f>
        <v/>
      </c>
      <c r="W75" s="21">
        <f>'Income Statement'!W51/('Income Statement'!W8*2)</f>
        <v/>
      </c>
      <c r="X75" s="21">
        <f>'Income Statement'!X51/('Income Statement'!X8*2)</f>
        <v/>
      </c>
      <c r="Y75" s="21">
        <f>'Income Statement'!Y51/('Income Statement'!Y8*2)</f>
        <v/>
      </c>
      <c r="Z75" s="21">
        <f>'Income Statement'!Z51/('Income Statement'!Z8*2)</f>
        <v/>
      </c>
      <c r="AA75" s="21">
        <f>'Income Statement'!AA51/('Income Statement'!AA8*2)</f>
        <v/>
      </c>
      <c r="AB75" s="21">
        <f>'Income Statement'!AB51/('Income Statement'!AB8*2)</f>
        <v/>
      </c>
      <c r="AC75" s="21">
        <f>'Income Statement'!AC51/('Income Statement'!AC8*2)</f>
        <v/>
      </c>
      <c r="AD75" s="21">
        <f>'Income Statement'!AD51/('Income Statement'!AD8*2)</f>
        <v/>
      </c>
      <c r="AE75" s="21">
        <f>'Income Statement'!AE51/('Income Statement'!AE8*2)</f>
        <v/>
      </c>
      <c r="AF75" s="21">
        <f>'Income Statement'!AF51/('Income Statement'!AF8*2)</f>
        <v/>
      </c>
      <c r="AG75" s="21">
        <f>'Income Statement'!AG51/('Income Statement'!AG8*2)</f>
        <v/>
      </c>
      <c r="AH75" s="21">
        <f>'Income Statement'!AH51/('Income Statement'!AH8*2)</f>
        <v/>
      </c>
      <c r="AI75" s="21">
        <f>'Income Statement'!AI51/('Income Statement'!AI8*2)</f>
        <v/>
      </c>
    </row>
    <row r="76" ht="12.9" customHeight="1" s="343">
      <c r="B76" s="12" t="inlineStr">
        <is>
          <t>P/E Ratio</t>
        </is>
      </c>
      <c r="C76" s="21">
        <f>'Income Statement'!C50/'Income Statement'!C49</f>
        <v/>
      </c>
      <c r="D76" s="21">
        <f>'Income Statement'!D50/'Income Statement'!D49</f>
        <v/>
      </c>
      <c r="E76" s="21">
        <f>'Income Statement'!E50/'Income Statement'!E49</f>
        <v/>
      </c>
      <c r="F76" s="21">
        <f>'Income Statement'!F50/'Income Statement'!F49</f>
        <v/>
      </c>
      <c r="G76" s="21">
        <f>'Income Statement'!G50/'Income Statement'!G49</f>
        <v/>
      </c>
      <c r="H76" s="21">
        <f>'Income Statement'!H50/'Income Statement'!H49</f>
        <v/>
      </c>
      <c r="I76" s="21">
        <f>'Income Statement'!I50/'Income Statement'!I49</f>
        <v/>
      </c>
      <c r="J76" s="21">
        <f>'Income Statement'!J50/'Income Statement'!J49</f>
        <v/>
      </c>
      <c r="K76" s="21">
        <f>'Income Statement'!K50/'Income Statement'!K49</f>
        <v/>
      </c>
      <c r="L76" s="21">
        <f>'Income Statement'!L50/'Income Statement'!L49</f>
        <v/>
      </c>
      <c r="M76" s="21">
        <f>'Income Statement'!M50/'Income Statement'!M49</f>
        <v/>
      </c>
      <c r="N76" s="21">
        <f>'Income Statement'!N50/'Income Statement'!N49</f>
        <v/>
      </c>
      <c r="O76" s="21">
        <f>'Income Statement'!O50/'Income Statement'!O49</f>
        <v/>
      </c>
      <c r="P76" s="21">
        <f>'Income Statement'!P50/'Income Statement'!P49</f>
        <v/>
      </c>
      <c r="Q76" s="21">
        <f>'Income Statement'!Q50/'Income Statement'!Q49</f>
        <v/>
      </c>
      <c r="R76" s="21">
        <f>'Income Statement'!R50/'Income Statement'!R49</f>
        <v/>
      </c>
      <c r="S76" s="21">
        <f>'Income Statement'!S50/'Income Statement'!S49</f>
        <v/>
      </c>
      <c r="T76" s="21">
        <f>'Income Statement'!T50/'Income Statement'!T49</f>
        <v/>
      </c>
      <c r="U76" s="21">
        <f>'Income Statement'!U50/'Income Statement'!U49</f>
        <v/>
      </c>
      <c r="V76" s="21">
        <f>'Income Statement'!V50/'Income Statement'!V49</f>
        <v/>
      </c>
      <c r="W76" s="21">
        <f>'Income Statement'!W50/'Income Statement'!W49</f>
        <v/>
      </c>
      <c r="X76" s="21">
        <f>'Income Statement'!X50/'Income Statement'!X49</f>
        <v/>
      </c>
      <c r="Y76" s="21">
        <f>'Income Statement'!Y50/'Income Statement'!Y49</f>
        <v/>
      </c>
      <c r="Z76" s="21">
        <f>'Income Statement'!Z50/'Income Statement'!Z49</f>
        <v/>
      </c>
      <c r="AA76" s="21">
        <f>'Income Statement'!AA50/'Income Statement'!AA49</f>
        <v/>
      </c>
      <c r="AB76" s="21">
        <f>'Income Statement'!AB50/'Income Statement'!AB49</f>
        <v/>
      </c>
      <c r="AC76" s="21">
        <f>'Income Statement'!AC50/'Income Statement'!AC49</f>
        <v/>
      </c>
      <c r="AD76" s="21">
        <f>'Income Statement'!AD50/'Income Statement'!AD49</f>
        <v/>
      </c>
      <c r="AE76" s="21">
        <f>'Income Statement'!AE50/'Income Statement'!AE49</f>
        <v/>
      </c>
      <c r="AF76" s="21">
        <f>'Income Statement'!AF50/'Income Statement'!AF49</f>
        <v/>
      </c>
      <c r="AG76" s="21">
        <f>'Income Statement'!AG50/'Income Statement'!AG49</f>
        <v/>
      </c>
      <c r="AH76" s="21">
        <f>'Income Statement'!AH50/'Income Statement'!AH49</f>
        <v/>
      </c>
      <c r="AI76" s="21">
        <f>'Income Statement'!AI50/'Income Statement'!AI49</f>
        <v/>
      </c>
    </row>
    <row r="77" ht="12.9" customHeight="1" s="343">
      <c r="B77" s="12" t="inlineStr">
        <is>
          <t>EV/EBITDA</t>
        </is>
      </c>
      <c r="C77" s="21">
        <f>('Income Statement'!C51+SUM('Balance Sheet'!C19,'Balance Sheet'!C20,'Balance Sheet'!C13,'Balance Sheet'!C14)-'Balance Sheet'!C49)/'Income Statement'!C23</f>
        <v/>
      </c>
      <c r="D77" s="21">
        <f>('Income Statement'!D51+SUM('Balance Sheet'!D19,'Balance Sheet'!D20,'Balance Sheet'!D13,'Balance Sheet'!D14)-'Balance Sheet'!D49)/'Income Statement'!D23</f>
        <v/>
      </c>
      <c r="E77" s="21">
        <f>('Income Statement'!E51+SUM('Balance Sheet'!E19,'Balance Sheet'!E20,'Balance Sheet'!E13,'Balance Sheet'!E14)-'Balance Sheet'!E49)/'Income Statement'!E23</f>
        <v/>
      </c>
      <c r="F77" s="21">
        <f>('Income Statement'!F51+SUM('Balance Sheet'!F19,'Balance Sheet'!F20,'Balance Sheet'!F13,'Balance Sheet'!F14)-'Balance Sheet'!F49)/'Income Statement'!F23</f>
        <v/>
      </c>
      <c r="G77" s="21">
        <f>('Income Statement'!G51+SUM('Balance Sheet'!G19,'Balance Sheet'!G20,'Balance Sheet'!G13,'Balance Sheet'!G14)-'Balance Sheet'!G49)/'Income Statement'!G23</f>
        <v/>
      </c>
      <c r="H77" s="21">
        <f>('Income Statement'!H51+SUM('Balance Sheet'!H19,'Balance Sheet'!H20,'Balance Sheet'!H13,'Balance Sheet'!H14)-'Balance Sheet'!H49)/'Income Statement'!H23</f>
        <v/>
      </c>
      <c r="I77" s="21">
        <f>('Income Statement'!I51+SUM('Balance Sheet'!I19,'Balance Sheet'!I20,'Balance Sheet'!I13,'Balance Sheet'!I14)-'Balance Sheet'!I49)/'Income Statement'!I23</f>
        <v/>
      </c>
      <c r="J77" s="21">
        <f>('Income Statement'!J51+SUM('Balance Sheet'!J19,'Balance Sheet'!J20,'Balance Sheet'!J13,'Balance Sheet'!J14)-'Balance Sheet'!J49)/'Income Statement'!J23</f>
        <v/>
      </c>
      <c r="K77" s="21">
        <f>('Income Statement'!K51+SUM('Balance Sheet'!K19,'Balance Sheet'!K20,'Balance Sheet'!K13,'Balance Sheet'!K14)-'Balance Sheet'!K49)/'Income Statement'!K23</f>
        <v/>
      </c>
      <c r="L77" s="21">
        <f>('Income Statement'!L51+SUM('Balance Sheet'!L19,'Balance Sheet'!L20,'Balance Sheet'!L13,'Balance Sheet'!L14)-'Balance Sheet'!L49)/'Income Statement'!L23</f>
        <v/>
      </c>
      <c r="M77" s="21">
        <f>('Income Statement'!M51+SUM('Balance Sheet'!M19,'Balance Sheet'!M20,'Balance Sheet'!M13,'Balance Sheet'!M14)-'Balance Sheet'!M49)/'Income Statement'!M23</f>
        <v/>
      </c>
      <c r="N77" s="21">
        <f>('Income Statement'!N51+SUM('Balance Sheet'!N19,'Balance Sheet'!N20,'Balance Sheet'!N13,'Balance Sheet'!N14)-'Balance Sheet'!N49)/'Income Statement'!N23</f>
        <v/>
      </c>
      <c r="O77" s="21">
        <f>('Income Statement'!O51+SUM('Balance Sheet'!O19,'Balance Sheet'!O20,'Balance Sheet'!O13,'Balance Sheet'!O14)-'Balance Sheet'!O49)/'Income Statement'!O23</f>
        <v/>
      </c>
      <c r="P77" s="21">
        <f>('Income Statement'!P51+SUM('Balance Sheet'!P19,'Balance Sheet'!P20,'Balance Sheet'!P13,'Balance Sheet'!P14)-'Balance Sheet'!P49)/'Income Statement'!P23</f>
        <v/>
      </c>
      <c r="Q77" s="21">
        <f>('Income Statement'!Q51+SUM('Balance Sheet'!Q19,'Balance Sheet'!Q20,'Balance Sheet'!Q13,'Balance Sheet'!Q14)-'Balance Sheet'!Q49)/'Income Statement'!Q23</f>
        <v/>
      </c>
      <c r="R77" s="21">
        <f>('Income Statement'!R51+SUM('Balance Sheet'!R19,'Balance Sheet'!R20,'Balance Sheet'!R13,'Balance Sheet'!R14)-'Balance Sheet'!R49)/'Income Statement'!R23</f>
        <v/>
      </c>
      <c r="S77" s="21">
        <f>('Income Statement'!S51+SUM('Balance Sheet'!S19,'Balance Sheet'!S20,'Balance Sheet'!S13,'Balance Sheet'!S14)-'Balance Sheet'!S49)/'Income Statement'!S23</f>
        <v/>
      </c>
      <c r="T77" s="21">
        <f>('Income Statement'!T51+SUM('Balance Sheet'!T19,'Balance Sheet'!T20,'Balance Sheet'!T13,'Balance Sheet'!T14)-'Balance Sheet'!T49)/'Income Statement'!T23</f>
        <v/>
      </c>
      <c r="U77" s="21">
        <f>('Income Statement'!U51+SUM('Balance Sheet'!U19,'Balance Sheet'!U20,'Balance Sheet'!U13,'Balance Sheet'!U14)-'Balance Sheet'!U49)/'Income Statement'!U23</f>
        <v/>
      </c>
      <c r="V77" s="21">
        <f>('Income Statement'!V51+SUM('Balance Sheet'!V19,'Balance Sheet'!V20,'Balance Sheet'!V13,'Balance Sheet'!V14)-'Balance Sheet'!V49)/'Income Statement'!V23</f>
        <v/>
      </c>
      <c r="W77" s="21">
        <f>('Income Statement'!W51+SUM('Balance Sheet'!W19,'Balance Sheet'!W20,'Balance Sheet'!W13,'Balance Sheet'!W14)-'Balance Sheet'!W49)/'Income Statement'!W23</f>
        <v/>
      </c>
      <c r="X77" s="21">
        <f>('Income Statement'!X51+SUM('Balance Sheet'!X19,'Balance Sheet'!X20,'Balance Sheet'!X13,'Balance Sheet'!X14)-'Balance Sheet'!X49)/'Income Statement'!X23</f>
        <v/>
      </c>
      <c r="Y77" s="21">
        <f>('Income Statement'!Y51+SUM('Balance Sheet'!Y19,'Balance Sheet'!Y20,'Balance Sheet'!Y13,'Balance Sheet'!Y14)-'Balance Sheet'!Y49)/'Income Statement'!Y23</f>
        <v/>
      </c>
      <c r="Z77" s="21">
        <f>('Income Statement'!Z51+SUM('Balance Sheet'!Z19,'Balance Sheet'!Z20,'Balance Sheet'!Z13,'Balance Sheet'!Z14)-'Balance Sheet'!Z49)/'Income Statement'!Z23</f>
        <v/>
      </c>
      <c r="AA77" s="21">
        <f>('Income Statement'!AA51+SUM('Balance Sheet'!AA19,'Balance Sheet'!AA20,'Balance Sheet'!AA13,'Balance Sheet'!AA14)-'Balance Sheet'!AA49)/'Income Statement'!AA23</f>
        <v/>
      </c>
      <c r="AB77" s="21">
        <f>('Income Statement'!AB51+SUM('Balance Sheet'!AB19,'Balance Sheet'!AB20,'Balance Sheet'!AB13,'Balance Sheet'!AB14)-'Balance Sheet'!AB49)/'Income Statement'!AB23</f>
        <v/>
      </c>
      <c r="AC77" s="21">
        <f>('Income Statement'!AC51+SUM('Balance Sheet'!AC19,'Balance Sheet'!AC20,'Balance Sheet'!AC13,'Balance Sheet'!AC14)-'Balance Sheet'!AC49)/'Income Statement'!AC23</f>
        <v/>
      </c>
      <c r="AD77" s="21">
        <f>('Income Statement'!AD51+SUM('Balance Sheet'!AD19,'Balance Sheet'!AD20,'Balance Sheet'!AD13,'Balance Sheet'!AD14)-'Balance Sheet'!AD49)/'Income Statement'!AD23</f>
        <v/>
      </c>
      <c r="AE77" s="21">
        <f>('Income Statement'!AE51+SUM('Balance Sheet'!AE19,'Balance Sheet'!AE20,'Balance Sheet'!AE13,'Balance Sheet'!AE14)-'Balance Sheet'!AE49)/'Income Statement'!AE23</f>
        <v/>
      </c>
      <c r="AF77" s="21">
        <f>('Income Statement'!AF51+SUM('Balance Sheet'!AF19,'Balance Sheet'!AF20,'Balance Sheet'!AF13,'Balance Sheet'!AF14)-'Balance Sheet'!AF49)/'Income Statement'!AF23</f>
        <v/>
      </c>
      <c r="AG77" s="21">
        <f>('Income Statement'!AG51+SUM('Balance Sheet'!AG19,'Balance Sheet'!AG20,'Balance Sheet'!AG13,'Balance Sheet'!AG14)-'Balance Sheet'!AG49)/'Income Statement'!AG23</f>
        <v/>
      </c>
      <c r="AH77" s="21">
        <f>('Income Statement'!AH51+SUM('Balance Sheet'!AH19,'Balance Sheet'!AH20,'Balance Sheet'!AH13,'Balance Sheet'!AH14)-'Balance Sheet'!AH49)/'Income Statement'!AH23</f>
        <v/>
      </c>
      <c r="AI77" s="21">
        <f>('Income Statement'!AI51+SUM('Balance Sheet'!AI19,'Balance Sheet'!AI20,'Balance Sheet'!AI13,'Balance Sheet'!AI14)-'Balance Sheet'!AI49)/'Income Statement'!AI23</f>
        <v/>
      </c>
    </row>
    <row r="78" ht="12.9" customHeight="1" s="343"/>
    <row r="79" ht="12.9" customHeight="1" s="343"/>
    <row r="80" ht="12.9" customHeight="1" s="343"/>
    <row r="81" ht="12.9" customHeight="1" s="343"/>
    <row r="82" ht="12.9" customHeight="1" s="343"/>
    <row r="83" ht="12.9" customHeight="1" s="343"/>
    <row r="84" ht="12.9" customHeight="1" s="343"/>
    <row r="85" ht="12.9" customHeight="1" s="343"/>
    <row r="86" ht="12.9" customHeight="1" s="343"/>
    <row r="87" ht="12.9" customHeight="1" s="343"/>
    <row r="88" ht="12.9" customHeight="1" s="343"/>
    <row r="89" ht="12.9" customHeight="1" s="343"/>
    <row r="90" ht="12.9" customHeight="1" s="343"/>
    <row r="91" ht="12.9" customHeight="1" s="343"/>
    <row r="92" ht="12.9" customHeight="1" s="343"/>
    <row r="93" ht="12.9" customHeight="1" s="343"/>
    <row r="94" ht="12.9" customHeight="1" s="343"/>
    <row r="95" ht="12.9" customHeight="1" s="343"/>
    <row r="96" ht="12.9" customHeight="1" s="343"/>
    <row r="97" ht="12.9" customHeight="1" s="343"/>
    <row r="98" ht="12.9" customHeight="1" s="343"/>
    <row r="99" ht="12.9" customHeight="1" s="343"/>
    <row r="100" ht="12.9" customHeight="1" s="343"/>
    <row r="101" ht="12.9" customHeight="1" s="343"/>
    <row r="102" ht="12.9" customHeight="1" s="343"/>
    <row r="103" ht="12.9" customHeight="1" s="343"/>
    <row r="104" ht="12.9" customHeight="1" s="343"/>
    <row r="105" ht="12.9" customHeight="1" s="343"/>
    <row r="106" ht="12.9" customHeight="1" s="343"/>
    <row r="107" ht="12.9" customHeight="1" s="343"/>
    <row r="108" ht="12.9" customHeight="1" s="343"/>
    <row r="109" ht="12.9" customHeight="1" s="343"/>
    <row r="110" ht="12.9" customHeight="1" s="343"/>
    <row r="111" ht="12.9" customHeight="1" s="343"/>
    <row r="112" ht="12.9" customHeight="1" s="343"/>
    <row r="113" ht="12.9" customHeight="1" s="343"/>
    <row r="114" ht="12.9" customHeight="1" s="343"/>
    <row r="115" ht="12.9" customHeight="1" s="343"/>
    <row r="116" ht="12.9" customHeight="1" s="343"/>
    <row r="117" ht="12.9" customHeight="1" s="343"/>
    <row r="118" ht="12.9" customHeight="1" s="343"/>
    <row r="119" ht="12.9" customHeight="1" s="343"/>
    <row r="120" ht="12.9" customHeight="1" s="343"/>
    <row r="121" ht="12.9" customHeight="1" s="343"/>
    <row r="122" ht="12.9" customHeight="1" s="343"/>
    <row r="123" ht="12.9" customHeight="1" s="343"/>
    <row r="124" ht="12.9" customHeight="1" s="343"/>
    <row r="125" ht="12.9" customHeight="1" s="343"/>
    <row r="126" ht="12.9" customHeight="1" s="343"/>
    <row r="127" ht="12.9" customHeight="1" s="343"/>
    <row r="128" ht="12.9" customHeight="1" s="343"/>
    <row r="129" ht="12.9" customHeight="1" s="343"/>
    <row r="130" ht="12.9" customHeight="1" s="343"/>
    <row r="131" ht="12.9" customHeight="1" s="343"/>
    <row r="132" ht="12.9" customHeight="1" s="343"/>
    <row r="133" ht="12.9" customHeight="1" s="343"/>
    <row r="134" ht="12.9" customHeight="1" s="343"/>
    <row r="135" ht="12.9" customHeight="1" s="343"/>
    <row r="136" ht="12.9" customHeight="1" s="343"/>
    <row r="137" ht="12.9" customHeight="1" s="343"/>
    <row r="138" ht="12.9" customHeight="1" s="343"/>
    <row r="139" ht="12.9" customHeight="1" s="343"/>
    <row r="140" ht="12.9" customHeight="1" s="343"/>
    <row r="141" ht="12.9" customHeight="1" s="343"/>
    <row r="142" ht="12.9" customHeight="1" s="343"/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8E1C2F"/>
    <outlinePr summaryBelow="1" summaryRight="1"/>
    <pageSetUpPr/>
  </sheetPr>
  <dimension ref="A1:AJ97"/>
  <sheetViews>
    <sheetView zoomScale="80" zoomScaleNormal="80" workbookViewId="0">
      <pane xSplit="2" ySplit="5" topLeftCell="E6" activePane="bottomRight" state="frozen"/>
      <selection pane="topRight" activeCell="C1" sqref="C1"/>
      <selection pane="bottomLeft" activeCell="A6" sqref="A6"/>
      <selection pane="bottomRight" activeCell="AJ11" sqref="AJ11"/>
    </sheetView>
  </sheetViews>
  <sheetFormatPr baseColWidth="8" defaultColWidth="10.5546875" defaultRowHeight="13.8" outlineLevelRow="1"/>
  <cols>
    <col width="2.6640625" customWidth="1" style="12" min="1" max="1"/>
    <col width="55.6640625" customWidth="1" style="16" min="2" max="2"/>
    <col hidden="1" outlineLevel="1" width="10.6640625" customWidth="1" style="12" min="3" max="4"/>
    <col collapsed="1" width="10.6640625" customWidth="1" style="12" min="5" max="5"/>
    <col hidden="1" outlineLevel="1" width="10.6640625" customWidth="1" style="12" min="6" max="7"/>
    <col collapsed="1" width="10.6640625" customWidth="1" style="12" min="8" max="8"/>
    <col hidden="1" outlineLevel="1" width="10.6640625" customWidth="1" style="12" min="9" max="10"/>
    <col collapsed="1" width="10.6640625" customWidth="1" style="12" min="11" max="11"/>
    <col hidden="1" outlineLevel="1" width="10.6640625" customWidth="1" style="12" min="12" max="13"/>
    <col collapsed="1" width="10.6640625" customWidth="1" style="12" min="14" max="14"/>
    <col hidden="1" outlineLevel="1" width="10.6640625" customWidth="1" style="12" min="15" max="16"/>
    <col collapsed="1" width="10.6640625" customWidth="1" style="12" min="17" max="17"/>
    <col hidden="1" outlineLevel="1" width="10.6640625" customWidth="1" style="12" min="18" max="19"/>
    <col collapsed="1" width="10.6640625" customWidth="1" style="12" min="20" max="20"/>
    <col hidden="1" outlineLevel="1" width="10.6640625" customWidth="1" style="12" min="21" max="22"/>
    <col collapsed="1" width="10.6640625" customWidth="1" style="12" min="23" max="23"/>
    <col hidden="1" outlineLevel="1" width="10.6640625" customWidth="1" style="12" min="24" max="25"/>
    <col collapsed="1" width="10.6640625" customWidth="1" style="12" min="26" max="26"/>
    <col hidden="1" outlineLevel="1" width="10.6640625" customWidth="1" style="12" min="27" max="28"/>
    <col collapsed="1" width="10.6640625" customWidth="1" style="12" min="29" max="29"/>
    <col hidden="1" outlineLevel="1" width="10.6640625" customWidth="1" style="12" min="30" max="31"/>
    <col collapsed="1" width="10.6640625" customWidth="1" style="12" min="32" max="32"/>
    <col hidden="1" outlineLevel="1" width="10.6640625" customWidth="1" style="12" min="33" max="34"/>
    <col collapsed="1" width="10.6640625" customWidth="1" style="12" min="35" max="35"/>
    <col width="10.6640625" customWidth="1" style="12" min="36" max="62"/>
    <col width="10.5546875" customWidth="1" style="12" min="63" max="16384"/>
  </cols>
  <sheetData>
    <row r="1" ht="12.9" customHeight="1" s="343">
      <c r="A1" s="436" t="n"/>
      <c r="B1" s="436" t="inlineStr">
        <is>
          <t>Anup Engineering Limited</t>
        </is>
      </c>
      <c r="C1" s="436" t="n"/>
      <c r="D1" s="436" t="n"/>
      <c r="E1" s="436" t="n"/>
      <c r="F1" s="436" t="n"/>
      <c r="G1" s="436" t="n"/>
      <c r="H1" s="436" t="n"/>
      <c r="I1" s="436" t="n"/>
      <c r="J1" s="436" t="n"/>
      <c r="K1" s="436" t="n"/>
      <c r="L1" s="436" t="n"/>
      <c r="M1" s="436" t="n"/>
      <c r="N1" s="436" t="n"/>
      <c r="O1" s="436" t="n"/>
      <c r="P1" s="436" t="n"/>
      <c r="Q1" s="436" t="n"/>
      <c r="R1" s="436" t="n"/>
      <c r="S1" s="436" t="n"/>
      <c r="T1" s="436" t="n"/>
    </row>
    <row r="2" ht="12.9" customHeight="1" s="343">
      <c r="A2" s="437" t="n"/>
      <c r="B2" s="12" t="inlineStr">
        <is>
          <t>Fiscal year ending 31st Mar, 2026</t>
        </is>
      </c>
      <c r="C2" s="383" t="inlineStr">
        <is>
          <t>H1</t>
        </is>
      </c>
      <c r="D2" s="383" t="inlineStr">
        <is>
          <t>H2</t>
        </is>
      </c>
      <c r="E2" s="383" t="inlineStr">
        <is>
          <t>FY</t>
        </is>
      </c>
      <c r="F2" s="383" t="inlineStr">
        <is>
          <t>H1</t>
        </is>
      </c>
      <c r="G2" s="383" t="inlineStr">
        <is>
          <t>H2</t>
        </is>
      </c>
      <c r="H2" s="383" t="inlineStr">
        <is>
          <t>FY</t>
        </is>
      </c>
      <c r="I2" s="383" t="inlineStr">
        <is>
          <t>H1</t>
        </is>
      </c>
      <c r="J2" s="383" t="inlineStr">
        <is>
          <t>H2</t>
        </is>
      </c>
      <c r="K2" s="383" t="inlineStr">
        <is>
          <t>FY</t>
        </is>
      </c>
      <c r="L2" s="383" t="inlineStr">
        <is>
          <t>H1</t>
        </is>
      </c>
      <c r="M2" s="383" t="inlineStr">
        <is>
          <t>H2</t>
        </is>
      </c>
      <c r="N2" s="383" t="inlineStr">
        <is>
          <t>FY</t>
        </is>
      </c>
      <c r="O2" s="383" t="inlineStr">
        <is>
          <t>H1</t>
        </is>
      </c>
      <c r="P2" s="383" t="inlineStr">
        <is>
          <t>H2</t>
        </is>
      </c>
      <c r="Q2" s="383" t="inlineStr">
        <is>
          <t>FY</t>
        </is>
      </c>
      <c r="R2" s="383" t="inlineStr">
        <is>
          <t>H1</t>
        </is>
      </c>
      <c r="S2" s="383" t="inlineStr">
        <is>
          <t>H2</t>
        </is>
      </c>
      <c r="T2" s="383" t="inlineStr">
        <is>
          <t>FY</t>
        </is>
      </c>
      <c r="U2" s="384" t="inlineStr">
        <is>
          <t>H1</t>
        </is>
      </c>
      <c r="V2" s="384" t="inlineStr">
        <is>
          <t>H2</t>
        </is>
      </c>
      <c r="W2" s="384" t="inlineStr">
        <is>
          <t>FY</t>
        </is>
      </c>
      <c r="X2" s="384" t="inlineStr">
        <is>
          <t>H1</t>
        </is>
      </c>
      <c r="Y2" s="384" t="inlineStr">
        <is>
          <t>H2</t>
        </is>
      </c>
      <c r="Z2" s="384" t="inlineStr">
        <is>
          <t>FY</t>
        </is>
      </c>
      <c r="AA2" s="384" t="inlineStr">
        <is>
          <t>H1</t>
        </is>
      </c>
      <c r="AB2" s="384" t="inlineStr">
        <is>
          <t>H2</t>
        </is>
      </c>
      <c r="AC2" s="384" t="inlineStr">
        <is>
          <t>FY</t>
        </is>
      </c>
      <c r="AD2" s="384" t="inlineStr">
        <is>
          <t>H1</t>
        </is>
      </c>
      <c r="AE2" s="384" t="inlineStr">
        <is>
          <t>H2</t>
        </is>
      </c>
      <c r="AF2" s="384" t="inlineStr">
        <is>
          <t>FY</t>
        </is>
      </c>
      <c r="AG2" s="384" t="inlineStr">
        <is>
          <t>H1</t>
        </is>
      </c>
      <c r="AH2" s="384" t="inlineStr">
        <is>
          <t>H2</t>
        </is>
      </c>
      <c r="AI2" s="384" t="inlineStr">
        <is>
          <t>FY</t>
        </is>
      </c>
    </row>
    <row r="3" ht="12.9" customHeight="1" s="343">
      <c r="A3" s="437" t="n"/>
      <c r="B3" s="12" t="inlineStr">
        <is>
          <t>All amounts in ₹ crores except per share data</t>
        </is>
      </c>
      <c r="C3" s="346" t="n">
        <v>2021</v>
      </c>
      <c r="D3" s="346" t="n">
        <v>2021</v>
      </c>
      <c r="E3" s="346" t="n">
        <v>2021</v>
      </c>
      <c r="F3" s="347" t="n">
        <v>2022</v>
      </c>
      <c r="G3" s="347" t="n">
        <v>2022</v>
      </c>
      <c r="H3" s="347" t="n">
        <v>2022</v>
      </c>
      <c r="I3" s="348" t="n">
        <v>2023</v>
      </c>
      <c r="J3" s="348" t="n">
        <v>2023</v>
      </c>
      <c r="K3" s="348" t="n">
        <v>2023</v>
      </c>
      <c r="L3" s="348" t="n">
        <v>2024</v>
      </c>
      <c r="M3" s="348" t="n">
        <v>2024</v>
      </c>
      <c r="N3" s="348" t="n">
        <v>2024</v>
      </c>
      <c r="O3" s="348" t="n">
        <v>2025</v>
      </c>
      <c r="P3" s="348" t="n">
        <v>2025</v>
      </c>
      <c r="Q3" s="348" t="n">
        <v>2025</v>
      </c>
      <c r="R3" s="348" t="n">
        <v>2026</v>
      </c>
      <c r="S3" s="348" t="n">
        <v>2026</v>
      </c>
      <c r="T3" s="348" t="n">
        <v>2026</v>
      </c>
      <c r="U3" s="349" t="inlineStr">
        <is>
          <t>2027 E</t>
        </is>
      </c>
      <c r="V3" s="349" t="inlineStr">
        <is>
          <t>2027 E</t>
        </is>
      </c>
      <c r="W3" s="349" t="inlineStr">
        <is>
          <t>2027 E</t>
        </is>
      </c>
      <c r="X3" s="349" t="inlineStr">
        <is>
          <t>2028 E</t>
        </is>
      </c>
      <c r="Y3" s="349" t="inlineStr">
        <is>
          <t>2028 E</t>
        </is>
      </c>
      <c r="Z3" s="349" t="inlineStr">
        <is>
          <t>2028 E</t>
        </is>
      </c>
      <c r="AA3" s="349" t="inlineStr">
        <is>
          <t>2029 E</t>
        </is>
      </c>
      <c r="AB3" s="349" t="inlineStr">
        <is>
          <t>2029 E</t>
        </is>
      </c>
      <c r="AC3" s="349" t="inlineStr">
        <is>
          <t>2029 E</t>
        </is>
      </c>
      <c r="AD3" s="349" t="inlineStr">
        <is>
          <t>2030 E</t>
        </is>
      </c>
      <c r="AE3" s="349" t="inlineStr">
        <is>
          <t>2030 E</t>
        </is>
      </c>
      <c r="AF3" s="349" t="inlineStr">
        <is>
          <t>2030 E</t>
        </is>
      </c>
      <c r="AG3" s="349" t="inlineStr">
        <is>
          <t>2031 E</t>
        </is>
      </c>
      <c r="AH3" s="349" t="inlineStr">
        <is>
          <t>2031 E</t>
        </is>
      </c>
      <c r="AI3" s="349" t="inlineStr">
        <is>
          <t>2031 E</t>
        </is>
      </c>
    </row>
    <row r="4" ht="12.9" customHeight="1" s="343">
      <c r="A4" s="437" t="n"/>
      <c r="B4" s="438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6" t="n"/>
    </row>
    <row r="5" ht="12.9" customFormat="1" customHeight="1" s="359">
      <c r="A5" s="467" t="n"/>
      <c r="B5" s="351" t="inlineStr">
        <is>
          <t>BALANCE SHEET</t>
        </is>
      </c>
      <c r="C5" s="468" t="n"/>
      <c r="D5" s="468" t="n"/>
      <c r="E5" s="468" t="n"/>
      <c r="F5" s="468" t="n"/>
      <c r="G5" s="468" t="n"/>
      <c r="H5" s="468" t="n"/>
      <c r="I5" s="468" t="n"/>
      <c r="J5" s="468" t="n"/>
      <c r="K5" s="468" t="n"/>
      <c r="L5" s="468" t="n"/>
      <c r="M5" s="468" t="n"/>
      <c r="N5" s="468" t="n"/>
      <c r="O5" s="468" t="n"/>
      <c r="P5" s="468" t="n"/>
      <c r="Q5" s="468" t="n"/>
      <c r="R5" s="468" t="n"/>
      <c r="S5" s="358" t="n"/>
    </row>
    <row r="6" ht="12.9" customHeight="1" s="343"/>
    <row r="7" ht="12.9" customHeight="1" s="343">
      <c r="B7" s="13" t="inlineStr">
        <is>
          <t>EQUITY AND LIABILITIES</t>
        </is>
      </c>
      <c r="C7" s="469" t="n"/>
      <c r="D7" s="469" t="n"/>
      <c r="E7" s="469" t="n"/>
      <c r="F7" s="469" t="n"/>
      <c r="G7" s="469" t="n"/>
      <c r="H7" s="469" t="n"/>
      <c r="I7" s="469" t="n"/>
      <c r="J7" s="469" t="n"/>
      <c r="K7" s="469" t="n"/>
      <c r="L7" s="469" t="n"/>
      <c r="M7" s="469" t="n"/>
      <c r="N7" s="469" t="n"/>
      <c r="O7" s="469" t="n"/>
      <c r="P7" s="469" t="n"/>
      <c r="Q7" s="469" t="n"/>
      <c r="R7" s="469" t="n"/>
    </row>
    <row r="8" ht="12.9" customHeight="1" s="343">
      <c r="B8" s="13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</row>
    <row r="9" ht="12.9" customHeight="1" s="343">
      <c r="B9" s="184" t="inlineStr">
        <is>
          <t>Equity Share Capital</t>
        </is>
      </c>
      <c r="C9" s="452" t="n">
        <v>10.2082</v>
      </c>
      <c r="D9" s="27">
        <f>E9</f>
        <v/>
      </c>
      <c r="E9" s="452" t="n">
        <v>9.831200000000001</v>
      </c>
      <c r="F9" s="452" t="n">
        <v>9.8812</v>
      </c>
      <c r="G9" s="27">
        <f>H9</f>
        <v/>
      </c>
      <c r="H9" s="452" t="n">
        <v>9.8812</v>
      </c>
      <c r="I9" s="452" t="n">
        <v>9.8812</v>
      </c>
      <c r="J9" s="27">
        <f>K9</f>
        <v/>
      </c>
      <c r="K9" s="452" t="n">
        <v>9.8962</v>
      </c>
      <c r="L9" s="452" t="n">
        <v>9.911200000000001</v>
      </c>
      <c r="M9" s="27">
        <f>N9</f>
        <v/>
      </c>
      <c r="N9" s="452" t="n">
        <v>9.9505</v>
      </c>
      <c r="O9" s="452" t="n">
        <v>20.0025</v>
      </c>
      <c r="P9" s="27">
        <f>Q9</f>
        <v/>
      </c>
      <c r="Q9" s="452" t="n">
        <v>20.0265</v>
      </c>
      <c r="R9" s="452" t="n">
        <v>20.0265</v>
      </c>
      <c r="S9" s="27">
        <f>T9</f>
        <v/>
      </c>
      <c r="T9" s="452" t="n">
        <v>20.0315</v>
      </c>
      <c r="U9" s="134">
        <f>T9</f>
        <v/>
      </c>
      <c r="V9" s="134">
        <f>U9</f>
        <v/>
      </c>
      <c r="W9" s="134">
        <f>V9</f>
        <v/>
      </c>
      <c r="X9" s="134">
        <f>W9</f>
        <v/>
      </c>
      <c r="Y9" s="134">
        <f>X9</f>
        <v/>
      </c>
      <c r="Z9" s="134">
        <f>Y9</f>
        <v/>
      </c>
      <c r="AA9" s="134">
        <f>Z9</f>
        <v/>
      </c>
      <c r="AB9" s="134">
        <f>AA9</f>
        <v/>
      </c>
      <c r="AC9" s="134">
        <f>AB9</f>
        <v/>
      </c>
      <c r="AD9" s="134">
        <f>AC9</f>
        <v/>
      </c>
      <c r="AE9" s="134">
        <f>AD9</f>
        <v/>
      </c>
      <c r="AF9" s="134">
        <f>AE9</f>
        <v/>
      </c>
      <c r="AG9" s="134">
        <f>AF9</f>
        <v/>
      </c>
      <c r="AH9" s="134">
        <f>AG9</f>
        <v/>
      </c>
      <c r="AI9" s="134">
        <f>AH9</f>
        <v/>
      </c>
    </row>
    <row r="10" ht="12.9" customHeight="1" s="343">
      <c r="B10" s="184" t="inlineStr">
        <is>
          <t>Other Equity</t>
        </is>
      </c>
      <c r="C10" s="452" t="n">
        <v>322.8136</v>
      </c>
      <c r="D10" s="27">
        <f>E10</f>
        <v/>
      </c>
      <c r="E10" s="452" t="n">
        <v>327.3179</v>
      </c>
      <c r="F10" s="452" t="n">
        <v>344.8998</v>
      </c>
      <c r="G10" s="27">
        <f>H10</f>
        <v/>
      </c>
      <c r="H10" s="452" t="n">
        <v>383.5297</v>
      </c>
      <c r="I10" s="452" t="n">
        <v>393.916</v>
      </c>
      <c r="J10" s="27">
        <f>K10</f>
        <v/>
      </c>
      <c r="K10" s="452" t="n">
        <v>427.7846</v>
      </c>
      <c r="L10" s="452" t="n">
        <v>454.2219</v>
      </c>
      <c r="M10" s="27">
        <f>N10</f>
        <v/>
      </c>
      <c r="N10" s="452" t="n">
        <v>518.4959</v>
      </c>
      <c r="O10" s="452" t="n">
        <v>528.4494</v>
      </c>
      <c r="P10" s="27">
        <f>Q10</f>
        <v/>
      </c>
      <c r="Q10" s="452" t="n">
        <v>591.9316</v>
      </c>
      <c r="R10" s="452" t="n">
        <v>616.2312000000001</v>
      </c>
      <c r="S10" s="27">
        <f>T10</f>
        <v/>
      </c>
      <c r="T10" s="452" t="n">
        <v>670.975</v>
      </c>
      <c r="U10" s="27">
        <f>T10+'Income Statement'!U43-'Income Statement'!U56</f>
        <v/>
      </c>
      <c r="V10" s="27">
        <f>U10+'Income Statement'!V43-'Income Statement'!V56</f>
        <v/>
      </c>
      <c r="W10" s="27">
        <f>V10</f>
        <v/>
      </c>
      <c r="X10" s="27">
        <f>W10+'Income Statement'!X43-'Income Statement'!X56</f>
        <v/>
      </c>
      <c r="Y10" s="27">
        <f>X10+'Income Statement'!Y43-'Income Statement'!Y56</f>
        <v/>
      </c>
      <c r="Z10" s="27">
        <f>Y10</f>
        <v/>
      </c>
      <c r="AA10" s="27">
        <f>Z10+'Income Statement'!AA43-'Income Statement'!AA56</f>
        <v/>
      </c>
      <c r="AB10" s="27">
        <f>AA10+'Income Statement'!AB43-'Income Statement'!AB56</f>
        <v/>
      </c>
      <c r="AC10" s="27">
        <f>AB10</f>
        <v/>
      </c>
      <c r="AD10" s="27">
        <f>AC10+'Income Statement'!AD43-'Income Statement'!AD56</f>
        <v/>
      </c>
      <c r="AE10" s="27">
        <f>AD10+'Income Statement'!AE43-'Income Statement'!AE56</f>
        <v/>
      </c>
      <c r="AF10" s="27">
        <f>AE10</f>
        <v/>
      </c>
      <c r="AG10" s="27">
        <f>AF10+'Income Statement'!AG43-'Income Statement'!AG56</f>
        <v/>
      </c>
      <c r="AH10" s="27">
        <f>AG10+'Income Statement'!AH43-'Income Statement'!AH56</f>
        <v/>
      </c>
      <c r="AI10" s="27">
        <f>AH10</f>
        <v/>
      </c>
    </row>
    <row r="11" ht="12.9" customHeight="1" s="343">
      <c r="B11" s="183" t="inlineStr">
        <is>
          <t>Total Equity</t>
        </is>
      </c>
      <c r="C11" s="28">
        <f>SUM(C9:C10)</f>
        <v/>
      </c>
      <c r="D11" s="28">
        <f>SUM(D9:D10)</f>
        <v/>
      </c>
      <c r="E11" s="28">
        <f>SUM(E9:E10)</f>
        <v/>
      </c>
      <c r="F11" s="28">
        <f>SUM(F9:F10)</f>
        <v/>
      </c>
      <c r="G11" s="28">
        <f>SUM(G9:G10)</f>
        <v/>
      </c>
      <c r="H11" s="28">
        <f>SUM(H9:H10)</f>
        <v/>
      </c>
      <c r="I11" s="28">
        <f>SUM(I9:I10)</f>
        <v/>
      </c>
      <c r="J11" s="28">
        <f>SUM(J9:J10)</f>
        <v/>
      </c>
      <c r="K11" s="28">
        <f>SUM(K9:K10)</f>
        <v/>
      </c>
      <c r="L11" s="28">
        <f>SUM(L9:L10)</f>
        <v/>
      </c>
      <c r="M11" s="28">
        <f>SUM(M9:M10)</f>
        <v/>
      </c>
      <c r="N11" s="28">
        <f>SUM(N9:N10)</f>
        <v/>
      </c>
      <c r="O11" s="28">
        <f>SUM(O9:O10)</f>
        <v/>
      </c>
      <c r="P11" s="28">
        <f>SUM(P9:P10)</f>
        <v/>
      </c>
      <c r="Q11" s="28">
        <f>SUM(Q9:Q10)</f>
        <v/>
      </c>
      <c r="R11" s="28">
        <f>SUM(R9:R10)</f>
        <v/>
      </c>
      <c r="S11" s="28">
        <f>SUM(S9:S10)</f>
        <v/>
      </c>
      <c r="T11" s="28">
        <f>SUM(T9:T10)</f>
        <v/>
      </c>
      <c r="U11" s="28">
        <f>SUM(U9:U10)</f>
        <v/>
      </c>
      <c r="V11" s="28">
        <f>SUM(V9:V10)</f>
        <v/>
      </c>
      <c r="W11" s="28">
        <f>SUM(W9:W10)</f>
        <v/>
      </c>
      <c r="X11" s="28">
        <f>SUM(X9:X10)</f>
        <v/>
      </c>
      <c r="Y11" s="28">
        <f>SUM(Y9:Y10)</f>
        <v/>
      </c>
      <c r="Z11" s="28">
        <f>SUM(Z9:Z10)</f>
        <v/>
      </c>
      <c r="AA11" s="28">
        <f>SUM(AA9:AA10)</f>
        <v/>
      </c>
      <c r="AB11" s="28">
        <f>SUM(AB9:AB10)</f>
        <v/>
      </c>
      <c r="AC11" s="28">
        <f>SUM(AC9:AC10)</f>
        <v/>
      </c>
      <c r="AD11" s="28">
        <f>SUM(AD9:AD10)</f>
        <v/>
      </c>
      <c r="AE11" s="28">
        <f>SUM(AE9:AE10)</f>
        <v/>
      </c>
      <c r="AF11" s="28">
        <f>SUM(AF9:AF10)</f>
        <v/>
      </c>
      <c r="AG11" s="28">
        <f>SUM(AG9:AG10)</f>
        <v/>
      </c>
      <c r="AH11" s="28">
        <f>SUM(AH9:AH10)</f>
        <v/>
      </c>
      <c r="AI11" s="28">
        <f>SUM(AI9:AI10)</f>
        <v/>
      </c>
    </row>
    <row r="12" ht="12.9" customHeight="1" s="343">
      <c r="B12" s="13" t="inlineStr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7" t="n"/>
      <c r="AB12" s="27" t="n"/>
      <c r="AC12" s="27" t="n"/>
      <c r="AD12" s="27" t="n"/>
      <c r="AE12" s="27" t="n"/>
      <c r="AF12" s="27" t="n"/>
      <c r="AG12" s="27" t="n"/>
      <c r="AH12" s="27" t="n"/>
      <c r="AI12" s="27" t="n"/>
    </row>
    <row r="13" ht="12.9" customHeight="1" s="343">
      <c r="B13" s="184" t="inlineStr">
        <is>
          <t>Borrowings</t>
        </is>
      </c>
      <c r="C13" s="452" t="n"/>
      <c r="D13" s="27">
        <f>E13</f>
        <v/>
      </c>
      <c r="E13" s="452" t="n">
        <v>0</v>
      </c>
      <c r="F13" s="452" t="n">
        <v>0</v>
      </c>
      <c r="G13" s="27">
        <f>H13</f>
        <v/>
      </c>
      <c r="H13" s="452" t="n">
        <v>0</v>
      </c>
      <c r="I13" s="452" t="n">
        <v>0</v>
      </c>
      <c r="J13" s="27">
        <f>K13</f>
        <v/>
      </c>
      <c r="K13" s="452" t="n">
        <v>30.0254</v>
      </c>
      <c r="L13" s="452" t="n">
        <v>33.5767</v>
      </c>
      <c r="M13" s="27">
        <f>N13</f>
        <v/>
      </c>
      <c r="N13" s="452" t="n">
        <v>13.79</v>
      </c>
      <c r="O13" s="452" t="n">
        <v>12.2239</v>
      </c>
      <c r="P13" s="27">
        <f>Q13</f>
        <v/>
      </c>
      <c r="Q13" s="452" t="n">
        <v>8.238999999999999</v>
      </c>
      <c r="R13" s="452" t="n">
        <v>5.5299</v>
      </c>
      <c r="S13" s="27">
        <f>T13</f>
        <v/>
      </c>
      <c r="T13" s="452" t="n">
        <v>33.9215</v>
      </c>
      <c r="U13" s="134">
        <f>T13</f>
        <v/>
      </c>
      <c r="V13" s="134">
        <f>U13</f>
        <v/>
      </c>
      <c r="W13" s="27">
        <f>V13</f>
        <v/>
      </c>
      <c r="X13" s="134">
        <f>W13</f>
        <v/>
      </c>
      <c r="Y13" s="134">
        <f>X13</f>
        <v/>
      </c>
      <c r="Z13" s="27">
        <f>Y13</f>
        <v/>
      </c>
      <c r="AA13" s="134">
        <f>Z13</f>
        <v/>
      </c>
      <c r="AB13" s="134">
        <f>AA13</f>
        <v/>
      </c>
      <c r="AC13" s="27">
        <f>AB13</f>
        <v/>
      </c>
      <c r="AD13" s="134">
        <f>AC13</f>
        <v/>
      </c>
      <c r="AE13" s="134">
        <f>AD13</f>
        <v/>
      </c>
      <c r="AF13" s="27">
        <f>AE13</f>
        <v/>
      </c>
      <c r="AG13" s="134">
        <f>AF13</f>
        <v/>
      </c>
      <c r="AH13" s="134">
        <f>AG13</f>
        <v/>
      </c>
      <c r="AI13" s="27">
        <f>AH13</f>
        <v/>
      </c>
    </row>
    <row r="14" ht="12.9" customHeight="1" s="343">
      <c r="B14" s="184" t="inlineStr">
        <is>
          <t>Lease Liabilities</t>
        </is>
      </c>
      <c r="C14" s="452" t="n"/>
      <c r="D14" s="27">
        <f>E14</f>
        <v/>
      </c>
      <c r="E14" s="452" t="n">
        <v>0</v>
      </c>
      <c r="F14" s="452" t="n">
        <v>0</v>
      </c>
      <c r="G14" s="27">
        <f>H14</f>
        <v/>
      </c>
      <c r="H14" s="452" t="n">
        <v>0</v>
      </c>
      <c r="I14" s="452" t="n">
        <v>0</v>
      </c>
      <c r="J14" s="27">
        <f>K14</f>
        <v/>
      </c>
      <c r="K14" s="452" t="n">
        <v>0</v>
      </c>
      <c r="L14" s="452" t="n">
        <v>0</v>
      </c>
      <c r="M14" s="27">
        <f>N14</f>
        <v/>
      </c>
      <c r="N14" s="452" t="n">
        <v>0.8412999999999999</v>
      </c>
      <c r="O14" s="452" t="n">
        <v>0.7468</v>
      </c>
      <c r="P14" s="27">
        <f>Q14</f>
        <v/>
      </c>
      <c r="Q14" s="452" t="n">
        <v>2.6527</v>
      </c>
      <c r="R14" s="452" t="n">
        <v>2.4898</v>
      </c>
      <c r="S14" s="27">
        <f>T14</f>
        <v/>
      </c>
      <c r="T14" s="452" t="n">
        <v>1.8778</v>
      </c>
      <c r="U14" s="134">
        <f>T14</f>
        <v/>
      </c>
      <c r="V14" s="134">
        <f>U14+3</f>
        <v/>
      </c>
      <c r="W14" s="27">
        <f>V14</f>
        <v/>
      </c>
      <c r="X14" s="134">
        <f>W14</f>
        <v/>
      </c>
      <c r="Y14" s="134">
        <f>X14</f>
        <v/>
      </c>
      <c r="Z14" s="27">
        <f>Y14</f>
        <v/>
      </c>
      <c r="AA14" s="134">
        <f>Z14</f>
        <v/>
      </c>
      <c r="AB14" s="134">
        <f>AA14</f>
        <v/>
      </c>
      <c r="AC14" s="27">
        <f>AB14</f>
        <v/>
      </c>
      <c r="AD14" s="134">
        <f>AC14</f>
        <v/>
      </c>
      <c r="AE14" s="134">
        <f>AD14</f>
        <v/>
      </c>
      <c r="AF14" s="27">
        <f>AE14</f>
        <v/>
      </c>
      <c r="AG14" s="134">
        <f>AF14</f>
        <v/>
      </c>
      <c r="AH14" s="134">
        <f>AG14</f>
        <v/>
      </c>
      <c r="AI14" s="27">
        <f>AH14</f>
        <v/>
      </c>
    </row>
    <row r="15" ht="12.9" customHeight="1" s="343">
      <c r="B15" s="184" t="inlineStr">
        <is>
          <t>Long-Term Provisions</t>
        </is>
      </c>
      <c r="C15" s="470" t="n"/>
      <c r="D15" s="27">
        <f>E15</f>
        <v/>
      </c>
      <c r="E15" s="452" t="n">
        <v>0.08529999999999999</v>
      </c>
      <c r="F15" s="452" t="n">
        <v>0.08529999999999999</v>
      </c>
      <c r="G15" s="27">
        <f>H15</f>
        <v/>
      </c>
      <c r="H15" s="452" t="n">
        <v>0.3343</v>
      </c>
      <c r="I15" s="470" t="n">
        <v>0.3343</v>
      </c>
      <c r="J15" s="27">
        <f>K15</f>
        <v/>
      </c>
      <c r="K15" s="452" t="n">
        <v>0</v>
      </c>
      <c r="L15" s="452" t="n">
        <v>0</v>
      </c>
      <c r="M15" s="27">
        <f>N15</f>
        <v/>
      </c>
      <c r="N15" s="452" t="n">
        <v>2.3987</v>
      </c>
      <c r="O15" s="452" t="n">
        <v>10.7958</v>
      </c>
      <c r="P15" s="27">
        <f>Q15</f>
        <v/>
      </c>
      <c r="Q15" s="452" t="n">
        <v>5.7768</v>
      </c>
      <c r="R15" s="452" t="n">
        <v>6.7926</v>
      </c>
      <c r="S15" s="27">
        <f>T15</f>
        <v/>
      </c>
      <c r="T15" s="452" t="n">
        <v>5.9837</v>
      </c>
      <c r="U15" s="134">
        <f>T15</f>
        <v/>
      </c>
      <c r="V15" s="134">
        <f>U15</f>
        <v/>
      </c>
      <c r="W15" s="27">
        <f>V15</f>
        <v/>
      </c>
      <c r="X15" s="134">
        <f>W15</f>
        <v/>
      </c>
      <c r="Y15" s="134">
        <f>X15</f>
        <v/>
      </c>
      <c r="Z15" s="27">
        <f>Y15</f>
        <v/>
      </c>
      <c r="AA15" s="134">
        <f>Z15</f>
        <v/>
      </c>
      <c r="AB15" s="134">
        <f>AA15</f>
        <v/>
      </c>
      <c r="AC15" s="27">
        <f>AB15</f>
        <v/>
      </c>
      <c r="AD15" s="134">
        <f>AC15</f>
        <v/>
      </c>
      <c r="AE15" s="134">
        <f>AD15</f>
        <v/>
      </c>
      <c r="AF15" s="27">
        <f>AE15</f>
        <v/>
      </c>
      <c r="AG15" s="134">
        <f>AF15</f>
        <v/>
      </c>
      <c r="AH15" s="134">
        <f>AG15</f>
        <v/>
      </c>
      <c r="AI15" s="27">
        <f>AH15</f>
        <v/>
      </c>
    </row>
    <row r="16" ht="12.9" customHeight="1" s="343">
      <c r="B16" s="184" t="inlineStr">
        <is>
          <t>Deferred Tax Liabilities (Net)</t>
        </is>
      </c>
      <c r="C16" s="452" t="n">
        <v>14.779</v>
      </c>
      <c r="D16" s="27">
        <f>E16</f>
        <v/>
      </c>
      <c r="E16" s="452" t="n">
        <v>12.4736</v>
      </c>
      <c r="F16" s="452" t="n">
        <v>11.8548</v>
      </c>
      <c r="G16" s="27">
        <f>H16</f>
        <v/>
      </c>
      <c r="H16" s="452" t="n">
        <v>11.6506</v>
      </c>
      <c r="I16" s="470" t="n">
        <v>11.4732</v>
      </c>
      <c r="J16" s="27">
        <f>K16</f>
        <v/>
      </c>
      <c r="K16" s="452" t="n">
        <v>12.0978</v>
      </c>
      <c r="L16" s="452" t="n">
        <v>11.9616</v>
      </c>
      <c r="M16" s="27">
        <f>N16</f>
        <v/>
      </c>
      <c r="N16" s="452" t="n">
        <v>12.4492</v>
      </c>
      <c r="O16" s="452" t="n">
        <v>4.493399999999999</v>
      </c>
      <c r="P16" s="27">
        <f>Q16</f>
        <v/>
      </c>
      <c r="Q16" s="452" t="n">
        <v>10.9749</v>
      </c>
      <c r="R16" s="452" t="n">
        <v>9.880100000000001</v>
      </c>
      <c r="S16" s="27">
        <f>T16</f>
        <v/>
      </c>
      <c r="T16" s="452" t="n">
        <v>9.697900000000001</v>
      </c>
      <c r="U16" s="134">
        <f>T16</f>
        <v/>
      </c>
      <c r="V16" s="134">
        <f>U16</f>
        <v/>
      </c>
      <c r="W16" s="27">
        <f>V16</f>
        <v/>
      </c>
      <c r="X16" s="134">
        <f>W16</f>
        <v/>
      </c>
      <c r="Y16" s="134">
        <f>X16</f>
        <v/>
      </c>
      <c r="Z16" s="27">
        <f>Y16</f>
        <v/>
      </c>
      <c r="AA16" s="134">
        <f>Z16</f>
        <v/>
      </c>
      <c r="AB16" s="134">
        <f>AA16</f>
        <v/>
      </c>
      <c r="AC16" s="27">
        <f>AB16</f>
        <v/>
      </c>
      <c r="AD16" s="134">
        <f>AC16</f>
        <v/>
      </c>
      <c r="AE16" s="134">
        <f>AD16</f>
        <v/>
      </c>
      <c r="AF16" s="27">
        <f>AE16</f>
        <v/>
      </c>
      <c r="AG16" s="134">
        <f>AF16</f>
        <v/>
      </c>
      <c r="AH16" s="134">
        <f>AG16</f>
        <v/>
      </c>
      <c r="AI16" s="27">
        <f>AH16</f>
        <v/>
      </c>
    </row>
    <row r="17" ht="12.9" customHeight="1" s="343">
      <c r="B17" s="183" t="inlineStr">
        <is>
          <t>Total Non-Current Liabilities</t>
        </is>
      </c>
      <c r="C17" s="28">
        <f>SUM(C13:C16)</f>
        <v/>
      </c>
      <c r="D17" s="28">
        <f>SUM(D13:D16)</f>
        <v/>
      </c>
      <c r="E17" s="28">
        <f>SUM(E13:E16)</f>
        <v/>
      </c>
      <c r="F17" s="28">
        <f>SUM(F13:F16)</f>
        <v/>
      </c>
      <c r="G17" s="28">
        <f>SUM(G13:G16)</f>
        <v/>
      </c>
      <c r="H17" s="28">
        <f>SUM(H13:H16)</f>
        <v/>
      </c>
      <c r="I17" s="28">
        <f>SUM(I13:I16)</f>
        <v/>
      </c>
      <c r="J17" s="28">
        <f>SUM(J13:J16)</f>
        <v/>
      </c>
      <c r="K17" s="28">
        <f>SUM(K13:K16)</f>
        <v/>
      </c>
      <c r="L17" s="28">
        <f>SUM(L13:L16)</f>
        <v/>
      </c>
      <c r="M17" s="28">
        <f>SUM(M13:M16)</f>
        <v/>
      </c>
      <c r="N17" s="28">
        <f>SUM(N13:N16)</f>
        <v/>
      </c>
      <c r="O17" s="28">
        <f>SUM(O13:O16)</f>
        <v/>
      </c>
      <c r="P17" s="28">
        <f>SUM(P13:P16)</f>
        <v/>
      </c>
      <c r="Q17" s="28">
        <f>SUM(Q13:Q16)</f>
        <v/>
      </c>
      <c r="R17" s="28">
        <f>SUM(R13:R16)</f>
        <v/>
      </c>
      <c r="S17" s="28">
        <f>SUM(S13:S16)</f>
        <v/>
      </c>
      <c r="T17" s="28">
        <f>SUM(T13:T16)</f>
        <v/>
      </c>
      <c r="U17" s="28">
        <f>SUM(U13:U16)</f>
        <v/>
      </c>
      <c r="V17" s="28">
        <f>SUM(V13:V16)</f>
        <v/>
      </c>
      <c r="W17" s="28">
        <f>SUM(W13:W16)</f>
        <v/>
      </c>
      <c r="X17" s="28">
        <f>SUM(X13:X16)</f>
        <v/>
      </c>
      <c r="Y17" s="28">
        <f>SUM(Y13:Y16)</f>
        <v/>
      </c>
      <c r="Z17" s="28">
        <f>SUM(Z13:Z16)</f>
        <v/>
      </c>
      <c r="AA17" s="28">
        <f>SUM(AA13:AA16)</f>
        <v/>
      </c>
      <c r="AB17" s="28">
        <f>SUM(AB13:AB16)</f>
        <v/>
      </c>
      <c r="AC17" s="28">
        <f>SUM(AC13:AC16)</f>
        <v/>
      </c>
      <c r="AD17" s="28">
        <f>SUM(AD13:AD16)</f>
        <v/>
      </c>
      <c r="AE17" s="28">
        <f>SUM(AE13:AE16)</f>
        <v/>
      </c>
      <c r="AF17" s="28">
        <f>SUM(AF13:AF16)</f>
        <v/>
      </c>
      <c r="AG17" s="28">
        <f>SUM(AG13:AG16)</f>
        <v/>
      </c>
      <c r="AH17" s="28">
        <f>SUM(AH13:AH16)</f>
        <v/>
      </c>
      <c r="AI17" s="28">
        <f>SUM(AI13:AI16)</f>
        <v/>
      </c>
    </row>
    <row r="18" ht="12.9" customHeight="1" s="343">
      <c r="B18" s="13" t="inlineStr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</row>
    <row r="19" ht="12.9" customHeight="1" s="343">
      <c r="B19" s="184" t="inlineStr">
        <is>
          <t>Borrowings</t>
        </is>
      </c>
      <c r="C19" s="452" t="n"/>
      <c r="D19" s="27">
        <f>E19</f>
        <v/>
      </c>
      <c r="E19" s="452" t="n">
        <v>0</v>
      </c>
      <c r="F19" s="452" t="n">
        <v>0</v>
      </c>
      <c r="G19" s="27">
        <f>H19</f>
        <v/>
      </c>
      <c r="H19" s="452" t="n">
        <v>0</v>
      </c>
      <c r="I19" s="452" t="n">
        <v>0</v>
      </c>
      <c r="J19" s="27">
        <f>K19</f>
        <v/>
      </c>
      <c r="K19" s="452" t="n">
        <v>4.3151</v>
      </c>
      <c r="L19" s="452" t="n">
        <v>11.2523</v>
      </c>
      <c r="M19" s="27">
        <f>N19</f>
        <v/>
      </c>
      <c r="N19" s="452" t="n">
        <v>5.4836</v>
      </c>
      <c r="O19" s="452" t="n">
        <v>5.664800000000001</v>
      </c>
      <c r="P19" s="27">
        <f>Q19</f>
        <v/>
      </c>
      <c r="Q19" s="452" t="n">
        <v>21.2021</v>
      </c>
      <c r="R19" s="452" t="n">
        <v>149.3251</v>
      </c>
      <c r="S19" s="27">
        <f>T19</f>
        <v/>
      </c>
      <c r="T19" s="452" t="n">
        <v>73.88</v>
      </c>
      <c r="U19" s="134">
        <f>T19</f>
        <v/>
      </c>
      <c r="V19" s="134" t="n">
        <v>70</v>
      </c>
      <c r="W19" s="51">
        <f>V19</f>
        <v/>
      </c>
      <c r="X19" s="134" t="n">
        <v>65</v>
      </c>
      <c r="Y19" s="134" t="n">
        <v>60</v>
      </c>
      <c r="Z19" s="51">
        <f>Y19</f>
        <v/>
      </c>
      <c r="AA19" s="134" t="n">
        <v>55</v>
      </c>
      <c r="AB19" s="134" t="n">
        <v>50</v>
      </c>
      <c r="AC19" s="51">
        <f>AB19</f>
        <v/>
      </c>
      <c r="AD19" s="134" t="n">
        <v>45</v>
      </c>
      <c r="AE19" s="134" t="n">
        <v>40</v>
      </c>
      <c r="AF19" s="51">
        <f>AE19</f>
        <v/>
      </c>
      <c r="AG19" s="134" t="n">
        <v>35</v>
      </c>
      <c r="AH19" s="134">
        <f>AI19</f>
        <v/>
      </c>
      <c r="AI19" s="51" t="n">
        <v>30</v>
      </c>
    </row>
    <row r="20" ht="12.9" customHeight="1" s="343">
      <c r="B20" s="184" t="inlineStr">
        <is>
          <t>Lease Liabilities</t>
        </is>
      </c>
      <c r="C20" s="452" t="n"/>
      <c r="D20" s="27">
        <f>E20</f>
        <v/>
      </c>
      <c r="E20" s="452" t="n">
        <v>0</v>
      </c>
      <c r="F20" s="452" t="n">
        <v>0</v>
      </c>
      <c r="G20" s="27">
        <f>H20</f>
        <v/>
      </c>
      <c r="H20" s="452" t="n">
        <v>0</v>
      </c>
      <c r="I20" s="452" t="n">
        <v>0</v>
      </c>
      <c r="J20" s="27">
        <f>K20</f>
        <v/>
      </c>
      <c r="K20" s="452" t="n">
        <v>0</v>
      </c>
      <c r="L20" s="452" t="n">
        <v>0</v>
      </c>
      <c r="M20" s="27">
        <f>N20</f>
        <v/>
      </c>
      <c r="N20" s="452" t="n">
        <v>0.1648</v>
      </c>
      <c r="O20" s="452" t="n">
        <v>0.182</v>
      </c>
      <c r="P20" s="27">
        <f>Q20</f>
        <v/>
      </c>
      <c r="Q20" s="452" t="n">
        <v>0.3237</v>
      </c>
      <c r="R20" s="452" t="n">
        <v>0.3322</v>
      </c>
      <c r="S20" s="27">
        <f>T20</f>
        <v/>
      </c>
      <c r="T20" s="452" t="n">
        <v>0.2082</v>
      </c>
      <c r="U20" s="134">
        <f>T20</f>
        <v/>
      </c>
      <c r="V20" s="134">
        <f>U20</f>
        <v/>
      </c>
      <c r="W20" s="27">
        <f>V20</f>
        <v/>
      </c>
      <c r="X20" s="134">
        <f>W20</f>
        <v/>
      </c>
      <c r="Y20" s="134">
        <f>X20</f>
        <v/>
      </c>
      <c r="Z20" s="27">
        <f>Y20</f>
        <v/>
      </c>
      <c r="AA20" s="134">
        <f>Z20</f>
        <v/>
      </c>
      <c r="AB20" s="134">
        <f>AA20</f>
        <v/>
      </c>
      <c r="AC20" s="27">
        <f>AB20</f>
        <v/>
      </c>
      <c r="AD20" s="134">
        <f>AC20</f>
        <v/>
      </c>
      <c r="AE20" s="134">
        <f>AD20</f>
        <v/>
      </c>
      <c r="AF20" s="27">
        <f>AE20</f>
        <v/>
      </c>
      <c r="AG20" s="134">
        <f>AF20</f>
        <v/>
      </c>
      <c r="AH20" s="134">
        <f>AG20</f>
        <v/>
      </c>
      <c r="AI20" s="27">
        <f>AH20</f>
        <v/>
      </c>
    </row>
    <row r="21" hidden="1" outlineLevel="1" ht="12.9" customHeight="1" s="343">
      <c r="B21" s="184" t="inlineStr">
        <is>
          <t>Total O/S Dues Of Micro &amp; Small Enterprises</t>
        </is>
      </c>
      <c r="C21" s="452" t="n"/>
      <c r="D21" s="27">
        <f>E21</f>
        <v/>
      </c>
      <c r="E21" s="452" t="n">
        <v>0</v>
      </c>
      <c r="F21" s="452" t="n">
        <v>0</v>
      </c>
      <c r="G21" s="27">
        <f>H21</f>
        <v/>
      </c>
      <c r="H21" s="452" t="n">
        <v>0.3085</v>
      </c>
      <c r="I21" s="452" t="n">
        <v>0.0212</v>
      </c>
      <c r="J21" s="27">
        <f>K21</f>
        <v/>
      </c>
      <c r="K21" s="452" t="n">
        <v>0.6245000000000001</v>
      </c>
      <c r="L21" s="452" t="n">
        <v>3.0258</v>
      </c>
      <c r="M21" s="27">
        <f>N21</f>
        <v/>
      </c>
      <c r="N21" s="452" t="n">
        <v>13.2798</v>
      </c>
      <c r="O21" s="452" t="n">
        <v>15.4792</v>
      </c>
      <c r="P21" s="27">
        <f>Q21</f>
        <v/>
      </c>
      <c r="Q21" s="452" t="n">
        <v>29.6007</v>
      </c>
      <c r="R21" s="452" t="n">
        <v>31.8155</v>
      </c>
      <c r="S21" s="27">
        <f>T21</f>
        <v/>
      </c>
      <c r="T21" s="452" t="n">
        <v>29.9151</v>
      </c>
      <c r="U21" s="134" t="n"/>
      <c r="V21" s="134" t="n"/>
      <c r="W21" s="27">
        <f>V21</f>
        <v/>
      </c>
      <c r="X21" s="134" t="n"/>
      <c r="Y21" s="134" t="n"/>
      <c r="Z21" s="27">
        <f>Y21</f>
        <v/>
      </c>
      <c r="AA21" s="134" t="n"/>
      <c r="AB21" s="134" t="n"/>
      <c r="AC21" s="27">
        <f>AB21</f>
        <v/>
      </c>
      <c r="AD21" s="134" t="n"/>
      <c r="AE21" s="134" t="n"/>
      <c r="AF21" s="27">
        <f>AE21</f>
        <v/>
      </c>
      <c r="AG21" s="134" t="n"/>
      <c r="AH21" s="134" t="n"/>
      <c r="AI21" s="27">
        <f>AH21</f>
        <v/>
      </c>
    </row>
    <row r="22" hidden="1" outlineLevel="1" ht="12.9" customHeight="1" s="343">
      <c r="B22" s="184" t="inlineStr">
        <is>
          <t>Total O/S Dues Of Creditors Other Than Micro &amp; Small Enterprises</t>
        </is>
      </c>
      <c r="C22" s="452" t="n">
        <v>28.3611</v>
      </c>
      <c r="D22" s="27">
        <f>E22</f>
        <v/>
      </c>
      <c r="E22" s="452" t="n">
        <v>26.9466</v>
      </c>
      <c r="F22" s="452" t="n">
        <v>30.8222</v>
      </c>
      <c r="G22" s="27">
        <f>H22</f>
        <v/>
      </c>
      <c r="H22" s="452" t="n">
        <v>42.9866</v>
      </c>
      <c r="I22" s="452" t="n">
        <v>40.7457</v>
      </c>
      <c r="J22" s="27">
        <f>K22</f>
        <v/>
      </c>
      <c r="K22" s="452" t="n">
        <v>65.20050000000001</v>
      </c>
      <c r="L22" s="452" t="n">
        <v>38.0974</v>
      </c>
      <c r="M22" s="27">
        <f>N22</f>
        <v/>
      </c>
      <c r="N22" s="452" t="n">
        <v>49.6379</v>
      </c>
      <c r="O22" s="452" t="n">
        <v>66.4714</v>
      </c>
      <c r="P22" s="27">
        <f>Q22</f>
        <v/>
      </c>
      <c r="Q22" s="452" t="n">
        <v>58.8133</v>
      </c>
      <c r="R22" s="452" t="n">
        <v>48.9036</v>
      </c>
      <c r="S22" s="27">
        <f>T22</f>
        <v/>
      </c>
      <c r="T22" s="452" t="n">
        <v>55.0838</v>
      </c>
      <c r="U22" s="134" t="n"/>
      <c r="V22" s="134" t="n"/>
      <c r="W22" s="27">
        <f>V22</f>
        <v/>
      </c>
      <c r="X22" s="134" t="n"/>
      <c r="Y22" s="134" t="n"/>
      <c r="Z22" s="27">
        <f>Y22</f>
        <v/>
      </c>
      <c r="AA22" s="134" t="n"/>
      <c r="AB22" s="134" t="n"/>
      <c r="AC22" s="27">
        <f>AB22</f>
        <v/>
      </c>
      <c r="AD22" s="134" t="n"/>
      <c r="AE22" s="134" t="n"/>
      <c r="AF22" s="27">
        <f>AE22</f>
        <v/>
      </c>
      <c r="AG22" s="134" t="n"/>
      <c r="AH22" s="134" t="n"/>
      <c r="AI22" s="27">
        <f>AH22</f>
        <v/>
      </c>
    </row>
    <row r="23" collapsed="1" ht="12.9" customHeight="1" s="343">
      <c r="B23" s="184" t="inlineStr">
        <is>
          <t>Total Trade Payables</t>
        </is>
      </c>
      <c r="C23" s="27">
        <f>SUM(C21:C22)</f>
        <v/>
      </c>
      <c r="D23" s="27">
        <f>SUM(D21:D22)</f>
        <v/>
      </c>
      <c r="E23" s="27">
        <f>SUM(E21:E22)</f>
        <v/>
      </c>
      <c r="F23" s="27">
        <f>SUM(F21:F22)</f>
        <v/>
      </c>
      <c r="G23" s="27">
        <f>SUM(G21:G22)</f>
        <v/>
      </c>
      <c r="H23" s="27">
        <f>SUM(H21:H22)</f>
        <v/>
      </c>
      <c r="I23" s="27">
        <f>SUM(I21:I22)</f>
        <v/>
      </c>
      <c r="J23" s="27">
        <f>SUM(J21:J22)</f>
        <v/>
      </c>
      <c r="K23" s="27">
        <f>SUM(K21:K22)</f>
        <v/>
      </c>
      <c r="L23" s="27">
        <f>SUM(L21:L22)</f>
        <v/>
      </c>
      <c r="M23" s="27">
        <f>SUM(M21:M22)</f>
        <v/>
      </c>
      <c r="N23" s="27">
        <f>SUM(N21:N22)</f>
        <v/>
      </c>
      <c r="O23" s="27">
        <f>SUM(O21:O22)</f>
        <v/>
      </c>
      <c r="P23" s="27">
        <f>SUM(P21:P22)</f>
        <v/>
      </c>
      <c r="Q23" s="27">
        <f>SUM(Q21:Q22)</f>
        <v/>
      </c>
      <c r="R23" s="27">
        <f>SUM(R21:R22)</f>
        <v/>
      </c>
      <c r="S23" s="27">
        <f>SUM(S21:S22)</f>
        <v/>
      </c>
      <c r="T23" s="27">
        <f>SUM(T21:T22)</f>
        <v/>
      </c>
      <c r="U23" s="51">
        <f>'Balance Sheet'!U71/365*('Income Statement'!U14+'Income Statement'!S14)</f>
        <v/>
      </c>
      <c r="V23" s="51">
        <f>'Balance Sheet'!V71/365*('Income Statement'!V14+'Income Statement'!U14)</f>
        <v/>
      </c>
      <c r="W23" s="51">
        <f>V23</f>
        <v/>
      </c>
      <c r="X23" s="51">
        <f>'Balance Sheet'!X71/365*('Income Statement'!X14+'Income Statement'!V14)</f>
        <v/>
      </c>
      <c r="Y23" s="51">
        <f>'Balance Sheet'!Y71/365*('Income Statement'!Y14+'Income Statement'!X14)</f>
        <v/>
      </c>
      <c r="Z23" s="51">
        <f>Y23</f>
        <v/>
      </c>
      <c r="AA23" s="51">
        <f>'Balance Sheet'!AA71/365*('Income Statement'!AA14+'Income Statement'!Y14)</f>
        <v/>
      </c>
      <c r="AB23" s="51">
        <f>'Balance Sheet'!AB71/365*('Income Statement'!AB14+'Income Statement'!AA14)</f>
        <v/>
      </c>
      <c r="AC23" s="51">
        <f>AB23</f>
        <v/>
      </c>
      <c r="AD23" s="51">
        <f>'Balance Sheet'!AD71/365*('Income Statement'!AD14+'Income Statement'!AB14)</f>
        <v/>
      </c>
      <c r="AE23" s="51">
        <f>'Balance Sheet'!AE71/365*('Income Statement'!AE14+'Income Statement'!AD14)</f>
        <v/>
      </c>
      <c r="AF23" s="51">
        <f>AE23</f>
        <v/>
      </c>
      <c r="AG23" s="51">
        <f>'Balance Sheet'!AG71/365*('Income Statement'!AG14+'Income Statement'!AE14)</f>
        <v/>
      </c>
      <c r="AH23" s="51">
        <f>'Balance Sheet'!AH71/365*('Income Statement'!AH14+'Income Statement'!AG14)</f>
        <v/>
      </c>
      <c r="AI23" s="51">
        <f>AH23</f>
        <v/>
      </c>
    </row>
    <row r="24" ht="12.9" customHeight="1" s="343">
      <c r="B24" s="184" t="inlineStr">
        <is>
          <t>Other Financial Liabilities</t>
        </is>
      </c>
      <c r="C24" s="452" t="n">
        <v>8.0253</v>
      </c>
      <c r="D24" s="27">
        <f>E24</f>
        <v/>
      </c>
      <c r="E24" s="452" t="n">
        <v>2.494</v>
      </c>
      <c r="F24" s="452" t="n">
        <v>2.7014</v>
      </c>
      <c r="G24" s="27">
        <f>H24</f>
        <v/>
      </c>
      <c r="H24" s="452" t="n">
        <v>2.6483</v>
      </c>
      <c r="I24" s="452" t="n">
        <v>5.5005</v>
      </c>
      <c r="J24" s="27">
        <f>K24</f>
        <v/>
      </c>
      <c r="K24" s="452" t="n">
        <v>3.8477</v>
      </c>
      <c r="L24" s="452" t="n">
        <v>3.3442</v>
      </c>
      <c r="M24" s="27">
        <f>N24</f>
        <v/>
      </c>
      <c r="N24" s="452" t="n">
        <v>8.6134</v>
      </c>
      <c r="O24" s="452" t="n">
        <v>8.007200000000001</v>
      </c>
      <c r="P24" s="27">
        <f>Q24</f>
        <v/>
      </c>
      <c r="Q24" s="452" t="n">
        <v>11.3576</v>
      </c>
      <c r="R24" s="452" t="n">
        <v>14.9178</v>
      </c>
      <c r="S24" s="27">
        <f>T24</f>
        <v/>
      </c>
      <c r="T24" s="452" t="n">
        <v>23.0812</v>
      </c>
      <c r="U24" s="51">
        <f>U72*('Income Statement'!U8+'Income Statement'!S8)</f>
        <v/>
      </c>
      <c r="V24" s="51">
        <f>V72*('Income Statement'!V8+'Income Statement'!U8)</f>
        <v/>
      </c>
      <c r="W24" s="51">
        <f>V24</f>
        <v/>
      </c>
      <c r="X24" s="51">
        <f>X72*('Income Statement'!X8+'Income Statement'!V8)</f>
        <v/>
      </c>
      <c r="Y24" s="51">
        <f>Y72*('Income Statement'!Y8+'Income Statement'!X8)</f>
        <v/>
      </c>
      <c r="Z24" s="51">
        <f>Y24</f>
        <v/>
      </c>
      <c r="AA24" s="51">
        <f>AA72*('Income Statement'!AA8+'Income Statement'!Y8)</f>
        <v/>
      </c>
      <c r="AB24" s="51">
        <f>AB72*('Income Statement'!AB8+'Income Statement'!AA8)</f>
        <v/>
      </c>
      <c r="AC24" s="51">
        <f>AB24</f>
        <v/>
      </c>
      <c r="AD24" s="51">
        <f>AD72*('Income Statement'!AD8+'Income Statement'!AB8)</f>
        <v/>
      </c>
      <c r="AE24" s="51">
        <f>AE72*('Income Statement'!AE8+'Income Statement'!AD8)</f>
        <v/>
      </c>
      <c r="AF24" s="51">
        <f>AE24</f>
        <v/>
      </c>
      <c r="AG24" s="51">
        <f>AG72*('Income Statement'!AG8+'Income Statement'!AE8)</f>
        <v/>
      </c>
      <c r="AH24" s="51">
        <f>AH72*('Income Statement'!AH8+'Income Statement'!AG8)</f>
        <v/>
      </c>
      <c r="AI24" s="51">
        <f>AH24</f>
        <v/>
      </c>
      <c r="AJ24" s="30" t="n"/>
    </row>
    <row r="25" ht="12.9" customHeight="1" s="343">
      <c r="B25" s="184" t="inlineStr">
        <is>
          <t>Short-Term Provisions</t>
        </is>
      </c>
      <c r="C25" s="452" t="n">
        <v>1.126</v>
      </c>
      <c r="D25" s="27">
        <f>E25</f>
        <v/>
      </c>
      <c r="E25" s="452" t="n">
        <v>0.6224000000000001</v>
      </c>
      <c r="F25" s="452" t="n">
        <v>0.7514</v>
      </c>
      <c r="G25" s="27">
        <f>H25</f>
        <v/>
      </c>
      <c r="H25" s="452" t="n">
        <v>0.6365</v>
      </c>
      <c r="I25" s="452" t="n">
        <v>0.9358</v>
      </c>
      <c r="J25" s="27">
        <f>K25</f>
        <v/>
      </c>
      <c r="K25" s="452" t="n">
        <v>0.7389</v>
      </c>
      <c r="L25" s="452" t="n">
        <v>0.8229000000000001</v>
      </c>
      <c r="M25" s="27">
        <f>N25</f>
        <v/>
      </c>
      <c r="N25" s="452" t="n">
        <v>1.4338</v>
      </c>
      <c r="O25" s="452" t="n">
        <v>3.249</v>
      </c>
      <c r="P25" s="27">
        <f>Q25</f>
        <v/>
      </c>
      <c r="Q25" s="452" t="n">
        <v>2.5333</v>
      </c>
      <c r="R25" s="452" t="n">
        <v>3.1648</v>
      </c>
      <c r="S25" s="27">
        <f>T25</f>
        <v/>
      </c>
      <c r="T25" s="452" t="n">
        <v>3.8807</v>
      </c>
      <c r="U25" s="51">
        <f>U74*('Income Statement'!U8+'Income Statement'!S8)</f>
        <v/>
      </c>
      <c r="V25" s="51">
        <f>V74*('Income Statement'!V8+'Income Statement'!U8)</f>
        <v/>
      </c>
      <c r="W25" s="51">
        <f>V25</f>
        <v/>
      </c>
      <c r="X25" s="51">
        <f>X74*('Income Statement'!X8+'Income Statement'!V8)</f>
        <v/>
      </c>
      <c r="Y25" s="51">
        <f>Y74*('Income Statement'!Y8+'Income Statement'!X8)</f>
        <v/>
      </c>
      <c r="Z25" s="51">
        <f>Y25</f>
        <v/>
      </c>
      <c r="AA25" s="51">
        <f>AA74*('Income Statement'!AA8+'Income Statement'!Y8)</f>
        <v/>
      </c>
      <c r="AB25" s="51">
        <f>AB74*('Income Statement'!AB8+'Income Statement'!AA8)</f>
        <v/>
      </c>
      <c r="AC25" s="51">
        <f>AB25</f>
        <v/>
      </c>
      <c r="AD25" s="51">
        <f>AD74*('Income Statement'!AD8+'Income Statement'!AB8)</f>
        <v/>
      </c>
      <c r="AE25" s="51">
        <f>AE74*('Income Statement'!AE8+'Income Statement'!AD8)</f>
        <v/>
      </c>
      <c r="AF25" s="51">
        <f>AE25</f>
        <v/>
      </c>
      <c r="AG25" s="51">
        <f>AG74*('Income Statement'!AG8+'Income Statement'!AE8)</f>
        <v/>
      </c>
      <c r="AH25" s="51">
        <f>AH74*('Income Statement'!AH8+'Income Statement'!AG8)</f>
        <v/>
      </c>
      <c r="AI25" s="51">
        <f>AH25</f>
        <v/>
      </c>
    </row>
    <row r="26" ht="12.9" customHeight="1" s="343">
      <c r="B26" s="184" t="inlineStr">
        <is>
          <t>Other Current Liabilities</t>
        </is>
      </c>
      <c r="C26" s="452" t="n">
        <v>77.0848</v>
      </c>
      <c r="D26" s="27">
        <f>E26</f>
        <v/>
      </c>
      <c r="E26" s="452" t="n">
        <v>50.9509</v>
      </c>
      <c r="F26" s="452" t="n">
        <v>56.3176</v>
      </c>
      <c r="G26" s="27">
        <f>H26</f>
        <v/>
      </c>
      <c r="H26" s="452" t="n">
        <v>62.9655</v>
      </c>
      <c r="I26" s="452" t="n">
        <v>64.8595</v>
      </c>
      <c r="J26" s="27">
        <f>K26</f>
        <v/>
      </c>
      <c r="K26" s="452" t="n">
        <v>72.97399999999999</v>
      </c>
      <c r="L26" s="452" t="n">
        <v>101.3735</v>
      </c>
      <c r="M26" s="27">
        <f>N26</f>
        <v/>
      </c>
      <c r="N26" s="452" t="n">
        <v>154.5197</v>
      </c>
      <c r="O26" s="452" t="n">
        <v>177.7682</v>
      </c>
      <c r="P26" s="27">
        <f>Q26</f>
        <v/>
      </c>
      <c r="Q26" s="452" t="n">
        <v>144.0976</v>
      </c>
      <c r="R26" s="452" t="n">
        <v>62.11810000000001</v>
      </c>
      <c r="S26" s="27">
        <f>T26</f>
        <v/>
      </c>
      <c r="T26" s="452" t="n">
        <v>24.8001</v>
      </c>
      <c r="U26" s="51">
        <f>'Balance Sheet'!U73*('Income Statement'!U8+'Income Statement'!S8)</f>
        <v/>
      </c>
      <c r="V26" s="51">
        <f>'Balance Sheet'!V73*('Income Statement'!V$8+'Income Statement'!U$8)</f>
        <v/>
      </c>
      <c r="W26" s="51">
        <f>V26</f>
        <v/>
      </c>
      <c r="X26" s="51">
        <f>'Balance Sheet'!X73*('Income Statement'!X8+'Income Statement'!V8)</f>
        <v/>
      </c>
      <c r="Y26" s="51">
        <f>'Balance Sheet'!Y73*('Income Statement'!Y$8+'Income Statement'!X$8)</f>
        <v/>
      </c>
      <c r="Z26" s="51">
        <f>Y26</f>
        <v/>
      </c>
      <c r="AA26" s="51">
        <f>'Balance Sheet'!AA73*('Income Statement'!AA8+'Income Statement'!Y8)</f>
        <v/>
      </c>
      <c r="AB26" s="51">
        <f>'Balance Sheet'!AB73*('Income Statement'!AB$8+'Income Statement'!AA$8)</f>
        <v/>
      </c>
      <c r="AC26" s="51">
        <f>AB26</f>
        <v/>
      </c>
      <c r="AD26" s="51">
        <f>'Balance Sheet'!AD73*('Income Statement'!AD8+'Income Statement'!AB8)</f>
        <v/>
      </c>
      <c r="AE26" s="51">
        <f>'Balance Sheet'!AE73*('Income Statement'!AE$8+'Income Statement'!AD$8)</f>
        <v/>
      </c>
      <c r="AF26" s="51">
        <f>AE26</f>
        <v/>
      </c>
      <c r="AG26" s="51">
        <f>'Balance Sheet'!AG73*('Income Statement'!AG8+'Income Statement'!AE8)</f>
        <v/>
      </c>
      <c r="AH26" s="51">
        <f>'Balance Sheet'!AH73*('Income Statement'!AH$8+'Income Statement'!AG$8)</f>
        <v/>
      </c>
      <c r="AI26" s="51">
        <f>AH26</f>
        <v/>
      </c>
    </row>
    <row r="27" ht="12.9" customHeight="1" s="343">
      <c r="B27" s="184" t="inlineStr">
        <is>
          <t>Current Tax Liabilities (Net)</t>
        </is>
      </c>
      <c r="C27" s="452" t="n"/>
      <c r="D27" s="27">
        <f>E27</f>
        <v/>
      </c>
      <c r="E27" s="452" t="n">
        <v>0</v>
      </c>
      <c r="F27" s="452" t="n">
        <v>0</v>
      </c>
      <c r="G27" s="27">
        <f>H27</f>
        <v/>
      </c>
      <c r="H27" s="452" t="n">
        <v>10.3724</v>
      </c>
      <c r="I27" s="452" t="n">
        <v>10.3307</v>
      </c>
      <c r="J27" s="27">
        <f>K27</f>
        <v/>
      </c>
      <c r="K27" s="452" t="n">
        <v>15.4099</v>
      </c>
      <c r="L27" s="452" t="n">
        <v>20.5059</v>
      </c>
      <c r="M27" s="27">
        <f>N27</f>
        <v/>
      </c>
      <c r="N27" s="452" t="n">
        <v>17.3722</v>
      </c>
      <c r="O27" s="452" t="n">
        <v>18.4707</v>
      </c>
      <c r="P27" s="27">
        <f>Q27</f>
        <v/>
      </c>
      <c r="Q27" s="452" t="n">
        <v>18.6254</v>
      </c>
      <c r="R27" s="452" t="n">
        <v>25.352</v>
      </c>
      <c r="S27" s="27">
        <f>T27</f>
        <v/>
      </c>
      <c r="T27" s="452" t="n">
        <v>17.3227</v>
      </c>
      <c r="U27" s="134">
        <f>T27</f>
        <v/>
      </c>
      <c r="V27" s="134">
        <f>U27</f>
        <v/>
      </c>
      <c r="W27" s="51">
        <f>V27</f>
        <v/>
      </c>
      <c r="X27" s="134">
        <f>W27</f>
        <v/>
      </c>
      <c r="Y27" s="134">
        <f>X27</f>
        <v/>
      </c>
      <c r="Z27" s="51">
        <f>Y27</f>
        <v/>
      </c>
      <c r="AA27" s="134">
        <f>Z27</f>
        <v/>
      </c>
      <c r="AB27" s="134">
        <f>AA27</f>
        <v/>
      </c>
      <c r="AC27" s="51">
        <f>AB27</f>
        <v/>
      </c>
      <c r="AD27" s="134">
        <f>AC27</f>
        <v/>
      </c>
      <c r="AE27" s="134">
        <f>AD27</f>
        <v/>
      </c>
      <c r="AF27" s="51">
        <f>AE27</f>
        <v/>
      </c>
      <c r="AG27" s="134">
        <f>AF27</f>
        <v/>
      </c>
      <c r="AH27" s="134">
        <f>AG27</f>
        <v/>
      </c>
      <c r="AI27" s="51">
        <f>AH27</f>
        <v/>
      </c>
    </row>
    <row r="28" ht="12.9" customHeight="1" s="343">
      <c r="B28" s="183" t="inlineStr">
        <is>
          <t>Total Current Liabilities</t>
        </is>
      </c>
      <c r="C28" s="28">
        <f>SUM(C19:C20,C23:C27)</f>
        <v/>
      </c>
      <c r="D28" s="28">
        <f>SUM(D19:D20,D23:D27)</f>
        <v/>
      </c>
      <c r="E28" s="28">
        <f>SUM(E19:E20,E23:E27)</f>
        <v/>
      </c>
      <c r="F28" s="28">
        <f>SUM(F19:F20,F23:F27)</f>
        <v/>
      </c>
      <c r="G28" s="28">
        <f>SUM(G19:G20,G23:G27)</f>
        <v/>
      </c>
      <c r="H28" s="28">
        <f>SUM(H19:H20,H23:H27)</f>
        <v/>
      </c>
      <c r="I28" s="28">
        <f>SUM(I19:I20,I23:I27)</f>
        <v/>
      </c>
      <c r="J28" s="28">
        <f>SUM(J19:J20,J23:J27)</f>
        <v/>
      </c>
      <c r="K28" s="28">
        <f>SUM(K19:K20,K23:K27)</f>
        <v/>
      </c>
      <c r="L28" s="28">
        <f>SUM(L19:L20,L23:L27)</f>
        <v/>
      </c>
      <c r="M28" s="28">
        <f>SUM(M19:M20,M23:M27)</f>
        <v/>
      </c>
      <c r="N28" s="28">
        <f>SUM(N19:N20,N23:N27)</f>
        <v/>
      </c>
      <c r="O28" s="28">
        <f>SUM(O19:O20,O23:O27)</f>
        <v/>
      </c>
      <c r="P28" s="28">
        <f>SUM(P19:P20,P23:P27)</f>
        <v/>
      </c>
      <c r="Q28" s="28">
        <f>SUM(Q19:Q20,Q23:Q27)</f>
        <v/>
      </c>
      <c r="R28" s="28">
        <f>SUM(R19:R20,R23:R27)</f>
        <v/>
      </c>
      <c r="S28" s="28">
        <f>SUM(S19:S20,S23:S27)</f>
        <v/>
      </c>
      <c r="T28" s="28">
        <f>SUM(T19:T20,T23:T27)</f>
        <v/>
      </c>
      <c r="U28" s="28">
        <f>SUM(U19:U20,U23:U27)</f>
        <v/>
      </c>
      <c r="V28" s="28">
        <f>SUM(V19:V20,V23:V27)</f>
        <v/>
      </c>
      <c r="W28" s="28">
        <f>SUM(W19:W20,W23:W27)</f>
        <v/>
      </c>
      <c r="X28" s="28">
        <f>SUM(X19:X20,X23:X27)</f>
        <v/>
      </c>
      <c r="Y28" s="28">
        <f>SUM(Y19:Y20,Y23:Y27)</f>
        <v/>
      </c>
      <c r="Z28" s="28">
        <f>SUM(Z19:Z20,Z23:Z27)</f>
        <v/>
      </c>
      <c r="AA28" s="28">
        <f>SUM(AA19:AA20,AA23:AA27)</f>
        <v/>
      </c>
      <c r="AB28" s="28">
        <f>SUM(AB19:AB20,AB23:AB27)</f>
        <v/>
      </c>
      <c r="AC28" s="28">
        <f>SUM(AC19:AC20,AC23:AC27)</f>
        <v/>
      </c>
      <c r="AD28" s="28">
        <f>SUM(AD19:AD20,AD23:AD27)</f>
        <v/>
      </c>
      <c r="AE28" s="28">
        <f>SUM(AE19:AE20,AE23:AE27)</f>
        <v/>
      </c>
      <c r="AF28" s="28">
        <f>SUM(AF19:AF20,AF23:AF27)</f>
        <v/>
      </c>
      <c r="AG28" s="28">
        <f>SUM(AG19:AG20,AG23:AG27)</f>
        <v/>
      </c>
      <c r="AH28" s="28">
        <f>SUM(AH19:AH20,AH23:AH27)</f>
        <v/>
      </c>
      <c r="AI28" s="28">
        <f>SUM(AI19:AI20,AI23:AI27)</f>
        <v/>
      </c>
    </row>
    <row r="29" ht="12.9" customHeight="1" s="343">
      <c r="B29" s="183" t="inlineStr">
        <is>
          <t>TOTAL EQUITY AND LIABILITIES</t>
        </is>
      </c>
      <c r="C29" s="28">
        <f>C11+C17+C28</f>
        <v/>
      </c>
      <c r="D29" s="28">
        <f>D11+D17+D28</f>
        <v/>
      </c>
      <c r="E29" s="28">
        <f>E11+E17+E28</f>
        <v/>
      </c>
      <c r="F29" s="28">
        <f>F11+F17+F28</f>
        <v/>
      </c>
      <c r="G29" s="28">
        <f>G11+G17+G28</f>
        <v/>
      </c>
      <c r="H29" s="28">
        <f>H11+H17+H28</f>
        <v/>
      </c>
      <c r="I29" s="28">
        <f>I11+I17+I28</f>
        <v/>
      </c>
      <c r="J29" s="28">
        <f>J11+J17+J28</f>
        <v/>
      </c>
      <c r="K29" s="28">
        <f>K11+K17+K28</f>
        <v/>
      </c>
      <c r="L29" s="28">
        <f>L11+L17+L28</f>
        <v/>
      </c>
      <c r="M29" s="28">
        <f>M11+M17+M28</f>
        <v/>
      </c>
      <c r="N29" s="28">
        <f>N11+N17+N28</f>
        <v/>
      </c>
      <c r="O29" s="28">
        <f>O11+O17+O28</f>
        <v/>
      </c>
      <c r="P29" s="28">
        <f>P11+P17+P28</f>
        <v/>
      </c>
      <c r="Q29" s="28">
        <f>Q11+Q17+Q28</f>
        <v/>
      </c>
      <c r="R29" s="28">
        <f>R11+R17+R28</f>
        <v/>
      </c>
      <c r="S29" s="28">
        <f>S11+S17+S28</f>
        <v/>
      </c>
      <c r="T29" s="28">
        <f>T11+T17+T28</f>
        <v/>
      </c>
      <c r="U29" s="28">
        <f>U11+U17+U28</f>
        <v/>
      </c>
      <c r="V29" s="28">
        <f>V11+V17+V28</f>
        <v/>
      </c>
      <c r="W29" s="28">
        <f>W11+W17+W28</f>
        <v/>
      </c>
      <c r="X29" s="28">
        <f>X11+X17+X28</f>
        <v/>
      </c>
      <c r="Y29" s="28">
        <f>Y11+Y17+Y28</f>
        <v/>
      </c>
      <c r="Z29" s="28">
        <f>Z11+Z17+Z28</f>
        <v/>
      </c>
      <c r="AA29" s="28">
        <f>AA11+AA17+AA28</f>
        <v/>
      </c>
      <c r="AB29" s="28">
        <f>AB11+AB17+AB28</f>
        <v/>
      </c>
      <c r="AC29" s="28">
        <f>AC11+AC17+AC28</f>
        <v/>
      </c>
      <c r="AD29" s="28">
        <f>AD11+AD17+AD28</f>
        <v/>
      </c>
      <c r="AE29" s="28">
        <f>AE11+AE17+AE28</f>
        <v/>
      </c>
      <c r="AF29" s="28">
        <f>AF11+AF17+AF28</f>
        <v/>
      </c>
      <c r="AG29" s="28">
        <f>AG11+AG17+AG28</f>
        <v/>
      </c>
      <c r="AH29" s="28">
        <f>AH11+AH17+AH28</f>
        <v/>
      </c>
      <c r="AI29" s="28">
        <f>AI11+AI17+AI28</f>
        <v/>
      </c>
    </row>
    <row r="30" hidden="1" outlineLevel="1" ht="12.9" customHeight="1" s="343">
      <c r="B30" s="44" t="inlineStr">
        <is>
          <t>Check</t>
        </is>
      </c>
      <c r="C30" s="30" t="n">
        <v>462.398</v>
      </c>
      <c r="D30" s="30" t="n"/>
      <c r="E30" s="30" t="n">
        <v>430.7219</v>
      </c>
      <c r="F30" s="30" t="n">
        <v>457.3137</v>
      </c>
      <c r="G30" s="30" t="n"/>
      <c r="H30" s="30" t="n">
        <v>525.3136</v>
      </c>
      <c r="I30" s="30" t="n">
        <v>537.9981</v>
      </c>
      <c r="J30" s="30" t="n"/>
      <c r="K30" s="30" t="n">
        <v>642.9146000000001</v>
      </c>
      <c r="L30" s="30" t="n">
        <v>688.0934</v>
      </c>
      <c r="M30" s="30" t="n"/>
      <c r="N30" s="30" t="n">
        <v>808.4308000000001</v>
      </c>
      <c r="O30" s="30" t="n">
        <v>872.0043000000001</v>
      </c>
      <c r="P30" s="30" t="n"/>
      <c r="Q30" s="30" t="n">
        <v>926.1552000000001</v>
      </c>
      <c r="R30" s="30" t="n">
        <v>996.8792000000001</v>
      </c>
      <c r="S30" s="30" t="n"/>
      <c r="T30" s="30" t="n">
        <v>970.6592000000001</v>
      </c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</row>
    <row r="31" hidden="1" outlineLevel="1" ht="12.9" customFormat="1" customHeight="1" s="186">
      <c r="B31" s="178" t="inlineStr">
        <is>
          <t>Difference</t>
        </is>
      </c>
      <c r="C31" s="185">
        <f>C29-C30</f>
        <v/>
      </c>
      <c r="D31" s="185" t="n"/>
      <c r="E31" s="185">
        <f>E29-E30</f>
        <v/>
      </c>
      <c r="F31" s="185">
        <f>F29-F30</f>
        <v/>
      </c>
      <c r="G31" s="185" t="n"/>
      <c r="H31" s="185">
        <f>H29-H30</f>
        <v/>
      </c>
      <c r="I31" s="185">
        <f>I29-I30</f>
        <v/>
      </c>
      <c r="J31" s="185" t="n"/>
      <c r="K31" s="185">
        <f>K29-K30</f>
        <v/>
      </c>
      <c r="L31" s="185">
        <f>L29-L30</f>
        <v/>
      </c>
      <c r="M31" s="185" t="n"/>
      <c r="N31" s="185">
        <f>N29-N30</f>
        <v/>
      </c>
      <c r="O31" s="185">
        <f>O29-O30</f>
        <v/>
      </c>
      <c r="P31" s="185" t="n"/>
      <c r="Q31" s="185">
        <f>Q29-Q30</f>
        <v/>
      </c>
      <c r="R31" s="185">
        <f>R29-R30</f>
        <v/>
      </c>
      <c r="S31" s="185" t="n"/>
      <c r="T31" s="185">
        <f>T29-T30</f>
        <v/>
      </c>
      <c r="U31" s="189" t="n"/>
      <c r="V31" s="189" t="n"/>
      <c r="W31" s="189" t="n"/>
      <c r="X31" s="189" t="n"/>
      <c r="Y31" s="189" t="n"/>
      <c r="Z31" s="189" t="n"/>
      <c r="AA31" s="189" t="n"/>
      <c r="AB31" s="189" t="n"/>
      <c r="AC31" s="189" t="n"/>
      <c r="AD31" s="189" t="n"/>
      <c r="AE31" s="189" t="n"/>
      <c r="AF31" s="189" t="n"/>
      <c r="AG31" s="189" t="n"/>
      <c r="AH31" s="189" t="n"/>
      <c r="AI31" s="189" t="n"/>
    </row>
    <row r="32" collapsed="1" ht="12.9" customHeight="1" s="343">
      <c r="B32" s="15" t="inlineStr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</row>
    <row r="33" ht="12.9" customHeight="1" s="343">
      <c r="B33" s="13" t="inlineStr">
        <is>
          <t>ASSETS</t>
        </is>
      </c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</row>
    <row r="34" ht="12.9" customHeight="1" s="343">
      <c r="B34" s="13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  <c r="AA34" s="27" t="n"/>
      <c r="AB34" s="27" t="n"/>
      <c r="AC34" s="27" t="n"/>
      <c r="AD34" s="27" t="n"/>
      <c r="AE34" s="27" t="n"/>
      <c r="AF34" s="27" t="n"/>
      <c r="AG34" s="27" t="n"/>
      <c r="AH34" s="27" t="n"/>
      <c r="AI34" s="27" t="n"/>
    </row>
    <row r="35" ht="12.9" customHeight="1" s="343">
      <c r="B35" s="184" t="inlineStr">
        <is>
          <t>Property, Plant And Equipment</t>
        </is>
      </c>
      <c r="C35" s="452" t="n">
        <v>181.3986</v>
      </c>
      <c r="D35" s="27">
        <f>E35</f>
        <v/>
      </c>
      <c r="E35" s="452" t="n">
        <v>188.0553</v>
      </c>
      <c r="F35" s="452" t="n">
        <v>185.1124</v>
      </c>
      <c r="G35" s="27">
        <f>H35</f>
        <v/>
      </c>
      <c r="H35" s="452" t="n">
        <v>182.9107</v>
      </c>
      <c r="I35" s="452" t="n">
        <v>193.3338</v>
      </c>
      <c r="J35" s="27">
        <f>K35</f>
        <v/>
      </c>
      <c r="K35" s="452" t="n">
        <v>200.6862</v>
      </c>
      <c r="L35" s="452" t="n">
        <v>294.2455</v>
      </c>
      <c r="M35" s="27">
        <f>N35</f>
        <v/>
      </c>
      <c r="N35" s="452" t="n">
        <v>299.5435</v>
      </c>
      <c r="O35" s="452" t="n">
        <v>322.9711</v>
      </c>
      <c r="P35" s="27">
        <f>Q35</f>
        <v/>
      </c>
      <c r="Q35" s="452" t="n">
        <v>288.0958</v>
      </c>
      <c r="R35" s="452" t="n">
        <v>314.2222</v>
      </c>
      <c r="S35" s="27">
        <f>T35</f>
        <v/>
      </c>
      <c r="T35" s="452" t="n">
        <v>328.3049</v>
      </c>
      <c r="U35" s="27">
        <f>'Balance Sheet'!U65</f>
        <v/>
      </c>
      <c r="V35" s="27">
        <f>'Balance Sheet'!V65</f>
        <v/>
      </c>
      <c r="W35" s="27">
        <f>V35</f>
        <v/>
      </c>
      <c r="X35" s="27">
        <f>'Balance Sheet'!X65</f>
        <v/>
      </c>
      <c r="Y35" s="27">
        <f>'Balance Sheet'!Y65</f>
        <v/>
      </c>
      <c r="Z35" s="27">
        <f>Y35</f>
        <v/>
      </c>
      <c r="AA35" s="27">
        <f>'Balance Sheet'!AA65</f>
        <v/>
      </c>
      <c r="AB35" s="27">
        <f>'Balance Sheet'!AB65</f>
        <v/>
      </c>
      <c r="AC35" s="27">
        <f>AB35</f>
        <v/>
      </c>
      <c r="AD35" s="27">
        <f>'Balance Sheet'!AD65</f>
        <v/>
      </c>
      <c r="AE35" s="27">
        <f>'Balance Sheet'!AE65</f>
        <v/>
      </c>
      <c r="AF35" s="27">
        <f>AE35</f>
        <v/>
      </c>
      <c r="AG35" s="27">
        <f>'Balance Sheet'!AG65</f>
        <v/>
      </c>
      <c r="AH35" s="27">
        <f>'Balance Sheet'!AH65</f>
        <v/>
      </c>
      <c r="AI35" s="27">
        <f>AH35</f>
        <v/>
      </c>
    </row>
    <row r="36" ht="12.9" customHeight="1" s="343">
      <c r="B36" s="184" t="inlineStr">
        <is>
          <t>Capital Work In Progress</t>
        </is>
      </c>
      <c r="C36" s="452" t="n">
        <v>7.61</v>
      </c>
      <c r="D36" s="27">
        <f>E36</f>
        <v/>
      </c>
      <c r="E36" s="452" t="n">
        <v>1.5337</v>
      </c>
      <c r="F36" s="452" t="n">
        <v>3.0925</v>
      </c>
      <c r="G36" s="27">
        <f>H36</f>
        <v/>
      </c>
      <c r="H36" s="452" t="n">
        <v>30.662</v>
      </c>
      <c r="I36" s="452" t="n">
        <v>59.2635</v>
      </c>
      <c r="J36" s="27">
        <f>K36</f>
        <v/>
      </c>
      <c r="K36" s="452" t="n">
        <v>87.0256</v>
      </c>
      <c r="L36" s="452" t="n">
        <v>7.916799999999999</v>
      </c>
      <c r="M36" s="27">
        <f>N36</f>
        <v/>
      </c>
      <c r="N36" s="452" t="n">
        <v>15.5042</v>
      </c>
      <c r="O36" s="452" t="n">
        <v>14.5616</v>
      </c>
      <c r="P36" s="27">
        <f>Q36</f>
        <v/>
      </c>
      <c r="Q36" s="452" t="n">
        <v>9.9153</v>
      </c>
      <c r="R36" s="452" t="n">
        <v>14.598</v>
      </c>
      <c r="S36" s="27">
        <f>T36</f>
        <v/>
      </c>
      <c r="T36" s="452" t="n">
        <v>1.5728</v>
      </c>
      <c r="U36" s="134" t="n">
        <v>5</v>
      </c>
      <c r="V36" s="134">
        <f>U36</f>
        <v/>
      </c>
      <c r="W36" s="27">
        <f>V36</f>
        <v/>
      </c>
      <c r="X36" s="134">
        <f>W36</f>
        <v/>
      </c>
      <c r="Y36" s="134">
        <f>X36</f>
        <v/>
      </c>
      <c r="Z36" s="27">
        <f>Y36</f>
        <v/>
      </c>
      <c r="AA36" s="134">
        <f>Z36</f>
        <v/>
      </c>
      <c r="AB36" s="134">
        <f>AA36</f>
        <v/>
      </c>
      <c r="AC36" s="27">
        <f>AB36</f>
        <v/>
      </c>
      <c r="AD36" s="134">
        <f>AC36</f>
        <v/>
      </c>
      <c r="AE36" s="134">
        <f>AD36</f>
        <v/>
      </c>
      <c r="AF36" s="27">
        <f>AE36</f>
        <v/>
      </c>
      <c r="AG36" s="134">
        <f>AF36</f>
        <v/>
      </c>
      <c r="AH36" s="134">
        <f>AG36</f>
        <v/>
      </c>
      <c r="AI36" s="27">
        <f>AH36</f>
        <v/>
      </c>
    </row>
    <row r="37" ht="12.9" customHeight="1" s="343">
      <c r="B37" s="184" t="inlineStr">
        <is>
          <t>Goodwill On Consolidation</t>
        </is>
      </c>
      <c r="C37" s="452" t="n">
        <v>0</v>
      </c>
      <c r="D37" s="27">
        <f>E37</f>
        <v/>
      </c>
      <c r="E37" s="452" t="n">
        <v>0</v>
      </c>
      <c r="F37" s="452" t="n">
        <v>0</v>
      </c>
      <c r="G37" s="27">
        <f>H37</f>
        <v/>
      </c>
      <c r="H37" s="452" t="n">
        <v>0</v>
      </c>
      <c r="I37" s="452" t="n">
        <v>0</v>
      </c>
      <c r="J37" s="27">
        <f>K37</f>
        <v/>
      </c>
      <c r="K37" s="452" t="n">
        <v>0</v>
      </c>
      <c r="L37" s="452" t="n">
        <v>0</v>
      </c>
      <c r="M37" s="27">
        <f>N37</f>
        <v/>
      </c>
      <c r="N37" s="452" t="n">
        <v>0</v>
      </c>
      <c r="O37" s="452" t="n">
        <v>13.0164</v>
      </c>
      <c r="P37" s="27">
        <f>Q37</f>
        <v/>
      </c>
      <c r="Q37" s="452" t="n">
        <v>12.6164</v>
      </c>
      <c r="R37" s="452" t="n">
        <v>12.6164</v>
      </c>
      <c r="S37" s="27">
        <f>T37</f>
        <v/>
      </c>
      <c r="T37" s="452" t="n">
        <v>12.6164</v>
      </c>
      <c r="U37" s="134">
        <f>T37</f>
        <v/>
      </c>
      <c r="V37" s="134">
        <f>U37</f>
        <v/>
      </c>
      <c r="W37" s="27">
        <f>V37</f>
        <v/>
      </c>
      <c r="X37" s="134">
        <f>W37</f>
        <v/>
      </c>
      <c r="Y37" s="134">
        <f>X37</f>
        <v/>
      </c>
      <c r="Z37" s="27">
        <f>Y37</f>
        <v/>
      </c>
      <c r="AA37" s="134">
        <f>Z37</f>
        <v/>
      </c>
      <c r="AB37" s="134">
        <f>AA37</f>
        <v/>
      </c>
      <c r="AC37" s="27">
        <f>AB37</f>
        <v/>
      </c>
      <c r="AD37" s="134">
        <f>AC37</f>
        <v/>
      </c>
      <c r="AE37" s="134">
        <f>AD37</f>
        <v/>
      </c>
      <c r="AF37" s="27">
        <f>AE37</f>
        <v/>
      </c>
      <c r="AG37" s="134">
        <f>AF37</f>
        <v/>
      </c>
      <c r="AH37" s="134">
        <f>AG37</f>
        <v/>
      </c>
      <c r="AI37" s="27">
        <f>AH37</f>
        <v/>
      </c>
      <c r="AJ37" s="30" t="n"/>
    </row>
    <row r="38" ht="12.9" customHeight="1" s="343">
      <c r="B38" s="184" t="inlineStr">
        <is>
          <t>Intangible Assets</t>
        </is>
      </c>
      <c r="C38" s="452" t="n">
        <v>25.3759</v>
      </c>
      <c r="D38" s="27">
        <f>E38</f>
        <v/>
      </c>
      <c r="E38" s="452" t="n">
        <v>23.72</v>
      </c>
      <c r="F38" s="452" t="n">
        <v>21.9603</v>
      </c>
      <c r="G38" s="27">
        <f>H38</f>
        <v/>
      </c>
      <c r="H38" s="452" t="n">
        <v>20.2005</v>
      </c>
      <c r="I38" s="452" t="n">
        <v>18.5722</v>
      </c>
      <c r="J38" s="27">
        <f>K38</f>
        <v/>
      </c>
      <c r="K38" s="452" t="n">
        <v>16.7009</v>
      </c>
      <c r="L38" s="452" t="n">
        <v>15.2288</v>
      </c>
      <c r="M38" s="27">
        <f>N38</f>
        <v/>
      </c>
      <c r="N38" s="452" t="n">
        <v>13.6719</v>
      </c>
      <c r="O38" s="452" t="n">
        <v>12.2365</v>
      </c>
      <c r="P38" s="27">
        <f>Q38</f>
        <v/>
      </c>
      <c r="Q38" s="452" t="n">
        <v>10.4086</v>
      </c>
      <c r="R38" s="452" t="n">
        <v>8.650700000000001</v>
      </c>
      <c r="S38" s="27">
        <f>T38</f>
        <v/>
      </c>
      <c r="T38" s="452" t="n">
        <v>7.0597</v>
      </c>
      <c r="U38" s="134">
        <f>T38</f>
        <v/>
      </c>
      <c r="V38" s="134">
        <f>U38</f>
        <v/>
      </c>
      <c r="W38" s="27">
        <f>V38</f>
        <v/>
      </c>
      <c r="X38" s="134">
        <f>W38</f>
        <v/>
      </c>
      <c r="Y38" s="134">
        <f>X38</f>
        <v/>
      </c>
      <c r="Z38" s="27">
        <f>Y38</f>
        <v/>
      </c>
      <c r="AA38" s="134">
        <f>Z38</f>
        <v/>
      </c>
      <c r="AB38" s="134">
        <f>AA38</f>
        <v/>
      </c>
      <c r="AC38" s="27">
        <f>AB38</f>
        <v/>
      </c>
      <c r="AD38" s="134">
        <f>AC38</f>
        <v/>
      </c>
      <c r="AE38" s="134">
        <f>AD38</f>
        <v/>
      </c>
      <c r="AF38" s="27">
        <f>AE38</f>
        <v/>
      </c>
      <c r="AG38" s="134">
        <f>AF38</f>
        <v/>
      </c>
      <c r="AH38" s="134">
        <f>AG38</f>
        <v/>
      </c>
      <c r="AI38" s="27">
        <f>AH38</f>
        <v/>
      </c>
    </row>
    <row r="39" ht="12.9" customHeight="1" s="343">
      <c r="B39" s="184" t="inlineStr">
        <is>
          <t>Intangible Assets Under Development</t>
        </is>
      </c>
      <c r="C39" s="452" t="n">
        <v>0</v>
      </c>
      <c r="D39" s="27">
        <f>E39</f>
        <v/>
      </c>
      <c r="E39" s="452" t="n">
        <v>0</v>
      </c>
      <c r="F39" s="452" t="n">
        <v>0</v>
      </c>
      <c r="G39" s="27">
        <f>H39</f>
        <v/>
      </c>
      <c r="H39" s="452" t="n">
        <v>0</v>
      </c>
      <c r="I39" s="452" t="n">
        <v>0</v>
      </c>
      <c r="J39" s="27">
        <f>K39</f>
        <v/>
      </c>
      <c r="K39" s="452" t="n">
        <v>0</v>
      </c>
      <c r="L39" s="452" t="n">
        <v>0</v>
      </c>
      <c r="M39" s="27">
        <f>N39</f>
        <v/>
      </c>
      <c r="N39" s="452" t="n">
        <v>0.05400000000000001</v>
      </c>
      <c r="O39" s="452" t="n">
        <v>0</v>
      </c>
      <c r="P39" s="27">
        <f>Q39</f>
        <v/>
      </c>
      <c r="Q39" s="452" t="n">
        <v>0</v>
      </c>
      <c r="R39" s="452" t="n">
        <v>0.1251</v>
      </c>
      <c r="S39" s="27">
        <f>T39</f>
        <v/>
      </c>
      <c r="T39" s="452" t="n">
        <v>0</v>
      </c>
      <c r="U39" s="134">
        <f>T39</f>
        <v/>
      </c>
      <c r="V39" s="134">
        <f>U39</f>
        <v/>
      </c>
      <c r="W39" s="27">
        <f>V39</f>
        <v/>
      </c>
      <c r="X39" s="134">
        <f>W39</f>
        <v/>
      </c>
      <c r="Y39" s="134">
        <f>X39</f>
        <v/>
      </c>
      <c r="Z39" s="27">
        <f>Y39</f>
        <v/>
      </c>
      <c r="AA39" s="134">
        <f>Z39</f>
        <v/>
      </c>
      <c r="AB39" s="134">
        <f>AA39</f>
        <v/>
      </c>
      <c r="AC39" s="27">
        <f>AB39</f>
        <v/>
      </c>
      <c r="AD39" s="134">
        <f>AC39</f>
        <v/>
      </c>
      <c r="AE39" s="134">
        <f>AD39</f>
        <v/>
      </c>
      <c r="AF39" s="27">
        <f>AE39</f>
        <v/>
      </c>
      <c r="AG39" s="134">
        <f>AF39</f>
        <v/>
      </c>
      <c r="AH39" s="134">
        <f>AG39</f>
        <v/>
      </c>
      <c r="AI39" s="27">
        <f>AH39</f>
        <v/>
      </c>
    </row>
    <row r="40" ht="12.9" customHeight="1" s="343">
      <c r="B40" s="184" t="inlineStr">
        <is>
          <t>Right Of Use Assets</t>
        </is>
      </c>
      <c r="C40" s="452" t="n">
        <v>0</v>
      </c>
      <c r="D40" s="27">
        <f>E40</f>
        <v/>
      </c>
      <c r="E40" s="452" t="n">
        <v>0</v>
      </c>
      <c r="F40" s="452" t="n">
        <v>0</v>
      </c>
      <c r="G40" s="27">
        <f>H40</f>
        <v/>
      </c>
      <c r="H40" s="452" t="n">
        <v>0</v>
      </c>
      <c r="I40" s="452" t="n">
        <v>0</v>
      </c>
      <c r="J40" s="27">
        <f>K40</f>
        <v/>
      </c>
      <c r="K40" s="452" t="n">
        <v>0</v>
      </c>
      <c r="L40" s="452" t="n">
        <v>0</v>
      </c>
      <c r="M40" s="27">
        <f>N40</f>
        <v/>
      </c>
      <c r="N40" s="452" t="n">
        <v>0</v>
      </c>
      <c r="O40" s="452" t="n">
        <v>0</v>
      </c>
      <c r="P40" s="27">
        <f>Q40</f>
        <v/>
      </c>
      <c r="Q40" s="452" t="n">
        <v>51.65649999999999</v>
      </c>
      <c r="R40" s="452" t="n">
        <v>51.3151</v>
      </c>
      <c r="S40" s="27">
        <f>T40</f>
        <v/>
      </c>
      <c r="T40" s="452" t="n">
        <v>50.4817</v>
      </c>
      <c r="U40" s="134">
        <f>T40</f>
        <v/>
      </c>
      <c r="V40" s="134">
        <f>U40+(V14-U14)</f>
        <v/>
      </c>
      <c r="W40" s="27">
        <f>V40</f>
        <v/>
      </c>
      <c r="X40" s="134">
        <f>W40</f>
        <v/>
      </c>
      <c r="Y40" s="134">
        <f>X40</f>
        <v/>
      </c>
      <c r="Z40" s="27">
        <f>Y40</f>
        <v/>
      </c>
      <c r="AA40" s="134">
        <f>Z40</f>
        <v/>
      </c>
      <c r="AB40" s="134">
        <f>AA40</f>
        <v/>
      </c>
      <c r="AC40" s="27">
        <f>AB40</f>
        <v/>
      </c>
      <c r="AD40" s="134">
        <f>AC40</f>
        <v/>
      </c>
      <c r="AE40" s="134">
        <f>AD40</f>
        <v/>
      </c>
      <c r="AF40" s="27">
        <f>AE40</f>
        <v/>
      </c>
      <c r="AG40" s="134">
        <f>AF40</f>
        <v/>
      </c>
      <c r="AH40" s="134">
        <f>AG40</f>
        <v/>
      </c>
      <c r="AI40" s="27">
        <f>AH40</f>
        <v/>
      </c>
      <c r="AJ40" s="30" t="n"/>
    </row>
    <row r="41" ht="12.9" customHeight="1" s="343">
      <c r="B41" s="184" t="inlineStr">
        <is>
          <t>Other Financial Assets</t>
        </is>
      </c>
      <c r="C41" s="452" t="n">
        <v>0.7028</v>
      </c>
      <c r="D41" s="27">
        <f>E41</f>
        <v/>
      </c>
      <c r="E41" s="452" t="n">
        <v>0.733</v>
      </c>
      <c r="F41" s="452" t="n">
        <v>0.7572</v>
      </c>
      <c r="G41" s="27">
        <f>H41</f>
        <v/>
      </c>
      <c r="H41" s="452" t="n">
        <v>2.1833</v>
      </c>
      <c r="I41" s="452" t="n">
        <v>0.9294</v>
      </c>
      <c r="J41" s="27">
        <f>K41</f>
        <v/>
      </c>
      <c r="K41" s="452" t="n">
        <v>2.6321</v>
      </c>
      <c r="L41" s="452" t="n">
        <v>1.3199</v>
      </c>
      <c r="M41" s="27">
        <f>N41</f>
        <v/>
      </c>
      <c r="N41" s="452" t="n">
        <v>11.0554</v>
      </c>
      <c r="O41" s="452" t="n">
        <v>2.3295</v>
      </c>
      <c r="P41" s="27">
        <f>Q41</f>
        <v/>
      </c>
      <c r="Q41" s="452" t="n">
        <v>3.8095</v>
      </c>
      <c r="R41" s="452" t="n">
        <v>0.7193999999999999</v>
      </c>
      <c r="S41" s="27">
        <f>T41</f>
        <v/>
      </c>
      <c r="T41" s="452" t="n">
        <v>4.8304</v>
      </c>
      <c r="U41" s="134">
        <f>T41</f>
        <v/>
      </c>
      <c r="V41" s="134">
        <f>U41</f>
        <v/>
      </c>
      <c r="W41" s="27">
        <f>V41</f>
        <v/>
      </c>
      <c r="X41" s="134">
        <f>W41</f>
        <v/>
      </c>
      <c r="Y41" s="134">
        <f>X41</f>
        <v/>
      </c>
      <c r="Z41" s="27">
        <f>Y41</f>
        <v/>
      </c>
      <c r="AA41" s="134">
        <f>Z41</f>
        <v/>
      </c>
      <c r="AB41" s="134">
        <f>AA41</f>
        <v/>
      </c>
      <c r="AC41" s="27">
        <f>AB41</f>
        <v/>
      </c>
      <c r="AD41" s="134">
        <f>AC41</f>
        <v/>
      </c>
      <c r="AE41" s="134">
        <f>AD41</f>
        <v/>
      </c>
      <c r="AF41" s="27">
        <f>AE41</f>
        <v/>
      </c>
      <c r="AG41" s="134">
        <f>AF41</f>
        <v/>
      </c>
      <c r="AH41" s="134">
        <f>AG41</f>
        <v/>
      </c>
      <c r="AI41" s="27">
        <f>AH41</f>
        <v/>
      </c>
      <c r="AJ41" s="30" t="n"/>
    </row>
    <row r="42" ht="12.9" customHeight="1" s="343">
      <c r="B42" s="184" t="inlineStr">
        <is>
          <t>Other Non-Current Assets</t>
        </is>
      </c>
      <c r="C42" s="452" t="n">
        <v>0.5876</v>
      </c>
      <c r="D42" s="27">
        <f>E42</f>
        <v/>
      </c>
      <c r="E42" s="452" t="n">
        <v>0.474</v>
      </c>
      <c r="F42" s="452" t="n">
        <v>0.4061</v>
      </c>
      <c r="G42" s="27">
        <f>H42</f>
        <v/>
      </c>
      <c r="H42" s="452" t="n">
        <v>9.8352</v>
      </c>
      <c r="I42" s="452" t="n">
        <v>4.623</v>
      </c>
      <c r="J42" s="27">
        <f>K42</f>
        <v/>
      </c>
      <c r="K42" s="452" t="n">
        <v>1.686</v>
      </c>
      <c r="L42" s="452" t="n">
        <v>1.1577</v>
      </c>
      <c r="M42" s="27">
        <f>N42</f>
        <v/>
      </c>
      <c r="N42" s="452" t="n">
        <v>3.827</v>
      </c>
      <c r="O42" s="452" t="n">
        <v>2.2817</v>
      </c>
      <c r="P42" s="27">
        <f>Q42</f>
        <v/>
      </c>
      <c r="Q42" s="452" t="n">
        <v>4.353</v>
      </c>
      <c r="R42" s="452" t="n">
        <v>0.6808</v>
      </c>
      <c r="S42" s="27">
        <f>T42</f>
        <v/>
      </c>
      <c r="T42" s="452" t="n">
        <v>1.3223</v>
      </c>
      <c r="U42" s="134">
        <f>T42</f>
        <v/>
      </c>
      <c r="V42" s="134">
        <f>U42</f>
        <v/>
      </c>
      <c r="W42" s="27">
        <f>V42</f>
        <v/>
      </c>
      <c r="X42" s="134">
        <f>W42</f>
        <v/>
      </c>
      <c r="Y42" s="134">
        <f>X42</f>
        <v/>
      </c>
      <c r="Z42" s="27">
        <f>Y42</f>
        <v/>
      </c>
      <c r="AA42" s="134">
        <f>Z42</f>
        <v/>
      </c>
      <c r="AB42" s="134">
        <f>AA42</f>
        <v/>
      </c>
      <c r="AC42" s="27">
        <f>AB42</f>
        <v/>
      </c>
      <c r="AD42" s="134">
        <f>AC42</f>
        <v/>
      </c>
      <c r="AE42" s="134">
        <f>AD42</f>
        <v/>
      </c>
      <c r="AF42" s="27">
        <f>AE42</f>
        <v/>
      </c>
      <c r="AG42" s="134">
        <f>AF42</f>
        <v/>
      </c>
      <c r="AH42" s="134">
        <f>AG42</f>
        <v/>
      </c>
      <c r="AI42" s="27">
        <f>AH42</f>
        <v/>
      </c>
    </row>
    <row r="43" ht="12.9" customFormat="1" customHeight="1" s="6">
      <c r="B43" s="183" t="inlineStr">
        <is>
          <t>Total Non-Current Assets</t>
        </is>
      </c>
      <c r="C43" s="28">
        <f>SUM(C35:C42)</f>
        <v/>
      </c>
      <c r="D43" s="28">
        <f>SUM(D35:D42)</f>
        <v/>
      </c>
      <c r="E43" s="28">
        <f>SUM(E35:E42)</f>
        <v/>
      </c>
      <c r="F43" s="28">
        <f>SUM(F35:F42)</f>
        <v/>
      </c>
      <c r="G43" s="28">
        <f>SUM(G35:G42)</f>
        <v/>
      </c>
      <c r="H43" s="28">
        <f>SUM(H35:H42)</f>
        <v/>
      </c>
      <c r="I43" s="28">
        <f>SUM(I35:I42)</f>
        <v/>
      </c>
      <c r="J43" s="28">
        <f>SUM(J35:J42)</f>
        <v/>
      </c>
      <c r="K43" s="28">
        <f>SUM(K35:K42)</f>
        <v/>
      </c>
      <c r="L43" s="28">
        <f>SUM(L35:L42)</f>
        <v/>
      </c>
      <c r="M43" s="28">
        <f>SUM(M35:M42)</f>
        <v/>
      </c>
      <c r="N43" s="28">
        <f>SUM(N35:N42)</f>
        <v/>
      </c>
      <c r="O43" s="28">
        <f>SUM(O35:O42)</f>
        <v/>
      </c>
      <c r="P43" s="28">
        <f>SUM(P35:P42)</f>
        <v/>
      </c>
      <c r="Q43" s="28">
        <f>SUM(Q35:Q42)</f>
        <v/>
      </c>
      <c r="R43" s="28">
        <f>SUM(R35:R42)</f>
        <v/>
      </c>
      <c r="S43" s="28">
        <f>SUM(S35:S42)</f>
        <v/>
      </c>
      <c r="T43" s="28">
        <f>SUM(T35:T42)</f>
        <v/>
      </c>
      <c r="U43" s="28">
        <f>SUM(U35:U42)</f>
        <v/>
      </c>
      <c r="V43" s="28">
        <f>SUM(V35:V42)</f>
        <v/>
      </c>
      <c r="W43" s="28">
        <f>SUM(W35:W42)</f>
        <v/>
      </c>
      <c r="X43" s="28">
        <f>SUM(X35:X42)</f>
        <v/>
      </c>
      <c r="Y43" s="28">
        <f>SUM(Y35:Y42)</f>
        <v/>
      </c>
      <c r="Z43" s="28">
        <f>SUM(Z35:Z42)</f>
        <v/>
      </c>
      <c r="AA43" s="28">
        <f>SUM(AA35:AA42)</f>
        <v/>
      </c>
      <c r="AB43" s="28">
        <f>SUM(AB35:AB42)</f>
        <v/>
      </c>
      <c r="AC43" s="28">
        <f>SUM(AC35:AC42)</f>
        <v/>
      </c>
      <c r="AD43" s="28">
        <f>SUM(AD35:AD42)</f>
        <v/>
      </c>
      <c r="AE43" s="28">
        <f>SUM(AE35:AE42)</f>
        <v/>
      </c>
      <c r="AF43" s="28">
        <f>SUM(AF35:AF42)</f>
        <v/>
      </c>
      <c r="AG43" s="28">
        <f>SUM(AG35:AG42)</f>
        <v/>
      </c>
      <c r="AH43" s="28">
        <f>SUM(AH35:AH42)</f>
        <v/>
      </c>
      <c r="AI43" s="28">
        <f>SUM(AI35:AI42)</f>
        <v/>
      </c>
    </row>
    <row r="44" ht="12.9" customHeight="1" s="343">
      <c r="B44" s="13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</row>
    <row r="45" ht="12.9" customHeight="1" s="343">
      <c r="B45" s="184" t="inlineStr">
        <is>
          <t>Inventories</t>
        </is>
      </c>
      <c r="C45" s="452" t="n">
        <v>85.1764</v>
      </c>
      <c r="D45" s="27">
        <f>E45</f>
        <v/>
      </c>
      <c r="E45" s="452" t="n">
        <v>66.78020000000001</v>
      </c>
      <c r="F45" s="452" t="n">
        <v>64.4496</v>
      </c>
      <c r="G45" s="27">
        <f>H45</f>
        <v/>
      </c>
      <c r="H45" s="452" t="n">
        <v>90.1969</v>
      </c>
      <c r="I45" s="470" t="n">
        <v>115.8315</v>
      </c>
      <c r="J45" s="27">
        <f>K45</f>
        <v/>
      </c>
      <c r="K45" s="452" t="n">
        <v>126.9184</v>
      </c>
      <c r="L45" s="452" t="n">
        <v>118.9629</v>
      </c>
      <c r="M45" s="27">
        <f>N45</f>
        <v/>
      </c>
      <c r="N45" s="452" t="n">
        <v>165.2845</v>
      </c>
      <c r="O45" s="452" t="n">
        <v>179.6863</v>
      </c>
      <c r="P45" s="27">
        <f>Q45</f>
        <v/>
      </c>
      <c r="Q45" s="452" t="n">
        <v>147.2944</v>
      </c>
      <c r="R45" s="452" t="n">
        <v>148.3081</v>
      </c>
      <c r="S45" s="27">
        <f>T45</f>
        <v/>
      </c>
      <c r="T45" s="452" t="n">
        <v>100.7499</v>
      </c>
      <c r="U45" s="51">
        <f>('Income Statement'!U14+'Income Statement'!S14)/'Balance Sheet'!U76</f>
        <v/>
      </c>
      <c r="V45" s="51">
        <f>('Income Statement'!V14+'Income Statement'!U14)/'Balance Sheet'!V76</f>
        <v/>
      </c>
      <c r="W45" s="27">
        <f>V45</f>
        <v/>
      </c>
      <c r="X45" s="51">
        <f>('Income Statement'!X14+'Income Statement'!V14)/'Balance Sheet'!X76</f>
        <v/>
      </c>
      <c r="Y45" s="51">
        <f>('Income Statement'!Y14+'Income Statement'!X14)/'Balance Sheet'!Y76</f>
        <v/>
      </c>
      <c r="Z45" s="27">
        <f>Y45</f>
        <v/>
      </c>
      <c r="AA45" s="51">
        <f>('Income Statement'!AA14+'Income Statement'!Y14)/'Balance Sheet'!AA76</f>
        <v/>
      </c>
      <c r="AB45" s="51">
        <f>('Income Statement'!AB14+'Income Statement'!AA14)/'Balance Sheet'!AB76</f>
        <v/>
      </c>
      <c r="AC45" s="27">
        <f>AB45</f>
        <v/>
      </c>
      <c r="AD45" s="51">
        <f>('Income Statement'!AD14+'Income Statement'!AB14)/'Balance Sheet'!AD76</f>
        <v/>
      </c>
      <c r="AE45" s="51">
        <f>('Income Statement'!AE14+'Income Statement'!AD14)/'Balance Sheet'!AE76</f>
        <v/>
      </c>
      <c r="AF45" s="27">
        <f>AE45</f>
        <v/>
      </c>
      <c r="AG45" s="51">
        <f>('Income Statement'!AG14+'Income Statement'!AE14)/'Balance Sheet'!AG76</f>
        <v/>
      </c>
      <c r="AH45" s="51">
        <f>('Income Statement'!AH14+'Income Statement'!AG14)/'Balance Sheet'!AH76</f>
        <v/>
      </c>
      <c r="AI45" s="27">
        <f>AH45</f>
        <v/>
      </c>
    </row>
    <row r="46" hidden="1" outlineLevel="1" ht="12.9" customHeight="1" s="343">
      <c r="B46" s="184" t="inlineStr">
        <is>
          <t>Financial Assets</t>
        </is>
      </c>
      <c r="C46" s="452" t="n"/>
      <c r="D46" s="27" t="n"/>
      <c r="E46" s="452" t="n"/>
      <c r="F46" s="452" t="n"/>
      <c r="G46" s="27" t="n"/>
      <c r="H46" s="452" t="n"/>
      <c r="I46" s="452" t="n"/>
      <c r="J46" s="27" t="n"/>
      <c r="K46" s="452" t="n"/>
      <c r="L46" s="452" t="n"/>
      <c r="M46" s="452" t="n"/>
      <c r="N46" s="452" t="n"/>
      <c r="O46" s="452" t="n"/>
      <c r="P46" s="452" t="n"/>
      <c r="Q46" s="452" t="n"/>
      <c r="R46" s="452" t="n"/>
      <c r="S46" s="452" t="n"/>
      <c r="T46" s="452" t="n"/>
      <c r="U46" s="30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</row>
    <row r="47" hidden="1" outlineLevel="1" ht="12.9" customHeight="1" s="343">
      <c r="B47" s="184" t="inlineStr">
        <is>
          <t>Investments</t>
        </is>
      </c>
      <c r="C47" s="452" t="n"/>
      <c r="D47" s="27" t="n"/>
      <c r="E47" s="452" t="n"/>
      <c r="F47" s="452" t="n"/>
      <c r="G47" s="27" t="n"/>
      <c r="H47" s="452" t="n"/>
      <c r="I47" s="452" t="n"/>
      <c r="J47" s="27" t="n"/>
      <c r="K47" s="452" t="n"/>
      <c r="L47" s="452" t="n">
        <v>89.0044</v>
      </c>
      <c r="M47" s="27">
        <f>N47</f>
        <v/>
      </c>
      <c r="N47" s="452" t="n">
        <v>103.8624</v>
      </c>
      <c r="O47" s="452" t="n">
        <v>23.0281</v>
      </c>
      <c r="P47" s="27">
        <f>Q47</f>
        <v/>
      </c>
      <c r="Q47" s="452" t="n">
        <v>10.6319</v>
      </c>
      <c r="R47" s="452" t="n"/>
      <c r="S47" s="27">
        <f>T47</f>
        <v/>
      </c>
      <c r="T47" s="452" t="n"/>
      <c r="U47" s="30" t="n"/>
      <c r="V47" s="27" t="n"/>
      <c r="W47" s="27" t="n"/>
      <c r="X47" s="27" t="n"/>
      <c r="Y47" s="27" t="n"/>
      <c r="Z47" s="27" t="n"/>
      <c r="AA47" s="27" t="n"/>
      <c r="AB47" s="27" t="n"/>
      <c r="AC47" s="27" t="n"/>
      <c r="AD47" s="27" t="n"/>
      <c r="AE47" s="27" t="n"/>
      <c r="AF47" s="27" t="n"/>
      <c r="AG47" s="27" t="n"/>
      <c r="AH47" s="27" t="n"/>
      <c r="AI47" s="27" t="n"/>
    </row>
    <row r="48" collapsed="1" ht="12.9" customHeight="1" s="343">
      <c r="B48" s="184" t="inlineStr">
        <is>
          <t>Trade Receivables</t>
        </is>
      </c>
      <c r="C48" s="452" t="n">
        <v>75.4486</v>
      </c>
      <c r="D48" s="27">
        <f>E48</f>
        <v/>
      </c>
      <c r="E48" s="452" t="n">
        <v>110.1157</v>
      </c>
      <c r="F48" s="452" t="n">
        <v>112.2841</v>
      </c>
      <c r="G48" s="27">
        <f>H48</f>
        <v/>
      </c>
      <c r="H48" s="452" t="n">
        <v>124.7955</v>
      </c>
      <c r="I48" s="29" t="n">
        <v>77.367</v>
      </c>
      <c r="J48" s="27">
        <f>K48</f>
        <v/>
      </c>
      <c r="K48" s="452" t="n">
        <v>148.5622</v>
      </c>
      <c r="L48" s="452" t="n">
        <v>127.2452</v>
      </c>
      <c r="M48" s="27">
        <f>N48</f>
        <v/>
      </c>
      <c r="N48" s="452" t="n">
        <v>127.2406</v>
      </c>
      <c r="O48" s="452" t="n">
        <v>228.9854</v>
      </c>
      <c r="P48" s="27">
        <f>Q48</f>
        <v/>
      </c>
      <c r="Q48" s="452" t="n">
        <v>283.6497</v>
      </c>
      <c r="R48" s="452" t="n">
        <v>350.4321</v>
      </c>
      <c r="S48" s="27">
        <f>T48</f>
        <v/>
      </c>
      <c r="T48" s="452" t="n">
        <v>415.9389</v>
      </c>
      <c r="U48" s="51">
        <f>('Income Statement'!U8+'Income Statement'!S8)/'Balance Sheet'!U78</f>
        <v/>
      </c>
      <c r="V48" s="51">
        <f>('Income Statement'!V8+'Income Statement'!U8)/'Balance Sheet'!V78</f>
        <v/>
      </c>
      <c r="W48" s="27">
        <f>V48</f>
        <v/>
      </c>
      <c r="X48" s="51">
        <f>('Income Statement'!X8+'Income Statement'!V8)/'Balance Sheet'!X78</f>
        <v/>
      </c>
      <c r="Y48" s="51">
        <f>('Income Statement'!Y8+'Income Statement'!X8)/'Balance Sheet'!Y78</f>
        <v/>
      </c>
      <c r="Z48" s="27">
        <f>Y48</f>
        <v/>
      </c>
      <c r="AA48" s="51">
        <f>('Income Statement'!AA8+'Income Statement'!Y8)/'Balance Sheet'!AA78</f>
        <v/>
      </c>
      <c r="AB48" s="51">
        <f>('Income Statement'!AB8+'Income Statement'!AA8)/'Balance Sheet'!AB78</f>
        <v/>
      </c>
      <c r="AC48" s="27">
        <f>AB48</f>
        <v/>
      </c>
      <c r="AD48" s="51">
        <f>('Income Statement'!AD8+'Income Statement'!AB8)/'Balance Sheet'!AD78</f>
        <v/>
      </c>
      <c r="AE48" s="51">
        <f>('Income Statement'!AE8+'Income Statement'!AD8)/'Balance Sheet'!AE78</f>
        <v/>
      </c>
      <c r="AF48" s="27">
        <f>AE48</f>
        <v/>
      </c>
      <c r="AG48" s="51">
        <f>('Income Statement'!AG8+'Income Statement'!AE8)/'Balance Sheet'!AG78</f>
        <v/>
      </c>
      <c r="AH48" s="51">
        <f>('Income Statement'!AH8+'Income Statement'!AG8)/'Balance Sheet'!AH78</f>
        <v/>
      </c>
      <c r="AI48" s="27">
        <f>AH48</f>
        <v/>
      </c>
    </row>
    <row r="49" ht="12.9" customHeight="1" s="343">
      <c r="B49" s="184" t="inlineStr">
        <is>
          <t>Cash And Cash Equivalents</t>
        </is>
      </c>
      <c r="C49" s="452" t="n">
        <v>46.4871</v>
      </c>
      <c r="D49" s="27">
        <f>E49</f>
        <v/>
      </c>
      <c r="E49" s="452" t="n">
        <v>3.8695</v>
      </c>
      <c r="F49" s="452" t="n">
        <v>15.6929</v>
      </c>
      <c r="G49" s="27">
        <f>H49</f>
        <v/>
      </c>
      <c r="H49" s="452" t="n">
        <v>9.495100000000001</v>
      </c>
      <c r="I49" s="470" t="n">
        <v>16.1199</v>
      </c>
      <c r="J49" s="27">
        <f>K49</f>
        <v/>
      </c>
      <c r="K49" s="452" t="n">
        <v>31.0878</v>
      </c>
      <c r="L49" s="452" t="n">
        <v>13.4547</v>
      </c>
      <c r="M49" s="27">
        <f>N49</f>
        <v/>
      </c>
      <c r="N49" s="452" t="n">
        <v>17.7475</v>
      </c>
      <c r="O49" s="452" t="n">
        <v>3.4555</v>
      </c>
      <c r="P49" s="27">
        <f>Q49</f>
        <v/>
      </c>
      <c r="Q49" s="452" t="n">
        <v>2.5105</v>
      </c>
      <c r="R49" s="452" t="n">
        <v>0.2351</v>
      </c>
      <c r="S49" s="27">
        <f>T49</f>
        <v/>
      </c>
      <c r="T49" s="452" t="n">
        <v>4.0509</v>
      </c>
      <c r="U49" s="28">
        <f>'Cash Flows'!U77</f>
        <v/>
      </c>
      <c r="V49" s="28">
        <f>'Cash Flows'!V77</f>
        <v/>
      </c>
      <c r="W49" s="28">
        <f>V49</f>
        <v/>
      </c>
      <c r="X49" s="28">
        <f>'Cash Flows'!X77</f>
        <v/>
      </c>
      <c r="Y49" s="28">
        <f>'Cash Flows'!Y77</f>
        <v/>
      </c>
      <c r="Z49" s="28">
        <f>Y49</f>
        <v/>
      </c>
      <c r="AA49" s="28">
        <f>'Cash Flows'!AA77</f>
        <v/>
      </c>
      <c r="AB49" s="28">
        <f>'Cash Flows'!AB77</f>
        <v/>
      </c>
      <c r="AC49" s="28">
        <f>AB49</f>
        <v/>
      </c>
      <c r="AD49" s="28">
        <f>'Cash Flows'!AD77</f>
        <v/>
      </c>
      <c r="AE49" s="28">
        <f>'Cash Flows'!AE77</f>
        <v/>
      </c>
      <c r="AF49" s="28">
        <f>AE49</f>
        <v/>
      </c>
      <c r="AG49" s="28">
        <f>'Cash Flows'!AG77</f>
        <v/>
      </c>
      <c r="AH49" s="28">
        <f>'Cash Flows'!AH77</f>
        <v/>
      </c>
      <c r="AI49" s="28">
        <f>AH49</f>
        <v/>
      </c>
    </row>
    <row r="50" ht="12.9" customHeight="1" s="343">
      <c r="B50" s="184" t="inlineStr">
        <is>
          <t>Bank Balance Other Than (Iii) Above</t>
        </is>
      </c>
      <c r="C50" s="452" t="n">
        <v>32.2782</v>
      </c>
      <c r="D50" s="27">
        <f>E50</f>
        <v/>
      </c>
      <c r="E50" s="452" t="n">
        <v>19.737</v>
      </c>
      <c r="F50" s="452" t="n">
        <v>42.8345</v>
      </c>
      <c r="G50" s="27">
        <f>H50</f>
        <v/>
      </c>
      <c r="H50" s="452" t="n">
        <v>41.8022</v>
      </c>
      <c r="I50" s="470" t="n">
        <v>18.394</v>
      </c>
      <c r="J50" s="27">
        <f>K50</f>
        <v/>
      </c>
      <c r="K50" s="452" t="n">
        <v>1.5082</v>
      </c>
      <c r="L50" s="452" t="n">
        <v>2.7802</v>
      </c>
      <c r="M50" s="27">
        <f>N50</f>
        <v/>
      </c>
      <c r="N50" s="452" t="n">
        <v>3.5273</v>
      </c>
      <c r="O50" s="452" t="n">
        <v>5.0193</v>
      </c>
      <c r="P50" s="27">
        <f>Q50</f>
        <v/>
      </c>
      <c r="Q50" s="452" t="n">
        <v>13.1705</v>
      </c>
      <c r="R50" s="452" t="n">
        <v>14.3871</v>
      </c>
      <c r="S50" s="27">
        <f>T50</f>
        <v/>
      </c>
      <c r="T50" s="452" t="n">
        <v>8.554500000000001</v>
      </c>
      <c r="U50" s="134">
        <f>T50</f>
        <v/>
      </c>
      <c r="V50" s="134">
        <f>U50</f>
        <v/>
      </c>
      <c r="W50" s="27">
        <f>V50</f>
        <v/>
      </c>
      <c r="X50" s="134">
        <f>W50</f>
        <v/>
      </c>
      <c r="Y50" s="134">
        <f>X50</f>
        <v/>
      </c>
      <c r="Z50" s="27">
        <f>Y50</f>
        <v/>
      </c>
      <c r="AA50" s="134">
        <f>Z50</f>
        <v/>
      </c>
      <c r="AB50" s="134">
        <f>AA50</f>
        <v/>
      </c>
      <c r="AC50" s="27">
        <f>AB50</f>
        <v/>
      </c>
      <c r="AD50" s="134">
        <f>AC50</f>
        <v/>
      </c>
      <c r="AE50" s="134">
        <f>AD50</f>
        <v/>
      </c>
      <c r="AF50" s="27">
        <f>AE50</f>
        <v/>
      </c>
      <c r="AG50" s="134">
        <f>AF50</f>
        <v/>
      </c>
      <c r="AH50" s="134">
        <f>AG50</f>
        <v/>
      </c>
      <c r="AI50" s="27">
        <f>AH50</f>
        <v/>
      </c>
    </row>
    <row r="51" ht="12.9" customHeight="1" s="343">
      <c r="B51" s="184" t="inlineStr">
        <is>
          <t>Other Financial Assets</t>
        </is>
      </c>
      <c r="C51" s="452" t="n">
        <v>0.4456</v>
      </c>
      <c r="D51" s="27">
        <f>E51</f>
        <v/>
      </c>
      <c r="E51" s="452" t="n">
        <v>0.322</v>
      </c>
      <c r="F51" s="452" t="n">
        <v>0.8492000000000001</v>
      </c>
      <c r="G51" s="27">
        <f>H51</f>
        <v/>
      </c>
      <c r="H51" s="452" t="n">
        <v>0.506</v>
      </c>
      <c r="I51" s="470" t="n">
        <v>0.2628</v>
      </c>
      <c r="J51" s="27">
        <f>K51</f>
        <v/>
      </c>
      <c r="K51" s="452" t="n">
        <v>0.1817</v>
      </c>
      <c r="L51" s="452" t="n">
        <v>0.7966</v>
      </c>
      <c r="M51" s="27">
        <f>N51</f>
        <v/>
      </c>
      <c r="N51" s="452" t="n">
        <v>1.6875</v>
      </c>
      <c r="O51" s="452" t="n">
        <v>0.4941</v>
      </c>
      <c r="P51" s="27">
        <f>Q51</f>
        <v/>
      </c>
      <c r="Q51" s="452" t="n">
        <v>0.3433</v>
      </c>
      <c r="R51" s="452" t="n">
        <v>0.723</v>
      </c>
      <c r="S51" s="27">
        <f>T51</f>
        <v/>
      </c>
      <c r="T51" s="452" t="n">
        <v>0.2481</v>
      </c>
      <c r="U51" s="51">
        <f>U80*('Income Statement'!U8+'Income Statement'!S8)</f>
        <v/>
      </c>
      <c r="V51" s="51">
        <f>V80*('Income Statement'!V$8+'Income Statement'!U$8)</f>
        <v/>
      </c>
      <c r="W51" s="27">
        <f>V51</f>
        <v/>
      </c>
      <c r="X51" s="51">
        <f>X80*('Income Statement'!X8+'Income Statement'!V8)</f>
        <v/>
      </c>
      <c r="Y51" s="51">
        <f>Y80*('Income Statement'!Y$8+'Income Statement'!X$8)</f>
        <v/>
      </c>
      <c r="Z51" s="27">
        <f>Y51</f>
        <v/>
      </c>
      <c r="AA51" s="51">
        <f>AA80*('Income Statement'!AA8+'Income Statement'!Y8)</f>
        <v/>
      </c>
      <c r="AB51" s="51">
        <f>AB80*('Income Statement'!AB$8+'Income Statement'!AA$8)</f>
        <v/>
      </c>
      <c r="AC51" s="27">
        <f>AB51</f>
        <v/>
      </c>
      <c r="AD51" s="51">
        <f>AD80*('Income Statement'!AD8+'Income Statement'!AB8)</f>
        <v/>
      </c>
      <c r="AE51" s="51">
        <f>AE80*('Income Statement'!AE$8+'Income Statement'!AD$8)</f>
        <v/>
      </c>
      <c r="AF51" s="27">
        <f>AE51</f>
        <v/>
      </c>
      <c r="AG51" s="51">
        <f>AG80*('Income Statement'!AG8+'Income Statement'!AE8)</f>
        <v/>
      </c>
      <c r="AH51" s="51">
        <f>AH80*('Income Statement'!AH$8+'Income Statement'!AG$8)</f>
        <v/>
      </c>
      <c r="AI51" s="27">
        <f>AH51</f>
        <v/>
      </c>
    </row>
    <row r="52" ht="12.9" customHeight="1" s="343">
      <c r="B52" s="184" t="inlineStr">
        <is>
          <t>Current Tax Assets (Net)</t>
        </is>
      </c>
      <c r="C52" s="452" t="n">
        <v>1.3722</v>
      </c>
      <c r="D52" s="27">
        <f>E52</f>
        <v/>
      </c>
      <c r="E52" s="452" t="n">
        <v>5.2088</v>
      </c>
      <c r="F52" s="452" t="n">
        <v>2.3422</v>
      </c>
      <c r="G52" s="27">
        <f>H52</f>
        <v/>
      </c>
      <c r="H52" s="452" t="n">
        <v>0</v>
      </c>
      <c r="I52" s="452" t="n">
        <v>0</v>
      </c>
      <c r="J52" s="27">
        <f>K52</f>
        <v/>
      </c>
      <c r="K52" s="452" t="n">
        <v>0</v>
      </c>
      <c r="L52" s="452" t="n">
        <v>0</v>
      </c>
      <c r="M52" s="27">
        <f>N52</f>
        <v/>
      </c>
      <c r="N52" s="452" t="n">
        <v>0</v>
      </c>
      <c r="O52" s="452" t="n">
        <v>0</v>
      </c>
      <c r="P52" s="27">
        <f>Q52</f>
        <v/>
      </c>
      <c r="Q52" s="452" t="n">
        <v>0</v>
      </c>
      <c r="R52" s="452" t="n">
        <v>0</v>
      </c>
      <c r="S52" s="27">
        <f>T52</f>
        <v/>
      </c>
      <c r="T52" s="452" t="n">
        <v>0</v>
      </c>
      <c r="U52" s="134">
        <f>T52</f>
        <v/>
      </c>
      <c r="V52" s="134">
        <f>U52</f>
        <v/>
      </c>
      <c r="W52" s="27">
        <f>V52</f>
        <v/>
      </c>
      <c r="X52" s="134">
        <f>W52</f>
        <v/>
      </c>
      <c r="Y52" s="134">
        <f>X52</f>
        <v/>
      </c>
      <c r="Z52" s="27">
        <f>Y52</f>
        <v/>
      </c>
      <c r="AA52" s="134">
        <f>Z52</f>
        <v/>
      </c>
      <c r="AB52" s="134">
        <f>AA52</f>
        <v/>
      </c>
      <c r="AC52" s="27">
        <f>AB52</f>
        <v/>
      </c>
      <c r="AD52" s="134">
        <f>AC52</f>
        <v/>
      </c>
      <c r="AE52" s="134">
        <f>AD52</f>
        <v/>
      </c>
      <c r="AF52" s="27">
        <f>AE52</f>
        <v/>
      </c>
      <c r="AG52" s="134">
        <f>AF52</f>
        <v/>
      </c>
      <c r="AH52" s="134">
        <f>AG52</f>
        <v/>
      </c>
      <c r="AI52" s="27">
        <f>AH52</f>
        <v/>
      </c>
    </row>
    <row r="53" ht="12.9" customHeight="1" s="343">
      <c r="B53" s="184" t="inlineStr">
        <is>
          <t>Other Current Assets</t>
        </is>
      </c>
      <c r="C53" s="452" t="n">
        <v>5.515</v>
      </c>
      <c r="D53" s="27">
        <f>E53</f>
        <v/>
      </c>
      <c r="E53" s="452" t="n">
        <v>10.1727</v>
      </c>
      <c r="F53" s="452" t="n">
        <v>7.5327</v>
      </c>
      <c r="G53" s="27">
        <f>H53</f>
        <v/>
      </c>
      <c r="H53" s="452" t="n">
        <v>12.7262</v>
      </c>
      <c r="I53" s="470" t="n">
        <v>33.301</v>
      </c>
      <c r="J53" s="27">
        <f>K53</f>
        <v/>
      </c>
      <c r="K53" s="452" t="n">
        <v>25.9255</v>
      </c>
      <c r="L53" s="452" t="n">
        <v>15.9807</v>
      </c>
      <c r="M53" s="27">
        <f>N53</f>
        <v/>
      </c>
      <c r="N53" s="452" t="n">
        <v>45.425</v>
      </c>
      <c r="O53" s="452" t="n">
        <v>63.9388</v>
      </c>
      <c r="P53" s="27">
        <f>Q53</f>
        <v/>
      </c>
      <c r="Q53" s="452" t="n">
        <v>87.6998</v>
      </c>
      <c r="R53" s="452" t="n">
        <v>79.8661</v>
      </c>
      <c r="S53" s="27">
        <f>T53</f>
        <v/>
      </c>
      <c r="T53" s="452" t="n">
        <v>34.9287</v>
      </c>
      <c r="U53" s="27">
        <f>U81*('Income Statement'!U8+'Income Statement'!S8)</f>
        <v/>
      </c>
      <c r="V53" s="27">
        <f>V81*('Income Statement'!V$8+'Income Statement'!U$8)</f>
        <v/>
      </c>
      <c r="W53" s="27">
        <f>V53</f>
        <v/>
      </c>
      <c r="X53" s="27">
        <f>X81*('Income Statement'!X8+'Income Statement'!V8)</f>
        <v/>
      </c>
      <c r="Y53" s="27">
        <f>Y81*('Income Statement'!Y$8+'Income Statement'!X$8)</f>
        <v/>
      </c>
      <c r="Z53" s="27">
        <f>Y53</f>
        <v/>
      </c>
      <c r="AA53" s="27">
        <f>AA81*('Income Statement'!AA8+'Income Statement'!Y8)</f>
        <v/>
      </c>
      <c r="AB53" s="27">
        <f>AB81*('Income Statement'!AB$8+'Income Statement'!AA$8)</f>
        <v/>
      </c>
      <c r="AC53" s="27">
        <f>AB53</f>
        <v/>
      </c>
      <c r="AD53" s="27">
        <f>AD81*('Income Statement'!AD8+'Income Statement'!AB8)</f>
        <v/>
      </c>
      <c r="AE53" s="27">
        <f>AE81*('Income Statement'!AE$8+'Income Statement'!AD$8)</f>
        <v/>
      </c>
      <c r="AF53" s="27">
        <f>AE53</f>
        <v/>
      </c>
      <c r="AG53" s="27">
        <f>AG81*('Income Statement'!AG8+'Income Statement'!AE8)</f>
        <v/>
      </c>
      <c r="AH53" s="27">
        <f>AH81*('Income Statement'!AH$8+'Income Statement'!AG$8)</f>
        <v/>
      </c>
      <c r="AI53" s="27">
        <f>AH53</f>
        <v/>
      </c>
    </row>
    <row r="54" ht="12.9" customHeight="1" s="343">
      <c r="B54" s="183" t="inlineStr">
        <is>
          <t>Total Current Assets</t>
        </is>
      </c>
      <c r="C54" s="28">
        <f>SUM(C45:C53)</f>
        <v/>
      </c>
      <c r="D54" s="28">
        <f>SUM(D45:D53)</f>
        <v/>
      </c>
      <c r="E54" s="28">
        <f>SUM(E45:E53)</f>
        <v/>
      </c>
      <c r="F54" s="28">
        <f>SUM(F45:F53)</f>
        <v/>
      </c>
      <c r="G54" s="28">
        <f>SUM(G45:G53)</f>
        <v/>
      </c>
      <c r="H54" s="28">
        <f>SUM(H45:H53)</f>
        <v/>
      </c>
      <c r="I54" s="28">
        <f>SUM(I45:I53)</f>
        <v/>
      </c>
      <c r="J54" s="28">
        <f>SUM(J45:J53)</f>
        <v/>
      </c>
      <c r="K54" s="28">
        <f>SUM(K45:K53)</f>
        <v/>
      </c>
      <c r="L54" s="28">
        <f>SUM(L45:L53)</f>
        <v/>
      </c>
      <c r="M54" s="28">
        <f>SUM(M45:M53)</f>
        <v/>
      </c>
      <c r="N54" s="28">
        <f>SUM(N45:N53)</f>
        <v/>
      </c>
      <c r="O54" s="28">
        <f>SUM(O45:O53)</f>
        <v/>
      </c>
      <c r="P54" s="28">
        <f>SUM(P45:P53)</f>
        <v/>
      </c>
      <c r="Q54" s="28">
        <f>SUM(Q45:Q53)</f>
        <v/>
      </c>
      <c r="R54" s="28">
        <f>SUM(R45:R53)</f>
        <v/>
      </c>
      <c r="S54" s="28">
        <f>SUM(S45:S53)</f>
        <v/>
      </c>
      <c r="T54" s="28">
        <f>SUM(T45:T53)</f>
        <v/>
      </c>
      <c r="U54" s="28">
        <f>SUM(U45:U53)</f>
        <v/>
      </c>
      <c r="V54" s="28">
        <f>SUM(V45:V53)</f>
        <v/>
      </c>
      <c r="W54" s="28">
        <f>SUM(W45:W53)</f>
        <v/>
      </c>
      <c r="X54" s="28">
        <f>SUM(X45:X53)</f>
        <v/>
      </c>
      <c r="Y54" s="28">
        <f>SUM(Y45:Y53)</f>
        <v/>
      </c>
      <c r="Z54" s="28">
        <f>SUM(Z45:Z53)</f>
        <v/>
      </c>
      <c r="AA54" s="28">
        <f>SUM(AA45:AA53)</f>
        <v/>
      </c>
      <c r="AB54" s="28">
        <f>SUM(AB45:AB53)</f>
        <v/>
      </c>
      <c r="AC54" s="28">
        <f>SUM(AC45:AC53)</f>
        <v/>
      </c>
      <c r="AD54" s="28">
        <f>SUM(AD45:AD53)</f>
        <v/>
      </c>
      <c r="AE54" s="28">
        <f>SUM(AE45:AE53)</f>
        <v/>
      </c>
      <c r="AF54" s="28">
        <f>SUM(AF45:AF53)</f>
        <v/>
      </c>
      <c r="AG54" s="28">
        <f>SUM(AG45:AG53)</f>
        <v/>
      </c>
      <c r="AH54" s="28">
        <f>SUM(AH45:AH53)</f>
        <v/>
      </c>
      <c r="AI54" s="28">
        <f>SUM(AI45:AI53)</f>
        <v/>
      </c>
    </row>
    <row r="55" ht="12.9" customHeight="1" s="343">
      <c r="A55" s="15" t="n"/>
      <c r="B55" s="183" t="inlineStr">
        <is>
          <t>TOTAL ASSETS</t>
        </is>
      </c>
      <c r="C55" s="28">
        <f>C43+C54</f>
        <v/>
      </c>
      <c r="D55" s="28">
        <f>D43+D54</f>
        <v/>
      </c>
      <c r="E55" s="28">
        <f>E43+E54</f>
        <v/>
      </c>
      <c r="F55" s="28">
        <f>F43+F54</f>
        <v/>
      </c>
      <c r="G55" s="28">
        <f>G43+G54</f>
        <v/>
      </c>
      <c r="H55" s="28">
        <f>H43+H54</f>
        <v/>
      </c>
      <c r="I55" s="28">
        <f>I43+I54</f>
        <v/>
      </c>
      <c r="J55" s="28">
        <f>J43+J54</f>
        <v/>
      </c>
      <c r="K55" s="28">
        <f>K43+K54</f>
        <v/>
      </c>
      <c r="L55" s="28">
        <f>L43+L54</f>
        <v/>
      </c>
      <c r="M55" s="28">
        <f>M43+M54</f>
        <v/>
      </c>
      <c r="N55" s="28">
        <f>N43+N54</f>
        <v/>
      </c>
      <c r="O55" s="28">
        <f>O43+O54</f>
        <v/>
      </c>
      <c r="P55" s="28">
        <f>P43+P54</f>
        <v/>
      </c>
      <c r="Q55" s="28">
        <f>Q43+Q54</f>
        <v/>
      </c>
      <c r="R55" s="28">
        <f>R43+R54</f>
        <v/>
      </c>
      <c r="S55" s="28">
        <f>S43+S54</f>
        <v/>
      </c>
      <c r="T55" s="28">
        <f>T43+T54</f>
        <v/>
      </c>
      <c r="U55" s="28">
        <f>U43+U54</f>
        <v/>
      </c>
      <c r="V55" s="28">
        <f>V43+V54</f>
        <v/>
      </c>
      <c r="W55" s="28">
        <f>W43+W54</f>
        <v/>
      </c>
      <c r="X55" s="28">
        <f>X43+X54</f>
        <v/>
      </c>
      <c r="Y55" s="28">
        <f>Y43+Y54</f>
        <v/>
      </c>
      <c r="Z55" s="28">
        <f>Z43+Z54</f>
        <v/>
      </c>
      <c r="AA55" s="28">
        <f>AA43+AA54</f>
        <v/>
      </c>
      <c r="AB55" s="28">
        <f>AB43+AB54</f>
        <v/>
      </c>
      <c r="AC55" s="28">
        <f>AC43+AC54</f>
        <v/>
      </c>
      <c r="AD55" s="28">
        <f>AD43+AD54</f>
        <v/>
      </c>
      <c r="AE55" s="28">
        <f>AE43+AE54</f>
        <v/>
      </c>
      <c r="AF55" s="28">
        <f>AF43+AF54</f>
        <v/>
      </c>
      <c r="AG55" s="28">
        <f>AG43+AG54</f>
        <v/>
      </c>
      <c r="AH55" s="28">
        <f>AH43+AH54</f>
        <v/>
      </c>
      <c r="AI55" s="28">
        <f>AI43+AI54</f>
        <v/>
      </c>
    </row>
    <row r="56" hidden="1" outlineLevel="1" ht="12.9" customHeight="1" s="343">
      <c r="B56" s="44" t="inlineStr">
        <is>
          <t>Difference</t>
        </is>
      </c>
      <c r="C56" s="30" t="n">
        <v>462.398</v>
      </c>
      <c r="D56" s="30" t="n"/>
      <c r="E56" s="30" t="n">
        <v>430.7219</v>
      </c>
      <c r="F56" s="30" t="n">
        <v>457.3137</v>
      </c>
      <c r="G56" s="30" t="n"/>
      <c r="H56" s="30" t="n">
        <v>525.3136</v>
      </c>
      <c r="I56" s="30" t="n">
        <v>537.9981</v>
      </c>
      <c r="J56" s="30" t="n"/>
      <c r="K56" s="30" t="n">
        <v>642.9146000000001</v>
      </c>
      <c r="L56" s="30" t="n">
        <v>688.0934</v>
      </c>
      <c r="M56" s="30" t="n"/>
      <c r="N56" s="30" t="n">
        <v>808.4308000000001</v>
      </c>
      <c r="O56" s="30" t="n">
        <v>872.0043000000001</v>
      </c>
      <c r="P56" s="30" t="n"/>
      <c r="Q56" s="30" t="n">
        <v>926.1552000000001</v>
      </c>
      <c r="R56" s="30" t="n">
        <v>996.8792000000001</v>
      </c>
      <c r="S56" s="30" t="n"/>
      <c r="T56" s="30" t="n">
        <v>970.6592000000001</v>
      </c>
      <c r="U56" s="27" t="n"/>
      <c r="V56" s="27" t="n"/>
      <c r="W56" s="27" t="n"/>
      <c r="X56" s="27" t="n"/>
      <c r="Y56" s="27" t="n"/>
      <c r="Z56" s="27" t="n"/>
      <c r="AA56" s="27" t="n"/>
      <c r="AB56" s="27" t="n"/>
      <c r="AC56" s="27" t="n"/>
      <c r="AD56" s="27" t="n"/>
      <c r="AE56" s="27" t="n"/>
      <c r="AF56" s="27" t="n"/>
      <c r="AG56" s="27" t="n"/>
      <c r="AH56" s="27" t="n"/>
      <c r="AI56" s="27" t="n"/>
    </row>
    <row r="57" hidden="1" outlineLevel="1" ht="12.9" customFormat="1" customHeight="1" s="186">
      <c r="B57" s="187" t="inlineStr">
        <is>
          <t>Check</t>
        </is>
      </c>
      <c r="C57" s="185">
        <f>C55-C56</f>
        <v/>
      </c>
      <c r="D57" s="185" t="n"/>
      <c r="E57" s="185">
        <f>E55-E56</f>
        <v/>
      </c>
      <c r="F57" s="185">
        <f>F55-F56</f>
        <v/>
      </c>
      <c r="G57" s="185" t="n"/>
      <c r="H57" s="185">
        <f>H55-H56</f>
        <v/>
      </c>
      <c r="I57" s="185">
        <f>I55-I56</f>
        <v/>
      </c>
      <c r="J57" s="185" t="n"/>
      <c r="K57" s="185">
        <f>K55-K56</f>
        <v/>
      </c>
      <c r="L57" s="185">
        <f>L55-L56</f>
        <v/>
      </c>
      <c r="M57" s="185" t="n"/>
      <c r="N57" s="185">
        <f>N55-N56</f>
        <v/>
      </c>
      <c r="O57" s="185">
        <f>O55-O56</f>
        <v/>
      </c>
      <c r="P57" s="185" t="n"/>
      <c r="Q57" s="185">
        <f>Q55-Q56</f>
        <v/>
      </c>
      <c r="R57" s="185">
        <f>R55-R56</f>
        <v/>
      </c>
      <c r="S57" s="185" t="n"/>
      <c r="T57" s="185">
        <f>T55-T56</f>
        <v/>
      </c>
      <c r="U57" s="185" t="n"/>
      <c r="V57" s="185" t="n"/>
      <c r="W57" s="185" t="n"/>
      <c r="X57" s="185" t="n"/>
      <c r="Y57" s="185" t="n"/>
      <c r="Z57" s="185" t="n"/>
      <c r="AA57" s="185" t="n"/>
      <c r="AB57" s="185" t="n"/>
      <c r="AC57" s="185" t="n"/>
      <c r="AD57" s="185" t="n"/>
      <c r="AE57" s="185" t="n"/>
      <c r="AF57" s="185" t="n"/>
      <c r="AG57" s="185" t="n"/>
      <c r="AH57" s="185" t="n"/>
      <c r="AI57" s="185" t="n"/>
    </row>
    <row r="58" hidden="1" outlineLevel="1" ht="12.9" customFormat="1" customHeight="1" s="186">
      <c r="B58" s="188" t="inlineStr">
        <is>
          <t>Master Check</t>
        </is>
      </c>
      <c r="C58" s="185">
        <f>C29-C55</f>
        <v/>
      </c>
      <c r="D58" s="185">
        <f>D29-D55</f>
        <v/>
      </c>
      <c r="E58" s="185">
        <f>E29-E55</f>
        <v/>
      </c>
      <c r="F58" s="185">
        <f>F29-F55</f>
        <v/>
      </c>
      <c r="G58" s="185">
        <f>G29-G55</f>
        <v/>
      </c>
      <c r="H58" s="185">
        <f>H29-H55</f>
        <v/>
      </c>
      <c r="I58" s="185">
        <f>I29-I55</f>
        <v/>
      </c>
      <c r="J58" s="185">
        <f>J29-J55</f>
        <v/>
      </c>
      <c r="K58" s="185">
        <f>K29-K55</f>
        <v/>
      </c>
      <c r="L58" s="185">
        <f>L29-L55</f>
        <v/>
      </c>
      <c r="M58" s="185">
        <f>M29-M55</f>
        <v/>
      </c>
      <c r="N58" s="185">
        <f>N29-N55</f>
        <v/>
      </c>
      <c r="O58" s="185">
        <f>O29-O55</f>
        <v/>
      </c>
      <c r="P58" s="185">
        <f>P29-P55</f>
        <v/>
      </c>
      <c r="Q58" s="185">
        <f>Q29-Q55</f>
        <v/>
      </c>
      <c r="R58" s="185">
        <f>R29-R55</f>
        <v/>
      </c>
      <c r="S58" s="185">
        <f>S29-S55</f>
        <v/>
      </c>
      <c r="T58" s="185">
        <f>T29-T55</f>
        <v/>
      </c>
      <c r="U58" s="185">
        <f>U29-U55</f>
        <v/>
      </c>
      <c r="V58" s="185">
        <f>V29-V55</f>
        <v/>
      </c>
      <c r="W58" s="185">
        <f>W29-W55</f>
        <v/>
      </c>
      <c r="X58" s="185">
        <f>X29-X55</f>
        <v/>
      </c>
      <c r="Y58" s="185">
        <f>Y29-Y55</f>
        <v/>
      </c>
      <c r="Z58" s="185">
        <f>Z29-Z55</f>
        <v/>
      </c>
      <c r="AA58" s="185">
        <f>AA29-AA55</f>
        <v/>
      </c>
      <c r="AB58" s="185">
        <f>AB29-AB55</f>
        <v/>
      </c>
      <c r="AC58" s="185">
        <f>AC29-AC55</f>
        <v/>
      </c>
      <c r="AD58" s="185">
        <f>AD29-AD55</f>
        <v/>
      </c>
      <c r="AE58" s="185">
        <f>AE29-AE55</f>
        <v/>
      </c>
      <c r="AF58" s="185">
        <f>AF29-AF55</f>
        <v/>
      </c>
      <c r="AG58" s="185">
        <f>AG29-AG55</f>
        <v/>
      </c>
      <c r="AH58" s="185">
        <f>AH29-AH55</f>
        <v/>
      </c>
      <c r="AI58" s="185">
        <f>AI29-AI55</f>
        <v/>
      </c>
    </row>
    <row r="59" collapsed="1" ht="12.9" customHeight="1" s="343">
      <c r="B59" s="16" t="inlineStr"/>
    </row>
    <row r="60" ht="12.9" customHeight="1" s="343">
      <c r="B60" s="16" t="inlineStr"/>
    </row>
    <row r="61" ht="12.9" customHeight="1" s="343">
      <c r="B61" s="6" t="inlineStr">
        <is>
          <t>PPE Schedule</t>
        </is>
      </c>
    </row>
    <row r="62" ht="12.9" customHeight="1" s="343">
      <c r="B62" s="12" t="inlineStr">
        <is>
          <t>Opening PPE</t>
        </is>
      </c>
      <c r="D62" s="27">
        <f>C65</f>
        <v/>
      </c>
      <c r="E62" s="27">
        <f>D65</f>
        <v/>
      </c>
      <c r="F62" s="27">
        <f>E65</f>
        <v/>
      </c>
      <c r="G62" s="27">
        <f>F65</f>
        <v/>
      </c>
      <c r="H62" s="27">
        <f>E65</f>
        <v/>
      </c>
      <c r="I62" s="27">
        <f>H65</f>
        <v/>
      </c>
      <c r="J62" s="27">
        <f>I65</f>
        <v/>
      </c>
      <c r="K62" s="27">
        <f>H65</f>
        <v/>
      </c>
      <c r="L62" s="27">
        <f>K65</f>
        <v/>
      </c>
      <c r="M62" s="27">
        <f>L65</f>
        <v/>
      </c>
      <c r="N62" s="27">
        <f>K65</f>
        <v/>
      </c>
      <c r="O62" s="27">
        <f>N65</f>
        <v/>
      </c>
      <c r="P62" s="27">
        <f>O65</f>
        <v/>
      </c>
      <c r="Q62" s="27">
        <f>N65</f>
        <v/>
      </c>
      <c r="R62" s="27">
        <f>Q65</f>
        <v/>
      </c>
      <c r="S62" s="27">
        <f>R65</f>
        <v/>
      </c>
      <c r="T62" s="27">
        <f>Q65</f>
        <v/>
      </c>
      <c r="U62" s="27">
        <f>T65</f>
        <v/>
      </c>
      <c r="V62" s="27">
        <f>U65</f>
        <v/>
      </c>
      <c r="W62" s="27">
        <f>T65</f>
        <v/>
      </c>
      <c r="X62" s="27">
        <f>W65</f>
        <v/>
      </c>
      <c r="Y62" s="27">
        <f>X65</f>
        <v/>
      </c>
      <c r="Z62" s="27">
        <f>W65</f>
        <v/>
      </c>
      <c r="AA62" s="27">
        <f>Z65</f>
        <v/>
      </c>
      <c r="AB62" s="27">
        <f>AA65</f>
        <v/>
      </c>
      <c r="AC62" s="27">
        <f>Z65</f>
        <v/>
      </c>
      <c r="AD62" s="27">
        <f>AC65</f>
        <v/>
      </c>
      <c r="AE62" s="27">
        <f>AD65</f>
        <v/>
      </c>
      <c r="AF62" s="27">
        <f>AC65</f>
        <v/>
      </c>
      <c r="AG62" s="27">
        <f>AF65</f>
        <v/>
      </c>
      <c r="AH62" s="27">
        <f>AG65</f>
        <v/>
      </c>
      <c r="AI62" s="27">
        <f>AF65</f>
        <v/>
      </c>
    </row>
    <row r="63" ht="12.9" customHeight="1" s="343">
      <c r="B63" s="12" t="inlineStr">
        <is>
          <t>Depreciation</t>
        </is>
      </c>
      <c r="C63" s="453">
        <f>'Income Statement'!C26</f>
        <v/>
      </c>
      <c r="D63" s="453">
        <f>'Income Statement'!D26</f>
        <v/>
      </c>
      <c r="E63" s="453">
        <f>'Income Statement'!E26</f>
        <v/>
      </c>
      <c r="F63" s="453">
        <f>'Income Statement'!F26</f>
        <v/>
      </c>
      <c r="G63" s="453">
        <f>'Income Statement'!G26</f>
        <v/>
      </c>
      <c r="H63" s="453">
        <f>'Income Statement'!H26</f>
        <v/>
      </c>
      <c r="I63" s="453">
        <f>'Income Statement'!I26</f>
        <v/>
      </c>
      <c r="J63" s="453">
        <f>'Income Statement'!J26</f>
        <v/>
      </c>
      <c r="K63" s="453">
        <f>'Income Statement'!K26</f>
        <v/>
      </c>
      <c r="L63" s="453">
        <f>'Income Statement'!L26</f>
        <v/>
      </c>
      <c r="M63" s="453">
        <f>'Income Statement'!M26</f>
        <v/>
      </c>
      <c r="N63" s="453">
        <f>'Income Statement'!N26</f>
        <v/>
      </c>
      <c r="O63" s="453">
        <f>'Income Statement'!O26</f>
        <v/>
      </c>
      <c r="P63" s="453">
        <f>'Income Statement'!P26</f>
        <v/>
      </c>
      <c r="Q63" s="453">
        <f>'Income Statement'!Q26</f>
        <v/>
      </c>
      <c r="R63" s="453">
        <f>'Income Statement'!R26</f>
        <v/>
      </c>
      <c r="S63" s="453">
        <f>'Income Statement'!S26</f>
        <v/>
      </c>
      <c r="T63" s="453">
        <f>'Income Statement'!T26</f>
        <v/>
      </c>
      <c r="U63" s="453">
        <f>(U62*U67)/2</f>
        <v/>
      </c>
      <c r="V63" s="453">
        <f>(V62*V67)/2</f>
        <v/>
      </c>
      <c r="W63" s="453">
        <f>U63+V63</f>
        <v/>
      </c>
      <c r="X63" s="453">
        <f>(X62*X67)/2</f>
        <v/>
      </c>
      <c r="Y63" s="453">
        <f>(Y62*Y67)/2</f>
        <v/>
      </c>
      <c r="Z63" s="453">
        <f>X63+Y63</f>
        <v/>
      </c>
      <c r="AA63" s="453">
        <f>(AA62*AA67)/2</f>
        <v/>
      </c>
      <c r="AB63" s="453">
        <f>(AB62*AB67)/2</f>
        <v/>
      </c>
      <c r="AC63" s="453">
        <f>AA63+AB63</f>
        <v/>
      </c>
      <c r="AD63" s="453">
        <f>(AD62*AD67)/2</f>
        <v/>
      </c>
      <c r="AE63" s="453">
        <f>(AE62*AE67)/2</f>
        <v/>
      </c>
      <c r="AF63" s="453">
        <f>AD63+AE63</f>
        <v/>
      </c>
      <c r="AG63" s="453">
        <f>(AG62*AG67)/2</f>
        <v/>
      </c>
      <c r="AH63" s="453">
        <f>(AH62*AH67)/2</f>
        <v/>
      </c>
      <c r="AI63" s="453">
        <f>AG63+AH63</f>
        <v/>
      </c>
    </row>
    <row r="64" ht="12.9" customHeight="1" s="343">
      <c r="B64" s="12" t="inlineStr">
        <is>
          <t>Capex</t>
        </is>
      </c>
      <c r="D64" s="453">
        <f>D65+D63-D62</f>
        <v/>
      </c>
      <c r="E64" s="453">
        <f>E65+E63-E62</f>
        <v/>
      </c>
      <c r="F64" s="453">
        <f>F65+F63-F62</f>
        <v/>
      </c>
      <c r="G64" s="453">
        <f>G65+G63-G62</f>
        <v/>
      </c>
      <c r="H64" s="453">
        <f>H65+H63-H62</f>
        <v/>
      </c>
      <c r="I64" s="453">
        <f>I65+I63-I62</f>
        <v/>
      </c>
      <c r="J64" s="453">
        <f>J65+J63-J62</f>
        <v/>
      </c>
      <c r="K64" s="453">
        <f>K65+K63-K62</f>
        <v/>
      </c>
      <c r="L64" s="453">
        <f>L65+L63-L62</f>
        <v/>
      </c>
      <c r="M64" s="453">
        <f>M65+M63-M62</f>
        <v/>
      </c>
      <c r="N64" s="453">
        <f>N65+N63-N62</f>
        <v/>
      </c>
      <c r="O64" s="453">
        <f>O65+O63-O62</f>
        <v/>
      </c>
      <c r="P64" s="453">
        <f>P65+P63-P62</f>
        <v/>
      </c>
      <c r="Q64" s="453">
        <f>Q65+Q63-Q62</f>
        <v/>
      </c>
      <c r="R64" s="453">
        <f>R65+R63-R62</f>
        <v/>
      </c>
      <c r="S64" s="453">
        <f>S65+S63-S62</f>
        <v/>
      </c>
      <c r="T64" s="453" t="n">
        <v>68.05</v>
      </c>
      <c r="U64" s="134">
        <f>W64/2</f>
        <v/>
      </c>
      <c r="V64" s="134">
        <f>W64/2</f>
        <v/>
      </c>
      <c r="W64" s="134" t="n">
        <v>35</v>
      </c>
      <c r="X64" s="134">
        <f>Z64/2</f>
        <v/>
      </c>
      <c r="Y64" s="134">
        <f>Z64/2</f>
        <v/>
      </c>
      <c r="Z64" s="134" t="n">
        <v>30</v>
      </c>
      <c r="AA64" s="134">
        <f>AC64/2</f>
        <v/>
      </c>
      <c r="AB64" s="134">
        <f>AC64/2</f>
        <v/>
      </c>
      <c r="AC64" s="134" t="n">
        <v>30</v>
      </c>
      <c r="AD64" s="134">
        <f>AF64/2</f>
        <v/>
      </c>
      <c r="AE64" s="134">
        <f>AF64/2</f>
        <v/>
      </c>
      <c r="AF64" s="134" t="n">
        <v>30</v>
      </c>
      <c r="AG64" s="134">
        <f>AI64/2</f>
        <v/>
      </c>
      <c r="AH64" s="134">
        <f>AI64/2</f>
        <v/>
      </c>
      <c r="AI64" s="134" t="n">
        <v>30</v>
      </c>
    </row>
    <row r="65" ht="12.9" customHeight="1" s="343">
      <c r="B65" s="12" t="inlineStr">
        <is>
          <t>Closing PPE</t>
        </is>
      </c>
      <c r="C65" s="27">
        <f>'Balance Sheet'!C35</f>
        <v/>
      </c>
      <c r="D65" s="27">
        <f>'Balance Sheet'!D35</f>
        <v/>
      </c>
      <c r="E65" s="27">
        <f>'Balance Sheet'!E35</f>
        <v/>
      </c>
      <c r="F65" s="27">
        <f>'Balance Sheet'!F35</f>
        <v/>
      </c>
      <c r="G65" s="27">
        <f>'Balance Sheet'!G35</f>
        <v/>
      </c>
      <c r="H65" s="27">
        <f>'Balance Sheet'!H35</f>
        <v/>
      </c>
      <c r="I65" s="27">
        <f>'Balance Sheet'!I35</f>
        <v/>
      </c>
      <c r="J65" s="27">
        <f>'Balance Sheet'!J35</f>
        <v/>
      </c>
      <c r="K65" s="27">
        <f>'Balance Sheet'!K35</f>
        <v/>
      </c>
      <c r="L65" s="27">
        <f>'Balance Sheet'!L35</f>
        <v/>
      </c>
      <c r="M65" s="27">
        <f>'Balance Sheet'!M35</f>
        <v/>
      </c>
      <c r="N65" s="27">
        <f>'Balance Sheet'!N35</f>
        <v/>
      </c>
      <c r="O65" s="27">
        <f>'Balance Sheet'!O35</f>
        <v/>
      </c>
      <c r="P65" s="27">
        <f>'Balance Sheet'!P35</f>
        <v/>
      </c>
      <c r="Q65" s="27">
        <f>'Balance Sheet'!Q35</f>
        <v/>
      </c>
      <c r="R65" s="27">
        <f>'Balance Sheet'!R35</f>
        <v/>
      </c>
      <c r="S65" s="27">
        <f>'Balance Sheet'!S35</f>
        <v/>
      </c>
      <c r="T65" s="27">
        <f>'Balance Sheet'!T35</f>
        <v/>
      </c>
      <c r="U65" s="27">
        <f>U62-U63+U64</f>
        <v/>
      </c>
      <c r="V65" s="27">
        <f>V62-V63+V64</f>
        <v/>
      </c>
      <c r="W65" s="27">
        <f>W62-W63+W64</f>
        <v/>
      </c>
      <c r="X65" s="27">
        <f>X62-X63+X64</f>
        <v/>
      </c>
      <c r="Y65" s="27">
        <f>Y62-Y63+Y64</f>
        <v/>
      </c>
      <c r="Z65" s="27">
        <f>Z62-Z63+Z64</f>
        <v/>
      </c>
      <c r="AA65" s="27">
        <f>AA62-AA63+AA64</f>
        <v/>
      </c>
      <c r="AB65" s="27">
        <f>AB62-AB63+AB64</f>
        <v/>
      </c>
      <c r="AC65" s="27">
        <f>AC62-AC63+AC64</f>
        <v/>
      </c>
      <c r="AD65" s="27">
        <f>AD62-AD63+AD64</f>
        <v/>
      </c>
      <c r="AE65" s="27">
        <f>AE62-AE63+AE64</f>
        <v/>
      </c>
      <c r="AF65" s="27">
        <f>AF62-AF63+AF64</f>
        <v/>
      </c>
      <c r="AG65" s="27">
        <f>AG62-AG63+AG64</f>
        <v/>
      </c>
      <c r="AH65" s="27">
        <f>AH62-AH63+AH64</f>
        <v/>
      </c>
      <c r="AI65" s="27">
        <f>AI62-AI63+AI64</f>
        <v/>
      </c>
    </row>
    <row r="66" ht="12.9" customHeight="1" s="343">
      <c r="B66" s="12" t="inlineStr"/>
      <c r="D66" s="453" t="n"/>
    </row>
    <row r="67" ht="12.9" customHeight="1" s="343">
      <c r="B67" s="12" t="inlineStr">
        <is>
          <t>Dep Rate</t>
        </is>
      </c>
      <c r="C67" s="454" t="n"/>
      <c r="D67" s="454">
        <f>(D63+C63)/D62</f>
        <v/>
      </c>
      <c r="E67" s="454">
        <f>E63/E62</f>
        <v/>
      </c>
      <c r="F67" s="454">
        <f>(F63+D63)/F62</f>
        <v/>
      </c>
      <c r="G67" s="454">
        <f>(G63+F63)/G62</f>
        <v/>
      </c>
      <c r="H67" s="454">
        <f>H63/H62</f>
        <v/>
      </c>
      <c r="I67" s="454">
        <f>(I63+G63)/I62</f>
        <v/>
      </c>
      <c r="J67" s="454">
        <f>(J63+I63)/J62</f>
        <v/>
      </c>
      <c r="K67" s="454">
        <f>K63/K62</f>
        <v/>
      </c>
      <c r="L67" s="454">
        <f>(L63+J63)/L62</f>
        <v/>
      </c>
      <c r="M67" s="454">
        <f>(M63+L63)/M62</f>
        <v/>
      </c>
      <c r="N67" s="454">
        <f>N63/N62</f>
        <v/>
      </c>
      <c r="O67" s="454">
        <f>(O63+M63)/O62</f>
        <v/>
      </c>
      <c r="P67" s="454">
        <f>(P63+O63)/P62</f>
        <v/>
      </c>
      <c r="Q67" s="454">
        <f>Q63/Q62</f>
        <v/>
      </c>
      <c r="R67" s="454">
        <f>(R63+P63)/R62</f>
        <v/>
      </c>
      <c r="S67" s="454">
        <f>(S63+R63)/S62</f>
        <v/>
      </c>
      <c r="T67" s="454">
        <f>T63/T62</f>
        <v/>
      </c>
      <c r="U67" s="455">
        <f>S67</f>
        <v/>
      </c>
      <c r="V67" s="455">
        <f>U67</f>
        <v/>
      </c>
      <c r="W67" s="454">
        <f>W63/W62</f>
        <v/>
      </c>
      <c r="X67" s="455">
        <f>V67</f>
        <v/>
      </c>
      <c r="Y67" s="455">
        <f>X67</f>
        <v/>
      </c>
      <c r="Z67" s="454">
        <f>Z63/Z62</f>
        <v/>
      </c>
      <c r="AA67" s="455">
        <f>Y67</f>
        <v/>
      </c>
      <c r="AB67" s="455">
        <f>AA67</f>
        <v/>
      </c>
      <c r="AC67" s="454">
        <f>AC63/AC62</f>
        <v/>
      </c>
      <c r="AD67" s="455">
        <f>AB67</f>
        <v/>
      </c>
      <c r="AE67" s="455">
        <f>AD67</f>
        <v/>
      </c>
      <c r="AF67" s="454">
        <f>AF63/AF62</f>
        <v/>
      </c>
      <c r="AG67" s="455">
        <f>AE67</f>
        <v/>
      </c>
      <c r="AH67" s="455">
        <f>AG67</f>
        <v/>
      </c>
      <c r="AI67" s="454">
        <f>AI63/AI62</f>
        <v/>
      </c>
    </row>
    <row r="68" ht="12.9" customHeight="1" s="343">
      <c r="B68" s="12" t="inlineStr"/>
      <c r="D68" s="454" t="n"/>
      <c r="E68" s="454" t="n"/>
      <c r="F68" s="454" t="n"/>
      <c r="G68" s="454" t="n"/>
      <c r="H68" s="454" t="n"/>
      <c r="I68" s="454" t="n"/>
      <c r="J68" s="454" t="n"/>
      <c r="K68" s="454" t="n"/>
      <c r="L68" s="454" t="n"/>
      <c r="M68" s="454" t="n"/>
      <c r="N68" s="454" t="n"/>
      <c r="O68" s="454" t="n"/>
      <c r="P68" s="454" t="n"/>
      <c r="Q68" s="454" t="n"/>
      <c r="R68" s="454" t="n"/>
      <c r="S68" s="32" t="n"/>
      <c r="T68" s="471" t="n"/>
      <c r="U68" s="32" t="n"/>
      <c r="V68" s="32" t="n"/>
      <c r="W68" s="32" t="n"/>
      <c r="X68" s="32" t="n"/>
      <c r="Y68" s="32" t="n"/>
      <c r="Z68" s="32" t="n"/>
      <c r="AA68" s="32" t="n"/>
      <c r="AB68" s="32" t="n"/>
      <c r="AC68" s="32" t="n"/>
      <c r="AD68" s="32" t="n"/>
      <c r="AE68" s="32" t="n"/>
      <c r="AF68" s="32" t="n"/>
      <c r="AG68" s="32" t="n"/>
      <c r="AH68" s="32" t="n"/>
      <c r="AI68" s="32" t="n"/>
    </row>
    <row r="69" ht="12.9" customHeight="1" s="343">
      <c r="B69" s="71" t="inlineStr">
        <is>
          <t>Ratio Analysis</t>
        </is>
      </c>
    </row>
    <row r="70" ht="12.9" customHeight="1" s="343">
      <c r="B70" s="12" t="inlineStr">
        <is>
          <t>Payable Turnover Ratio</t>
        </is>
      </c>
      <c r="C70" s="21">
        <f>('Income Statement'!C14+'Income Statement'!A14)/'Balance Sheet'!C23</f>
        <v/>
      </c>
      <c r="D70" s="21">
        <f>('Income Statement'!D14+'Income Statement'!C14)/'Balance Sheet'!D23</f>
        <v/>
      </c>
      <c r="E70" s="21">
        <f>'Income Statement'!E14/'Balance Sheet'!E23</f>
        <v/>
      </c>
      <c r="F70" s="21">
        <f>('Income Statement'!F14+'Income Statement'!D14)/'Balance Sheet'!F23</f>
        <v/>
      </c>
      <c r="G70" s="21">
        <f>('Income Statement'!G14+'Income Statement'!F14)/'Balance Sheet'!G23</f>
        <v/>
      </c>
      <c r="H70" s="21">
        <f>'Income Statement'!H14/'Balance Sheet'!H23</f>
        <v/>
      </c>
      <c r="I70" s="21">
        <f>('Income Statement'!I14+'Income Statement'!G14)/'Balance Sheet'!I23</f>
        <v/>
      </c>
      <c r="J70" s="21">
        <f>('Income Statement'!J14+'Income Statement'!I14)/'Balance Sheet'!J23</f>
        <v/>
      </c>
      <c r="K70" s="21">
        <f>'Income Statement'!K14/'Balance Sheet'!K23</f>
        <v/>
      </c>
      <c r="L70" s="21">
        <f>('Income Statement'!L14+'Income Statement'!J14)/'Balance Sheet'!L23</f>
        <v/>
      </c>
      <c r="M70" s="21">
        <f>('Income Statement'!M14+'Income Statement'!L14)/'Balance Sheet'!M23</f>
        <v/>
      </c>
      <c r="N70" s="21">
        <f>'Income Statement'!N14/'Balance Sheet'!N23</f>
        <v/>
      </c>
      <c r="O70" s="21">
        <f>('Income Statement'!O14+'Income Statement'!M14)/'Balance Sheet'!O23</f>
        <v/>
      </c>
      <c r="P70" s="21">
        <f>('Income Statement'!P14+'Income Statement'!O14)/'Balance Sheet'!P23</f>
        <v/>
      </c>
      <c r="Q70" s="21">
        <f>'Income Statement'!Q14/'Balance Sheet'!Q23</f>
        <v/>
      </c>
      <c r="R70" s="21">
        <f>('Income Statement'!R14+'Income Statement'!P14)/'Balance Sheet'!R23</f>
        <v/>
      </c>
      <c r="S70" s="21">
        <f>('Income Statement'!S14+'Income Statement'!R14)/'Balance Sheet'!S23</f>
        <v/>
      </c>
      <c r="T70" s="21">
        <f>'Income Statement'!T14/'Balance Sheet'!T23</f>
        <v/>
      </c>
      <c r="U70" s="134" t="n">
        <v>4.7</v>
      </c>
      <c r="V70" s="134">
        <f>U70</f>
        <v/>
      </c>
      <c r="W70" s="21">
        <f>'Income Statement'!W14/'Balance Sheet'!W23</f>
        <v/>
      </c>
      <c r="X70" s="134" t="n">
        <v>4.5</v>
      </c>
      <c r="Y70" s="134">
        <f>X70</f>
        <v/>
      </c>
      <c r="Z70" s="21">
        <f>'Income Statement'!Z14/'Balance Sheet'!Z23</f>
        <v/>
      </c>
      <c r="AA70" s="134" t="n">
        <v>4.3</v>
      </c>
      <c r="AB70" s="134">
        <f>AA70</f>
        <v/>
      </c>
      <c r="AC70" s="21">
        <f>'Income Statement'!AC14/'Balance Sheet'!AC23</f>
        <v/>
      </c>
      <c r="AD70" s="134" t="n">
        <v>4.2</v>
      </c>
      <c r="AE70" s="134">
        <f>AD70</f>
        <v/>
      </c>
      <c r="AF70" s="21">
        <f>'Income Statement'!AF14/'Balance Sheet'!AF23</f>
        <v/>
      </c>
      <c r="AG70" s="134" t="n">
        <v>4</v>
      </c>
      <c r="AH70" s="134">
        <f>AG70</f>
        <v/>
      </c>
      <c r="AI70" s="21">
        <f>'Income Statement'!AI14/'Balance Sheet'!AI23</f>
        <v/>
      </c>
    </row>
    <row r="71" ht="12.9" customHeight="1" s="343">
      <c r="B71" s="12" t="inlineStr">
        <is>
          <t>Payable Days</t>
        </is>
      </c>
      <c r="C71" s="22">
        <f>365/'Balance Sheet'!C70</f>
        <v/>
      </c>
      <c r="D71" s="22">
        <f>365/'Balance Sheet'!D70</f>
        <v/>
      </c>
      <c r="E71" s="22">
        <f>365/'Balance Sheet'!E70</f>
        <v/>
      </c>
      <c r="F71" s="22">
        <f>365/'Balance Sheet'!F70</f>
        <v/>
      </c>
      <c r="G71" s="22">
        <f>365/'Balance Sheet'!G70</f>
        <v/>
      </c>
      <c r="H71" s="22">
        <f>365/'Balance Sheet'!H70</f>
        <v/>
      </c>
      <c r="I71" s="22">
        <f>365/'Balance Sheet'!I70</f>
        <v/>
      </c>
      <c r="J71" s="22">
        <f>365/'Balance Sheet'!J70</f>
        <v/>
      </c>
      <c r="K71" s="22">
        <f>365/'Balance Sheet'!K70</f>
        <v/>
      </c>
      <c r="L71" s="22">
        <f>366/'Balance Sheet'!L70</f>
        <v/>
      </c>
      <c r="M71" s="22">
        <f>366/'Balance Sheet'!M70</f>
        <v/>
      </c>
      <c r="N71" s="22">
        <f>366/'Balance Sheet'!N70</f>
        <v/>
      </c>
      <c r="O71" s="22">
        <f>365/'Balance Sheet'!O70</f>
        <v/>
      </c>
      <c r="P71" s="22">
        <f>365/'Balance Sheet'!P70</f>
        <v/>
      </c>
      <c r="Q71" s="22">
        <f>365/'Balance Sheet'!Q70</f>
        <v/>
      </c>
      <c r="R71" s="22">
        <f>365/'Balance Sheet'!R70</f>
        <v/>
      </c>
      <c r="S71" s="22">
        <f>365/'Balance Sheet'!S70</f>
        <v/>
      </c>
      <c r="T71" s="22">
        <f>365/'Balance Sheet'!T70</f>
        <v/>
      </c>
      <c r="U71" s="22">
        <f>365/'Balance Sheet'!U70</f>
        <v/>
      </c>
      <c r="V71" s="22">
        <f>365/'Balance Sheet'!V70</f>
        <v/>
      </c>
      <c r="W71" s="22">
        <f>365/'Balance Sheet'!W70</f>
        <v/>
      </c>
      <c r="X71" s="22">
        <f>365/'Balance Sheet'!X70</f>
        <v/>
      </c>
      <c r="Y71" s="22">
        <f>365/'Balance Sheet'!Y70</f>
        <v/>
      </c>
      <c r="Z71" s="22">
        <f>365/'Balance Sheet'!Z70</f>
        <v/>
      </c>
      <c r="AA71" s="22">
        <f>365/'Balance Sheet'!AA70</f>
        <v/>
      </c>
      <c r="AB71" s="22">
        <f>365/'Balance Sheet'!AB70</f>
        <v/>
      </c>
      <c r="AC71" s="22">
        <f>365/'Balance Sheet'!AC70</f>
        <v/>
      </c>
      <c r="AD71" s="22">
        <f>365/'Balance Sheet'!AD70</f>
        <v/>
      </c>
      <c r="AE71" s="22">
        <f>365/'Balance Sheet'!AE70</f>
        <v/>
      </c>
      <c r="AF71" s="22">
        <f>365/'Balance Sheet'!AF70</f>
        <v/>
      </c>
      <c r="AG71" s="22">
        <f>365/'Balance Sheet'!AG70</f>
        <v/>
      </c>
      <c r="AH71" s="22">
        <f>365/'Balance Sheet'!AH70</f>
        <v/>
      </c>
      <c r="AI71" s="22">
        <f>365/'Balance Sheet'!AI70</f>
        <v/>
      </c>
    </row>
    <row r="72" ht="12.9" customHeight="1" s="343">
      <c r="B72" s="12" t="inlineStr">
        <is>
          <t>Other Financial Liabilities as % of Revenue</t>
        </is>
      </c>
      <c r="C72" s="454">
        <f>C24/('Income Statement'!C8+'Income Statement'!A8)</f>
        <v/>
      </c>
      <c r="D72" s="454">
        <f>D24/('Income Statement'!D8+'Income Statement'!C8)</f>
        <v/>
      </c>
      <c r="E72" s="454">
        <f>E24/'Income Statement'!E8</f>
        <v/>
      </c>
      <c r="F72" s="454">
        <f>F24/('Income Statement'!F8+'Income Statement'!D8)</f>
        <v/>
      </c>
      <c r="G72" s="454">
        <f>G24/('Income Statement'!G8+'Income Statement'!F8)</f>
        <v/>
      </c>
      <c r="H72" s="454">
        <f>H24/'Income Statement'!H8</f>
        <v/>
      </c>
      <c r="I72" s="454">
        <f>I24/('Income Statement'!I8+'Income Statement'!G8)</f>
        <v/>
      </c>
      <c r="J72" s="454">
        <f>J24/('Income Statement'!J8+'Income Statement'!I8)</f>
        <v/>
      </c>
      <c r="K72" s="454">
        <f>K24/'Income Statement'!K8</f>
        <v/>
      </c>
      <c r="L72" s="454">
        <f>L24/('Income Statement'!L8+'Income Statement'!J8)</f>
        <v/>
      </c>
      <c r="M72" s="454">
        <f>M24/('Income Statement'!M8+'Income Statement'!L8)</f>
        <v/>
      </c>
      <c r="N72" s="454">
        <f>N24/'Income Statement'!N8</f>
        <v/>
      </c>
      <c r="O72" s="454">
        <f>O24/('Income Statement'!O8+'Income Statement'!M8)</f>
        <v/>
      </c>
      <c r="P72" s="454">
        <f>P24/('Income Statement'!P8+'Income Statement'!O8)</f>
        <v/>
      </c>
      <c r="Q72" s="454">
        <f>Q24/'Income Statement'!Q8</f>
        <v/>
      </c>
      <c r="R72" s="454">
        <f>R24/('Income Statement'!R8+'Income Statement'!P8)</f>
        <v/>
      </c>
      <c r="S72" s="454">
        <f>S24/('Income Statement'!S8+'Income Statement'!R8)</f>
        <v/>
      </c>
      <c r="T72" s="454">
        <f>T24/'Income Statement'!T8</f>
        <v/>
      </c>
      <c r="U72" s="455">
        <f>S72</f>
        <v/>
      </c>
      <c r="V72" s="455">
        <f>U72</f>
        <v/>
      </c>
      <c r="W72" s="454">
        <f>W24/'Income Statement'!W8</f>
        <v/>
      </c>
      <c r="X72" s="455">
        <f>V72</f>
        <v/>
      </c>
      <c r="Y72" s="455">
        <f>X72</f>
        <v/>
      </c>
      <c r="Z72" s="454">
        <f>Z24/'Income Statement'!Z8</f>
        <v/>
      </c>
      <c r="AA72" s="455">
        <f>Y72</f>
        <v/>
      </c>
      <c r="AB72" s="455">
        <f>AA72</f>
        <v/>
      </c>
      <c r="AC72" s="454">
        <f>AC24/'Income Statement'!AC8</f>
        <v/>
      </c>
      <c r="AD72" s="455">
        <f>AB72</f>
        <v/>
      </c>
      <c r="AE72" s="455">
        <f>AD72</f>
        <v/>
      </c>
      <c r="AF72" s="454">
        <f>AF24/'Income Statement'!AF8</f>
        <v/>
      </c>
      <c r="AG72" s="455">
        <f>AE72</f>
        <v/>
      </c>
      <c r="AH72" s="455">
        <f>AG72</f>
        <v/>
      </c>
      <c r="AI72" s="454">
        <f>AI24/'Income Statement'!AI8</f>
        <v/>
      </c>
    </row>
    <row r="73" ht="12.9" customHeight="1" s="343">
      <c r="B73" s="12" t="inlineStr">
        <is>
          <t>Other Current Liabilities as % of Revenue</t>
        </is>
      </c>
      <c r="C73" s="454">
        <f>'Balance Sheet'!C26/('Income Statement'!C8+'Income Statement'!A8)</f>
        <v/>
      </c>
      <c r="D73" s="454">
        <f>'Balance Sheet'!D26/('Income Statement'!D8+'Income Statement'!C8)</f>
        <v/>
      </c>
      <c r="E73" s="454">
        <f>'Balance Sheet'!E26/'Income Statement'!E8</f>
        <v/>
      </c>
      <c r="F73" s="454">
        <f>'Balance Sheet'!F26/('Income Statement'!F8+'Income Statement'!D8)</f>
        <v/>
      </c>
      <c r="G73" s="454">
        <f>'Balance Sheet'!G26/('Income Statement'!G8+'Income Statement'!F8)</f>
        <v/>
      </c>
      <c r="H73" s="454">
        <f>'Balance Sheet'!H26/'Income Statement'!H8</f>
        <v/>
      </c>
      <c r="I73" s="454">
        <f>'Balance Sheet'!I26/('Income Statement'!I8+'Income Statement'!G8)</f>
        <v/>
      </c>
      <c r="J73" s="454">
        <f>'Balance Sheet'!J26/('Income Statement'!J8+'Income Statement'!I8)</f>
        <v/>
      </c>
      <c r="K73" s="454">
        <f>'Balance Sheet'!K26/'Income Statement'!K8</f>
        <v/>
      </c>
      <c r="L73" s="454">
        <f>'Balance Sheet'!L26/('Income Statement'!L8+'Income Statement'!J8)</f>
        <v/>
      </c>
      <c r="M73" s="454">
        <f>'Balance Sheet'!M26/('Income Statement'!M8+'Income Statement'!L8)</f>
        <v/>
      </c>
      <c r="N73" s="454">
        <f>'Balance Sheet'!N26/'Income Statement'!N8</f>
        <v/>
      </c>
      <c r="O73" s="454">
        <f>'Balance Sheet'!O26/('Income Statement'!O8+'Income Statement'!M8)</f>
        <v/>
      </c>
      <c r="P73" s="454">
        <f>'Balance Sheet'!P26/('Income Statement'!P8+'Income Statement'!O8)</f>
        <v/>
      </c>
      <c r="Q73" s="454">
        <f>'Balance Sheet'!Q26/'Income Statement'!Q8</f>
        <v/>
      </c>
      <c r="R73" s="454">
        <f>'Balance Sheet'!R26/('Income Statement'!R$8+'Income Statement'!P$8)</f>
        <v/>
      </c>
      <c r="S73" s="454">
        <f>'Balance Sheet'!S26/('Income Statement'!S$8+'Income Statement'!R$8)</f>
        <v/>
      </c>
      <c r="T73" s="454">
        <f>'Balance Sheet'!T26/'Income Statement'!T8</f>
        <v/>
      </c>
      <c r="U73" s="455">
        <f>T73</f>
        <v/>
      </c>
      <c r="V73" s="455">
        <f>U73</f>
        <v/>
      </c>
      <c r="W73" s="454">
        <f>'Balance Sheet'!W26/'Income Statement'!W8</f>
        <v/>
      </c>
      <c r="X73" s="455">
        <f>V73</f>
        <v/>
      </c>
      <c r="Y73" s="455">
        <f>X73</f>
        <v/>
      </c>
      <c r="Z73" s="454">
        <f>'Balance Sheet'!Z26/'Income Statement'!Z8</f>
        <v/>
      </c>
      <c r="AA73" s="455">
        <f>Y73</f>
        <v/>
      </c>
      <c r="AB73" s="455">
        <f>AA73</f>
        <v/>
      </c>
      <c r="AC73" s="454">
        <f>'Balance Sheet'!AC26/'Income Statement'!AC8</f>
        <v/>
      </c>
      <c r="AD73" s="455">
        <f>AB73</f>
        <v/>
      </c>
      <c r="AE73" s="455">
        <f>AD73</f>
        <v/>
      </c>
      <c r="AF73" s="454">
        <f>'Balance Sheet'!AF26/'Income Statement'!AF8</f>
        <v/>
      </c>
      <c r="AG73" s="455">
        <f>AE73</f>
        <v/>
      </c>
      <c r="AH73" s="455">
        <f>AG73</f>
        <v/>
      </c>
      <c r="AI73" s="454">
        <f>'Balance Sheet'!AI26/'Income Statement'!AI8</f>
        <v/>
      </c>
    </row>
    <row r="74" ht="12.9" customHeight="1" s="343">
      <c r="B74" s="12" t="inlineStr">
        <is>
          <t>Short Term Provisions as % of Revenue</t>
        </is>
      </c>
      <c r="C74" s="454">
        <f>'Balance Sheet'!C27/('Income Statement'!C$8+'Income Statement'!A$8)</f>
        <v/>
      </c>
      <c r="D74" s="454">
        <f>'Balance Sheet'!D27/('Income Statement'!D$8+'Income Statement'!C$8)</f>
        <v/>
      </c>
      <c r="E74" s="454">
        <f>E25/'Income Statement'!E8</f>
        <v/>
      </c>
      <c r="F74" s="454">
        <f>'Balance Sheet'!F27/('Income Statement'!F$8+'Income Statement'!D$8)</f>
        <v/>
      </c>
      <c r="G74" s="454">
        <f>'Balance Sheet'!G27/('Income Statement'!G$8+'Income Statement'!F$8)</f>
        <v/>
      </c>
      <c r="H74" s="454">
        <f>H25/'Income Statement'!H8</f>
        <v/>
      </c>
      <c r="I74" s="454">
        <f>'Balance Sheet'!I27/('Income Statement'!I$8+'Income Statement'!G$8)</f>
        <v/>
      </c>
      <c r="J74" s="454">
        <f>'Balance Sheet'!J27/('Income Statement'!J$8+'Income Statement'!I$8)</f>
        <v/>
      </c>
      <c r="K74" s="454">
        <f>K25/'Income Statement'!K8</f>
        <v/>
      </c>
      <c r="L74" s="454">
        <f>'Balance Sheet'!L27/('Income Statement'!L$8+'Income Statement'!J$8)</f>
        <v/>
      </c>
      <c r="M74" s="454">
        <f>'Balance Sheet'!M27/('Income Statement'!M$8+'Income Statement'!L$8)</f>
        <v/>
      </c>
      <c r="N74" s="454">
        <f>N25/'Income Statement'!N8</f>
        <v/>
      </c>
      <c r="O74" s="454">
        <f>'Balance Sheet'!O27/('Income Statement'!O$8+'Income Statement'!M$8)</f>
        <v/>
      </c>
      <c r="P74" s="454">
        <f>'Balance Sheet'!P27/('Income Statement'!P$8+'Income Statement'!O$8)</f>
        <v/>
      </c>
      <c r="Q74" s="454">
        <f>Q25/'Income Statement'!Q8</f>
        <v/>
      </c>
      <c r="R74" s="454">
        <f>'Balance Sheet'!R27/('Income Statement'!R$8+'Income Statement'!P$8)</f>
        <v/>
      </c>
      <c r="S74" s="454">
        <f>'Balance Sheet'!S27/('Income Statement'!S$8+'Income Statement'!R$8)</f>
        <v/>
      </c>
      <c r="T74" s="454">
        <f>T25/'Income Statement'!T8</f>
        <v/>
      </c>
      <c r="U74" s="455">
        <f>S74</f>
        <v/>
      </c>
      <c r="V74" s="455">
        <f>U74</f>
        <v/>
      </c>
      <c r="W74" s="454">
        <f>W25/'Income Statement'!W8</f>
        <v/>
      </c>
      <c r="X74" s="455">
        <f>V74</f>
        <v/>
      </c>
      <c r="Y74" s="455">
        <f>X74</f>
        <v/>
      </c>
      <c r="Z74" s="454">
        <f>Z25/'Income Statement'!Z8</f>
        <v/>
      </c>
      <c r="AA74" s="455">
        <f>Y74</f>
        <v/>
      </c>
      <c r="AB74" s="455">
        <f>AA74</f>
        <v/>
      </c>
      <c r="AC74" s="454">
        <f>AC25/'Income Statement'!AC8</f>
        <v/>
      </c>
      <c r="AD74" s="455">
        <f>AB74</f>
        <v/>
      </c>
      <c r="AE74" s="455">
        <f>AD74</f>
        <v/>
      </c>
      <c r="AF74" s="454">
        <f>AF25/'Income Statement'!AF8</f>
        <v/>
      </c>
      <c r="AG74" s="455">
        <f>AE74</f>
        <v/>
      </c>
      <c r="AH74" s="455">
        <f>AG74</f>
        <v/>
      </c>
      <c r="AI74" s="454">
        <f>AI25/'Income Statement'!AI8</f>
        <v/>
      </c>
    </row>
    <row r="75" ht="12.9" customHeight="1" s="343">
      <c r="B75" s="16" t="inlineStr"/>
    </row>
    <row r="76" ht="12.9" customHeight="1" s="343">
      <c r="B76" s="12" t="inlineStr">
        <is>
          <t>Inventory Turnover Ratio</t>
        </is>
      </c>
      <c r="C76" s="21">
        <f>('Income Statement'!C14+'Income Statement'!A14)/'Balance Sheet'!C45</f>
        <v/>
      </c>
      <c r="D76" s="21">
        <f>('Income Statement'!D14+'Income Statement'!C14)/'Balance Sheet'!D45</f>
        <v/>
      </c>
      <c r="E76" s="21">
        <f>'Income Statement'!E14/'Balance Sheet'!E45</f>
        <v/>
      </c>
      <c r="F76" s="21">
        <f>('Income Statement'!F14+'Income Statement'!D14)/'Balance Sheet'!F45</f>
        <v/>
      </c>
      <c r="G76" s="21">
        <f>('Income Statement'!G14+'Income Statement'!F14)/'Balance Sheet'!G45</f>
        <v/>
      </c>
      <c r="H76" s="21">
        <f>'Income Statement'!H14/'Balance Sheet'!H45</f>
        <v/>
      </c>
      <c r="I76" s="21">
        <f>('Income Statement'!I14+'Income Statement'!G14)/'Balance Sheet'!I45</f>
        <v/>
      </c>
      <c r="J76" s="21">
        <f>('Income Statement'!J14+'Income Statement'!I14)/'Balance Sheet'!J45</f>
        <v/>
      </c>
      <c r="K76" s="21">
        <f>'Income Statement'!K14/'Balance Sheet'!K45</f>
        <v/>
      </c>
      <c r="L76" s="21">
        <f>('Income Statement'!L14+'Income Statement'!J14)/'Balance Sheet'!L45</f>
        <v/>
      </c>
      <c r="M76" s="21">
        <f>('Income Statement'!M14+'Income Statement'!L14)/'Balance Sheet'!M45</f>
        <v/>
      </c>
      <c r="N76" s="21">
        <f>'Income Statement'!N14/'Balance Sheet'!N45</f>
        <v/>
      </c>
      <c r="O76" s="21">
        <f>('Income Statement'!O14+'Income Statement'!M14)/'Balance Sheet'!O45</f>
        <v/>
      </c>
      <c r="P76" s="21">
        <f>('Income Statement'!P14+'Income Statement'!O14)/'Balance Sheet'!P45</f>
        <v/>
      </c>
      <c r="Q76" s="21">
        <f>'Income Statement'!Q14/'Balance Sheet'!Q45</f>
        <v/>
      </c>
      <c r="R76" s="21">
        <f>('Income Statement'!R14+'Income Statement'!P14)/'Balance Sheet'!R45</f>
        <v/>
      </c>
      <c r="S76" s="21">
        <f>('Income Statement'!S14+'Income Statement'!R14)/'Balance Sheet'!S45</f>
        <v/>
      </c>
      <c r="T76" s="21">
        <f>'Income Statement'!T14/'Balance Sheet'!T45</f>
        <v/>
      </c>
      <c r="U76" s="134" t="n">
        <v>3.9</v>
      </c>
      <c r="V76" s="134">
        <f>U76</f>
        <v/>
      </c>
      <c r="W76" s="21">
        <f>'Income Statement'!W14/'Balance Sheet'!W45</f>
        <v/>
      </c>
      <c r="X76" s="134" t="n">
        <v>4</v>
      </c>
      <c r="Y76" s="134">
        <f>X76</f>
        <v/>
      </c>
      <c r="Z76" s="21">
        <f>'Income Statement'!Z14/'Balance Sheet'!Z45</f>
        <v/>
      </c>
      <c r="AA76" s="134" t="n">
        <v>4.1</v>
      </c>
      <c r="AB76" s="134">
        <f>AA76</f>
        <v/>
      </c>
      <c r="AC76" s="21">
        <f>'Income Statement'!AC14/'Balance Sheet'!AC45</f>
        <v/>
      </c>
      <c r="AD76" s="134" t="n">
        <v>4.3</v>
      </c>
      <c r="AE76" s="134">
        <f>AD76</f>
        <v/>
      </c>
      <c r="AF76" s="21">
        <f>'Income Statement'!AF14/'Balance Sheet'!AF45</f>
        <v/>
      </c>
      <c r="AG76" s="134" t="n">
        <v>4.5</v>
      </c>
      <c r="AH76" s="134">
        <f>AG76</f>
        <v/>
      </c>
      <c r="AI76" s="21">
        <f>'Income Statement'!AI14/'Balance Sheet'!AI45</f>
        <v/>
      </c>
    </row>
    <row r="77" ht="12.9" customHeight="1" s="343">
      <c r="B77" s="12" t="inlineStr">
        <is>
          <t>Inventory Days</t>
        </is>
      </c>
      <c r="C77" s="22">
        <f>365/C76</f>
        <v/>
      </c>
      <c r="D77" s="22">
        <f>365/D76</f>
        <v/>
      </c>
      <c r="E77" s="22">
        <f>365/E76</f>
        <v/>
      </c>
      <c r="F77" s="22">
        <f>365/F76</f>
        <v/>
      </c>
      <c r="G77" s="22">
        <f>365/G76</f>
        <v/>
      </c>
      <c r="H77" s="22">
        <f>365/H76</f>
        <v/>
      </c>
      <c r="I77" s="22">
        <f>365/I76</f>
        <v/>
      </c>
      <c r="J77" s="22">
        <f>365/J76</f>
        <v/>
      </c>
      <c r="K77" s="22">
        <f>365/K76</f>
        <v/>
      </c>
      <c r="L77" s="22">
        <f>365/L76</f>
        <v/>
      </c>
      <c r="M77" s="22">
        <f>365/M76</f>
        <v/>
      </c>
      <c r="N77" s="22">
        <f>365/N76</f>
        <v/>
      </c>
      <c r="O77" s="22">
        <f>365/O76</f>
        <v/>
      </c>
      <c r="P77" s="22">
        <f>365/P76</f>
        <v/>
      </c>
      <c r="Q77" s="22">
        <f>365/Q76</f>
        <v/>
      </c>
      <c r="R77" s="22">
        <f>365/R76</f>
        <v/>
      </c>
      <c r="S77" s="22">
        <f>365/S76</f>
        <v/>
      </c>
      <c r="T77" s="22">
        <f>365/T76</f>
        <v/>
      </c>
      <c r="U77" s="22">
        <f>365/U76</f>
        <v/>
      </c>
      <c r="V77" s="22">
        <f>365/V76</f>
        <v/>
      </c>
      <c r="W77" s="22">
        <f>365/W76</f>
        <v/>
      </c>
      <c r="X77" s="22">
        <f>365/X76</f>
        <v/>
      </c>
      <c r="Y77" s="22">
        <f>365/Y76</f>
        <v/>
      </c>
      <c r="Z77" s="22">
        <f>365/Z76</f>
        <v/>
      </c>
      <c r="AA77" s="22">
        <f>365/AA76</f>
        <v/>
      </c>
      <c r="AB77" s="22">
        <f>365/AB76</f>
        <v/>
      </c>
      <c r="AC77" s="22">
        <f>365/AC76</f>
        <v/>
      </c>
      <c r="AD77" s="22">
        <f>365/AD76</f>
        <v/>
      </c>
      <c r="AE77" s="22">
        <f>365/AE76</f>
        <v/>
      </c>
      <c r="AF77" s="22">
        <f>365/AF76</f>
        <v/>
      </c>
      <c r="AG77" s="22">
        <f>365/AG76</f>
        <v/>
      </c>
      <c r="AH77" s="22">
        <f>365/AH76</f>
        <v/>
      </c>
      <c r="AI77" s="22">
        <f>365/AI76</f>
        <v/>
      </c>
    </row>
    <row r="78" ht="12.9" customHeight="1" s="343">
      <c r="B78" s="12" t="inlineStr">
        <is>
          <t>Recievable Turnover Ratio</t>
        </is>
      </c>
      <c r="C78" s="21">
        <f>('Income Statement'!C$8+'Income Statement'!A$8)/'Balance Sheet'!C48</f>
        <v/>
      </c>
      <c r="D78" s="21">
        <f>('Income Statement'!D$8+'Income Statement'!C$8)/'Balance Sheet'!D48</f>
        <v/>
      </c>
      <c r="E78" s="21">
        <f>'Income Statement'!E8/'Balance Sheet'!E48</f>
        <v/>
      </c>
      <c r="F78" s="21">
        <f>('Income Statement'!F$8+'Income Statement'!D$8)/'Balance Sheet'!F48</f>
        <v/>
      </c>
      <c r="G78" s="21">
        <f>('Income Statement'!G$8+'Income Statement'!F$8)/'Balance Sheet'!G48</f>
        <v/>
      </c>
      <c r="H78" s="21">
        <f>'Income Statement'!H8/'Balance Sheet'!H48</f>
        <v/>
      </c>
      <c r="I78" s="21">
        <f>('Income Statement'!I$8+'Income Statement'!G$8)/'Balance Sheet'!I48</f>
        <v/>
      </c>
      <c r="J78" s="21">
        <f>('Income Statement'!J$8+'Income Statement'!I$8)/'Balance Sheet'!J48</f>
        <v/>
      </c>
      <c r="K78" s="21">
        <f>'Income Statement'!K8/'Balance Sheet'!K48</f>
        <v/>
      </c>
      <c r="L78" s="21">
        <f>('Income Statement'!L$8+'Income Statement'!J$8)/'Balance Sheet'!L48</f>
        <v/>
      </c>
      <c r="M78" s="21">
        <f>('Income Statement'!M$8+'Income Statement'!L$8)/'Balance Sheet'!M48</f>
        <v/>
      </c>
      <c r="N78" s="21">
        <f>'Income Statement'!N8/'Balance Sheet'!N48</f>
        <v/>
      </c>
      <c r="O78" s="21">
        <f>('Income Statement'!O$8+'Income Statement'!M$8)/'Balance Sheet'!O48</f>
        <v/>
      </c>
      <c r="P78" s="21">
        <f>('Income Statement'!P$8+'Income Statement'!O$8)/'Balance Sheet'!P48</f>
        <v/>
      </c>
      <c r="Q78" s="21">
        <f>'Income Statement'!Q8/'Balance Sheet'!Q48</f>
        <v/>
      </c>
      <c r="R78" s="21">
        <f>('Income Statement'!R$8+'Income Statement'!P$8)/'Balance Sheet'!R48</f>
        <v/>
      </c>
      <c r="S78" s="21">
        <f>('Income Statement'!S$8+'Income Statement'!R$8)/'Balance Sheet'!S48</f>
        <v/>
      </c>
      <c r="T78" s="21">
        <f>'Income Statement'!T8/'Balance Sheet'!T48</f>
        <v/>
      </c>
      <c r="U78" s="134" t="n">
        <v>2.2</v>
      </c>
      <c r="V78" s="134">
        <f>U78</f>
        <v/>
      </c>
      <c r="W78" s="21">
        <f>'Income Statement'!W8/'Balance Sheet'!W48</f>
        <v/>
      </c>
      <c r="X78" s="134" t="n">
        <v>2.7</v>
      </c>
      <c r="Y78" s="134">
        <f>X78</f>
        <v/>
      </c>
      <c r="Z78" s="21">
        <f>'Income Statement'!Z8/'Balance Sheet'!Z48</f>
        <v/>
      </c>
      <c r="AA78" s="134" t="n">
        <v>3.1</v>
      </c>
      <c r="AB78" s="134">
        <f>AA78</f>
        <v/>
      </c>
      <c r="AC78" s="21">
        <f>'Income Statement'!AC8/'Balance Sheet'!AC48</f>
        <v/>
      </c>
      <c r="AD78" s="134" t="n">
        <v>3.6</v>
      </c>
      <c r="AE78" s="134">
        <f>AD78</f>
        <v/>
      </c>
      <c r="AF78" s="21">
        <f>'Income Statement'!AF8/'Balance Sheet'!AF48</f>
        <v/>
      </c>
      <c r="AG78" s="134" t="n">
        <v>4.2</v>
      </c>
      <c r="AH78" s="134">
        <f>AG78</f>
        <v/>
      </c>
      <c r="AI78" s="21">
        <f>'Income Statement'!AI8/'Balance Sheet'!AI48</f>
        <v/>
      </c>
      <c r="AJ78" s="190" t="n"/>
    </row>
    <row r="79" ht="12.9" customHeight="1" s="343">
      <c r="B79" s="12" t="inlineStr">
        <is>
          <t>Recievable Days</t>
        </is>
      </c>
      <c r="C79" s="22">
        <f>365/'Balance Sheet'!C78</f>
        <v/>
      </c>
      <c r="D79" s="22">
        <f>365/'Balance Sheet'!D78</f>
        <v/>
      </c>
      <c r="E79" s="22">
        <f>365/'Balance Sheet'!E78</f>
        <v/>
      </c>
      <c r="F79" s="22">
        <f>365/'Balance Sheet'!F78</f>
        <v/>
      </c>
      <c r="G79" s="22">
        <f>365/'Balance Sheet'!G78</f>
        <v/>
      </c>
      <c r="H79" s="22">
        <f>365/'Balance Sheet'!H78</f>
        <v/>
      </c>
      <c r="I79" s="22">
        <f>365/'Balance Sheet'!I78</f>
        <v/>
      </c>
      <c r="J79" s="22">
        <f>365/'Balance Sheet'!J78</f>
        <v/>
      </c>
      <c r="K79" s="22">
        <f>365/'Balance Sheet'!K78</f>
        <v/>
      </c>
      <c r="L79" s="22">
        <f>366/'Balance Sheet'!L78</f>
        <v/>
      </c>
      <c r="M79" s="22">
        <f>366/'Balance Sheet'!M78</f>
        <v/>
      </c>
      <c r="N79" s="22">
        <f>366/'Balance Sheet'!N78</f>
        <v/>
      </c>
      <c r="O79" s="22">
        <f>365/'Balance Sheet'!O78</f>
        <v/>
      </c>
      <c r="P79" s="22">
        <f>365/'Balance Sheet'!P78</f>
        <v/>
      </c>
      <c r="Q79" s="22">
        <f>365/'Balance Sheet'!Q78</f>
        <v/>
      </c>
      <c r="R79" s="22">
        <f>365/'Balance Sheet'!R78</f>
        <v/>
      </c>
      <c r="S79" s="22">
        <f>365/'Balance Sheet'!S78</f>
        <v/>
      </c>
      <c r="T79" s="22">
        <f>365/'Balance Sheet'!T78</f>
        <v/>
      </c>
      <c r="U79" s="22">
        <f>365/'Balance Sheet'!U78</f>
        <v/>
      </c>
      <c r="V79" s="22">
        <f>365/'Balance Sheet'!V78</f>
        <v/>
      </c>
      <c r="W79" s="22">
        <f>365/'Balance Sheet'!W78</f>
        <v/>
      </c>
      <c r="X79" s="22">
        <f>365/'Balance Sheet'!X78</f>
        <v/>
      </c>
      <c r="Y79" s="22">
        <f>365/'Balance Sheet'!Y78</f>
        <v/>
      </c>
      <c r="Z79" s="22">
        <f>365/'Balance Sheet'!Z78</f>
        <v/>
      </c>
      <c r="AA79" s="22">
        <f>365/'Balance Sheet'!AA78</f>
        <v/>
      </c>
      <c r="AB79" s="22">
        <f>365/'Balance Sheet'!AB78</f>
        <v/>
      </c>
      <c r="AC79" s="22">
        <f>365/'Balance Sheet'!AC78</f>
        <v/>
      </c>
      <c r="AD79" s="22">
        <f>365/'Balance Sheet'!AD78</f>
        <v/>
      </c>
      <c r="AE79" s="22">
        <f>365/'Balance Sheet'!AE78</f>
        <v/>
      </c>
      <c r="AF79" s="22">
        <f>365/'Balance Sheet'!AF78</f>
        <v/>
      </c>
      <c r="AG79" s="22">
        <f>365/'Balance Sheet'!AG78</f>
        <v/>
      </c>
      <c r="AH79" s="22">
        <f>365/'Balance Sheet'!AH78</f>
        <v/>
      </c>
      <c r="AI79" s="22">
        <f>365/'Balance Sheet'!AI78</f>
        <v/>
      </c>
      <c r="AJ79" s="190" t="n"/>
    </row>
    <row r="80" ht="12.9" customHeight="1" s="343">
      <c r="B80" s="16" t="inlineStr">
        <is>
          <t>Other Financial Assets as % of Revenue</t>
        </is>
      </c>
      <c r="C80" s="454">
        <f>C51/('Income Statement'!C$8+'Income Statement'!A$8)</f>
        <v/>
      </c>
      <c r="D80" s="454">
        <f>D51/('Income Statement'!D$8+'Income Statement'!C$8)</f>
        <v/>
      </c>
      <c r="E80" s="454">
        <f>E51/'Income Statement'!E8</f>
        <v/>
      </c>
      <c r="F80" s="454">
        <f>F51/('Income Statement'!F$8+'Income Statement'!D$8)</f>
        <v/>
      </c>
      <c r="G80" s="454">
        <f>G51/('Income Statement'!G$8+'Income Statement'!F$8)</f>
        <v/>
      </c>
      <c r="H80" s="454">
        <f>H51/'Income Statement'!H8</f>
        <v/>
      </c>
      <c r="I80" s="454">
        <f>I51/('Income Statement'!I$8+'Income Statement'!G$8)</f>
        <v/>
      </c>
      <c r="J80" s="454">
        <f>J51/('Income Statement'!J$8+'Income Statement'!I$8)</f>
        <v/>
      </c>
      <c r="K80" s="454">
        <f>K51/'Income Statement'!K8</f>
        <v/>
      </c>
      <c r="L80" s="454">
        <f>L51/('Income Statement'!L$8+'Income Statement'!J$8)</f>
        <v/>
      </c>
      <c r="M80" s="454">
        <f>M51/('Income Statement'!M$8+'Income Statement'!L$8)</f>
        <v/>
      </c>
      <c r="N80" s="454">
        <f>N51/'Income Statement'!N8</f>
        <v/>
      </c>
      <c r="O80" s="454">
        <f>O51/('Income Statement'!O$8+'Income Statement'!M$8)</f>
        <v/>
      </c>
      <c r="P80" s="454">
        <f>P51/('Income Statement'!P$8+'Income Statement'!O$8)</f>
        <v/>
      </c>
      <c r="Q80" s="454">
        <f>Q51/'Income Statement'!Q8</f>
        <v/>
      </c>
      <c r="R80" s="454">
        <f>R51/('Income Statement'!R$8+'Income Statement'!P$8)</f>
        <v/>
      </c>
      <c r="S80" s="454">
        <f>S51/('Income Statement'!S$8+'Income Statement'!R$8)</f>
        <v/>
      </c>
      <c r="T80" s="454">
        <f>T51/'Income Statement'!T8</f>
        <v/>
      </c>
      <c r="U80" s="455">
        <f>S80</f>
        <v/>
      </c>
      <c r="V80" s="455">
        <f>U80</f>
        <v/>
      </c>
      <c r="W80" s="454">
        <f>W51/'Income Statement'!W8</f>
        <v/>
      </c>
      <c r="X80" s="455">
        <f>V80</f>
        <v/>
      </c>
      <c r="Y80" s="455">
        <f>X80</f>
        <v/>
      </c>
      <c r="Z80" s="454">
        <f>Z51/'Income Statement'!Z8</f>
        <v/>
      </c>
      <c r="AA80" s="455">
        <f>Y80</f>
        <v/>
      </c>
      <c r="AB80" s="455">
        <f>AA80</f>
        <v/>
      </c>
      <c r="AC80" s="454">
        <f>AC51/'Income Statement'!AC8</f>
        <v/>
      </c>
      <c r="AD80" s="455">
        <f>AB80</f>
        <v/>
      </c>
      <c r="AE80" s="455">
        <f>AD80</f>
        <v/>
      </c>
      <c r="AF80" s="454">
        <f>AF51/'Income Statement'!AF8</f>
        <v/>
      </c>
      <c r="AG80" s="455">
        <f>AE80</f>
        <v/>
      </c>
      <c r="AH80" s="455">
        <f>AG80</f>
        <v/>
      </c>
      <c r="AI80" s="454">
        <f>AI51/'Income Statement'!AI8</f>
        <v/>
      </c>
    </row>
    <row r="81" ht="12.9" customHeight="1" s="343">
      <c r="B81" s="16" t="inlineStr">
        <is>
          <t>Other Current Assets as % of Revenue</t>
        </is>
      </c>
      <c r="C81" s="454">
        <f>C53/('Income Statement'!C$8+'Income Statement'!A$8)</f>
        <v/>
      </c>
      <c r="D81" s="454">
        <f>D53/('Income Statement'!D$8+'Income Statement'!C$8)</f>
        <v/>
      </c>
      <c r="E81" s="454">
        <f>E53/'Income Statement'!E8</f>
        <v/>
      </c>
      <c r="F81" s="454">
        <f>F53/('Income Statement'!F$8+'Income Statement'!D$8)</f>
        <v/>
      </c>
      <c r="G81" s="454">
        <f>G53/('Income Statement'!G$8+'Income Statement'!F$8)</f>
        <v/>
      </c>
      <c r="H81" s="454">
        <f>H53/'Income Statement'!H8</f>
        <v/>
      </c>
      <c r="I81" s="454">
        <f>I53/('Income Statement'!I$8+'Income Statement'!G$8)</f>
        <v/>
      </c>
      <c r="J81" s="454">
        <f>J53/('Income Statement'!J$8+'Income Statement'!I$8)</f>
        <v/>
      </c>
      <c r="K81" s="454">
        <f>K53/'Income Statement'!K8</f>
        <v/>
      </c>
      <c r="L81" s="454">
        <f>L53/('Income Statement'!L$8+'Income Statement'!J$8)</f>
        <v/>
      </c>
      <c r="M81" s="454">
        <f>M53/('Income Statement'!M$8+'Income Statement'!L$8)</f>
        <v/>
      </c>
      <c r="N81" s="454">
        <f>N53/'Income Statement'!N8</f>
        <v/>
      </c>
      <c r="O81" s="454">
        <f>O53/('Income Statement'!O$8+'Income Statement'!M$8)</f>
        <v/>
      </c>
      <c r="P81" s="454">
        <f>P53/('Income Statement'!P$8+'Income Statement'!O$8)</f>
        <v/>
      </c>
      <c r="Q81" s="454">
        <f>Q53/'Income Statement'!Q8</f>
        <v/>
      </c>
      <c r="R81" s="454">
        <f>R53/('Income Statement'!R$8+'Income Statement'!P$8)</f>
        <v/>
      </c>
      <c r="S81" s="454">
        <f>S53/('Income Statement'!S$8+'Income Statement'!R$8)</f>
        <v/>
      </c>
      <c r="T81" s="454">
        <f>T53/'Income Statement'!T8</f>
        <v/>
      </c>
      <c r="U81" s="455">
        <f>T81</f>
        <v/>
      </c>
      <c r="V81" s="455">
        <f>U81</f>
        <v/>
      </c>
      <c r="W81" s="454">
        <f>W53/'Income Statement'!W8</f>
        <v/>
      </c>
      <c r="X81" s="455">
        <f>V81</f>
        <v/>
      </c>
      <c r="Y81" s="455">
        <f>X81</f>
        <v/>
      </c>
      <c r="Z81" s="454">
        <f>Z53/'Income Statement'!Z8</f>
        <v/>
      </c>
      <c r="AA81" s="455">
        <f>Y81</f>
        <v/>
      </c>
      <c r="AB81" s="455">
        <f>AA81</f>
        <v/>
      </c>
      <c r="AC81" s="454">
        <f>AC53/'Income Statement'!AC8</f>
        <v/>
      </c>
      <c r="AD81" s="455">
        <f>AB81</f>
        <v/>
      </c>
      <c r="AE81" s="455">
        <f>AD81</f>
        <v/>
      </c>
      <c r="AF81" s="454">
        <f>AF53/'Income Statement'!AF8</f>
        <v/>
      </c>
      <c r="AG81" s="455">
        <f>AE81</f>
        <v/>
      </c>
      <c r="AH81" s="455">
        <f>AG81</f>
        <v/>
      </c>
      <c r="AI81" s="454">
        <f>AI53/'Income Statement'!AI8</f>
        <v/>
      </c>
      <c r="AJ81" s="472" t="n"/>
    </row>
    <row r="82" ht="12.9" customHeight="1" s="343">
      <c r="B82" s="16" t="inlineStr"/>
    </row>
    <row r="83" ht="12.9" customHeight="1" s="343">
      <c r="B83" s="12" t="inlineStr">
        <is>
          <t>Current Ratio</t>
        </is>
      </c>
      <c r="C83" s="21">
        <f>'Balance Sheet'!C54/'Balance Sheet'!C28</f>
        <v/>
      </c>
      <c r="D83" s="21">
        <f>'Balance Sheet'!D54/'Balance Sheet'!D28</f>
        <v/>
      </c>
      <c r="E83" s="21">
        <f>'Balance Sheet'!E54/'Balance Sheet'!E28</f>
        <v/>
      </c>
      <c r="F83" s="21">
        <f>'Balance Sheet'!F54/'Balance Sheet'!F28</f>
        <v/>
      </c>
      <c r="G83" s="21">
        <f>'Balance Sheet'!G54/'Balance Sheet'!G28</f>
        <v/>
      </c>
      <c r="H83" s="21">
        <f>'Balance Sheet'!H54/'Balance Sheet'!H28</f>
        <v/>
      </c>
      <c r="I83" s="21">
        <f>'Balance Sheet'!I54/'Balance Sheet'!I28</f>
        <v/>
      </c>
      <c r="J83" s="21">
        <f>'Balance Sheet'!J54/'Balance Sheet'!J28</f>
        <v/>
      </c>
      <c r="K83" s="21">
        <f>'Balance Sheet'!K54/'Balance Sheet'!K28</f>
        <v/>
      </c>
      <c r="L83" s="21">
        <f>'Balance Sheet'!L54/'Balance Sheet'!L28</f>
        <v/>
      </c>
      <c r="M83" s="21">
        <f>'Balance Sheet'!M54/'Balance Sheet'!M28</f>
        <v/>
      </c>
      <c r="N83" s="21">
        <f>'Balance Sheet'!N54/'Balance Sheet'!N28</f>
        <v/>
      </c>
      <c r="O83" s="21">
        <f>'Balance Sheet'!O54/'Balance Sheet'!O28</f>
        <v/>
      </c>
      <c r="P83" s="21">
        <f>'Balance Sheet'!P54/'Balance Sheet'!P28</f>
        <v/>
      </c>
      <c r="Q83" s="21">
        <f>'Balance Sheet'!Q54/'Balance Sheet'!Q28</f>
        <v/>
      </c>
      <c r="R83" s="21">
        <f>'Balance Sheet'!R54/'Balance Sheet'!R28</f>
        <v/>
      </c>
      <c r="S83" s="21">
        <f>'Balance Sheet'!S54/'Balance Sheet'!S28</f>
        <v/>
      </c>
      <c r="T83" s="21">
        <f>'Balance Sheet'!T54/'Balance Sheet'!T28</f>
        <v/>
      </c>
      <c r="U83" s="21">
        <f>'Balance Sheet'!U54/'Balance Sheet'!U28</f>
        <v/>
      </c>
      <c r="V83" s="21">
        <f>'Balance Sheet'!V54/'Balance Sheet'!V28</f>
        <v/>
      </c>
      <c r="W83" s="21">
        <f>'Balance Sheet'!W54/'Balance Sheet'!W28</f>
        <v/>
      </c>
      <c r="X83" s="21">
        <f>'Balance Sheet'!X54/'Balance Sheet'!X28</f>
        <v/>
      </c>
      <c r="Y83" s="21">
        <f>'Balance Sheet'!Y54/'Balance Sheet'!Y28</f>
        <v/>
      </c>
      <c r="Z83" s="21">
        <f>'Balance Sheet'!Z54/'Balance Sheet'!Z28</f>
        <v/>
      </c>
      <c r="AA83" s="21">
        <f>'Balance Sheet'!AA54/'Balance Sheet'!AA28</f>
        <v/>
      </c>
      <c r="AB83" s="21">
        <f>'Balance Sheet'!AB54/'Balance Sheet'!AB28</f>
        <v/>
      </c>
      <c r="AC83" s="21">
        <f>'Balance Sheet'!AC54/'Balance Sheet'!AC28</f>
        <v/>
      </c>
      <c r="AD83" s="21">
        <f>'Balance Sheet'!AD54/'Balance Sheet'!AD28</f>
        <v/>
      </c>
      <c r="AE83" s="21">
        <f>'Balance Sheet'!AE54/'Balance Sheet'!AE28</f>
        <v/>
      </c>
      <c r="AF83" s="21">
        <f>'Balance Sheet'!AF54/'Balance Sheet'!AF28</f>
        <v/>
      </c>
      <c r="AG83" s="21">
        <f>'Balance Sheet'!AG54/'Balance Sheet'!AG28</f>
        <v/>
      </c>
      <c r="AH83" s="21">
        <f>'Balance Sheet'!AH54/'Balance Sheet'!AH28</f>
        <v/>
      </c>
      <c r="AI83" s="21">
        <f>'Balance Sheet'!AI54/'Balance Sheet'!AI28</f>
        <v/>
      </c>
    </row>
    <row r="84" ht="12.9" customHeight="1" s="343">
      <c r="B84" s="12" t="inlineStr">
        <is>
          <t>Quick Ratio</t>
        </is>
      </c>
      <c r="C84" s="21">
        <f>('Balance Sheet'!C54-'Balance Sheet'!C45)/'Balance Sheet'!C28</f>
        <v/>
      </c>
      <c r="D84" s="21">
        <f>('Balance Sheet'!D54-'Balance Sheet'!D45)/'Balance Sheet'!D28</f>
        <v/>
      </c>
      <c r="E84" s="21">
        <f>('Balance Sheet'!E54-'Balance Sheet'!E45)/'Balance Sheet'!E28</f>
        <v/>
      </c>
      <c r="F84" s="21">
        <f>('Balance Sheet'!F54-'Balance Sheet'!F45)/'Balance Sheet'!F28</f>
        <v/>
      </c>
      <c r="G84" s="21">
        <f>('Balance Sheet'!G54-'Balance Sheet'!G45)/'Balance Sheet'!G28</f>
        <v/>
      </c>
      <c r="H84" s="21">
        <f>('Balance Sheet'!H54-'Balance Sheet'!H45)/'Balance Sheet'!H28</f>
        <v/>
      </c>
      <c r="I84" s="21">
        <f>('Balance Sheet'!I54-'Balance Sheet'!I45)/'Balance Sheet'!I28</f>
        <v/>
      </c>
      <c r="J84" s="21">
        <f>('Balance Sheet'!J54-'Balance Sheet'!J45)/'Balance Sheet'!J28</f>
        <v/>
      </c>
      <c r="K84" s="21">
        <f>('Balance Sheet'!K54-'Balance Sheet'!K45)/'Balance Sheet'!K28</f>
        <v/>
      </c>
      <c r="L84" s="21">
        <f>('Balance Sheet'!L54-'Balance Sheet'!L45)/'Balance Sheet'!L28</f>
        <v/>
      </c>
      <c r="M84" s="21">
        <f>('Balance Sheet'!M54-'Balance Sheet'!M45)/'Balance Sheet'!M28</f>
        <v/>
      </c>
      <c r="N84" s="21">
        <f>('Balance Sheet'!N54-'Balance Sheet'!N45)/'Balance Sheet'!N28</f>
        <v/>
      </c>
      <c r="O84" s="21">
        <f>('Balance Sheet'!O54-'Balance Sheet'!O45)/'Balance Sheet'!O28</f>
        <v/>
      </c>
      <c r="P84" s="21">
        <f>('Balance Sheet'!P54-'Balance Sheet'!P45)/'Balance Sheet'!P28</f>
        <v/>
      </c>
      <c r="Q84" s="21">
        <f>('Balance Sheet'!Q54-'Balance Sheet'!Q45)/'Balance Sheet'!Q28</f>
        <v/>
      </c>
      <c r="R84" s="21">
        <f>('Balance Sheet'!R54-'Balance Sheet'!R45)/'Balance Sheet'!R28</f>
        <v/>
      </c>
      <c r="S84" s="21">
        <f>('Balance Sheet'!S54-'Balance Sheet'!S45)/'Balance Sheet'!S28</f>
        <v/>
      </c>
      <c r="T84" s="21">
        <f>('Balance Sheet'!T54-'Balance Sheet'!T45)/'Balance Sheet'!T28</f>
        <v/>
      </c>
      <c r="U84" s="21">
        <f>('Balance Sheet'!U54-'Balance Sheet'!U45)/'Balance Sheet'!U28</f>
        <v/>
      </c>
      <c r="V84" s="21">
        <f>('Balance Sheet'!V54-'Balance Sheet'!V45)/'Balance Sheet'!V28</f>
        <v/>
      </c>
      <c r="W84" s="21">
        <f>('Balance Sheet'!W54-'Balance Sheet'!W45)/'Balance Sheet'!W28</f>
        <v/>
      </c>
      <c r="X84" s="21">
        <f>('Balance Sheet'!X54-'Balance Sheet'!X45)/'Balance Sheet'!X28</f>
        <v/>
      </c>
      <c r="Y84" s="21">
        <f>('Balance Sheet'!Y54-'Balance Sheet'!Y45)/'Balance Sheet'!Y28</f>
        <v/>
      </c>
      <c r="Z84" s="21">
        <f>('Balance Sheet'!Z54-'Balance Sheet'!Z45)/'Balance Sheet'!Z28</f>
        <v/>
      </c>
      <c r="AA84" s="21">
        <f>('Balance Sheet'!AA54-'Balance Sheet'!AA45)/'Balance Sheet'!AA28</f>
        <v/>
      </c>
      <c r="AB84" s="21">
        <f>('Balance Sheet'!AB54-'Balance Sheet'!AB45)/'Balance Sheet'!AB28</f>
        <v/>
      </c>
      <c r="AC84" s="21">
        <f>('Balance Sheet'!AC54-'Balance Sheet'!AC45)/'Balance Sheet'!AC28</f>
        <v/>
      </c>
      <c r="AD84" s="21">
        <f>('Balance Sheet'!AD54-'Balance Sheet'!AD45)/'Balance Sheet'!AD28</f>
        <v/>
      </c>
      <c r="AE84" s="21">
        <f>('Balance Sheet'!AE54-'Balance Sheet'!AE45)/'Balance Sheet'!AE28</f>
        <v/>
      </c>
      <c r="AF84" s="21">
        <f>('Balance Sheet'!AF54-'Balance Sheet'!AF45)/'Balance Sheet'!AF28</f>
        <v/>
      </c>
      <c r="AG84" s="21">
        <f>('Balance Sheet'!AG54-'Balance Sheet'!AG45)/'Balance Sheet'!AG28</f>
        <v/>
      </c>
      <c r="AH84" s="21">
        <f>('Balance Sheet'!AH54-'Balance Sheet'!AH45)/'Balance Sheet'!AH28</f>
        <v/>
      </c>
      <c r="AI84" s="21">
        <f>('Balance Sheet'!AI54-'Balance Sheet'!AI45)/'Balance Sheet'!AI28</f>
        <v/>
      </c>
    </row>
    <row r="85" ht="12.9" customHeight="1" s="343">
      <c r="B85" s="12" t="inlineStr">
        <is>
          <t>Cash Ratio</t>
        </is>
      </c>
      <c r="C85" s="21">
        <f>'Balance Sheet'!C49/'Balance Sheet'!C28</f>
        <v/>
      </c>
      <c r="D85" s="21">
        <f>'Balance Sheet'!D49/'Balance Sheet'!D28</f>
        <v/>
      </c>
      <c r="E85" s="21">
        <f>'Balance Sheet'!E49/'Balance Sheet'!E28</f>
        <v/>
      </c>
      <c r="F85" s="21">
        <f>'Balance Sheet'!F49/'Balance Sheet'!F28</f>
        <v/>
      </c>
      <c r="G85" s="21">
        <f>'Balance Sheet'!G49/'Balance Sheet'!G28</f>
        <v/>
      </c>
      <c r="H85" s="21">
        <f>'Balance Sheet'!H49/'Balance Sheet'!H28</f>
        <v/>
      </c>
      <c r="I85" s="21">
        <f>'Balance Sheet'!I49/'Balance Sheet'!I28</f>
        <v/>
      </c>
      <c r="J85" s="21">
        <f>'Balance Sheet'!J49/'Balance Sheet'!J28</f>
        <v/>
      </c>
      <c r="K85" s="21">
        <f>'Balance Sheet'!K49/'Balance Sheet'!K28</f>
        <v/>
      </c>
      <c r="L85" s="21">
        <f>'Balance Sheet'!L49/'Balance Sheet'!L28</f>
        <v/>
      </c>
      <c r="M85" s="21">
        <f>'Balance Sheet'!M49/'Balance Sheet'!M28</f>
        <v/>
      </c>
      <c r="N85" s="21">
        <f>'Balance Sheet'!N49/'Balance Sheet'!N28</f>
        <v/>
      </c>
      <c r="O85" s="21">
        <f>'Balance Sheet'!O49/'Balance Sheet'!O28</f>
        <v/>
      </c>
      <c r="P85" s="21">
        <f>'Balance Sheet'!P49/'Balance Sheet'!P28</f>
        <v/>
      </c>
      <c r="Q85" s="21">
        <f>'Balance Sheet'!Q49/'Balance Sheet'!Q28</f>
        <v/>
      </c>
      <c r="R85" s="21">
        <f>'Balance Sheet'!R49/'Balance Sheet'!R28</f>
        <v/>
      </c>
      <c r="S85" s="21">
        <f>'Balance Sheet'!S49/'Balance Sheet'!S28</f>
        <v/>
      </c>
      <c r="T85" s="21">
        <f>'Balance Sheet'!T49/'Balance Sheet'!T28</f>
        <v/>
      </c>
      <c r="U85" s="21">
        <f>'Balance Sheet'!U49/'Balance Sheet'!U28</f>
        <v/>
      </c>
      <c r="V85" s="21">
        <f>'Balance Sheet'!V49/'Balance Sheet'!V28</f>
        <v/>
      </c>
      <c r="W85" s="21">
        <f>'Balance Sheet'!W49/'Balance Sheet'!W28</f>
        <v/>
      </c>
      <c r="X85" s="21">
        <f>'Balance Sheet'!X49/'Balance Sheet'!X28</f>
        <v/>
      </c>
      <c r="Y85" s="21">
        <f>'Balance Sheet'!Y49/'Balance Sheet'!Y28</f>
        <v/>
      </c>
      <c r="Z85" s="21">
        <f>'Balance Sheet'!Z49/'Balance Sheet'!Z28</f>
        <v/>
      </c>
      <c r="AA85" s="21">
        <f>'Balance Sheet'!AA49/'Balance Sheet'!AA28</f>
        <v/>
      </c>
      <c r="AB85" s="21">
        <f>'Balance Sheet'!AB49/'Balance Sheet'!AB28</f>
        <v/>
      </c>
      <c r="AC85" s="21">
        <f>'Balance Sheet'!AC49/'Balance Sheet'!AC28</f>
        <v/>
      </c>
      <c r="AD85" s="21">
        <f>'Balance Sheet'!AD49/'Balance Sheet'!AD28</f>
        <v/>
      </c>
      <c r="AE85" s="21">
        <f>'Balance Sheet'!AE49/'Balance Sheet'!AE28</f>
        <v/>
      </c>
      <c r="AF85" s="21">
        <f>'Balance Sheet'!AF49/'Balance Sheet'!AF28</f>
        <v/>
      </c>
      <c r="AG85" s="21">
        <f>'Balance Sheet'!AG49/'Balance Sheet'!AG28</f>
        <v/>
      </c>
      <c r="AH85" s="21">
        <f>'Balance Sheet'!AH49/'Balance Sheet'!AH28</f>
        <v/>
      </c>
      <c r="AI85" s="21">
        <f>'Balance Sheet'!AI49/'Balance Sheet'!AI28</f>
        <v/>
      </c>
    </row>
    <row r="86" ht="12.9" customHeight="1" s="343">
      <c r="B86" s="16" t="inlineStr"/>
    </row>
    <row r="87" ht="12.9" customHeight="1" s="343">
      <c r="B87" s="12" t="inlineStr">
        <is>
          <t>Debt-Equity Ratio</t>
        </is>
      </c>
      <c r="C87" s="21">
        <f>SUM('Balance Sheet'!C13,'Balance Sheet'!C14,'Balance Sheet'!C19,'Balance Sheet'!C20)/'Balance Sheet'!C11</f>
        <v/>
      </c>
      <c r="D87" s="21">
        <f>SUM('Balance Sheet'!D13,'Balance Sheet'!D14,'Balance Sheet'!D19,'Balance Sheet'!D20)/'Balance Sheet'!D11</f>
        <v/>
      </c>
      <c r="E87" s="21">
        <f>SUM('Balance Sheet'!E13,'Balance Sheet'!E14,'Balance Sheet'!E19,'Balance Sheet'!E20)/'Balance Sheet'!E11</f>
        <v/>
      </c>
      <c r="F87" s="21">
        <f>SUM('Balance Sheet'!F13,'Balance Sheet'!F14,'Balance Sheet'!F19,'Balance Sheet'!F20)/'Balance Sheet'!F11</f>
        <v/>
      </c>
      <c r="G87" s="21">
        <f>SUM('Balance Sheet'!G13,'Balance Sheet'!G14,'Balance Sheet'!G19,'Balance Sheet'!G20)/'Balance Sheet'!G11</f>
        <v/>
      </c>
      <c r="H87" s="21">
        <f>SUM('Balance Sheet'!H13,'Balance Sheet'!H14,'Balance Sheet'!H19,'Balance Sheet'!H20)/'Balance Sheet'!H11</f>
        <v/>
      </c>
      <c r="I87" s="21">
        <f>SUM('Balance Sheet'!I13,'Balance Sheet'!I14,'Balance Sheet'!I19,'Balance Sheet'!I20)/'Balance Sheet'!I11</f>
        <v/>
      </c>
      <c r="J87" s="21">
        <f>SUM('Balance Sheet'!J13,'Balance Sheet'!J14,'Balance Sheet'!J19,'Balance Sheet'!J20)/'Balance Sheet'!J11</f>
        <v/>
      </c>
      <c r="K87" s="21">
        <f>SUM('Balance Sheet'!K13,'Balance Sheet'!K14,'Balance Sheet'!K19,'Balance Sheet'!K20)/'Balance Sheet'!K11</f>
        <v/>
      </c>
      <c r="L87" s="21">
        <f>SUM('Balance Sheet'!L13,'Balance Sheet'!L14,'Balance Sheet'!L19,'Balance Sheet'!L20)/'Balance Sheet'!L11</f>
        <v/>
      </c>
      <c r="M87" s="21">
        <f>SUM('Balance Sheet'!M13,'Balance Sheet'!M14,'Balance Sheet'!M19,'Balance Sheet'!M20)/'Balance Sheet'!M11</f>
        <v/>
      </c>
      <c r="N87" s="21">
        <f>SUM('Balance Sheet'!N13,'Balance Sheet'!N14,'Balance Sheet'!N19,'Balance Sheet'!N20)/'Balance Sheet'!N11</f>
        <v/>
      </c>
      <c r="O87" s="21">
        <f>SUM('Balance Sheet'!O13,'Balance Sheet'!O14,'Balance Sheet'!O19,'Balance Sheet'!O20)/'Balance Sheet'!O11</f>
        <v/>
      </c>
      <c r="P87" s="21">
        <f>SUM('Balance Sheet'!P13,'Balance Sheet'!P14,'Balance Sheet'!P19,'Balance Sheet'!P20)/'Balance Sheet'!P11</f>
        <v/>
      </c>
      <c r="Q87" s="21">
        <f>SUM('Balance Sheet'!Q13,'Balance Sheet'!Q14,'Balance Sheet'!Q19,'Balance Sheet'!Q20)/'Balance Sheet'!Q11</f>
        <v/>
      </c>
      <c r="R87" s="21">
        <f>SUM('Balance Sheet'!R13,'Balance Sheet'!R14,'Balance Sheet'!R19,'Balance Sheet'!R20)/'Balance Sheet'!R11</f>
        <v/>
      </c>
      <c r="S87" s="21">
        <f>SUM('Balance Sheet'!S13,'Balance Sheet'!S14,'Balance Sheet'!S19,'Balance Sheet'!S20)/'Balance Sheet'!S11</f>
        <v/>
      </c>
      <c r="T87" s="21">
        <f>SUM('Balance Sheet'!T13,'Balance Sheet'!T14,'Balance Sheet'!T19,'Balance Sheet'!T20)/'Balance Sheet'!T11</f>
        <v/>
      </c>
      <c r="U87" s="21">
        <f>SUM('Balance Sheet'!U13,'Balance Sheet'!U14,'Balance Sheet'!U19,'Balance Sheet'!U20)/'Balance Sheet'!U11</f>
        <v/>
      </c>
      <c r="V87" s="21">
        <f>SUM('Balance Sheet'!V13,'Balance Sheet'!V14,'Balance Sheet'!V19,'Balance Sheet'!V20)/'Balance Sheet'!V11</f>
        <v/>
      </c>
      <c r="W87" s="21">
        <f>SUM('Balance Sheet'!W13,'Balance Sheet'!W14,'Balance Sheet'!W19,'Balance Sheet'!W20)/'Balance Sheet'!W11</f>
        <v/>
      </c>
      <c r="X87" s="21">
        <f>SUM('Balance Sheet'!X13,'Balance Sheet'!X14,'Balance Sheet'!X19,'Balance Sheet'!X20)/'Balance Sheet'!X11</f>
        <v/>
      </c>
      <c r="Y87" s="21">
        <f>SUM('Balance Sheet'!Y13,'Balance Sheet'!Y14,'Balance Sheet'!Y19,'Balance Sheet'!Y20)/'Balance Sheet'!Y11</f>
        <v/>
      </c>
      <c r="Z87" s="21">
        <f>SUM('Balance Sheet'!Z13,'Balance Sheet'!Z14,'Balance Sheet'!Z19,'Balance Sheet'!Z20)/'Balance Sheet'!Z11</f>
        <v/>
      </c>
      <c r="AA87" s="21">
        <f>SUM('Balance Sheet'!AA13,'Balance Sheet'!AA14,'Balance Sheet'!AA19,'Balance Sheet'!AA20)/'Balance Sheet'!AA11</f>
        <v/>
      </c>
      <c r="AB87" s="21">
        <f>SUM('Balance Sheet'!AB13,'Balance Sheet'!AB14,'Balance Sheet'!AB19,'Balance Sheet'!AB20)/'Balance Sheet'!AB11</f>
        <v/>
      </c>
      <c r="AC87" s="21">
        <f>SUM('Balance Sheet'!AC13,'Balance Sheet'!AC14,'Balance Sheet'!AC19,'Balance Sheet'!AC20)/'Balance Sheet'!AC11</f>
        <v/>
      </c>
      <c r="AD87" s="21">
        <f>SUM('Balance Sheet'!AD13,'Balance Sheet'!AD14,'Balance Sheet'!AD19,'Balance Sheet'!AD20)/'Balance Sheet'!AD11</f>
        <v/>
      </c>
      <c r="AE87" s="21">
        <f>SUM('Balance Sheet'!AE13,'Balance Sheet'!AE14,'Balance Sheet'!AE19,'Balance Sheet'!AE20)/'Balance Sheet'!AE11</f>
        <v/>
      </c>
      <c r="AF87" s="21">
        <f>SUM('Balance Sheet'!AF13,'Balance Sheet'!AF14,'Balance Sheet'!AF19,'Balance Sheet'!AF20)/'Balance Sheet'!AF11</f>
        <v/>
      </c>
      <c r="AG87" s="21">
        <f>SUM('Balance Sheet'!AG13,'Balance Sheet'!AG14,'Balance Sheet'!AG19,'Balance Sheet'!AG20)/'Balance Sheet'!AG11</f>
        <v/>
      </c>
      <c r="AH87" s="21">
        <f>SUM('Balance Sheet'!AH13,'Balance Sheet'!AH14,'Balance Sheet'!AH19,'Balance Sheet'!AH20)/'Balance Sheet'!AH11</f>
        <v/>
      </c>
      <c r="AI87" s="21">
        <f>SUM('Balance Sheet'!AI13,'Balance Sheet'!AI14,'Balance Sheet'!AI19,'Balance Sheet'!AI20)/'Balance Sheet'!AI11</f>
        <v/>
      </c>
    </row>
    <row r="88" ht="12.9" customHeight="1" s="343">
      <c r="B88" s="12" t="inlineStr">
        <is>
          <t>Debt-Assets Ratio</t>
        </is>
      </c>
      <c r="C88" s="21">
        <f>SUM('Balance Sheet'!C13,'Balance Sheet'!C14,'Balance Sheet'!C19,'Balance Sheet'!C20)/'Balance Sheet'!C55</f>
        <v/>
      </c>
      <c r="D88" s="21">
        <f>SUM('Balance Sheet'!D13,'Balance Sheet'!D14,'Balance Sheet'!D19,'Balance Sheet'!D20)/'Balance Sheet'!D55</f>
        <v/>
      </c>
      <c r="E88" s="21">
        <f>SUM('Balance Sheet'!E13,'Balance Sheet'!E14,'Balance Sheet'!E19,'Balance Sheet'!E20)/'Balance Sheet'!E55</f>
        <v/>
      </c>
      <c r="F88" s="21">
        <f>SUM('Balance Sheet'!F13,'Balance Sheet'!F14,'Balance Sheet'!F19,'Balance Sheet'!F20)/'Balance Sheet'!F55</f>
        <v/>
      </c>
      <c r="G88" s="21">
        <f>SUM('Balance Sheet'!G13,'Balance Sheet'!G14,'Balance Sheet'!G19,'Balance Sheet'!G20)/'Balance Sheet'!G55</f>
        <v/>
      </c>
      <c r="H88" s="21">
        <f>SUM('Balance Sheet'!H13,'Balance Sheet'!H14,'Balance Sheet'!H19,'Balance Sheet'!H20)/'Balance Sheet'!H55</f>
        <v/>
      </c>
      <c r="I88" s="21">
        <f>SUM('Balance Sheet'!I13,'Balance Sheet'!I14,'Balance Sheet'!I19,'Balance Sheet'!I20)/'Balance Sheet'!I55</f>
        <v/>
      </c>
      <c r="J88" s="21">
        <f>SUM('Balance Sheet'!J13,'Balance Sheet'!J14,'Balance Sheet'!J19,'Balance Sheet'!J20)/'Balance Sheet'!J55</f>
        <v/>
      </c>
      <c r="K88" s="21">
        <f>SUM('Balance Sheet'!K13,'Balance Sheet'!K14,'Balance Sheet'!K19,'Balance Sheet'!K20)/'Balance Sheet'!K55</f>
        <v/>
      </c>
      <c r="L88" s="21">
        <f>SUM('Balance Sheet'!L13,'Balance Sheet'!L14,'Balance Sheet'!L19,'Balance Sheet'!L20)/'Balance Sheet'!L55</f>
        <v/>
      </c>
      <c r="M88" s="21">
        <f>SUM('Balance Sheet'!M13,'Balance Sheet'!M14,'Balance Sheet'!M19,'Balance Sheet'!M20)/'Balance Sheet'!M55</f>
        <v/>
      </c>
      <c r="N88" s="21">
        <f>SUM('Balance Sheet'!N13,'Balance Sheet'!N14,'Balance Sheet'!N19,'Balance Sheet'!N20)/'Balance Sheet'!N55</f>
        <v/>
      </c>
      <c r="O88" s="21">
        <f>SUM('Balance Sheet'!O13,'Balance Sheet'!O14,'Balance Sheet'!O19,'Balance Sheet'!O20)/'Balance Sheet'!O55</f>
        <v/>
      </c>
      <c r="P88" s="21">
        <f>SUM('Balance Sheet'!P13,'Balance Sheet'!P14,'Balance Sheet'!P19,'Balance Sheet'!P20)/'Balance Sheet'!P55</f>
        <v/>
      </c>
      <c r="Q88" s="21">
        <f>SUM('Balance Sheet'!Q13,'Balance Sheet'!Q14,'Balance Sheet'!Q19,'Balance Sheet'!Q20)/'Balance Sheet'!Q55</f>
        <v/>
      </c>
      <c r="R88" s="21">
        <f>SUM('Balance Sheet'!R13,'Balance Sheet'!R14,'Balance Sheet'!R19,'Balance Sheet'!R20)/'Balance Sheet'!R55</f>
        <v/>
      </c>
      <c r="S88" s="21">
        <f>SUM('Balance Sheet'!S13,'Balance Sheet'!S14,'Balance Sheet'!S19,'Balance Sheet'!S20)/'Balance Sheet'!S55</f>
        <v/>
      </c>
      <c r="T88" s="21">
        <f>SUM('Balance Sheet'!T13,'Balance Sheet'!T14,'Balance Sheet'!T19,'Balance Sheet'!T20)/'Balance Sheet'!T55</f>
        <v/>
      </c>
      <c r="U88" s="21">
        <f>SUM('Balance Sheet'!U13,'Balance Sheet'!U14,'Balance Sheet'!U19,'Balance Sheet'!U20)/'Balance Sheet'!U55</f>
        <v/>
      </c>
      <c r="V88" s="21">
        <f>SUM('Balance Sheet'!V13,'Balance Sheet'!V14,'Balance Sheet'!V19,'Balance Sheet'!V20)/'Balance Sheet'!V55</f>
        <v/>
      </c>
      <c r="W88" s="21">
        <f>SUM('Balance Sheet'!W13,'Balance Sheet'!W14,'Balance Sheet'!W19,'Balance Sheet'!W20)/'Balance Sheet'!W55</f>
        <v/>
      </c>
      <c r="X88" s="21">
        <f>SUM('Balance Sheet'!X13,'Balance Sheet'!X14,'Balance Sheet'!X19,'Balance Sheet'!X20)/'Balance Sheet'!X55</f>
        <v/>
      </c>
      <c r="Y88" s="21">
        <f>SUM('Balance Sheet'!Y13,'Balance Sheet'!Y14,'Balance Sheet'!Y19,'Balance Sheet'!Y20)/'Balance Sheet'!Y55</f>
        <v/>
      </c>
      <c r="Z88" s="21">
        <f>SUM('Balance Sheet'!Z13,'Balance Sheet'!Z14,'Balance Sheet'!Z19,'Balance Sheet'!Z20)/'Balance Sheet'!Z55</f>
        <v/>
      </c>
      <c r="AA88" s="21">
        <f>SUM('Balance Sheet'!AA13,'Balance Sheet'!AA14,'Balance Sheet'!AA19,'Balance Sheet'!AA20)/'Balance Sheet'!AA55</f>
        <v/>
      </c>
      <c r="AB88" s="21">
        <f>SUM('Balance Sheet'!AB13,'Balance Sheet'!AB14,'Balance Sheet'!AB19,'Balance Sheet'!AB20)/'Balance Sheet'!AB55</f>
        <v/>
      </c>
      <c r="AC88" s="21">
        <f>SUM('Balance Sheet'!AC13,'Balance Sheet'!AC14,'Balance Sheet'!AC19,'Balance Sheet'!AC20)/'Balance Sheet'!AC55</f>
        <v/>
      </c>
      <c r="AD88" s="21">
        <f>SUM('Balance Sheet'!AD13,'Balance Sheet'!AD14,'Balance Sheet'!AD19,'Balance Sheet'!AD20)/'Balance Sheet'!AD55</f>
        <v/>
      </c>
      <c r="AE88" s="21">
        <f>SUM('Balance Sheet'!AE13,'Balance Sheet'!AE14,'Balance Sheet'!AE19,'Balance Sheet'!AE20)/'Balance Sheet'!AE55</f>
        <v/>
      </c>
      <c r="AF88" s="21">
        <f>SUM('Balance Sheet'!AF13,'Balance Sheet'!AF14,'Balance Sheet'!AF19,'Balance Sheet'!AF20)/'Balance Sheet'!AF55</f>
        <v/>
      </c>
      <c r="AG88" s="21">
        <f>SUM('Balance Sheet'!AG13,'Balance Sheet'!AG14,'Balance Sheet'!AG19,'Balance Sheet'!AG20)/'Balance Sheet'!AG55</f>
        <v/>
      </c>
      <c r="AH88" s="21">
        <f>SUM('Balance Sheet'!AH13,'Balance Sheet'!AH14,'Balance Sheet'!AH19,'Balance Sheet'!AH20)/'Balance Sheet'!AH55</f>
        <v/>
      </c>
      <c r="AI88" s="21">
        <f>SUM('Balance Sheet'!AI13,'Balance Sheet'!AI14,'Balance Sheet'!AI19,'Balance Sheet'!AI20)/'Balance Sheet'!AI55</f>
        <v/>
      </c>
    </row>
    <row r="89" ht="12.9" customHeight="1" s="343">
      <c r="B89" s="12" t="inlineStr">
        <is>
          <t>Debt-Service Coverage Ratio</t>
        </is>
      </c>
      <c r="C89" s="21">
        <f>'Income Statement'!C23/('Income Statement'!C31+SUM('Balance Sheet'!C19+'Balance Sheet'!C13))</f>
        <v/>
      </c>
      <c r="D89" s="21">
        <f>'Income Statement'!D23/('Income Statement'!D31+SUM('Balance Sheet'!D19+'Balance Sheet'!D13))</f>
        <v/>
      </c>
      <c r="E89" s="21">
        <f>'Income Statement'!E23/('Income Statement'!E31+SUM('Balance Sheet'!E19+'Balance Sheet'!E13))</f>
        <v/>
      </c>
      <c r="F89" s="21">
        <f>'Income Statement'!F23/('Income Statement'!F31+SUM('Balance Sheet'!F19+'Balance Sheet'!F13))</f>
        <v/>
      </c>
      <c r="G89" s="21">
        <f>'Income Statement'!G23/('Income Statement'!G31+SUM('Balance Sheet'!G19+'Balance Sheet'!G13))</f>
        <v/>
      </c>
      <c r="H89" s="21">
        <f>'Income Statement'!H23/('Income Statement'!H31+SUM('Balance Sheet'!H19+'Balance Sheet'!H13))</f>
        <v/>
      </c>
      <c r="I89" s="21">
        <f>'Income Statement'!I23/('Income Statement'!I31+SUM('Balance Sheet'!I19+'Balance Sheet'!I13))</f>
        <v/>
      </c>
      <c r="J89" s="21">
        <f>'Income Statement'!J23/('Income Statement'!J31+SUM('Balance Sheet'!J19+'Balance Sheet'!J13))</f>
        <v/>
      </c>
      <c r="K89" s="21">
        <f>'Income Statement'!K23/('Income Statement'!K31+SUM('Balance Sheet'!K19+'Balance Sheet'!K13))</f>
        <v/>
      </c>
      <c r="L89" s="21">
        <f>'Income Statement'!L23/('Income Statement'!L31+SUM('Balance Sheet'!L19+'Balance Sheet'!L13))</f>
        <v/>
      </c>
      <c r="M89" s="21">
        <f>'Income Statement'!M23/('Income Statement'!M31+SUM('Balance Sheet'!M19+'Balance Sheet'!M13))</f>
        <v/>
      </c>
      <c r="N89" s="21">
        <f>'Income Statement'!N23/('Income Statement'!N31+SUM('Balance Sheet'!N19+'Balance Sheet'!N13))</f>
        <v/>
      </c>
      <c r="O89" s="21">
        <f>'Income Statement'!O23/('Income Statement'!O31+SUM('Balance Sheet'!O19+'Balance Sheet'!O13))</f>
        <v/>
      </c>
      <c r="P89" s="21">
        <f>'Income Statement'!P23/('Income Statement'!P31+SUM('Balance Sheet'!P19+'Balance Sheet'!P13))</f>
        <v/>
      </c>
      <c r="Q89" s="21">
        <f>'Income Statement'!Q23/('Income Statement'!Q31+SUM('Balance Sheet'!Q19+'Balance Sheet'!Q13))</f>
        <v/>
      </c>
      <c r="R89" s="21">
        <f>'Income Statement'!R23/('Income Statement'!R31+SUM('Balance Sheet'!R19+'Balance Sheet'!R13))</f>
        <v/>
      </c>
      <c r="S89" s="21">
        <f>'Income Statement'!S23/('Income Statement'!S31+SUM('Balance Sheet'!S19+'Balance Sheet'!S13))</f>
        <v/>
      </c>
      <c r="T89" s="21">
        <f>'Income Statement'!T23/('Income Statement'!T31+SUM('Balance Sheet'!T19+'Balance Sheet'!T13))</f>
        <v/>
      </c>
      <c r="U89" s="21">
        <f>'Income Statement'!U23/('Income Statement'!U31+SUM('Balance Sheet'!U19+'Balance Sheet'!U13))</f>
        <v/>
      </c>
      <c r="V89" s="21">
        <f>'Income Statement'!V23/('Income Statement'!V31+SUM('Balance Sheet'!V19+'Balance Sheet'!V13))</f>
        <v/>
      </c>
      <c r="W89" s="21">
        <f>'Income Statement'!W23/('Income Statement'!W31+SUM('Balance Sheet'!W19+'Balance Sheet'!W13))</f>
        <v/>
      </c>
      <c r="X89" s="21">
        <f>'Income Statement'!X23/('Income Statement'!X31+SUM('Balance Sheet'!X19+'Balance Sheet'!X13))</f>
        <v/>
      </c>
      <c r="Y89" s="21">
        <f>'Income Statement'!Y23/('Income Statement'!Y31+SUM('Balance Sheet'!Y19+'Balance Sheet'!Y13))</f>
        <v/>
      </c>
      <c r="Z89" s="21">
        <f>'Income Statement'!Z23/('Income Statement'!Z31+SUM('Balance Sheet'!Z19+'Balance Sheet'!Z13))</f>
        <v/>
      </c>
      <c r="AA89" s="21">
        <f>'Income Statement'!AA23/('Income Statement'!AA31+SUM('Balance Sheet'!AA19+'Balance Sheet'!AA13))</f>
        <v/>
      </c>
      <c r="AB89" s="21">
        <f>'Income Statement'!AB23/('Income Statement'!AB31+SUM('Balance Sheet'!AB19+'Balance Sheet'!AB13))</f>
        <v/>
      </c>
      <c r="AC89" s="21">
        <f>'Income Statement'!AC23/('Income Statement'!AC31+SUM('Balance Sheet'!AC19+'Balance Sheet'!AC13))</f>
        <v/>
      </c>
      <c r="AD89" s="21">
        <f>'Income Statement'!AD23/('Income Statement'!AD31+SUM('Balance Sheet'!AD19+'Balance Sheet'!AD13))</f>
        <v/>
      </c>
      <c r="AE89" s="21">
        <f>'Income Statement'!AE23/('Income Statement'!AE31+SUM('Balance Sheet'!AE19+'Balance Sheet'!AE13))</f>
        <v/>
      </c>
      <c r="AF89" s="21">
        <f>'Income Statement'!AF23/('Income Statement'!AF31+SUM('Balance Sheet'!AF19+'Balance Sheet'!AF13))</f>
        <v/>
      </c>
      <c r="AG89" s="21">
        <f>'Income Statement'!AG23/('Income Statement'!AG31+SUM('Balance Sheet'!AG19+'Balance Sheet'!AG13))</f>
        <v/>
      </c>
      <c r="AH89" s="21">
        <f>'Income Statement'!AH23/('Income Statement'!AH31+SUM('Balance Sheet'!AH19+'Balance Sheet'!AH13))</f>
        <v/>
      </c>
      <c r="AI89" s="21">
        <f>'Income Statement'!AI23/('Income Statement'!AI31+SUM('Balance Sheet'!AI19+'Balance Sheet'!AI13))</f>
        <v/>
      </c>
    </row>
    <row r="90" ht="12.9" customHeight="1" s="343">
      <c r="B90" s="12" t="inlineStr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</row>
    <row r="91" ht="12.9" customHeight="1" s="343">
      <c r="B91" s="12" t="inlineStr">
        <is>
          <t>Cash Conversion Cycle</t>
        </is>
      </c>
      <c r="C91" s="22">
        <f>'Balance Sheet'!C79+C77-'Balance Sheet'!C71</f>
        <v/>
      </c>
      <c r="D91" s="22">
        <f>'Balance Sheet'!D79+D77-'Balance Sheet'!D71</f>
        <v/>
      </c>
      <c r="E91" s="22">
        <f>'Balance Sheet'!E79+E77-'Balance Sheet'!E71</f>
        <v/>
      </c>
      <c r="F91" s="22">
        <f>'Balance Sheet'!F79+F77-'Balance Sheet'!F71</f>
        <v/>
      </c>
      <c r="G91" s="22">
        <f>'Balance Sheet'!G79+G77-'Balance Sheet'!G71</f>
        <v/>
      </c>
      <c r="H91" s="22">
        <f>'Balance Sheet'!H79+H77-'Balance Sheet'!H71</f>
        <v/>
      </c>
      <c r="I91" s="22">
        <f>'Balance Sheet'!I79+I77-'Balance Sheet'!I71</f>
        <v/>
      </c>
      <c r="J91" s="22">
        <f>'Balance Sheet'!J79+J77-'Balance Sheet'!J71</f>
        <v/>
      </c>
      <c r="K91" s="22">
        <f>'Balance Sheet'!K79+K77-'Balance Sheet'!K71</f>
        <v/>
      </c>
      <c r="L91" s="22">
        <f>'Balance Sheet'!L79+L77-'Balance Sheet'!L71</f>
        <v/>
      </c>
      <c r="M91" s="22">
        <f>'Balance Sheet'!M79+M77-'Balance Sheet'!M71</f>
        <v/>
      </c>
      <c r="N91" s="22">
        <f>'Balance Sheet'!N79+N77-'Balance Sheet'!N71</f>
        <v/>
      </c>
      <c r="O91" s="22">
        <f>'Balance Sheet'!O79+O77-'Balance Sheet'!O71</f>
        <v/>
      </c>
      <c r="P91" s="22">
        <f>'Balance Sheet'!P79+P77-'Balance Sheet'!P71</f>
        <v/>
      </c>
      <c r="Q91" s="22">
        <f>'Balance Sheet'!Q79+Q77-'Balance Sheet'!Q71</f>
        <v/>
      </c>
      <c r="R91" s="22">
        <f>'Balance Sheet'!R79+R77-'Balance Sheet'!R71</f>
        <v/>
      </c>
      <c r="S91" s="22">
        <f>'Balance Sheet'!S79+S77-'Balance Sheet'!S71</f>
        <v/>
      </c>
      <c r="T91" s="22">
        <f>'Balance Sheet'!T79+T77-'Balance Sheet'!T71</f>
        <v/>
      </c>
      <c r="U91" s="22">
        <f>'Balance Sheet'!U79+U77-'Balance Sheet'!U71</f>
        <v/>
      </c>
      <c r="V91" s="22">
        <f>'Balance Sheet'!V79+V77-'Balance Sheet'!V71</f>
        <v/>
      </c>
      <c r="W91" s="22">
        <f>'Balance Sheet'!W79+W77-'Balance Sheet'!W71</f>
        <v/>
      </c>
      <c r="X91" s="22">
        <f>'Balance Sheet'!X79+X77-'Balance Sheet'!X71</f>
        <v/>
      </c>
      <c r="Y91" s="22">
        <f>'Balance Sheet'!Y79+Y77-'Balance Sheet'!Y71</f>
        <v/>
      </c>
      <c r="Z91" s="22">
        <f>'Balance Sheet'!Z79+Z77-'Balance Sheet'!Z71</f>
        <v/>
      </c>
      <c r="AA91" s="22">
        <f>'Balance Sheet'!AA79+AA77-'Balance Sheet'!AA71</f>
        <v/>
      </c>
      <c r="AB91" s="22">
        <f>'Balance Sheet'!AB79+AB77-'Balance Sheet'!AB71</f>
        <v/>
      </c>
      <c r="AC91" s="22">
        <f>'Balance Sheet'!AC79+AC77-'Balance Sheet'!AC71</f>
        <v/>
      </c>
      <c r="AD91" s="22">
        <f>'Balance Sheet'!AD79+AD77-'Balance Sheet'!AD71</f>
        <v/>
      </c>
      <c r="AE91" s="22">
        <f>'Balance Sheet'!AE79+AE77-'Balance Sheet'!AE71</f>
        <v/>
      </c>
      <c r="AF91" s="22">
        <f>'Balance Sheet'!AF79+AF77-'Balance Sheet'!AF71</f>
        <v/>
      </c>
      <c r="AG91" s="22">
        <f>'Balance Sheet'!AG79+AG77-'Balance Sheet'!AG71</f>
        <v/>
      </c>
      <c r="AH91" s="22">
        <f>'Balance Sheet'!AH79+AH77-'Balance Sheet'!AH71</f>
        <v/>
      </c>
      <c r="AI91" s="22">
        <f>'Balance Sheet'!AI79+AI77-'Balance Sheet'!AI71</f>
        <v/>
      </c>
    </row>
    <row r="92" ht="12.9" customHeight="1" s="343">
      <c r="B92" s="16" t="inlineStr"/>
    </row>
    <row r="93" ht="12.9" customHeight="1" s="343">
      <c r="B93" s="21" t="inlineStr">
        <is>
          <t>Working Capital</t>
        </is>
      </c>
      <c r="C93" s="21">
        <f>'Balance Sheet'!C54-'Balance Sheet'!C28</f>
        <v/>
      </c>
      <c r="D93" s="21">
        <f>'Balance Sheet'!D54-'Balance Sheet'!D28</f>
        <v/>
      </c>
      <c r="E93" s="21">
        <f>'Balance Sheet'!E54-'Balance Sheet'!E28</f>
        <v/>
      </c>
      <c r="F93" s="21">
        <f>'Balance Sheet'!F54-'Balance Sheet'!F28</f>
        <v/>
      </c>
      <c r="G93" s="21">
        <f>'Balance Sheet'!G54-'Balance Sheet'!G28</f>
        <v/>
      </c>
      <c r="H93" s="21">
        <f>'Balance Sheet'!H54-'Balance Sheet'!H28</f>
        <v/>
      </c>
      <c r="I93" s="21">
        <f>'Balance Sheet'!I54-'Balance Sheet'!I28</f>
        <v/>
      </c>
      <c r="J93" s="21">
        <f>'Balance Sheet'!J54-'Balance Sheet'!J28</f>
        <v/>
      </c>
      <c r="K93" s="21">
        <f>'Balance Sheet'!K54-'Balance Sheet'!K28</f>
        <v/>
      </c>
      <c r="L93" s="21">
        <f>'Balance Sheet'!L54-'Balance Sheet'!L28</f>
        <v/>
      </c>
      <c r="M93" s="21">
        <f>'Balance Sheet'!M54-'Balance Sheet'!M28</f>
        <v/>
      </c>
      <c r="N93" s="21">
        <f>'Balance Sheet'!N54-'Balance Sheet'!N28</f>
        <v/>
      </c>
      <c r="O93" s="21">
        <f>'Balance Sheet'!O54-'Balance Sheet'!O28</f>
        <v/>
      </c>
      <c r="P93" s="21">
        <f>'Balance Sheet'!P54-'Balance Sheet'!P28</f>
        <v/>
      </c>
      <c r="Q93" s="21">
        <f>'Balance Sheet'!Q54-'Balance Sheet'!Q28</f>
        <v/>
      </c>
      <c r="R93" s="21">
        <f>'Balance Sheet'!R54-'Balance Sheet'!R28</f>
        <v/>
      </c>
      <c r="S93" s="21">
        <f>'Balance Sheet'!S54-'Balance Sheet'!S28</f>
        <v/>
      </c>
      <c r="T93" s="21">
        <f>'Balance Sheet'!T54-'Balance Sheet'!T28</f>
        <v/>
      </c>
      <c r="U93" s="21">
        <f>'Balance Sheet'!U54-'Balance Sheet'!U28</f>
        <v/>
      </c>
      <c r="V93" s="21">
        <f>'Balance Sheet'!V54-'Balance Sheet'!V28</f>
        <v/>
      </c>
      <c r="W93" s="435">
        <f>'Balance Sheet'!W54-'Balance Sheet'!W28</f>
        <v/>
      </c>
      <c r="X93" s="435">
        <f>'Balance Sheet'!X54-'Balance Sheet'!X28</f>
        <v/>
      </c>
      <c r="Y93" s="435">
        <f>'Balance Sheet'!Y54-'Balance Sheet'!Y28</f>
        <v/>
      </c>
      <c r="Z93" s="435">
        <f>'Balance Sheet'!Z54-'Balance Sheet'!Z28</f>
        <v/>
      </c>
      <c r="AA93" s="435">
        <f>'Balance Sheet'!AA54-'Balance Sheet'!AA28</f>
        <v/>
      </c>
      <c r="AB93" s="435">
        <f>'Balance Sheet'!AB54-'Balance Sheet'!AB28</f>
        <v/>
      </c>
      <c r="AC93" s="435">
        <f>'Balance Sheet'!AC54-'Balance Sheet'!AC28</f>
        <v/>
      </c>
      <c r="AD93" s="435">
        <f>'Balance Sheet'!AD54-'Balance Sheet'!AD28</f>
        <v/>
      </c>
      <c r="AE93" s="435">
        <f>'Balance Sheet'!AE54-'Balance Sheet'!AE28</f>
        <v/>
      </c>
      <c r="AF93" s="435">
        <f>'Balance Sheet'!AF54-'Balance Sheet'!AF28</f>
        <v/>
      </c>
      <c r="AG93" s="435">
        <f>'Balance Sheet'!AG54-'Balance Sheet'!AG28</f>
        <v/>
      </c>
      <c r="AH93" s="435">
        <f>'Balance Sheet'!AH54-'Balance Sheet'!AH28</f>
        <v/>
      </c>
      <c r="AI93" s="435">
        <f>'Balance Sheet'!AI54-'Balance Sheet'!AI28</f>
        <v/>
      </c>
    </row>
    <row r="94" ht="12.9" customHeight="1" s="343">
      <c r="B94" s="21" t="inlineStr">
        <is>
          <t>Working Capital Days</t>
        </is>
      </c>
      <c r="C94" s="22">
        <f>(C93/'Income Statement'!C8)*182.5</f>
        <v/>
      </c>
      <c r="D94" s="22">
        <f>(D93/'Income Statement'!D8)*182.5</f>
        <v/>
      </c>
      <c r="E94" s="22">
        <f>(E93/'Income Statement'!E8)*365</f>
        <v/>
      </c>
      <c r="F94" s="22">
        <f>(F93/'Income Statement'!F8)*182.5</f>
        <v/>
      </c>
      <c r="G94" s="22">
        <f>(G93/'Income Statement'!G8)*182.5</f>
        <v/>
      </c>
      <c r="H94" s="22">
        <f>(H93/'Income Statement'!H8)*365</f>
        <v/>
      </c>
      <c r="I94" s="22">
        <f>(I93/'Income Statement'!I8)*182.5</f>
        <v/>
      </c>
      <c r="J94" s="22">
        <f>(J93/'Income Statement'!J8)*182.5</f>
        <v/>
      </c>
      <c r="K94" s="22">
        <f>(K93/'Income Statement'!K8)*365</f>
        <v/>
      </c>
      <c r="L94" s="22">
        <f>(L93/'Income Statement'!L8)*183</f>
        <v/>
      </c>
      <c r="M94" s="22">
        <f>(M93/'Income Statement'!M8)*183</f>
        <v/>
      </c>
      <c r="N94" s="22">
        <f>(N93/'Income Statement'!N8)*366</f>
        <v/>
      </c>
      <c r="O94" s="22">
        <f>(O93/'Income Statement'!O8)*182.5</f>
        <v/>
      </c>
      <c r="P94" s="22">
        <f>(P93/'Income Statement'!P8)*182.5</f>
        <v/>
      </c>
      <c r="Q94" s="22">
        <f>(Q93/'Income Statement'!Q8)*365</f>
        <v/>
      </c>
      <c r="R94" s="22">
        <f>(R93/'Income Statement'!R8)*182.5</f>
        <v/>
      </c>
      <c r="S94" s="22">
        <f>(S93/'Income Statement'!S8)*182.5</f>
        <v/>
      </c>
      <c r="T94" s="22">
        <f>(T93/'Income Statement'!T8)*365</f>
        <v/>
      </c>
      <c r="U94" s="22">
        <f>(U93/'Income Statement'!U8)*182.5</f>
        <v/>
      </c>
      <c r="V94" s="22">
        <f>(V93/'Income Statement'!V8)*182.5</f>
        <v/>
      </c>
      <c r="W94" s="22">
        <f>(W93/'Income Statement'!W8)*365</f>
        <v/>
      </c>
      <c r="X94" s="22">
        <f>(X93/'Income Statement'!X8)*183</f>
        <v/>
      </c>
      <c r="Y94" s="22">
        <f>(Y93/'Income Statement'!Y8)*183</f>
        <v/>
      </c>
      <c r="Z94" s="22">
        <f>(Z93/'Income Statement'!Z8)*366</f>
        <v/>
      </c>
      <c r="AA94" s="22">
        <f>(AA93/'Income Statement'!AA8)*182.5</f>
        <v/>
      </c>
      <c r="AB94" s="22">
        <f>(AB93/'Income Statement'!AB8)*182.5</f>
        <v/>
      </c>
      <c r="AC94" s="22">
        <f>(AC93/'Income Statement'!AC8)*365</f>
        <v/>
      </c>
      <c r="AD94" s="22">
        <f>(AD93/'Income Statement'!AD8)*182.5</f>
        <v/>
      </c>
      <c r="AE94" s="22">
        <f>(AE93/'Income Statement'!AE8)*182.5</f>
        <v/>
      </c>
      <c r="AF94" s="22">
        <f>(AF93/'Income Statement'!AF8)*365</f>
        <v/>
      </c>
      <c r="AG94" s="22">
        <f>(AG93/'Income Statement'!AG8)*182.5</f>
        <v/>
      </c>
      <c r="AH94" s="22">
        <f>(AH93/'Income Statement'!AH8)*182.5</f>
        <v/>
      </c>
      <c r="AI94" s="22">
        <f>(AI93/'Income Statement'!AI8)*365</f>
        <v/>
      </c>
    </row>
    <row r="95" ht="12.9" customHeight="1" s="343">
      <c r="B95" s="21" t="inlineStr">
        <is>
          <t>Operating Working Capital</t>
        </is>
      </c>
      <c r="C95" s="21">
        <f>'Balance Sheet'!C45+'Balance Sheet'!C48-'Balance Sheet'!C23</f>
        <v/>
      </c>
      <c r="D95" s="21">
        <f>'Balance Sheet'!D45+'Balance Sheet'!D48-'Balance Sheet'!D23</f>
        <v/>
      </c>
      <c r="E95" s="21">
        <f>'Balance Sheet'!E45+'Balance Sheet'!E48-'Balance Sheet'!E23</f>
        <v/>
      </c>
      <c r="F95" s="21">
        <f>'Balance Sheet'!F45+'Balance Sheet'!F48-'Balance Sheet'!F23</f>
        <v/>
      </c>
      <c r="G95" s="21">
        <f>'Balance Sheet'!G45+'Balance Sheet'!G48-'Balance Sheet'!G23</f>
        <v/>
      </c>
      <c r="H95" s="21">
        <f>'Balance Sheet'!H45+'Balance Sheet'!H48-'Balance Sheet'!H23</f>
        <v/>
      </c>
      <c r="I95" s="21">
        <f>'Balance Sheet'!I45+'Balance Sheet'!I48-'Balance Sheet'!I23</f>
        <v/>
      </c>
      <c r="J95" s="21">
        <f>'Balance Sheet'!J45+'Balance Sheet'!J48-'Balance Sheet'!J23</f>
        <v/>
      </c>
      <c r="K95" s="21">
        <f>'Balance Sheet'!K45+'Balance Sheet'!K48-'Balance Sheet'!K23</f>
        <v/>
      </c>
      <c r="L95" s="21">
        <f>'Balance Sheet'!L45+'Balance Sheet'!L48-'Balance Sheet'!L23</f>
        <v/>
      </c>
      <c r="M95" s="21">
        <f>'Balance Sheet'!M45+'Balance Sheet'!M48-'Balance Sheet'!M23</f>
        <v/>
      </c>
      <c r="N95" s="21">
        <f>'Balance Sheet'!N45+'Balance Sheet'!N48-'Balance Sheet'!N23</f>
        <v/>
      </c>
      <c r="O95" s="21">
        <f>'Balance Sheet'!O45+'Balance Sheet'!O48-'Balance Sheet'!O23</f>
        <v/>
      </c>
      <c r="P95" s="21">
        <f>'Balance Sheet'!P45+'Balance Sheet'!P48-'Balance Sheet'!P23</f>
        <v/>
      </c>
      <c r="Q95" s="21">
        <f>'Balance Sheet'!Q45+'Balance Sheet'!Q48-'Balance Sheet'!Q23</f>
        <v/>
      </c>
      <c r="R95" s="21">
        <f>'Balance Sheet'!R45+'Balance Sheet'!R48-'Balance Sheet'!R23</f>
        <v/>
      </c>
      <c r="S95" s="21">
        <f>'Balance Sheet'!S45+'Balance Sheet'!S48-'Balance Sheet'!S23</f>
        <v/>
      </c>
      <c r="T95" s="21">
        <f>'Balance Sheet'!T45+'Balance Sheet'!T48-'Balance Sheet'!T23</f>
        <v/>
      </c>
      <c r="U95" s="21">
        <f>'Balance Sheet'!U45+'Balance Sheet'!U48-'Balance Sheet'!U23</f>
        <v/>
      </c>
      <c r="V95" s="21">
        <f>'Balance Sheet'!V45+'Balance Sheet'!V48-'Balance Sheet'!V23</f>
        <v/>
      </c>
      <c r="W95" s="21">
        <f>'Balance Sheet'!W45+'Balance Sheet'!W48-'Balance Sheet'!W23</f>
        <v/>
      </c>
      <c r="X95" s="435">
        <f>'Balance Sheet'!X45+'Balance Sheet'!X48-'Balance Sheet'!X23</f>
        <v/>
      </c>
      <c r="Y95" s="435">
        <f>'Balance Sheet'!Y45+'Balance Sheet'!Y48-'Balance Sheet'!Y23</f>
        <v/>
      </c>
      <c r="Z95" s="435">
        <f>'Balance Sheet'!Z45+'Balance Sheet'!Z48-'Balance Sheet'!Z23</f>
        <v/>
      </c>
      <c r="AA95" s="435">
        <f>'Balance Sheet'!AA45+'Balance Sheet'!AA48-'Balance Sheet'!AA23</f>
        <v/>
      </c>
      <c r="AB95" s="435">
        <f>'Balance Sheet'!AB45+'Balance Sheet'!AB48-'Balance Sheet'!AB23</f>
        <v/>
      </c>
      <c r="AC95" s="435">
        <f>'Balance Sheet'!AC45+'Balance Sheet'!AC48-'Balance Sheet'!AC23</f>
        <v/>
      </c>
      <c r="AD95" s="435">
        <f>'Balance Sheet'!AD45+'Balance Sheet'!AD48-'Balance Sheet'!AD23</f>
        <v/>
      </c>
      <c r="AE95" s="435">
        <f>'Balance Sheet'!AE45+'Balance Sheet'!AE48-'Balance Sheet'!AE23</f>
        <v/>
      </c>
      <c r="AF95" s="435">
        <f>'Balance Sheet'!AF45+'Balance Sheet'!AF48-'Balance Sheet'!AF23</f>
        <v/>
      </c>
      <c r="AG95" s="435">
        <f>'Balance Sheet'!AG45+'Balance Sheet'!AG48-'Balance Sheet'!AG23</f>
        <v/>
      </c>
      <c r="AH95" s="435">
        <f>'Balance Sheet'!AH45+'Balance Sheet'!AH48-'Balance Sheet'!AH23</f>
        <v/>
      </c>
      <c r="AI95" s="435">
        <f>'Balance Sheet'!AI45+'Balance Sheet'!AI48-'Balance Sheet'!AI23</f>
        <v/>
      </c>
      <c r="AJ95" s="435" t="n"/>
    </row>
    <row r="96" ht="12.9" customHeight="1" s="343">
      <c r="B96" s="21" t="inlineStr">
        <is>
          <t>Difference</t>
        </is>
      </c>
      <c r="F96" s="21">
        <f>F95-E95</f>
        <v/>
      </c>
      <c r="G96" s="21">
        <f>G95-F95</f>
        <v/>
      </c>
      <c r="H96" s="21">
        <f>H95-E95</f>
        <v/>
      </c>
      <c r="I96" s="21">
        <f>I95-H95</f>
        <v/>
      </c>
      <c r="J96" s="21">
        <f>J95-I95</f>
        <v/>
      </c>
      <c r="K96" s="21">
        <f>K95-H95</f>
        <v/>
      </c>
      <c r="L96" s="21">
        <f>L95-K95</f>
        <v/>
      </c>
      <c r="M96" s="21">
        <f>M95-L95</f>
        <v/>
      </c>
      <c r="N96" s="21">
        <f>N95-K95</f>
        <v/>
      </c>
      <c r="O96" s="21">
        <f>O95-N95</f>
        <v/>
      </c>
      <c r="P96" s="21">
        <f>P95-O95</f>
        <v/>
      </c>
      <c r="Q96" s="21">
        <f>Q95-N95</f>
        <v/>
      </c>
      <c r="R96" s="21">
        <f>R95-Q95</f>
        <v/>
      </c>
      <c r="S96" s="21">
        <f>S95-R95</f>
        <v/>
      </c>
      <c r="T96" s="21">
        <f>T95-Q95</f>
        <v/>
      </c>
      <c r="U96" s="21">
        <f>U95-T95</f>
        <v/>
      </c>
      <c r="V96" s="21">
        <f>V95-U95</f>
        <v/>
      </c>
      <c r="W96" s="21">
        <f>W95-T95</f>
        <v/>
      </c>
      <c r="X96" s="21">
        <f>X95-W95</f>
        <v/>
      </c>
      <c r="Y96" s="21">
        <f>Y95-X95</f>
        <v/>
      </c>
      <c r="Z96" s="21">
        <f>Z95-W95</f>
        <v/>
      </c>
      <c r="AA96" s="21">
        <f>AA95-Z95</f>
        <v/>
      </c>
      <c r="AB96" s="21">
        <f>AB95-AA95</f>
        <v/>
      </c>
      <c r="AC96" s="21">
        <f>AC95-Z95</f>
        <v/>
      </c>
      <c r="AD96" s="21">
        <f>AD95-AC95</f>
        <v/>
      </c>
      <c r="AE96" s="21">
        <f>AE95-AD95</f>
        <v/>
      </c>
      <c r="AF96" s="21">
        <f>AF95-AC95</f>
        <v/>
      </c>
      <c r="AG96" s="21">
        <f>AG95-AF95</f>
        <v/>
      </c>
      <c r="AH96" s="21">
        <f>AH95-AG95</f>
        <v/>
      </c>
      <c r="AI96" s="21">
        <f>AI95-AF95</f>
        <v/>
      </c>
    </row>
    <row r="97" ht="12.9" customHeight="1" s="343">
      <c r="Q97" s="453" t="n"/>
      <c r="R97" s="453" t="n"/>
      <c r="S97" s="453" t="n"/>
      <c r="T97" s="454" t="n"/>
      <c r="U97" s="453" t="n"/>
      <c r="V97" s="453" t="n"/>
      <c r="W97" s="453" t="n"/>
      <c r="X97" s="453" t="n"/>
      <c r="Y97" s="453" t="n"/>
      <c r="Z97" s="453" t="n"/>
      <c r="AA97" s="453" t="n"/>
      <c r="AB97" s="453" t="n"/>
    </row>
    <row r="98" ht="12.9" customHeight="1" s="343"/>
    <row r="99" ht="12.9" customHeight="1" s="343"/>
    <row r="100" ht="12.9" customHeight="1" s="343"/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8E1C2F"/>
    <outlinePr summaryBelow="1" summaryRight="1"/>
    <pageSetUpPr/>
  </sheetPr>
  <dimension ref="A1:AI83"/>
  <sheetViews>
    <sheetView zoomScale="80" zoomScaleNormal="80" workbookViewId="0">
      <pane xSplit="2" ySplit="5" topLeftCell="E6" activePane="bottomRight" state="frozen"/>
      <selection pane="topRight" activeCell="C1" sqref="C1"/>
      <selection pane="bottomLeft" activeCell="A6" sqref="A6"/>
      <selection pane="bottomRight" activeCell="AJ31" sqref="AJ31"/>
    </sheetView>
  </sheetViews>
  <sheetFormatPr baseColWidth="8" defaultColWidth="10.5546875" defaultRowHeight="13.8" outlineLevelRow="1"/>
  <cols>
    <col width="2.6640625" customWidth="1" style="6" min="1" max="1"/>
    <col width="55.6640625" customWidth="1" style="12" min="2" max="2"/>
    <col hidden="1" outlineLevel="1" width="10.6640625" customWidth="1" style="12" min="3" max="4"/>
    <col collapsed="1" width="10.6640625" customWidth="1" style="12" min="5" max="5"/>
    <col hidden="1" outlineLevel="1" width="10.6640625" customWidth="1" style="12" min="6" max="7"/>
    <col collapsed="1" width="10.6640625" customWidth="1" style="12" min="8" max="8"/>
    <col hidden="1" outlineLevel="1" width="10.6640625" customWidth="1" style="12" min="9" max="10"/>
    <col collapsed="1" width="10.6640625" customWidth="1" style="12" min="11" max="11"/>
    <col hidden="1" outlineLevel="1" width="10.6640625" customWidth="1" style="12" min="12" max="13"/>
    <col collapsed="1" width="10.6640625" customWidth="1" style="12" min="14" max="14"/>
    <col hidden="1" outlineLevel="1" width="10.6640625" customWidth="1" style="12" min="15" max="16"/>
    <col collapsed="1" width="10.6640625" customWidth="1" style="12" min="17" max="17"/>
    <col hidden="1" outlineLevel="1" width="10.6640625" customWidth="1" style="12" min="18" max="19"/>
    <col collapsed="1" width="10.6640625" customWidth="1" style="12" min="20" max="20"/>
    <col hidden="1" outlineLevel="1" width="10.6640625" customWidth="1" style="12" min="21" max="22"/>
    <col collapsed="1" width="10.6640625" customWidth="1" style="12" min="23" max="23"/>
    <col hidden="1" outlineLevel="1" width="10.6640625" customWidth="1" style="12" min="24" max="25"/>
    <col collapsed="1" width="10.6640625" customWidth="1" style="12" min="26" max="26"/>
    <col hidden="1" outlineLevel="1" width="10.6640625" customWidth="1" style="12" min="27" max="28"/>
    <col collapsed="1" width="10.6640625" customWidth="1" style="12" min="29" max="29"/>
    <col hidden="1" outlineLevel="1" width="10.6640625" customWidth="1" style="12" min="30" max="31"/>
    <col collapsed="1" width="10.6640625" customWidth="1" style="12" min="32" max="32"/>
    <col hidden="1" outlineLevel="1" width="10.6640625" customWidth="1" style="12" min="33" max="34"/>
    <col collapsed="1" width="10.6640625" customWidth="1" style="12" min="35" max="35"/>
    <col width="10.6640625" customWidth="1" style="12" min="36" max="60"/>
    <col width="10.5546875" customWidth="1" style="12" min="61" max="16384"/>
  </cols>
  <sheetData>
    <row r="1" ht="12.9" customHeight="1" s="343">
      <c r="A1" s="436" t="n"/>
      <c r="B1" s="436" t="inlineStr">
        <is>
          <t>Anup Engineering Limited</t>
        </is>
      </c>
      <c r="C1" s="436" t="n"/>
      <c r="D1" s="436" t="n"/>
      <c r="E1" s="436" t="n"/>
      <c r="F1" s="436" t="n"/>
      <c r="G1" s="436" t="n"/>
      <c r="H1" s="436" t="n"/>
      <c r="I1" s="436" t="n"/>
      <c r="J1" s="436" t="n"/>
      <c r="K1" s="436" t="n"/>
      <c r="L1" s="436" t="n"/>
      <c r="M1" s="436" t="n"/>
      <c r="N1" s="436" t="n"/>
      <c r="O1" s="436" t="n"/>
      <c r="P1" s="436" t="n"/>
      <c r="Q1" s="436" t="n"/>
      <c r="R1" s="436" t="n"/>
      <c r="S1" s="436" t="n"/>
      <c r="T1" s="436" t="n"/>
    </row>
    <row r="2" ht="12.9" customHeight="1" s="343">
      <c r="A2" s="437" t="n"/>
      <c r="B2" s="12" t="inlineStr">
        <is>
          <t>Fiscal year ending 31st Mar, 2026</t>
        </is>
      </c>
      <c r="C2" s="383" t="inlineStr">
        <is>
          <t>H1</t>
        </is>
      </c>
      <c r="D2" s="383" t="inlineStr">
        <is>
          <t>H2</t>
        </is>
      </c>
      <c r="E2" s="383" t="inlineStr">
        <is>
          <t>FY</t>
        </is>
      </c>
      <c r="F2" s="383" t="inlineStr">
        <is>
          <t>H1</t>
        </is>
      </c>
      <c r="G2" s="383" t="inlineStr">
        <is>
          <t>H2</t>
        </is>
      </c>
      <c r="H2" s="383" t="inlineStr">
        <is>
          <t>FY</t>
        </is>
      </c>
      <c r="I2" s="383" t="inlineStr">
        <is>
          <t>H1</t>
        </is>
      </c>
      <c r="J2" s="383" t="inlineStr">
        <is>
          <t>H2</t>
        </is>
      </c>
      <c r="K2" s="383" t="inlineStr">
        <is>
          <t>FY</t>
        </is>
      </c>
      <c r="L2" s="383" t="inlineStr">
        <is>
          <t>H1</t>
        </is>
      </c>
      <c r="M2" s="383" t="inlineStr">
        <is>
          <t>H2</t>
        </is>
      </c>
      <c r="N2" s="383" t="inlineStr">
        <is>
          <t>FY</t>
        </is>
      </c>
      <c r="O2" s="383" t="inlineStr">
        <is>
          <t>H1</t>
        </is>
      </c>
      <c r="P2" s="383" t="inlineStr">
        <is>
          <t>H2</t>
        </is>
      </c>
      <c r="Q2" s="383" t="inlineStr">
        <is>
          <t>FY</t>
        </is>
      </c>
      <c r="R2" s="383" t="inlineStr">
        <is>
          <t>H1</t>
        </is>
      </c>
      <c r="S2" s="383" t="inlineStr">
        <is>
          <t>H2</t>
        </is>
      </c>
      <c r="T2" s="383" t="inlineStr">
        <is>
          <t>FY</t>
        </is>
      </c>
      <c r="U2" s="384" t="inlineStr">
        <is>
          <t>H1</t>
        </is>
      </c>
      <c r="V2" s="384" t="inlineStr">
        <is>
          <t>H2</t>
        </is>
      </c>
      <c r="W2" s="384" t="inlineStr">
        <is>
          <t>FY</t>
        </is>
      </c>
      <c r="X2" s="384" t="inlineStr">
        <is>
          <t>H1</t>
        </is>
      </c>
      <c r="Y2" s="384" t="inlineStr">
        <is>
          <t>H2</t>
        </is>
      </c>
      <c r="Z2" s="384" t="inlineStr">
        <is>
          <t>FY</t>
        </is>
      </c>
      <c r="AA2" s="384" t="inlineStr">
        <is>
          <t>H1</t>
        </is>
      </c>
      <c r="AB2" s="384" t="inlineStr">
        <is>
          <t>H2</t>
        </is>
      </c>
      <c r="AC2" s="384" t="inlineStr">
        <is>
          <t>FY</t>
        </is>
      </c>
      <c r="AD2" s="384" t="inlineStr">
        <is>
          <t>H1</t>
        </is>
      </c>
      <c r="AE2" s="384" t="inlineStr">
        <is>
          <t>H2</t>
        </is>
      </c>
      <c r="AF2" s="384" t="inlineStr">
        <is>
          <t>FY</t>
        </is>
      </c>
      <c r="AG2" s="384" t="inlineStr">
        <is>
          <t>H1</t>
        </is>
      </c>
      <c r="AH2" s="384" t="inlineStr">
        <is>
          <t>H2</t>
        </is>
      </c>
      <c r="AI2" s="384" t="inlineStr">
        <is>
          <t>FY</t>
        </is>
      </c>
    </row>
    <row r="3" ht="12.9" customHeight="1" s="343">
      <c r="A3" s="437" t="n"/>
      <c r="B3" s="12" t="inlineStr">
        <is>
          <t>All amounts in ₹ crores except per share data</t>
        </is>
      </c>
      <c r="C3" s="346" t="n">
        <v>2021</v>
      </c>
      <c r="D3" s="346" t="n">
        <v>2021</v>
      </c>
      <c r="E3" s="346" t="n">
        <v>2021</v>
      </c>
      <c r="F3" s="347" t="n">
        <v>2022</v>
      </c>
      <c r="G3" s="347" t="n">
        <v>2022</v>
      </c>
      <c r="H3" s="347" t="n">
        <v>2022</v>
      </c>
      <c r="I3" s="348" t="n">
        <v>2023</v>
      </c>
      <c r="J3" s="348" t="n">
        <v>2023</v>
      </c>
      <c r="K3" s="348" t="n">
        <v>2023</v>
      </c>
      <c r="L3" s="348" t="n">
        <v>2024</v>
      </c>
      <c r="M3" s="348" t="n">
        <v>2024</v>
      </c>
      <c r="N3" s="348" t="n">
        <v>2024</v>
      </c>
      <c r="O3" s="348" t="n">
        <v>2025</v>
      </c>
      <c r="P3" s="348" t="n">
        <v>2025</v>
      </c>
      <c r="Q3" s="348" t="n">
        <v>2025</v>
      </c>
      <c r="R3" s="348" t="n">
        <v>2026</v>
      </c>
      <c r="S3" s="348" t="n">
        <v>2026</v>
      </c>
      <c r="T3" s="348" t="n">
        <v>2026</v>
      </c>
      <c r="U3" s="349" t="inlineStr">
        <is>
          <t>2027 E</t>
        </is>
      </c>
      <c r="V3" s="349" t="inlineStr">
        <is>
          <t>2027 E</t>
        </is>
      </c>
      <c r="W3" s="349" t="inlineStr">
        <is>
          <t>2027 E</t>
        </is>
      </c>
      <c r="X3" s="349" t="inlineStr">
        <is>
          <t>2028 E</t>
        </is>
      </c>
      <c r="Y3" s="349" t="inlineStr">
        <is>
          <t>2028 E</t>
        </is>
      </c>
      <c r="Z3" s="349" t="inlineStr">
        <is>
          <t>2028 E</t>
        </is>
      </c>
      <c r="AA3" s="349" t="inlineStr">
        <is>
          <t>2029 E</t>
        </is>
      </c>
      <c r="AB3" s="349" t="inlineStr">
        <is>
          <t>2029 E</t>
        </is>
      </c>
      <c r="AC3" s="349" t="inlineStr">
        <is>
          <t>2029 E</t>
        </is>
      </c>
      <c r="AD3" s="349" t="inlineStr">
        <is>
          <t>2030 E</t>
        </is>
      </c>
      <c r="AE3" s="349" t="inlineStr">
        <is>
          <t>2030 E</t>
        </is>
      </c>
      <c r="AF3" s="349" t="inlineStr">
        <is>
          <t>2030 E</t>
        </is>
      </c>
      <c r="AG3" s="349" t="inlineStr">
        <is>
          <t>2031 E</t>
        </is>
      </c>
      <c r="AH3" s="349" t="inlineStr">
        <is>
          <t>2031 E</t>
        </is>
      </c>
      <c r="AI3" s="349" t="inlineStr">
        <is>
          <t>2031 E</t>
        </is>
      </c>
    </row>
    <row r="4" ht="12.9" customHeight="1" s="343">
      <c r="A4" s="437" t="n"/>
      <c r="B4" s="4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6" t="n"/>
    </row>
    <row r="5" ht="12.9" customFormat="1" customHeight="1" s="360">
      <c r="B5" s="354" t="inlineStr">
        <is>
          <t>CASH FLOW STATEMENT</t>
        </is>
      </c>
      <c r="L5" s="473" t="n"/>
      <c r="M5" s="473" t="n"/>
      <c r="N5" s="473" t="n"/>
      <c r="O5" s="473" t="n"/>
      <c r="P5" s="473" t="n"/>
    </row>
    <row r="6" ht="12.9" customHeight="1" s="343">
      <c r="A6" s="12" t="n"/>
      <c r="B6" s="6" t="n"/>
      <c r="L6" s="466" t="n"/>
      <c r="M6" s="466" t="n"/>
      <c r="N6" s="466" t="n"/>
      <c r="O6" s="466" t="n"/>
      <c r="P6" s="466" t="n"/>
    </row>
    <row r="7" ht="12.9" customHeight="1" s="343">
      <c r="B7" s="13" t="inlineStr">
        <is>
          <t>Cash Flow from Operating Activities</t>
        </is>
      </c>
      <c r="L7" s="466" t="n"/>
      <c r="M7" s="466" t="n"/>
      <c r="N7" s="466" t="n"/>
      <c r="O7" s="466" t="n"/>
      <c r="P7" s="466" t="n"/>
      <c r="Q7" s="466" t="n"/>
      <c r="R7" s="466" t="n"/>
    </row>
    <row r="8" ht="12.9" customHeight="1" s="343">
      <c r="B8" s="13" t="inlineStr">
        <is>
          <t>Profit Before Tax</t>
        </is>
      </c>
      <c r="C8" s="452" t="n">
        <v>23.2984</v>
      </c>
      <c r="D8" s="466">
        <f>E8-C8</f>
        <v/>
      </c>
      <c r="E8" s="452" t="n">
        <v>61.465</v>
      </c>
      <c r="F8" s="452" t="n">
        <v>30.1529</v>
      </c>
      <c r="G8" s="466">
        <f>H8-F8</f>
        <v/>
      </c>
      <c r="H8" s="452" t="n">
        <v>61.12220000000001</v>
      </c>
      <c r="I8" s="452" t="n">
        <v>24.0461</v>
      </c>
      <c r="J8" s="466">
        <f>K8-I8</f>
        <v/>
      </c>
      <c r="K8" s="452" t="n">
        <v>69.9982</v>
      </c>
      <c r="L8" s="452" t="n">
        <v>54.1866</v>
      </c>
      <c r="M8" s="466">
        <f>N8-L8</f>
        <v/>
      </c>
      <c r="N8" s="452" t="n">
        <v>116.1759</v>
      </c>
      <c r="O8" s="452" t="n">
        <v>67.01689999999999</v>
      </c>
      <c r="P8" s="466">
        <f>Q8-O8</f>
        <v/>
      </c>
      <c r="Q8" s="452" t="n">
        <v>143.2002</v>
      </c>
      <c r="R8" s="452" t="n">
        <v>78.2991</v>
      </c>
      <c r="S8" s="466">
        <f>T8-R8</f>
        <v/>
      </c>
      <c r="T8" s="452" t="n">
        <v>139.3005</v>
      </c>
      <c r="U8" s="453">
        <f>'Income Statement'!U32</f>
        <v/>
      </c>
      <c r="V8" s="453">
        <f>'Income Statement'!V32</f>
        <v/>
      </c>
      <c r="W8" s="453">
        <f>U8+V8</f>
        <v/>
      </c>
      <c r="X8" s="453">
        <f>'Income Statement'!X32</f>
        <v/>
      </c>
      <c r="Y8" s="453">
        <f>'Income Statement'!Y32</f>
        <v/>
      </c>
      <c r="Z8" s="453">
        <f>X8+Y8</f>
        <v/>
      </c>
      <c r="AA8" s="453">
        <f>'Income Statement'!AA32</f>
        <v/>
      </c>
      <c r="AB8" s="453">
        <f>'Income Statement'!AB32</f>
        <v/>
      </c>
      <c r="AC8" s="453">
        <f>AA8+AB8</f>
        <v/>
      </c>
      <c r="AD8" s="453">
        <f>'Income Statement'!AD32</f>
        <v/>
      </c>
      <c r="AE8" s="453">
        <f>'Income Statement'!AE32</f>
        <v/>
      </c>
      <c r="AF8" s="453">
        <f>AD8+AE8</f>
        <v/>
      </c>
      <c r="AG8" s="453">
        <f>'Income Statement'!AG32</f>
        <v/>
      </c>
      <c r="AH8" s="453">
        <f>'Income Statement'!AH32</f>
        <v/>
      </c>
      <c r="AI8" s="453">
        <f>AG8+AH8</f>
        <v/>
      </c>
    </row>
    <row r="9" ht="12.9" customHeight="1" s="343">
      <c r="B9" s="13" t="inlineStr">
        <is>
          <t>Adjustments for:</t>
        </is>
      </c>
      <c r="C9" s="452" t="n"/>
      <c r="D9" s="466">
        <f>E9-C9</f>
        <v/>
      </c>
      <c r="E9" s="452" t="n">
        <v>0</v>
      </c>
      <c r="F9" s="452" t="n">
        <v>0</v>
      </c>
      <c r="G9" s="466">
        <f>H9-F9</f>
        <v/>
      </c>
      <c r="H9" s="452" t="n">
        <v>0</v>
      </c>
      <c r="I9" s="452" t="n">
        <v>0</v>
      </c>
      <c r="J9" s="466">
        <f>K9-I9</f>
        <v/>
      </c>
      <c r="K9" s="452" t="n">
        <v>0</v>
      </c>
      <c r="L9" s="452" t="n">
        <v>0</v>
      </c>
      <c r="M9" s="466">
        <f>N9-L9</f>
        <v/>
      </c>
      <c r="N9" s="452" t="n">
        <v>0</v>
      </c>
      <c r="O9" s="452" t="n">
        <v>0</v>
      </c>
      <c r="P9" s="466">
        <f>Q9-O9</f>
        <v/>
      </c>
      <c r="Q9" s="452" t="n">
        <v>0</v>
      </c>
      <c r="R9" s="452" t="n">
        <v>0</v>
      </c>
      <c r="S9" s="466">
        <f>T9-R9</f>
        <v/>
      </c>
      <c r="T9" s="452" t="n">
        <v>0</v>
      </c>
      <c r="W9" s="453">
        <f>U9+V9</f>
        <v/>
      </c>
      <c r="Z9" s="453">
        <f>X9+Y9</f>
        <v/>
      </c>
      <c r="AC9" s="453">
        <f>AA9+AB9</f>
        <v/>
      </c>
      <c r="AF9" s="453">
        <f>AD9+AE9</f>
        <v/>
      </c>
      <c r="AI9" s="453">
        <f>AG9+AH9</f>
        <v/>
      </c>
    </row>
    <row r="10" ht="12.9" customHeight="1" s="343">
      <c r="B10" s="16" t="inlineStr">
        <is>
          <t>Depreciation and Amortization expenses</t>
        </is>
      </c>
      <c r="C10" s="452" t="n">
        <v>4.5149</v>
      </c>
      <c r="D10" s="466">
        <f>E10-C10</f>
        <v/>
      </c>
      <c r="E10" s="452" t="n">
        <v>10.5059</v>
      </c>
      <c r="F10" s="452" t="n">
        <v>5.7862</v>
      </c>
      <c r="G10" s="466">
        <f>H10-F10</f>
        <v/>
      </c>
      <c r="H10" s="452" t="n">
        <v>11.5922</v>
      </c>
      <c r="I10" s="452" t="n">
        <v>5.8629</v>
      </c>
      <c r="J10" s="466">
        <f>K10-I10</f>
        <v/>
      </c>
      <c r="K10" s="452" t="n">
        <v>12.5405</v>
      </c>
      <c r="L10" s="452" t="n">
        <v>7.0289</v>
      </c>
      <c r="M10" s="466">
        <f>N10-L10</f>
        <v/>
      </c>
      <c r="N10" s="452" t="n">
        <v>17.464</v>
      </c>
      <c r="O10" s="452" t="n">
        <v>11.3557</v>
      </c>
      <c r="P10" s="466">
        <f>Q10-O10</f>
        <v/>
      </c>
      <c r="Q10" s="452" t="n">
        <v>23.819</v>
      </c>
      <c r="R10" s="452" t="n">
        <v>13.2423</v>
      </c>
      <c r="S10" s="466">
        <f>T10-R10</f>
        <v/>
      </c>
      <c r="T10" s="452" t="n">
        <v>27.841</v>
      </c>
      <c r="U10" s="453">
        <f>'Balance Sheet'!U63</f>
        <v/>
      </c>
      <c r="V10" s="453">
        <f>'Balance Sheet'!V63</f>
        <v/>
      </c>
      <c r="W10" s="453">
        <f>U10+V10</f>
        <v/>
      </c>
      <c r="X10" s="453">
        <f>'Balance Sheet'!X63</f>
        <v/>
      </c>
      <c r="Y10" s="453">
        <f>'Balance Sheet'!Y63</f>
        <v/>
      </c>
      <c r="Z10" s="453">
        <f>X10+Y10</f>
        <v/>
      </c>
      <c r="AA10" s="453">
        <f>'Balance Sheet'!AA63</f>
        <v/>
      </c>
      <c r="AB10" s="453">
        <f>'Balance Sheet'!AB63</f>
        <v/>
      </c>
      <c r="AC10" s="453">
        <f>AA10+AB10</f>
        <v/>
      </c>
      <c r="AD10" s="453">
        <f>'Balance Sheet'!AD63</f>
        <v/>
      </c>
      <c r="AE10" s="453">
        <f>'Balance Sheet'!AE63</f>
        <v/>
      </c>
      <c r="AF10" s="453">
        <f>AD10+AE10</f>
        <v/>
      </c>
      <c r="AG10" s="453">
        <f>'Balance Sheet'!AG63</f>
        <v/>
      </c>
      <c r="AH10" s="453">
        <f>'Balance Sheet'!AH63</f>
        <v/>
      </c>
      <c r="AI10" s="453">
        <f>AG10+AH10</f>
        <v/>
      </c>
    </row>
    <row r="11" hidden="1" outlineLevel="1" ht="12.9" customHeight="1" s="343">
      <c r="B11" s="16" t="inlineStr">
        <is>
          <t>Addition/(Deductions) to Right to use Assets</t>
        </is>
      </c>
      <c r="C11" s="452" t="n">
        <v>0</v>
      </c>
      <c r="D11" s="452" t="n">
        <v>0</v>
      </c>
      <c r="E11" s="452" t="n">
        <v>0</v>
      </c>
      <c r="F11" s="452" t="n">
        <v>0</v>
      </c>
      <c r="G11" s="452" t="n">
        <v>0</v>
      </c>
      <c r="H11" s="452" t="n">
        <v>0</v>
      </c>
      <c r="I11" s="452" t="n">
        <v>0</v>
      </c>
      <c r="J11" s="452" t="n">
        <v>0</v>
      </c>
      <c r="K11" s="452" t="n">
        <v>0</v>
      </c>
      <c r="L11" s="452" t="n">
        <v>0</v>
      </c>
      <c r="M11" s="452" t="n">
        <v>0</v>
      </c>
      <c r="N11" s="452" t="n">
        <v>0</v>
      </c>
      <c r="O11" s="452" t="n">
        <v>0</v>
      </c>
      <c r="P11" s="452" t="n">
        <v>0</v>
      </c>
      <c r="Q11" s="452" t="n">
        <v>0</v>
      </c>
      <c r="R11" s="452" t="n">
        <v>0</v>
      </c>
      <c r="S11" s="452" t="n">
        <v>0</v>
      </c>
      <c r="T11" s="452" t="n">
        <v>0</v>
      </c>
      <c r="U11" s="453">
        <f>'Balance Sheet'!T40-'Balance Sheet'!U40</f>
        <v/>
      </c>
      <c r="V11" s="453">
        <f>'Balance Sheet'!U40-'Balance Sheet'!V40</f>
        <v/>
      </c>
      <c r="W11" s="453">
        <f>U11+V11</f>
        <v/>
      </c>
      <c r="X11" s="453">
        <f>'Balance Sheet'!W40-'Balance Sheet'!X40</f>
        <v/>
      </c>
      <c r="Y11" s="453">
        <f>'Balance Sheet'!X40-'Balance Sheet'!Y40</f>
        <v/>
      </c>
      <c r="Z11" s="453">
        <f>X11+Y11</f>
        <v/>
      </c>
      <c r="AA11" s="453">
        <f>'Balance Sheet'!Z40-'Balance Sheet'!AA40</f>
        <v/>
      </c>
      <c r="AB11" s="453">
        <f>'Balance Sheet'!AA40-'Balance Sheet'!AB40</f>
        <v/>
      </c>
      <c r="AC11" s="453">
        <f>AA11+AB11</f>
        <v/>
      </c>
      <c r="AD11" s="453">
        <f>'Balance Sheet'!AC40-'Balance Sheet'!AD40</f>
        <v/>
      </c>
      <c r="AE11" s="453">
        <f>'Balance Sheet'!AD40-'Balance Sheet'!AE40</f>
        <v/>
      </c>
      <c r="AF11" s="453">
        <f>AD11+AE11</f>
        <v/>
      </c>
      <c r="AG11" s="453">
        <f>'Balance Sheet'!AF40-'Balance Sheet'!AG40</f>
        <v/>
      </c>
      <c r="AH11" s="453">
        <f>'Balance Sheet'!AG40-'Balance Sheet'!AH40</f>
        <v/>
      </c>
      <c r="AI11" s="453">
        <f>AG11+AH11</f>
        <v/>
      </c>
    </row>
    <row r="12" hidden="1" outlineLevel="1" ht="12.9" customHeight="1" s="343">
      <c r="B12" s="16" t="inlineStr">
        <is>
          <t>Increase/(Decrease) in Long term provisions</t>
        </is>
      </c>
      <c r="C12" s="452" t="n">
        <v>0</v>
      </c>
      <c r="D12" s="452" t="n">
        <v>0</v>
      </c>
      <c r="E12" s="452" t="n">
        <v>0</v>
      </c>
      <c r="F12" s="452" t="n">
        <v>0</v>
      </c>
      <c r="G12" s="452" t="n">
        <v>0</v>
      </c>
      <c r="H12" s="452" t="n">
        <v>0</v>
      </c>
      <c r="I12" s="452" t="n">
        <v>0</v>
      </c>
      <c r="J12" s="452" t="n">
        <v>0</v>
      </c>
      <c r="K12" s="452" t="n">
        <v>0</v>
      </c>
      <c r="L12" s="452" t="n">
        <v>0</v>
      </c>
      <c r="M12" s="452" t="n">
        <v>0</v>
      </c>
      <c r="N12" s="452" t="n">
        <v>0</v>
      </c>
      <c r="O12" s="452" t="n">
        <v>0</v>
      </c>
      <c r="P12" s="452" t="n">
        <v>0</v>
      </c>
      <c r="Q12" s="452" t="n">
        <v>0</v>
      </c>
      <c r="R12" s="452" t="n">
        <v>0</v>
      </c>
      <c r="S12" s="452" t="n">
        <v>0</v>
      </c>
      <c r="T12" s="452" t="n">
        <v>0</v>
      </c>
      <c r="U12" s="453">
        <f>'Balance Sheet'!U15-'Balance Sheet'!T15</f>
        <v/>
      </c>
      <c r="V12" s="453">
        <f>'Balance Sheet'!V15-'Balance Sheet'!U15</f>
        <v/>
      </c>
      <c r="W12" s="453">
        <f>U12+V12</f>
        <v/>
      </c>
      <c r="X12" s="453">
        <f>'Balance Sheet'!X15-'Balance Sheet'!W15</f>
        <v/>
      </c>
      <c r="Y12" s="453">
        <f>'Balance Sheet'!Y15-'Balance Sheet'!X15</f>
        <v/>
      </c>
      <c r="Z12" s="453">
        <f>X12+Y12</f>
        <v/>
      </c>
      <c r="AA12" s="453">
        <f>'Balance Sheet'!AA15-'Balance Sheet'!Z15</f>
        <v/>
      </c>
      <c r="AB12" s="453">
        <f>'Balance Sheet'!AB15-'Balance Sheet'!AA15</f>
        <v/>
      </c>
      <c r="AC12" s="453">
        <f>AA12+AB12</f>
        <v/>
      </c>
      <c r="AD12" s="453">
        <f>'Balance Sheet'!AD15-'Balance Sheet'!AC15</f>
        <v/>
      </c>
      <c r="AE12" s="453">
        <f>'Balance Sheet'!AE15-'Balance Sheet'!AD15</f>
        <v/>
      </c>
      <c r="AF12" s="453">
        <f>AD12+AE12</f>
        <v/>
      </c>
      <c r="AG12" s="453">
        <f>'Balance Sheet'!AG15-'Balance Sheet'!AF15</f>
        <v/>
      </c>
      <c r="AH12" s="453">
        <f>'Balance Sheet'!AH15-'Balance Sheet'!AG15</f>
        <v/>
      </c>
      <c r="AI12" s="453">
        <f>AG12+AH12</f>
        <v/>
      </c>
    </row>
    <row r="13" hidden="1" outlineLevel="1" ht="12.9" customHeight="1" s="343">
      <c r="B13" s="16" t="inlineStr">
        <is>
          <t>Deferred Tax (Income)/Expense</t>
        </is>
      </c>
      <c r="C13" s="452" t="n">
        <v>0</v>
      </c>
      <c r="D13" s="452" t="n">
        <v>0</v>
      </c>
      <c r="E13" s="452" t="n">
        <v>0</v>
      </c>
      <c r="F13" s="452" t="n">
        <v>0</v>
      </c>
      <c r="G13" s="452" t="n">
        <v>0</v>
      </c>
      <c r="H13" s="452" t="n">
        <v>0</v>
      </c>
      <c r="I13" s="452" t="n">
        <v>0</v>
      </c>
      <c r="J13" s="452" t="n">
        <v>0</v>
      </c>
      <c r="K13" s="452" t="n">
        <v>0</v>
      </c>
      <c r="L13" s="452" t="n">
        <v>0</v>
      </c>
      <c r="M13" s="452" t="n">
        <v>0</v>
      </c>
      <c r="N13" s="452" t="n">
        <v>0</v>
      </c>
      <c r="O13" s="452" t="n">
        <v>0</v>
      </c>
      <c r="P13" s="452" t="n">
        <v>0</v>
      </c>
      <c r="Q13" s="452" t="n">
        <v>0</v>
      </c>
      <c r="R13" s="452" t="n">
        <v>0</v>
      </c>
      <c r="S13" s="452" t="n">
        <v>0</v>
      </c>
      <c r="T13" s="452" t="n">
        <v>0</v>
      </c>
      <c r="U13" s="453">
        <f>'Balance Sheet'!U16-'Balance Sheet'!T16</f>
        <v/>
      </c>
      <c r="V13" s="453">
        <f>'Balance Sheet'!V16-'Balance Sheet'!U16</f>
        <v/>
      </c>
      <c r="W13" s="453">
        <f>U13+V13</f>
        <v/>
      </c>
      <c r="X13" s="453">
        <f>'Balance Sheet'!X16-'Balance Sheet'!W16</f>
        <v/>
      </c>
      <c r="Y13" s="453">
        <f>'Balance Sheet'!Y16-'Balance Sheet'!X16</f>
        <v/>
      </c>
      <c r="Z13" s="453">
        <f>X13+Y13</f>
        <v/>
      </c>
      <c r="AA13" s="453">
        <f>'Balance Sheet'!AA16-'Balance Sheet'!Z16</f>
        <v/>
      </c>
      <c r="AB13" s="453">
        <f>'Balance Sheet'!AB16-'Balance Sheet'!AA16</f>
        <v/>
      </c>
      <c r="AC13" s="453">
        <f>AA13+AB13</f>
        <v/>
      </c>
      <c r="AD13" s="453">
        <f>'Balance Sheet'!AD16-'Balance Sheet'!AC16</f>
        <v/>
      </c>
      <c r="AE13" s="453">
        <f>'Balance Sheet'!AE16-'Balance Sheet'!AD16</f>
        <v/>
      </c>
      <c r="AF13" s="453">
        <f>AD13+AE13</f>
        <v/>
      </c>
      <c r="AG13" s="453">
        <f>'Balance Sheet'!AG16-'Balance Sheet'!AF16</f>
        <v/>
      </c>
      <c r="AH13" s="453">
        <f>'Balance Sheet'!AH16-'Balance Sheet'!AG16</f>
        <v/>
      </c>
      <c r="AI13" s="453">
        <f>AG13+AH13</f>
        <v/>
      </c>
    </row>
    <row r="14" hidden="1" outlineLevel="1" ht="12.9" customHeight="1" s="343">
      <c r="B14" s="16" t="inlineStr">
        <is>
          <t>Interest income from financial assets measured at amortised cost</t>
        </is>
      </c>
      <c r="C14" s="452" t="n">
        <v>-0.8366</v>
      </c>
      <c r="D14" s="466">
        <f>E14-C14</f>
        <v/>
      </c>
      <c r="E14" s="452" t="n">
        <v>-2.0066</v>
      </c>
      <c r="F14" s="452" t="n">
        <v>-0.8986</v>
      </c>
      <c r="G14" s="466">
        <f>H14-F14</f>
        <v/>
      </c>
      <c r="H14" s="452" t="n">
        <v>-3.5992</v>
      </c>
      <c r="I14" s="452" t="n">
        <v>-0.6182</v>
      </c>
      <c r="J14" s="466">
        <f>K14-I14</f>
        <v/>
      </c>
      <c r="K14" s="452" t="n">
        <v>-0.9531000000000001</v>
      </c>
      <c r="L14" s="452" t="n">
        <v>-0.08960000000000001</v>
      </c>
      <c r="M14" s="466">
        <f>N14-L14</f>
        <v/>
      </c>
      <c r="N14" s="452" t="n">
        <v>-1.8442</v>
      </c>
      <c r="O14" s="452" t="n">
        <v>-0.4494</v>
      </c>
      <c r="P14" s="466">
        <f>Q14-O14</f>
        <v/>
      </c>
      <c r="Q14" s="452" t="n">
        <v>-0.89</v>
      </c>
      <c r="R14" s="452" t="n">
        <v>-0.5536</v>
      </c>
      <c r="S14" s="466">
        <f>T14-R14</f>
        <v/>
      </c>
      <c r="T14" s="452" t="n">
        <v>-0.8627</v>
      </c>
      <c r="U14" s="453" t="n"/>
      <c r="V14" s="453" t="n"/>
      <c r="W14" s="453">
        <f>U14+V14</f>
        <v/>
      </c>
      <c r="X14" s="453" t="n"/>
      <c r="Y14" s="453" t="n"/>
      <c r="Z14" s="453">
        <f>X14+Y14</f>
        <v/>
      </c>
      <c r="AA14" s="453" t="n"/>
      <c r="AB14" s="453" t="n"/>
      <c r="AC14" s="453">
        <f>AA14+AB14</f>
        <v/>
      </c>
      <c r="AD14" s="453" t="n"/>
      <c r="AE14" s="453" t="n"/>
      <c r="AF14" s="453">
        <f>AD14+AE14</f>
        <v/>
      </c>
      <c r="AG14" s="453" t="n"/>
      <c r="AH14" s="453" t="n"/>
      <c r="AI14" s="453">
        <f>AG14+AH14</f>
        <v/>
      </c>
    </row>
    <row r="15" hidden="1" outlineLevel="1" ht="12.9" customHeight="1" s="343">
      <c r="B15" s="16" t="inlineStr">
        <is>
          <t>Gain on sale of current investments</t>
        </is>
      </c>
      <c r="C15" s="452" t="n">
        <v>-0.7108</v>
      </c>
      <c r="D15" s="466">
        <f>E15-C15</f>
        <v/>
      </c>
      <c r="E15" s="452" t="n">
        <v>-0.7108</v>
      </c>
      <c r="F15" s="452" t="n">
        <v>0</v>
      </c>
      <c r="G15" s="466">
        <f>H15-F15</f>
        <v/>
      </c>
      <c r="H15" s="452" t="n">
        <v>0</v>
      </c>
      <c r="I15" s="452" t="n">
        <v>0</v>
      </c>
      <c r="J15" s="466">
        <f>K15-I15</f>
        <v/>
      </c>
      <c r="K15" s="452" t="n">
        <v>0</v>
      </c>
      <c r="L15" s="452" t="n">
        <v>0</v>
      </c>
      <c r="M15" s="466">
        <f>N15-L15</f>
        <v/>
      </c>
      <c r="N15" s="452" t="n">
        <v>-2.8948</v>
      </c>
      <c r="O15" s="452" t="n">
        <v>-2.6097</v>
      </c>
      <c r="P15" s="466">
        <f>Q15-O15</f>
        <v/>
      </c>
      <c r="Q15" s="452" t="n">
        <v>-1.8109</v>
      </c>
      <c r="R15" s="452" t="n">
        <v>-0.07769999999999999</v>
      </c>
      <c r="S15" s="466">
        <f>T15-R15</f>
        <v/>
      </c>
      <c r="T15" s="452" t="n">
        <v>-0.1208</v>
      </c>
      <c r="W15" s="453">
        <f>U15+V15</f>
        <v/>
      </c>
      <c r="Z15" s="453">
        <f>X15+Y15</f>
        <v/>
      </c>
      <c r="AC15" s="453">
        <f>AA15+AB15</f>
        <v/>
      </c>
      <c r="AF15" s="453">
        <f>AD15+AE15</f>
        <v/>
      </c>
      <c r="AI15" s="453">
        <f>AG15+AH15</f>
        <v/>
      </c>
    </row>
    <row r="16" hidden="1" outlineLevel="1" ht="12.9" customHeight="1" s="343">
      <c r="B16" s="16" t="inlineStr">
        <is>
          <t>Change in fair valuation of current investments</t>
        </is>
      </c>
      <c r="C16" s="452" t="n">
        <v>0</v>
      </c>
      <c r="D16" s="466">
        <f>E16-C16</f>
        <v/>
      </c>
      <c r="E16" s="452" t="n">
        <v>0</v>
      </c>
      <c r="F16" s="452" t="n">
        <v>0</v>
      </c>
      <c r="G16" s="466">
        <f>H16-F16</f>
        <v/>
      </c>
      <c r="H16" s="452" t="n">
        <v>0</v>
      </c>
      <c r="I16" s="452" t="n">
        <v>0</v>
      </c>
      <c r="J16" s="466">
        <f>K16-I16</f>
        <v/>
      </c>
      <c r="K16" s="452" t="n">
        <v>0</v>
      </c>
      <c r="L16" s="452" t="n">
        <v>-1.4636</v>
      </c>
      <c r="M16" s="466">
        <f>N16-L16</f>
        <v/>
      </c>
      <c r="N16" s="452" t="n">
        <v>-1.6486</v>
      </c>
      <c r="O16" s="452" t="n">
        <v>0.1398</v>
      </c>
      <c r="P16" s="466">
        <f>Q16-O16</f>
        <v/>
      </c>
      <c r="Q16" s="452" t="n">
        <v>-1.196</v>
      </c>
      <c r="R16" s="452" t="n">
        <v>0</v>
      </c>
      <c r="S16" s="466">
        <f>T16-R16</f>
        <v/>
      </c>
      <c r="T16" s="452" t="n">
        <v>0</v>
      </c>
      <c r="W16" s="453">
        <f>U16+V16</f>
        <v/>
      </c>
      <c r="Z16" s="453">
        <f>X16+Y16</f>
        <v/>
      </c>
      <c r="AC16" s="453">
        <f>AA16+AB16</f>
        <v/>
      </c>
      <c r="AF16" s="453">
        <f>AD16+AE16</f>
        <v/>
      </c>
      <c r="AI16" s="453">
        <f>AG16+AH16</f>
        <v/>
      </c>
    </row>
    <row r="17" collapsed="1" ht="12.9" customHeight="1" s="343">
      <c r="B17" s="16" t="inlineStr">
        <is>
          <t>Finance Costs</t>
        </is>
      </c>
      <c r="C17" s="452" t="n">
        <v>0.2708</v>
      </c>
      <c r="D17" s="466">
        <f>E17-C17</f>
        <v/>
      </c>
      <c r="E17" s="452" t="n">
        <v>0.3444</v>
      </c>
      <c r="F17" s="452" t="n">
        <v>0.2223</v>
      </c>
      <c r="G17" s="466">
        <f>H17-F17</f>
        <v/>
      </c>
      <c r="H17" s="452" t="n">
        <v>1.0315</v>
      </c>
      <c r="I17" s="452" t="n">
        <v>0.5961</v>
      </c>
      <c r="J17" s="466">
        <f>K17-I17</f>
        <v/>
      </c>
      <c r="K17" s="452" t="n">
        <v>1.4083</v>
      </c>
      <c r="L17" s="452" t="n">
        <v>0.2067</v>
      </c>
      <c r="M17" s="466">
        <f>N17-L17</f>
        <v/>
      </c>
      <c r="N17" s="452" t="n">
        <v>2.1744</v>
      </c>
      <c r="O17" s="452" t="n">
        <v>1.9606</v>
      </c>
      <c r="P17" s="466">
        <f>Q17-O17</f>
        <v/>
      </c>
      <c r="Q17" s="452" t="n">
        <v>3.3389</v>
      </c>
      <c r="R17" s="452" t="n">
        <v>2.9776</v>
      </c>
      <c r="S17" s="466">
        <f>T17-R17</f>
        <v/>
      </c>
      <c r="T17" s="452" t="n">
        <v>8.6983</v>
      </c>
      <c r="U17" s="453">
        <f>'Income Statement'!U31</f>
        <v/>
      </c>
      <c r="V17" s="453">
        <f>'Income Statement'!V31</f>
        <v/>
      </c>
      <c r="W17" s="453">
        <f>U17+V17</f>
        <v/>
      </c>
      <c r="X17" s="453">
        <f>'Income Statement'!X31</f>
        <v/>
      </c>
      <c r="Y17" s="453">
        <f>'Income Statement'!Y31</f>
        <v/>
      </c>
      <c r="Z17" s="453">
        <f>X17+Y17</f>
        <v/>
      </c>
      <c r="AA17" s="453">
        <f>'Income Statement'!AA31</f>
        <v/>
      </c>
      <c r="AB17" s="453">
        <f>'Income Statement'!AB31</f>
        <v/>
      </c>
      <c r="AC17" s="453">
        <f>AA17+AB17</f>
        <v/>
      </c>
      <c r="AD17" s="453">
        <f>'Income Statement'!AD31</f>
        <v/>
      </c>
      <c r="AE17" s="453">
        <f>'Income Statement'!AE31</f>
        <v/>
      </c>
      <c r="AF17" s="453">
        <f>AD17+AE17</f>
        <v/>
      </c>
      <c r="AG17" s="453">
        <f>'Income Statement'!AG31</f>
        <v/>
      </c>
      <c r="AH17" s="453">
        <f>'Income Statement'!AH31</f>
        <v/>
      </c>
      <c r="AI17" s="453">
        <f>AG17+AH17</f>
        <v/>
      </c>
    </row>
    <row r="18" hidden="1" outlineLevel="1" ht="12.9" customHeight="1" s="343">
      <c r="B18" s="16" t="inlineStr">
        <is>
          <t>Allowance/(Reversal) for doubtful debts</t>
        </is>
      </c>
      <c r="C18" s="452" t="n">
        <v>1.4253</v>
      </c>
      <c r="D18" s="466">
        <f>E18-C18</f>
        <v/>
      </c>
      <c r="E18" s="452" t="n">
        <v>1.6853</v>
      </c>
      <c r="F18" s="452" t="n">
        <v>1.1071</v>
      </c>
      <c r="G18" s="466">
        <f>H18-F18</f>
        <v/>
      </c>
      <c r="H18" s="452" t="n">
        <v>1.8949</v>
      </c>
      <c r="I18" s="452" t="n">
        <v>-1.0368</v>
      </c>
      <c r="J18" s="466">
        <f>K18-I18</f>
        <v/>
      </c>
      <c r="K18" s="452" t="n">
        <v>-0.2126</v>
      </c>
      <c r="L18" s="452" t="n">
        <v>-0.1986</v>
      </c>
      <c r="M18" s="466">
        <f>N18-L18</f>
        <v/>
      </c>
      <c r="N18" s="452" t="n">
        <v>2.5438</v>
      </c>
      <c r="O18" s="452" t="n">
        <v>-0.1268</v>
      </c>
      <c r="P18" s="466">
        <f>Q18-O18</f>
        <v/>
      </c>
      <c r="Q18" s="452" t="n">
        <v>0.0154</v>
      </c>
      <c r="R18" s="452" t="n">
        <v>0.659</v>
      </c>
      <c r="S18" s="466">
        <f>T18-R18</f>
        <v/>
      </c>
      <c r="T18" s="452" t="n">
        <v>0.9183</v>
      </c>
      <c r="W18" s="453">
        <f>U18+V18</f>
        <v/>
      </c>
      <c r="Z18" s="453">
        <f>X18+Y18</f>
        <v/>
      </c>
      <c r="AC18" s="453">
        <f>AA18+AB18</f>
        <v/>
      </c>
      <c r="AF18" s="453">
        <f>AD18+AE18</f>
        <v/>
      </c>
      <c r="AI18" s="453">
        <f>AG18+AH18</f>
        <v/>
      </c>
    </row>
    <row r="19" hidden="1" outlineLevel="1" ht="12.9" customHeight="1" s="343">
      <c r="B19" s="16" t="inlineStr">
        <is>
          <t>Remeasurement (Gain)/Loss on lease</t>
        </is>
      </c>
      <c r="C19" s="452" t="n"/>
      <c r="D19" s="466" t="n"/>
      <c r="E19" s="452" t="n"/>
      <c r="F19" s="452" t="n"/>
      <c r="G19" s="466" t="n"/>
      <c r="H19" s="452" t="n"/>
      <c r="I19" s="452" t="n"/>
      <c r="J19" s="466" t="n"/>
      <c r="K19" s="452" t="n"/>
      <c r="L19" s="452" t="n"/>
      <c r="M19" s="466" t="n"/>
      <c r="N19" s="452" t="n"/>
      <c r="O19" s="452" t="n"/>
      <c r="P19" s="466" t="n"/>
      <c r="Q19" s="452" t="n"/>
      <c r="R19" s="452" t="n"/>
      <c r="S19" s="466" t="n"/>
      <c r="T19" s="452" t="n">
        <v>-0.008500000000000001</v>
      </c>
      <c r="W19" s="453" t="n"/>
      <c r="Z19" s="453" t="n"/>
      <c r="AC19" s="453" t="n"/>
      <c r="AF19" s="453" t="n"/>
      <c r="AI19" s="453" t="n"/>
    </row>
    <row r="20" hidden="1" outlineLevel="1" ht="12.9" customHeight="1" s="343">
      <c r="B20" s="16" t="inlineStr">
        <is>
          <t>Property, Plant &amp; Equipment written off</t>
        </is>
      </c>
      <c r="C20" s="452" t="n">
        <v>0</v>
      </c>
      <c r="D20" s="466">
        <f>E20-C20</f>
        <v/>
      </c>
      <c r="E20" s="452" t="n">
        <v>0.355</v>
      </c>
      <c r="F20" s="452" t="n">
        <v>0</v>
      </c>
      <c r="G20" s="466">
        <f>H20-F20</f>
        <v/>
      </c>
      <c r="H20" s="452" t="n">
        <v>0</v>
      </c>
      <c r="I20" s="452" t="n">
        <v>0.0287</v>
      </c>
      <c r="J20" s="466">
        <f>K20-I20</f>
        <v/>
      </c>
      <c r="K20" s="452" t="n">
        <v>0.0771</v>
      </c>
      <c r="L20" s="452" t="n">
        <v>0</v>
      </c>
      <c r="M20" s="466">
        <f>N20-L20</f>
        <v/>
      </c>
      <c r="N20" s="452" t="n">
        <v>0</v>
      </c>
      <c r="O20" s="452" t="n">
        <v>0</v>
      </c>
      <c r="P20" s="466">
        <f>Q20-O20</f>
        <v/>
      </c>
      <c r="Q20" s="452" t="n">
        <v>0</v>
      </c>
      <c r="R20" s="452" t="n">
        <v>0</v>
      </c>
      <c r="S20" s="466">
        <f>T20-R20</f>
        <v/>
      </c>
      <c r="T20" s="452" t="n">
        <v>0</v>
      </c>
      <c r="W20" s="453">
        <f>U20+V20</f>
        <v/>
      </c>
      <c r="Z20" s="453">
        <f>X20+Y20</f>
        <v/>
      </c>
      <c r="AC20" s="453">
        <f>AA20+AB20</f>
        <v/>
      </c>
      <c r="AF20" s="453">
        <f>AD20+AE20</f>
        <v/>
      </c>
      <c r="AI20" s="453">
        <f>AG20+AH20</f>
        <v/>
      </c>
    </row>
    <row r="21" hidden="1" outlineLevel="1" ht="12.9" customHeight="1" s="343">
      <c r="B21" s="16" t="inlineStr">
        <is>
          <t>Bad Debts Written off</t>
        </is>
      </c>
      <c r="C21" s="452" t="n">
        <v>0.0339</v>
      </c>
      <c r="D21" s="466">
        <f>E21-C21</f>
        <v/>
      </c>
      <c r="E21" s="452" t="n">
        <v>0.0339</v>
      </c>
      <c r="F21" s="452" t="n">
        <v>0</v>
      </c>
      <c r="G21" s="466">
        <f>H21-F21</f>
        <v/>
      </c>
      <c r="H21" s="452" t="n">
        <v>0</v>
      </c>
      <c r="I21" s="452" t="n">
        <v>0</v>
      </c>
      <c r="J21" s="466">
        <f>K21-I21</f>
        <v/>
      </c>
      <c r="K21" s="452" t="n">
        <v>0</v>
      </c>
      <c r="L21" s="452" t="n">
        <v>0</v>
      </c>
      <c r="M21" s="466">
        <f>N21-L21</f>
        <v/>
      </c>
      <c r="N21" s="452" t="n">
        <v>0</v>
      </c>
      <c r="O21" s="452" t="n">
        <v>0</v>
      </c>
      <c r="P21" s="466">
        <f>Q21-O21</f>
        <v/>
      </c>
      <c r="Q21" s="452" t="n">
        <v>0.0214</v>
      </c>
      <c r="R21" s="452" t="n">
        <v>0</v>
      </c>
      <c r="S21" s="466">
        <f>T21-R21</f>
        <v/>
      </c>
      <c r="T21" s="452" t="n">
        <v>0</v>
      </c>
      <c r="W21" s="453">
        <f>U21+V21</f>
        <v/>
      </c>
      <c r="Z21" s="453">
        <f>X21+Y21</f>
        <v/>
      </c>
      <c r="AC21" s="453">
        <f>AA21+AB21</f>
        <v/>
      </c>
      <c r="AF21" s="453">
        <f>AD21+AE21</f>
        <v/>
      </c>
      <c r="AI21" s="453">
        <f>AG21+AH21</f>
        <v/>
      </c>
    </row>
    <row r="22" hidden="1" outlineLevel="1" ht="12.9" customHeight="1" s="343">
      <c r="B22" s="16" t="inlineStr">
        <is>
          <t>Sundry Debit/(Credit) Balances appropriated (Net)</t>
        </is>
      </c>
      <c r="C22" s="452" t="n">
        <v>0</v>
      </c>
      <c r="D22" s="466">
        <f>E22-C22</f>
        <v/>
      </c>
      <c r="E22" s="452" t="n">
        <v>-0.7912</v>
      </c>
      <c r="F22" s="452" t="n">
        <v>0.0029</v>
      </c>
      <c r="G22" s="466">
        <f>H22-F22</f>
        <v/>
      </c>
      <c r="H22" s="452" t="n">
        <v>-0.07150000000000001</v>
      </c>
      <c r="I22" s="452" t="n">
        <v>0</v>
      </c>
      <c r="J22" s="466">
        <f>K22-I22</f>
        <v/>
      </c>
      <c r="K22" s="452" t="n">
        <v>-0.0764</v>
      </c>
      <c r="L22" s="452" t="n">
        <v>0</v>
      </c>
      <c r="M22" s="466">
        <f>N22-L22</f>
        <v/>
      </c>
      <c r="N22" s="452" t="n">
        <v>0.2386</v>
      </c>
      <c r="O22" s="452" t="n">
        <v>0.016</v>
      </c>
      <c r="P22" s="466">
        <f>Q22-O22</f>
        <v/>
      </c>
      <c r="Q22" s="452" t="n">
        <v>-0.0017</v>
      </c>
      <c r="R22" s="452" t="n">
        <v>0.0005999999999999999</v>
      </c>
      <c r="S22" s="466">
        <f>T22-R22</f>
        <v/>
      </c>
      <c r="T22" s="452" t="n">
        <v>0.0311</v>
      </c>
      <c r="W22" s="453">
        <f>U22+V22</f>
        <v/>
      </c>
      <c r="Z22" s="453">
        <f>X22+Y22</f>
        <v/>
      </c>
      <c r="AC22" s="453">
        <f>AA22+AB22</f>
        <v/>
      </c>
      <c r="AF22" s="453">
        <f>AD22+AE22</f>
        <v/>
      </c>
      <c r="AI22" s="453">
        <f>AG22+AH22</f>
        <v/>
      </c>
    </row>
    <row r="23" hidden="1" outlineLevel="1" ht="12.9" customHeight="1" s="343">
      <c r="B23" s="16" t="inlineStr">
        <is>
          <t>(Profit)/Loss on sale of Property, Plant &amp; Equipment and Intangible</t>
        </is>
      </c>
      <c r="C23" s="452" t="n">
        <v>0.0557</v>
      </c>
      <c r="D23" s="466">
        <f>E23-C23</f>
        <v/>
      </c>
      <c r="E23" s="452" t="n">
        <v>0.06369999999999999</v>
      </c>
      <c r="F23" s="452" t="n">
        <v>-0.0069</v>
      </c>
      <c r="G23" s="466">
        <f>H23-F23</f>
        <v/>
      </c>
      <c r="H23" s="452" t="n">
        <v>-0.0187</v>
      </c>
      <c r="I23" s="452" t="n">
        <v>0.0235</v>
      </c>
      <c r="J23" s="466">
        <f>K23-I23</f>
        <v/>
      </c>
      <c r="K23" s="452" t="n">
        <v>0.0383</v>
      </c>
      <c r="L23" s="452" t="n">
        <v>-0.06849999999999999</v>
      </c>
      <c r="M23" s="466">
        <f>N23-L23</f>
        <v/>
      </c>
      <c r="N23" s="452" t="n">
        <v>-0.1228</v>
      </c>
      <c r="O23" s="452" t="n">
        <v>-0.3665</v>
      </c>
      <c r="P23" s="466">
        <f>Q23-O23</f>
        <v/>
      </c>
      <c r="Q23" s="452" t="n">
        <v>-0.3846</v>
      </c>
      <c r="R23" s="452" t="n">
        <v>0.0124</v>
      </c>
      <c r="S23" s="466">
        <f>T23-R23</f>
        <v/>
      </c>
      <c r="T23" s="452" t="n">
        <v>0.037</v>
      </c>
      <c r="W23" s="453">
        <f>U23+V23</f>
        <v/>
      </c>
      <c r="Z23" s="453">
        <f>X23+Y23</f>
        <v/>
      </c>
      <c r="AC23" s="453">
        <f>AA23+AB23</f>
        <v/>
      </c>
      <c r="AF23" s="453">
        <f>AD23+AE23</f>
        <v/>
      </c>
      <c r="AI23" s="453">
        <f>AG23+AH23</f>
        <v/>
      </c>
    </row>
    <row r="24" hidden="1" outlineLevel="1" ht="12.9" customHeight="1" s="343">
      <c r="B24" s="16" t="inlineStr">
        <is>
          <t>Unrealised gain on foreign exchange fluctuation (net)</t>
        </is>
      </c>
      <c r="C24" s="452" t="n">
        <v>0</v>
      </c>
      <c r="D24" s="466">
        <f>E24-C24</f>
        <v/>
      </c>
      <c r="E24" s="452" t="n">
        <v>0</v>
      </c>
      <c r="F24" s="452" t="n">
        <v>0</v>
      </c>
      <c r="G24" s="466">
        <f>H24-F24</f>
        <v/>
      </c>
      <c r="H24" s="452" t="n">
        <v>0</v>
      </c>
      <c r="I24" s="452" t="n">
        <v>0</v>
      </c>
      <c r="J24" s="466">
        <f>K24-I24</f>
        <v/>
      </c>
      <c r="K24" s="452" t="n">
        <v>-0.2922</v>
      </c>
      <c r="L24" s="452" t="n">
        <v>0</v>
      </c>
      <c r="M24" s="466">
        <f>N24-L24</f>
        <v/>
      </c>
      <c r="N24" s="452" t="n">
        <v>-1.095</v>
      </c>
      <c r="O24" s="452" t="n">
        <v>0</v>
      </c>
      <c r="P24" s="466">
        <f>Q24-O24</f>
        <v/>
      </c>
      <c r="Q24" s="452" t="n">
        <v>-0.09119999999999999</v>
      </c>
      <c r="R24" s="452" t="n">
        <v>0</v>
      </c>
      <c r="S24" s="466">
        <f>T24-R24</f>
        <v/>
      </c>
      <c r="T24" s="452" t="n">
        <v>-6.4154</v>
      </c>
      <c r="W24" s="453">
        <f>U24+V24</f>
        <v/>
      </c>
      <c r="Z24" s="453">
        <f>X24+Y24</f>
        <v/>
      </c>
      <c r="AC24" s="453">
        <f>AA24+AB24</f>
        <v/>
      </c>
      <c r="AF24" s="453">
        <f>AD24+AE24</f>
        <v/>
      </c>
      <c r="AI24" s="453">
        <f>AG24+AH24</f>
        <v/>
      </c>
    </row>
    <row r="25" hidden="1" outlineLevel="1" ht="12.9" customHeight="1" s="343">
      <c r="B25" s="16" t="inlineStr">
        <is>
          <t>Provision for Warranty</t>
        </is>
      </c>
      <c r="C25" s="452" t="n">
        <v>0</v>
      </c>
      <c r="D25" s="466">
        <f>E25-C25</f>
        <v/>
      </c>
      <c r="E25" s="452" t="n">
        <v>0</v>
      </c>
      <c r="F25" s="452" t="n">
        <v>0</v>
      </c>
      <c r="G25" s="466">
        <f>H25-F25</f>
        <v/>
      </c>
      <c r="H25" s="452" t="n">
        <v>0</v>
      </c>
      <c r="I25" s="452" t="n">
        <v>0</v>
      </c>
      <c r="J25" s="466">
        <f>K25-I25</f>
        <v/>
      </c>
      <c r="K25" s="452" t="n">
        <v>0</v>
      </c>
      <c r="L25" s="452" t="n">
        <v>0</v>
      </c>
      <c r="M25" s="466">
        <f>N25-L25</f>
        <v/>
      </c>
      <c r="N25" s="452" t="n">
        <v>2</v>
      </c>
      <c r="O25" s="452" t="n">
        <v>0</v>
      </c>
      <c r="P25" s="466">
        <f>Q25-O25</f>
        <v/>
      </c>
      <c r="Q25" s="452" t="n">
        <v>0.5</v>
      </c>
      <c r="R25" s="452" t="n">
        <v>1</v>
      </c>
      <c r="S25" s="466">
        <f>T25-R25</f>
        <v/>
      </c>
      <c r="T25" s="452" t="n">
        <v>0</v>
      </c>
      <c r="W25" s="453">
        <f>U25+V25</f>
        <v/>
      </c>
      <c r="Z25" s="453">
        <f>X25+Y25</f>
        <v/>
      </c>
      <c r="AC25" s="453">
        <f>AA25+AB25</f>
        <v/>
      </c>
      <c r="AF25" s="453">
        <f>AD25+AE25</f>
        <v/>
      </c>
      <c r="AI25" s="453">
        <f>AG25+AH25</f>
        <v/>
      </c>
    </row>
    <row r="26" hidden="1" outlineLevel="1" ht="12.9" customHeight="1" s="343">
      <c r="B26" s="16" t="inlineStr">
        <is>
          <t>Tax on Exceptional Item</t>
        </is>
      </c>
      <c r="C26" s="452" t="n"/>
      <c r="D26" s="466" t="n"/>
      <c r="E26" s="452" t="n"/>
      <c r="F26" s="452" t="n"/>
      <c r="G26" s="466" t="n"/>
      <c r="H26" s="452" t="n"/>
      <c r="I26" s="452" t="n"/>
      <c r="J26" s="466" t="n"/>
      <c r="K26" s="452" t="n"/>
      <c r="L26" s="452" t="n"/>
      <c r="M26" s="466" t="n"/>
      <c r="N26" s="452" t="n"/>
      <c r="O26" s="452" t="n"/>
      <c r="P26" s="466" t="n"/>
      <c r="Q26" s="452" t="n"/>
      <c r="R26" s="452" t="n"/>
      <c r="S26" s="466" t="n"/>
      <c r="T26" s="452" t="n">
        <v>-0.4886</v>
      </c>
      <c r="W26" s="453" t="n"/>
      <c r="Z26" s="453" t="n"/>
      <c r="AC26" s="453" t="n"/>
      <c r="AF26" s="453" t="n"/>
      <c r="AI26" s="453" t="n"/>
    </row>
    <row r="27" hidden="1" outlineLevel="1" ht="12.9" customHeight="1" s="343">
      <c r="B27" s="16" t="inlineStr">
        <is>
          <t>Share based payment expense</t>
        </is>
      </c>
      <c r="C27" s="452" t="n">
        <v>0.2233</v>
      </c>
      <c r="D27" s="466">
        <f>E27-C27</f>
        <v/>
      </c>
      <c r="E27" s="452" t="n">
        <v>0.4455</v>
      </c>
      <c r="F27" s="452" t="n">
        <v>0.1422</v>
      </c>
      <c r="G27" s="466">
        <f>H27-F27</f>
        <v/>
      </c>
      <c r="H27" s="452" t="n">
        <v>0.3892</v>
      </c>
      <c r="I27" s="452" t="n">
        <v>0.2263</v>
      </c>
      <c r="J27" s="466">
        <f>K27-I27</f>
        <v/>
      </c>
      <c r="K27" s="452" t="n">
        <v>0.4313</v>
      </c>
      <c r="L27" s="452" t="n">
        <v>0.6567000000000001</v>
      </c>
      <c r="M27" s="466">
        <f>N27-L27</f>
        <v/>
      </c>
      <c r="N27" s="452" t="n">
        <v>1.4646</v>
      </c>
      <c r="O27" s="452" t="n">
        <v>1.3978</v>
      </c>
      <c r="P27" s="466">
        <f>Q27-O27</f>
        <v/>
      </c>
      <c r="Q27" s="452" t="n">
        <v>2.8123</v>
      </c>
      <c r="R27" s="452" t="n">
        <v>1.7697</v>
      </c>
      <c r="S27" s="466">
        <f>T27-R27</f>
        <v/>
      </c>
      <c r="T27" s="452" t="n">
        <v>3.6731</v>
      </c>
      <c r="W27" s="453">
        <f>U27+V27</f>
        <v/>
      </c>
      <c r="Z27" s="453">
        <f>X27+Y27</f>
        <v/>
      </c>
      <c r="AC27" s="453">
        <f>AA27+AB27</f>
        <v/>
      </c>
      <c r="AF27" s="453">
        <f>AD27+AE27</f>
        <v/>
      </c>
      <c r="AI27" s="453">
        <f>AG27+AH27</f>
        <v/>
      </c>
    </row>
    <row r="28" collapsed="1" ht="12.9" customHeight="1" s="343">
      <c r="B28" s="16" t="n"/>
      <c r="C28" s="466" t="n"/>
      <c r="D28" s="466" t="n"/>
      <c r="E28" s="466" t="n"/>
      <c r="F28" s="466" t="n"/>
      <c r="G28" s="466" t="n"/>
      <c r="H28" s="466" t="n"/>
      <c r="I28" s="466" t="n"/>
      <c r="J28" s="466" t="n"/>
      <c r="K28" s="466" t="n"/>
      <c r="L28" s="466" t="n"/>
      <c r="M28" s="466" t="n"/>
      <c r="N28" s="466" t="n"/>
      <c r="O28" s="466" t="n"/>
      <c r="P28" s="466" t="n"/>
      <c r="Q28" s="466" t="n"/>
      <c r="R28" s="466" t="n"/>
      <c r="S28" s="466" t="n"/>
      <c r="T28" s="466" t="n"/>
    </row>
    <row r="29" ht="12.9" customHeight="1" s="343">
      <c r="B29" s="13" t="inlineStr">
        <is>
          <t>Operating Cash flow before Working Capital Changes</t>
        </is>
      </c>
      <c r="C29" s="474">
        <f>SUM(C8:C28)</f>
        <v/>
      </c>
      <c r="D29" s="474">
        <f>SUM(D8:D28)</f>
        <v/>
      </c>
      <c r="E29" s="474">
        <f>SUM(E8:E28)</f>
        <v/>
      </c>
      <c r="F29" s="474">
        <f>SUM(F8:F28)</f>
        <v/>
      </c>
      <c r="G29" s="474">
        <f>SUM(G8:G28)</f>
        <v/>
      </c>
      <c r="H29" s="474">
        <f>SUM(H8:H28)</f>
        <v/>
      </c>
      <c r="I29" s="474">
        <f>SUM(I8:I28)</f>
        <v/>
      </c>
      <c r="J29" s="474">
        <f>SUM(J8:J28)</f>
        <v/>
      </c>
      <c r="K29" s="474">
        <f>SUM(K8:K28)</f>
        <v/>
      </c>
      <c r="L29" s="474">
        <f>SUM(L8:L28)</f>
        <v/>
      </c>
      <c r="M29" s="474">
        <f>SUM(M8:M28)</f>
        <v/>
      </c>
      <c r="N29" s="474">
        <f>SUM(N8:N28)</f>
        <v/>
      </c>
      <c r="O29" s="474">
        <f>SUM(O8:O28)</f>
        <v/>
      </c>
      <c r="P29" s="474">
        <f>SUM(P8:P28)</f>
        <v/>
      </c>
      <c r="Q29" s="474">
        <f>SUM(Q8:Q28)</f>
        <v/>
      </c>
      <c r="R29" s="474">
        <f>SUM(R8:R28)</f>
        <v/>
      </c>
      <c r="S29" s="474">
        <f>SUM(S8:S28)</f>
        <v/>
      </c>
      <c r="T29" s="474">
        <f>SUM(T8:T28)</f>
        <v/>
      </c>
      <c r="U29" s="474">
        <f>SUM(U8:U28)</f>
        <v/>
      </c>
      <c r="V29" s="474">
        <f>SUM(V8:V28)</f>
        <v/>
      </c>
      <c r="W29" s="474">
        <f>SUM(W8:W28)</f>
        <v/>
      </c>
      <c r="X29" s="474">
        <f>SUM(X8:X28)</f>
        <v/>
      </c>
      <c r="Y29" s="474">
        <f>SUM(Y8:Y28)</f>
        <v/>
      </c>
      <c r="Z29" s="474">
        <f>SUM(Z8:Z28)</f>
        <v/>
      </c>
      <c r="AA29" s="474">
        <f>SUM(AA8:AA28)</f>
        <v/>
      </c>
      <c r="AB29" s="474">
        <f>SUM(AB8:AB28)</f>
        <v/>
      </c>
      <c r="AC29" s="474">
        <f>SUM(AC8:AC28)</f>
        <v/>
      </c>
      <c r="AD29" s="474">
        <f>SUM(AD8:AD28)</f>
        <v/>
      </c>
      <c r="AE29" s="474">
        <f>SUM(AE8:AE28)</f>
        <v/>
      </c>
      <c r="AF29" s="474">
        <f>SUM(AF8:AF28)</f>
        <v/>
      </c>
      <c r="AG29" s="474">
        <f>SUM(AG8:AG28)</f>
        <v/>
      </c>
      <c r="AH29" s="474">
        <f>SUM(AH8:AH28)</f>
        <v/>
      </c>
      <c r="AI29" s="474">
        <f>SUM(AI8:AI28)</f>
        <v/>
      </c>
    </row>
    <row r="30" ht="12.9" customHeight="1" s="343">
      <c r="B30" s="13" t="inlineStr">
        <is>
          <t>Adjustments for changes in working capital :</t>
        </is>
      </c>
      <c r="C30" s="466" t="n"/>
      <c r="D30" s="466" t="n"/>
      <c r="E30" s="466" t="n"/>
      <c r="F30" s="466" t="n"/>
      <c r="G30" s="466" t="n"/>
      <c r="H30" s="466" t="n"/>
      <c r="I30" s="466" t="n"/>
      <c r="J30" s="466" t="n"/>
      <c r="K30" s="466" t="n"/>
      <c r="L30" s="466" t="n"/>
      <c r="M30" s="466" t="n"/>
      <c r="N30" s="466" t="n"/>
      <c r="O30" s="466" t="n"/>
      <c r="P30" s="466" t="n"/>
      <c r="Q30" s="466" t="n"/>
      <c r="R30" s="466" t="n"/>
      <c r="S30" s="466" t="n"/>
      <c r="T30" s="466" t="n"/>
    </row>
    <row r="31" ht="12.9" customHeight="1" s="343">
      <c r="B31" s="16" t="inlineStr">
        <is>
          <t>(Increase)/Decrease in inventories</t>
        </is>
      </c>
      <c r="C31" s="452" t="n">
        <v>21.0053</v>
      </c>
      <c r="D31" s="466">
        <f>E31-C31</f>
        <v/>
      </c>
      <c r="E31" s="452" t="n">
        <v>39.4015</v>
      </c>
      <c r="F31" s="452" t="n">
        <v>2.3306</v>
      </c>
      <c r="G31" s="466">
        <f>H31-F31</f>
        <v/>
      </c>
      <c r="H31" s="452" t="n">
        <v>-23.4167</v>
      </c>
      <c r="I31" s="452" t="n">
        <v>-25.6346</v>
      </c>
      <c r="J31" s="466">
        <f>K31-I31</f>
        <v/>
      </c>
      <c r="K31" s="452" t="n">
        <v>-36.7215</v>
      </c>
      <c r="L31" s="452" t="n">
        <v>7.9555</v>
      </c>
      <c r="M31" s="466">
        <f>N31-L31</f>
        <v/>
      </c>
      <c r="N31" s="452" t="n">
        <v>-38.3661</v>
      </c>
      <c r="O31" s="452" t="n">
        <v>-9.0219</v>
      </c>
      <c r="P31" s="466">
        <f>Q31-O31</f>
        <v/>
      </c>
      <c r="Q31" s="452" t="n">
        <v>23.37</v>
      </c>
      <c r="R31" s="452" t="n">
        <v>-1.0137</v>
      </c>
      <c r="S31" s="466">
        <f>T31-R31</f>
        <v/>
      </c>
      <c r="T31" s="452" t="n">
        <v>46.5445</v>
      </c>
      <c r="U31" s="453">
        <f>'Balance Sheet'!T45-'Balance Sheet'!U45</f>
        <v/>
      </c>
      <c r="V31" s="453">
        <f>'Balance Sheet'!U45-'Balance Sheet'!V45</f>
        <v/>
      </c>
      <c r="W31" s="453">
        <f>U31+V31</f>
        <v/>
      </c>
      <c r="X31" s="453">
        <f>'Balance Sheet'!W45-'Balance Sheet'!X45</f>
        <v/>
      </c>
      <c r="Y31" s="453">
        <f>'Balance Sheet'!X45-'Balance Sheet'!Y45</f>
        <v/>
      </c>
      <c r="Z31" s="453">
        <f>SUM(X31:Y31)</f>
        <v/>
      </c>
      <c r="AA31" s="453">
        <f>'Balance Sheet'!Z45-'Balance Sheet'!AA45</f>
        <v/>
      </c>
      <c r="AB31" s="453">
        <f>'Balance Sheet'!AA45-'Balance Sheet'!AB45</f>
        <v/>
      </c>
      <c r="AC31" s="453">
        <f>SUM(AA31:AB31)</f>
        <v/>
      </c>
      <c r="AD31" s="453">
        <f>'Balance Sheet'!AC45-'Balance Sheet'!AD45</f>
        <v/>
      </c>
      <c r="AE31" s="453">
        <f>'Balance Sheet'!AD45-'Balance Sheet'!AE45</f>
        <v/>
      </c>
      <c r="AF31" s="453">
        <f>SUM(AD31:AE31)</f>
        <v/>
      </c>
      <c r="AG31" s="453">
        <f>'Balance Sheet'!AF45-'Balance Sheet'!AG45</f>
        <v/>
      </c>
      <c r="AH31" s="453">
        <f>'Balance Sheet'!AG45-'Balance Sheet'!AH45</f>
        <v/>
      </c>
      <c r="AI31" s="453">
        <f>SUM(AG31:AH31)</f>
        <v/>
      </c>
    </row>
    <row r="32" ht="12.9" customHeight="1" s="343">
      <c r="B32" s="16" t="inlineStr">
        <is>
          <t>(Increase)/Decrease in trade receivables</t>
        </is>
      </c>
      <c r="C32" s="452" t="n">
        <v>-12.5228</v>
      </c>
      <c r="D32" s="466">
        <f>E32-C32</f>
        <v/>
      </c>
      <c r="E32" s="452" t="n">
        <v>-47.3927</v>
      </c>
      <c r="F32" s="452" t="n">
        <v>-3.2583</v>
      </c>
      <c r="G32" s="466">
        <f>H32-F32</f>
        <v/>
      </c>
      <c r="H32" s="452" t="n">
        <v>-16.5402</v>
      </c>
      <c r="I32" s="452" t="n">
        <v>48.4625</v>
      </c>
      <c r="J32" s="466">
        <f>K32-I32</f>
        <v/>
      </c>
      <c r="K32" s="452" t="n">
        <v>-23.318</v>
      </c>
      <c r="L32" s="452" t="n">
        <v>21.4571</v>
      </c>
      <c r="M32" s="466">
        <f>N32-L32</f>
        <v/>
      </c>
      <c r="N32" s="452" t="n">
        <v>19.7854</v>
      </c>
      <c r="O32" s="452" t="n">
        <v>-84.03450000000001</v>
      </c>
      <c r="P32" s="466">
        <f>Q32-O32</f>
        <v/>
      </c>
      <c r="Q32" s="452" t="n">
        <v>-138.857</v>
      </c>
      <c r="R32" s="452" t="n">
        <v>-67.44199999999999</v>
      </c>
      <c r="S32" s="466">
        <f>T32-R32</f>
        <v/>
      </c>
      <c r="T32" s="452" t="n">
        <v>-126.7835</v>
      </c>
      <c r="U32" s="453">
        <f>'Balance Sheet'!T48-'Balance Sheet'!U48</f>
        <v/>
      </c>
      <c r="V32" s="453">
        <f>'Balance Sheet'!U48-'Balance Sheet'!V48</f>
        <v/>
      </c>
      <c r="W32" s="453">
        <f>U32+V32</f>
        <v/>
      </c>
      <c r="X32" s="453">
        <f>'Balance Sheet'!W48-'Balance Sheet'!X48</f>
        <v/>
      </c>
      <c r="Y32" s="453">
        <f>'Balance Sheet'!X48-'Balance Sheet'!Y48</f>
        <v/>
      </c>
      <c r="Z32" s="453">
        <f>'Balance Sheet'!W48-'Balance Sheet'!Z48</f>
        <v/>
      </c>
      <c r="AA32" s="453">
        <f>'Balance Sheet'!Z48-'Balance Sheet'!AA48</f>
        <v/>
      </c>
      <c r="AB32" s="453">
        <f>'Balance Sheet'!AA48-'Balance Sheet'!AB48</f>
        <v/>
      </c>
      <c r="AC32" s="453">
        <f>'Balance Sheet'!Z48-'Balance Sheet'!AC48</f>
        <v/>
      </c>
      <c r="AD32" s="453">
        <f>'Balance Sheet'!AC48-'Balance Sheet'!AD48</f>
        <v/>
      </c>
      <c r="AE32" s="453">
        <f>'Balance Sheet'!AD48-'Balance Sheet'!AE48</f>
        <v/>
      </c>
      <c r="AF32" s="453">
        <f>'Balance Sheet'!AC48-'Balance Sheet'!AF48</f>
        <v/>
      </c>
      <c r="AG32" s="453">
        <f>'Balance Sheet'!AF48-'Balance Sheet'!AG48</f>
        <v/>
      </c>
      <c r="AH32" s="453">
        <f>'Balance Sheet'!AG48-'Balance Sheet'!AH48</f>
        <v/>
      </c>
      <c r="AI32" s="453">
        <f>'Balance Sheet'!AF48-'Balance Sheet'!AI48</f>
        <v/>
      </c>
    </row>
    <row r="33" ht="12.9" customHeight="1" s="343">
      <c r="B33" s="16" t="inlineStr">
        <is>
          <t>(Increase)/Decrease in other financial assets</t>
        </is>
      </c>
      <c r="C33" s="452" t="n">
        <v>10.6973</v>
      </c>
      <c r="D33" s="466">
        <f>E33-C33</f>
        <v/>
      </c>
      <c r="E33" s="452" t="n">
        <v>-0.02299999999999969</v>
      </c>
      <c r="F33" s="452" t="n">
        <v>2.559</v>
      </c>
      <c r="G33" s="466">
        <f>H33-F33</f>
        <v/>
      </c>
      <c r="H33" s="452" t="n">
        <v>-0.1408</v>
      </c>
      <c r="I33" s="452" t="n">
        <v>-20.6075</v>
      </c>
      <c r="J33" s="466">
        <f>K33-I33</f>
        <v/>
      </c>
      <c r="K33" s="452" t="n">
        <v>-0.2143000000000015</v>
      </c>
      <c r="L33" s="452" t="n">
        <v>1.3122</v>
      </c>
      <c r="M33" s="466">
        <f>N33-L33</f>
        <v/>
      </c>
      <c r="N33" s="452" t="n">
        <v>0.4982</v>
      </c>
      <c r="O33" s="452" t="n">
        <v>-1.3542</v>
      </c>
      <c r="P33" s="466">
        <f>Q33-O33</f>
        <v/>
      </c>
      <c r="Q33" s="452" t="n">
        <v>-0.1356999999999999</v>
      </c>
      <c r="R33" s="452" t="n">
        <v>3.0901</v>
      </c>
      <c r="S33" s="466">
        <f>T33-R33</f>
        <v/>
      </c>
      <c r="T33" s="452" t="n">
        <v>-1.0209</v>
      </c>
      <c r="U33" s="453">
        <f>'Balance Sheet'!T51-'Balance Sheet'!U51</f>
        <v/>
      </c>
      <c r="V33" s="453">
        <f>'Balance Sheet'!U51-'Balance Sheet'!V51</f>
        <v/>
      </c>
      <c r="W33" s="453">
        <f>U33+V33</f>
        <v/>
      </c>
      <c r="X33" s="453">
        <f>'Balance Sheet'!W51-'Balance Sheet'!X51</f>
        <v/>
      </c>
      <c r="Y33" s="453">
        <f>'Balance Sheet'!X51-'Balance Sheet'!Y51</f>
        <v/>
      </c>
      <c r="Z33" s="453">
        <f>'Balance Sheet'!W51-'Balance Sheet'!Z51</f>
        <v/>
      </c>
      <c r="AA33" s="453">
        <f>'Balance Sheet'!Z51-'Balance Sheet'!AA51</f>
        <v/>
      </c>
      <c r="AB33" s="453">
        <f>'Balance Sheet'!AA51-'Balance Sheet'!AB51</f>
        <v/>
      </c>
      <c r="AC33" s="453">
        <f>'Balance Sheet'!Z51-'Balance Sheet'!AC51</f>
        <v/>
      </c>
      <c r="AD33" s="453">
        <f>'Balance Sheet'!AC51-'Balance Sheet'!AD51</f>
        <v/>
      </c>
      <c r="AE33" s="453">
        <f>'Balance Sheet'!AD51-'Balance Sheet'!AE51</f>
        <v/>
      </c>
      <c r="AF33" s="453">
        <f>'Balance Sheet'!AC51-'Balance Sheet'!AF51</f>
        <v/>
      </c>
      <c r="AG33" s="453">
        <f>'Balance Sheet'!AF51-'Balance Sheet'!AG51</f>
        <v/>
      </c>
      <c r="AH33" s="453">
        <f>'Balance Sheet'!AG51-'Balance Sheet'!AH51</f>
        <v/>
      </c>
      <c r="AI33" s="453">
        <f>'Balance Sheet'!AF51-'Balance Sheet'!AI51</f>
        <v/>
      </c>
    </row>
    <row r="34" ht="12.9" customHeight="1" s="343">
      <c r="B34" s="16" t="inlineStr">
        <is>
          <t>(Increase)/Decrease in other assets</t>
        </is>
      </c>
      <c r="C34" s="452" t="n">
        <v>-0.003</v>
      </c>
      <c r="D34" s="466">
        <f>E34-C34</f>
        <v/>
      </c>
      <c r="E34" s="452" t="n">
        <v>6.147499999999999</v>
      </c>
      <c r="F34" s="452" t="n">
        <v>-0.04099999999999999</v>
      </c>
      <c r="G34" s="466">
        <f>H34-F34</f>
        <v/>
      </c>
      <c r="H34" s="452" t="n">
        <v>-2.6011</v>
      </c>
      <c r="I34" s="452" t="n">
        <v>0.0036</v>
      </c>
      <c r="J34" s="466">
        <f>K34-I34</f>
        <v/>
      </c>
      <c r="K34" s="452" t="n">
        <v>-13.1796</v>
      </c>
      <c r="L34" s="452" t="n">
        <v>10.5316</v>
      </c>
      <c r="M34" s="466">
        <f>N34-L34</f>
        <v/>
      </c>
      <c r="N34" s="452" t="n">
        <v>-19.837</v>
      </c>
      <c r="O34" s="452" t="n">
        <v>-18.0463</v>
      </c>
      <c r="P34" s="466">
        <f>Q34-O34</f>
        <v/>
      </c>
      <c r="Q34" s="452" t="n">
        <v>-41.2285</v>
      </c>
      <c r="R34" s="452" t="n">
        <v>7.880700000000001</v>
      </c>
      <c r="S34" s="466">
        <f>T34-R34</f>
        <v/>
      </c>
      <c r="T34" s="452" t="n">
        <v>52.7883</v>
      </c>
      <c r="U34" s="453">
        <f>'Balance Sheet'!T53-'Balance Sheet'!U53</f>
        <v/>
      </c>
      <c r="V34" s="453">
        <f>'Balance Sheet'!U53-'Balance Sheet'!V53</f>
        <v/>
      </c>
      <c r="W34" s="453">
        <f>U34+V34</f>
        <v/>
      </c>
      <c r="X34" s="453">
        <f>'Balance Sheet'!W53-'Balance Sheet'!X53</f>
        <v/>
      </c>
      <c r="Y34" s="453">
        <f>'Balance Sheet'!X53-'Balance Sheet'!Y53</f>
        <v/>
      </c>
      <c r="Z34" s="453">
        <f>'Balance Sheet'!W53-'Balance Sheet'!Z53</f>
        <v/>
      </c>
      <c r="AA34" s="453">
        <f>'Balance Sheet'!Z53-'Balance Sheet'!AA53</f>
        <v/>
      </c>
      <c r="AB34" s="453">
        <f>'Balance Sheet'!AA53-'Balance Sheet'!AB53</f>
        <v/>
      </c>
      <c r="AC34" s="453">
        <f>'Balance Sheet'!Z53-'Balance Sheet'!AC53</f>
        <v/>
      </c>
      <c r="AD34" s="453">
        <f>'Balance Sheet'!AC53-'Balance Sheet'!AD53</f>
        <v/>
      </c>
      <c r="AE34" s="453">
        <f>'Balance Sheet'!AD53-'Balance Sheet'!AE53</f>
        <v/>
      </c>
      <c r="AF34" s="453">
        <f>'Balance Sheet'!AC53-'Balance Sheet'!AF53</f>
        <v/>
      </c>
      <c r="AG34" s="453">
        <f>'Balance Sheet'!AF53-'Balance Sheet'!AG53</f>
        <v/>
      </c>
      <c r="AH34" s="453">
        <f>'Balance Sheet'!AG53-'Balance Sheet'!AH53</f>
        <v/>
      </c>
      <c r="AI34" s="453">
        <f>'Balance Sheet'!AF53-'Balance Sheet'!AI53</f>
        <v/>
      </c>
    </row>
    <row r="35" ht="12.9" customHeight="1" s="343">
      <c r="B35" s="16" t="inlineStr">
        <is>
          <t>Increase/(Decrease) in trade payables</t>
        </is>
      </c>
      <c r="C35" s="452" t="n">
        <v>5.1684</v>
      </c>
      <c r="D35" s="466">
        <f>E35-C35</f>
        <v/>
      </c>
      <c r="E35" s="452" t="n">
        <v>4.5451</v>
      </c>
      <c r="F35" s="452" t="n">
        <v>3.8756</v>
      </c>
      <c r="G35" s="466">
        <f>H35-F35</f>
        <v/>
      </c>
      <c r="H35" s="452" t="n">
        <v>16.42</v>
      </c>
      <c r="I35" s="452" t="n">
        <v>-2.5282</v>
      </c>
      <c r="J35" s="466">
        <f>K35-I35</f>
        <v/>
      </c>
      <c r="K35" s="452" t="n">
        <v>22.6063</v>
      </c>
      <c r="L35" s="452" t="n">
        <v>-24.7018</v>
      </c>
      <c r="M35" s="466">
        <f>N35-L35</f>
        <v/>
      </c>
      <c r="N35" s="452" t="n">
        <v>-2.898600000000002</v>
      </c>
      <c r="O35" s="452" t="n">
        <v>13.8164</v>
      </c>
      <c r="P35" s="466">
        <f>Q35-O35</f>
        <v/>
      </c>
      <c r="Q35" s="452" t="n">
        <v>21.484</v>
      </c>
      <c r="R35" s="452" t="n">
        <v>-7.694900000000001</v>
      </c>
      <c r="S35" s="466">
        <f>T35-R35</f>
        <v/>
      </c>
      <c r="T35" s="452" t="n">
        <v>-3.4548</v>
      </c>
      <c r="U35" s="453">
        <f>'Balance Sheet'!U23-'Balance Sheet'!T23</f>
        <v/>
      </c>
      <c r="V35" s="453">
        <f>'Balance Sheet'!V23-'Balance Sheet'!U23</f>
        <v/>
      </c>
      <c r="W35" s="453">
        <f>U35+V35</f>
        <v/>
      </c>
      <c r="X35" s="453">
        <f>-('Balance Sheet'!W23-'Balance Sheet'!X23)</f>
        <v/>
      </c>
      <c r="Y35" s="453">
        <f>-('Balance Sheet'!X23-'Balance Sheet'!Y23)</f>
        <v/>
      </c>
      <c r="Z35" s="453">
        <f>-('Balance Sheet'!W23-'Balance Sheet'!Z23)</f>
        <v/>
      </c>
      <c r="AA35" s="453">
        <f>-('Balance Sheet'!Z23-'Balance Sheet'!AA23)</f>
        <v/>
      </c>
      <c r="AB35" s="453">
        <f>-('Balance Sheet'!AA23-'Balance Sheet'!AB23)</f>
        <v/>
      </c>
      <c r="AC35" s="453">
        <f>-('Balance Sheet'!Z23-'Balance Sheet'!AC23)</f>
        <v/>
      </c>
      <c r="AD35" s="453">
        <f>-('Balance Sheet'!AC23-'Balance Sheet'!AD23)</f>
        <v/>
      </c>
      <c r="AE35" s="453">
        <f>-('Balance Sheet'!AD23-'Balance Sheet'!AE23)</f>
        <v/>
      </c>
      <c r="AF35" s="453">
        <f>-('Balance Sheet'!AC23-'Balance Sheet'!AF23)</f>
        <v/>
      </c>
      <c r="AG35" s="453">
        <f>-('Balance Sheet'!AF23-'Balance Sheet'!AG23)</f>
        <v/>
      </c>
      <c r="AH35" s="453">
        <f>-('Balance Sheet'!AG23-'Balance Sheet'!AH23)</f>
        <v/>
      </c>
      <c r="AI35" s="453">
        <f>-('Balance Sheet'!AF23-'Balance Sheet'!AI23)</f>
        <v/>
      </c>
    </row>
    <row r="36" ht="12.9" customHeight="1" s="343">
      <c r="B36" s="16" t="inlineStr">
        <is>
          <t>Increase/(Decrease) in other financial liabilities</t>
        </is>
      </c>
      <c r="C36" s="452" t="n">
        <v>-1.1206</v>
      </c>
      <c r="D36" s="466">
        <f>E36-C36</f>
        <v/>
      </c>
      <c r="E36" s="452" t="n">
        <v>0.0786</v>
      </c>
      <c r="F36" s="452" t="n">
        <v>0.2074</v>
      </c>
      <c r="G36" s="466">
        <f>H36-F36</f>
        <v/>
      </c>
      <c r="H36" s="452" t="n">
        <v>0.05599999999999999</v>
      </c>
      <c r="I36" s="452" t="n">
        <v>2.7611</v>
      </c>
      <c r="J36" s="466">
        <f>K36-I36</f>
        <v/>
      </c>
      <c r="K36" s="452" t="n">
        <v>1.1055</v>
      </c>
      <c r="L36" s="452" t="n">
        <v>-0.7376999999999999</v>
      </c>
      <c r="M36" s="466">
        <f>N36-L36</f>
        <v/>
      </c>
      <c r="N36" s="452" t="n">
        <v>4.2963</v>
      </c>
      <c r="O36" s="452" t="n">
        <v>-1.1073</v>
      </c>
      <c r="P36" s="466">
        <f>Q36-O36</f>
        <v/>
      </c>
      <c r="Q36" s="452" t="n">
        <v>1.5413</v>
      </c>
      <c r="R36" s="452" t="n">
        <v>0.9584</v>
      </c>
      <c r="S36" s="466">
        <f>T36-R36</f>
        <v/>
      </c>
      <c r="T36" s="452" t="n">
        <v>8.558400000000001</v>
      </c>
      <c r="U36" s="453">
        <f>'Balance Sheet'!U24-'Balance Sheet'!T24</f>
        <v/>
      </c>
      <c r="V36" s="453">
        <f>'Balance Sheet'!V24-'Balance Sheet'!U24</f>
        <v/>
      </c>
      <c r="W36" s="453">
        <f>U36+V36</f>
        <v/>
      </c>
      <c r="X36" s="453">
        <f>-('Balance Sheet'!W24-'Balance Sheet'!X24)</f>
        <v/>
      </c>
      <c r="Y36" s="453">
        <f>-('Balance Sheet'!X24-'Balance Sheet'!Y24)</f>
        <v/>
      </c>
      <c r="Z36" s="453">
        <f>-('Balance Sheet'!W24-'Balance Sheet'!Z24)</f>
        <v/>
      </c>
      <c r="AA36" s="453">
        <f>-('Balance Sheet'!Z24-'Balance Sheet'!AA24)</f>
        <v/>
      </c>
      <c r="AB36" s="453">
        <f>-('Balance Sheet'!AA24-'Balance Sheet'!AB24)</f>
        <v/>
      </c>
      <c r="AC36" s="453">
        <f>-('Balance Sheet'!Z24-'Balance Sheet'!AC24)</f>
        <v/>
      </c>
      <c r="AD36" s="453">
        <f>-('Balance Sheet'!AC24-'Balance Sheet'!AD24)</f>
        <v/>
      </c>
      <c r="AE36" s="453">
        <f>-('Balance Sheet'!AD24-'Balance Sheet'!AE24)</f>
        <v/>
      </c>
      <c r="AF36" s="453">
        <f>-('Balance Sheet'!AC24-'Balance Sheet'!AF24)</f>
        <v/>
      </c>
      <c r="AG36" s="453">
        <f>-('Balance Sheet'!AF24-'Balance Sheet'!AG24)</f>
        <v/>
      </c>
      <c r="AH36" s="453">
        <f>-('Balance Sheet'!AG24-'Balance Sheet'!AH24)</f>
        <v/>
      </c>
      <c r="AI36" s="453">
        <f>-('Balance Sheet'!AF24-'Balance Sheet'!AI24)</f>
        <v/>
      </c>
    </row>
    <row r="37" ht="12.9" customHeight="1" s="343">
      <c r="B37" s="16" t="inlineStr">
        <is>
          <t>Increase/(Decrease) in other current liabilities</t>
        </is>
      </c>
      <c r="C37" s="452" t="n">
        <v>19.087</v>
      </c>
      <c r="D37" s="466">
        <f>E37-C37</f>
        <v/>
      </c>
      <c r="E37" s="452" t="n">
        <v>-8.673200000000001</v>
      </c>
      <c r="F37" s="452" t="n">
        <v>5.3667</v>
      </c>
      <c r="G37" s="466">
        <f>H37-F37</f>
        <v/>
      </c>
      <c r="H37" s="452" t="n">
        <v>12.0146</v>
      </c>
      <c r="I37" s="452" t="n">
        <v>1.894</v>
      </c>
      <c r="J37" s="466">
        <f>K37-I37</f>
        <v/>
      </c>
      <c r="K37" s="452" t="n">
        <v>10.0085</v>
      </c>
      <c r="L37" s="452" t="n">
        <v>28.3995</v>
      </c>
      <c r="M37" s="466">
        <f>N37-L37</f>
        <v/>
      </c>
      <c r="N37" s="452" t="n">
        <v>81.5457</v>
      </c>
      <c r="O37" s="452" t="n">
        <v>17.7573</v>
      </c>
      <c r="P37" s="466">
        <f>Q37-O37</f>
        <v/>
      </c>
      <c r="Q37" s="452" t="n">
        <v>-16.1041</v>
      </c>
      <c r="R37" s="452" t="n">
        <v>-81.9795</v>
      </c>
      <c r="S37" s="466">
        <f>T37-R37</f>
        <v/>
      </c>
      <c r="T37" s="452" t="n">
        <v>-119.2975</v>
      </c>
      <c r="U37" s="453">
        <f>'Balance Sheet'!U26-'Balance Sheet'!T26</f>
        <v/>
      </c>
      <c r="V37" s="453">
        <f>'Balance Sheet'!V26-'Balance Sheet'!U26</f>
        <v/>
      </c>
      <c r="W37" s="453">
        <f>U37+V37</f>
        <v/>
      </c>
      <c r="X37" s="453">
        <f>-('Balance Sheet'!W26-'Balance Sheet'!X26)</f>
        <v/>
      </c>
      <c r="Y37" s="453">
        <f>-('Balance Sheet'!X26-'Balance Sheet'!Y26)</f>
        <v/>
      </c>
      <c r="Z37" s="453">
        <f>-('Balance Sheet'!W26-'Balance Sheet'!Z26)</f>
        <v/>
      </c>
      <c r="AA37" s="453">
        <f>-('Balance Sheet'!Z26-'Balance Sheet'!AA26)</f>
        <v/>
      </c>
      <c r="AB37" s="453">
        <f>-('Balance Sheet'!AA26-'Balance Sheet'!AB26)</f>
        <v/>
      </c>
      <c r="AC37" s="453">
        <f>-('Balance Sheet'!Z26-'Balance Sheet'!AC26)</f>
        <v/>
      </c>
      <c r="AD37" s="453">
        <f>-('Balance Sheet'!AC26-'Balance Sheet'!AD26)</f>
        <v/>
      </c>
      <c r="AE37" s="453">
        <f>-('Balance Sheet'!AD26-'Balance Sheet'!AE26)</f>
        <v/>
      </c>
      <c r="AF37" s="453">
        <f>-('Balance Sheet'!AC26-'Balance Sheet'!AF26)</f>
        <v/>
      </c>
      <c r="AG37" s="453">
        <f>-('Balance Sheet'!AF26-'Balance Sheet'!AG26)</f>
        <v/>
      </c>
      <c r="AH37" s="453">
        <f>-('Balance Sheet'!AG26-'Balance Sheet'!AH26)</f>
        <v/>
      </c>
      <c r="AI37" s="453">
        <f>-('Balance Sheet'!AF26-'Balance Sheet'!AI26)</f>
        <v/>
      </c>
    </row>
    <row r="38" ht="12.9" customHeight="1" s="343">
      <c r="B38" s="16" t="inlineStr">
        <is>
          <t>Increase/(Decrease) in provisions</t>
        </is>
      </c>
      <c r="C38" s="452" t="n">
        <v>0.181</v>
      </c>
      <c r="D38" s="466">
        <f>E38-C38</f>
        <v/>
      </c>
      <c r="E38" s="452" t="n">
        <v>-0.1983999999999999</v>
      </c>
      <c r="F38" s="452" t="n">
        <v>0.1158</v>
      </c>
      <c r="G38" s="466">
        <f>H38-F38</f>
        <v/>
      </c>
      <c r="H38" s="452" t="n">
        <v>0.2054</v>
      </c>
      <c r="I38" s="452" t="n">
        <v>0.2705</v>
      </c>
      <c r="J38" s="466">
        <f>K38-I38</f>
        <v/>
      </c>
      <c r="K38" s="452" t="n">
        <v>-0.1167</v>
      </c>
      <c r="L38" s="452" t="n">
        <v>0.1416</v>
      </c>
      <c r="M38" s="466">
        <f>N38-L38</f>
        <v/>
      </c>
      <c r="N38" s="452" t="n">
        <v>-0.0693</v>
      </c>
      <c r="O38" s="452" t="n">
        <v>0.6493000000000001</v>
      </c>
      <c r="P38" s="466">
        <f>Q38-O38</f>
        <v/>
      </c>
      <c r="Q38" s="452" t="n">
        <v>1.69</v>
      </c>
      <c r="R38" s="452" t="n">
        <v>0.4431</v>
      </c>
      <c r="S38" s="466">
        <f>T38-R38</f>
        <v/>
      </c>
      <c r="T38" s="452" t="n">
        <v>2.8927</v>
      </c>
      <c r="U38" s="453">
        <f>'Balance Sheet'!U25-'Balance Sheet'!T25</f>
        <v/>
      </c>
      <c r="V38" s="453">
        <f>'Balance Sheet'!V25-'Balance Sheet'!U25</f>
        <v/>
      </c>
      <c r="W38" s="453">
        <f>U38+V38</f>
        <v/>
      </c>
      <c r="X38" s="453">
        <f>-('Balance Sheet'!W25-'Balance Sheet'!X25)</f>
        <v/>
      </c>
      <c r="Y38" s="453">
        <f>-('Balance Sheet'!X25-'Balance Sheet'!Y25)</f>
        <v/>
      </c>
      <c r="Z38" s="453">
        <f>-('Balance Sheet'!W25-'Balance Sheet'!Z25)</f>
        <v/>
      </c>
      <c r="AA38" s="453">
        <f>-('Balance Sheet'!Z25-'Balance Sheet'!AA25)</f>
        <v/>
      </c>
      <c r="AB38" s="453">
        <f>-('Balance Sheet'!AA25-'Balance Sheet'!AB25)</f>
        <v/>
      </c>
      <c r="AC38" s="453">
        <f>-('Balance Sheet'!Z25-'Balance Sheet'!AC25)</f>
        <v/>
      </c>
      <c r="AD38" s="453">
        <f>-('Balance Sheet'!AC25-'Balance Sheet'!AD25)</f>
        <v/>
      </c>
      <c r="AE38" s="453">
        <f>-('Balance Sheet'!AD25-'Balance Sheet'!AE25)</f>
        <v/>
      </c>
      <c r="AF38" s="453">
        <f>-('Balance Sheet'!AC25-'Balance Sheet'!AF25)</f>
        <v/>
      </c>
      <c r="AG38" s="453">
        <f>-('Balance Sheet'!AF25-'Balance Sheet'!AG25)</f>
        <v/>
      </c>
      <c r="AH38" s="453">
        <f>-('Balance Sheet'!AG25-'Balance Sheet'!AH25)</f>
        <v/>
      </c>
      <c r="AI38" s="453">
        <f>-('Balance Sheet'!AF25-'Balance Sheet'!AI25)</f>
        <v/>
      </c>
    </row>
    <row r="39" ht="12.9" customFormat="1" customHeight="1" s="6">
      <c r="B39" s="13" t="inlineStr">
        <is>
          <t>Net Changes in Working Capital</t>
        </is>
      </c>
      <c r="C39" s="474">
        <f>SUM(C31:C38)</f>
        <v/>
      </c>
      <c r="D39" s="474">
        <f>SUM(D31:D38)</f>
        <v/>
      </c>
      <c r="E39" s="474" t="n">
        <v>-6.114600000000009</v>
      </c>
      <c r="F39" s="474">
        <f>SUM(F31:F38)</f>
        <v/>
      </c>
      <c r="G39" s="474">
        <f>SUM(G31:G38)</f>
        <v/>
      </c>
      <c r="H39" s="474" t="n">
        <v>-14.0028</v>
      </c>
      <c r="I39" s="474">
        <f>SUM(I31:I38)</f>
        <v/>
      </c>
      <c r="J39" s="474">
        <f>SUM(J31:J38)</f>
        <v/>
      </c>
      <c r="K39" s="474" t="n">
        <v>-39.82980000000001</v>
      </c>
      <c r="L39" s="474">
        <f>SUM(L31:L38)</f>
        <v/>
      </c>
      <c r="M39" s="474">
        <f>SUM(M31:M38)</f>
        <v/>
      </c>
      <c r="N39" s="474" t="n">
        <v>44.9546</v>
      </c>
      <c r="O39" s="474">
        <f>SUM(O31:O38)</f>
        <v/>
      </c>
      <c r="P39" s="474">
        <f>SUM(P31:P38)</f>
        <v/>
      </c>
      <c r="Q39" s="474">
        <f>SUM(Q31:Q38)</f>
        <v/>
      </c>
      <c r="R39" s="474">
        <f>SUM(R31:R38)</f>
        <v/>
      </c>
      <c r="S39" s="474">
        <f>SUM(S31:S38)</f>
        <v/>
      </c>
      <c r="T39" s="474">
        <f>SUM(T31:T38)</f>
        <v/>
      </c>
      <c r="U39" s="474">
        <f>SUM(U31:U38)</f>
        <v/>
      </c>
      <c r="V39" s="474">
        <f>SUM(V31:V38)</f>
        <v/>
      </c>
      <c r="W39" s="474">
        <f>SUM(W31:W38)</f>
        <v/>
      </c>
      <c r="X39" s="474">
        <f>SUM(X31:X38)</f>
        <v/>
      </c>
      <c r="Y39" s="474">
        <f>SUM(Y31:Y38)</f>
        <v/>
      </c>
      <c r="Z39" s="474">
        <f>SUM(Z31:Z38)</f>
        <v/>
      </c>
      <c r="AA39" s="474">
        <f>SUM(AA31:AA38)</f>
        <v/>
      </c>
      <c r="AB39" s="474">
        <f>SUM(AB31:AB38)</f>
        <v/>
      </c>
      <c r="AC39" s="474">
        <f>SUM(AC31:AC38)</f>
        <v/>
      </c>
      <c r="AD39" s="474">
        <f>SUM(AD31:AD38)</f>
        <v/>
      </c>
      <c r="AE39" s="474">
        <f>SUM(AE31:AE38)</f>
        <v/>
      </c>
      <c r="AF39" s="474">
        <f>SUM(AF31:AF38)</f>
        <v/>
      </c>
      <c r="AG39" s="474">
        <f>SUM(AG31:AG38)</f>
        <v/>
      </c>
      <c r="AH39" s="474">
        <f>SUM(AH31:AH38)</f>
        <v/>
      </c>
      <c r="AI39" s="474">
        <f>SUM(AI31:AI38)</f>
        <v/>
      </c>
    </row>
    <row r="40" ht="12.9" customFormat="1" customHeight="1" s="6">
      <c r="B40" s="13" t="inlineStr">
        <is>
          <t>Cash Generated from Operations</t>
        </is>
      </c>
      <c r="C40" s="474">
        <f>C29+C39</f>
        <v/>
      </c>
      <c r="D40" s="474">
        <f>D29+D39</f>
        <v/>
      </c>
      <c r="E40" s="474" t="n">
        <v>65.27549999999997</v>
      </c>
      <c r="F40" s="474">
        <f>F29+F39</f>
        <v/>
      </c>
      <c r="G40" s="474">
        <f>G29+G39</f>
        <v/>
      </c>
      <c r="H40" s="474" t="n">
        <v>58.33780000000003</v>
      </c>
      <c r="I40" s="474">
        <f>I29+I39</f>
        <v/>
      </c>
      <c r="J40" s="474">
        <f>J29+J39</f>
        <v/>
      </c>
      <c r="K40" s="474" t="n">
        <v>43.12959999999998</v>
      </c>
      <c r="L40" s="474">
        <f>L29+L39</f>
        <v/>
      </c>
      <c r="M40" s="474">
        <f>M29+M39</f>
        <v/>
      </c>
      <c r="N40" s="474">
        <f>N29+N39</f>
        <v/>
      </c>
      <c r="O40" s="474">
        <f>O29+O39</f>
        <v/>
      </c>
      <c r="P40" s="474">
        <f>P29+P39</f>
        <v/>
      </c>
      <c r="Q40" s="474">
        <f>Q29+Q39</f>
        <v/>
      </c>
      <c r="R40" s="474">
        <f>R29+R39</f>
        <v/>
      </c>
      <c r="S40" s="474">
        <f>S29+S39</f>
        <v/>
      </c>
      <c r="T40" s="474">
        <f>T29+T39</f>
        <v/>
      </c>
      <c r="U40" s="474">
        <f>U29+U39</f>
        <v/>
      </c>
      <c r="V40" s="474">
        <f>V29+V39</f>
        <v/>
      </c>
      <c r="W40" s="474">
        <f>W29+W39</f>
        <v/>
      </c>
      <c r="X40" s="474">
        <f>X29+X39</f>
        <v/>
      </c>
      <c r="Y40" s="474">
        <f>Y29+Y39</f>
        <v/>
      </c>
      <c r="Z40" s="474">
        <f>Z29+Z39</f>
        <v/>
      </c>
      <c r="AA40" s="474">
        <f>AA29+AA39</f>
        <v/>
      </c>
      <c r="AB40" s="474">
        <f>AB29+AB39</f>
        <v/>
      </c>
      <c r="AC40" s="474">
        <f>AC29+AC39</f>
        <v/>
      </c>
      <c r="AD40" s="474">
        <f>AD29+AD39</f>
        <v/>
      </c>
      <c r="AE40" s="474">
        <f>AE29+AE39</f>
        <v/>
      </c>
      <c r="AF40" s="474">
        <f>AF29+AF39</f>
        <v/>
      </c>
      <c r="AG40" s="474">
        <f>AG29+AG39</f>
        <v/>
      </c>
      <c r="AH40" s="474">
        <f>AH29+AH39</f>
        <v/>
      </c>
      <c r="AI40" s="474">
        <f>AI29+AI39</f>
        <v/>
      </c>
    </row>
    <row r="41" ht="12.9" customHeight="1" s="343">
      <c r="B41" s="16" t="inlineStr">
        <is>
          <t>Direct Taxes paid (Net of Tax refund)</t>
        </is>
      </c>
      <c r="C41" s="452" t="n">
        <v>-4.633500000000001</v>
      </c>
      <c r="D41" s="466">
        <f>E41-C41</f>
        <v/>
      </c>
      <c r="E41" s="452" t="n">
        <v>-12.2944</v>
      </c>
      <c r="F41" s="452" t="n">
        <v>-4.2634</v>
      </c>
      <c r="G41" s="466">
        <f>H41-F41</f>
        <v/>
      </c>
      <c r="H41" s="452" t="n">
        <v>15.7049</v>
      </c>
      <c r="I41" s="452" t="n">
        <v>-6.1715</v>
      </c>
      <c r="J41" s="466">
        <f>K41-I41</f>
        <v/>
      </c>
      <c r="K41" s="452" t="n">
        <v>-13.1125</v>
      </c>
      <c r="L41" s="452" t="n">
        <v>-8.944009999999999</v>
      </c>
      <c r="M41" s="466">
        <f>N41-L41</f>
        <v/>
      </c>
      <c r="N41" s="452" t="n">
        <v>-10.0262</v>
      </c>
      <c r="O41" s="452" t="n">
        <v>-12.8494</v>
      </c>
      <c r="P41" s="466">
        <f>Q41-O41</f>
        <v/>
      </c>
      <c r="Q41" s="452" t="n">
        <v>-28.2461</v>
      </c>
      <c r="R41" s="452" t="n">
        <v>-13.7643</v>
      </c>
      <c r="S41" s="466">
        <f>T41-R41</f>
        <v/>
      </c>
      <c r="T41" s="452" t="n">
        <v>-30.6684</v>
      </c>
      <c r="U41" s="453">
        <f>-'Income Statement'!U41+('Balance Sheet'!U27-'Balance Sheet'!T27)+('Balance Sheet'!T52-'Balance Sheet'!U52)</f>
        <v/>
      </c>
      <c r="V41" s="453">
        <f>-'Income Statement'!V41+('Balance Sheet'!V27-'Balance Sheet'!U27)+('Balance Sheet'!U52-'Balance Sheet'!V52)</f>
        <v/>
      </c>
      <c r="W41" s="453">
        <f>U41+V41</f>
        <v/>
      </c>
      <c r="X41" s="453">
        <f>-'Income Statement'!X41+('Balance Sheet'!X27-'Balance Sheet'!W27)+('Balance Sheet'!W52-'Balance Sheet'!X52)</f>
        <v/>
      </c>
      <c r="Y41" s="453">
        <f>-'Income Statement'!Y41+('Balance Sheet'!Y27-'Balance Sheet'!X27)+('Balance Sheet'!X52-'Balance Sheet'!Y52)</f>
        <v/>
      </c>
      <c r="Z41" s="453">
        <f>-'Income Statement'!Z41</f>
        <v/>
      </c>
      <c r="AA41" s="453">
        <f>-'Income Statement'!AA41+('Balance Sheet'!AA27-'Balance Sheet'!Z27)+('Balance Sheet'!Z52-'Balance Sheet'!AA52)</f>
        <v/>
      </c>
      <c r="AB41" s="453">
        <f>-'Income Statement'!AB41+('Balance Sheet'!AB27-'Balance Sheet'!AA27)+('Balance Sheet'!AA52-'Balance Sheet'!AB52)</f>
        <v/>
      </c>
      <c r="AC41" s="453">
        <f>-'Income Statement'!AC41</f>
        <v/>
      </c>
      <c r="AD41" s="453">
        <f>-'Income Statement'!AD41+('Balance Sheet'!AD27-'Balance Sheet'!AC27)+('Balance Sheet'!AC52-'Balance Sheet'!AD52)</f>
        <v/>
      </c>
      <c r="AE41" s="453">
        <f>-'Income Statement'!AE41+('Balance Sheet'!AE27-'Balance Sheet'!AD27)+('Balance Sheet'!AD52-'Balance Sheet'!AE52)</f>
        <v/>
      </c>
      <c r="AF41" s="453">
        <f>-'Income Statement'!AF41</f>
        <v/>
      </c>
      <c r="AG41" s="453">
        <f>-'Income Statement'!AG41+('Balance Sheet'!AG27-'Balance Sheet'!AF27)+('Balance Sheet'!AF52-'Balance Sheet'!AG52)</f>
        <v/>
      </c>
      <c r="AH41" s="453">
        <f>-'Income Statement'!AH41+('Balance Sheet'!AH27-'Balance Sheet'!AG27)+('Balance Sheet'!AG52-'Balance Sheet'!AH52)</f>
        <v/>
      </c>
      <c r="AI41" s="453">
        <f>-'Income Statement'!AI41</f>
        <v/>
      </c>
    </row>
    <row r="42" ht="12.9" customFormat="1" customHeight="1" s="6">
      <c r="B42" s="13" t="inlineStr">
        <is>
          <t>Net Cash Flow from Operating Activities</t>
        </is>
      </c>
      <c r="C42" s="474">
        <f>SUM(C40:C41)</f>
        <v/>
      </c>
      <c r="D42" s="474">
        <f>SUM(D40:D41)</f>
        <v/>
      </c>
      <c r="E42" s="474">
        <f>SUM(E40:E41)</f>
        <v/>
      </c>
      <c r="F42" s="474">
        <f>SUM(F40:F41)</f>
        <v/>
      </c>
      <c r="G42" s="474">
        <f>SUM(G40:G41)</f>
        <v/>
      </c>
      <c r="H42" s="474">
        <f>SUM(H40:H41)</f>
        <v/>
      </c>
      <c r="I42" s="474">
        <f>SUM(I40:I41)</f>
        <v/>
      </c>
      <c r="J42" s="474">
        <f>SUM(J40:J41)</f>
        <v/>
      </c>
      <c r="K42" s="474">
        <f>SUM(K40:K41)</f>
        <v/>
      </c>
      <c r="L42" s="474">
        <f>SUM(L40:L41)</f>
        <v/>
      </c>
      <c r="M42" s="474">
        <f>SUM(M40:M41)</f>
        <v/>
      </c>
      <c r="N42" s="474">
        <f>SUM(N40:N41)</f>
        <v/>
      </c>
      <c r="O42" s="474">
        <f>SUM(O40:O41)</f>
        <v/>
      </c>
      <c r="P42" s="474">
        <f>SUM(P40:P41)</f>
        <v/>
      </c>
      <c r="Q42" s="474">
        <f>SUM(Q40:Q41)</f>
        <v/>
      </c>
      <c r="R42" s="474">
        <f>SUM(R40:R41)</f>
        <v/>
      </c>
      <c r="S42" s="474">
        <f>SUM(S40:S41)</f>
        <v/>
      </c>
      <c r="T42" s="474">
        <f>SUM(T40:T41)</f>
        <v/>
      </c>
      <c r="U42" s="474">
        <f>SUM(U40:U41)</f>
        <v/>
      </c>
      <c r="V42" s="474">
        <f>SUM(V40:V41)</f>
        <v/>
      </c>
      <c r="W42" s="474">
        <f>SUM(W40:W41)</f>
        <v/>
      </c>
      <c r="X42" s="474">
        <f>SUM(X40:X41)</f>
        <v/>
      </c>
      <c r="Y42" s="474">
        <f>SUM(Y40:Y41)</f>
        <v/>
      </c>
      <c r="Z42" s="474">
        <f>SUM(Z40:Z41)</f>
        <v/>
      </c>
      <c r="AA42" s="474">
        <f>SUM(AA40:AA41)</f>
        <v/>
      </c>
      <c r="AB42" s="474">
        <f>SUM(AB40:AB41)</f>
        <v/>
      </c>
      <c r="AC42" s="474">
        <f>SUM(AC40:AC41)</f>
        <v/>
      </c>
      <c r="AD42" s="474">
        <f>SUM(AD40:AD41)</f>
        <v/>
      </c>
      <c r="AE42" s="474">
        <f>SUM(AE40:AE41)</f>
        <v/>
      </c>
      <c r="AF42" s="474">
        <f>SUM(AF40:AF41)</f>
        <v/>
      </c>
      <c r="AG42" s="474">
        <f>SUM(AG40:AG41)</f>
        <v/>
      </c>
      <c r="AH42" s="474">
        <f>SUM(AH40:AH41)</f>
        <v/>
      </c>
      <c r="AI42" s="474">
        <f>SUM(AI40:AI41)</f>
        <v/>
      </c>
    </row>
    <row r="43" hidden="1" outlineLevel="1" ht="12.9" customFormat="1" customHeight="1" s="193">
      <c r="B43" s="178" t="inlineStr">
        <is>
          <t>check</t>
        </is>
      </c>
      <c r="C43" s="475" t="n">
        <v>66.134</v>
      </c>
      <c r="D43" s="475" t="n"/>
      <c r="E43" s="475" t="n">
        <v>52.98109999999996</v>
      </c>
      <c r="F43" s="475" t="n">
        <v>43.40049999999999</v>
      </c>
      <c r="G43" s="475" t="n"/>
      <c r="H43" s="475" t="n">
        <v>74.04270000000002</v>
      </c>
      <c r="I43" s="475" t="n">
        <v>27.5785</v>
      </c>
      <c r="J43" s="475" t="n"/>
      <c r="K43" s="475" t="n">
        <v>30.01709999999998</v>
      </c>
      <c r="L43" s="475" t="n">
        <v>95.67259000000001</v>
      </c>
      <c r="M43" s="475" t="n"/>
      <c r="N43" s="475" t="n">
        <v>169.3843</v>
      </c>
      <c r="O43" s="475" t="n">
        <v>-15.85620000000003</v>
      </c>
      <c r="P43" s="475" t="n"/>
      <c r="Q43" s="475" t="n">
        <v>-7.153299999999991</v>
      </c>
      <c r="R43" s="475" t="n">
        <v>-62.19269999999999</v>
      </c>
      <c r="S43" s="475" t="n"/>
      <c r="T43" s="475" t="n">
        <v>2.1621</v>
      </c>
      <c r="U43" s="476" t="n"/>
      <c r="V43" s="476" t="n"/>
      <c r="W43" s="476" t="n"/>
      <c r="X43" s="476" t="n"/>
      <c r="Y43" s="476" t="n"/>
      <c r="Z43" s="476" t="n"/>
      <c r="AA43" s="476" t="n"/>
      <c r="AB43" s="476" t="n"/>
      <c r="AC43" s="476" t="n"/>
      <c r="AD43" s="476" t="n"/>
      <c r="AE43" s="476" t="n"/>
      <c r="AF43" s="476" t="n"/>
      <c r="AG43" s="476" t="n"/>
      <c r="AH43" s="476" t="n"/>
      <c r="AI43" s="476" t="n"/>
    </row>
    <row r="44" hidden="1" outlineLevel="1" ht="12.9" customFormat="1" customHeight="1" s="193">
      <c r="B44" s="178" t="inlineStr">
        <is>
          <t>difference</t>
        </is>
      </c>
      <c r="C44" s="475">
        <f>C42-C43</f>
        <v/>
      </c>
      <c r="D44" s="475" t="n"/>
      <c r="E44" s="475">
        <f>E42-E43</f>
        <v/>
      </c>
      <c r="F44" s="475">
        <f>F42-F43</f>
        <v/>
      </c>
      <c r="G44" s="475" t="n"/>
      <c r="H44" s="475">
        <f>H42-H43</f>
        <v/>
      </c>
      <c r="I44" s="475">
        <f>I42-I43</f>
        <v/>
      </c>
      <c r="J44" s="475" t="n"/>
      <c r="K44" s="475">
        <f>K42-K43</f>
        <v/>
      </c>
      <c r="L44" s="475">
        <f>L42-L43</f>
        <v/>
      </c>
      <c r="M44" s="475" t="n"/>
      <c r="N44" s="475">
        <f>N42-N43</f>
        <v/>
      </c>
      <c r="O44" s="475">
        <f>O42-O43</f>
        <v/>
      </c>
      <c r="P44" s="475" t="n"/>
      <c r="Q44" s="475">
        <f>Q42-Q43</f>
        <v/>
      </c>
      <c r="R44" s="475">
        <f>R42-R43</f>
        <v/>
      </c>
      <c r="S44" s="475" t="n"/>
      <c r="T44" s="475">
        <f>T42-T43</f>
        <v/>
      </c>
      <c r="U44" s="476" t="n"/>
      <c r="V44" s="476" t="n"/>
      <c r="W44" s="476" t="n"/>
      <c r="X44" s="476" t="n"/>
      <c r="Y44" s="476" t="n"/>
      <c r="Z44" s="476" t="n"/>
      <c r="AA44" s="476" t="n"/>
      <c r="AB44" s="476" t="n"/>
      <c r="AC44" s="476" t="n"/>
      <c r="AD44" s="476" t="n"/>
      <c r="AE44" s="476" t="n"/>
      <c r="AF44" s="476" t="n"/>
      <c r="AG44" s="476" t="n"/>
      <c r="AH44" s="476" t="n"/>
      <c r="AI44" s="476" t="n"/>
    </row>
    <row r="45" collapsed="1" ht="12.9" customHeight="1" s="343">
      <c r="B45" s="13" t="n"/>
      <c r="C45" s="466" t="n"/>
      <c r="D45" s="466" t="n"/>
      <c r="E45" s="466" t="n"/>
      <c r="F45" s="466" t="n"/>
      <c r="G45" s="466" t="n"/>
      <c r="H45" s="466" t="n"/>
      <c r="I45" s="466" t="n"/>
      <c r="J45" s="466" t="n"/>
      <c r="K45" s="466" t="n"/>
      <c r="L45" s="466" t="n"/>
      <c r="M45" s="466" t="n"/>
      <c r="N45" s="466" t="n"/>
      <c r="O45" s="466" t="n"/>
      <c r="P45" s="466" t="n"/>
      <c r="Q45" s="466" t="n"/>
      <c r="R45" s="466" t="n"/>
      <c r="S45" s="466" t="n"/>
      <c r="T45" s="466" t="n"/>
    </row>
    <row r="46" ht="12.9" customHeight="1" s="343">
      <c r="B46" s="13" t="inlineStr">
        <is>
          <t>Cash Flow from Investing Activities</t>
        </is>
      </c>
      <c r="C46" s="466" t="n"/>
      <c r="D46" s="466" t="n"/>
      <c r="E46" s="466" t="n"/>
      <c r="F46" s="466" t="n"/>
      <c r="G46" s="466" t="n"/>
      <c r="H46" s="466" t="n"/>
      <c r="I46" s="466" t="n"/>
      <c r="J46" s="466" t="n"/>
      <c r="K46" s="466" t="n"/>
      <c r="L46" s="466" t="n"/>
      <c r="M46" s="466" t="n"/>
      <c r="N46" s="466" t="n"/>
      <c r="O46" s="466" t="n"/>
      <c r="P46" s="466" t="n"/>
      <c r="Q46" s="466" t="n"/>
      <c r="R46" s="466" t="n"/>
      <c r="S46" s="466" t="n"/>
      <c r="T46" s="466" t="n"/>
    </row>
    <row r="47" ht="12.9" customHeight="1" s="343">
      <c r="B47" s="16" t="inlineStr">
        <is>
          <t>Payments for Property, Plant &amp; Equipment, Intangible Assets (including work in progress &amp; Capital advances)</t>
        </is>
      </c>
      <c r="C47" s="452" t="n">
        <v>-34.7196</v>
      </c>
      <c r="D47" s="466">
        <f>E47-C47</f>
        <v/>
      </c>
      <c r="E47" s="452" t="n">
        <v>-40.2812</v>
      </c>
      <c r="F47" s="452" t="n">
        <v>-2.6373</v>
      </c>
      <c r="G47" s="466">
        <f>H47-F47</f>
        <v/>
      </c>
      <c r="H47" s="452" t="n">
        <v>-41.55180000000001</v>
      </c>
      <c r="I47" s="452" t="n">
        <v>-38.0977</v>
      </c>
      <c r="J47" s="466">
        <f>K47-I47</f>
        <v/>
      </c>
      <c r="K47" s="452" t="n">
        <v>-74.9186</v>
      </c>
      <c r="L47" s="452" t="n">
        <v>-18.4411</v>
      </c>
      <c r="M47" s="466">
        <f>N47-L47</f>
        <v/>
      </c>
      <c r="N47" s="452" t="n">
        <v>-42.91180000000001</v>
      </c>
      <c r="O47" s="452" t="n">
        <v>-22.0158</v>
      </c>
      <c r="P47" s="466">
        <f>Q47-O47</f>
        <v/>
      </c>
      <c r="Q47" s="452" t="n">
        <v>-44.6183</v>
      </c>
      <c r="R47" s="452" t="n">
        <v>-38.5815</v>
      </c>
      <c r="S47" s="466">
        <f>T47-R47</f>
        <v/>
      </c>
      <c r="T47" s="452" t="n">
        <v>-52.8782</v>
      </c>
      <c r="U47" s="453">
        <f>-('Balance Sheet'!U64)+('Balance Sheet'!T36-'Balance Sheet'!U36)+('Balance Sheet'!T38-'Balance Sheet'!U38)+('Balance Sheet'!T39-'Balance Sheet'!U39)</f>
        <v/>
      </c>
      <c r="V47" s="453">
        <f>-('Balance Sheet'!V64)+('Balance Sheet'!U36-'Balance Sheet'!V36)+('Balance Sheet'!U38-'Balance Sheet'!V38)+('Balance Sheet'!U39-'Balance Sheet'!V39)</f>
        <v/>
      </c>
      <c r="W47" s="453">
        <f>U47+V47</f>
        <v/>
      </c>
      <c r="X47" s="453">
        <f>-('Balance Sheet'!X64)+('Balance Sheet'!W36-'Balance Sheet'!X36)+('Balance Sheet'!W38-'Balance Sheet'!X38)+('Balance Sheet'!W39-'Balance Sheet'!X39)</f>
        <v/>
      </c>
      <c r="Y47" s="453">
        <f>-('Balance Sheet'!Y64)+('Balance Sheet'!X36-'Balance Sheet'!Y36)+('Balance Sheet'!X38-'Balance Sheet'!Y38)+('Balance Sheet'!X39-'Balance Sheet'!Y39)</f>
        <v/>
      </c>
      <c r="Z47" s="453">
        <f>X47+Y47</f>
        <v/>
      </c>
      <c r="AA47" s="453">
        <f>-('Balance Sheet'!AA64)+('Balance Sheet'!Z36-'Balance Sheet'!AA36)+('Balance Sheet'!Z38-'Balance Sheet'!AA38)+('Balance Sheet'!Z39-'Balance Sheet'!AA39)</f>
        <v/>
      </c>
      <c r="AB47" s="453">
        <f>-('Balance Sheet'!AB64)+('Balance Sheet'!AA36-'Balance Sheet'!AB36)+('Balance Sheet'!AA38-'Balance Sheet'!AB38)+('Balance Sheet'!AA39-'Balance Sheet'!AB39)</f>
        <v/>
      </c>
      <c r="AC47" s="453">
        <f>AA47+AB47</f>
        <v/>
      </c>
      <c r="AD47" s="453">
        <f>-('Balance Sheet'!AD64)+('Balance Sheet'!AC36-'Balance Sheet'!AD36)+('Balance Sheet'!AC38-'Balance Sheet'!AD38)+('Balance Sheet'!AC39-'Balance Sheet'!AD39)</f>
        <v/>
      </c>
      <c r="AE47" s="453">
        <f>-('Balance Sheet'!AE64)+('Balance Sheet'!AD36-'Balance Sheet'!AE36)+('Balance Sheet'!AD38-'Balance Sheet'!AE38)+('Balance Sheet'!AD39-'Balance Sheet'!AE39)</f>
        <v/>
      </c>
      <c r="AF47" s="453">
        <f>AD47+AE47</f>
        <v/>
      </c>
      <c r="AG47" s="453">
        <f>-('Balance Sheet'!AG64)+('Balance Sheet'!AF36-'Balance Sheet'!AG36)+('Balance Sheet'!AF38-'Balance Sheet'!AG38)+('Balance Sheet'!AF39-'Balance Sheet'!AG39)</f>
        <v/>
      </c>
      <c r="AH47" s="453">
        <f>-('Balance Sheet'!AH64)+('Balance Sheet'!AG36-'Balance Sheet'!AH36)+('Balance Sheet'!AG38-'Balance Sheet'!AH38)+('Balance Sheet'!AG39-'Balance Sheet'!AH39)</f>
        <v/>
      </c>
      <c r="AI47" s="453">
        <f>AG47+AH47</f>
        <v/>
      </c>
    </row>
    <row r="48" hidden="1" outlineLevel="1" ht="12.9" customHeight="1" s="343">
      <c r="B48" s="16" t="inlineStr">
        <is>
          <t>Proceeds from disposal of Property, Plant &amp; Equipment</t>
        </is>
      </c>
      <c r="C48" s="452" t="n">
        <v>0.0104</v>
      </c>
      <c r="D48" s="466">
        <f>E48-C48</f>
        <v/>
      </c>
      <c r="E48" s="452" t="n">
        <v>0.2421</v>
      </c>
      <c r="F48" s="452" t="n">
        <v>0.1478</v>
      </c>
      <c r="G48" s="466">
        <f>H48-F48</f>
        <v/>
      </c>
      <c r="H48" s="452" t="n">
        <v>0.166</v>
      </c>
      <c r="I48" s="452" t="n">
        <v>0.034</v>
      </c>
      <c r="J48" s="466">
        <f>K48-I48</f>
        <v/>
      </c>
      <c r="K48" s="452" t="n">
        <v>0.1747</v>
      </c>
      <c r="L48" s="452" t="n">
        <v>0.1504</v>
      </c>
      <c r="M48" s="466">
        <f>N48-L48</f>
        <v/>
      </c>
      <c r="N48" s="452" t="n">
        <v>0.3018</v>
      </c>
      <c r="O48" s="452" t="n">
        <v>0.6875</v>
      </c>
      <c r="P48" s="466">
        <f>Q48-O48</f>
        <v/>
      </c>
      <c r="Q48" s="452" t="n">
        <v>0.9450000000000001</v>
      </c>
      <c r="R48" s="452" t="n">
        <v>0.1171</v>
      </c>
      <c r="S48" s="466">
        <f>T48-R48</f>
        <v/>
      </c>
      <c r="T48" s="452" t="n">
        <v>0.1607</v>
      </c>
      <c r="W48" s="453">
        <f>U48+V48</f>
        <v/>
      </c>
      <c r="Z48" s="453">
        <f>X48+Y48</f>
        <v/>
      </c>
      <c r="AC48" s="453">
        <f>AA48+AB48</f>
        <v/>
      </c>
      <c r="AF48" s="453">
        <f>AD48+AE48</f>
        <v/>
      </c>
      <c r="AI48" s="453">
        <f>AG48+AH48</f>
        <v/>
      </c>
    </row>
    <row r="49" hidden="1" outlineLevel="1" ht="12.9" customHeight="1" s="343">
      <c r="B49" s="16" t="inlineStr">
        <is>
          <t>Investment in Subsidiary</t>
        </is>
      </c>
      <c r="C49" s="452" t="n">
        <v>0</v>
      </c>
      <c r="D49" s="466">
        <f>E49-C49</f>
        <v/>
      </c>
      <c r="E49" s="452" t="n">
        <v>0</v>
      </c>
      <c r="F49" s="452" t="n">
        <v>0</v>
      </c>
      <c r="G49" s="466">
        <f>H49-F49</f>
        <v/>
      </c>
      <c r="H49" s="452" t="n">
        <v>0</v>
      </c>
      <c r="I49" s="452" t="n">
        <v>0</v>
      </c>
      <c r="J49" s="466">
        <f>K49-I49</f>
        <v/>
      </c>
      <c r="K49" s="452" t="n">
        <v>0</v>
      </c>
      <c r="L49" s="452" t="n">
        <v>0</v>
      </c>
      <c r="M49" s="466">
        <f>N49-L49</f>
        <v/>
      </c>
      <c r="N49" s="452" t="n">
        <v>0</v>
      </c>
      <c r="O49" s="452" t="n">
        <v>-33</v>
      </c>
      <c r="P49" s="466">
        <f>Q49-O49</f>
        <v/>
      </c>
      <c r="Q49" s="452" t="n">
        <v>-33</v>
      </c>
      <c r="R49" s="452" t="n">
        <v>0</v>
      </c>
      <c r="S49" s="466">
        <f>T49-R49</f>
        <v/>
      </c>
      <c r="T49" s="452" t="n">
        <v>0</v>
      </c>
      <c r="U49" s="453">
        <f>'Balance Sheet'!T37-'Balance Sheet'!U37</f>
        <v/>
      </c>
      <c r="V49" s="453">
        <f>'Balance Sheet'!U37-'Balance Sheet'!V37</f>
        <v/>
      </c>
      <c r="W49" s="453">
        <f>U49+V49</f>
        <v/>
      </c>
      <c r="X49" s="453">
        <f>'Balance Sheet'!W37-'Balance Sheet'!X37</f>
        <v/>
      </c>
      <c r="Y49" s="453">
        <f>'Balance Sheet'!X37-'Balance Sheet'!Y37</f>
        <v/>
      </c>
      <c r="Z49" s="453">
        <f>X49+Y49</f>
        <v/>
      </c>
      <c r="AA49" s="453">
        <f>'Balance Sheet'!Z37-'Balance Sheet'!AA37</f>
        <v/>
      </c>
      <c r="AB49" s="453">
        <f>'Balance Sheet'!AA37-'Balance Sheet'!AB37</f>
        <v/>
      </c>
      <c r="AC49" s="453">
        <f>AA49+AB49</f>
        <v/>
      </c>
      <c r="AD49" s="453">
        <f>'Balance Sheet'!AC37-'Balance Sheet'!AD37</f>
        <v/>
      </c>
      <c r="AE49" s="453">
        <f>'Balance Sheet'!AD37-'Balance Sheet'!AE37</f>
        <v/>
      </c>
      <c r="AF49" s="453">
        <f>AD49+AE49</f>
        <v/>
      </c>
      <c r="AG49" s="453">
        <f>'Balance Sheet'!AF37-'Balance Sheet'!AG37</f>
        <v/>
      </c>
      <c r="AH49" s="453">
        <f>'Balance Sheet'!AG37-'Balance Sheet'!AH37</f>
        <v/>
      </c>
      <c r="AI49" s="453">
        <f>AG49+AH49</f>
        <v/>
      </c>
    </row>
    <row r="50" hidden="1" outlineLevel="1" ht="12.9" customHeight="1" s="343">
      <c r="B50" s="16" t="inlineStr">
        <is>
          <t>Purchase of Current Investments</t>
        </is>
      </c>
      <c r="C50" s="452" t="n">
        <v>0</v>
      </c>
      <c r="D50" s="466">
        <f>E50-C50</f>
        <v/>
      </c>
      <c r="E50" s="452" t="n">
        <v>0</v>
      </c>
      <c r="F50" s="452" t="n">
        <v>0</v>
      </c>
      <c r="G50" s="466">
        <f>H50-F50</f>
        <v/>
      </c>
      <c r="H50" s="452" t="n">
        <v>0</v>
      </c>
      <c r="I50" s="452" t="n">
        <v>0</v>
      </c>
      <c r="J50" s="466">
        <f>K50-I50</f>
        <v/>
      </c>
      <c r="K50" s="452" t="n">
        <v>0</v>
      </c>
      <c r="L50" s="452" t="n">
        <v>-88.27079999999999</v>
      </c>
      <c r="M50" s="466">
        <f>N50-L50</f>
        <v/>
      </c>
      <c r="N50" s="452" t="n">
        <v>-102.1076</v>
      </c>
      <c r="O50" s="452" t="n">
        <v>0</v>
      </c>
      <c r="P50" s="466">
        <f>Q50-O50</f>
        <v/>
      </c>
      <c r="Q50" s="452" t="n">
        <v>0</v>
      </c>
      <c r="R50" s="452" t="n">
        <v>0</v>
      </c>
      <c r="S50" s="466">
        <f>T50-R50</f>
        <v/>
      </c>
      <c r="T50" s="452" t="n">
        <v>0</v>
      </c>
      <c r="W50" s="453">
        <f>U50+V50</f>
        <v/>
      </c>
      <c r="Z50" s="453">
        <f>X50+Y50</f>
        <v/>
      </c>
      <c r="AC50" s="453">
        <f>AA50+AB50</f>
        <v/>
      </c>
      <c r="AF50" s="453">
        <f>AD50+AE50</f>
        <v/>
      </c>
      <c r="AI50" s="453">
        <f>AG50+AH50</f>
        <v/>
      </c>
    </row>
    <row r="51" hidden="1" outlineLevel="1" ht="12.9" customHeight="1" s="343">
      <c r="B51" s="16" t="inlineStr">
        <is>
          <t>Sale of Current Investments</t>
        </is>
      </c>
      <c r="C51" s="452" t="n">
        <v>44.9339</v>
      </c>
      <c r="D51" s="466">
        <f>E51-C51</f>
        <v/>
      </c>
      <c r="E51" s="452" t="n">
        <v>44.9339</v>
      </c>
      <c r="F51" s="452" t="n">
        <v>0</v>
      </c>
      <c r="G51" s="466">
        <f>H51-F51</f>
        <v/>
      </c>
      <c r="H51" s="452" t="n">
        <v>0</v>
      </c>
      <c r="I51" s="452" t="n">
        <v>0</v>
      </c>
      <c r="J51" s="466">
        <f>K51-I51</f>
        <v/>
      </c>
      <c r="K51" s="452" t="n">
        <v>0</v>
      </c>
      <c r="L51" s="452" t="n">
        <v>0</v>
      </c>
      <c r="M51" s="466">
        <f>N51-L51</f>
        <v/>
      </c>
      <c r="N51" s="452" t="n">
        <v>2.8948</v>
      </c>
      <c r="O51" s="452" t="n">
        <v>83.29639999999999</v>
      </c>
      <c r="P51" s="466">
        <f>Q51-O51</f>
        <v/>
      </c>
      <c r="Q51" s="452" t="n">
        <v>96.2296</v>
      </c>
      <c r="R51" s="452" t="n">
        <v>10.7096</v>
      </c>
      <c r="S51" s="466">
        <f>T51-R51</f>
        <v/>
      </c>
      <c r="T51" s="452" t="n">
        <v>10.7527</v>
      </c>
      <c r="W51" s="453">
        <f>U51+V51</f>
        <v/>
      </c>
      <c r="Z51" s="453">
        <f>X51+Y51</f>
        <v/>
      </c>
      <c r="AC51" s="453">
        <f>AA51+AB51</f>
        <v/>
      </c>
      <c r="AF51" s="453">
        <f>AD51+AE51</f>
        <v/>
      </c>
      <c r="AI51" s="453">
        <f>AG51+AH51</f>
        <v/>
      </c>
    </row>
    <row r="52" hidden="1" outlineLevel="1" ht="12.9" customHeight="1" s="343">
      <c r="B52" s="16" t="inlineStr">
        <is>
          <t>Changes in other bank balances not considered as cash and cash</t>
        </is>
      </c>
      <c r="C52" s="452" t="n">
        <v>-31.064</v>
      </c>
      <c r="D52" s="466">
        <f>E52-C52</f>
        <v/>
      </c>
      <c r="E52" s="452" t="n">
        <v>-18.5228</v>
      </c>
      <c r="F52" s="452" t="n">
        <v>-23.1996</v>
      </c>
      <c r="G52" s="466">
        <f>H52-F52</f>
        <v/>
      </c>
      <c r="H52" s="452" t="n">
        <v>-23.5587</v>
      </c>
      <c r="I52" s="452" t="n">
        <v>24.9017</v>
      </c>
      <c r="J52" s="466">
        <f>K52-I52</f>
        <v/>
      </c>
      <c r="K52" s="452" t="n">
        <v>40.0825</v>
      </c>
      <c r="L52" s="452" t="n">
        <v>-1.272</v>
      </c>
      <c r="M52" s="466">
        <f>N52-L52</f>
        <v/>
      </c>
      <c r="N52" s="452" t="n">
        <v>-10.9406</v>
      </c>
      <c r="O52" s="452" t="n">
        <v>9.134500000000001</v>
      </c>
      <c r="P52" s="466">
        <f>Q52-O52</f>
        <v/>
      </c>
      <c r="Q52" s="452" t="n">
        <v>0.1156000000000006</v>
      </c>
      <c r="R52" s="452" t="n">
        <v>-1.2166</v>
      </c>
      <c r="S52" s="466">
        <f>T52-R52</f>
        <v/>
      </c>
      <c r="T52" s="452" t="n">
        <v>4.616</v>
      </c>
      <c r="U52" s="453">
        <f>('Balance Sheet'!T41-'Balance Sheet'!U41)+('Balance Sheet'!T42-'Balance Sheet'!U42)+('Balance Sheet'!T50-'Balance Sheet'!U50)</f>
        <v/>
      </c>
      <c r="V52" s="453">
        <f>('Balance Sheet'!U41-'Balance Sheet'!V41)+('Balance Sheet'!U42-'Balance Sheet'!V42)+('Balance Sheet'!U50-'Balance Sheet'!V50)</f>
        <v/>
      </c>
      <c r="W52" s="453">
        <f>U52+V52</f>
        <v/>
      </c>
      <c r="X52" s="453">
        <f>('Balance Sheet'!W41-'Balance Sheet'!X41)+('Balance Sheet'!W42-'Balance Sheet'!X42)+('Balance Sheet'!W50-'Balance Sheet'!X50)</f>
        <v/>
      </c>
      <c r="Y52" s="453">
        <f>('Balance Sheet'!X41-'Balance Sheet'!Y41)+('Balance Sheet'!X42-'Balance Sheet'!Y42)+('Balance Sheet'!X50-'Balance Sheet'!Y50)</f>
        <v/>
      </c>
      <c r="Z52" s="453">
        <f>X52+Y52</f>
        <v/>
      </c>
      <c r="AA52" s="453">
        <f>('Balance Sheet'!Z41-'Balance Sheet'!AA41)+('Balance Sheet'!Z42-'Balance Sheet'!AA42)+('Balance Sheet'!Z50-'Balance Sheet'!AA50)</f>
        <v/>
      </c>
      <c r="AB52" s="453">
        <f>('Balance Sheet'!AA41-'Balance Sheet'!AB41)+('Balance Sheet'!AA42-'Balance Sheet'!AB42)+('Balance Sheet'!AA50-'Balance Sheet'!AB50)</f>
        <v/>
      </c>
      <c r="AC52" s="453">
        <f>AA52+AB52</f>
        <v/>
      </c>
      <c r="AD52" s="453">
        <f>('Balance Sheet'!AC41-'Balance Sheet'!AD41)+('Balance Sheet'!AC42-'Balance Sheet'!AD42)+('Balance Sheet'!AC50-'Balance Sheet'!AD50)</f>
        <v/>
      </c>
      <c r="AE52" s="453">
        <f>('Balance Sheet'!AD41-'Balance Sheet'!AE41)+('Balance Sheet'!AD42-'Balance Sheet'!AE42)+('Balance Sheet'!AD50-'Balance Sheet'!AE50)</f>
        <v/>
      </c>
      <c r="AF52" s="453">
        <f>AD52+AE52</f>
        <v/>
      </c>
      <c r="AG52" s="453">
        <f>('Balance Sheet'!AF41-'Balance Sheet'!AG41)+('Balance Sheet'!AF42-'Balance Sheet'!AG42)+('Balance Sheet'!AF50-'Balance Sheet'!AG50)</f>
        <v/>
      </c>
      <c r="AH52" s="453">
        <f>('Balance Sheet'!AG41-'Balance Sheet'!AH41)+('Balance Sheet'!AG42-'Balance Sheet'!AH42)+('Balance Sheet'!AG50-'Balance Sheet'!AH50)</f>
        <v/>
      </c>
      <c r="AI52" s="453">
        <f>AG52+AH52</f>
        <v/>
      </c>
    </row>
    <row r="53" hidden="1" outlineLevel="1" ht="12.9" customHeight="1" s="343">
      <c r="B53" s="16" t="inlineStr">
        <is>
          <t>Interest Received/other income</t>
        </is>
      </c>
      <c r="C53" s="452" t="n">
        <v>0.4287</v>
      </c>
      <c r="D53" s="466">
        <f>E53-C53</f>
        <v/>
      </c>
      <c r="E53" s="452" t="n">
        <v>1.7121</v>
      </c>
      <c r="F53" s="452" t="n">
        <v>0.3714</v>
      </c>
      <c r="G53" s="466">
        <f>H53-F53</f>
        <v/>
      </c>
      <c r="H53" s="452" t="n">
        <v>3.5992</v>
      </c>
      <c r="I53" s="452" t="n">
        <v>0.6182</v>
      </c>
      <c r="J53" s="466">
        <f>K53-I53</f>
        <v/>
      </c>
      <c r="K53" s="452" t="n">
        <v>1.2774</v>
      </c>
      <c r="L53" s="452" t="n">
        <v>0.2047</v>
      </c>
      <c r="M53" s="466">
        <f>N53-L53</f>
        <v/>
      </c>
      <c r="N53" s="452" t="n">
        <v>0.24</v>
      </c>
      <c r="O53" s="452" t="n">
        <v>2.0528</v>
      </c>
      <c r="P53" s="466">
        <f>Q53-O53</f>
        <v/>
      </c>
      <c r="Q53" s="452" t="n">
        <v>2.2362</v>
      </c>
      <c r="R53" s="452" t="n">
        <v>0.1739</v>
      </c>
      <c r="S53" s="466">
        <f>T53-R53</f>
        <v/>
      </c>
      <c r="T53" s="452" t="n">
        <v>0.9579</v>
      </c>
      <c r="U53" s="453" t="n"/>
      <c r="V53" s="453" t="n"/>
      <c r="W53" s="453">
        <f>U53+V53</f>
        <v/>
      </c>
      <c r="X53" s="453" t="n"/>
      <c r="Y53" s="453" t="n"/>
      <c r="Z53" s="453">
        <f>X53+Y53</f>
        <v/>
      </c>
      <c r="AA53" s="453" t="n"/>
      <c r="AB53" s="453" t="n"/>
      <c r="AC53" s="453">
        <f>AA53+AB53</f>
        <v/>
      </c>
      <c r="AD53" s="453" t="n"/>
      <c r="AE53" s="453" t="n"/>
      <c r="AF53" s="453">
        <f>AD53+AE53</f>
        <v/>
      </c>
      <c r="AG53" s="453" t="n"/>
      <c r="AH53" s="453" t="n"/>
      <c r="AI53" s="453">
        <f>AG53+AH53</f>
        <v/>
      </c>
    </row>
    <row r="54" collapsed="1" ht="12.9" customFormat="1" customHeight="1" s="6">
      <c r="B54" s="13" t="inlineStr">
        <is>
          <t>Net Cash from Investing Activities</t>
        </is>
      </c>
      <c r="C54" s="474">
        <f>SUM(C47:C53)</f>
        <v/>
      </c>
      <c r="D54" s="474">
        <f>SUM(D47:D53)</f>
        <v/>
      </c>
      <c r="E54" s="474">
        <f>SUM(E47:E53)</f>
        <v/>
      </c>
      <c r="F54" s="474">
        <f>SUM(F47:F53)</f>
        <v/>
      </c>
      <c r="G54" s="474">
        <f>SUM(G47:G53)</f>
        <v/>
      </c>
      <c r="H54" s="474">
        <f>SUM(H47:H53)</f>
        <v/>
      </c>
      <c r="I54" s="474">
        <f>SUM(I47:I53)</f>
        <v/>
      </c>
      <c r="J54" s="474">
        <f>SUM(J47:J53)</f>
        <v/>
      </c>
      <c r="K54" s="474">
        <f>SUM(K47:K53)</f>
        <v/>
      </c>
      <c r="L54" s="474">
        <f>SUM(L47:L53)</f>
        <v/>
      </c>
      <c r="M54" s="474">
        <f>SUM(M47:M53)</f>
        <v/>
      </c>
      <c r="N54" s="474">
        <f>SUM(N47:N53)</f>
        <v/>
      </c>
      <c r="O54" s="474">
        <f>SUM(O47:O53)</f>
        <v/>
      </c>
      <c r="P54" s="474">
        <f>SUM(P47:P53)</f>
        <v/>
      </c>
      <c r="Q54" s="474">
        <f>SUM(Q47:Q53)</f>
        <v/>
      </c>
      <c r="R54" s="474">
        <f>SUM(R47:R53)</f>
        <v/>
      </c>
      <c r="S54" s="474">
        <f>SUM(S47:S53)</f>
        <v/>
      </c>
      <c r="T54" s="474">
        <f>SUM(T47:T53)</f>
        <v/>
      </c>
      <c r="U54" s="474">
        <f>SUM(U47:U53)</f>
        <v/>
      </c>
      <c r="V54" s="474">
        <f>SUM(V47:V53)</f>
        <v/>
      </c>
      <c r="W54" s="474">
        <f>SUM(W47:W53)</f>
        <v/>
      </c>
      <c r="X54" s="474">
        <f>SUM(X47:X53)</f>
        <v/>
      </c>
      <c r="Y54" s="474">
        <f>SUM(Y47:Y53)</f>
        <v/>
      </c>
      <c r="Z54" s="474">
        <f>SUM(Z47:Z53)</f>
        <v/>
      </c>
      <c r="AA54" s="474">
        <f>SUM(AA47:AA53)</f>
        <v/>
      </c>
      <c r="AB54" s="474">
        <f>SUM(AB47:AB53)</f>
        <v/>
      </c>
      <c r="AC54" s="474">
        <f>SUM(AC47:AC53)</f>
        <v/>
      </c>
      <c r="AD54" s="474">
        <f>SUM(AD47:AD53)</f>
        <v/>
      </c>
      <c r="AE54" s="474">
        <f>SUM(AE47:AE53)</f>
        <v/>
      </c>
      <c r="AF54" s="474">
        <f>SUM(AF47:AF53)</f>
        <v/>
      </c>
      <c r="AG54" s="474">
        <f>SUM(AG47:AG53)</f>
        <v/>
      </c>
      <c r="AH54" s="474">
        <f>SUM(AH47:AH53)</f>
        <v/>
      </c>
      <c r="AI54" s="474">
        <f>SUM(AI47:AI53)</f>
        <v/>
      </c>
    </row>
    <row r="55" hidden="1" outlineLevel="1" ht="12.9" customFormat="1" customHeight="1" s="193">
      <c r="B55" s="178" t="inlineStr">
        <is>
          <t>check</t>
        </is>
      </c>
      <c r="C55" s="475" t="n">
        <v>-20.4106</v>
      </c>
      <c r="D55" s="475" t="n"/>
      <c r="E55" s="475" t="n">
        <v>-11.91589999999999</v>
      </c>
      <c r="F55" s="475" t="n">
        <v>-25.3177</v>
      </c>
      <c r="G55" s="475" t="n"/>
      <c r="H55" s="475" t="n">
        <v>-61.3453</v>
      </c>
      <c r="I55" s="475" t="n">
        <v>-12.5438</v>
      </c>
      <c r="J55" s="475" t="n"/>
      <c r="K55" s="475" t="n">
        <v>-33.38399999999999</v>
      </c>
      <c r="L55" s="475" t="n">
        <v>-107.6288</v>
      </c>
      <c r="M55" s="475" t="n"/>
      <c r="N55" s="475" t="n">
        <v>-152.5234</v>
      </c>
      <c r="O55" s="475" t="n">
        <v>40.15539999999999</v>
      </c>
      <c r="P55" s="475" t="n"/>
      <c r="Q55" s="475" t="n">
        <v>21.90810000000001</v>
      </c>
      <c r="R55" s="475" t="n">
        <v>-28.7975</v>
      </c>
      <c r="S55" s="475" t="n"/>
      <c r="T55" s="475" t="n">
        <v>-36.3909</v>
      </c>
      <c r="U55" s="476" t="n"/>
      <c r="V55" s="476" t="n"/>
      <c r="W55" s="476" t="n"/>
      <c r="X55" s="476" t="n"/>
      <c r="Y55" s="476" t="n"/>
      <c r="Z55" s="476" t="n"/>
      <c r="AA55" s="476" t="n"/>
      <c r="AB55" s="476" t="n"/>
      <c r="AC55" s="476" t="n"/>
      <c r="AD55" s="476" t="n"/>
      <c r="AE55" s="476" t="n"/>
      <c r="AF55" s="476" t="n"/>
      <c r="AG55" s="476" t="n"/>
      <c r="AH55" s="476" t="n"/>
      <c r="AI55" s="476" t="n"/>
    </row>
    <row r="56" hidden="1" outlineLevel="1" ht="12.9" customFormat="1" customHeight="1" s="193">
      <c r="B56" s="178" t="inlineStr">
        <is>
          <t>difference</t>
        </is>
      </c>
      <c r="C56" s="475">
        <f>C54-C55</f>
        <v/>
      </c>
      <c r="D56" s="475" t="n"/>
      <c r="E56" s="475">
        <f>E54-E55</f>
        <v/>
      </c>
      <c r="F56" s="475">
        <f>F54-F55</f>
        <v/>
      </c>
      <c r="G56" s="475" t="n"/>
      <c r="H56" s="475">
        <f>H54-H55</f>
        <v/>
      </c>
      <c r="I56" s="475">
        <f>I54-I55</f>
        <v/>
      </c>
      <c r="J56" s="475" t="n"/>
      <c r="K56" s="475">
        <f>K54-K55</f>
        <v/>
      </c>
      <c r="L56" s="475">
        <f>L54-L55</f>
        <v/>
      </c>
      <c r="M56" s="475" t="n"/>
      <c r="N56" s="475">
        <f>N54-N55</f>
        <v/>
      </c>
      <c r="O56" s="475">
        <f>O54-O55</f>
        <v/>
      </c>
      <c r="P56" s="475" t="n"/>
      <c r="Q56" s="475">
        <f>Q54-Q55</f>
        <v/>
      </c>
      <c r="R56" s="475">
        <f>R54-R55</f>
        <v/>
      </c>
      <c r="S56" s="475" t="n"/>
      <c r="T56" s="475">
        <f>T54-T55</f>
        <v/>
      </c>
      <c r="U56" s="476" t="n"/>
      <c r="V56" s="476" t="n"/>
      <c r="W56" s="476" t="n"/>
      <c r="X56" s="476" t="n"/>
      <c r="Y56" s="476" t="n"/>
      <c r="Z56" s="476" t="n"/>
      <c r="AA56" s="476" t="n"/>
      <c r="AB56" s="476" t="n"/>
      <c r="AC56" s="476" t="n"/>
      <c r="AD56" s="476" t="n"/>
      <c r="AE56" s="476" t="n"/>
      <c r="AF56" s="476" t="n"/>
      <c r="AG56" s="476" t="n"/>
      <c r="AH56" s="476" t="n"/>
      <c r="AI56" s="476" t="n"/>
    </row>
    <row r="57" collapsed="1" ht="12.9" customHeight="1" s="343">
      <c r="B57" s="13" t="n"/>
      <c r="C57" s="466" t="n"/>
      <c r="D57" s="466" t="n"/>
      <c r="E57" s="466" t="n"/>
      <c r="F57" s="466" t="n"/>
      <c r="G57" s="466" t="n"/>
      <c r="H57" s="466" t="n"/>
      <c r="I57" s="466" t="n"/>
      <c r="J57" s="466" t="n"/>
      <c r="K57" s="466" t="n"/>
      <c r="L57" s="466" t="n"/>
      <c r="M57" s="466" t="n"/>
      <c r="N57" s="466" t="n"/>
      <c r="O57" s="466" t="n"/>
      <c r="P57" s="466" t="n"/>
      <c r="Q57" s="466" t="n"/>
      <c r="R57" s="466" t="n"/>
      <c r="S57" s="466" t="n"/>
      <c r="T57" s="466" t="n"/>
    </row>
    <row r="58" ht="12.9" customHeight="1" s="343">
      <c r="B58" s="13" t="inlineStr">
        <is>
          <t>Cash Flow from Financing Activities</t>
        </is>
      </c>
      <c r="C58" s="466" t="n"/>
      <c r="D58" s="466" t="n"/>
      <c r="E58" s="466" t="n"/>
      <c r="F58" s="466" t="n"/>
      <c r="G58" s="466" t="n"/>
      <c r="H58" s="466" t="n"/>
      <c r="I58" s="466" t="n"/>
      <c r="J58" s="466" t="n"/>
      <c r="K58" s="466" t="n"/>
      <c r="L58" s="466" t="n"/>
      <c r="M58" s="466" t="n"/>
      <c r="N58" s="466" t="n"/>
      <c r="O58" s="466" t="n"/>
      <c r="P58" s="466" t="n"/>
      <c r="Q58" s="466" t="n"/>
      <c r="R58" s="466" t="n"/>
      <c r="S58" s="466" t="n"/>
      <c r="T58" s="466" t="n"/>
    </row>
    <row r="59" hidden="1" outlineLevel="1" ht="12.9" customHeight="1" s="343">
      <c r="B59" s="16" t="inlineStr">
        <is>
          <t>Proceeds from Issue of Share Capital</t>
        </is>
      </c>
      <c r="C59" s="452" t="n">
        <v>0.2132</v>
      </c>
      <c r="D59" s="466">
        <f>E59-C59</f>
        <v/>
      </c>
      <c r="E59" s="452" t="n">
        <v>0.4753</v>
      </c>
      <c r="F59" s="452" t="n">
        <v>0.7570999999999999</v>
      </c>
      <c r="G59" s="466">
        <f>H59-F59</f>
        <v/>
      </c>
      <c r="H59" s="452" t="n">
        <v>0.7572</v>
      </c>
      <c r="I59" s="452" t="n">
        <v>0</v>
      </c>
      <c r="J59" s="466">
        <f>K59-I59</f>
        <v/>
      </c>
      <c r="K59" s="452" t="n">
        <v>0.2273</v>
      </c>
      <c r="L59" s="452" t="n">
        <v>0.3835</v>
      </c>
      <c r="M59" s="466">
        <f>N59-L59</f>
        <v/>
      </c>
      <c r="N59" s="452" t="n">
        <v>1.7586</v>
      </c>
      <c r="O59" s="452" t="n">
        <v>2.2079</v>
      </c>
      <c r="P59" s="466">
        <f>Q59-O59</f>
        <v/>
      </c>
      <c r="Q59" s="452" t="n">
        <v>3.1418</v>
      </c>
      <c r="R59" s="452" t="n">
        <v>0</v>
      </c>
      <c r="S59" s="466">
        <f>T59-R59</f>
        <v/>
      </c>
      <c r="T59" s="452" t="n">
        <v>0.005</v>
      </c>
      <c r="U59" s="453" t="n"/>
      <c r="V59" s="453" t="n"/>
      <c r="W59" s="453">
        <f>U59+V59</f>
        <v/>
      </c>
      <c r="X59" s="453" t="n"/>
      <c r="Y59" s="453" t="n"/>
      <c r="Z59" s="453">
        <f>X59+Y59</f>
        <v/>
      </c>
      <c r="AA59" s="453" t="n"/>
      <c r="AB59" s="453" t="n"/>
      <c r="AC59" s="453">
        <f>AA59+AB59</f>
        <v/>
      </c>
      <c r="AD59" s="453" t="n"/>
      <c r="AE59" s="453" t="n"/>
      <c r="AF59" s="453">
        <f>AD59+AE59</f>
        <v/>
      </c>
      <c r="AG59" s="453" t="n"/>
      <c r="AH59" s="453" t="n"/>
      <c r="AI59" s="453">
        <f>AG59+AH59</f>
        <v/>
      </c>
    </row>
    <row r="60" hidden="1" outlineLevel="1" ht="12.9" customHeight="1" s="343">
      <c r="B60" s="16" t="inlineStr">
        <is>
          <t>Buy Back of Equity Shares</t>
        </is>
      </c>
      <c r="C60" s="452" t="n">
        <v>0</v>
      </c>
      <c r="D60" s="466">
        <f>E60-C60</f>
        <v/>
      </c>
      <c r="E60" s="452" t="n">
        <v>-31.1246</v>
      </c>
      <c r="F60" s="452" t="n">
        <v>0</v>
      </c>
      <c r="G60" s="466">
        <f>H60-F60</f>
        <v/>
      </c>
      <c r="H60" s="452" t="n">
        <v>0</v>
      </c>
      <c r="I60" s="452" t="n">
        <v>0</v>
      </c>
      <c r="J60" s="466">
        <f>K60-I60</f>
        <v/>
      </c>
      <c r="K60" s="452" t="n">
        <v>0</v>
      </c>
      <c r="L60" s="452" t="n">
        <v>0</v>
      </c>
      <c r="M60" s="466">
        <f>N60-L60</f>
        <v/>
      </c>
      <c r="N60" s="452" t="n">
        <v>0</v>
      </c>
      <c r="O60" s="452" t="n">
        <v>0</v>
      </c>
      <c r="P60" s="466">
        <f>Q60-O60</f>
        <v/>
      </c>
      <c r="Q60" s="452" t="n">
        <v>0</v>
      </c>
      <c r="R60" s="452" t="n">
        <v>0</v>
      </c>
      <c r="S60" s="466">
        <f>T60-R60</f>
        <v/>
      </c>
      <c r="T60" s="452" t="n">
        <v>0</v>
      </c>
      <c r="U60" s="453" t="n"/>
      <c r="V60" s="453" t="n"/>
      <c r="W60" s="453">
        <f>U60+V60</f>
        <v/>
      </c>
      <c r="X60" s="453" t="n"/>
      <c r="Y60" s="453" t="n"/>
      <c r="Z60" s="453">
        <f>X60+Y60</f>
        <v/>
      </c>
      <c r="AA60" s="453" t="n"/>
      <c r="AB60" s="453" t="n"/>
      <c r="AC60" s="453">
        <f>AA60+AB60</f>
        <v/>
      </c>
      <c r="AD60" s="453" t="n"/>
      <c r="AE60" s="453" t="n"/>
      <c r="AF60" s="453">
        <f>AD60+AE60</f>
        <v/>
      </c>
      <c r="AG60" s="453" t="n"/>
      <c r="AH60" s="453" t="n"/>
      <c r="AI60" s="453">
        <f>AG60+AH60</f>
        <v/>
      </c>
    </row>
    <row r="61" hidden="1" outlineLevel="1" ht="12.9" customHeight="1" s="343">
      <c r="B61" s="16" t="inlineStr">
        <is>
          <t>Share Issue Expense</t>
        </is>
      </c>
      <c r="C61" s="452" t="n">
        <v>0</v>
      </c>
      <c r="D61" s="466">
        <f>E61-C61</f>
        <v/>
      </c>
      <c r="E61" s="452" t="n">
        <v>0</v>
      </c>
      <c r="F61" s="452" t="n">
        <v>0</v>
      </c>
      <c r="G61" s="466">
        <f>H61-F61</f>
        <v/>
      </c>
      <c r="H61" s="452" t="n">
        <v>0</v>
      </c>
      <c r="I61" s="452" t="n">
        <v>0</v>
      </c>
      <c r="J61" s="466">
        <f>K61-I61</f>
        <v/>
      </c>
      <c r="K61" s="452" t="n">
        <v>0</v>
      </c>
      <c r="L61" s="452" t="n">
        <v>0</v>
      </c>
      <c r="M61" s="466">
        <f>N61-L61</f>
        <v/>
      </c>
      <c r="N61" s="452" t="n">
        <v>0</v>
      </c>
      <c r="O61" s="452" t="n">
        <v>-0.1817</v>
      </c>
      <c r="P61" s="466">
        <f>Q61-O61</f>
        <v/>
      </c>
      <c r="Q61" s="452" t="n">
        <v>-0.1817</v>
      </c>
      <c r="R61" s="452" t="n">
        <v>0</v>
      </c>
      <c r="S61" s="466">
        <f>T61-R61</f>
        <v/>
      </c>
      <c r="T61" s="452" t="n">
        <v>0</v>
      </c>
      <c r="U61" s="453" t="n"/>
      <c r="V61" s="453" t="n"/>
      <c r="W61" s="453">
        <f>U61+V61</f>
        <v/>
      </c>
      <c r="X61" s="453" t="n"/>
      <c r="Y61" s="453" t="n"/>
      <c r="Z61" s="453">
        <f>X61+Y61</f>
        <v/>
      </c>
      <c r="AA61" s="453" t="n"/>
      <c r="AB61" s="453" t="n"/>
      <c r="AC61" s="453">
        <f>AA61+AB61</f>
        <v/>
      </c>
      <c r="AD61" s="453" t="n"/>
      <c r="AE61" s="453" t="n"/>
      <c r="AF61" s="453">
        <f>AD61+AE61</f>
        <v/>
      </c>
      <c r="AG61" s="453" t="n"/>
      <c r="AH61" s="453" t="n"/>
      <c r="AI61" s="453">
        <f>AG61+AH61</f>
        <v/>
      </c>
    </row>
    <row r="62" hidden="1" outlineLevel="1" ht="12.9" customHeight="1" s="343">
      <c r="B62" s="16" t="inlineStr">
        <is>
          <t>Proceeds from Long Term Borrowings (Net)</t>
        </is>
      </c>
      <c r="C62" s="452" t="n">
        <v>0</v>
      </c>
      <c r="D62" s="466">
        <f>E62-C62</f>
        <v/>
      </c>
      <c r="E62" s="452" t="n">
        <v>0</v>
      </c>
      <c r="F62" s="452" t="n">
        <v>0</v>
      </c>
      <c r="G62" s="466">
        <f>H62-F62</f>
        <v/>
      </c>
      <c r="H62" s="452" t="n">
        <v>0</v>
      </c>
      <c r="I62" s="452" t="n">
        <v>0</v>
      </c>
      <c r="J62" s="466">
        <f>K62-I62</f>
        <v/>
      </c>
      <c r="K62" s="452" t="n">
        <v>34.3405</v>
      </c>
      <c r="L62" s="452" t="n">
        <v>10.4885</v>
      </c>
      <c r="M62" s="466">
        <f>N62-L62</f>
        <v/>
      </c>
      <c r="N62" s="452" t="n">
        <v>-15.0669</v>
      </c>
      <c r="O62" s="452" t="n">
        <v>0</v>
      </c>
      <c r="P62" s="466">
        <f>Q62-O62</f>
        <v/>
      </c>
      <c r="Q62" s="452" t="n">
        <v>0</v>
      </c>
      <c r="R62" s="452" t="n">
        <v>0</v>
      </c>
      <c r="S62" s="466">
        <f>T62-R62</f>
        <v/>
      </c>
      <c r="T62" s="452" t="n">
        <v>53.2998</v>
      </c>
      <c r="U62" s="453" t="n"/>
      <c r="V62" s="453" t="n"/>
      <c r="W62" s="453">
        <f>U62+V62</f>
        <v/>
      </c>
      <c r="X62" s="453" t="n"/>
      <c r="Y62" s="453" t="n"/>
      <c r="Z62" s="453">
        <f>X62+Y62</f>
        <v/>
      </c>
      <c r="AA62" s="453" t="n"/>
      <c r="AB62" s="453" t="n"/>
      <c r="AC62" s="453">
        <f>AA62+AB62</f>
        <v/>
      </c>
      <c r="AD62" s="453" t="n"/>
      <c r="AE62" s="453" t="n"/>
      <c r="AF62" s="453">
        <f>AD62+AE62</f>
        <v/>
      </c>
      <c r="AG62" s="453" t="n"/>
      <c r="AH62" s="453" t="n"/>
      <c r="AI62" s="453">
        <f>AG62+AH62</f>
        <v/>
      </c>
    </row>
    <row r="63" hidden="1" outlineLevel="1" ht="12.9" customHeight="1" s="343">
      <c r="B63" s="16" t="inlineStr">
        <is>
          <t>Repayment of Long Term Borrowings</t>
        </is>
      </c>
      <c r="C63" s="452" t="n">
        <v>0</v>
      </c>
      <c r="D63" s="466">
        <f>E63-C63</f>
        <v/>
      </c>
      <c r="E63" s="452" t="n">
        <v>0</v>
      </c>
      <c r="F63" s="452" t="n">
        <v>0</v>
      </c>
      <c r="G63" s="466">
        <f>H63-F63</f>
        <v/>
      </c>
      <c r="H63" s="452" t="n">
        <v>0</v>
      </c>
      <c r="I63" s="452" t="n">
        <v>0</v>
      </c>
      <c r="J63" s="466">
        <f>K63-I63</f>
        <v/>
      </c>
      <c r="K63" s="452" t="n">
        <v>0</v>
      </c>
      <c r="L63" s="452" t="n">
        <v>0</v>
      </c>
      <c r="M63" s="466">
        <f>N63-L63</f>
        <v/>
      </c>
      <c r="N63" s="452" t="n">
        <v>0</v>
      </c>
      <c r="O63" s="452" t="n">
        <v>-2.057</v>
      </c>
      <c r="P63" s="466">
        <f>Q63-O63</f>
        <v/>
      </c>
      <c r="Q63" s="452" t="n">
        <v>-5.5244</v>
      </c>
      <c r="R63" s="452" t="n">
        <v>-2.7091</v>
      </c>
      <c r="S63" s="466">
        <f>T63-R63</f>
        <v/>
      </c>
      <c r="T63" s="452" t="n">
        <v>-9.888500000000001</v>
      </c>
      <c r="U63" s="453">
        <f>'Balance Sheet'!U13-'Balance Sheet'!T13</f>
        <v/>
      </c>
      <c r="V63" s="453">
        <f>'Balance Sheet'!V13-'Balance Sheet'!U13</f>
        <v/>
      </c>
      <c r="W63" s="453">
        <f>U63+V63</f>
        <v/>
      </c>
      <c r="X63" s="453">
        <f>'Balance Sheet'!X13-'Balance Sheet'!W13</f>
        <v/>
      </c>
      <c r="Y63" s="453">
        <f>'Balance Sheet'!Y13-'Balance Sheet'!X13</f>
        <v/>
      </c>
      <c r="Z63" s="453">
        <f>X63+Y63</f>
        <v/>
      </c>
      <c r="AA63" s="453">
        <f>'Balance Sheet'!AA13-'Balance Sheet'!Z13</f>
        <v/>
      </c>
      <c r="AB63" s="453">
        <f>'Balance Sheet'!AB13-'Balance Sheet'!AA13</f>
        <v/>
      </c>
      <c r="AC63" s="453">
        <f>AA63+AB63</f>
        <v/>
      </c>
      <c r="AD63" s="453">
        <f>'Balance Sheet'!AD13-'Balance Sheet'!AC13</f>
        <v/>
      </c>
      <c r="AE63" s="453">
        <f>'Balance Sheet'!AE13-'Balance Sheet'!AD13</f>
        <v/>
      </c>
      <c r="AF63" s="453">
        <f>AD63+AE63</f>
        <v/>
      </c>
      <c r="AG63" s="453">
        <f>'Balance Sheet'!AG13-'Balance Sheet'!AF13</f>
        <v/>
      </c>
      <c r="AH63" s="453">
        <f>'Balance Sheet'!AH13-'Balance Sheet'!AG13</f>
        <v/>
      </c>
      <c r="AI63" s="453">
        <f>AG63+AH63</f>
        <v/>
      </c>
    </row>
    <row r="64" collapsed="1" ht="12.9" customHeight="1" s="343">
      <c r="B64" s="16" t="inlineStr">
        <is>
          <t>Proceeds/(Repayment) of Short Term Borrowings (Net)</t>
        </is>
      </c>
      <c r="C64" s="452" t="n">
        <v>0</v>
      </c>
      <c r="D64" s="466">
        <f>E64-C64</f>
        <v/>
      </c>
      <c r="E64" s="452" t="n">
        <v>0</v>
      </c>
      <c r="F64" s="452" t="n">
        <v>0</v>
      </c>
      <c r="G64" s="466">
        <f>H64-F64</f>
        <v/>
      </c>
      <c r="H64" s="452" t="n">
        <v>0</v>
      </c>
      <c r="I64" s="452" t="n">
        <v>0</v>
      </c>
      <c r="J64" s="466">
        <f>K64-I64</f>
        <v/>
      </c>
      <c r="K64" s="452" t="n">
        <v>0</v>
      </c>
      <c r="L64" s="452" t="n">
        <v>0</v>
      </c>
      <c r="M64" s="466">
        <f>N64-L64</f>
        <v/>
      </c>
      <c r="N64" s="452" t="n">
        <v>0</v>
      </c>
      <c r="O64" s="452" t="n">
        <v>0.172</v>
      </c>
      <c r="P64" s="466">
        <f>Q64-O64</f>
        <v/>
      </c>
      <c r="Q64" s="452" t="n">
        <v>15.1639</v>
      </c>
      <c r="R64" s="452" t="n">
        <v>128.123</v>
      </c>
      <c r="S64" s="466">
        <f>T64-R64</f>
        <v/>
      </c>
      <c r="T64" s="452" t="n">
        <v>34.4803</v>
      </c>
      <c r="U64" s="453">
        <f>'Balance Sheet'!U19-'Balance Sheet'!T19</f>
        <v/>
      </c>
      <c r="V64" s="453">
        <f>'Balance Sheet'!V19-'Balance Sheet'!U19</f>
        <v/>
      </c>
      <c r="W64" s="453">
        <f>U64+V64</f>
        <v/>
      </c>
      <c r="X64" s="453">
        <f>'Balance Sheet'!X19-'Balance Sheet'!W19</f>
        <v/>
      </c>
      <c r="Y64" s="453">
        <f>'Balance Sheet'!Y19-'Balance Sheet'!X19</f>
        <v/>
      </c>
      <c r="Z64" s="453">
        <f>X64+Y64</f>
        <v/>
      </c>
      <c r="AA64" s="453">
        <f>'Balance Sheet'!AA19-'Balance Sheet'!Z19</f>
        <v/>
      </c>
      <c r="AB64" s="453">
        <f>'Balance Sheet'!AB19-'Balance Sheet'!AA19</f>
        <v/>
      </c>
      <c r="AC64" s="453">
        <f>AA64+AB64</f>
        <v/>
      </c>
      <c r="AD64" s="453">
        <f>'Balance Sheet'!AD19-'Balance Sheet'!AC19</f>
        <v/>
      </c>
      <c r="AE64" s="453">
        <f>'Balance Sheet'!AE19-'Balance Sheet'!AD19</f>
        <v/>
      </c>
      <c r="AF64" s="453">
        <f>AD64+AE64</f>
        <v/>
      </c>
      <c r="AG64" s="453">
        <f>'Balance Sheet'!AG19-'Balance Sheet'!AF19</f>
        <v/>
      </c>
      <c r="AH64" s="453">
        <f>'Balance Sheet'!AH19-'Balance Sheet'!AG19</f>
        <v/>
      </c>
      <c r="AI64" s="453">
        <f>AG64+AH64</f>
        <v/>
      </c>
    </row>
    <row r="65" ht="12.9" customHeight="1" s="343">
      <c r="B65" s="16" t="inlineStr">
        <is>
          <t>Dividend paid</t>
        </is>
      </c>
      <c r="C65" s="452" t="n">
        <v>-0.0005999999999999999</v>
      </c>
      <c r="D65" s="466">
        <f>E65-C65</f>
        <v/>
      </c>
      <c r="E65" s="452" t="n">
        <v>-7.022800000000001</v>
      </c>
      <c r="F65" s="452" t="n">
        <v>-6.7938</v>
      </c>
      <c r="G65" s="466">
        <f>H65-F65</f>
        <v/>
      </c>
      <c r="H65" s="452" t="n">
        <v>-6.7964</v>
      </c>
      <c r="I65" s="452" t="n">
        <v>-7.813300000000001</v>
      </c>
      <c r="J65" s="466">
        <f>K65-I65</f>
        <v/>
      </c>
      <c r="K65" s="452" t="n">
        <v>-7.81</v>
      </c>
      <c r="L65" s="452" t="n">
        <v>-14.6934</v>
      </c>
      <c r="M65" s="466">
        <f>N65-L65</f>
        <v/>
      </c>
      <c r="N65" s="452" t="n">
        <v>-14.6675</v>
      </c>
      <c r="O65" s="452" t="n">
        <v>-39.2369</v>
      </c>
      <c r="P65" s="466">
        <f>Q65-O65</f>
        <v/>
      </c>
      <c r="Q65" s="452" t="n">
        <v>-39.189</v>
      </c>
      <c r="R65" s="452" t="n">
        <v>-33.5658</v>
      </c>
      <c r="S65" s="466">
        <f>T65-R65</f>
        <v/>
      </c>
      <c r="T65" s="452" t="n">
        <v>-33.5213</v>
      </c>
      <c r="U65" s="466">
        <f>-'Income Statement'!U56</f>
        <v/>
      </c>
      <c r="V65" s="453">
        <f>-'Income Statement'!V56</f>
        <v/>
      </c>
      <c r="W65" s="453">
        <f>U65+V65</f>
        <v/>
      </c>
      <c r="X65" s="466">
        <f>-'Income Statement'!X56</f>
        <v/>
      </c>
      <c r="Y65" s="453">
        <f>-'Income Statement'!Y56</f>
        <v/>
      </c>
      <c r="Z65" s="453">
        <f>X65+Y65</f>
        <v/>
      </c>
      <c r="AA65" s="466">
        <f>-'Income Statement'!AA56</f>
        <v/>
      </c>
      <c r="AB65" s="453">
        <f>-'Income Statement'!AB56</f>
        <v/>
      </c>
      <c r="AC65" s="453">
        <f>AA65+AB65</f>
        <v/>
      </c>
      <c r="AD65" s="466">
        <f>-'Income Statement'!AD56</f>
        <v/>
      </c>
      <c r="AE65" s="453">
        <f>-'Income Statement'!AE56</f>
        <v/>
      </c>
      <c r="AF65" s="453">
        <f>AD65+AE65</f>
        <v/>
      </c>
      <c r="AG65" s="466">
        <f>-'Income Statement'!AG56</f>
        <v/>
      </c>
      <c r="AH65" s="453">
        <f>-'Income Statement'!AH56</f>
        <v/>
      </c>
      <c r="AI65" s="453">
        <f>AG65+AH65</f>
        <v/>
      </c>
    </row>
    <row r="66" hidden="1" outlineLevel="1" ht="12.9" customHeight="1" s="343">
      <c r="B66" s="16" t="inlineStr">
        <is>
          <t>Payments towards fractional entitlement</t>
        </is>
      </c>
      <c r="C66" s="452" t="n">
        <v>-0.0009</v>
      </c>
      <c r="D66" s="466">
        <f>E66-C66</f>
        <v/>
      </c>
      <c r="E66" s="452" t="n">
        <v>-0.0019</v>
      </c>
      <c r="F66" s="452" t="n">
        <v>-0.0004</v>
      </c>
      <c r="G66" s="466">
        <f>H66-F66</f>
        <v/>
      </c>
      <c r="H66" s="452" t="n">
        <v>-0.0011</v>
      </c>
      <c r="I66" s="452" t="n">
        <v>-0.0005</v>
      </c>
      <c r="J66" s="466">
        <f>K66-I66</f>
        <v/>
      </c>
      <c r="K66" s="452" t="n">
        <v>-0.001</v>
      </c>
      <c r="L66" s="452" t="n">
        <v>-0.0007000000000000001</v>
      </c>
      <c r="M66" s="466">
        <f>N66-L66</f>
        <v/>
      </c>
      <c r="N66" s="452" t="n">
        <v>-0.0016</v>
      </c>
      <c r="O66" s="452" t="n">
        <v>-0.0012</v>
      </c>
      <c r="P66" s="466">
        <f>Q66-O66</f>
        <v/>
      </c>
      <c r="Q66" s="452" t="n">
        <v>-0.0026</v>
      </c>
      <c r="R66" s="452" t="n">
        <v>-0.0013</v>
      </c>
      <c r="S66" s="466">
        <f>T66-R66</f>
        <v/>
      </c>
      <c r="T66" s="452" t="n">
        <v>-0.0027</v>
      </c>
      <c r="W66" s="453">
        <f>U66+V66</f>
        <v/>
      </c>
      <c r="Z66" s="453">
        <f>X66+Y66</f>
        <v/>
      </c>
      <c r="AC66" s="453">
        <f>AA66+AB66</f>
        <v/>
      </c>
      <c r="AF66" s="453">
        <f>AD66+AE66</f>
        <v/>
      </c>
      <c r="AI66" s="453">
        <f>AG66+AH66</f>
        <v/>
      </c>
    </row>
    <row r="67" hidden="1" outlineLevel="1" ht="12.9" customHeight="1" s="343">
      <c r="B67" s="16" t="inlineStr">
        <is>
          <t>Principal repayment of lease liabilities</t>
        </is>
      </c>
      <c r="C67" s="452" t="n">
        <v>0</v>
      </c>
      <c r="D67" s="466">
        <f>E67-C67</f>
        <v/>
      </c>
      <c r="E67" s="452" t="n">
        <v>0</v>
      </c>
      <c r="F67" s="452" t="n">
        <v>0</v>
      </c>
      <c r="G67" s="466">
        <f>H67-F67</f>
        <v/>
      </c>
      <c r="H67" s="452" t="n">
        <v>0</v>
      </c>
      <c r="I67" s="452" t="n">
        <v>0</v>
      </c>
      <c r="J67" s="466">
        <f>K67-I67</f>
        <v/>
      </c>
      <c r="K67" s="452" t="n">
        <v>0</v>
      </c>
      <c r="L67" s="452" t="n">
        <v>0</v>
      </c>
      <c r="M67" s="466">
        <f>N67-L67</f>
        <v/>
      </c>
      <c r="N67" s="452" t="n">
        <v>-0.0696</v>
      </c>
      <c r="O67" s="452" t="n">
        <v>-0.07730000000000001</v>
      </c>
      <c r="P67" s="466">
        <f>Q67-O67</f>
        <v/>
      </c>
      <c r="Q67" s="452" t="n">
        <v>-0.6663</v>
      </c>
      <c r="R67" s="452" t="n">
        <v>-0.2799</v>
      </c>
      <c r="S67" s="466">
        <f>T67-R67</f>
        <v/>
      </c>
      <c r="T67" s="452" t="n">
        <v>-0.5439000000000001</v>
      </c>
      <c r="U67" s="453">
        <f>'Balance Sheet'!U20-'Balance Sheet'!T20</f>
        <v/>
      </c>
      <c r="V67" s="453">
        <f>'Balance Sheet'!V20-'Balance Sheet'!U20</f>
        <v/>
      </c>
      <c r="W67" s="453">
        <f>U67+V67</f>
        <v/>
      </c>
      <c r="X67" s="453">
        <f>'Balance Sheet'!X20-'Balance Sheet'!W20</f>
        <v/>
      </c>
      <c r="Y67" s="453">
        <f>'Balance Sheet'!Y20-'Balance Sheet'!X20</f>
        <v/>
      </c>
      <c r="Z67" s="453">
        <f>X67+Y67</f>
        <v/>
      </c>
      <c r="AA67" s="453">
        <f>'Balance Sheet'!AA20-'Balance Sheet'!Z20</f>
        <v/>
      </c>
      <c r="AB67" s="453">
        <f>'Balance Sheet'!AB20-'Balance Sheet'!AA20</f>
        <v/>
      </c>
      <c r="AC67" s="453">
        <f>AA67+AB67</f>
        <v/>
      </c>
      <c r="AD67" s="453">
        <f>'Balance Sheet'!AD20-'Balance Sheet'!AC20</f>
        <v/>
      </c>
      <c r="AE67" s="453">
        <f>'Balance Sheet'!AE20-'Balance Sheet'!AD20</f>
        <v/>
      </c>
      <c r="AF67" s="453">
        <f>AD67+AE67</f>
        <v/>
      </c>
      <c r="AG67" s="453">
        <f>'Balance Sheet'!AG20-'Balance Sheet'!AF20</f>
        <v/>
      </c>
      <c r="AH67" s="453">
        <f>'Balance Sheet'!AH20-'Balance Sheet'!AG20</f>
        <v/>
      </c>
      <c r="AI67" s="453">
        <f>AG67+AH67</f>
        <v/>
      </c>
    </row>
    <row r="68" hidden="1" outlineLevel="1" ht="12.9" customHeight="1" s="343">
      <c r="B68" s="16" t="inlineStr">
        <is>
          <t>Interest Paid on Lease Liability</t>
        </is>
      </c>
      <c r="C68" s="452" t="n">
        <v>0</v>
      </c>
      <c r="D68" s="466">
        <f>E68-C68</f>
        <v/>
      </c>
      <c r="E68" s="452" t="n">
        <v>0</v>
      </c>
      <c r="F68" s="452" t="n">
        <v>0</v>
      </c>
      <c r="G68" s="466">
        <f>H68-F68</f>
        <v/>
      </c>
      <c r="H68" s="452" t="n">
        <v>0</v>
      </c>
      <c r="I68" s="452" t="n">
        <v>0</v>
      </c>
      <c r="J68" s="466">
        <f>K68-I68</f>
        <v/>
      </c>
      <c r="K68" s="452" t="n">
        <v>0</v>
      </c>
      <c r="L68" s="452" t="n">
        <v>0</v>
      </c>
      <c r="M68" s="466">
        <f>N68-L68</f>
        <v/>
      </c>
      <c r="N68" s="452" t="n">
        <v>-0.0251</v>
      </c>
      <c r="O68" s="452" t="n">
        <v>-0.04219999999999999</v>
      </c>
      <c r="P68" s="466">
        <f>Q68-O68</f>
        <v/>
      </c>
      <c r="Q68" s="452" t="n">
        <v>0</v>
      </c>
      <c r="R68" s="452" t="n">
        <v>0.1255</v>
      </c>
      <c r="S68" s="466">
        <f>T68-R68</f>
        <v/>
      </c>
      <c r="T68" s="452" t="n">
        <v>0</v>
      </c>
      <c r="U68" s="453">
        <f>'Balance Sheet'!U14-'Balance Sheet'!T14</f>
        <v/>
      </c>
      <c r="V68" s="453">
        <f>'Balance Sheet'!V14-'Balance Sheet'!U14</f>
        <v/>
      </c>
      <c r="W68" s="453">
        <f>U68+V68</f>
        <v/>
      </c>
      <c r="X68" s="453">
        <f>'Balance Sheet'!X14-'Balance Sheet'!W14</f>
        <v/>
      </c>
      <c r="Y68" s="453">
        <f>'Balance Sheet'!Y14-'Balance Sheet'!X14</f>
        <v/>
      </c>
      <c r="Z68" s="453">
        <f>X68+Y68</f>
        <v/>
      </c>
      <c r="AA68" s="453">
        <f>'Balance Sheet'!AA14-'Balance Sheet'!Z14</f>
        <v/>
      </c>
      <c r="AB68" s="453">
        <f>'Balance Sheet'!AB14-'Balance Sheet'!AA14</f>
        <v/>
      </c>
      <c r="AC68" s="453">
        <f>AA68+AB68</f>
        <v/>
      </c>
      <c r="AD68" s="453">
        <f>'Balance Sheet'!AD14-'Balance Sheet'!AC14</f>
        <v/>
      </c>
      <c r="AE68" s="453">
        <f>'Balance Sheet'!AE14-'Balance Sheet'!AD14</f>
        <v/>
      </c>
      <c r="AF68" s="453">
        <f>AD68+AE68</f>
        <v/>
      </c>
      <c r="AG68" s="453">
        <f>'Balance Sheet'!AG14-'Balance Sheet'!AF14</f>
        <v/>
      </c>
      <c r="AH68" s="453">
        <f>'Balance Sheet'!AH14-'Balance Sheet'!AG14</f>
        <v/>
      </c>
      <c r="AI68" s="453">
        <f>AG68+AH68</f>
        <v/>
      </c>
    </row>
    <row r="69" collapsed="1" ht="12.9" customHeight="1" s="343">
      <c r="B69" s="16" t="inlineStr">
        <is>
          <t>Interest Paid</t>
        </is>
      </c>
      <c r="C69" s="452" t="n">
        <v>-0.2708</v>
      </c>
      <c r="D69" s="466">
        <f>E69-C69</f>
        <v/>
      </c>
      <c r="E69" s="452" t="n">
        <v>-0.3444</v>
      </c>
      <c r="F69" s="452" t="n">
        <v>-0.2223</v>
      </c>
      <c r="G69" s="466">
        <f>H69-F69</f>
        <v/>
      </c>
      <c r="H69" s="452" t="n">
        <v>-1.0315</v>
      </c>
      <c r="I69" s="452" t="n">
        <v>-0.5961</v>
      </c>
      <c r="J69" s="466">
        <f>K69-I69</f>
        <v/>
      </c>
      <c r="K69" s="452" t="n">
        <v>-1.7972</v>
      </c>
      <c r="L69" s="452" t="n">
        <v>-1.85481</v>
      </c>
      <c r="M69" s="466">
        <f>N69-L69</f>
        <v/>
      </c>
      <c r="N69" s="452" t="n">
        <v>-2.1493</v>
      </c>
      <c r="O69" s="452" t="n">
        <v>-1.9184</v>
      </c>
      <c r="P69" s="466">
        <f>Q69-O69</f>
        <v/>
      </c>
      <c r="Q69" s="452" t="n">
        <v>-3.2194</v>
      </c>
      <c r="R69" s="452" t="n">
        <v>-2.9776</v>
      </c>
      <c r="S69" s="466">
        <f>T69-R69</f>
        <v/>
      </c>
      <c r="T69" s="452" t="n">
        <v>-8.0595</v>
      </c>
      <c r="U69" s="453">
        <f>-'Income Statement'!U31</f>
        <v/>
      </c>
      <c r="V69" s="453">
        <f>-'Income Statement'!V31</f>
        <v/>
      </c>
      <c r="W69" s="453">
        <f>U69+V69</f>
        <v/>
      </c>
      <c r="X69" s="453">
        <f>-'Income Statement'!X31</f>
        <v/>
      </c>
      <c r="Y69" s="453">
        <f>-'Income Statement'!Y31</f>
        <v/>
      </c>
      <c r="Z69" s="453">
        <f>X69+Y69</f>
        <v/>
      </c>
      <c r="AA69" s="453">
        <f>-'Income Statement'!AA31</f>
        <v/>
      </c>
      <c r="AB69" s="453">
        <f>-'Income Statement'!AB31</f>
        <v/>
      </c>
      <c r="AC69" s="453">
        <f>AA69+AB69</f>
        <v/>
      </c>
      <c r="AD69" s="453">
        <f>-'Income Statement'!AD31</f>
        <v/>
      </c>
      <c r="AE69" s="453">
        <f>-'Income Statement'!AE31</f>
        <v/>
      </c>
      <c r="AF69" s="453">
        <f>AD69+AE69</f>
        <v/>
      </c>
      <c r="AG69" s="453">
        <f>-'Income Statement'!AG31</f>
        <v/>
      </c>
      <c r="AH69" s="453">
        <f>-'Income Statement'!AH31</f>
        <v/>
      </c>
      <c r="AI69" s="453">
        <f>AG69+AH69</f>
        <v/>
      </c>
    </row>
    <row r="70" ht="12.9" customFormat="1" customHeight="1" s="6">
      <c r="B70" s="13" t="inlineStr">
        <is>
          <t xml:space="preserve">Net Cash Flow from Financing Activities </t>
        </is>
      </c>
      <c r="C70" s="474">
        <f>SUM(C59:C69)</f>
        <v/>
      </c>
      <c r="D70" s="474">
        <f>SUM(D59:D69)</f>
        <v/>
      </c>
      <c r="E70" s="474">
        <f>SUM(E59:E69)</f>
        <v/>
      </c>
      <c r="F70" s="474">
        <f>SUM(F59:F69)</f>
        <v/>
      </c>
      <c r="G70" s="474">
        <f>SUM(G59:G69)</f>
        <v/>
      </c>
      <c r="H70" s="474">
        <f>SUM(H59:H69)</f>
        <v/>
      </c>
      <c r="I70" s="474">
        <f>SUM(I59:I69)</f>
        <v/>
      </c>
      <c r="J70" s="474">
        <f>SUM(J59:J69)</f>
        <v/>
      </c>
      <c r="K70" s="474">
        <f>SUM(K59:K69)</f>
        <v/>
      </c>
      <c r="L70" s="474">
        <f>SUM(L59:L69)</f>
        <v/>
      </c>
      <c r="M70" s="474">
        <f>SUM(M59:M69)</f>
        <v/>
      </c>
      <c r="N70" s="474">
        <f>SUM(N59:N69)</f>
        <v/>
      </c>
      <c r="O70" s="474">
        <f>SUM(O59:O69)</f>
        <v/>
      </c>
      <c r="P70" s="474">
        <f>SUM(P59:P69)</f>
        <v/>
      </c>
      <c r="Q70" s="474">
        <f>SUM(Q59:Q69)</f>
        <v/>
      </c>
      <c r="R70" s="474">
        <f>SUM(R59:R69)</f>
        <v/>
      </c>
      <c r="S70" s="474">
        <f>SUM(S59:S69)</f>
        <v/>
      </c>
      <c r="T70" s="474">
        <f>SUM(T59:T69)</f>
        <v/>
      </c>
      <c r="U70" s="474">
        <f>SUM(U59:U69)</f>
        <v/>
      </c>
      <c r="V70" s="474">
        <f>SUM(V59:V69)</f>
        <v/>
      </c>
      <c r="W70" s="474">
        <f>SUM(W59:W69)</f>
        <v/>
      </c>
      <c r="X70" s="474">
        <f>SUM(X59:X69)</f>
        <v/>
      </c>
      <c r="Y70" s="474">
        <f>SUM(Y59:Y69)</f>
        <v/>
      </c>
      <c r="Z70" s="474">
        <f>SUM(Z59:Z69)</f>
        <v/>
      </c>
      <c r="AA70" s="474">
        <f>SUM(AA59:AA69)</f>
        <v/>
      </c>
      <c r="AB70" s="474">
        <f>SUM(AB59:AB69)</f>
        <v/>
      </c>
      <c r="AC70" s="474">
        <f>SUM(AC59:AC69)</f>
        <v/>
      </c>
      <c r="AD70" s="474">
        <f>SUM(AD59:AD69)</f>
        <v/>
      </c>
      <c r="AE70" s="474">
        <f>SUM(AE59:AE69)</f>
        <v/>
      </c>
      <c r="AF70" s="474">
        <f>SUM(AF59:AF69)</f>
        <v/>
      </c>
      <c r="AG70" s="474">
        <f>SUM(AG59:AG69)</f>
        <v/>
      </c>
      <c r="AH70" s="474">
        <f>SUM(AH59:AH69)</f>
        <v/>
      </c>
      <c r="AI70" s="474">
        <f>SUM(AI59:AI69)</f>
        <v/>
      </c>
    </row>
    <row r="71" hidden="1" outlineLevel="1" ht="12.9" customFormat="1" customHeight="1" s="193">
      <c r="B71" s="178" t="inlineStr">
        <is>
          <t>check</t>
        </is>
      </c>
      <c r="C71" s="475" t="n">
        <v>-0.05909999999999999</v>
      </c>
      <c r="D71" s="475" t="n"/>
      <c r="E71" s="475" t="n">
        <v>-38.0184</v>
      </c>
      <c r="F71" s="475" t="n">
        <v>-6.259399999999999</v>
      </c>
      <c r="G71" s="475" t="n"/>
      <c r="H71" s="475" t="n">
        <v>-7.071800000000001</v>
      </c>
      <c r="I71" s="475" t="n">
        <v>-8.4099</v>
      </c>
      <c r="J71" s="475" t="n"/>
      <c r="K71" s="475" t="n">
        <v>24.95959999999999</v>
      </c>
      <c r="L71" s="475" t="n">
        <v>-5.67691</v>
      </c>
      <c r="M71" s="475" t="n"/>
      <c r="N71" s="475" t="n">
        <v>-30.2214</v>
      </c>
      <c r="O71" s="475" t="n">
        <v>-41.1348</v>
      </c>
      <c r="P71" s="475" t="n"/>
      <c r="Q71" s="475" t="n">
        <v>-30.4777</v>
      </c>
      <c r="R71" s="475" t="n">
        <v>88.7148</v>
      </c>
      <c r="S71" s="475" t="n"/>
      <c r="T71" s="475" t="n">
        <v>35.7692</v>
      </c>
      <c r="U71" s="476" t="n"/>
      <c r="V71" s="476" t="n"/>
      <c r="W71" s="476" t="n"/>
      <c r="X71" s="476" t="n"/>
      <c r="Y71" s="476" t="n"/>
      <c r="Z71" s="476" t="n"/>
      <c r="AA71" s="476" t="n"/>
      <c r="AB71" s="476" t="n"/>
      <c r="AC71" s="476" t="n"/>
      <c r="AD71" s="476" t="n"/>
      <c r="AE71" s="476" t="n"/>
      <c r="AF71" s="476" t="n"/>
      <c r="AG71" s="476" t="n"/>
      <c r="AH71" s="476" t="n"/>
      <c r="AI71" s="476" t="n"/>
    </row>
    <row r="72" hidden="1" outlineLevel="1" ht="12.9" customFormat="1" customHeight="1" s="193">
      <c r="B72" s="178" t="inlineStr">
        <is>
          <t>difference</t>
        </is>
      </c>
      <c r="C72" s="475">
        <f>C70-C71</f>
        <v/>
      </c>
      <c r="D72" s="475" t="n"/>
      <c r="E72" s="475">
        <f>E70-E71</f>
        <v/>
      </c>
      <c r="F72" s="475">
        <f>F70-F71</f>
        <v/>
      </c>
      <c r="G72" s="475" t="n"/>
      <c r="H72" s="475">
        <f>H70-H71</f>
        <v/>
      </c>
      <c r="I72" s="475">
        <f>I70-I71</f>
        <v/>
      </c>
      <c r="J72" s="475" t="n"/>
      <c r="K72" s="475">
        <f>K70-K71</f>
        <v/>
      </c>
      <c r="L72" s="475">
        <f>L70-L71</f>
        <v/>
      </c>
      <c r="M72" s="475" t="n"/>
      <c r="N72" s="475">
        <f>N70-N71</f>
        <v/>
      </c>
      <c r="O72" s="475">
        <f>O70-O71</f>
        <v/>
      </c>
      <c r="P72" s="475" t="n"/>
      <c r="Q72" s="475">
        <f>Q70-Q71</f>
        <v/>
      </c>
      <c r="R72" s="475">
        <f>R70-R71</f>
        <v/>
      </c>
      <c r="S72" s="475" t="n"/>
      <c r="T72" s="475">
        <f>T70-T71</f>
        <v/>
      </c>
      <c r="U72" s="476" t="n"/>
      <c r="V72" s="476" t="n"/>
      <c r="W72" s="476" t="n"/>
      <c r="X72" s="476" t="n"/>
      <c r="Y72" s="476" t="n"/>
      <c r="Z72" s="476" t="n"/>
      <c r="AA72" s="476" t="n"/>
      <c r="AB72" s="476" t="n"/>
      <c r="AC72" s="476" t="n"/>
      <c r="AD72" s="476" t="n"/>
      <c r="AE72" s="476" t="n"/>
      <c r="AF72" s="476" t="n"/>
      <c r="AG72" s="476" t="n"/>
      <c r="AH72" s="476" t="n"/>
      <c r="AI72" s="476" t="n"/>
    </row>
    <row r="73" collapsed="1" ht="12.9" customFormat="1" customHeight="1" s="6">
      <c r="B73" s="13" t="n"/>
      <c r="C73" s="466" t="n"/>
      <c r="D73" s="474" t="n"/>
      <c r="E73" s="474" t="n"/>
      <c r="F73" s="466" t="n"/>
      <c r="G73" s="474" t="n"/>
      <c r="H73" s="474" t="n"/>
      <c r="I73" s="466" t="n"/>
      <c r="J73" s="474" t="n"/>
      <c r="K73" s="474" t="n"/>
      <c r="L73" s="466" t="n"/>
      <c r="M73" s="474" t="n"/>
      <c r="N73" s="474" t="n"/>
      <c r="O73" s="466" t="n"/>
      <c r="P73" s="474" t="n"/>
      <c r="Q73" s="474" t="n"/>
      <c r="R73" s="474" t="n"/>
      <c r="S73" s="474" t="n"/>
      <c r="T73" s="474" t="n"/>
      <c r="U73" s="474" t="n"/>
      <c r="V73" s="474" t="n"/>
      <c r="W73" s="474" t="n"/>
      <c r="X73" s="474" t="n"/>
      <c r="Y73" s="474" t="n"/>
      <c r="Z73" s="474" t="n"/>
      <c r="AA73" s="474" t="n"/>
      <c r="AB73" s="474" t="n"/>
      <c r="AC73" s="474" t="n"/>
      <c r="AD73" s="474" t="n"/>
      <c r="AE73" s="474" t="n"/>
      <c r="AF73" s="474" t="n"/>
      <c r="AG73" s="474" t="n"/>
      <c r="AH73" s="474" t="n"/>
      <c r="AI73" s="474" t="n"/>
    </row>
    <row r="74" ht="12.9" customFormat="1" customHeight="1" s="6">
      <c r="B74" s="13" t="inlineStr">
        <is>
          <t xml:space="preserve">Net Increase/(Decrease) in cash and cash equivalents </t>
        </is>
      </c>
      <c r="C74" s="474">
        <f>C42+C54+C70</f>
        <v/>
      </c>
      <c r="D74" s="474">
        <f>D42+D54+D70</f>
        <v/>
      </c>
      <c r="E74" s="474">
        <f>E42+E54+E70</f>
        <v/>
      </c>
      <c r="F74" s="474">
        <f>F42+F54+F70</f>
        <v/>
      </c>
      <c r="G74" s="474">
        <f>G42+G54+G70</f>
        <v/>
      </c>
      <c r="H74" s="474">
        <f>H42+H54+H70</f>
        <v/>
      </c>
      <c r="I74" s="474">
        <f>I42+I54+I70</f>
        <v/>
      </c>
      <c r="J74" s="474">
        <f>J42+J54+J70</f>
        <v/>
      </c>
      <c r="K74" s="474">
        <f>K42+K54+K70</f>
        <v/>
      </c>
      <c r="L74" s="474">
        <f>L42+L54+L70</f>
        <v/>
      </c>
      <c r="M74" s="474">
        <f>M42+M54+M70</f>
        <v/>
      </c>
      <c r="N74" s="474">
        <f>N42+N54+N70</f>
        <v/>
      </c>
      <c r="O74" s="474">
        <f>O42+O54+O70</f>
        <v/>
      </c>
      <c r="P74" s="474">
        <f>P42+P54+P70</f>
        <v/>
      </c>
      <c r="Q74" s="474">
        <f>Q42+Q54+Q70</f>
        <v/>
      </c>
      <c r="R74" s="474">
        <f>R42+R54+R70</f>
        <v/>
      </c>
      <c r="S74" s="474">
        <f>S42+S54+S70</f>
        <v/>
      </c>
      <c r="T74" s="474">
        <f>T42+T54+T70</f>
        <v/>
      </c>
      <c r="U74" s="474">
        <f>U42+U54+U70</f>
        <v/>
      </c>
      <c r="V74" s="474">
        <f>V42+V54+V70</f>
        <v/>
      </c>
      <c r="W74" s="474">
        <f>W42+W54+W70</f>
        <v/>
      </c>
      <c r="X74" s="474">
        <f>X42+X54+X70</f>
        <v/>
      </c>
      <c r="Y74" s="474">
        <f>Y42+Y54+Y70</f>
        <v/>
      </c>
      <c r="Z74" s="474">
        <f>Z42+Z54+Z70</f>
        <v/>
      </c>
      <c r="AA74" s="474">
        <f>AA42+AA54+AA70</f>
        <v/>
      </c>
      <c r="AB74" s="474">
        <f>AB42+AB54+AB70</f>
        <v/>
      </c>
      <c r="AC74" s="474">
        <f>AC42+AC54+AC70</f>
        <v/>
      </c>
      <c r="AD74" s="474">
        <f>AD42+AD54+AD70</f>
        <v/>
      </c>
      <c r="AE74" s="474">
        <f>AE42+AE54+AE70</f>
        <v/>
      </c>
      <c r="AF74" s="474">
        <f>AF42+AF54+AF70</f>
        <v/>
      </c>
      <c r="AG74" s="474">
        <f>AG42+AG54+AG70</f>
        <v/>
      </c>
      <c r="AH74" s="474">
        <f>AH42+AH54+AH70</f>
        <v/>
      </c>
      <c r="AI74" s="474">
        <f>AI42+AI54+AI70</f>
        <v/>
      </c>
    </row>
    <row r="75" ht="12.9" customFormat="1" customHeight="1" s="6">
      <c r="B75" s="13" t="inlineStr">
        <is>
          <t>Cash and Cash equivalent at the beginning of the period</t>
        </is>
      </c>
      <c r="C75" s="452" t="n">
        <v>0.8227</v>
      </c>
      <c r="D75" s="466">
        <f>C77</f>
        <v/>
      </c>
      <c r="E75" s="452" t="n">
        <v>0.8227</v>
      </c>
      <c r="F75" s="452" t="n">
        <v>3.8695</v>
      </c>
      <c r="G75" s="466">
        <f>F77</f>
        <v/>
      </c>
      <c r="H75" s="452" t="n">
        <v>3.8695</v>
      </c>
      <c r="I75" s="452" t="n">
        <v>9.495100000000001</v>
      </c>
      <c r="J75" s="466">
        <f>I77</f>
        <v/>
      </c>
      <c r="K75" s="452" t="n">
        <v>9.495100000000001</v>
      </c>
      <c r="L75" s="452" t="n">
        <v>31.0878</v>
      </c>
      <c r="M75" s="466">
        <f>L77</f>
        <v/>
      </c>
      <c r="N75" s="452" t="n">
        <v>31.0878</v>
      </c>
      <c r="O75" s="452" t="n">
        <v>17.7475</v>
      </c>
      <c r="P75" s="466">
        <f>O77</f>
        <v/>
      </c>
      <c r="Q75" s="452" t="n">
        <v>17.7475</v>
      </c>
      <c r="R75" s="452" t="n">
        <v>2.5105</v>
      </c>
      <c r="S75" s="466">
        <f>R77</f>
        <v/>
      </c>
      <c r="T75" s="452" t="n">
        <v>2.5105</v>
      </c>
      <c r="U75" s="466">
        <f>T77</f>
        <v/>
      </c>
      <c r="V75" s="466">
        <f>U77</f>
        <v/>
      </c>
      <c r="W75" s="466">
        <f>T77</f>
        <v/>
      </c>
      <c r="X75" s="466">
        <f>W77</f>
        <v/>
      </c>
      <c r="Y75" s="466">
        <f>X77</f>
        <v/>
      </c>
      <c r="Z75" s="466">
        <f>W77</f>
        <v/>
      </c>
      <c r="AA75" s="466">
        <f>Z77</f>
        <v/>
      </c>
      <c r="AB75" s="466">
        <f>AA77</f>
        <v/>
      </c>
      <c r="AC75" s="466">
        <f>Z77</f>
        <v/>
      </c>
      <c r="AD75" s="466">
        <f>AC77</f>
        <v/>
      </c>
      <c r="AE75" s="466">
        <f>AD77</f>
        <v/>
      </c>
      <c r="AF75" s="466">
        <f>AC77</f>
        <v/>
      </c>
      <c r="AG75" s="466">
        <f>AF77</f>
        <v/>
      </c>
      <c r="AH75" s="466">
        <f>AG77</f>
        <v/>
      </c>
      <c r="AI75" s="466">
        <f>AF77</f>
        <v/>
      </c>
    </row>
    <row r="76" ht="12.9" customHeight="1" s="343">
      <c r="B76" s="16" t="inlineStr">
        <is>
          <t>Add: Adjustment due to acquisition of Subsidiarv</t>
        </is>
      </c>
      <c r="C76" s="466" t="n"/>
      <c r="D76" s="466" t="n"/>
      <c r="E76" s="466" t="n"/>
      <c r="F76" s="466" t="n"/>
      <c r="G76" s="466" t="n"/>
      <c r="H76" s="466" t="n"/>
      <c r="I76" s="466" t="n"/>
      <c r="J76" s="466" t="n"/>
      <c r="K76" s="466" t="n"/>
      <c r="L76" s="466" t="n"/>
      <c r="M76" s="466">
        <f>N76-L76</f>
        <v/>
      </c>
      <c r="N76" s="452" t="n">
        <v>0.0202</v>
      </c>
      <c r="O76" s="452" t="n">
        <v>2.5436</v>
      </c>
      <c r="P76" s="466">
        <f>Q76-O76</f>
        <v/>
      </c>
      <c r="Q76" s="452" t="n">
        <v>0.4859</v>
      </c>
      <c r="R76" s="466" t="n"/>
      <c r="S76" s="466">
        <f>T76-R76</f>
        <v/>
      </c>
      <c r="T76" s="452" t="n">
        <v>0</v>
      </c>
    </row>
    <row r="77" ht="12.9" customFormat="1" customHeight="1" s="6">
      <c r="B77" s="6" t="inlineStr">
        <is>
          <t>Cash and Cash equivalent at the end of the period</t>
        </is>
      </c>
      <c r="C77" s="474">
        <f>C74+C75+C76</f>
        <v/>
      </c>
      <c r="D77" s="474">
        <f>D74+D75+D76</f>
        <v/>
      </c>
      <c r="E77" s="474">
        <f>E74+E75+E76</f>
        <v/>
      </c>
      <c r="F77" s="474">
        <f>F74+F75+F76</f>
        <v/>
      </c>
      <c r="G77" s="474">
        <f>G74+G75+G76</f>
        <v/>
      </c>
      <c r="H77" s="474">
        <f>H74+H75+H76</f>
        <v/>
      </c>
      <c r="I77" s="474">
        <f>I74+I75+I76</f>
        <v/>
      </c>
      <c r="J77" s="474">
        <f>J74+J75+J76</f>
        <v/>
      </c>
      <c r="K77" s="474">
        <f>K74+K75+K76</f>
        <v/>
      </c>
      <c r="L77" s="474">
        <f>L74+L75+L76</f>
        <v/>
      </c>
      <c r="M77" s="474">
        <f>M74+M75+M76</f>
        <v/>
      </c>
      <c r="N77" s="474">
        <f>N74+N75+N76</f>
        <v/>
      </c>
      <c r="O77" s="474">
        <f>O74+O75+O76</f>
        <v/>
      </c>
      <c r="P77" s="474">
        <f>P74+P75+P76</f>
        <v/>
      </c>
      <c r="Q77" s="474">
        <f>Q74+Q75+Q76</f>
        <v/>
      </c>
      <c r="R77" s="474">
        <f>R74+R75+R76</f>
        <v/>
      </c>
      <c r="S77" s="474">
        <f>S74+S75+S76</f>
        <v/>
      </c>
      <c r="T77" s="474">
        <f>T74+T75+T76</f>
        <v/>
      </c>
      <c r="U77" s="474">
        <f>U74+U75+U76</f>
        <v/>
      </c>
      <c r="V77" s="474">
        <f>V74+V75+V76</f>
        <v/>
      </c>
      <c r="W77" s="474">
        <f>W74+W75+W76</f>
        <v/>
      </c>
      <c r="X77" s="474">
        <f>X74+X75+X76</f>
        <v/>
      </c>
      <c r="Y77" s="474">
        <f>Y74+Y75+Y76</f>
        <v/>
      </c>
      <c r="Z77" s="474">
        <f>Z74+Z75+Z76</f>
        <v/>
      </c>
      <c r="AA77" s="474">
        <f>AA74+AA75+AA76</f>
        <v/>
      </c>
      <c r="AB77" s="474">
        <f>AB74+AB75+AB76</f>
        <v/>
      </c>
      <c r="AC77" s="474">
        <f>AC74+AC75+AC76</f>
        <v/>
      </c>
      <c r="AD77" s="474">
        <f>AD74+AD75+AD76</f>
        <v/>
      </c>
      <c r="AE77" s="474">
        <f>AE74+AE75+AE76</f>
        <v/>
      </c>
      <c r="AF77" s="474">
        <f>AF74+AF75+AF76</f>
        <v/>
      </c>
      <c r="AG77" s="474">
        <f>AG74+AG75+AG76</f>
        <v/>
      </c>
      <c r="AH77" s="474">
        <f>AH74+AH75+AH76</f>
        <v/>
      </c>
      <c r="AI77" s="474">
        <f>AI74+AI75+AI76</f>
        <v/>
      </c>
    </row>
    <row r="78" ht="12.9" customHeight="1" s="343">
      <c r="B78" s="6" t="n"/>
      <c r="R78" s="474" t="n"/>
    </row>
    <row r="79" ht="12.9" customHeight="1" s="343">
      <c r="B79" s="12" t="inlineStr">
        <is>
          <t>Capex</t>
        </is>
      </c>
      <c r="C79" s="466">
        <f>-C47</f>
        <v/>
      </c>
      <c r="D79" s="466">
        <f>-D47</f>
        <v/>
      </c>
      <c r="E79" s="466">
        <f>-E47</f>
        <v/>
      </c>
      <c r="F79" s="466">
        <f>-F47</f>
        <v/>
      </c>
      <c r="G79" s="466">
        <f>-G47</f>
        <v/>
      </c>
      <c r="H79" s="466">
        <f>-H47</f>
        <v/>
      </c>
      <c r="I79" s="466">
        <f>-I47</f>
        <v/>
      </c>
      <c r="J79" s="466">
        <f>-J47</f>
        <v/>
      </c>
      <c r="K79" s="466">
        <f>-K47</f>
        <v/>
      </c>
      <c r="L79" s="466">
        <f>-L47</f>
        <v/>
      </c>
      <c r="M79" s="466">
        <f>-M47</f>
        <v/>
      </c>
      <c r="N79" s="466">
        <f>-N47</f>
        <v/>
      </c>
      <c r="O79" s="466">
        <f>-O47</f>
        <v/>
      </c>
      <c r="P79" s="466">
        <f>-P47</f>
        <v/>
      </c>
      <c r="Q79" s="466">
        <f>-Q47</f>
        <v/>
      </c>
      <c r="R79" s="466">
        <f>-R47</f>
        <v/>
      </c>
      <c r="S79" s="466">
        <f>-S47</f>
        <v/>
      </c>
      <c r="T79" s="466">
        <f>-T47</f>
        <v/>
      </c>
      <c r="U79" s="466">
        <f>-U47</f>
        <v/>
      </c>
      <c r="V79" s="466">
        <f>-V47</f>
        <v/>
      </c>
      <c r="W79" s="466">
        <f>-W47</f>
        <v/>
      </c>
      <c r="X79" s="466">
        <f>-X47</f>
        <v/>
      </c>
      <c r="Y79" s="466">
        <f>-Y47</f>
        <v/>
      </c>
      <c r="Z79" s="466">
        <f>-Z47</f>
        <v/>
      </c>
      <c r="AA79" s="466">
        <f>-AA47</f>
        <v/>
      </c>
      <c r="AB79" s="466">
        <f>-AB47</f>
        <v/>
      </c>
      <c r="AC79" s="466">
        <f>-AC47</f>
        <v/>
      </c>
      <c r="AD79" s="466">
        <f>-AD47</f>
        <v/>
      </c>
      <c r="AE79" s="466">
        <f>-AE47</f>
        <v/>
      </c>
      <c r="AF79" s="466">
        <f>-AF47</f>
        <v/>
      </c>
      <c r="AG79" s="466">
        <f>-AG47</f>
        <v/>
      </c>
      <c r="AH79" s="466">
        <f>-AH47</f>
        <v/>
      </c>
      <c r="AI79" s="466">
        <f>-AI47</f>
        <v/>
      </c>
    </row>
    <row r="80" ht="12.9" customHeight="1" s="343">
      <c r="B80" s="12" t="inlineStr">
        <is>
          <t>Capex As % of Sales</t>
        </is>
      </c>
      <c r="C80" s="454">
        <f>C79/'Income Statement'!C8</f>
        <v/>
      </c>
      <c r="D80" s="454">
        <f>D79/'Income Statement'!D8</f>
        <v/>
      </c>
      <c r="E80" s="454">
        <f>E79/'Income Statement'!E8</f>
        <v/>
      </c>
      <c r="F80" s="454">
        <f>F79/'Income Statement'!F8</f>
        <v/>
      </c>
      <c r="G80" s="454">
        <f>G79/'Income Statement'!G8</f>
        <v/>
      </c>
      <c r="H80" s="454">
        <f>H79/'Income Statement'!H8</f>
        <v/>
      </c>
      <c r="I80" s="454">
        <f>I79/'Income Statement'!I8</f>
        <v/>
      </c>
      <c r="J80" s="454">
        <f>J79/'Income Statement'!J8</f>
        <v/>
      </c>
      <c r="K80" s="454">
        <f>K79/'Income Statement'!K8</f>
        <v/>
      </c>
      <c r="L80" s="454">
        <f>L79/'Income Statement'!L8</f>
        <v/>
      </c>
      <c r="M80" s="454">
        <f>M79/'Income Statement'!M8</f>
        <v/>
      </c>
      <c r="N80" s="454">
        <f>N79/'Income Statement'!N8</f>
        <v/>
      </c>
      <c r="O80" s="454">
        <f>O79/'Income Statement'!O8</f>
        <v/>
      </c>
      <c r="P80" s="454">
        <f>P79/'Income Statement'!P8</f>
        <v/>
      </c>
      <c r="Q80" s="454">
        <f>Q79/'Income Statement'!Q8</f>
        <v/>
      </c>
      <c r="R80" s="454">
        <f>R79/'Income Statement'!R8</f>
        <v/>
      </c>
      <c r="S80" s="454">
        <f>S79/'Income Statement'!S8</f>
        <v/>
      </c>
      <c r="T80" s="454">
        <f>T79/'Income Statement'!T8</f>
        <v/>
      </c>
      <c r="U80" s="454">
        <f>U79/'Income Statement'!U8</f>
        <v/>
      </c>
      <c r="V80" s="454">
        <f>V79/'Income Statement'!V8</f>
        <v/>
      </c>
      <c r="W80" s="454">
        <f>W79/'Income Statement'!W8</f>
        <v/>
      </c>
      <c r="X80" s="454">
        <f>X79/'Income Statement'!X8</f>
        <v/>
      </c>
      <c r="Y80" s="454">
        <f>Y79/'Income Statement'!Y8</f>
        <v/>
      </c>
      <c r="Z80" s="454">
        <f>Z79/'Income Statement'!Z8</f>
        <v/>
      </c>
      <c r="AA80" s="454">
        <f>AA79/'Income Statement'!AA8</f>
        <v/>
      </c>
      <c r="AB80" s="454">
        <f>AB79/'Income Statement'!AB8</f>
        <v/>
      </c>
      <c r="AC80" s="454">
        <f>AC79/'Income Statement'!AC8</f>
        <v/>
      </c>
      <c r="AD80" s="454">
        <f>AD79/'Income Statement'!AD8</f>
        <v/>
      </c>
      <c r="AE80" s="454">
        <f>AE79/'Income Statement'!AE8</f>
        <v/>
      </c>
      <c r="AF80" s="454">
        <f>AF79/'Income Statement'!AF8</f>
        <v/>
      </c>
      <c r="AG80" s="454">
        <f>AG79/'Income Statement'!AG8</f>
        <v/>
      </c>
      <c r="AH80" s="454">
        <f>AH79/'Income Statement'!AH8</f>
        <v/>
      </c>
      <c r="AI80" s="454">
        <f>AI79/'Income Statement'!AI8</f>
        <v/>
      </c>
    </row>
    <row r="81" ht="12.9" customHeight="1" s="343"/>
    <row r="82" ht="12.9" customHeight="1" s="343"/>
    <row r="83" ht="12.9" customHeight="1" s="343">
      <c r="K83" s="454" t="n"/>
      <c r="L83" s="454" t="n"/>
      <c r="M83" s="454" t="n"/>
      <c r="N83" s="454" t="n"/>
      <c r="O83" s="454" t="n"/>
      <c r="P83" s="454" t="n"/>
      <c r="Q83" s="454" t="n"/>
      <c r="R83" s="454" t="n"/>
      <c r="S83" s="454" t="n"/>
      <c r="T83" s="45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8E1C2F"/>
    <outlinePr summaryBelow="1" summaryRight="1"/>
    <pageSetUpPr/>
  </sheetPr>
  <dimension ref="B1:AP1576"/>
  <sheetViews>
    <sheetView topLeftCell="A55" zoomScale="70" zoomScaleNormal="70" zoomScalePageLayoutView="80" workbookViewId="0">
      <selection activeCell="AY70" sqref="AY70"/>
    </sheetView>
  </sheetViews>
  <sheetFormatPr baseColWidth="8" defaultColWidth="8.77734375" defaultRowHeight="13.8"/>
  <cols>
    <col width="2.6640625" customWidth="1" style="12" min="1" max="1"/>
    <col width="34.109375" customWidth="1" style="12" min="2" max="2"/>
    <col hidden="1" width="8.77734375" customWidth="1" style="12" min="3" max="4"/>
    <col width="8.77734375" customWidth="1" style="12" min="5" max="5"/>
    <col hidden="1" width="8.77734375" customWidth="1" style="12" min="6" max="7"/>
    <col width="11.33203125" bestFit="1" customWidth="1" style="12" min="8" max="8"/>
    <col hidden="1" width="8.77734375" customWidth="1" style="12" min="9" max="10"/>
    <col width="8.77734375" customWidth="1" style="12" min="11" max="11"/>
    <col hidden="1" width="8.77734375" customWidth="1" style="12" min="12" max="13"/>
    <col width="8.77734375" customWidth="1" style="12" min="14" max="14"/>
    <col hidden="1" width="8.77734375" customWidth="1" style="12" min="15" max="16"/>
    <col width="8.77734375" customWidth="1" style="12" min="17" max="17"/>
    <col hidden="1" width="8.77734375" customWidth="1" style="12" min="18" max="19"/>
    <col width="10.33203125" bestFit="1" customWidth="1" style="12" min="20" max="20"/>
    <col hidden="1" width="8.77734375" customWidth="1" style="12" min="21" max="22"/>
    <col width="9.33203125" bestFit="1" customWidth="1" style="12" min="23" max="23"/>
    <col hidden="1" width="8.77734375" customWidth="1" style="12" min="24" max="25"/>
    <col width="8.77734375" customWidth="1" style="12" min="26" max="26"/>
    <col hidden="1" width="8.77734375" customWidth="1" style="12" min="27" max="28"/>
    <col width="8.77734375" customWidth="1" style="12" min="29" max="29"/>
    <col hidden="1" width="8.77734375" customWidth="1" style="12" min="30" max="31"/>
    <col width="8.77734375" customWidth="1" style="12" min="32" max="32"/>
    <col hidden="1" width="8.77734375" customWidth="1" style="12" min="33" max="34"/>
    <col width="8.77734375" customWidth="1" style="12" min="35" max="16384"/>
  </cols>
  <sheetData>
    <row r="1">
      <c r="B1" s="436" t="inlineStr">
        <is>
          <t>Anup Engineering Limited</t>
        </is>
      </c>
    </row>
    <row r="2">
      <c r="B2" s="12" t="inlineStr">
        <is>
          <t>Fiscal year ending 31st Mar, 2026</t>
        </is>
      </c>
    </row>
    <row r="3">
      <c r="B3" s="12" t="inlineStr">
        <is>
          <t>All amounts in ₹ crores except per share data</t>
        </is>
      </c>
    </row>
    <row r="5" customFormat="1" s="360">
      <c r="B5" s="354" t="inlineStr">
        <is>
          <t>GRAPHICAL REPRESENTATION</t>
        </is>
      </c>
    </row>
    <row r="154">
      <c r="B154" s="354" t="inlineStr">
        <is>
          <t>Key Financials</t>
        </is>
      </c>
      <c r="C154" s="360" t="n"/>
      <c r="D154" s="360" t="n"/>
      <c r="E154" s="360" t="n"/>
      <c r="F154" s="360" t="n"/>
      <c r="G154" s="360" t="n"/>
      <c r="H154" s="360" t="n"/>
      <c r="I154" s="360" t="n"/>
      <c r="J154" s="360" t="n"/>
      <c r="K154" s="360" t="n"/>
      <c r="L154" s="360" t="n"/>
      <c r="M154" s="360" t="n"/>
      <c r="N154" s="360" t="n"/>
      <c r="O154" s="360" t="n"/>
      <c r="P154" s="360" t="n"/>
      <c r="Q154" s="360" t="n"/>
      <c r="R154" s="360" t="n"/>
      <c r="S154" s="360" t="n"/>
      <c r="T154" s="360" t="n"/>
      <c r="U154" s="360" t="n"/>
      <c r="V154" s="360" t="n"/>
      <c r="W154" s="360" t="n"/>
      <c r="X154" s="360" t="n"/>
      <c r="Y154" s="360" t="n"/>
      <c r="Z154" s="360" t="n"/>
      <c r="AA154" s="360" t="n"/>
      <c r="AB154" s="360" t="n"/>
      <c r="AC154" s="360" t="n"/>
      <c r="AD154" s="360" t="n"/>
      <c r="AE154" s="360" t="n"/>
      <c r="AF154" s="360" t="n"/>
      <c r="AG154" s="360" t="n"/>
      <c r="AH154" s="360" t="n"/>
      <c r="AI154" s="360" t="n"/>
    </row>
    <row r="155">
      <c r="B155" s="324" t="inlineStr">
        <is>
          <t>Year</t>
        </is>
      </c>
      <c r="C155" s="379" t="inlineStr">
        <is>
          <t>H1</t>
        </is>
      </c>
      <c r="D155" s="379" t="inlineStr">
        <is>
          <t>H2</t>
        </is>
      </c>
      <c r="E155" s="379" t="inlineStr">
        <is>
          <t>FY21</t>
        </is>
      </c>
      <c r="F155" s="379" t="inlineStr">
        <is>
          <t>H1</t>
        </is>
      </c>
      <c r="G155" s="379" t="inlineStr">
        <is>
          <t>H2</t>
        </is>
      </c>
      <c r="H155" s="379" t="inlineStr">
        <is>
          <t>FY22</t>
        </is>
      </c>
      <c r="I155" s="379" t="inlineStr">
        <is>
          <t>H1</t>
        </is>
      </c>
      <c r="J155" s="379" t="inlineStr">
        <is>
          <t>H2</t>
        </is>
      </c>
      <c r="K155" s="379" t="inlineStr">
        <is>
          <t>FY23</t>
        </is>
      </c>
      <c r="L155" s="379" t="inlineStr">
        <is>
          <t>H1</t>
        </is>
      </c>
      <c r="M155" s="379" t="inlineStr">
        <is>
          <t>H2</t>
        </is>
      </c>
      <c r="N155" s="379" t="inlineStr">
        <is>
          <t>FY24</t>
        </is>
      </c>
      <c r="O155" s="379" t="inlineStr">
        <is>
          <t>H1</t>
        </is>
      </c>
      <c r="P155" s="379" t="inlineStr">
        <is>
          <t>H2</t>
        </is>
      </c>
      <c r="Q155" s="379" t="inlineStr">
        <is>
          <t>FY25</t>
        </is>
      </c>
      <c r="R155" s="379" t="inlineStr">
        <is>
          <t>H1</t>
        </is>
      </c>
      <c r="S155" s="379" t="inlineStr">
        <is>
          <t>H2</t>
        </is>
      </c>
      <c r="T155" s="379" t="inlineStr">
        <is>
          <t xml:space="preserve">FY26 </t>
        </is>
      </c>
      <c r="U155" s="381" t="inlineStr">
        <is>
          <t>H1</t>
        </is>
      </c>
      <c r="V155" s="381" t="inlineStr">
        <is>
          <t>H2</t>
        </is>
      </c>
      <c r="W155" s="381" t="inlineStr">
        <is>
          <t>FY27 E</t>
        </is>
      </c>
      <c r="X155" s="381" t="inlineStr">
        <is>
          <t>H1</t>
        </is>
      </c>
      <c r="Y155" s="381" t="inlineStr">
        <is>
          <t>H2</t>
        </is>
      </c>
      <c r="Z155" s="381" t="inlineStr">
        <is>
          <t>FY28 E</t>
        </is>
      </c>
      <c r="AA155" s="381" t="inlineStr">
        <is>
          <t>H1</t>
        </is>
      </c>
      <c r="AB155" s="381" t="inlineStr">
        <is>
          <t>H2</t>
        </is>
      </c>
      <c r="AC155" s="381" t="inlineStr">
        <is>
          <t>FY29 E</t>
        </is>
      </c>
      <c r="AD155" s="381" t="inlineStr">
        <is>
          <t>H1</t>
        </is>
      </c>
      <c r="AE155" s="381" t="inlineStr">
        <is>
          <t>H2</t>
        </is>
      </c>
      <c r="AF155" s="381" t="inlineStr">
        <is>
          <t>FY30 E</t>
        </is>
      </c>
      <c r="AG155" s="381" t="inlineStr">
        <is>
          <t>H1</t>
        </is>
      </c>
      <c r="AH155" s="381" t="inlineStr">
        <is>
          <t>H2</t>
        </is>
      </c>
      <c r="AI155" s="382" t="inlineStr">
        <is>
          <t>FY31 E</t>
        </is>
      </c>
    </row>
    <row r="156">
      <c r="B156" s="477" t="n"/>
      <c r="C156" s="346" t="n">
        <v>2021</v>
      </c>
      <c r="D156" s="346" t="n">
        <v>2021</v>
      </c>
      <c r="F156" s="347" t="n">
        <v>2022</v>
      </c>
      <c r="G156" s="347" t="n">
        <v>2022</v>
      </c>
      <c r="I156" s="348" t="n">
        <v>2023</v>
      </c>
      <c r="J156" s="348" t="n">
        <v>2023</v>
      </c>
      <c r="L156" s="348" t="n">
        <v>2024</v>
      </c>
      <c r="M156" s="348" t="n">
        <v>2024</v>
      </c>
      <c r="O156" s="348" t="n">
        <v>2025</v>
      </c>
      <c r="P156" s="348" t="n">
        <v>2025</v>
      </c>
      <c r="R156" s="348" t="n">
        <v>2026</v>
      </c>
      <c r="S156" s="348" t="n">
        <v>2026</v>
      </c>
      <c r="U156" s="349" t="inlineStr">
        <is>
          <t>2027 E</t>
        </is>
      </c>
      <c r="V156" s="349" t="inlineStr">
        <is>
          <t>2027 E</t>
        </is>
      </c>
      <c r="X156" s="349" t="inlineStr">
        <is>
          <t>2028 E</t>
        </is>
      </c>
      <c r="Y156" s="349" t="inlineStr">
        <is>
          <t>2028 E</t>
        </is>
      </c>
      <c r="AA156" s="349" t="inlineStr">
        <is>
          <t>2029 E</t>
        </is>
      </c>
      <c r="AB156" s="349" t="inlineStr">
        <is>
          <t>2029 E</t>
        </is>
      </c>
      <c r="AD156" s="349" t="inlineStr">
        <is>
          <t>2030 E</t>
        </is>
      </c>
      <c r="AE156" s="349" t="inlineStr">
        <is>
          <t>2030 E</t>
        </is>
      </c>
      <c r="AG156" s="349" t="inlineStr">
        <is>
          <t>2031 E</t>
        </is>
      </c>
      <c r="AH156" s="349" t="inlineStr">
        <is>
          <t>2031 E</t>
        </is>
      </c>
      <c r="AI156" s="478" t="n"/>
    </row>
    <row r="157">
      <c r="B157" s="479" t="inlineStr">
        <is>
          <t>Revenue from operations</t>
        </is>
      </c>
      <c r="C157" s="453">
        <f>'Income Statement'!C8</f>
        <v/>
      </c>
      <c r="D157" s="453">
        <f>'Income Statement'!D8</f>
        <v/>
      </c>
      <c r="E157" s="453">
        <f>'Income Statement'!E8</f>
        <v/>
      </c>
      <c r="F157" s="453">
        <f>'Income Statement'!F8</f>
        <v/>
      </c>
      <c r="G157" s="453">
        <f>'Income Statement'!G8</f>
        <v/>
      </c>
      <c r="H157" s="453">
        <f>'Income Statement'!H8</f>
        <v/>
      </c>
      <c r="I157" s="453">
        <f>'Income Statement'!I8</f>
        <v/>
      </c>
      <c r="J157" s="453">
        <f>'Income Statement'!J8</f>
        <v/>
      </c>
      <c r="K157" s="453">
        <f>'Income Statement'!K8</f>
        <v/>
      </c>
      <c r="L157" s="453">
        <f>'Income Statement'!L8</f>
        <v/>
      </c>
      <c r="M157" s="453">
        <f>'Income Statement'!M8</f>
        <v/>
      </c>
      <c r="N157" s="453">
        <f>'Income Statement'!N8</f>
        <v/>
      </c>
      <c r="O157" s="453">
        <f>'Income Statement'!O8</f>
        <v/>
      </c>
      <c r="P157" s="453">
        <f>'Income Statement'!P8</f>
        <v/>
      </c>
      <c r="Q157" s="453">
        <f>'Income Statement'!Q8</f>
        <v/>
      </c>
      <c r="R157" s="453">
        <f>'Income Statement'!R8</f>
        <v/>
      </c>
      <c r="S157" s="453">
        <f>'Income Statement'!S8</f>
        <v/>
      </c>
      <c r="T157" s="453">
        <f>'Income Statement'!T8</f>
        <v/>
      </c>
      <c r="U157" s="453">
        <f>'Income Statement'!U8</f>
        <v/>
      </c>
      <c r="V157" s="453">
        <f>'Income Statement'!V8</f>
        <v/>
      </c>
      <c r="W157" s="453">
        <f>'Income Statement'!W8</f>
        <v/>
      </c>
      <c r="X157" s="453">
        <f>'Income Statement'!X8</f>
        <v/>
      </c>
      <c r="Y157" s="453">
        <f>'Income Statement'!Y8</f>
        <v/>
      </c>
      <c r="Z157" s="453">
        <f>'Income Statement'!Z8</f>
        <v/>
      </c>
      <c r="AA157" s="453">
        <f>'Income Statement'!AA8</f>
        <v/>
      </c>
      <c r="AB157" s="453">
        <f>'Income Statement'!AB8</f>
        <v/>
      </c>
      <c r="AC157" s="453">
        <f>'Income Statement'!AC8</f>
        <v/>
      </c>
      <c r="AD157" s="453">
        <f>'Income Statement'!AD8</f>
        <v/>
      </c>
      <c r="AE157" s="453">
        <f>'Income Statement'!AE8</f>
        <v/>
      </c>
      <c r="AF157" s="453">
        <f>'Income Statement'!AF8</f>
        <v/>
      </c>
      <c r="AG157" s="453">
        <f>'Income Statement'!AG8</f>
        <v/>
      </c>
      <c r="AH157" s="453">
        <f>'Income Statement'!AH8</f>
        <v/>
      </c>
      <c r="AI157" s="480">
        <f>'Income Statement'!AI8</f>
        <v/>
      </c>
      <c r="AJ157" s="454" t="n"/>
    </row>
    <row r="158">
      <c r="B158" s="255" t="inlineStr">
        <is>
          <t xml:space="preserve"> Growth %</t>
        </is>
      </c>
      <c r="E158" s="450" t="n"/>
      <c r="F158" s="451">
        <f>(F157-C157)/C157</f>
        <v/>
      </c>
      <c r="G158" s="451">
        <f>(G157-D157)/D157</f>
        <v/>
      </c>
      <c r="H158" s="451">
        <f>(H157-E157)/E157</f>
        <v/>
      </c>
      <c r="I158" s="451">
        <f>(I157-F157)/F157</f>
        <v/>
      </c>
      <c r="J158" s="451">
        <f>(J157-G157)/G157</f>
        <v/>
      </c>
      <c r="K158" s="451">
        <f>(K157-H157)/H157</f>
        <v/>
      </c>
      <c r="L158" s="451">
        <f>(L157-I157)/I157</f>
        <v/>
      </c>
      <c r="M158" s="451">
        <f>(M157-J157)/J157</f>
        <v/>
      </c>
      <c r="N158" s="451">
        <f>(N157-K157)/K157</f>
        <v/>
      </c>
      <c r="O158" s="451">
        <f>(O157-L157)/L157</f>
        <v/>
      </c>
      <c r="P158" s="451">
        <f>(P157-M157)/M157</f>
        <v/>
      </c>
      <c r="Q158" s="451">
        <f>(Q157-N157)/N157</f>
        <v/>
      </c>
      <c r="R158" s="451">
        <f>(R157-O157)/O157</f>
        <v/>
      </c>
      <c r="S158" s="451">
        <f>(S157-P157)/P157</f>
        <v/>
      </c>
      <c r="T158" s="451">
        <f>(T157-Q157)/Q157</f>
        <v/>
      </c>
      <c r="U158" s="451">
        <f>(U157-R157)/R157</f>
        <v/>
      </c>
      <c r="V158" s="451">
        <f>(V157-S157)/S157</f>
        <v/>
      </c>
      <c r="W158" s="451">
        <f>(W157-T157)/T157</f>
        <v/>
      </c>
      <c r="X158" s="451">
        <f>(X157-U157)/U157</f>
        <v/>
      </c>
      <c r="Y158" s="451">
        <f>(Y157-V157)/V157</f>
        <v/>
      </c>
      <c r="Z158" s="451">
        <f>(Z157-W157)/W157</f>
        <v/>
      </c>
      <c r="AA158" s="451">
        <f>(AA157-X157)/X157</f>
        <v/>
      </c>
      <c r="AB158" s="451">
        <f>(AB157-Y157)/Y157</f>
        <v/>
      </c>
      <c r="AC158" s="451">
        <f>(AC157-Z157)/Z157</f>
        <v/>
      </c>
      <c r="AD158" s="451">
        <f>(AD157-AA157)/AA157</f>
        <v/>
      </c>
      <c r="AE158" s="451">
        <f>(AE157-AB157)/AB157</f>
        <v/>
      </c>
      <c r="AF158" s="451">
        <f>(AF157-AC157)/AC157</f>
        <v/>
      </c>
      <c r="AG158" s="451">
        <f>(AG157-AD157)/AD157</f>
        <v/>
      </c>
      <c r="AH158" s="451">
        <f>(AH157-AE157)/AE157</f>
        <v/>
      </c>
      <c r="AI158" s="481">
        <f>(AI157-AF157)/AF157</f>
        <v/>
      </c>
    </row>
    <row r="159">
      <c r="B159" s="76" t="n"/>
      <c r="AI159" s="170" t="n"/>
    </row>
    <row r="160">
      <c r="B160" s="79" t="inlineStr">
        <is>
          <t>Segment Wise Revenue Execution</t>
        </is>
      </c>
      <c r="AI160" s="170" t="n"/>
    </row>
    <row r="161">
      <c r="B161" s="76" t="inlineStr">
        <is>
          <t>Heat Exchangers</t>
        </is>
      </c>
      <c r="C161" s="21">
        <f>'Revenue Segments'!C14</f>
        <v/>
      </c>
      <c r="D161" s="21">
        <f>'Revenue Segments'!D14</f>
        <v/>
      </c>
      <c r="E161" s="21">
        <f>'Revenue Segments'!E14</f>
        <v/>
      </c>
      <c r="F161" s="21">
        <f>'Revenue Segments'!F14</f>
        <v/>
      </c>
      <c r="G161" s="21">
        <f>'Revenue Segments'!G14</f>
        <v/>
      </c>
      <c r="H161" s="21">
        <f>'Revenue Segments'!H14</f>
        <v/>
      </c>
      <c r="I161" s="21">
        <f>'Revenue Segments'!I14</f>
        <v/>
      </c>
      <c r="J161" s="21">
        <f>'Revenue Segments'!J14</f>
        <v/>
      </c>
      <c r="K161" s="21">
        <f>'Revenue Segments'!K14</f>
        <v/>
      </c>
      <c r="L161" s="21">
        <f>'Revenue Segments'!L14</f>
        <v/>
      </c>
      <c r="M161" s="21">
        <f>'Revenue Segments'!M14</f>
        <v/>
      </c>
      <c r="N161" s="21">
        <f>'Revenue Segments'!N14</f>
        <v/>
      </c>
      <c r="O161" s="21">
        <f>'Revenue Segments'!O14</f>
        <v/>
      </c>
      <c r="P161" s="21">
        <f>'Revenue Segments'!P14</f>
        <v/>
      </c>
      <c r="Q161" s="21">
        <f>'Revenue Segments'!Q14</f>
        <v/>
      </c>
      <c r="R161" s="21">
        <f>'Revenue Segments'!R14</f>
        <v/>
      </c>
      <c r="S161" s="21">
        <f>'Revenue Segments'!S14</f>
        <v/>
      </c>
      <c r="T161" s="21">
        <f>'Revenue Segments'!T14</f>
        <v/>
      </c>
      <c r="U161" s="21">
        <f>'Revenue Segments'!U14</f>
        <v/>
      </c>
      <c r="V161" s="21">
        <f>'Revenue Segments'!V14</f>
        <v/>
      </c>
      <c r="W161" s="21">
        <f>'Revenue Segments'!W14</f>
        <v/>
      </c>
      <c r="X161" s="21">
        <f>'Revenue Segments'!X14</f>
        <v/>
      </c>
      <c r="Y161" s="21">
        <f>'Revenue Segments'!Y14</f>
        <v/>
      </c>
      <c r="Z161" s="21">
        <f>'Revenue Segments'!Z14</f>
        <v/>
      </c>
      <c r="AA161" s="21">
        <f>'Revenue Segments'!AA14</f>
        <v/>
      </c>
      <c r="AB161" s="21">
        <f>'Revenue Segments'!AB14</f>
        <v/>
      </c>
      <c r="AC161" s="21">
        <f>'Revenue Segments'!AC14</f>
        <v/>
      </c>
      <c r="AD161" s="21">
        <f>'Revenue Segments'!AD14</f>
        <v/>
      </c>
      <c r="AE161" s="21">
        <f>'Revenue Segments'!AE14</f>
        <v/>
      </c>
      <c r="AF161" s="21">
        <f>'Revenue Segments'!AF14</f>
        <v/>
      </c>
      <c r="AG161" s="21">
        <f>'Revenue Segments'!AG14</f>
        <v/>
      </c>
      <c r="AH161" s="21">
        <f>'Revenue Segments'!AH14</f>
        <v/>
      </c>
      <c r="AI161" s="131">
        <f>'Revenue Segments'!AI14</f>
        <v/>
      </c>
    </row>
    <row r="162" customFormat="1" s="69">
      <c r="B162" s="257" t="inlineStr">
        <is>
          <t>as % of Revenue</t>
        </is>
      </c>
      <c r="C162" s="213" t="n"/>
      <c r="D162" s="213" t="n"/>
      <c r="E162" s="463">
        <f>E161/E$157</f>
        <v/>
      </c>
      <c r="F162" s="463">
        <f>F161/F$157</f>
        <v/>
      </c>
      <c r="G162" s="463">
        <f>G161/G$157</f>
        <v/>
      </c>
      <c r="H162" s="463">
        <f>H161/H$157</f>
        <v/>
      </c>
      <c r="I162" s="463">
        <f>I161/I$157</f>
        <v/>
      </c>
      <c r="J162" s="463">
        <f>J161/J$157</f>
        <v/>
      </c>
      <c r="K162" s="463">
        <f>K161/K$157</f>
        <v/>
      </c>
      <c r="L162" s="463">
        <f>L161/L$157</f>
        <v/>
      </c>
      <c r="M162" s="463">
        <f>M161/M$157</f>
        <v/>
      </c>
      <c r="N162" s="463">
        <f>N161/N$157</f>
        <v/>
      </c>
      <c r="O162" s="463">
        <f>O161/O$157</f>
        <v/>
      </c>
      <c r="P162" s="463">
        <f>P161/P$157</f>
        <v/>
      </c>
      <c r="Q162" s="463">
        <f>Q161/Q$157</f>
        <v/>
      </c>
      <c r="R162" s="463">
        <f>R161/R$157</f>
        <v/>
      </c>
      <c r="S162" s="463">
        <f>S161/S$157</f>
        <v/>
      </c>
      <c r="T162" s="463">
        <f>T161/T$157</f>
        <v/>
      </c>
      <c r="U162" s="463">
        <f>U161/U$157</f>
        <v/>
      </c>
      <c r="V162" s="463">
        <f>V161/V$157</f>
        <v/>
      </c>
      <c r="W162" s="463">
        <f>W161/W$157</f>
        <v/>
      </c>
      <c r="X162" s="463">
        <f>X161/X$157</f>
        <v/>
      </c>
      <c r="Y162" s="463">
        <f>Y161/Y$157</f>
        <v/>
      </c>
      <c r="Z162" s="463">
        <f>Z161/Z$157</f>
        <v/>
      </c>
      <c r="AA162" s="463">
        <f>AA161/AA$157</f>
        <v/>
      </c>
      <c r="AB162" s="463">
        <f>AB161/AB$157</f>
        <v/>
      </c>
      <c r="AC162" s="463">
        <f>AC161/AC$157</f>
        <v/>
      </c>
      <c r="AD162" s="463">
        <f>AD161/AD$157</f>
        <v/>
      </c>
      <c r="AE162" s="463">
        <f>AE161/AE$157</f>
        <v/>
      </c>
      <c r="AF162" s="463">
        <f>AF161/AF$157</f>
        <v/>
      </c>
      <c r="AG162" s="463">
        <f>AG161/AG$157</f>
        <v/>
      </c>
      <c r="AH162" s="463">
        <f>AH161/AH$157</f>
        <v/>
      </c>
      <c r="AI162" s="482">
        <f>AI161/AI$157</f>
        <v/>
      </c>
      <c r="AO162" s="12" t="n"/>
    </row>
    <row r="163">
      <c r="B163" s="76" t="inlineStr">
        <is>
          <t>Vessels</t>
        </is>
      </c>
      <c r="C163" s="21">
        <f>'Revenue Segments'!C26</f>
        <v/>
      </c>
      <c r="D163" s="21">
        <f>'Revenue Segments'!D26</f>
        <v/>
      </c>
      <c r="E163" s="21">
        <f>'Revenue Segments'!E26</f>
        <v/>
      </c>
      <c r="F163" s="21">
        <f>'Revenue Segments'!F26</f>
        <v/>
      </c>
      <c r="G163" s="21">
        <f>'Revenue Segments'!G26</f>
        <v/>
      </c>
      <c r="H163" s="21">
        <f>'Revenue Segments'!H26</f>
        <v/>
      </c>
      <c r="I163" s="21">
        <f>'Revenue Segments'!I26</f>
        <v/>
      </c>
      <c r="J163" s="21">
        <f>'Revenue Segments'!J26</f>
        <v/>
      </c>
      <c r="K163" s="21">
        <f>'Revenue Segments'!K26</f>
        <v/>
      </c>
      <c r="L163" s="21">
        <f>'Revenue Segments'!L26</f>
        <v/>
      </c>
      <c r="M163" s="21">
        <f>'Revenue Segments'!M26</f>
        <v/>
      </c>
      <c r="N163" s="21">
        <f>'Revenue Segments'!N26</f>
        <v/>
      </c>
      <c r="O163" s="21">
        <f>'Revenue Segments'!O26</f>
        <v/>
      </c>
      <c r="P163" s="21">
        <f>'Revenue Segments'!P26</f>
        <v/>
      </c>
      <c r="Q163" s="21">
        <f>'Revenue Segments'!Q26</f>
        <v/>
      </c>
      <c r="R163" s="21">
        <f>'Revenue Segments'!R26</f>
        <v/>
      </c>
      <c r="S163" s="21">
        <f>'Revenue Segments'!S26</f>
        <v/>
      </c>
      <c r="T163" s="21">
        <f>'Revenue Segments'!T26</f>
        <v/>
      </c>
      <c r="U163" s="21">
        <f>'Revenue Segments'!U26</f>
        <v/>
      </c>
      <c r="V163" s="21">
        <f>'Revenue Segments'!V26</f>
        <v/>
      </c>
      <c r="W163" s="21">
        <f>'Revenue Segments'!W26</f>
        <v/>
      </c>
      <c r="X163" s="21">
        <f>'Revenue Segments'!X26</f>
        <v/>
      </c>
      <c r="Y163" s="21">
        <f>'Revenue Segments'!Y26</f>
        <v/>
      </c>
      <c r="Z163" s="21">
        <f>'Revenue Segments'!Z26</f>
        <v/>
      </c>
      <c r="AA163" s="21">
        <f>'Revenue Segments'!AA26</f>
        <v/>
      </c>
      <c r="AB163" s="21">
        <f>'Revenue Segments'!AB26</f>
        <v/>
      </c>
      <c r="AC163" s="21">
        <f>'Revenue Segments'!AC26</f>
        <v/>
      </c>
      <c r="AD163" s="21">
        <f>'Revenue Segments'!AD26</f>
        <v/>
      </c>
      <c r="AE163" s="21">
        <f>'Revenue Segments'!AE26</f>
        <v/>
      </c>
      <c r="AF163" s="21">
        <f>'Revenue Segments'!AF26</f>
        <v/>
      </c>
      <c r="AG163" s="21">
        <f>'Revenue Segments'!AG26</f>
        <v/>
      </c>
      <c r="AH163" s="21">
        <f>'Revenue Segments'!AH26</f>
        <v/>
      </c>
      <c r="AI163" s="131">
        <f>'Revenue Segments'!AI26</f>
        <v/>
      </c>
      <c r="AO163" s="69" t="n"/>
    </row>
    <row r="164">
      <c r="B164" s="257" t="inlineStr">
        <is>
          <t>as % of Revenue</t>
        </is>
      </c>
      <c r="C164" s="213" t="n"/>
      <c r="D164" s="213" t="n"/>
      <c r="E164" s="463">
        <f>E163/E$157</f>
        <v/>
      </c>
      <c r="F164" s="463">
        <f>F163/F$157</f>
        <v/>
      </c>
      <c r="G164" s="463">
        <f>G163/G$157</f>
        <v/>
      </c>
      <c r="H164" s="463">
        <f>H163/H$157</f>
        <v/>
      </c>
      <c r="I164" s="463">
        <f>I163/I$157</f>
        <v/>
      </c>
      <c r="J164" s="463">
        <f>J163/J$157</f>
        <v/>
      </c>
      <c r="K164" s="463">
        <f>K163/K$157</f>
        <v/>
      </c>
      <c r="L164" s="463">
        <f>L163/L$157</f>
        <v/>
      </c>
      <c r="M164" s="463">
        <f>M163/M$157</f>
        <v/>
      </c>
      <c r="N164" s="463">
        <f>N163/N$157</f>
        <v/>
      </c>
      <c r="O164" s="463">
        <f>O163/O$157</f>
        <v/>
      </c>
      <c r="P164" s="463">
        <f>P163/P$157</f>
        <v/>
      </c>
      <c r="Q164" s="463">
        <f>Q163/Q$157</f>
        <v/>
      </c>
      <c r="R164" s="463">
        <f>R163/R$157</f>
        <v/>
      </c>
      <c r="S164" s="463">
        <f>S163/S$157</f>
        <v/>
      </c>
      <c r="T164" s="463">
        <f>T163/T$157</f>
        <v/>
      </c>
      <c r="U164" s="463">
        <f>U163/U$157</f>
        <v/>
      </c>
      <c r="V164" s="463">
        <f>V163/V$157</f>
        <v/>
      </c>
      <c r="W164" s="463">
        <f>W163/W$157</f>
        <v/>
      </c>
      <c r="X164" s="463">
        <f>X163/X$157</f>
        <v/>
      </c>
      <c r="Y164" s="463">
        <f>Y163/Y$157</f>
        <v/>
      </c>
      <c r="Z164" s="463">
        <f>Z163/Z$157</f>
        <v/>
      </c>
      <c r="AA164" s="463">
        <f>AA163/AA$157</f>
        <v/>
      </c>
      <c r="AB164" s="463">
        <f>AB163/AB$157</f>
        <v/>
      </c>
      <c r="AC164" s="463">
        <f>AC163/AC$157</f>
        <v/>
      </c>
      <c r="AD164" s="463">
        <f>AD163/AD$157</f>
        <v/>
      </c>
      <c r="AE164" s="463">
        <f>AE163/AE$157</f>
        <v/>
      </c>
      <c r="AF164" s="463">
        <f>AF163/AF$157</f>
        <v/>
      </c>
      <c r="AG164" s="463">
        <f>AG163/AG$157</f>
        <v/>
      </c>
      <c r="AH164" s="463">
        <f>AH163/AH$157</f>
        <v/>
      </c>
      <c r="AI164" s="482">
        <f>AI163/AI$157</f>
        <v/>
      </c>
    </row>
    <row r="165">
      <c r="B165" s="76" t="inlineStr">
        <is>
          <t>Towers &amp; Reactors</t>
        </is>
      </c>
      <c r="C165" s="21">
        <f>'Revenue Segments'!C38</f>
        <v/>
      </c>
      <c r="D165" s="21">
        <f>'Revenue Segments'!D38</f>
        <v/>
      </c>
      <c r="E165" s="21">
        <f>'Revenue Segments'!E38</f>
        <v/>
      </c>
      <c r="F165" s="21">
        <f>'Revenue Segments'!F38</f>
        <v/>
      </c>
      <c r="G165" s="21">
        <f>'Revenue Segments'!G38</f>
        <v/>
      </c>
      <c r="H165" s="21">
        <f>'Revenue Segments'!H38</f>
        <v/>
      </c>
      <c r="I165" s="21">
        <f>'Revenue Segments'!I38</f>
        <v/>
      </c>
      <c r="J165" s="21">
        <f>'Revenue Segments'!J38</f>
        <v/>
      </c>
      <c r="K165" s="21">
        <f>'Revenue Segments'!K38</f>
        <v/>
      </c>
      <c r="L165" s="21">
        <f>'Revenue Segments'!L38</f>
        <v/>
      </c>
      <c r="M165" s="21">
        <f>'Revenue Segments'!M38</f>
        <v/>
      </c>
      <c r="N165" s="21">
        <f>'Revenue Segments'!N38</f>
        <v/>
      </c>
      <c r="O165" s="21">
        <f>'Revenue Segments'!O38</f>
        <v/>
      </c>
      <c r="P165" s="21">
        <f>'Revenue Segments'!P38</f>
        <v/>
      </c>
      <c r="Q165" s="21">
        <f>'Revenue Segments'!Q38</f>
        <v/>
      </c>
      <c r="R165" s="21">
        <f>'Revenue Segments'!R38</f>
        <v/>
      </c>
      <c r="S165" s="21">
        <f>'Revenue Segments'!S38</f>
        <v/>
      </c>
      <c r="T165" s="21">
        <f>'Revenue Segments'!T38</f>
        <v/>
      </c>
      <c r="U165" s="21">
        <f>'Revenue Segments'!U38</f>
        <v/>
      </c>
      <c r="V165" s="21">
        <f>'Revenue Segments'!V38</f>
        <v/>
      </c>
      <c r="W165" s="21">
        <f>'Revenue Segments'!W38</f>
        <v/>
      </c>
      <c r="X165" s="21">
        <f>'Revenue Segments'!X38</f>
        <v/>
      </c>
      <c r="Y165" s="21">
        <f>'Revenue Segments'!Y38</f>
        <v/>
      </c>
      <c r="Z165" s="21">
        <f>'Revenue Segments'!Z38</f>
        <v/>
      </c>
      <c r="AA165" s="21">
        <f>'Revenue Segments'!AA38</f>
        <v/>
      </c>
      <c r="AB165" s="21">
        <f>'Revenue Segments'!AB38</f>
        <v/>
      </c>
      <c r="AC165" s="21">
        <f>'Revenue Segments'!AC38</f>
        <v/>
      </c>
      <c r="AD165" s="21">
        <f>'Revenue Segments'!AD38</f>
        <v/>
      </c>
      <c r="AE165" s="21">
        <f>'Revenue Segments'!AE38</f>
        <v/>
      </c>
      <c r="AF165" s="21">
        <f>'Revenue Segments'!AF38</f>
        <v/>
      </c>
      <c r="AG165" s="21">
        <f>'Revenue Segments'!AG38</f>
        <v/>
      </c>
      <c r="AH165" s="21">
        <f>'Revenue Segments'!AH38</f>
        <v/>
      </c>
      <c r="AI165" s="131">
        <f>'Revenue Segments'!AI38</f>
        <v/>
      </c>
    </row>
    <row r="166">
      <c r="B166" s="257" t="inlineStr">
        <is>
          <t>as % of Revenue</t>
        </is>
      </c>
      <c r="C166" s="213" t="n"/>
      <c r="D166" s="213" t="n"/>
      <c r="E166" s="463">
        <f>E165/E$157</f>
        <v/>
      </c>
      <c r="F166" s="463">
        <f>F165/F$157</f>
        <v/>
      </c>
      <c r="G166" s="463">
        <f>G165/G$157</f>
        <v/>
      </c>
      <c r="H166" s="463">
        <f>H165/H$157</f>
        <v/>
      </c>
      <c r="I166" s="463">
        <f>I165/I$157</f>
        <v/>
      </c>
      <c r="J166" s="463">
        <f>J165/J$157</f>
        <v/>
      </c>
      <c r="K166" s="463">
        <f>K165/K$157</f>
        <v/>
      </c>
      <c r="L166" s="463">
        <f>L165/L$157</f>
        <v/>
      </c>
      <c r="M166" s="463">
        <f>M165/M$157</f>
        <v/>
      </c>
      <c r="N166" s="463">
        <f>N165/N$157</f>
        <v/>
      </c>
      <c r="O166" s="463">
        <f>O165/O$157</f>
        <v/>
      </c>
      <c r="P166" s="463">
        <f>P165/P$157</f>
        <v/>
      </c>
      <c r="Q166" s="463">
        <f>Q165/Q$157</f>
        <v/>
      </c>
      <c r="R166" s="463">
        <f>R165/R$157</f>
        <v/>
      </c>
      <c r="S166" s="463">
        <f>S165/S$157</f>
        <v/>
      </c>
      <c r="T166" s="463">
        <f>T165/T$157</f>
        <v/>
      </c>
      <c r="U166" s="463">
        <f>U165/U$157</f>
        <v/>
      </c>
      <c r="V166" s="463">
        <f>V165/V$157</f>
        <v/>
      </c>
      <c r="W166" s="463">
        <f>W165/W$157</f>
        <v/>
      </c>
      <c r="X166" s="463">
        <f>X165/X$157</f>
        <v/>
      </c>
      <c r="Y166" s="463">
        <f>Y165/Y$157</f>
        <v/>
      </c>
      <c r="Z166" s="463">
        <f>Z165/Z$157</f>
        <v/>
      </c>
      <c r="AA166" s="463">
        <f>AA165/AA$157</f>
        <v/>
      </c>
      <c r="AB166" s="463">
        <f>AB165/AB$157</f>
        <v/>
      </c>
      <c r="AC166" s="463">
        <f>AC165/AC$157</f>
        <v/>
      </c>
      <c r="AD166" s="463">
        <f>AD165/AD$157</f>
        <v/>
      </c>
      <c r="AE166" s="463">
        <f>AE165/AE$157</f>
        <v/>
      </c>
      <c r="AF166" s="463">
        <f>AF165/AF$157</f>
        <v/>
      </c>
      <c r="AG166" s="463">
        <f>AG165/AG$157</f>
        <v/>
      </c>
      <c r="AH166" s="463">
        <f>AH165/AH$157</f>
        <v/>
      </c>
      <c r="AI166" s="482">
        <f>AI165/AI$157</f>
        <v/>
      </c>
    </row>
    <row r="167">
      <c r="B167" s="76" t="inlineStr">
        <is>
          <t>Tank &amp; Silos</t>
        </is>
      </c>
      <c r="C167" s="21">
        <f>'Revenue Segments'!C50</f>
        <v/>
      </c>
      <c r="D167" s="21">
        <f>'Revenue Segments'!D50</f>
        <v/>
      </c>
      <c r="E167" s="21">
        <f>'Revenue Segments'!E50</f>
        <v/>
      </c>
      <c r="F167" s="21">
        <f>'Revenue Segments'!F50</f>
        <v/>
      </c>
      <c r="G167" s="21">
        <f>'Revenue Segments'!G50</f>
        <v/>
      </c>
      <c r="H167" s="21">
        <f>'Revenue Segments'!H50</f>
        <v/>
      </c>
      <c r="I167" s="21">
        <f>'Revenue Segments'!I50</f>
        <v/>
      </c>
      <c r="J167" s="21">
        <f>'Revenue Segments'!J50</f>
        <v/>
      </c>
      <c r="K167" s="21">
        <f>'Revenue Segments'!K50</f>
        <v/>
      </c>
      <c r="L167" s="21">
        <f>'Revenue Segments'!L50</f>
        <v/>
      </c>
      <c r="M167" s="21">
        <f>'Revenue Segments'!M50</f>
        <v/>
      </c>
      <c r="N167" s="21">
        <f>'Revenue Segments'!N50</f>
        <v/>
      </c>
      <c r="O167" s="21">
        <f>'Revenue Segments'!O50</f>
        <v/>
      </c>
      <c r="P167" s="21">
        <f>'Revenue Segments'!P50</f>
        <v/>
      </c>
      <c r="Q167" s="21">
        <f>'Revenue Segments'!Q50</f>
        <v/>
      </c>
      <c r="R167" s="21">
        <f>'Revenue Segments'!R50</f>
        <v/>
      </c>
      <c r="S167" s="21">
        <f>'Revenue Segments'!S50</f>
        <v/>
      </c>
      <c r="T167" s="21">
        <f>'Revenue Segments'!T50</f>
        <v/>
      </c>
      <c r="U167" s="21">
        <f>'Revenue Segments'!U50</f>
        <v/>
      </c>
      <c r="V167" s="21">
        <f>'Revenue Segments'!V50</f>
        <v/>
      </c>
      <c r="W167" s="21">
        <f>'Revenue Segments'!W50</f>
        <v/>
      </c>
      <c r="X167" s="21">
        <f>'Revenue Segments'!X50</f>
        <v/>
      </c>
      <c r="Y167" s="21">
        <f>'Revenue Segments'!Y50</f>
        <v/>
      </c>
      <c r="Z167" s="21">
        <f>'Revenue Segments'!Z50</f>
        <v/>
      </c>
      <c r="AA167" s="21">
        <f>'Revenue Segments'!AA50</f>
        <v/>
      </c>
      <c r="AB167" s="21">
        <f>'Revenue Segments'!AB50</f>
        <v/>
      </c>
      <c r="AC167" s="21">
        <f>'Revenue Segments'!AC50</f>
        <v/>
      </c>
      <c r="AD167" s="21">
        <f>'Revenue Segments'!AD50</f>
        <v/>
      </c>
      <c r="AE167" s="21">
        <f>'Revenue Segments'!AE50</f>
        <v/>
      </c>
      <c r="AF167" s="21">
        <f>'Revenue Segments'!AF50</f>
        <v/>
      </c>
      <c r="AG167" s="21">
        <f>'Revenue Segments'!AG50</f>
        <v/>
      </c>
      <c r="AH167" s="21">
        <f>'Revenue Segments'!AH50</f>
        <v/>
      </c>
      <c r="AI167" s="131">
        <f>'Revenue Segments'!AI50</f>
        <v/>
      </c>
      <c r="AJ167" s="21" t="n"/>
    </row>
    <row r="168">
      <c r="B168" s="257" t="inlineStr">
        <is>
          <t>as % of Revenue</t>
        </is>
      </c>
      <c r="C168" s="213" t="n"/>
      <c r="D168" s="213" t="n"/>
      <c r="E168" s="463">
        <f>E167/E$157</f>
        <v/>
      </c>
      <c r="F168" s="463">
        <f>F167/F$157</f>
        <v/>
      </c>
      <c r="G168" s="463">
        <f>G167/G$157</f>
        <v/>
      </c>
      <c r="H168" s="463">
        <f>H167/H$157</f>
        <v/>
      </c>
      <c r="I168" s="463">
        <f>I167/I$157</f>
        <v/>
      </c>
      <c r="J168" s="463">
        <f>J167/J$157</f>
        <v/>
      </c>
      <c r="K168" s="463">
        <f>K167/K$157</f>
        <v/>
      </c>
      <c r="L168" s="463">
        <f>L167/L$157</f>
        <v/>
      </c>
      <c r="M168" s="463">
        <f>M167/M$157</f>
        <v/>
      </c>
      <c r="N168" s="463">
        <f>N167/N$157</f>
        <v/>
      </c>
      <c r="O168" s="463">
        <f>O167/O$157</f>
        <v/>
      </c>
      <c r="P168" s="463">
        <f>P167/P$157</f>
        <v/>
      </c>
      <c r="Q168" s="463">
        <f>Q167/Q$157</f>
        <v/>
      </c>
      <c r="R168" s="463">
        <f>R167/R$157</f>
        <v/>
      </c>
      <c r="S168" s="463">
        <f>S167/S$157</f>
        <v/>
      </c>
      <c r="T168" s="463">
        <f>T167/T$157</f>
        <v/>
      </c>
      <c r="U168" s="463">
        <f>U167/U$157</f>
        <v/>
      </c>
      <c r="V168" s="463">
        <f>V167/V$157</f>
        <v/>
      </c>
      <c r="W168" s="463">
        <f>W167/W$157</f>
        <v/>
      </c>
      <c r="X168" s="463">
        <f>X167/X$157</f>
        <v/>
      </c>
      <c r="Y168" s="463">
        <f>Y167/Y$157</f>
        <v/>
      </c>
      <c r="Z168" s="463">
        <f>Z167/Z$157</f>
        <v/>
      </c>
      <c r="AA168" s="463">
        <f>AA167/AA$157</f>
        <v/>
      </c>
      <c r="AB168" s="463">
        <f>AB167/AB$157</f>
        <v/>
      </c>
      <c r="AC168" s="463">
        <f>AC167/AC$157</f>
        <v/>
      </c>
      <c r="AD168" s="463">
        <f>AD167/AD$157</f>
        <v/>
      </c>
      <c r="AE168" s="463">
        <f>AE167/AE$157</f>
        <v/>
      </c>
      <c r="AF168" s="463">
        <f>AF167/AF$157</f>
        <v/>
      </c>
      <c r="AG168" s="463">
        <f>AG167/AG$157</f>
        <v/>
      </c>
      <c r="AH168" s="463">
        <f>AH167/AH$157</f>
        <v/>
      </c>
      <c r="AI168" s="482">
        <f>AI167/AI$157</f>
        <v/>
      </c>
      <c r="AJ168" s="21" t="n"/>
    </row>
    <row r="169">
      <c r="B169" s="76" t="inlineStr">
        <is>
          <t>Centrifuge &amp; Others</t>
        </is>
      </c>
      <c r="C169" s="21">
        <f>'Revenue Segments'!C62</f>
        <v/>
      </c>
      <c r="D169" s="21">
        <f>'Revenue Segments'!D62</f>
        <v/>
      </c>
      <c r="E169" s="21">
        <f>'Revenue Segments'!E62</f>
        <v/>
      </c>
      <c r="F169" s="21">
        <f>'Revenue Segments'!F62</f>
        <v/>
      </c>
      <c r="G169" s="21">
        <f>'Revenue Segments'!G62</f>
        <v/>
      </c>
      <c r="H169" s="21">
        <f>'Revenue Segments'!H62</f>
        <v/>
      </c>
      <c r="I169" s="21">
        <f>'Revenue Segments'!I62</f>
        <v/>
      </c>
      <c r="J169" s="21">
        <f>'Revenue Segments'!J62</f>
        <v/>
      </c>
      <c r="K169" s="21">
        <f>'Revenue Segments'!K62</f>
        <v/>
      </c>
      <c r="L169" s="21">
        <f>'Revenue Segments'!L62</f>
        <v/>
      </c>
      <c r="M169" s="21">
        <f>'Revenue Segments'!M62</f>
        <v/>
      </c>
      <c r="N169" s="21">
        <f>'Revenue Segments'!N62</f>
        <v/>
      </c>
      <c r="O169" s="21">
        <f>'Revenue Segments'!O62</f>
        <v/>
      </c>
      <c r="P169" s="21">
        <f>'Revenue Segments'!P62</f>
        <v/>
      </c>
      <c r="Q169" s="21">
        <f>'Revenue Segments'!Q62</f>
        <v/>
      </c>
      <c r="R169" s="21">
        <f>'Revenue Segments'!R62</f>
        <v/>
      </c>
      <c r="S169" s="21">
        <f>'Revenue Segments'!S62</f>
        <v/>
      </c>
      <c r="T169" s="21">
        <f>'Revenue Segments'!T62</f>
        <v/>
      </c>
      <c r="U169" s="21">
        <f>'Revenue Segments'!U62</f>
        <v/>
      </c>
      <c r="V169" s="21">
        <f>'Revenue Segments'!V62</f>
        <v/>
      </c>
      <c r="W169" s="21">
        <f>'Revenue Segments'!W62</f>
        <v/>
      </c>
      <c r="X169" s="21">
        <f>'Revenue Segments'!X62</f>
        <v/>
      </c>
      <c r="Y169" s="21">
        <f>'Revenue Segments'!Y62</f>
        <v/>
      </c>
      <c r="Z169" s="21">
        <f>'Revenue Segments'!Z62</f>
        <v/>
      </c>
      <c r="AA169" s="21">
        <f>'Revenue Segments'!AA62</f>
        <v/>
      </c>
      <c r="AB169" s="21">
        <f>'Revenue Segments'!AB62</f>
        <v/>
      </c>
      <c r="AC169" s="21">
        <f>'Revenue Segments'!AC62</f>
        <v/>
      </c>
      <c r="AD169" s="21">
        <f>'Revenue Segments'!AD62</f>
        <v/>
      </c>
      <c r="AE169" s="21">
        <f>'Revenue Segments'!AE62</f>
        <v/>
      </c>
      <c r="AF169" s="21">
        <f>'Revenue Segments'!AF62</f>
        <v/>
      </c>
      <c r="AG169" s="21">
        <f>'Revenue Segments'!AG62</f>
        <v/>
      </c>
      <c r="AH169" s="21">
        <f>'Revenue Segments'!AH62</f>
        <v/>
      </c>
      <c r="AI169" s="131">
        <f>'Revenue Segments'!AI62</f>
        <v/>
      </c>
    </row>
    <row r="170">
      <c r="B170" s="257" t="inlineStr">
        <is>
          <t>as % of Revenue</t>
        </is>
      </c>
      <c r="C170" s="213" t="n"/>
      <c r="D170" s="213" t="n"/>
      <c r="E170" s="463">
        <f>E169/E$157</f>
        <v/>
      </c>
      <c r="F170" s="463">
        <f>F169/F$157</f>
        <v/>
      </c>
      <c r="G170" s="463">
        <f>G169/G$157</f>
        <v/>
      </c>
      <c r="H170" s="463">
        <f>H169/H$157</f>
        <v/>
      </c>
      <c r="I170" s="463">
        <f>I169/I$157</f>
        <v/>
      </c>
      <c r="J170" s="463">
        <f>J169/J$157</f>
        <v/>
      </c>
      <c r="K170" s="463">
        <f>K169/K$157</f>
        <v/>
      </c>
      <c r="L170" s="463">
        <f>L169/L$157</f>
        <v/>
      </c>
      <c r="M170" s="463">
        <f>M169/M$157</f>
        <v/>
      </c>
      <c r="N170" s="463">
        <f>N169/N$157</f>
        <v/>
      </c>
      <c r="O170" s="463">
        <f>O169/O$157</f>
        <v/>
      </c>
      <c r="P170" s="463">
        <f>P169/P$157</f>
        <v/>
      </c>
      <c r="Q170" s="463">
        <f>Q169/Q$157</f>
        <v/>
      </c>
      <c r="R170" s="463">
        <f>R169/R$157</f>
        <v/>
      </c>
      <c r="S170" s="463">
        <f>S169/S$157</f>
        <v/>
      </c>
      <c r="T170" s="463">
        <f>T169/T$157</f>
        <v/>
      </c>
      <c r="U170" s="463">
        <f>U169/U$157</f>
        <v/>
      </c>
      <c r="V170" s="463">
        <f>V169/V$157</f>
        <v/>
      </c>
      <c r="W170" s="463">
        <f>W169/W$157</f>
        <v/>
      </c>
      <c r="X170" s="463">
        <f>X169/X$157</f>
        <v/>
      </c>
      <c r="Y170" s="463">
        <f>Y169/Y$157</f>
        <v/>
      </c>
      <c r="Z170" s="463">
        <f>Z169/Z$157</f>
        <v/>
      </c>
      <c r="AA170" s="463">
        <f>AA169/AA$157</f>
        <v/>
      </c>
      <c r="AB170" s="463">
        <f>AB169/AB$157</f>
        <v/>
      </c>
      <c r="AC170" s="463">
        <f>AC169/AC$157</f>
        <v/>
      </c>
      <c r="AD170" s="463">
        <f>AD169/AD$157</f>
        <v/>
      </c>
      <c r="AE170" s="463">
        <f>AE169/AE$157</f>
        <v/>
      </c>
      <c r="AF170" s="463">
        <f>AF169/AF$157</f>
        <v/>
      </c>
      <c r="AG170" s="463">
        <f>AG169/AG$157</f>
        <v/>
      </c>
      <c r="AH170" s="463">
        <f>AH169/AH$157</f>
        <v/>
      </c>
      <c r="AI170" s="482">
        <f>AI169/AI$157</f>
        <v/>
      </c>
    </row>
    <row r="171">
      <c r="B171" s="257" t="n"/>
      <c r="C171" s="213" t="n"/>
      <c r="D171" s="213" t="n"/>
      <c r="E171" s="463" t="n"/>
      <c r="F171" s="463" t="n"/>
      <c r="G171" s="463" t="n"/>
      <c r="H171" s="463" t="n"/>
      <c r="I171" s="463" t="n"/>
      <c r="J171" s="463" t="n"/>
      <c r="K171" s="463" t="n"/>
      <c r="L171" s="463" t="n"/>
      <c r="M171" s="463" t="n"/>
      <c r="N171" s="463" t="n"/>
      <c r="O171" s="463" t="n"/>
      <c r="P171" s="463" t="n"/>
      <c r="Q171" s="463" t="n"/>
      <c r="R171" s="463" t="n"/>
      <c r="S171" s="463" t="n"/>
      <c r="T171" s="463" t="n"/>
      <c r="U171" s="463" t="n"/>
      <c r="V171" s="463" t="n"/>
      <c r="W171" s="463" t="n"/>
      <c r="X171" s="463" t="n"/>
      <c r="Y171" s="463" t="n"/>
      <c r="Z171" s="463" t="n"/>
      <c r="AA171" s="463" t="n"/>
      <c r="AB171" s="463" t="n"/>
      <c r="AC171" s="463" t="n"/>
      <c r="AD171" s="463" t="n"/>
      <c r="AE171" s="463" t="n"/>
      <c r="AF171" s="463" t="n"/>
      <c r="AG171" s="463" t="n"/>
      <c r="AH171" s="463" t="n"/>
      <c r="AI171" s="482" t="n"/>
    </row>
    <row r="172">
      <c r="B172" s="76" t="inlineStr">
        <is>
          <t>Order Book</t>
        </is>
      </c>
      <c r="C172" s="21">
        <f>'Revenue Segments'!C68</f>
        <v/>
      </c>
      <c r="D172" s="21">
        <f>'Revenue Segments'!D68</f>
        <v/>
      </c>
      <c r="E172" s="21">
        <f>'Revenue Segments'!E68</f>
        <v/>
      </c>
      <c r="F172" s="21">
        <f>'Revenue Segments'!F68</f>
        <v/>
      </c>
      <c r="G172" s="21">
        <f>'Revenue Segments'!G68</f>
        <v/>
      </c>
      <c r="H172" s="21">
        <f>'Revenue Segments'!H68</f>
        <v/>
      </c>
      <c r="I172" s="21">
        <f>'Revenue Segments'!I68</f>
        <v/>
      </c>
      <c r="J172" s="21">
        <f>'Revenue Segments'!J68</f>
        <v/>
      </c>
      <c r="K172" s="21">
        <f>'Revenue Segments'!K68</f>
        <v/>
      </c>
      <c r="L172" s="21">
        <f>'Revenue Segments'!L68</f>
        <v/>
      </c>
      <c r="M172" s="21">
        <f>'Revenue Segments'!M68</f>
        <v/>
      </c>
      <c r="N172" s="21">
        <f>'Revenue Segments'!N68</f>
        <v/>
      </c>
      <c r="O172" s="21">
        <f>'Revenue Segments'!O68</f>
        <v/>
      </c>
      <c r="P172" s="21">
        <f>'Revenue Segments'!P68</f>
        <v/>
      </c>
      <c r="Q172" s="21">
        <f>'Revenue Segments'!Q68</f>
        <v/>
      </c>
      <c r="R172" s="21">
        <f>'Revenue Segments'!R68</f>
        <v/>
      </c>
      <c r="S172" s="21">
        <f>'Revenue Segments'!S68</f>
        <v/>
      </c>
      <c r="T172" s="21">
        <f>'Revenue Segments'!T68</f>
        <v/>
      </c>
      <c r="U172" s="21">
        <f>'Revenue Segments'!U68</f>
        <v/>
      </c>
      <c r="V172" s="21">
        <f>'Revenue Segments'!V68</f>
        <v/>
      </c>
      <c r="W172" s="21">
        <f>'Revenue Segments'!W68</f>
        <v/>
      </c>
      <c r="X172" s="21">
        <f>'Revenue Segments'!X68</f>
        <v/>
      </c>
      <c r="Y172" s="21">
        <f>'Revenue Segments'!Y68</f>
        <v/>
      </c>
      <c r="Z172" s="21">
        <f>'Revenue Segments'!Z68</f>
        <v/>
      </c>
      <c r="AA172" s="21">
        <f>'Revenue Segments'!AA68</f>
        <v/>
      </c>
      <c r="AB172" s="21">
        <f>'Revenue Segments'!AB68</f>
        <v/>
      </c>
      <c r="AC172" s="21">
        <f>'Revenue Segments'!AC68</f>
        <v/>
      </c>
      <c r="AD172" s="21">
        <f>'Revenue Segments'!AD68</f>
        <v/>
      </c>
      <c r="AE172" s="21">
        <f>'Revenue Segments'!AE68</f>
        <v/>
      </c>
      <c r="AF172" s="21">
        <f>'Revenue Segments'!AF68</f>
        <v/>
      </c>
      <c r="AG172" s="21">
        <f>'Revenue Segments'!AG68</f>
        <v/>
      </c>
      <c r="AH172" s="21">
        <f>'Revenue Segments'!AH68</f>
        <v/>
      </c>
      <c r="AI172" s="131">
        <f>'Revenue Segments'!AI68</f>
        <v/>
      </c>
      <c r="AJ172" s="21" t="n"/>
    </row>
    <row r="173">
      <c r="B173" s="76" t="inlineStr">
        <is>
          <t>Order Inflow</t>
        </is>
      </c>
      <c r="C173" s="21">
        <f>'Revenue Segments'!C11+'Revenue Segments'!C23+'Revenue Segments'!C35+'Revenue Segments'!C47+'Revenue Segments'!C59</f>
        <v/>
      </c>
      <c r="D173" s="21">
        <f>'Revenue Segments'!D11+'Revenue Segments'!D23+'Revenue Segments'!D35+'Revenue Segments'!D47+'Revenue Segments'!D59</f>
        <v/>
      </c>
      <c r="E173" s="21">
        <f>'Revenue Segments'!E11+'Revenue Segments'!E23+'Revenue Segments'!E35+'Revenue Segments'!E47+'Revenue Segments'!E59</f>
        <v/>
      </c>
      <c r="F173" s="21">
        <f>'Revenue Segments'!F11+'Revenue Segments'!F23+'Revenue Segments'!F35+'Revenue Segments'!F47+'Revenue Segments'!F59</f>
        <v/>
      </c>
      <c r="G173" s="21">
        <f>'Revenue Segments'!G11+'Revenue Segments'!G23+'Revenue Segments'!G35+'Revenue Segments'!G47+'Revenue Segments'!G59</f>
        <v/>
      </c>
      <c r="H173" s="21">
        <f>'Revenue Segments'!H11+'Revenue Segments'!H23+'Revenue Segments'!H35+'Revenue Segments'!H47+'Revenue Segments'!H59</f>
        <v/>
      </c>
      <c r="I173" s="21">
        <f>'Revenue Segments'!I11+'Revenue Segments'!I23+'Revenue Segments'!I35+'Revenue Segments'!I47+'Revenue Segments'!I59</f>
        <v/>
      </c>
      <c r="J173" s="21">
        <f>'Revenue Segments'!J11+'Revenue Segments'!J23+'Revenue Segments'!J35+'Revenue Segments'!J47+'Revenue Segments'!J59</f>
        <v/>
      </c>
      <c r="K173" s="21">
        <f>'Revenue Segments'!K11+'Revenue Segments'!K23+'Revenue Segments'!K35+'Revenue Segments'!K47+'Revenue Segments'!K59</f>
        <v/>
      </c>
      <c r="L173" s="21">
        <f>'Revenue Segments'!L11+'Revenue Segments'!L23+'Revenue Segments'!L35+'Revenue Segments'!L47+'Revenue Segments'!L59</f>
        <v/>
      </c>
      <c r="M173" s="21">
        <f>'Revenue Segments'!M11+'Revenue Segments'!M23+'Revenue Segments'!M35+'Revenue Segments'!M47+'Revenue Segments'!M59</f>
        <v/>
      </c>
      <c r="N173" s="21">
        <f>'Revenue Segments'!N11+'Revenue Segments'!N23+'Revenue Segments'!N35+'Revenue Segments'!N47+'Revenue Segments'!N59</f>
        <v/>
      </c>
      <c r="O173" s="21">
        <f>'Revenue Segments'!O11+'Revenue Segments'!O23+'Revenue Segments'!O35+'Revenue Segments'!O47+'Revenue Segments'!O59</f>
        <v/>
      </c>
      <c r="P173" s="21">
        <f>'Revenue Segments'!P11+'Revenue Segments'!P23+'Revenue Segments'!P35+'Revenue Segments'!P47+'Revenue Segments'!P59</f>
        <v/>
      </c>
      <c r="Q173" s="21">
        <f>'Revenue Segments'!Q11+'Revenue Segments'!Q23+'Revenue Segments'!Q35+'Revenue Segments'!Q47+'Revenue Segments'!Q59</f>
        <v/>
      </c>
      <c r="R173" s="21">
        <f>'Revenue Segments'!R11+'Revenue Segments'!R23+'Revenue Segments'!R35+'Revenue Segments'!R47+'Revenue Segments'!R59</f>
        <v/>
      </c>
      <c r="S173" s="21">
        <f>'Revenue Segments'!S11+'Revenue Segments'!S23+'Revenue Segments'!S35+'Revenue Segments'!S47+'Revenue Segments'!S59</f>
        <v/>
      </c>
      <c r="T173" s="21">
        <f>'Revenue Segments'!T11+'Revenue Segments'!T23+'Revenue Segments'!T35+'Revenue Segments'!T47+'Revenue Segments'!T59</f>
        <v/>
      </c>
      <c r="U173" s="21">
        <f>'Revenue Segments'!U11+'Revenue Segments'!U23+'Revenue Segments'!U35+'Revenue Segments'!U47+'Revenue Segments'!U59</f>
        <v/>
      </c>
      <c r="V173" s="21">
        <f>'Revenue Segments'!V11+'Revenue Segments'!V23+'Revenue Segments'!V35+'Revenue Segments'!V47+'Revenue Segments'!V59</f>
        <v/>
      </c>
      <c r="W173" s="21">
        <f>'Revenue Segments'!W11+'Revenue Segments'!W23+'Revenue Segments'!W35+'Revenue Segments'!W47+'Revenue Segments'!W59</f>
        <v/>
      </c>
      <c r="X173" s="21">
        <f>'Revenue Segments'!X11+'Revenue Segments'!X23+'Revenue Segments'!X35+'Revenue Segments'!X47+'Revenue Segments'!X59</f>
        <v/>
      </c>
      <c r="Y173" s="21">
        <f>'Revenue Segments'!Y11+'Revenue Segments'!Y23+'Revenue Segments'!Y35+'Revenue Segments'!Y47+'Revenue Segments'!Y59</f>
        <v/>
      </c>
      <c r="Z173" s="21">
        <f>'Revenue Segments'!Z11+'Revenue Segments'!Z23+'Revenue Segments'!Z35+'Revenue Segments'!Z47+'Revenue Segments'!Z59</f>
        <v/>
      </c>
      <c r="AA173" s="21">
        <f>'Revenue Segments'!AA11+'Revenue Segments'!AA23+'Revenue Segments'!AA35+'Revenue Segments'!AA47+'Revenue Segments'!AA59</f>
        <v/>
      </c>
      <c r="AB173" s="21">
        <f>'Revenue Segments'!AB11+'Revenue Segments'!AB23+'Revenue Segments'!AB35+'Revenue Segments'!AB47+'Revenue Segments'!AB59</f>
        <v/>
      </c>
      <c r="AC173" s="21">
        <f>'Revenue Segments'!AC11+'Revenue Segments'!AC23+'Revenue Segments'!AC35+'Revenue Segments'!AC47+'Revenue Segments'!AC59</f>
        <v/>
      </c>
      <c r="AD173" s="21">
        <f>'Revenue Segments'!AD11+'Revenue Segments'!AD23+'Revenue Segments'!AD35+'Revenue Segments'!AD47+'Revenue Segments'!AD59</f>
        <v/>
      </c>
      <c r="AE173" s="21">
        <f>'Revenue Segments'!AE11+'Revenue Segments'!AE23+'Revenue Segments'!AE35+'Revenue Segments'!AE47+'Revenue Segments'!AE59</f>
        <v/>
      </c>
      <c r="AF173" s="21">
        <f>'Revenue Segments'!AF11+'Revenue Segments'!AF23+'Revenue Segments'!AF35+'Revenue Segments'!AF47+'Revenue Segments'!AF59</f>
        <v/>
      </c>
      <c r="AG173" s="21">
        <f>'Revenue Segments'!AG11+'Revenue Segments'!AG23+'Revenue Segments'!AG35+'Revenue Segments'!AG47+'Revenue Segments'!AG59</f>
        <v/>
      </c>
      <c r="AH173" s="21">
        <f>'Revenue Segments'!AH11+'Revenue Segments'!AH23+'Revenue Segments'!AH35+'Revenue Segments'!AH47+'Revenue Segments'!AH59</f>
        <v/>
      </c>
      <c r="AI173" s="131">
        <f>'Revenue Segments'!AI11+'Revenue Segments'!AI23+'Revenue Segments'!AI35+'Revenue Segments'!AI47+'Revenue Segments'!AI59</f>
        <v/>
      </c>
      <c r="AJ173" s="21" t="n"/>
    </row>
    <row r="174">
      <c r="B174" s="76" t="inlineStr">
        <is>
          <t>Order Book to Bill Ratio</t>
        </is>
      </c>
      <c r="C174" s="454">
        <f>C172/C157</f>
        <v/>
      </c>
      <c r="D174" s="454">
        <f>D172/D157</f>
        <v/>
      </c>
      <c r="E174" s="272">
        <f>E172/E157</f>
        <v/>
      </c>
      <c r="F174" s="272">
        <f>F172/F157</f>
        <v/>
      </c>
      <c r="G174" s="272">
        <f>G172/G157</f>
        <v/>
      </c>
      <c r="H174" s="272">
        <f>H172/H157</f>
        <v/>
      </c>
      <c r="I174" s="272">
        <f>I172/I157</f>
        <v/>
      </c>
      <c r="J174" s="272">
        <f>J172/J157</f>
        <v/>
      </c>
      <c r="K174" s="272">
        <f>K172/K157</f>
        <v/>
      </c>
      <c r="L174" s="272">
        <f>L172/L157</f>
        <v/>
      </c>
      <c r="M174" s="272">
        <f>M172/M157</f>
        <v/>
      </c>
      <c r="N174" s="272">
        <f>N172/N157</f>
        <v/>
      </c>
      <c r="O174" s="272">
        <f>O172/O157</f>
        <v/>
      </c>
      <c r="P174" s="272">
        <f>P172/P157</f>
        <v/>
      </c>
      <c r="Q174" s="272">
        <f>Q172/Q157</f>
        <v/>
      </c>
      <c r="R174" s="272">
        <f>R172/R157</f>
        <v/>
      </c>
      <c r="S174" s="272">
        <f>S172/S157</f>
        <v/>
      </c>
      <c r="T174" s="272">
        <f>T172/T157</f>
        <v/>
      </c>
      <c r="U174" s="272">
        <f>U172/U157</f>
        <v/>
      </c>
      <c r="V174" s="272">
        <f>V172/V157</f>
        <v/>
      </c>
      <c r="W174" s="272">
        <f>W172/W157</f>
        <v/>
      </c>
      <c r="X174" s="272">
        <f>X172/X157</f>
        <v/>
      </c>
      <c r="Y174" s="272">
        <f>Y172/Y157</f>
        <v/>
      </c>
      <c r="Z174" s="272">
        <f>Z172/Z157</f>
        <v/>
      </c>
      <c r="AA174" s="272">
        <f>AA172/AA157</f>
        <v/>
      </c>
      <c r="AB174" s="272">
        <f>AB172/AB157</f>
        <v/>
      </c>
      <c r="AC174" s="272">
        <f>AC172/AC157</f>
        <v/>
      </c>
      <c r="AD174" s="272">
        <f>AD172/AD157</f>
        <v/>
      </c>
      <c r="AE174" s="272">
        <f>AE172/AE157</f>
        <v/>
      </c>
      <c r="AF174" s="272">
        <f>AF172/AF157</f>
        <v/>
      </c>
      <c r="AG174" s="272">
        <f>AG172/AG157</f>
        <v/>
      </c>
      <c r="AH174" s="272">
        <f>AH172/AH157</f>
        <v/>
      </c>
      <c r="AI174" s="273">
        <f>AI172/AI157</f>
        <v/>
      </c>
    </row>
    <row r="175">
      <c r="B175" s="76" t="inlineStr">
        <is>
          <t>Book to Bill Ratio</t>
        </is>
      </c>
      <c r="C175" s="454" t="n"/>
      <c r="D175" s="454" t="n"/>
      <c r="E175" s="272">
        <f>E173/E157</f>
        <v/>
      </c>
      <c r="F175" s="272">
        <f>F173/F157</f>
        <v/>
      </c>
      <c r="G175" s="272">
        <f>G173/G157</f>
        <v/>
      </c>
      <c r="H175" s="272">
        <f>H173/H157</f>
        <v/>
      </c>
      <c r="I175" s="272">
        <f>I173/I157</f>
        <v/>
      </c>
      <c r="J175" s="272">
        <f>J173/J157</f>
        <v/>
      </c>
      <c r="K175" s="272">
        <f>K173/K157</f>
        <v/>
      </c>
      <c r="L175" s="272">
        <f>L173/L157</f>
        <v/>
      </c>
      <c r="M175" s="272">
        <f>M173/M157</f>
        <v/>
      </c>
      <c r="N175" s="272">
        <f>N173/N157</f>
        <v/>
      </c>
      <c r="O175" s="272">
        <f>O173/O157</f>
        <v/>
      </c>
      <c r="P175" s="272">
        <f>P173/P157</f>
        <v/>
      </c>
      <c r="Q175" s="272">
        <f>Q173/Q157</f>
        <v/>
      </c>
      <c r="R175" s="272">
        <f>R173/R157</f>
        <v/>
      </c>
      <c r="S175" s="272">
        <f>S173/S157</f>
        <v/>
      </c>
      <c r="T175" s="272">
        <f>T173/T157</f>
        <v/>
      </c>
      <c r="U175" s="272">
        <f>U173/U157</f>
        <v/>
      </c>
      <c r="V175" s="272">
        <f>V173/V157</f>
        <v/>
      </c>
      <c r="W175" s="272">
        <f>W173/W157</f>
        <v/>
      </c>
      <c r="X175" s="272">
        <f>X173/X157</f>
        <v/>
      </c>
      <c r="Y175" s="272">
        <f>Y173/Y157</f>
        <v/>
      </c>
      <c r="Z175" s="272">
        <f>Z173/Z157</f>
        <v/>
      </c>
      <c r="AA175" s="272">
        <f>AA173/AA157</f>
        <v/>
      </c>
      <c r="AB175" s="272">
        <f>AB173/AB157</f>
        <v/>
      </c>
      <c r="AC175" s="272">
        <f>AC173/AC157</f>
        <v/>
      </c>
      <c r="AD175" s="272">
        <f>AD173/AD157</f>
        <v/>
      </c>
      <c r="AE175" s="272">
        <f>AE173/AE157</f>
        <v/>
      </c>
      <c r="AF175" s="272">
        <f>AF173/AF157</f>
        <v/>
      </c>
      <c r="AG175" s="272">
        <f>AG173/AG157</f>
        <v/>
      </c>
      <c r="AH175" s="272">
        <f>AH173/AH157</f>
        <v/>
      </c>
      <c r="AI175" s="272">
        <f>AI173/AI157</f>
        <v/>
      </c>
    </row>
    <row r="176">
      <c r="B176" s="76" t="n"/>
      <c r="C176" s="21" t="n"/>
      <c r="D176" s="21" t="n"/>
      <c r="E176" s="454" t="n"/>
      <c r="F176" s="454" t="n"/>
      <c r="G176" s="454" t="n"/>
      <c r="H176" s="454" t="n"/>
      <c r="I176" s="454" t="n"/>
      <c r="J176" s="454" t="n"/>
      <c r="K176" s="454" t="n"/>
      <c r="L176" s="454" t="n"/>
      <c r="M176" s="454" t="n"/>
      <c r="N176" s="454" t="n"/>
      <c r="O176" s="454" t="n"/>
      <c r="P176" s="454" t="n"/>
      <c r="Q176" s="454" t="n"/>
      <c r="R176" s="454" t="n"/>
      <c r="S176" s="454" t="n"/>
      <c r="T176" s="454" t="n"/>
      <c r="U176" s="454" t="n"/>
      <c r="V176" s="454" t="n"/>
      <c r="W176" s="454" t="n"/>
      <c r="X176" s="454" t="n"/>
      <c r="Y176" s="454" t="n"/>
      <c r="Z176" s="454" t="n"/>
      <c r="AA176" s="454" t="n"/>
      <c r="AB176" s="454" t="n"/>
      <c r="AC176" s="454" t="n"/>
      <c r="AD176" s="454" t="n"/>
      <c r="AE176" s="454" t="n"/>
      <c r="AF176" s="454" t="n"/>
      <c r="AG176" s="454" t="n"/>
      <c r="AH176" s="454" t="n"/>
      <c r="AI176" s="483" t="n"/>
    </row>
    <row r="177">
      <c r="B177" s="76" t="inlineStr">
        <is>
          <t>EBITDA</t>
        </is>
      </c>
      <c r="C177" s="21">
        <f>'Income Statement'!C23</f>
        <v/>
      </c>
      <c r="D177" s="21">
        <f>'Income Statement'!D23</f>
        <v/>
      </c>
      <c r="E177" s="21">
        <f>'Income Statement'!E23</f>
        <v/>
      </c>
      <c r="F177" s="21">
        <f>'Income Statement'!F23</f>
        <v/>
      </c>
      <c r="G177" s="21">
        <f>'Income Statement'!G23</f>
        <v/>
      </c>
      <c r="H177" s="21">
        <f>'Income Statement'!H23</f>
        <v/>
      </c>
      <c r="I177" s="21">
        <f>'Income Statement'!I23</f>
        <v/>
      </c>
      <c r="J177" s="21">
        <f>'Income Statement'!J23</f>
        <v/>
      </c>
      <c r="K177" s="21">
        <f>'Income Statement'!K23</f>
        <v/>
      </c>
      <c r="L177" s="21">
        <f>'Income Statement'!L23</f>
        <v/>
      </c>
      <c r="M177" s="21">
        <f>'Income Statement'!M23</f>
        <v/>
      </c>
      <c r="N177" s="21">
        <f>'Income Statement'!N23</f>
        <v/>
      </c>
      <c r="O177" s="21">
        <f>'Income Statement'!O23</f>
        <v/>
      </c>
      <c r="P177" s="21">
        <f>'Income Statement'!P23</f>
        <v/>
      </c>
      <c r="Q177" s="21">
        <f>'Income Statement'!Q23</f>
        <v/>
      </c>
      <c r="R177" s="21">
        <f>'Income Statement'!R23</f>
        <v/>
      </c>
      <c r="S177" s="21">
        <f>'Income Statement'!S23</f>
        <v/>
      </c>
      <c r="T177" s="21">
        <f>'Income Statement'!T23</f>
        <v/>
      </c>
      <c r="U177" s="21">
        <f>'Income Statement'!U23</f>
        <v/>
      </c>
      <c r="V177" s="21">
        <f>'Income Statement'!V23</f>
        <v/>
      </c>
      <c r="W177" s="21">
        <f>'Income Statement'!W23</f>
        <v/>
      </c>
      <c r="X177" s="21">
        <f>'Income Statement'!X23</f>
        <v/>
      </c>
      <c r="Y177" s="21">
        <f>'Income Statement'!Y23</f>
        <v/>
      </c>
      <c r="Z177" s="21">
        <f>'Income Statement'!Z23</f>
        <v/>
      </c>
      <c r="AA177" s="21">
        <f>'Income Statement'!AA23</f>
        <v/>
      </c>
      <c r="AB177" s="21">
        <f>'Income Statement'!AB23</f>
        <v/>
      </c>
      <c r="AC177" s="21">
        <f>'Income Statement'!AC23</f>
        <v/>
      </c>
      <c r="AD177" s="21">
        <f>'Income Statement'!AD23</f>
        <v/>
      </c>
      <c r="AE177" s="21">
        <f>'Income Statement'!AE23</f>
        <v/>
      </c>
      <c r="AF177" s="21">
        <f>'Income Statement'!AF23</f>
        <v/>
      </c>
      <c r="AG177" s="21">
        <f>'Income Statement'!AG23</f>
        <v/>
      </c>
      <c r="AH177" s="21">
        <f>'Income Statement'!AH23</f>
        <v/>
      </c>
      <c r="AI177" s="131">
        <f>'Income Statement'!AI23</f>
        <v/>
      </c>
    </row>
    <row r="178" customFormat="1" s="69">
      <c r="B178" s="257" t="inlineStr">
        <is>
          <t>EBITDA Margin</t>
        </is>
      </c>
      <c r="C178" s="463">
        <f>'Income Statement'!C24</f>
        <v/>
      </c>
      <c r="D178" s="463">
        <f>'Income Statement'!D24</f>
        <v/>
      </c>
      <c r="E178" s="463">
        <f>'Income Statement'!E24</f>
        <v/>
      </c>
      <c r="F178" s="463">
        <f>'Income Statement'!F24</f>
        <v/>
      </c>
      <c r="G178" s="463">
        <f>'Income Statement'!G24</f>
        <v/>
      </c>
      <c r="H178" s="463">
        <f>'Income Statement'!H24</f>
        <v/>
      </c>
      <c r="I178" s="463">
        <f>'Income Statement'!I24</f>
        <v/>
      </c>
      <c r="J178" s="463">
        <f>'Income Statement'!J24</f>
        <v/>
      </c>
      <c r="K178" s="463">
        <f>'Income Statement'!K24</f>
        <v/>
      </c>
      <c r="L178" s="463">
        <f>'Income Statement'!L24</f>
        <v/>
      </c>
      <c r="M178" s="463">
        <f>'Income Statement'!M24</f>
        <v/>
      </c>
      <c r="N178" s="463">
        <f>'Income Statement'!N24</f>
        <v/>
      </c>
      <c r="O178" s="463">
        <f>'Income Statement'!O24</f>
        <v/>
      </c>
      <c r="P178" s="463">
        <f>'Income Statement'!P24</f>
        <v/>
      </c>
      <c r="Q178" s="463">
        <f>'Income Statement'!Q24</f>
        <v/>
      </c>
      <c r="R178" s="463">
        <f>'Income Statement'!R24</f>
        <v/>
      </c>
      <c r="S178" s="463">
        <f>'Income Statement'!S24</f>
        <v/>
      </c>
      <c r="T178" s="463">
        <f>'Income Statement'!T24</f>
        <v/>
      </c>
      <c r="U178" s="463">
        <f>'Income Statement'!U24</f>
        <v/>
      </c>
      <c r="V178" s="463">
        <f>'Income Statement'!V24</f>
        <v/>
      </c>
      <c r="W178" s="463">
        <f>'Income Statement'!W24</f>
        <v/>
      </c>
      <c r="X178" s="463">
        <f>'Income Statement'!X24</f>
        <v/>
      </c>
      <c r="Y178" s="463">
        <f>'Income Statement'!Y24</f>
        <v/>
      </c>
      <c r="Z178" s="463">
        <f>'Income Statement'!Z24</f>
        <v/>
      </c>
      <c r="AA178" s="463">
        <f>'Income Statement'!AA24</f>
        <v/>
      </c>
      <c r="AB178" s="463">
        <f>'Income Statement'!AB24</f>
        <v/>
      </c>
      <c r="AC178" s="463">
        <f>'Income Statement'!AC24</f>
        <v/>
      </c>
      <c r="AD178" s="463">
        <f>'Income Statement'!AD24</f>
        <v/>
      </c>
      <c r="AE178" s="463">
        <f>'Income Statement'!AE24</f>
        <v/>
      </c>
      <c r="AF178" s="463">
        <f>'Income Statement'!AF24</f>
        <v/>
      </c>
      <c r="AG178" s="463">
        <f>'Income Statement'!AG24</f>
        <v/>
      </c>
      <c r="AH178" s="463">
        <f>'Income Statement'!AH24</f>
        <v/>
      </c>
      <c r="AI178" s="482">
        <f>'Income Statement'!AI24</f>
        <v/>
      </c>
      <c r="AJ178" s="213" t="n"/>
      <c r="AO178" s="12" t="n"/>
    </row>
    <row r="179">
      <c r="B179" s="76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131" t="n"/>
      <c r="AO179" s="69" t="n"/>
    </row>
    <row r="180">
      <c r="B180" s="76" t="inlineStr">
        <is>
          <t>EBIT</t>
        </is>
      </c>
      <c r="C180" s="21">
        <f>'Income Statement'!C27</f>
        <v/>
      </c>
      <c r="D180" s="21">
        <f>'Income Statement'!D27</f>
        <v/>
      </c>
      <c r="E180" s="21">
        <f>'Income Statement'!E27</f>
        <v/>
      </c>
      <c r="F180" s="21">
        <f>'Income Statement'!F27</f>
        <v/>
      </c>
      <c r="G180" s="21">
        <f>'Income Statement'!G27</f>
        <v/>
      </c>
      <c r="H180" s="21">
        <f>'Income Statement'!H27</f>
        <v/>
      </c>
      <c r="I180" s="21">
        <f>'Income Statement'!I27</f>
        <v/>
      </c>
      <c r="J180" s="21">
        <f>'Income Statement'!J27</f>
        <v/>
      </c>
      <c r="K180" s="21">
        <f>'Income Statement'!K27</f>
        <v/>
      </c>
      <c r="L180" s="21">
        <f>'Income Statement'!L27</f>
        <v/>
      </c>
      <c r="M180" s="21">
        <f>'Income Statement'!M27</f>
        <v/>
      </c>
      <c r="N180" s="21">
        <f>'Income Statement'!N27</f>
        <v/>
      </c>
      <c r="O180" s="21">
        <f>'Income Statement'!O27</f>
        <v/>
      </c>
      <c r="P180" s="21">
        <f>'Income Statement'!P27</f>
        <v/>
      </c>
      <c r="Q180" s="21">
        <f>'Income Statement'!Q27</f>
        <v/>
      </c>
      <c r="R180" s="21">
        <f>'Income Statement'!R27</f>
        <v/>
      </c>
      <c r="S180" s="21">
        <f>'Income Statement'!S27</f>
        <v/>
      </c>
      <c r="T180" s="21">
        <f>'Income Statement'!T27</f>
        <v/>
      </c>
      <c r="U180" s="21">
        <f>'Income Statement'!U27</f>
        <v/>
      </c>
      <c r="V180" s="21">
        <f>'Income Statement'!V27</f>
        <v/>
      </c>
      <c r="W180" s="21">
        <f>'Income Statement'!W27</f>
        <v/>
      </c>
      <c r="X180" s="21">
        <f>'Income Statement'!X27</f>
        <v/>
      </c>
      <c r="Y180" s="21">
        <f>'Income Statement'!Y27</f>
        <v/>
      </c>
      <c r="Z180" s="21">
        <f>'Income Statement'!Z27</f>
        <v/>
      </c>
      <c r="AA180" s="21">
        <f>'Income Statement'!AA27</f>
        <v/>
      </c>
      <c r="AB180" s="21">
        <f>'Income Statement'!AB27</f>
        <v/>
      </c>
      <c r="AC180" s="21">
        <f>'Income Statement'!AC27</f>
        <v/>
      </c>
      <c r="AD180" s="21">
        <f>'Income Statement'!AD27</f>
        <v/>
      </c>
      <c r="AE180" s="21">
        <f>'Income Statement'!AE27</f>
        <v/>
      </c>
      <c r="AF180" s="21">
        <f>'Income Statement'!AF27</f>
        <v/>
      </c>
      <c r="AG180" s="21">
        <f>'Income Statement'!AG27</f>
        <v/>
      </c>
      <c r="AH180" s="21">
        <f>'Income Statement'!AH27</f>
        <v/>
      </c>
      <c r="AI180" s="131">
        <f>'Income Statement'!AI27</f>
        <v/>
      </c>
    </row>
    <row r="181">
      <c r="B181" s="257" t="inlineStr">
        <is>
          <t>EBIT Margin</t>
        </is>
      </c>
      <c r="C181" s="463">
        <f>'Income Statement'!C28</f>
        <v/>
      </c>
      <c r="D181" s="463">
        <f>'Income Statement'!D28</f>
        <v/>
      </c>
      <c r="E181" s="463">
        <f>'Income Statement'!E28</f>
        <v/>
      </c>
      <c r="F181" s="463">
        <f>'Income Statement'!F28</f>
        <v/>
      </c>
      <c r="G181" s="463">
        <f>'Income Statement'!G28</f>
        <v/>
      </c>
      <c r="H181" s="463">
        <f>'Income Statement'!H28</f>
        <v/>
      </c>
      <c r="I181" s="463">
        <f>'Income Statement'!I28</f>
        <v/>
      </c>
      <c r="J181" s="463">
        <f>'Income Statement'!J28</f>
        <v/>
      </c>
      <c r="K181" s="463">
        <f>'Income Statement'!K28</f>
        <v/>
      </c>
      <c r="L181" s="463">
        <f>'Income Statement'!L28</f>
        <v/>
      </c>
      <c r="M181" s="463">
        <f>'Income Statement'!M28</f>
        <v/>
      </c>
      <c r="N181" s="463">
        <f>'Income Statement'!N28</f>
        <v/>
      </c>
      <c r="O181" s="463">
        <f>'Income Statement'!O28</f>
        <v/>
      </c>
      <c r="P181" s="463">
        <f>'Income Statement'!P28</f>
        <v/>
      </c>
      <c r="Q181" s="463">
        <f>'Income Statement'!Q28</f>
        <v/>
      </c>
      <c r="R181" s="463">
        <f>'Income Statement'!R28</f>
        <v/>
      </c>
      <c r="S181" s="463">
        <f>'Income Statement'!S28</f>
        <v/>
      </c>
      <c r="T181" s="463">
        <f>'Income Statement'!T28</f>
        <v/>
      </c>
      <c r="U181" s="463">
        <f>'Income Statement'!U28</f>
        <v/>
      </c>
      <c r="V181" s="463">
        <f>'Income Statement'!V28</f>
        <v/>
      </c>
      <c r="W181" s="463">
        <f>'Income Statement'!W28</f>
        <v/>
      </c>
      <c r="X181" s="463">
        <f>'Income Statement'!X28</f>
        <v/>
      </c>
      <c r="Y181" s="463">
        <f>'Income Statement'!Y28</f>
        <v/>
      </c>
      <c r="Z181" s="463">
        <f>'Income Statement'!Z28</f>
        <v/>
      </c>
      <c r="AA181" s="463">
        <f>'Income Statement'!AA28</f>
        <v/>
      </c>
      <c r="AB181" s="463">
        <f>'Income Statement'!AB28</f>
        <v/>
      </c>
      <c r="AC181" s="463">
        <f>'Income Statement'!AC28</f>
        <v/>
      </c>
      <c r="AD181" s="463">
        <f>'Income Statement'!AD28</f>
        <v/>
      </c>
      <c r="AE181" s="463">
        <f>'Income Statement'!AE28</f>
        <v/>
      </c>
      <c r="AF181" s="463">
        <f>'Income Statement'!AF28</f>
        <v/>
      </c>
      <c r="AG181" s="463">
        <f>'Income Statement'!AG28</f>
        <v/>
      </c>
      <c r="AH181" s="463">
        <f>'Income Statement'!AH28</f>
        <v/>
      </c>
      <c r="AI181" s="482">
        <f>'Income Statement'!AI28</f>
        <v/>
      </c>
    </row>
    <row r="182">
      <c r="B182" s="76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131" t="n"/>
    </row>
    <row r="183">
      <c r="B183" s="76" t="inlineStr">
        <is>
          <t>PAT</t>
        </is>
      </c>
      <c r="C183" s="21">
        <f>'Income Statement'!C43</f>
        <v/>
      </c>
      <c r="D183" s="21">
        <f>'Income Statement'!D43</f>
        <v/>
      </c>
      <c r="E183" s="21">
        <f>'Income Statement'!E43</f>
        <v/>
      </c>
      <c r="F183" s="21">
        <f>'Income Statement'!F43</f>
        <v/>
      </c>
      <c r="G183" s="21">
        <f>'Income Statement'!G43</f>
        <v/>
      </c>
      <c r="H183" s="21">
        <f>'Income Statement'!H43</f>
        <v/>
      </c>
      <c r="I183" s="21">
        <f>'Income Statement'!I43</f>
        <v/>
      </c>
      <c r="J183" s="21">
        <f>'Income Statement'!J43</f>
        <v/>
      </c>
      <c r="K183" s="21">
        <f>'Income Statement'!K43</f>
        <v/>
      </c>
      <c r="L183" s="21">
        <f>'Income Statement'!L43</f>
        <v/>
      </c>
      <c r="M183" s="21">
        <f>'Income Statement'!M43</f>
        <v/>
      </c>
      <c r="N183" s="21">
        <f>'Income Statement'!N43</f>
        <v/>
      </c>
      <c r="O183" s="21">
        <f>'Income Statement'!O43</f>
        <v/>
      </c>
      <c r="P183" s="21">
        <f>'Income Statement'!P43</f>
        <v/>
      </c>
      <c r="Q183" s="21">
        <f>'Income Statement'!Q43</f>
        <v/>
      </c>
      <c r="R183" s="21">
        <f>'Income Statement'!R43</f>
        <v/>
      </c>
      <c r="S183" s="21">
        <f>'Income Statement'!S43</f>
        <v/>
      </c>
      <c r="T183" s="21">
        <f>'Income Statement'!T43</f>
        <v/>
      </c>
      <c r="U183" s="21">
        <f>'Income Statement'!U43</f>
        <v/>
      </c>
      <c r="V183" s="21">
        <f>'Income Statement'!V43</f>
        <v/>
      </c>
      <c r="W183" s="21">
        <f>'Income Statement'!W43</f>
        <v/>
      </c>
      <c r="X183" s="21">
        <f>'Income Statement'!X43</f>
        <v/>
      </c>
      <c r="Y183" s="21">
        <f>'Income Statement'!Y43</f>
        <v/>
      </c>
      <c r="Z183" s="21">
        <f>'Income Statement'!Z43</f>
        <v/>
      </c>
      <c r="AA183" s="21">
        <f>'Income Statement'!AA43</f>
        <v/>
      </c>
      <c r="AB183" s="21">
        <f>'Income Statement'!AB43</f>
        <v/>
      </c>
      <c r="AC183" s="21">
        <f>'Income Statement'!AC43</f>
        <v/>
      </c>
      <c r="AD183" s="21">
        <f>'Income Statement'!AD43</f>
        <v/>
      </c>
      <c r="AE183" s="21">
        <f>'Income Statement'!AE43</f>
        <v/>
      </c>
      <c r="AF183" s="21">
        <f>'Income Statement'!AF43</f>
        <v/>
      </c>
      <c r="AG183" s="21">
        <f>'Income Statement'!AG43</f>
        <v/>
      </c>
      <c r="AH183" s="21">
        <f>'Income Statement'!AH43</f>
        <v/>
      </c>
      <c r="AI183" s="131">
        <f>'Income Statement'!AI43</f>
        <v/>
      </c>
    </row>
    <row r="184">
      <c r="B184" s="257" t="inlineStr">
        <is>
          <t>PAT Margin</t>
        </is>
      </c>
      <c r="C184" s="463">
        <f>'Income Statement'!C46</f>
        <v/>
      </c>
      <c r="D184" s="463">
        <f>'Income Statement'!D46</f>
        <v/>
      </c>
      <c r="E184" s="463">
        <f>'Income Statement'!E46</f>
        <v/>
      </c>
      <c r="F184" s="463">
        <f>'Income Statement'!F46</f>
        <v/>
      </c>
      <c r="G184" s="463">
        <f>'Income Statement'!G46</f>
        <v/>
      </c>
      <c r="H184" s="463">
        <f>'Income Statement'!H46</f>
        <v/>
      </c>
      <c r="I184" s="463">
        <f>'Income Statement'!I46</f>
        <v/>
      </c>
      <c r="J184" s="463">
        <f>'Income Statement'!J46</f>
        <v/>
      </c>
      <c r="K184" s="463">
        <f>'Income Statement'!K46</f>
        <v/>
      </c>
      <c r="L184" s="463">
        <f>'Income Statement'!L46</f>
        <v/>
      </c>
      <c r="M184" s="463">
        <f>'Income Statement'!M46</f>
        <v/>
      </c>
      <c r="N184" s="463">
        <f>'Income Statement'!N46</f>
        <v/>
      </c>
      <c r="O184" s="463">
        <f>'Income Statement'!O46</f>
        <v/>
      </c>
      <c r="P184" s="463">
        <f>'Income Statement'!P46</f>
        <v/>
      </c>
      <c r="Q184" s="463">
        <f>'Income Statement'!Q46</f>
        <v/>
      </c>
      <c r="R184" s="463">
        <f>'Income Statement'!R46</f>
        <v/>
      </c>
      <c r="S184" s="463">
        <f>'Income Statement'!S46</f>
        <v/>
      </c>
      <c r="T184" s="463">
        <f>'Income Statement'!T46</f>
        <v/>
      </c>
      <c r="U184" s="463">
        <f>'Income Statement'!U46</f>
        <v/>
      </c>
      <c r="V184" s="463">
        <f>'Income Statement'!V46</f>
        <v/>
      </c>
      <c r="W184" s="463">
        <f>'Income Statement'!W46</f>
        <v/>
      </c>
      <c r="X184" s="463">
        <f>'Income Statement'!X46</f>
        <v/>
      </c>
      <c r="Y184" s="463">
        <f>'Income Statement'!Y46</f>
        <v/>
      </c>
      <c r="Z184" s="463">
        <f>'Income Statement'!Z46</f>
        <v/>
      </c>
      <c r="AA184" s="463">
        <f>'Income Statement'!AA46</f>
        <v/>
      </c>
      <c r="AB184" s="463">
        <f>'Income Statement'!AB46</f>
        <v/>
      </c>
      <c r="AC184" s="463">
        <f>'Income Statement'!AC46</f>
        <v/>
      </c>
      <c r="AD184" s="463">
        <f>'Income Statement'!AD46</f>
        <v/>
      </c>
      <c r="AE184" s="463">
        <f>'Income Statement'!AE46</f>
        <v/>
      </c>
      <c r="AF184" s="463">
        <f>'Income Statement'!AF46</f>
        <v/>
      </c>
      <c r="AG184" s="463">
        <f>'Income Statement'!AG46</f>
        <v/>
      </c>
      <c r="AH184" s="463">
        <f>'Income Statement'!AH46</f>
        <v/>
      </c>
      <c r="AI184" s="482">
        <f>'Income Statement'!AI46</f>
        <v/>
      </c>
    </row>
    <row r="185">
      <c r="B185" s="76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131" t="n"/>
    </row>
    <row r="186">
      <c r="B186" s="76" t="inlineStr">
        <is>
          <t>EPS</t>
        </is>
      </c>
      <c r="C186" s="21">
        <f>'Income Statement'!C49</f>
        <v/>
      </c>
      <c r="D186" s="21">
        <f>'Income Statement'!D49</f>
        <v/>
      </c>
      <c r="E186" s="21">
        <f>'Income Statement'!E49</f>
        <v/>
      </c>
      <c r="F186" s="21">
        <f>'Income Statement'!F49</f>
        <v/>
      </c>
      <c r="G186" s="21">
        <f>'Income Statement'!G49</f>
        <v/>
      </c>
      <c r="H186" s="21">
        <f>'Income Statement'!H49</f>
        <v/>
      </c>
      <c r="I186" s="21">
        <f>'Income Statement'!I49</f>
        <v/>
      </c>
      <c r="J186" s="21">
        <f>'Income Statement'!J49</f>
        <v/>
      </c>
      <c r="K186" s="21">
        <f>'Income Statement'!K49</f>
        <v/>
      </c>
      <c r="L186" s="21">
        <f>'Income Statement'!L49</f>
        <v/>
      </c>
      <c r="M186" s="21">
        <f>'Income Statement'!M49</f>
        <v/>
      </c>
      <c r="N186" s="21">
        <f>'Income Statement'!N49</f>
        <v/>
      </c>
      <c r="O186" s="21">
        <f>'Income Statement'!O49</f>
        <v/>
      </c>
      <c r="P186" s="21">
        <f>'Income Statement'!P49</f>
        <v/>
      </c>
      <c r="Q186" s="21">
        <f>'Income Statement'!Q49</f>
        <v/>
      </c>
      <c r="R186" s="21">
        <f>'Income Statement'!R49</f>
        <v/>
      </c>
      <c r="S186" s="21">
        <f>'Income Statement'!S49</f>
        <v/>
      </c>
      <c r="T186" s="21">
        <f>'Income Statement'!T49</f>
        <v/>
      </c>
      <c r="U186" s="21">
        <f>'Income Statement'!U49</f>
        <v/>
      </c>
      <c r="V186" s="21">
        <f>'Income Statement'!V49</f>
        <v/>
      </c>
      <c r="W186" s="21">
        <f>'Income Statement'!W49</f>
        <v/>
      </c>
      <c r="X186" s="21">
        <f>'Income Statement'!X49</f>
        <v/>
      </c>
      <c r="Y186" s="21">
        <f>'Income Statement'!Y49</f>
        <v/>
      </c>
      <c r="Z186" s="21">
        <f>'Income Statement'!Z49</f>
        <v/>
      </c>
      <c r="AA186" s="21">
        <f>'Income Statement'!AA49</f>
        <v/>
      </c>
      <c r="AB186" s="21">
        <f>'Income Statement'!AB49</f>
        <v/>
      </c>
      <c r="AC186" s="21">
        <f>'Income Statement'!AC49</f>
        <v/>
      </c>
      <c r="AD186" s="21">
        <f>'Income Statement'!AD49</f>
        <v/>
      </c>
      <c r="AE186" s="21">
        <f>'Income Statement'!AE49</f>
        <v/>
      </c>
      <c r="AF186" s="21">
        <f>'Income Statement'!AF49</f>
        <v/>
      </c>
      <c r="AG186" s="21">
        <f>'Income Statement'!AG49</f>
        <v/>
      </c>
      <c r="AH186" s="21">
        <f>'Income Statement'!AH49</f>
        <v/>
      </c>
      <c r="AI186" s="131">
        <f>'Income Statement'!AI49</f>
        <v/>
      </c>
    </row>
    <row r="187">
      <c r="B187" s="76" t="inlineStr">
        <is>
          <t>PE ratio</t>
        </is>
      </c>
      <c r="C187" s="21">
        <f>'Income Statement'!C76</f>
        <v/>
      </c>
      <c r="D187" s="21">
        <f>'Income Statement'!D76</f>
        <v/>
      </c>
      <c r="E187" s="21">
        <f>'Income Statement'!E76</f>
        <v/>
      </c>
      <c r="F187" s="21">
        <f>'Income Statement'!F76</f>
        <v/>
      </c>
      <c r="G187" s="21">
        <f>'Income Statement'!G76</f>
        <v/>
      </c>
      <c r="H187" s="21">
        <f>'Income Statement'!H76</f>
        <v/>
      </c>
      <c r="I187" s="21">
        <f>'Income Statement'!I76</f>
        <v/>
      </c>
      <c r="J187" s="21">
        <f>'Income Statement'!J76</f>
        <v/>
      </c>
      <c r="K187" s="21">
        <f>'Income Statement'!K76</f>
        <v/>
      </c>
      <c r="L187" s="21">
        <f>'Income Statement'!L76</f>
        <v/>
      </c>
      <c r="M187" s="21">
        <f>'Income Statement'!M76</f>
        <v/>
      </c>
      <c r="N187" s="21">
        <f>'Income Statement'!N76</f>
        <v/>
      </c>
      <c r="O187" s="21">
        <f>'Income Statement'!O76</f>
        <v/>
      </c>
      <c r="P187" s="21">
        <f>'Income Statement'!P76</f>
        <v/>
      </c>
      <c r="Q187" s="21">
        <f>'Income Statement'!Q76</f>
        <v/>
      </c>
      <c r="R187" s="21">
        <f>'Income Statement'!R76</f>
        <v/>
      </c>
      <c r="S187" s="21">
        <f>'Income Statement'!S76</f>
        <v/>
      </c>
      <c r="T187" s="21">
        <f>'Income Statement'!T76</f>
        <v/>
      </c>
      <c r="U187" s="21">
        <f>'Income Statement'!U76</f>
        <v/>
      </c>
      <c r="V187" s="21">
        <f>'Income Statement'!V76</f>
        <v/>
      </c>
      <c r="W187" s="21">
        <f>'Income Statement'!W76</f>
        <v/>
      </c>
      <c r="X187" s="21">
        <f>'Income Statement'!X76</f>
        <v/>
      </c>
      <c r="Y187" s="21">
        <f>'Income Statement'!Y76</f>
        <v/>
      </c>
      <c r="Z187" s="21">
        <f>'Income Statement'!Z76</f>
        <v/>
      </c>
      <c r="AA187" s="21">
        <f>'Income Statement'!AA76</f>
        <v/>
      </c>
      <c r="AB187" s="21">
        <f>'Income Statement'!AB76</f>
        <v/>
      </c>
      <c r="AC187" s="21">
        <f>'Income Statement'!AC76</f>
        <v/>
      </c>
      <c r="AD187" s="21">
        <f>'Income Statement'!AD76</f>
        <v/>
      </c>
      <c r="AE187" s="21">
        <f>'Income Statement'!AE76</f>
        <v/>
      </c>
      <c r="AF187" s="21">
        <f>'Income Statement'!AF76</f>
        <v/>
      </c>
      <c r="AG187" s="21">
        <f>'Income Statement'!AG76</f>
        <v/>
      </c>
      <c r="AH187" s="21">
        <f>'Income Statement'!AH76</f>
        <v/>
      </c>
      <c r="AI187" s="131">
        <f>'Income Statement'!AI76</f>
        <v/>
      </c>
      <c r="AP187" s="4" t="n"/>
    </row>
    <row r="188">
      <c r="B188" s="76" t="inlineStr">
        <is>
          <t>CMP</t>
        </is>
      </c>
      <c r="C188" s="21">
        <f>'Income Statement'!C50</f>
        <v/>
      </c>
      <c r="D188" s="21">
        <f>'Income Statement'!D50</f>
        <v/>
      </c>
      <c r="E188" s="21">
        <f>'Income Statement'!E50</f>
        <v/>
      </c>
      <c r="F188" s="21">
        <f>'Income Statement'!F50</f>
        <v/>
      </c>
      <c r="G188" s="21">
        <f>'Income Statement'!G50</f>
        <v/>
      </c>
      <c r="H188" s="21">
        <f>'Income Statement'!H50</f>
        <v/>
      </c>
      <c r="I188" s="21">
        <f>'Income Statement'!I50</f>
        <v/>
      </c>
      <c r="J188" s="21">
        <f>'Income Statement'!J50</f>
        <v/>
      </c>
      <c r="K188" s="21">
        <f>'Income Statement'!K50</f>
        <v/>
      </c>
      <c r="L188" s="21">
        <f>'Income Statement'!L50</f>
        <v/>
      </c>
      <c r="M188" s="21">
        <f>'Income Statement'!M50</f>
        <v/>
      </c>
      <c r="N188" s="21">
        <f>'Income Statement'!N50</f>
        <v/>
      </c>
      <c r="O188" s="21">
        <f>'Income Statement'!O50</f>
        <v/>
      </c>
      <c r="P188" s="21">
        <f>'Income Statement'!P50</f>
        <v/>
      </c>
      <c r="Q188" s="21">
        <f>'Income Statement'!Q50</f>
        <v/>
      </c>
      <c r="R188" s="21">
        <f>'Income Statement'!R50</f>
        <v/>
      </c>
      <c r="S188" s="21">
        <f>'Income Statement'!S50</f>
        <v/>
      </c>
      <c r="T188" s="21">
        <f>'Income Statement'!T50</f>
        <v/>
      </c>
      <c r="U188" s="21">
        <f>'Income Statement'!U50</f>
        <v/>
      </c>
      <c r="V188" s="21">
        <f>'Income Statement'!V50</f>
        <v/>
      </c>
      <c r="W188" s="21">
        <f>'Income Statement'!W50</f>
        <v/>
      </c>
      <c r="X188" s="21">
        <f>'Income Statement'!X50</f>
        <v/>
      </c>
      <c r="Y188" s="21">
        <f>'Income Statement'!Y50</f>
        <v/>
      </c>
      <c r="Z188" s="21">
        <f>'Income Statement'!Z50</f>
        <v/>
      </c>
      <c r="AA188" s="21">
        <f>'Income Statement'!AA50</f>
        <v/>
      </c>
      <c r="AB188" s="21">
        <f>'Income Statement'!AB50</f>
        <v/>
      </c>
      <c r="AC188" s="21">
        <f>'Income Statement'!AC50</f>
        <v/>
      </c>
      <c r="AD188" s="21">
        <f>'Income Statement'!AD50</f>
        <v/>
      </c>
      <c r="AE188" s="21">
        <f>'Income Statement'!AE50</f>
        <v/>
      </c>
      <c r="AF188" s="21">
        <f>'Income Statement'!AF50</f>
        <v/>
      </c>
      <c r="AG188" s="21">
        <f>'Income Statement'!AG50</f>
        <v/>
      </c>
      <c r="AH188" s="21">
        <f>'Income Statement'!AH50</f>
        <v/>
      </c>
      <c r="AI188" s="131">
        <f>'Income Statement'!AI50</f>
        <v/>
      </c>
    </row>
    <row r="189">
      <c r="B189" s="76" t="inlineStr">
        <is>
          <t>10x</t>
        </is>
      </c>
      <c r="C189" s="21">
        <f>C$186*10</f>
        <v/>
      </c>
      <c r="D189" s="21">
        <f>D$186*10</f>
        <v/>
      </c>
      <c r="E189" s="21">
        <f>E$186*10</f>
        <v/>
      </c>
      <c r="F189" s="21">
        <f>F$186*10</f>
        <v/>
      </c>
      <c r="G189" s="21">
        <f>G$186*10</f>
        <v/>
      </c>
      <c r="H189" s="21">
        <f>H$186*10</f>
        <v/>
      </c>
      <c r="I189" s="21">
        <f>I$186*10</f>
        <v/>
      </c>
      <c r="J189" s="21">
        <f>J$186*10</f>
        <v/>
      </c>
      <c r="K189" s="21">
        <f>K$186*10</f>
        <v/>
      </c>
      <c r="L189" s="21">
        <f>L$186*10</f>
        <v/>
      </c>
      <c r="M189" s="21">
        <f>M$186*10</f>
        <v/>
      </c>
      <c r="N189" s="21">
        <f>N$186*10</f>
        <v/>
      </c>
      <c r="O189" s="21">
        <f>O$186*10</f>
        <v/>
      </c>
      <c r="P189" s="21">
        <f>P$186*10</f>
        <v/>
      </c>
      <c r="Q189" s="21">
        <f>Q$186*10</f>
        <v/>
      </c>
      <c r="R189" s="21">
        <f>R$186*10</f>
        <v/>
      </c>
      <c r="S189" s="21">
        <f>S$186*10</f>
        <v/>
      </c>
      <c r="T189" s="21">
        <f>T$186*10</f>
        <v/>
      </c>
      <c r="U189" s="21">
        <f>U$186*10</f>
        <v/>
      </c>
      <c r="V189" s="21">
        <f>V$186*10</f>
        <v/>
      </c>
      <c r="W189" s="21">
        <f>W$186*10</f>
        <v/>
      </c>
      <c r="X189" s="21">
        <f>X$186*10</f>
        <v/>
      </c>
      <c r="Y189" s="21">
        <f>Y$186*10</f>
        <v/>
      </c>
      <c r="Z189" s="21">
        <f>Z$186*10</f>
        <v/>
      </c>
      <c r="AA189" s="21">
        <f>AA$186*10</f>
        <v/>
      </c>
      <c r="AB189" s="21">
        <f>AB$186*10</f>
        <v/>
      </c>
      <c r="AC189" s="21">
        <f>AC$186*10</f>
        <v/>
      </c>
      <c r="AD189" s="21">
        <f>AD$186*10</f>
        <v/>
      </c>
      <c r="AE189" s="21">
        <f>AE$186*10</f>
        <v/>
      </c>
      <c r="AF189" s="21">
        <f>AF$186*10</f>
        <v/>
      </c>
      <c r="AG189" s="21">
        <f>AG$186*10</f>
        <v/>
      </c>
      <c r="AH189" s="21">
        <f>AH$186*10</f>
        <v/>
      </c>
      <c r="AI189" s="131">
        <f>AI$186*10</f>
        <v/>
      </c>
    </row>
    <row r="190">
      <c r="B190" s="76" t="inlineStr">
        <is>
          <t>15x</t>
        </is>
      </c>
      <c r="C190" s="21">
        <f>C$186*15</f>
        <v/>
      </c>
      <c r="D190" s="21">
        <f>D$186*15</f>
        <v/>
      </c>
      <c r="E190" s="21">
        <f>E$186*15</f>
        <v/>
      </c>
      <c r="F190" s="21">
        <f>F$186*15</f>
        <v/>
      </c>
      <c r="G190" s="21">
        <f>G$186*15</f>
        <v/>
      </c>
      <c r="H190" s="21">
        <f>H$186*15</f>
        <v/>
      </c>
      <c r="I190" s="21">
        <f>I$186*15</f>
        <v/>
      </c>
      <c r="J190" s="21">
        <f>J$186*15</f>
        <v/>
      </c>
      <c r="K190" s="21">
        <f>K$186*15</f>
        <v/>
      </c>
      <c r="L190" s="21">
        <f>L$186*15</f>
        <v/>
      </c>
      <c r="M190" s="21">
        <f>M$186*15</f>
        <v/>
      </c>
      <c r="N190" s="21">
        <f>N$186*15</f>
        <v/>
      </c>
      <c r="O190" s="21">
        <f>O$186*15</f>
        <v/>
      </c>
      <c r="P190" s="21">
        <f>P$186*15</f>
        <v/>
      </c>
      <c r="Q190" s="21">
        <f>Q$186*15</f>
        <v/>
      </c>
      <c r="R190" s="21">
        <f>R$186*15</f>
        <v/>
      </c>
      <c r="S190" s="21">
        <f>S$186*15</f>
        <v/>
      </c>
      <c r="T190" s="21">
        <f>T$186*15</f>
        <v/>
      </c>
      <c r="U190" s="21">
        <f>U$186*15</f>
        <v/>
      </c>
      <c r="V190" s="21">
        <f>V$186*15</f>
        <v/>
      </c>
      <c r="W190" s="21">
        <f>W$186*15</f>
        <v/>
      </c>
      <c r="X190" s="21">
        <f>X$186*15</f>
        <v/>
      </c>
      <c r="Y190" s="21">
        <f>Y$186*15</f>
        <v/>
      </c>
      <c r="Z190" s="21">
        <f>Z$186*15</f>
        <v/>
      </c>
      <c r="AA190" s="21">
        <f>AA$186*15</f>
        <v/>
      </c>
      <c r="AB190" s="21">
        <f>AB$186*15</f>
        <v/>
      </c>
      <c r="AC190" s="21">
        <f>AC$186*15</f>
        <v/>
      </c>
      <c r="AD190" s="21">
        <f>AD$186*15</f>
        <v/>
      </c>
      <c r="AE190" s="21">
        <f>AE$186*15</f>
        <v/>
      </c>
      <c r="AF190" s="21">
        <f>AF$186*15</f>
        <v/>
      </c>
      <c r="AG190" s="21">
        <f>AG$186*15</f>
        <v/>
      </c>
      <c r="AH190" s="21">
        <f>AH$186*15</f>
        <v/>
      </c>
      <c r="AI190" s="131">
        <f>AI$186*15</f>
        <v/>
      </c>
    </row>
    <row r="191">
      <c r="B191" s="76" t="inlineStr">
        <is>
          <t>20x</t>
        </is>
      </c>
      <c r="C191" s="21">
        <f>C$186*20</f>
        <v/>
      </c>
      <c r="D191" s="21">
        <f>D$186*20</f>
        <v/>
      </c>
      <c r="E191" s="21">
        <f>E$186*20</f>
        <v/>
      </c>
      <c r="F191" s="21">
        <f>F$186*20</f>
        <v/>
      </c>
      <c r="G191" s="21">
        <f>G$186*20</f>
        <v/>
      </c>
      <c r="H191" s="21">
        <f>H$186*20</f>
        <v/>
      </c>
      <c r="I191" s="21">
        <f>I$186*20</f>
        <v/>
      </c>
      <c r="J191" s="21">
        <f>J$186*20</f>
        <v/>
      </c>
      <c r="K191" s="21">
        <f>K$186*20</f>
        <v/>
      </c>
      <c r="L191" s="21">
        <f>L$186*20</f>
        <v/>
      </c>
      <c r="M191" s="21">
        <f>M$186*20</f>
        <v/>
      </c>
      <c r="N191" s="21">
        <f>N$186*20</f>
        <v/>
      </c>
      <c r="O191" s="21">
        <f>O$186*20</f>
        <v/>
      </c>
      <c r="P191" s="21">
        <f>P$186*20</f>
        <v/>
      </c>
      <c r="Q191" s="21">
        <f>Q$186*20</f>
        <v/>
      </c>
      <c r="R191" s="21">
        <f>R$186*20</f>
        <v/>
      </c>
      <c r="S191" s="21">
        <f>S$186*20</f>
        <v/>
      </c>
      <c r="T191" s="21">
        <f>T$186*20</f>
        <v/>
      </c>
      <c r="U191" s="21">
        <f>U$186*20</f>
        <v/>
      </c>
      <c r="V191" s="21">
        <f>V$186*20</f>
        <v/>
      </c>
      <c r="W191" s="21">
        <f>W$186*20</f>
        <v/>
      </c>
      <c r="X191" s="21">
        <f>X$186*20</f>
        <v/>
      </c>
      <c r="Y191" s="21">
        <f>Y$186*20</f>
        <v/>
      </c>
      <c r="Z191" s="21">
        <f>Z$186*20</f>
        <v/>
      </c>
      <c r="AA191" s="21">
        <f>AA$186*20</f>
        <v/>
      </c>
      <c r="AB191" s="21">
        <f>AB$186*20</f>
        <v/>
      </c>
      <c r="AC191" s="21">
        <f>AC$186*20</f>
        <v/>
      </c>
      <c r="AD191" s="21">
        <f>AD$186*20</f>
        <v/>
      </c>
      <c r="AE191" s="21">
        <f>AE$186*20</f>
        <v/>
      </c>
      <c r="AF191" s="21">
        <f>AF$186*20</f>
        <v/>
      </c>
      <c r="AG191" s="21">
        <f>AG$186*20</f>
        <v/>
      </c>
      <c r="AH191" s="21">
        <f>AH$186*20</f>
        <v/>
      </c>
      <c r="AI191" s="131">
        <f>AI$186*20</f>
        <v/>
      </c>
    </row>
    <row r="192">
      <c r="B192" s="76" t="inlineStr">
        <is>
          <t>25x</t>
        </is>
      </c>
      <c r="C192" s="21">
        <f>C$186*25</f>
        <v/>
      </c>
      <c r="D192" s="21">
        <f>D$186*25</f>
        <v/>
      </c>
      <c r="E192" s="21">
        <f>E$186*25</f>
        <v/>
      </c>
      <c r="F192" s="21">
        <f>F$186*25</f>
        <v/>
      </c>
      <c r="G192" s="21">
        <f>G$186*25</f>
        <v/>
      </c>
      <c r="H192" s="21">
        <f>H$186*25</f>
        <v/>
      </c>
      <c r="I192" s="21">
        <f>I$186*25</f>
        <v/>
      </c>
      <c r="J192" s="21">
        <f>J$186*25</f>
        <v/>
      </c>
      <c r="K192" s="21">
        <f>K$186*25</f>
        <v/>
      </c>
      <c r="L192" s="21">
        <f>L$186*25</f>
        <v/>
      </c>
      <c r="M192" s="21">
        <f>M$186*25</f>
        <v/>
      </c>
      <c r="N192" s="21">
        <f>N$186*25</f>
        <v/>
      </c>
      <c r="O192" s="21">
        <f>O$186*25</f>
        <v/>
      </c>
      <c r="P192" s="21">
        <f>P$186*25</f>
        <v/>
      </c>
      <c r="Q192" s="21">
        <f>Q$186*25</f>
        <v/>
      </c>
      <c r="R192" s="21">
        <f>R$186*25</f>
        <v/>
      </c>
      <c r="S192" s="21">
        <f>S$186*25</f>
        <v/>
      </c>
      <c r="T192" s="21">
        <f>T$186*25</f>
        <v/>
      </c>
      <c r="U192" s="21">
        <f>U$186*25</f>
        <v/>
      </c>
      <c r="V192" s="21">
        <f>V$186*25</f>
        <v/>
      </c>
      <c r="W192" s="21">
        <f>W$186*25</f>
        <v/>
      </c>
      <c r="X192" s="21">
        <f>X$186*25</f>
        <v/>
      </c>
      <c r="Y192" s="21">
        <f>Y$186*25</f>
        <v/>
      </c>
      <c r="Z192" s="21">
        <f>Z$186*25</f>
        <v/>
      </c>
      <c r="AA192" s="21">
        <f>AA$186*25</f>
        <v/>
      </c>
      <c r="AB192" s="21">
        <f>AB$186*25</f>
        <v/>
      </c>
      <c r="AC192" s="21">
        <f>AC$186*25</f>
        <v/>
      </c>
      <c r="AD192" s="21">
        <f>AD$186*25</f>
        <v/>
      </c>
      <c r="AE192" s="21">
        <f>AE$186*25</f>
        <v/>
      </c>
      <c r="AF192" s="21">
        <f>AF$186*25</f>
        <v/>
      </c>
      <c r="AG192" s="21">
        <f>AG$186*25</f>
        <v/>
      </c>
      <c r="AH192" s="21">
        <f>AH$186*25</f>
        <v/>
      </c>
      <c r="AI192" s="131">
        <f>AI$186*25</f>
        <v/>
      </c>
    </row>
    <row r="193">
      <c r="B193" s="76" t="inlineStr">
        <is>
          <t>30x</t>
        </is>
      </c>
      <c r="C193" s="21">
        <f>C$186*30</f>
        <v/>
      </c>
      <c r="D193" s="21">
        <f>D$186*30</f>
        <v/>
      </c>
      <c r="E193" s="21">
        <f>E$186*30</f>
        <v/>
      </c>
      <c r="F193" s="21">
        <f>F$186*30</f>
        <v/>
      </c>
      <c r="G193" s="21">
        <f>G$186*30</f>
        <v/>
      </c>
      <c r="H193" s="21">
        <f>H$186*30</f>
        <v/>
      </c>
      <c r="I193" s="21">
        <f>I$186*30</f>
        <v/>
      </c>
      <c r="J193" s="21">
        <f>J$186*30</f>
        <v/>
      </c>
      <c r="K193" s="21">
        <f>K$186*30</f>
        <v/>
      </c>
      <c r="L193" s="21">
        <f>L$186*30</f>
        <v/>
      </c>
      <c r="M193" s="21">
        <f>M$186*30</f>
        <v/>
      </c>
      <c r="N193" s="21">
        <f>N$186*30</f>
        <v/>
      </c>
      <c r="O193" s="21">
        <f>O$186*30</f>
        <v/>
      </c>
      <c r="P193" s="21">
        <f>P$186*30</f>
        <v/>
      </c>
      <c r="Q193" s="21">
        <f>Q$186*30</f>
        <v/>
      </c>
      <c r="R193" s="21">
        <f>R$186*30</f>
        <v/>
      </c>
      <c r="S193" s="21">
        <f>S$186*30</f>
        <v/>
      </c>
      <c r="T193" s="21">
        <f>T$186*30</f>
        <v/>
      </c>
      <c r="U193" s="21">
        <f>U$186*30</f>
        <v/>
      </c>
      <c r="V193" s="21">
        <f>V$186*30</f>
        <v/>
      </c>
      <c r="W193" s="21">
        <f>W$186*30</f>
        <v/>
      </c>
      <c r="X193" s="21">
        <f>X$186*30</f>
        <v/>
      </c>
      <c r="Y193" s="21">
        <f>Y$186*30</f>
        <v/>
      </c>
      <c r="Z193" s="21">
        <f>Z$186*30</f>
        <v/>
      </c>
      <c r="AA193" s="21">
        <f>AA$186*30</f>
        <v/>
      </c>
      <c r="AB193" s="21">
        <f>AB$186*30</f>
        <v/>
      </c>
      <c r="AC193" s="21">
        <f>AC$186*30</f>
        <v/>
      </c>
      <c r="AD193" s="21">
        <f>AD$186*30</f>
        <v/>
      </c>
      <c r="AE193" s="21">
        <f>AE$186*30</f>
        <v/>
      </c>
      <c r="AF193" s="21">
        <f>AF$186*30</f>
        <v/>
      </c>
      <c r="AG193" s="21">
        <f>AG$186*30</f>
        <v/>
      </c>
      <c r="AH193" s="21">
        <f>AH$186*30</f>
        <v/>
      </c>
      <c r="AI193" s="131">
        <f>AI$186*30</f>
        <v/>
      </c>
    </row>
    <row r="194">
      <c r="B194" s="76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131" t="n"/>
    </row>
    <row r="195">
      <c r="B195" s="76" t="inlineStr">
        <is>
          <t>Export</t>
        </is>
      </c>
      <c r="C195" s="21">
        <f>'Revenue Segments'!C77</f>
        <v/>
      </c>
      <c r="D195" s="21">
        <f>'Revenue Segments'!D77</f>
        <v/>
      </c>
      <c r="E195" s="21">
        <f>'Revenue Segments'!E77</f>
        <v/>
      </c>
      <c r="F195" s="21">
        <f>'Revenue Segments'!F77</f>
        <v/>
      </c>
      <c r="G195" s="21">
        <f>'Revenue Segments'!G77</f>
        <v/>
      </c>
      <c r="H195" s="21">
        <f>'Revenue Segments'!H77</f>
        <v/>
      </c>
      <c r="I195" s="21">
        <f>'Revenue Segments'!I77</f>
        <v/>
      </c>
      <c r="J195" s="21">
        <f>'Revenue Segments'!J77</f>
        <v/>
      </c>
      <c r="K195" s="21">
        <f>'Revenue Segments'!K77</f>
        <v/>
      </c>
      <c r="L195" s="21">
        <f>'Revenue Segments'!L77</f>
        <v/>
      </c>
      <c r="M195" s="21">
        <f>'Revenue Segments'!M77</f>
        <v/>
      </c>
      <c r="N195" s="21">
        <f>'Revenue Segments'!N77</f>
        <v/>
      </c>
      <c r="O195" s="21">
        <f>'Revenue Segments'!O77</f>
        <v/>
      </c>
      <c r="P195" s="21">
        <f>'Revenue Segments'!P77</f>
        <v/>
      </c>
      <c r="Q195" s="21">
        <f>'Revenue Segments'!Q77</f>
        <v/>
      </c>
      <c r="R195" s="21">
        <f>'Revenue Segments'!R77</f>
        <v/>
      </c>
      <c r="S195" s="21">
        <f>'Revenue Segments'!S77-'Revenue Segments'!S105</f>
        <v/>
      </c>
      <c r="T195" s="21">
        <f>'Revenue Segments'!T77-'Revenue Segments'!T105</f>
        <v/>
      </c>
      <c r="U195" s="21">
        <f>'Revenue Segments'!U77-'Revenue Segments'!U105</f>
        <v/>
      </c>
      <c r="V195" s="21">
        <f>'Revenue Segments'!V77-'Revenue Segments'!V105</f>
        <v/>
      </c>
      <c r="W195" s="21">
        <f>'Revenue Segments'!W77-'Revenue Segments'!W105</f>
        <v/>
      </c>
      <c r="X195" s="21">
        <f>'Revenue Segments'!X77-'Revenue Segments'!X105</f>
        <v/>
      </c>
      <c r="Y195" s="21">
        <f>'Revenue Segments'!Y77-'Revenue Segments'!Y105</f>
        <v/>
      </c>
      <c r="Z195" s="21">
        <f>'Revenue Segments'!Z77-'Revenue Segments'!Z105</f>
        <v/>
      </c>
      <c r="AA195" s="21">
        <f>'Revenue Segments'!AA77-'Revenue Segments'!AA105</f>
        <v/>
      </c>
      <c r="AB195" s="21">
        <f>'Revenue Segments'!AB77-'Revenue Segments'!AB105</f>
        <v/>
      </c>
      <c r="AC195" s="21">
        <f>'Revenue Segments'!AC77-'Revenue Segments'!AC105</f>
        <v/>
      </c>
      <c r="AD195" s="21">
        <f>'Revenue Segments'!AD77-'Revenue Segments'!AD105</f>
        <v/>
      </c>
      <c r="AE195" s="21">
        <f>'Revenue Segments'!AE77-'Revenue Segments'!AE105</f>
        <v/>
      </c>
      <c r="AF195" s="21">
        <f>'Revenue Segments'!AF77-'Revenue Segments'!AF105</f>
        <v/>
      </c>
      <c r="AG195" s="21">
        <f>'Revenue Segments'!AG77-'Revenue Segments'!AG105</f>
        <v/>
      </c>
      <c r="AH195" s="21">
        <f>'Revenue Segments'!AH77-'Revenue Segments'!AH105</f>
        <v/>
      </c>
      <c r="AI195" s="131">
        <f>'Revenue Segments'!AI77-'Revenue Segments'!AI105</f>
        <v/>
      </c>
    </row>
    <row r="196">
      <c r="B196" s="76" t="inlineStr">
        <is>
          <t>Domestic</t>
        </is>
      </c>
      <c r="C196" s="21">
        <f>'Revenue Segments'!C73</f>
        <v/>
      </c>
      <c r="D196" s="21">
        <f>'Revenue Segments'!D73</f>
        <v/>
      </c>
      <c r="E196" s="21">
        <f>'Revenue Segments'!E73</f>
        <v/>
      </c>
      <c r="F196" s="21">
        <f>'Revenue Segments'!F73</f>
        <v/>
      </c>
      <c r="G196" s="21">
        <f>'Revenue Segments'!G73</f>
        <v/>
      </c>
      <c r="H196" s="21">
        <f>'Revenue Segments'!H73</f>
        <v/>
      </c>
      <c r="I196" s="21">
        <f>'Revenue Segments'!I73</f>
        <v/>
      </c>
      <c r="J196" s="21">
        <f>'Revenue Segments'!J73</f>
        <v/>
      </c>
      <c r="K196" s="21">
        <f>'Revenue Segments'!K73</f>
        <v/>
      </c>
      <c r="L196" s="21">
        <f>'Revenue Segments'!L73</f>
        <v/>
      </c>
      <c r="M196" s="21">
        <f>'Revenue Segments'!M73</f>
        <v/>
      </c>
      <c r="N196" s="21">
        <f>'Revenue Segments'!N73</f>
        <v/>
      </c>
      <c r="O196" s="21">
        <f>'Revenue Segments'!O73</f>
        <v/>
      </c>
      <c r="P196" s="21">
        <f>'Revenue Segments'!P73</f>
        <v/>
      </c>
      <c r="Q196" s="21">
        <f>'Revenue Segments'!Q73</f>
        <v/>
      </c>
      <c r="R196" s="21">
        <f>'Revenue Segments'!R73</f>
        <v/>
      </c>
      <c r="S196" s="21">
        <f>'Revenue Segments'!S73</f>
        <v/>
      </c>
      <c r="T196" s="21">
        <f>'Revenue Segments'!T73</f>
        <v/>
      </c>
      <c r="U196" s="21">
        <f>'Revenue Segments'!U73</f>
        <v/>
      </c>
      <c r="V196" s="21">
        <f>'Revenue Segments'!V73</f>
        <v/>
      </c>
      <c r="W196" s="21">
        <f>'Revenue Segments'!W73</f>
        <v/>
      </c>
      <c r="X196" s="21">
        <f>'Revenue Segments'!X73</f>
        <v/>
      </c>
      <c r="Y196" s="21">
        <f>'Revenue Segments'!Y73</f>
        <v/>
      </c>
      <c r="Z196" s="21">
        <f>'Revenue Segments'!Z73</f>
        <v/>
      </c>
      <c r="AA196" s="21">
        <f>'Revenue Segments'!AA73</f>
        <v/>
      </c>
      <c r="AB196" s="21">
        <f>'Revenue Segments'!AB73</f>
        <v/>
      </c>
      <c r="AC196" s="21">
        <f>'Revenue Segments'!AC73</f>
        <v/>
      </c>
      <c r="AD196" s="21">
        <f>'Revenue Segments'!AD73</f>
        <v/>
      </c>
      <c r="AE196" s="21">
        <f>'Revenue Segments'!AE73</f>
        <v/>
      </c>
      <c r="AF196" s="21">
        <f>'Revenue Segments'!AF73</f>
        <v/>
      </c>
      <c r="AG196" s="21">
        <f>'Revenue Segments'!AG73</f>
        <v/>
      </c>
      <c r="AH196" s="21">
        <f>'Revenue Segments'!AH73</f>
        <v/>
      </c>
      <c r="AI196" s="131">
        <f>'Revenue Segments'!AI73</f>
        <v/>
      </c>
    </row>
    <row r="197">
      <c r="B197" s="76" t="inlineStr">
        <is>
          <t>DE/SEX</t>
        </is>
      </c>
      <c r="C197" s="21">
        <f>'Revenue Segments'!C81</f>
        <v/>
      </c>
      <c r="D197" s="21">
        <f>'Revenue Segments'!D81</f>
        <v/>
      </c>
      <c r="E197" s="21">
        <f>'Revenue Segments'!E81</f>
        <v/>
      </c>
      <c r="F197" s="21">
        <f>'Revenue Segments'!F81</f>
        <v/>
      </c>
      <c r="G197" s="21">
        <f>'Revenue Segments'!G81</f>
        <v/>
      </c>
      <c r="H197" s="21">
        <f>'Revenue Segments'!H81</f>
        <v/>
      </c>
      <c r="I197" s="21">
        <f>'Revenue Segments'!I81</f>
        <v/>
      </c>
      <c r="J197" s="21">
        <f>'Revenue Segments'!J81</f>
        <v/>
      </c>
      <c r="K197" s="21">
        <f>'Revenue Segments'!K81</f>
        <v/>
      </c>
      <c r="L197" s="21">
        <f>'Revenue Segments'!L81</f>
        <v/>
      </c>
      <c r="M197" s="21">
        <f>'Revenue Segments'!M81</f>
        <v/>
      </c>
      <c r="N197" s="21">
        <f>'Revenue Segments'!N81</f>
        <v/>
      </c>
      <c r="O197" s="21">
        <f>'Revenue Segments'!O81</f>
        <v/>
      </c>
      <c r="P197" s="21">
        <f>'Revenue Segments'!P81</f>
        <v/>
      </c>
      <c r="Q197" s="21">
        <f>'Revenue Segments'!Q81</f>
        <v/>
      </c>
      <c r="R197" s="21">
        <f>'Revenue Segments'!R81</f>
        <v/>
      </c>
      <c r="S197" s="21">
        <f>'Revenue Segments'!S81</f>
        <v/>
      </c>
      <c r="T197" s="21">
        <f>'Revenue Segments'!T81</f>
        <v/>
      </c>
      <c r="U197" s="21">
        <f>'Revenue Segments'!U81</f>
        <v/>
      </c>
      <c r="V197" s="21">
        <f>'Revenue Segments'!V81</f>
        <v/>
      </c>
      <c r="W197" s="21">
        <f>'Revenue Segments'!W81</f>
        <v/>
      </c>
      <c r="X197" s="21">
        <f>'Revenue Segments'!X81</f>
        <v/>
      </c>
      <c r="Y197" s="21">
        <f>'Revenue Segments'!Y81</f>
        <v/>
      </c>
      <c r="Z197" s="21">
        <f>'Revenue Segments'!Z81</f>
        <v/>
      </c>
      <c r="AA197" s="21">
        <f>'Revenue Segments'!AA81</f>
        <v/>
      </c>
      <c r="AB197" s="21">
        <f>'Revenue Segments'!AB81</f>
        <v/>
      </c>
      <c r="AC197" s="21">
        <f>'Revenue Segments'!AC81</f>
        <v/>
      </c>
      <c r="AD197" s="21">
        <f>'Revenue Segments'!AD81</f>
        <v/>
      </c>
      <c r="AE197" s="21">
        <f>'Revenue Segments'!AE81</f>
        <v/>
      </c>
      <c r="AF197" s="21">
        <f>'Revenue Segments'!AF81</f>
        <v/>
      </c>
      <c r="AG197" s="21">
        <f>'Revenue Segments'!AG81</f>
        <v/>
      </c>
      <c r="AH197" s="21">
        <f>'Revenue Segments'!AH81</f>
        <v/>
      </c>
      <c r="AI197" s="131">
        <f>'Revenue Segments'!AI81</f>
        <v/>
      </c>
    </row>
    <row r="198">
      <c r="B198" s="76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131" t="n"/>
    </row>
    <row r="199" customFormat="1" s="69">
      <c r="B199" s="257" t="inlineStr">
        <is>
          <t>ROA</t>
        </is>
      </c>
      <c r="C199" s="463">
        <f>'Income Statement'!C70</f>
        <v/>
      </c>
      <c r="D199" s="463">
        <f>'Income Statement'!D70</f>
        <v/>
      </c>
      <c r="E199" s="463">
        <f>'Income Statement'!E70</f>
        <v/>
      </c>
      <c r="F199" s="463">
        <f>'Income Statement'!F70</f>
        <v/>
      </c>
      <c r="G199" s="463">
        <f>'Income Statement'!G70</f>
        <v/>
      </c>
      <c r="H199" s="463">
        <f>'Income Statement'!H70</f>
        <v/>
      </c>
      <c r="I199" s="463">
        <f>'Income Statement'!I70</f>
        <v/>
      </c>
      <c r="J199" s="463">
        <f>'Income Statement'!J70</f>
        <v/>
      </c>
      <c r="K199" s="463">
        <f>'Income Statement'!K70</f>
        <v/>
      </c>
      <c r="L199" s="463">
        <f>'Income Statement'!L70</f>
        <v/>
      </c>
      <c r="M199" s="463">
        <f>'Income Statement'!M70</f>
        <v/>
      </c>
      <c r="N199" s="463">
        <f>'Income Statement'!N70</f>
        <v/>
      </c>
      <c r="O199" s="463">
        <f>'Income Statement'!O70</f>
        <v/>
      </c>
      <c r="P199" s="463">
        <f>'Income Statement'!P70</f>
        <v/>
      </c>
      <c r="Q199" s="463">
        <f>'Income Statement'!Q70</f>
        <v/>
      </c>
      <c r="R199" s="463">
        <f>'Income Statement'!R70</f>
        <v/>
      </c>
      <c r="S199" s="463">
        <f>'Income Statement'!S70</f>
        <v/>
      </c>
      <c r="T199" s="463">
        <f>'Income Statement'!T70</f>
        <v/>
      </c>
      <c r="U199" s="463">
        <f>'Income Statement'!U70</f>
        <v/>
      </c>
      <c r="V199" s="463">
        <f>'Income Statement'!V70</f>
        <v/>
      </c>
      <c r="W199" s="463">
        <f>'Income Statement'!W70</f>
        <v/>
      </c>
      <c r="X199" s="463">
        <f>'Income Statement'!X70</f>
        <v/>
      </c>
      <c r="Y199" s="463">
        <f>'Income Statement'!Y70</f>
        <v/>
      </c>
      <c r="Z199" s="463">
        <f>'Income Statement'!Z70</f>
        <v/>
      </c>
      <c r="AA199" s="463">
        <f>'Income Statement'!AA70</f>
        <v/>
      </c>
      <c r="AB199" s="463">
        <f>'Income Statement'!AB70</f>
        <v/>
      </c>
      <c r="AC199" s="463">
        <f>'Income Statement'!AC70</f>
        <v/>
      </c>
      <c r="AD199" s="463">
        <f>'Income Statement'!AD70</f>
        <v/>
      </c>
      <c r="AE199" s="463">
        <f>'Income Statement'!AE70</f>
        <v/>
      </c>
      <c r="AF199" s="463">
        <f>'Income Statement'!AF70</f>
        <v/>
      </c>
      <c r="AG199" s="463">
        <f>'Income Statement'!AG70</f>
        <v/>
      </c>
      <c r="AH199" s="463">
        <f>'Income Statement'!AH70</f>
        <v/>
      </c>
      <c r="AI199" s="482">
        <f>'Income Statement'!AI70</f>
        <v/>
      </c>
      <c r="AO199" s="12" t="n"/>
    </row>
    <row r="200" customFormat="1" s="69">
      <c r="B200" s="257" t="inlineStr">
        <is>
          <t>ROE</t>
        </is>
      </c>
      <c r="C200" s="463">
        <f>'Income Statement'!C71</f>
        <v/>
      </c>
      <c r="D200" s="463">
        <f>'Income Statement'!D71</f>
        <v/>
      </c>
      <c r="E200" s="463">
        <f>'Income Statement'!E71</f>
        <v/>
      </c>
      <c r="F200" s="463">
        <f>'Income Statement'!F71</f>
        <v/>
      </c>
      <c r="G200" s="463">
        <f>'Income Statement'!G71</f>
        <v/>
      </c>
      <c r="H200" s="463">
        <f>'Income Statement'!H71</f>
        <v/>
      </c>
      <c r="I200" s="463">
        <f>'Income Statement'!I71</f>
        <v/>
      </c>
      <c r="J200" s="463">
        <f>'Income Statement'!J71</f>
        <v/>
      </c>
      <c r="K200" s="463">
        <f>'Income Statement'!K71</f>
        <v/>
      </c>
      <c r="L200" s="463">
        <f>'Income Statement'!L71</f>
        <v/>
      </c>
      <c r="M200" s="463">
        <f>'Income Statement'!M71</f>
        <v/>
      </c>
      <c r="N200" s="463">
        <f>'Income Statement'!N71</f>
        <v/>
      </c>
      <c r="O200" s="463">
        <f>'Income Statement'!O71</f>
        <v/>
      </c>
      <c r="P200" s="463">
        <f>'Income Statement'!P71</f>
        <v/>
      </c>
      <c r="Q200" s="463">
        <f>'Income Statement'!Q71</f>
        <v/>
      </c>
      <c r="R200" s="463">
        <f>'Income Statement'!R71</f>
        <v/>
      </c>
      <c r="S200" s="463">
        <f>'Income Statement'!S71</f>
        <v/>
      </c>
      <c r="T200" s="463">
        <f>'Income Statement'!T71</f>
        <v/>
      </c>
      <c r="U200" s="463">
        <f>'Income Statement'!U71</f>
        <v/>
      </c>
      <c r="V200" s="463">
        <f>'Income Statement'!V71</f>
        <v/>
      </c>
      <c r="W200" s="463">
        <f>'Income Statement'!W71</f>
        <v/>
      </c>
      <c r="X200" s="463">
        <f>'Income Statement'!X71</f>
        <v/>
      </c>
      <c r="Y200" s="463">
        <f>'Income Statement'!Y71</f>
        <v/>
      </c>
      <c r="Z200" s="463">
        <f>'Income Statement'!Z71</f>
        <v/>
      </c>
      <c r="AA200" s="463">
        <f>'Income Statement'!AA71</f>
        <v/>
      </c>
      <c r="AB200" s="463">
        <f>'Income Statement'!AB71</f>
        <v/>
      </c>
      <c r="AC200" s="463">
        <f>'Income Statement'!AC71</f>
        <v/>
      </c>
      <c r="AD200" s="463">
        <f>'Income Statement'!AD71</f>
        <v/>
      </c>
      <c r="AE200" s="463">
        <f>'Income Statement'!AE71</f>
        <v/>
      </c>
      <c r="AF200" s="463">
        <f>'Income Statement'!AF71</f>
        <v/>
      </c>
      <c r="AG200" s="463">
        <f>'Income Statement'!AG71</f>
        <v/>
      </c>
      <c r="AH200" s="463">
        <f>'Income Statement'!AH71</f>
        <v/>
      </c>
      <c r="AI200" s="482">
        <f>'Income Statement'!AI71</f>
        <v/>
      </c>
      <c r="AJ200" s="463" t="n"/>
    </row>
    <row r="201" customFormat="1" s="69">
      <c r="B201" s="257" t="inlineStr">
        <is>
          <t>ROCE</t>
        </is>
      </c>
      <c r="C201" s="463">
        <f>'Income Statement'!C72</f>
        <v/>
      </c>
      <c r="D201" s="463">
        <f>'Income Statement'!D72</f>
        <v/>
      </c>
      <c r="E201" s="463">
        <f>'Income Statement'!E72</f>
        <v/>
      </c>
      <c r="F201" s="463">
        <f>'Income Statement'!F72</f>
        <v/>
      </c>
      <c r="G201" s="463">
        <f>'Income Statement'!G72</f>
        <v/>
      </c>
      <c r="H201" s="463">
        <f>'Income Statement'!H72</f>
        <v/>
      </c>
      <c r="I201" s="463">
        <f>'Income Statement'!I72</f>
        <v/>
      </c>
      <c r="J201" s="463">
        <f>'Income Statement'!J72</f>
        <v/>
      </c>
      <c r="K201" s="463">
        <f>'Income Statement'!K72</f>
        <v/>
      </c>
      <c r="L201" s="463">
        <f>'Income Statement'!L72</f>
        <v/>
      </c>
      <c r="M201" s="463">
        <f>'Income Statement'!M72</f>
        <v/>
      </c>
      <c r="N201" s="463">
        <f>'Income Statement'!N72</f>
        <v/>
      </c>
      <c r="O201" s="463">
        <f>'Income Statement'!O72</f>
        <v/>
      </c>
      <c r="P201" s="463">
        <f>'Income Statement'!P72</f>
        <v/>
      </c>
      <c r="Q201" s="463">
        <f>'Income Statement'!Q72</f>
        <v/>
      </c>
      <c r="R201" s="463">
        <f>'Income Statement'!R72</f>
        <v/>
      </c>
      <c r="S201" s="463">
        <f>'Income Statement'!S72</f>
        <v/>
      </c>
      <c r="T201" s="463">
        <f>'Income Statement'!T72</f>
        <v/>
      </c>
      <c r="U201" s="463">
        <f>'Income Statement'!U72</f>
        <v/>
      </c>
      <c r="V201" s="463">
        <f>'Income Statement'!V72</f>
        <v/>
      </c>
      <c r="W201" s="463">
        <f>'Income Statement'!W72</f>
        <v/>
      </c>
      <c r="X201" s="463">
        <f>'Income Statement'!X72</f>
        <v/>
      </c>
      <c r="Y201" s="463">
        <f>'Income Statement'!Y72</f>
        <v/>
      </c>
      <c r="Z201" s="463">
        <f>'Income Statement'!Z72</f>
        <v/>
      </c>
      <c r="AA201" s="463">
        <f>'Income Statement'!AA72</f>
        <v/>
      </c>
      <c r="AB201" s="463">
        <f>'Income Statement'!AB72</f>
        <v/>
      </c>
      <c r="AC201" s="463">
        <f>'Income Statement'!AC72</f>
        <v/>
      </c>
      <c r="AD201" s="463">
        <f>'Income Statement'!AD72</f>
        <v/>
      </c>
      <c r="AE201" s="463">
        <f>'Income Statement'!AE72</f>
        <v/>
      </c>
      <c r="AF201" s="463">
        <f>'Income Statement'!AF72</f>
        <v/>
      </c>
      <c r="AG201" s="463">
        <f>'Income Statement'!AG72</f>
        <v/>
      </c>
      <c r="AH201" s="463">
        <f>'Income Statement'!AH72</f>
        <v/>
      </c>
      <c r="AI201" s="482">
        <f>'Income Statement'!AI72</f>
        <v/>
      </c>
      <c r="AJ201" s="463" t="n"/>
    </row>
    <row r="202" customFormat="1" s="69">
      <c r="B202" s="257" t="n"/>
      <c r="C202" s="463" t="n"/>
      <c r="D202" s="463" t="n"/>
      <c r="E202" s="463" t="n"/>
      <c r="F202" s="463" t="n"/>
      <c r="G202" s="463" t="n"/>
      <c r="H202" s="463" t="n"/>
      <c r="I202" s="463" t="n"/>
      <c r="J202" s="463" t="n"/>
      <c r="K202" s="463" t="n"/>
      <c r="L202" s="463" t="n"/>
      <c r="M202" s="463" t="n"/>
      <c r="N202" s="463" t="n"/>
      <c r="O202" s="463" t="n"/>
      <c r="P202" s="463" t="n"/>
      <c r="Q202" s="463" t="n"/>
      <c r="R202" s="463" t="n"/>
      <c r="S202" s="463" t="n"/>
      <c r="T202" s="463" t="n"/>
      <c r="U202" s="463" t="n"/>
      <c r="V202" s="463" t="n"/>
      <c r="W202" s="463" t="n"/>
      <c r="X202" s="463" t="n"/>
      <c r="Y202" s="463" t="n"/>
      <c r="Z202" s="463" t="n"/>
      <c r="AA202" s="463" t="n"/>
      <c r="AB202" s="463" t="n"/>
      <c r="AC202" s="463" t="n"/>
      <c r="AD202" s="463" t="n"/>
      <c r="AE202" s="463" t="n"/>
      <c r="AF202" s="463" t="n"/>
      <c r="AG202" s="463" t="n"/>
      <c r="AH202" s="463" t="n"/>
      <c r="AI202" s="482" t="n"/>
      <c r="AJ202" s="463" t="n"/>
    </row>
    <row r="203" customFormat="1" s="69">
      <c r="B203" s="76" t="inlineStr">
        <is>
          <t>Recievable Days</t>
        </is>
      </c>
      <c r="C203" s="265">
        <f>'Balance Sheet'!C79</f>
        <v/>
      </c>
      <c r="D203" s="265">
        <f>'Balance Sheet'!D79</f>
        <v/>
      </c>
      <c r="E203" s="265">
        <f>'Balance Sheet'!E79</f>
        <v/>
      </c>
      <c r="F203" s="265">
        <f>'Balance Sheet'!F79</f>
        <v/>
      </c>
      <c r="G203" s="265">
        <f>'Balance Sheet'!G79</f>
        <v/>
      </c>
      <c r="H203" s="265">
        <f>'Balance Sheet'!H79</f>
        <v/>
      </c>
      <c r="I203" s="265">
        <f>'Balance Sheet'!I79</f>
        <v/>
      </c>
      <c r="J203" s="265">
        <f>'Balance Sheet'!J79</f>
        <v/>
      </c>
      <c r="K203" s="265">
        <f>'Balance Sheet'!K79</f>
        <v/>
      </c>
      <c r="L203" s="265">
        <f>'Balance Sheet'!L79</f>
        <v/>
      </c>
      <c r="M203" s="265">
        <f>'Balance Sheet'!M79</f>
        <v/>
      </c>
      <c r="N203" s="265">
        <f>'Balance Sheet'!N79</f>
        <v/>
      </c>
      <c r="O203" s="265">
        <f>'Balance Sheet'!O79</f>
        <v/>
      </c>
      <c r="P203" s="265">
        <f>'Balance Sheet'!P79</f>
        <v/>
      </c>
      <c r="Q203" s="265">
        <f>'Balance Sheet'!Q79</f>
        <v/>
      </c>
      <c r="R203" s="265">
        <f>'Balance Sheet'!R79</f>
        <v/>
      </c>
      <c r="S203" s="265">
        <f>'Balance Sheet'!S79</f>
        <v/>
      </c>
      <c r="T203" s="265">
        <f>'Balance Sheet'!T79</f>
        <v/>
      </c>
      <c r="U203" s="265">
        <f>'Balance Sheet'!U79</f>
        <v/>
      </c>
      <c r="V203" s="265">
        <f>'Balance Sheet'!V79</f>
        <v/>
      </c>
      <c r="W203" s="265">
        <f>'Balance Sheet'!W79</f>
        <v/>
      </c>
      <c r="X203" s="265">
        <f>'Balance Sheet'!X79</f>
        <v/>
      </c>
      <c r="Y203" s="265">
        <f>'Balance Sheet'!Y79</f>
        <v/>
      </c>
      <c r="Z203" s="265">
        <f>'Balance Sheet'!Z79</f>
        <v/>
      </c>
      <c r="AA203" s="265">
        <f>'Balance Sheet'!AA79</f>
        <v/>
      </c>
      <c r="AB203" s="265">
        <f>'Balance Sheet'!AB79</f>
        <v/>
      </c>
      <c r="AC203" s="265">
        <f>'Balance Sheet'!AC79</f>
        <v/>
      </c>
      <c r="AD203" s="265">
        <f>'Balance Sheet'!AD79</f>
        <v/>
      </c>
      <c r="AE203" s="265">
        <f>'Balance Sheet'!AE79</f>
        <v/>
      </c>
      <c r="AF203" s="265">
        <f>'Balance Sheet'!AF79</f>
        <v/>
      </c>
      <c r="AG203" s="265">
        <f>'Balance Sheet'!AG79</f>
        <v/>
      </c>
      <c r="AH203" s="265">
        <f>'Balance Sheet'!AH79</f>
        <v/>
      </c>
      <c r="AI203" s="265">
        <f>'Balance Sheet'!AI79</f>
        <v/>
      </c>
      <c r="AJ203" s="463" t="n"/>
    </row>
    <row r="204" customFormat="1" s="69">
      <c r="B204" s="76" t="inlineStr">
        <is>
          <t>YoY Growth %</t>
        </is>
      </c>
      <c r="C204" s="265" t="n"/>
      <c r="D204" s="265" t="n"/>
      <c r="E204" s="265" t="n"/>
      <c r="F204" s="265" t="n"/>
      <c r="G204" s="265" t="n"/>
      <c r="H204" s="463">
        <f>(H203-E203)/E203</f>
        <v/>
      </c>
      <c r="I204" s="463">
        <f>(I203-F203)/F203</f>
        <v/>
      </c>
      <c r="J204" s="463">
        <f>(J203-G203)/G203</f>
        <v/>
      </c>
      <c r="K204" s="463">
        <f>(K203-H203)/H203</f>
        <v/>
      </c>
      <c r="L204" s="463">
        <f>(L203-I203)/I203</f>
        <v/>
      </c>
      <c r="M204" s="463">
        <f>(M203-J203)/J203</f>
        <v/>
      </c>
      <c r="N204" s="463">
        <f>(N203-K203)/K203</f>
        <v/>
      </c>
      <c r="O204" s="463">
        <f>(O203-L203)/L203</f>
        <v/>
      </c>
      <c r="P204" s="463">
        <f>(P203-M203)/M203</f>
        <v/>
      </c>
      <c r="Q204" s="463">
        <f>(Q203-N203)/N203</f>
        <v/>
      </c>
      <c r="R204" s="463">
        <f>(R203-O203)/O203</f>
        <v/>
      </c>
      <c r="S204" s="463">
        <f>(S203-P203)/P203</f>
        <v/>
      </c>
      <c r="T204" s="463">
        <f>(T203-Q203)/Q203</f>
        <v/>
      </c>
      <c r="U204" s="463">
        <f>(U203-R203)/R203</f>
        <v/>
      </c>
      <c r="V204" s="463">
        <f>(V203-S203)/S203</f>
        <v/>
      </c>
      <c r="W204" s="463">
        <f>(W203-T203)/T203</f>
        <v/>
      </c>
      <c r="X204" s="463">
        <f>(X203-U203)/U203</f>
        <v/>
      </c>
      <c r="Y204" s="463">
        <f>(Y203-V203)/V203</f>
        <v/>
      </c>
      <c r="Z204" s="463">
        <f>(Z203-W203)/W203</f>
        <v/>
      </c>
      <c r="AA204" s="463">
        <f>(AA203-X203)/X203</f>
        <v/>
      </c>
      <c r="AB204" s="463">
        <f>(AB203-Y203)/Y203</f>
        <v/>
      </c>
      <c r="AC204" s="463">
        <f>(AC203-Z203)/Z203</f>
        <v/>
      </c>
      <c r="AD204" s="463">
        <f>(AD203-AA203)/AA203</f>
        <v/>
      </c>
      <c r="AE204" s="463">
        <f>(AE203-AB203)/AB203</f>
        <v/>
      </c>
      <c r="AF204" s="463">
        <f>(AF203-AC203)/AC203</f>
        <v/>
      </c>
      <c r="AG204" s="463">
        <f>(AG203-AD203)/AD203</f>
        <v/>
      </c>
      <c r="AH204" s="463">
        <f>(AH203-AE203)/AE203</f>
        <v/>
      </c>
      <c r="AI204" s="463">
        <f>(AI203-AF203)/AF203</f>
        <v/>
      </c>
      <c r="AJ204" s="463" t="n"/>
    </row>
    <row r="205">
      <c r="B205" s="76" t="n"/>
      <c r="C205" s="21" t="n"/>
      <c r="D205" s="21" t="n"/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131" t="n"/>
      <c r="AO205" s="69" t="n"/>
    </row>
    <row r="206">
      <c r="B206" s="79" t="inlineStr">
        <is>
          <t>Stress Test Scenario</t>
        </is>
      </c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131" t="n"/>
    </row>
    <row r="207">
      <c r="B207" s="76" t="inlineStr">
        <is>
          <t>Base Case</t>
        </is>
      </c>
      <c r="C207" s="21">
        <f>'Revenue Segments'!C114</f>
        <v/>
      </c>
      <c r="D207" s="21">
        <f>'Revenue Segments'!D114</f>
        <v/>
      </c>
      <c r="E207" s="21">
        <f>'Revenue Segments'!E114</f>
        <v/>
      </c>
      <c r="F207" s="21">
        <f>'Revenue Segments'!F114</f>
        <v/>
      </c>
      <c r="G207" s="21">
        <f>'Revenue Segments'!G114</f>
        <v/>
      </c>
      <c r="H207" s="21">
        <f>'Revenue Segments'!H114</f>
        <v/>
      </c>
      <c r="I207" s="21">
        <f>'Revenue Segments'!I114</f>
        <v/>
      </c>
      <c r="J207" s="21">
        <f>'Revenue Segments'!J114</f>
        <v/>
      </c>
      <c r="K207" s="21">
        <f>'Revenue Segments'!K114</f>
        <v/>
      </c>
      <c r="L207" s="21">
        <f>'Revenue Segments'!L114</f>
        <v/>
      </c>
      <c r="M207" s="21">
        <f>'Revenue Segments'!M114</f>
        <v/>
      </c>
      <c r="N207" s="21">
        <f>'Revenue Segments'!N114</f>
        <v/>
      </c>
      <c r="O207" s="21">
        <f>'Revenue Segments'!O114</f>
        <v/>
      </c>
      <c r="P207" s="21">
        <f>'Revenue Segments'!P114</f>
        <v/>
      </c>
      <c r="Q207" s="21">
        <f>'Revenue Segments'!Q114</f>
        <v/>
      </c>
      <c r="R207" s="21">
        <f>'Revenue Segments'!R114</f>
        <v/>
      </c>
      <c r="S207" s="21">
        <f>'Revenue Segments'!S114</f>
        <v/>
      </c>
      <c r="T207" s="21">
        <f>'Revenue Segments'!T114</f>
        <v/>
      </c>
      <c r="U207" s="21">
        <f>'Revenue Segments'!U114</f>
        <v/>
      </c>
      <c r="V207" s="21">
        <f>'Revenue Segments'!V114</f>
        <v/>
      </c>
      <c r="W207" s="21">
        <f>'Revenue Segments'!W114</f>
        <v/>
      </c>
      <c r="X207" s="21">
        <f>'Revenue Segments'!X114</f>
        <v/>
      </c>
      <c r="Y207" s="21">
        <f>'Revenue Segments'!Y114</f>
        <v/>
      </c>
      <c r="Z207" s="21">
        <f>'Revenue Segments'!Z114</f>
        <v/>
      </c>
      <c r="AA207" s="21">
        <f>'Revenue Segments'!AA114</f>
        <v/>
      </c>
      <c r="AB207" s="21">
        <f>'Revenue Segments'!AB114</f>
        <v/>
      </c>
      <c r="AC207" s="21">
        <f>'Revenue Segments'!AC114</f>
        <v/>
      </c>
      <c r="AD207" s="21">
        <f>'Revenue Segments'!AD114</f>
        <v/>
      </c>
      <c r="AE207" s="21">
        <f>'Revenue Segments'!AE114</f>
        <v/>
      </c>
      <c r="AF207" s="21">
        <f>'Revenue Segments'!AF114</f>
        <v/>
      </c>
      <c r="AG207" s="21">
        <f>'Revenue Segments'!AG114</f>
        <v/>
      </c>
      <c r="AH207" s="21">
        <f>'Revenue Segments'!AH114</f>
        <v/>
      </c>
      <c r="AI207" s="131">
        <f>'Revenue Segments'!AI114</f>
        <v/>
      </c>
    </row>
    <row r="208">
      <c r="B208" s="76" t="inlineStr">
        <is>
          <t>Moderate Case</t>
        </is>
      </c>
      <c r="C208" s="21">
        <f>'Revenue Segments'!C119</f>
        <v/>
      </c>
      <c r="D208" s="21">
        <f>'Revenue Segments'!D119</f>
        <v/>
      </c>
      <c r="E208" s="21">
        <f>'Revenue Segments'!E119</f>
        <v/>
      </c>
      <c r="F208" s="21">
        <f>'Revenue Segments'!F119</f>
        <v/>
      </c>
      <c r="G208" s="21">
        <f>'Revenue Segments'!G119</f>
        <v/>
      </c>
      <c r="H208" s="21">
        <f>'Revenue Segments'!H119</f>
        <v/>
      </c>
      <c r="I208" s="21">
        <f>'Revenue Segments'!I119</f>
        <v/>
      </c>
      <c r="J208" s="21">
        <f>'Revenue Segments'!J119</f>
        <v/>
      </c>
      <c r="K208" s="21">
        <f>'Revenue Segments'!K119</f>
        <v/>
      </c>
      <c r="L208" s="21">
        <f>'Revenue Segments'!L119</f>
        <v/>
      </c>
      <c r="M208" s="21">
        <f>'Revenue Segments'!M119</f>
        <v/>
      </c>
      <c r="N208" s="21">
        <f>'Revenue Segments'!N119</f>
        <v/>
      </c>
      <c r="O208" s="21">
        <f>'Revenue Segments'!O119</f>
        <v/>
      </c>
      <c r="P208" s="21">
        <f>'Revenue Segments'!P119</f>
        <v/>
      </c>
      <c r="Q208" s="21">
        <f>'Revenue Segments'!Q119</f>
        <v/>
      </c>
      <c r="R208" s="21">
        <f>'Revenue Segments'!R119</f>
        <v/>
      </c>
      <c r="S208" s="21">
        <f>'Revenue Segments'!S119</f>
        <v/>
      </c>
      <c r="T208" s="21">
        <f>'Revenue Segments'!T119</f>
        <v/>
      </c>
      <c r="U208" s="21">
        <f>'Revenue Segments'!U119</f>
        <v/>
      </c>
      <c r="V208" s="21">
        <f>'Revenue Segments'!V119</f>
        <v/>
      </c>
      <c r="W208" s="21">
        <f>'Revenue Segments'!W119</f>
        <v/>
      </c>
      <c r="X208" s="21">
        <f>'Revenue Segments'!X119</f>
        <v/>
      </c>
      <c r="Y208" s="21">
        <f>'Revenue Segments'!Y119</f>
        <v/>
      </c>
      <c r="Z208" s="21">
        <f>'Revenue Segments'!Z119</f>
        <v/>
      </c>
      <c r="AA208" s="21">
        <f>'Revenue Segments'!AA119</f>
        <v/>
      </c>
      <c r="AB208" s="21">
        <f>'Revenue Segments'!AB119</f>
        <v/>
      </c>
      <c r="AC208" s="21">
        <f>'Revenue Segments'!AC119</f>
        <v/>
      </c>
      <c r="AD208" s="21">
        <f>'Revenue Segments'!AD119</f>
        <v/>
      </c>
      <c r="AE208" s="21">
        <f>'Revenue Segments'!AE119</f>
        <v/>
      </c>
      <c r="AF208" s="21">
        <f>'Revenue Segments'!AF119</f>
        <v/>
      </c>
      <c r="AG208" s="21">
        <f>'Revenue Segments'!AG119</f>
        <v/>
      </c>
      <c r="AH208" s="21">
        <f>'Revenue Segments'!AH119</f>
        <v/>
      </c>
      <c r="AI208" s="131">
        <f>'Revenue Segments'!AI119</f>
        <v/>
      </c>
      <c r="AJ208" s="21" t="n"/>
    </row>
    <row r="209">
      <c r="B209" s="76" t="inlineStr">
        <is>
          <t>Severe Case</t>
        </is>
      </c>
      <c r="C209" s="21">
        <f>'Revenue Segments'!C126</f>
        <v/>
      </c>
      <c r="D209" s="21">
        <f>'Revenue Segments'!D126</f>
        <v/>
      </c>
      <c r="E209" s="21">
        <f>'Revenue Segments'!E126</f>
        <v/>
      </c>
      <c r="F209" s="21">
        <f>'Revenue Segments'!F126</f>
        <v/>
      </c>
      <c r="G209" s="21">
        <f>'Revenue Segments'!G126</f>
        <v/>
      </c>
      <c r="H209" s="21">
        <f>'Revenue Segments'!H126</f>
        <v/>
      </c>
      <c r="I209" s="21">
        <f>'Revenue Segments'!I126</f>
        <v/>
      </c>
      <c r="J209" s="21">
        <f>'Revenue Segments'!J126</f>
        <v/>
      </c>
      <c r="K209" s="21">
        <f>'Revenue Segments'!K126</f>
        <v/>
      </c>
      <c r="L209" s="21">
        <f>'Revenue Segments'!L126</f>
        <v/>
      </c>
      <c r="M209" s="21">
        <f>'Revenue Segments'!M126</f>
        <v/>
      </c>
      <c r="N209" s="21">
        <f>'Revenue Segments'!N126</f>
        <v/>
      </c>
      <c r="O209" s="21">
        <f>'Revenue Segments'!O126</f>
        <v/>
      </c>
      <c r="P209" s="21">
        <f>'Revenue Segments'!P126</f>
        <v/>
      </c>
      <c r="Q209" s="21">
        <f>'Revenue Segments'!Q126</f>
        <v/>
      </c>
      <c r="R209" s="21">
        <f>'Revenue Segments'!R126</f>
        <v/>
      </c>
      <c r="S209" s="21">
        <f>'Revenue Segments'!S126</f>
        <v/>
      </c>
      <c r="T209" s="21">
        <f>'Revenue Segments'!T126</f>
        <v/>
      </c>
      <c r="U209" s="21">
        <f>'Revenue Segments'!U126</f>
        <v/>
      </c>
      <c r="V209" s="21">
        <f>'Revenue Segments'!V126</f>
        <v/>
      </c>
      <c r="W209" s="21">
        <f>'Revenue Segments'!W126</f>
        <v/>
      </c>
      <c r="X209" s="21">
        <f>'Revenue Segments'!X126</f>
        <v/>
      </c>
      <c r="Y209" s="21">
        <f>'Revenue Segments'!Y126</f>
        <v/>
      </c>
      <c r="Z209" s="21">
        <f>'Revenue Segments'!Z126</f>
        <v/>
      </c>
      <c r="AA209" s="21">
        <f>'Revenue Segments'!AA126</f>
        <v/>
      </c>
      <c r="AB209" s="21">
        <f>'Revenue Segments'!AB126</f>
        <v/>
      </c>
      <c r="AC209" s="21">
        <f>'Revenue Segments'!AC126</f>
        <v/>
      </c>
      <c r="AD209" s="21">
        <f>'Revenue Segments'!AD126</f>
        <v/>
      </c>
      <c r="AE209" s="21">
        <f>'Revenue Segments'!AE126</f>
        <v/>
      </c>
      <c r="AF209" s="21">
        <f>'Revenue Segments'!AF126</f>
        <v/>
      </c>
      <c r="AG209" s="21">
        <f>'Revenue Segments'!AG126</f>
        <v/>
      </c>
      <c r="AH209" s="21">
        <f>'Revenue Segments'!AH126</f>
        <v/>
      </c>
      <c r="AI209" s="131">
        <f>'Revenue Segments'!AI126</f>
        <v/>
      </c>
    </row>
    <row r="210">
      <c r="B210" s="76" t="n"/>
      <c r="C210" s="21" t="n"/>
      <c r="D210" s="21" t="n"/>
      <c r="E210" s="21" t="n"/>
      <c r="F210" s="21" t="n"/>
      <c r="G210" s="21" t="n"/>
      <c r="H210" s="21" t="n"/>
      <c r="I210" s="21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131" t="n"/>
    </row>
    <row r="211">
      <c r="B211" s="79" t="inlineStr">
        <is>
          <t>Risk Analysis</t>
        </is>
      </c>
      <c r="C211" s="21" t="n"/>
      <c r="D211" s="21" t="n"/>
      <c r="AI211" s="170" t="n"/>
    </row>
    <row r="212">
      <c r="B212" s="76" t="inlineStr">
        <is>
          <t>Currency CVaR</t>
        </is>
      </c>
      <c r="C212" s="21" t="n"/>
      <c r="D212" s="21" t="n"/>
      <c r="W212" s="453">
        <f>'Revenue Segments'!W102</f>
        <v/>
      </c>
      <c r="X212" s="453">
        <f>'Revenue Segments'!X102</f>
        <v/>
      </c>
      <c r="Y212" s="453">
        <f>'Revenue Segments'!Y102</f>
        <v/>
      </c>
      <c r="Z212" s="453">
        <f>'Revenue Segments'!Z102</f>
        <v/>
      </c>
      <c r="AA212" s="453">
        <f>'Revenue Segments'!AA102</f>
        <v/>
      </c>
      <c r="AB212" s="453">
        <f>'Revenue Segments'!AB102</f>
        <v/>
      </c>
      <c r="AC212" s="453">
        <f>'Revenue Segments'!AC102</f>
        <v/>
      </c>
      <c r="AD212" s="453">
        <f>'Revenue Segments'!AD102</f>
        <v/>
      </c>
      <c r="AE212" s="453">
        <f>'Revenue Segments'!AE102</f>
        <v/>
      </c>
      <c r="AF212" s="453">
        <f>'Revenue Segments'!AF102</f>
        <v/>
      </c>
      <c r="AG212" s="453">
        <f>'Revenue Segments'!AG102</f>
        <v/>
      </c>
      <c r="AH212" s="453">
        <f>'Revenue Segments'!AH102</f>
        <v/>
      </c>
      <c r="AI212" s="480">
        <f>'Revenue Segments'!AI102</f>
        <v/>
      </c>
    </row>
    <row r="213">
      <c r="B213" s="76" t="inlineStr">
        <is>
          <t>Geopolitical CVaR</t>
        </is>
      </c>
      <c r="W213" s="453">
        <f>'Revenue Segments'!W103</f>
        <v/>
      </c>
      <c r="X213" s="453">
        <f>'Revenue Segments'!X103</f>
        <v/>
      </c>
      <c r="Y213" s="453">
        <f>'Revenue Segments'!Y103</f>
        <v/>
      </c>
      <c r="Z213" s="453">
        <f>'Revenue Segments'!Z103</f>
        <v/>
      </c>
      <c r="AA213" s="453">
        <f>'Revenue Segments'!AA103</f>
        <v/>
      </c>
      <c r="AB213" s="453">
        <f>'Revenue Segments'!AB103</f>
        <v/>
      </c>
      <c r="AC213" s="453">
        <f>'Revenue Segments'!AC103</f>
        <v/>
      </c>
      <c r="AD213" s="453">
        <f>'Revenue Segments'!AD103</f>
        <v/>
      </c>
      <c r="AE213" s="453">
        <f>'Revenue Segments'!AE103</f>
        <v/>
      </c>
      <c r="AF213" s="453">
        <f>'Revenue Segments'!AF103</f>
        <v/>
      </c>
      <c r="AG213" s="453">
        <f>'Revenue Segments'!AG103</f>
        <v/>
      </c>
      <c r="AH213" s="453">
        <f>'Revenue Segments'!AH103</f>
        <v/>
      </c>
      <c r="AI213" s="480">
        <f>'Revenue Segments'!AI103</f>
        <v/>
      </c>
    </row>
    <row r="214">
      <c r="B214" s="76" t="inlineStr">
        <is>
          <t>Combined CVaR (Markowitz)</t>
        </is>
      </c>
      <c r="W214" s="453">
        <f>'Revenue Segments'!W105</f>
        <v/>
      </c>
      <c r="X214" s="453">
        <f>'Revenue Segments'!X105</f>
        <v/>
      </c>
      <c r="Y214" s="453">
        <f>'Revenue Segments'!Y105</f>
        <v/>
      </c>
      <c r="Z214" s="453">
        <f>'Revenue Segments'!Z105</f>
        <v/>
      </c>
      <c r="AA214" s="453">
        <f>'Revenue Segments'!AA105</f>
        <v/>
      </c>
      <c r="AB214" s="453">
        <f>'Revenue Segments'!AB105</f>
        <v/>
      </c>
      <c r="AC214" s="453">
        <f>'Revenue Segments'!AC105</f>
        <v/>
      </c>
      <c r="AD214" s="453">
        <f>'Revenue Segments'!AD105</f>
        <v/>
      </c>
      <c r="AE214" s="453">
        <f>'Revenue Segments'!AE105</f>
        <v/>
      </c>
      <c r="AF214" s="453">
        <f>'Revenue Segments'!AF105</f>
        <v/>
      </c>
      <c r="AG214" s="453">
        <f>'Revenue Segments'!AG105</f>
        <v/>
      </c>
      <c r="AH214" s="453">
        <f>'Revenue Segments'!AH105</f>
        <v/>
      </c>
      <c r="AI214" s="480">
        <f>'Revenue Segments'!AI105</f>
        <v/>
      </c>
    </row>
    <row r="215">
      <c r="B215" s="76" t="inlineStr">
        <is>
          <t>Undiversified Sum</t>
        </is>
      </c>
      <c r="W215" s="453">
        <f>W212+W213</f>
        <v/>
      </c>
      <c r="X215" s="453">
        <f>X212+X213</f>
        <v/>
      </c>
      <c r="Y215" s="453">
        <f>Y212+Y213</f>
        <v/>
      </c>
      <c r="Z215" s="453">
        <f>Z212+Z213</f>
        <v/>
      </c>
      <c r="AA215" s="453">
        <f>AA212+AA213</f>
        <v/>
      </c>
      <c r="AB215" s="453">
        <f>AB212+AB213</f>
        <v/>
      </c>
      <c r="AC215" s="453">
        <f>AC212+AC213</f>
        <v/>
      </c>
      <c r="AD215" s="453">
        <f>AD212+AD213</f>
        <v/>
      </c>
      <c r="AE215" s="453">
        <f>AE212+AE213</f>
        <v/>
      </c>
      <c r="AF215" s="453">
        <f>AF212+AF213</f>
        <v/>
      </c>
      <c r="AG215" s="453">
        <f>AG212+AG213</f>
        <v/>
      </c>
      <c r="AH215" s="453">
        <f>AH212+AH213</f>
        <v/>
      </c>
      <c r="AI215" s="480">
        <f>AI212+AI213</f>
        <v/>
      </c>
    </row>
    <row r="216">
      <c r="B216" s="123" t="inlineStr">
        <is>
          <t>Combined Sigma</t>
        </is>
      </c>
      <c r="C216" s="144" t="n"/>
      <c r="D216" s="144" t="n"/>
      <c r="E216" s="144" t="n"/>
      <c r="F216" s="144" t="n"/>
      <c r="G216" s="144" t="n"/>
      <c r="H216" s="144" t="n"/>
      <c r="I216" s="144" t="n"/>
      <c r="J216" s="144" t="n"/>
      <c r="K216" s="144" t="n"/>
      <c r="L216" s="144" t="n"/>
      <c r="M216" s="144" t="n"/>
      <c r="N216" s="144" t="n"/>
      <c r="O216" s="144" t="n"/>
      <c r="P216" s="144" t="n"/>
      <c r="Q216" s="144" t="n"/>
      <c r="R216" s="144" t="n"/>
      <c r="S216" s="144" t="n"/>
      <c r="T216" s="144" t="n"/>
      <c r="U216" s="144" t="n"/>
      <c r="V216" s="144" t="n"/>
      <c r="W216" s="144" t="n"/>
      <c r="X216" s="144" t="n"/>
      <c r="Y216" s="144" t="n"/>
      <c r="Z216" s="144" t="n"/>
      <c r="AA216" s="144" t="n"/>
      <c r="AB216" s="144" t="n"/>
      <c r="AC216" s="144" t="n"/>
      <c r="AD216" s="144" t="n"/>
      <c r="AE216" s="144" t="n"/>
      <c r="AF216" s="144" t="n"/>
      <c r="AG216" s="144" t="n"/>
      <c r="AH216" s="144" t="n"/>
      <c r="AI216" s="126" t="n"/>
    </row>
    <row r="218">
      <c r="B218" s="117" t="n"/>
      <c r="C218" s="239" t="n"/>
      <c r="D218" s="239" t="n"/>
      <c r="E218" s="240" t="inlineStr">
        <is>
          <t>FY26 EPS</t>
        </is>
      </c>
      <c r="F218" s="240" t="n"/>
      <c r="G218" s="240" t="n"/>
      <c r="H218" s="240" t="inlineStr">
        <is>
          <t>FY25 EPS</t>
        </is>
      </c>
      <c r="I218" s="240" t="n"/>
      <c r="J218" s="240" t="n"/>
      <c r="K218" s="240" t="inlineStr">
        <is>
          <t>EPS Growth</t>
        </is>
      </c>
      <c r="L218" s="240" t="n"/>
      <c r="M218" s="240" t="n"/>
      <c r="N218" s="240" t="inlineStr">
        <is>
          <t>P/E Ratio</t>
        </is>
      </c>
      <c r="O218" s="240" t="n"/>
      <c r="P218" s="240" t="n"/>
      <c r="Q218" s="240" t="inlineStr">
        <is>
          <t>EV/EBITDA</t>
        </is>
      </c>
      <c r="R218" s="240" t="n"/>
      <c r="S218" s="240" t="n"/>
      <c r="T218" s="241" t="inlineStr">
        <is>
          <t>EBITDA %</t>
        </is>
      </c>
      <c r="Z218" s="16" t="n"/>
    </row>
    <row r="219">
      <c r="B219" s="76" t="n"/>
      <c r="K219" s="12" t="n">
        <v>0</v>
      </c>
      <c r="N219" s="12" t="n">
        <v>0</v>
      </c>
      <c r="T219" s="170" t="n"/>
    </row>
    <row r="220">
      <c r="B220" s="76" t="inlineStr">
        <is>
          <t>ISGEC Heavy Engineering</t>
        </is>
      </c>
      <c r="E220" s="453">
        <f>'Peer Comps'!J8</f>
        <v/>
      </c>
      <c r="H220" s="12" t="n">
        <v>33.89</v>
      </c>
      <c r="K220" s="454">
        <f>(E220-H220)/H220</f>
        <v/>
      </c>
      <c r="N220" s="21">
        <f>'Peer Comps'!W8</f>
        <v/>
      </c>
      <c r="Q220" s="453">
        <f>'Peer Data'!O9</f>
        <v/>
      </c>
      <c r="T220" s="483">
        <f>'Peer Data'!D28/'Peer Data'!D20</f>
        <v/>
      </c>
    </row>
    <row r="221">
      <c r="B221" s="76" t="inlineStr">
        <is>
          <t>Praj Industries</t>
        </is>
      </c>
      <c r="E221" s="453">
        <f>'Peer Comps'!J9</f>
        <v/>
      </c>
      <c r="H221" s="12" t="n">
        <v>11.91</v>
      </c>
      <c r="K221" s="454">
        <f>(E221-H221)/H221</f>
        <v/>
      </c>
      <c r="N221" s="21">
        <f>'Peer Comps'!W9</f>
        <v/>
      </c>
      <c r="Q221" s="453">
        <f>'Peer Data'!O10</f>
        <v/>
      </c>
      <c r="T221" s="483">
        <f>'Peer Data'!E28/'Peer Data'!E20</f>
        <v/>
      </c>
      <c r="W221" s="453" t="n"/>
    </row>
    <row r="222">
      <c r="B222" s="76" t="inlineStr">
        <is>
          <t>GMM Pfaudler</t>
        </is>
      </c>
      <c r="E222" s="453">
        <f>'Peer Comps'!J10</f>
        <v/>
      </c>
      <c r="H222" s="12" t="n">
        <v>11.78</v>
      </c>
      <c r="K222" s="454">
        <f>(E222-H222)/H222</f>
        <v/>
      </c>
      <c r="N222" s="21">
        <f>'Peer Comps'!W10</f>
        <v/>
      </c>
      <c r="Q222" s="453">
        <f>'Peer Data'!O11</f>
        <v/>
      </c>
      <c r="T222" s="483">
        <f>'Peer Data'!F28/'Peer Data'!F20</f>
        <v/>
      </c>
    </row>
    <row r="223">
      <c r="B223" s="76" t="inlineStr">
        <is>
          <t>Thermax</t>
        </is>
      </c>
      <c r="E223" s="27" t="n">
        <v>60.47</v>
      </c>
      <c r="H223" s="12" t="n">
        <v>53.25</v>
      </c>
      <c r="K223" s="454">
        <f>(E223-H223)/H223</f>
        <v/>
      </c>
      <c r="N223" s="21">
        <f>'Peer Data'!D12/'Peer Data'!G52</f>
        <v/>
      </c>
      <c r="Q223" s="453">
        <f>'Peer Data'!O12</f>
        <v/>
      </c>
      <c r="T223" s="483">
        <f>'Peer Data'!G28/'Peer Data'!G20</f>
        <v/>
      </c>
    </row>
    <row r="224">
      <c r="B224" s="76" t="inlineStr">
        <is>
          <t>Patels Airtemp India</t>
        </is>
      </c>
      <c r="E224" s="27">
        <f>'Peer Data'!H52</f>
        <v/>
      </c>
      <c r="H224" s="12" t="n">
        <v>30.18</v>
      </c>
      <c r="K224" s="454">
        <f>(E224-H224)/H224</f>
        <v/>
      </c>
      <c r="N224" s="21">
        <f>'Peer Data'!D13/'Peer Data'!H52</f>
        <v/>
      </c>
      <c r="Q224" s="453">
        <f>'Peer Data'!O13</f>
        <v/>
      </c>
      <c r="T224" s="483">
        <f>'Peer Data'!H28/'Peer Data'!H20</f>
        <v/>
      </c>
    </row>
    <row r="225">
      <c r="B225" s="123" t="inlineStr">
        <is>
          <t>Anup Engineering Ltd</t>
        </is>
      </c>
      <c r="C225" s="144" t="n"/>
      <c r="D225" s="144" t="n"/>
      <c r="E225" s="484">
        <f>'Peer Comps'!J11</f>
        <v/>
      </c>
      <c r="F225" s="144" t="n"/>
      <c r="G225" s="144" t="n"/>
      <c r="H225" s="144" t="n">
        <v>59.07</v>
      </c>
      <c r="I225" s="144" t="n"/>
      <c r="J225" s="144" t="n"/>
      <c r="K225" s="485">
        <f>(E225-H225)/H225</f>
        <v/>
      </c>
      <c r="L225" s="144" t="n"/>
      <c r="M225" s="144" t="n"/>
      <c r="N225" s="245">
        <f>'Peer Comps'!W11</f>
        <v/>
      </c>
      <c r="O225" s="144" t="n"/>
      <c r="P225" s="144" t="n"/>
      <c r="Q225" s="484">
        <f>'Peer Data'!O14</f>
        <v/>
      </c>
      <c r="R225" s="144" t="n"/>
      <c r="S225" s="144" t="n"/>
      <c r="T225" s="486">
        <f>'Peer Data'!C28/'Peer Data'!C20</f>
        <v/>
      </c>
    </row>
    <row r="227">
      <c r="B227" s="111" t="inlineStr">
        <is>
          <t>Football Field Chart</t>
        </is>
      </c>
      <c r="C227" s="239" t="n"/>
      <c r="D227" s="239" t="n"/>
      <c r="E227" s="240" t="inlineStr">
        <is>
          <t>Max</t>
        </is>
      </c>
      <c r="F227" s="240" t="n"/>
      <c r="G227" s="240" t="n"/>
      <c r="H227" s="240" t="inlineStr">
        <is>
          <t>Min</t>
        </is>
      </c>
      <c r="I227" s="240" t="n"/>
      <c r="J227" s="240" t="n"/>
      <c r="K227" s="241" t="inlineStr">
        <is>
          <t>Range</t>
        </is>
      </c>
      <c r="Q227" s="111" t="inlineStr">
        <is>
          <t>Scenario</t>
        </is>
      </c>
      <c r="T227" s="241" t="inlineStr">
        <is>
          <t>DCF per share</t>
        </is>
      </c>
    </row>
    <row r="228">
      <c r="B228" s="76" t="inlineStr">
        <is>
          <t>DCF</t>
        </is>
      </c>
      <c r="E228" s="21">
        <f>MAX('DCF Model'!I54:I58)</f>
        <v/>
      </c>
      <c r="H228" s="21">
        <f>MIN('DCF Model'!I54:I58)</f>
        <v/>
      </c>
      <c r="K228" s="131">
        <f>E228-H228</f>
        <v/>
      </c>
      <c r="Q228" s="76" t="inlineStr">
        <is>
          <t>Conservative</t>
        </is>
      </c>
      <c r="T228" s="131">
        <f>'DCF Model'!I55</f>
        <v/>
      </c>
    </row>
    <row r="229">
      <c r="B229" s="76" t="inlineStr">
        <is>
          <t>EV/EBITDA Implied</t>
        </is>
      </c>
      <c r="E229" s="21">
        <f>$E$225*Q221</f>
        <v/>
      </c>
      <c r="H229" s="21">
        <f>$E$225*Q222</f>
        <v/>
      </c>
      <c r="K229" s="131">
        <f>E229-H229</f>
        <v/>
      </c>
      <c r="Q229" s="76" t="inlineStr">
        <is>
          <t>Base Case</t>
        </is>
      </c>
      <c r="T229" s="131">
        <f>'DCF Model'!I56</f>
        <v/>
      </c>
    </row>
    <row r="230">
      <c r="B230" s="76" t="inlineStr">
        <is>
          <t>EV/EBITDA Peer Implied</t>
        </is>
      </c>
      <c r="E230" s="21">
        <f>((MAX('Peer Comps'!X8:X10)*'Peer Comps'!F11)-'Peer Comps'!K11+'Peer Comps'!L11)/'Peer Comps'!T11</f>
        <v/>
      </c>
      <c r="F230" s="21" t="n"/>
      <c r="G230" s="21" t="n"/>
      <c r="H230" s="21">
        <f>((MIN('Peer Comps'!X8:X10)*'Peer Comps'!F11)-'Peer Comps'!K11+'Peer Comps'!L11)/'Peer Comps'!T11</f>
        <v/>
      </c>
      <c r="K230" s="131">
        <f>E230-H230</f>
        <v/>
      </c>
      <c r="Q230" s="123" t="inlineStr">
        <is>
          <t>Aggressive</t>
        </is>
      </c>
      <c r="T230" s="247">
        <f>'DCF Model'!I57</f>
        <v/>
      </c>
    </row>
    <row r="231">
      <c r="B231" s="123" t="inlineStr">
        <is>
          <t>P/E Implied</t>
        </is>
      </c>
      <c r="C231" s="144" t="n"/>
      <c r="D231" s="144" t="n"/>
      <c r="E231" s="484">
        <f>E225*N222</f>
        <v/>
      </c>
      <c r="F231" s="144" t="n"/>
      <c r="G231" s="144" t="n"/>
      <c r="H231" s="484">
        <f>E225*N224</f>
        <v/>
      </c>
      <c r="I231" s="144" t="n"/>
      <c r="J231" s="144" t="n"/>
      <c r="K231" s="247">
        <f>E231-H231</f>
        <v/>
      </c>
    </row>
    <row r="233" ht="27.6" customHeight="1" s="343">
      <c r="B233" s="111" t="inlineStr">
        <is>
          <t>Combined CVaR Chart</t>
        </is>
      </c>
      <c r="C233" s="239" t="n"/>
      <c r="D233" s="239" t="n"/>
      <c r="E233" s="248" t="inlineStr">
        <is>
          <t>Potential Loss (Cr)</t>
        </is>
      </c>
      <c r="F233" s="248" t="n"/>
      <c r="G233" s="248" t="n"/>
      <c r="H233" s="248" t="inlineStr">
        <is>
          <t>Probability Density</t>
        </is>
      </c>
      <c r="I233" s="239" t="n"/>
      <c r="J233" s="239" t="n"/>
      <c r="K233" s="249" t="n"/>
      <c r="Q233" s="111" t="inlineStr">
        <is>
          <t>Chart: Refineries capacity in India</t>
        </is>
      </c>
      <c r="R233" s="239" t="n"/>
      <c r="S233" s="239" t="n"/>
      <c r="T233" s="239" t="n"/>
      <c r="U233" s="239" t="n"/>
      <c r="V233" s="239" t="n"/>
      <c r="W233" s="249" t="n"/>
    </row>
    <row r="234">
      <c r="B234" s="76" t="n"/>
      <c r="E234" s="12" t="n">
        <v>-210</v>
      </c>
      <c r="H234" s="487">
        <f>_xlfn.NORM.DIST(E234,0,70.38,0)</f>
        <v/>
      </c>
      <c r="K234" s="480" t="n"/>
      <c r="Q234" s="76" t="inlineStr">
        <is>
          <t>Year</t>
        </is>
      </c>
      <c r="T234" s="12" t="inlineStr">
        <is>
          <t>Actuals</t>
        </is>
      </c>
      <c r="W234" s="170" t="inlineStr">
        <is>
          <t>Projected</t>
        </is>
      </c>
    </row>
    <row r="235">
      <c r="B235" s="76" t="n"/>
      <c r="E235" s="12" t="n">
        <v>-180</v>
      </c>
      <c r="H235" s="487">
        <f>_xlfn.NORM.DIST(E235,0,70.38,0)</f>
        <v/>
      </c>
      <c r="K235" s="480" t="n"/>
      <c r="Q235" s="76" t="inlineStr">
        <is>
          <t>FY20</t>
        </is>
      </c>
      <c r="T235" s="21" t="n">
        <v>249.866</v>
      </c>
      <c r="U235" s="21" t="n"/>
      <c r="V235" s="21" t="n"/>
      <c r="W235" s="131" t="n"/>
    </row>
    <row r="236">
      <c r="B236" s="76" t="n"/>
      <c r="E236" s="12" t="n">
        <v>-150</v>
      </c>
      <c r="H236" s="487">
        <f>_xlfn.NORM.DIST(E236,0,70.38,0)</f>
        <v/>
      </c>
      <c r="K236" s="170" t="n"/>
      <c r="Q236" s="76" t="inlineStr">
        <is>
          <t>FY21</t>
        </is>
      </c>
      <c r="T236" s="21" t="n">
        <v>248.866</v>
      </c>
      <c r="U236" s="21" t="n"/>
      <c r="V236" s="21" t="n"/>
      <c r="W236" s="131" t="n"/>
    </row>
    <row r="237">
      <c r="B237" s="76" t="n"/>
      <c r="E237" s="12" t="n">
        <v>-120</v>
      </c>
      <c r="H237" s="487">
        <f>_xlfn.NORM.DIST(E237,0,70.38,0)</f>
        <v/>
      </c>
      <c r="K237" s="170" t="n"/>
      <c r="Q237" s="76" t="inlineStr">
        <is>
          <t>FY22</t>
        </is>
      </c>
      <c r="T237" s="21" t="n">
        <v>251.216</v>
      </c>
      <c r="U237" s="21" t="n"/>
      <c r="V237" s="21" t="n"/>
      <c r="W237" s="131" t="n"/>
    </row>
    <row r="238">
      <c r="B238" s="76" t="n"/>
      <c r="E238" s="12" t="n">
        <v>-90</v>
      </c>
      <c r="H238" s="487">
        <f>_xlfn.NORM.DIST(E238,0,70.38,0)</f>
        <v/>
      </c>
      <c r="K238" s="170" t="n"/>
      <c r="Q238" s="76" t="inlineStr">
        <is>
          <t>FY23</t>
        </is>
      </c>
      <c r="T238" s="21" t="n">
        <v>253.916</v>
      </c>
      <c r="U238" s="21" t="n"/>
      <c r="V238" s="21" t="n"/>
      <c r="W238" s="131" t="n"/>
    </row>
    <row r="239">
      <c r="B239" s="76" t="n"/>
      <c r="E239" s="12" t="n">
        <v>-60</v>
      </c>
      <c r="H239" s="487">
        <f>_xlfn.NORM.DIST(E239,0,70.38,0)</f>
        <v/>
      </c>
      <c r="K239" s="170" t="n"/>
      <c r="Q239" s="76" t="inlineStr">
        <is>
          <t>FY24</t>
        </is>
      </c>
      <c r="T239" s="21" t="n">
        <v>256.8</v>
      </c>
      <c r="U239" s="21" t="n"/>
      <c r="V239" s="21" t="n"/>
      <c r="W239" s="131" t="n"/>
    </row>
    <row r="240">
      <c r="B240" s="76" t="n"/>
      <c r="E240" s="12" t="n">
        <v>-30</v>
      </c>
      <c r="H240" s="487">
        <f>_xlfn.NORM.DIST(E240,0,70.38,0)</f>
        <v/>
      </c>
      <c r="K240" s="170" t="n"/>
      <c r="Q240" s="76" t="inlineStr">
        <is>
          <t>FY25</t>
        </is>
      </c>
      <c r="T240" s="21" t="n">
        <v>258.116</v>
      </c>
      <c r="U240" s="21" t="n"/>
      <c r="V240" s="21" t="n"/>
      <c r="W240" s="131">
        <f>T240</f>
        <v/>
      </c>
    </row>
    <row r="241">
      <c r="B241" s="76" t="n"/>
      <c r="E241" s="12" t="n">
        <v>0</v>
      </c>
      <c r="H241" s="487">
        <f>_xlfn.NORM.DIST(E241,0,70.38,0)</f>
        <v/>
      </c>
      <c r="K241" s="170" t="n"/>
      <c r="Q241" s="76" t="inlineStr">
        <is>
          <t>FY30</t>
        </is>
      </c>
      <c r="T241" s="21" t="n"/>
      <c r="U241" s="21" t="n"/>
      <c r="V241" s="21" t="n"/>
      <c r="W241" s="131" t="n">
        <v>309.5</v>
      </c>
    </row>
    <row r="242">
      <c r="B242" s="76" t="n"/>
      <c r="E242" s="12" t="n">
        <v>30</v>
      </c>
      <c r="H242" s="487">
        <f>_xlfn.NORM.DIST(E242,0,70.38,0)</f>
        <v/>
      </c>
      <c r="K242" s="170" t="n"/>
      <c r="Q242" s="123" t="inlineStr">
        <is>
          <t>FY47 (Viksit Bharat)</t>
        </is>
      </c>
      <c r="R242" s="144" t="n"/>
      <c r="S242" s="144" t="n"/>
      <c r="T242" s="245" t="n"/>
      <c r="U242" s="245" t="n"/>
      <c r="V242" s="245" t="n"/>
      <c r="W242" s="247" t="n">
        <v>450</v>
      </c>
    </row>
    <row r="243">
      <c r="B243" s="76" t="n"/>
      <c r="E243" s="12" t="n">
        <v>60</v>
      </c>
      <c r="H243" s="487">
        <f>_xlfn.NORM.DIST(E243,0,70.38,0)</f>
        <v/>
      </c>
      <c r="K243" s="170" t="n"/>
      <c r="Q243" s="141" t="inlineStr">
        <is>
          <t>Source: Ministry of Petroleum &amp; Natural Gas</t>
        </is>
      </c>
    </row>
    <row r="244">
      <c r="B244" s="76" t="n"/>
      <c r="E244" s="12" t="n">
        <v>90</v>
      </c>
      <c r="H244" s="487">
        <f>_xlfn.NORM.DIST(E244,0,70.38,0)</f>
        <v/>
      </c>
      <c r="K244" s="170" t="n"/>
    </row>
    <row r="245">
      <c r="B245" s="76" t="n"/>
      <c r="E245" s="12" t="n">
        <v>120</v>
      </c>
      <c r="H245" s="487">
        <f>_xlfn.NORM.DIST(E245,0,70.38,0)</f>
        <v/>
      </c>
      <c r="K245" s="170" t="n"/>
    </row>
    <row r="246">
      <c r="B246" s="76" t="n"/>
      <c r="E246" s="12" t="n">
        <v>150</v>
      </c>
      <c r="H246" s="487">
        <f>_xlfn.NORM.DIST(E246,0,70.38,0)</f>
        <v/>
      </c>
      <c r="K246" s="170" t="n"/>
    </row>
    <row r="247">
      <c r="B247" s="76" t="n"/>
      <c r="E247" s="12" t="n">
        <v>180</v>
      </c>
      <c r="H247" s="487">
        <f>_xlfn.NORM.DIST(E247,0,70.38,0)</f>
        <v/>
      </c>
      <c r="K247" s="170" t="n"/>
    </row>
    <row r="248">
      <c r="B248" s="123" t="n"/>
      <c r="C248" s="144" t="n"/>
      <c r="D248" s="144" t="n"/>
      <c r="E248" s="144" t="n">
        <v>210</v>
      </c>
      <c r="F248" s="144" t="n"/>
      <c r="G248" s="144" t="n"/>
      <c r="H248" s="488">
        <f>_xlfn.NORM.DIST(E248,0,70.38,0)</f>
        <v/>
      </c>
      <c r="I248" s="144" t="n"/>
      <c r="J248" s="144" t="n"/>
      <c r="K248" s="126" t="n"/>
    </row>
    <row r="249">
      <c r="H249" s="487" t="n"/>
    </row>
    <row r="250">
      <c r="B250" s="111" t="inlineStr">
        <is>
          <t>Chart Helper: Equity value to Enterprise Value</t>
        </is>
      </c>
      <c r="C250" s="239" t="n"/>
      <c r="D250" s="239" t="n"/>
      <c r="E250" s="249" t="n"/>
      <c r="K250" s="111" t="inlineStr">
        <is>
          <t xml:space="preserve">Chart: Export Vs Domestic </t>
        </is>
      </c>
      <c r="L250" s="239" t="n"/>
      <c r="M250" s="239" t="n"/>
      <c r="N250" s="239" t="n"/>
      <c r="O250" s="239" t="n"/>
      <c r="P250" s="239" t="n"/>
      <c r="Q250" s="249" t="n"/>
    </row>
    <row r="251" ht="54" customHeight="1" s="343">
      <c r="B251" s="76" t="inlineStr">
        <is>
          <t>Equity Value</t>
        </is>
      </c>
      <c r="E251" s="130">
        <f>'Peer Data'!E14</f>
        <v/>
      </c>
      <c r="K251" s="76" t="inlineStr">
        <is>
          <t>Segment</t>
        </is>
      </c>
      <c r="N251" s="16" t="inlineStr">
        <is>
          <t>FY25 Opn OB</t>
        </is>
      </c>
      <c r="O251" s="16" t="n"/>
      <c r="P251" s="16" t="n"/>
      <c r="Q251" s="55" t="inlineStr">
        <is>
          <t>FY27 Opn OB</t>
        </is>
      </c>
    </row>
    <row r="252">
      <c r="B252" s="252" t="inlineStr">
        <is>
          <t>+Debt</t>
        </is>
      </c>
      <c r="E252" s="130">
        <f>'Peer Data'!G14</f>
        <v/>
      </c>
      <c r="K252" s="76" t="inlineStr">
        <is>
          <t>Export</t>
        </is>
      </c>
      <c r="N252" s="450" t="n">
        <v>0.74</v>
      </c>
      <c r="Q252" s="489" t="n">
        <v>0.399</v>
      </c>
    </row>
    <row r="253">
      <c r="B253" s="252" t="inlineStr">
        <is>
          <t>-Cash</t>
        </is>
      </c>
      <c r="E253" s="130">
        <f>-'Peer Data'!F14</f>
        <v/>
      </c>
      <c r="K253" s="123" t="inlineStr">
        <is>
          <t>Domestic</t>
        </is>
      </c>
      <c r="L253" s="144" t="n"/>
      <c r="M253" s="144" t="n"/>
      <c r="N253" s="490" t="n">
        <v>0.26</v>
      </c>
      <c r="O253" s="144" t="n"/>
      <c r="P253" s="144" t="n"/>
      <c r="Q253" s="491" t="n">
        <v>0.601</v>
      </c>
    </row>
    <row r="254">
      <c r="B254" s="123" t="inlineStr">
        <is>
          <t>Enterprise Value</t>
        </is>
      </c>
      <c r="C254" s="144" t="n"/>
      <c r="D254" s="144" t="n"/>
      <c r="E254" s="157">
        <f>SUM(E251:E253)</f>
        <v/>
      </c>
    </row>
    <row r="256">
      <c r="B256" s="111" t="inlineStr">
        <is>
          <t>Chart Helper: Revenue Bridge Chart</t>
        </is>
      </c>
      <c r="C256" s="239" t="n"/>
      <c r="D256" s="239" t="n"/>
      <c r="E256" s="249" t="n"/>
      <c r="K256" s="111" t="inlineStr">
        <is>
          <t>Series</t>
        </is>
      </c>
      <c r="N256" s="241" t="inlineStr">
        <is>
          <t>Values</t>
        </is>
      </c>
    </row>
    <row r="257">
      <c r="B257" s="76" t="inlineStr">
        <is>
          <t>Revenue
FY25</t>
        </is>
      </c>
      <c r="E257" s="480">
        <f>'Revenue Segments'!Q69</f>
        <v/>
      </c>
      <c r="K257" s="76" t="inlineStr">
        <is>
          <t>Estimate</t>
        </is>
      </c>
      <c r="N257" s="480">
        <f>'Estimate Sheet'!C8</f>
        <v/>
      </c>
    </row>
    <row r="258">
      <c r="B258" s="76" t="inlineStr">
        <is>
          <t>Heat 
Exchangers</t>
        </is>
      </c>
      <c r="E258" s="131">
        <f>T161-Q161</f>
        <v/>
      </c>
      <c r="K258" s="76" t="inlineStr">
        <is>
          <t>Consensus</t>
        </is>
      </c>
      <c r="N258" s="480">
        <f>'Estimate Sheet'!D8</f>
        <v/>
      </c>
    </row>
    <row r="259">
      <c r="B259" s="76" t="inlineStr">
        <is>
          <t>Vessels</t>
        </is>
      </c>
      <c r="E259" s="131">
        <f>T163-Q163</f>
        <v/>
      </c>
      <c r="K259" s="123" t="inlineStr">
        <is>
          <t>Actual</t>
        </is>
      </c>
      <c r="N259" s="492">
        <f>'Estimate Sheet'!F8</f>
        <v/>
      </c>
    </row>
    <row r="260">
      <c r="B260" s="76" t="inlineStr">
        <is>
          <t>Towers &amp;
 Reactors</t>
        </is>
      </c>
      <c r="E260" s="131">
        <f>T165-Q165</f>
        <v/>
      </c>
    </row>
    <row r="261">
      <c r="B261" s="76" t="inlineStr">
        <is>
          <t>Tank &amp;
 Silos</t>
        </is>
      </c>
      <c r="E261" s="131">
        <f>T167-Q167</f>
        <v/>
      </c>
    </row>
    <row r="262">
      <c r="B262" s="76" t="inlineStr">
        <is>
          <t>Centrifuge &amp;
 Others</t>
        </is>
      </c>
      <c r="E262" s="131">
        <f>T169-Q169</f>
        <v/>
      </c>
    </row>
    <row r="263">
      <c r="B263" s="123" t="inlineStr">
        <is>
          <t>Revenue
FY26</t>
        </is>
      </c>
      <c r="C263" s="144" t="n"/>
      <c r="D263" s="144" t="n"/>
      <c r="E263" s="492">
        <f>SUM(E257:E262)</f>
        <v/>
      </c>
    </row>
    <row r="265">
      <c r="B265" s="111" t="inlineStr">
        <is>
          <t>Anup stock price vs BSE Capital Goods Chart</t>
        </is>
      </c>
      <c r="C265" s="239" t="n"/>
      <c r="D265" s="239" t="n"/>
      <c r="E265" s="239" t="n"/>
      <c r="F265" s="239" t="n"/>
      <c r="G265" s="239" t="n"/>
      <c r="H265" s="239" t="n"/>
      <c r="I265" s="239" t="n"/>
      <c r="J265" s="239" t="n"/>
      <c r="K265" s="239" t="n"/>
      <c r="L265" s="239" t="n"/>
      <c r="M265" s="239" t="n"/>
      <c r="N265" s="249" t="n"/>
    </row>
    <row r="266" ht="69" customHeight="1" s="343">
      <c r="B266" s="76" t="inlineStr">
        <is>
          <t>Date</t>
        </is>
      </c>
      <c r="E266" s="16" t="inlineStr">
        <is>
          <t>Anup Clg Price</t>
        </is>
      </c>
      <c r="F266" s="16" t="n"/>
      <c r="G266" s="16" t="n"/>
      <c r="H266" s="16" t="inlineStr">
        <is>
          <t>Anup Indexed at 100</t>
        </is>
      </c>
      <c r="K266" s="16" t="inlineStr">
        <is>
          <t>BSE Capital Goods Clg Price</t>
        </is>
      </c>
      <c r="N266" s="55" t="inlineStr">
        <is>
          <t>BSE Capital Goods Indexed at 100</t>
        </is>
      </c>
      <c r="T266" s="117" t="inlineStr">
        <is>
          <t>Date</t>
        </is>
      </c>
      <c r="U266" s="239" t="n"/>
      <c r="V266" s="239" t="n"/>
      <c r="W266" s="277" t="inlineStr">
        <is>
          <t>Anup PE (Daily-5 Years)</t>
        </is>
      </c>
    </row>
    <row r="267">
      <c r="B267" s="278" t="n">
        <v>46176</v>
      </c>
      <c r="E267" s="12" t="n">
        <v>1939.5</v>
      </c>
      <c r="H267" s="21">
        <f>(E267/$E$762)*100</f>
        <v/>
      </c>
      <c r="K267" s="12" t="n">
        <v>78888.96000000001</v>
      </c>
      <c r="N267" s="131">
        <f>(K267/$K$762)*100</f>
        <v/>
      </c>
      <c r="T267" s="278" t="n">
        <v>46177</v>
      </c>
      <c r="W267" s="170" t="n">
        <v>34.6698</v>
      </c>
    </row>
    <row r="268">
      <c r="B268" s="278" t="n">
        <v>46175</v>
      </c>
      <c r="E268" s="12" t="n">
        <v>1870.3</v>
      </c>
      <c r="H268" s="21">
        <f>(E268/$E$762)*100</f>
        <v/>
      </c>
      <c r="K268" s="12" t="n">
        <v>79301.14999999999</v>
      </c>
      <c r="N268" s="131">
        <f>(K268/$K$762)*100</f>
        <v/>
      </c>
      <c r="T268" s="278" t="n">
        <v>46176</v>
      </c>
      <c r="W268" s="170" t="n">
        <v>35.0998</v>
      </c>
    </row>
    <row r="269">
      <c r="B269" s="278" t="n">
        <v>46174</v>
      </c>
      <c r="E269" s="12" t="n">
        <v>1840.1</v>
      </c>
      <c r="H269" s="21">
        <f>(E269/$E$762)*100</f>
        <v/>
      </c>
      <c r="K269" s="12" t="n">
        <v>78848.83</v>
      </c>
      <c r="N269" s="131">
        <f>(K269/$K$762)*100</f>
        <v/>
      </c>
      <c r="T269" s="278" t="n">
        <v>46175</v>
      </c>
      <c r="W269" s="170" t="n">
        <v>33.9314</v>
      </c>
    </row>
    <row r="270">
      <c r="B270" s="278" t="n">
        <v>46171</v>
      </c>
      <c r="E270" s="12" t="n">
        <v>1840.4</v>
      </c>
      <c r="H270" s="21">
        <f>(E270/$E$762)*100</f>
        <v/>
      </c>
      <c r="K270" s="12" t="n">
        <v>80818.74000000001</v>
      </c>
      <c r="N270" s="131">
        <f>(K270/$K$762)*100</f>
        <v/>
      </c>
      <c r="T270" s="278" t="n">
        <v>46174</v>
      </c>
      <c r="W270" s="170" t="n">
        <v>33.3835</v>
      </c>
    </row>
    <row r="271">
      <c r="B271" s="278" t="n">
        <v>46169</v>
      </c>
      <c r="E271" s="12" t="n">
        <v>1947</v>
      </c>
      <c r="H271" s="21">
        <f>(E271/$E$762)*100</f>
        <v/>
      </c>
      <c r="K271" s="12" t="n">
        <v>81647.91</v>
      </c>
      <c r="N271" s="131">
        <f>(K271/$K$762)*100</f>
        <v/>
      </c>
      <c r="T271" s="278" t="n">
        <v>46171</v>
      </c>
      <c r="W271" s="170" t="n">
        <v>33.389</v>
      </c>
    </row>
    <row r="272">
      <c r="B272" s="278" t="n">
        <v>46168</v>
      </c>
      <c r="E272" s="12" t="n">
        <v>1981.2</v>
      </c>
      <c r="H272" s="21">
        <f>(E272/$E$762)*100</f>
        <v/>
      </c>
      <c r="K272" s="12" t="n">
        <v>79107.53999999999</v>
      </c>
      <c r="N272" s="131">
        <f>(K272/$K$762)*100</f>
        <v/>
      </c>
      <c r="T272" s="278" t="n">
        <v>46170</v>
      </c>
      <c r="W272" s="170" t="n"/>
    </row>
    <row r="273">
      <c r="B273" s="278" t="n">
        <v>46167</v>
      </c>
      <c r="E273" s="12" t="n">
        <v>1977.7</v>
      </c>
      <c r="H273" s="21">
        <f>(E273/$E$762)*100</f>
        <v/>
      </c>
      <c r="K273" s="12" t="n">
        <v>78698.00999999999</v>
      </c>
      <c r="N273" s="131">
        <f>(K273/$K$762)*100</f>
        <v/>
      </c>
      <c r="T273" s="278" t="n">
        <v>46169</v>
      </c>
      <c r="W273" s="170" t="n">
        <v>35.3229</v>
      </c>
    </row>
    <row r="274">
      <c r="B274" s="278" t="n">
        <v>46164</v>
      </c>
      <c r="E274" s="12" t="n">
        <v>1977.6</v>
      </c>
      <c r="H274" s="21">
        <f>(E274/$E$762)*100</f>
        <v/>
      </c>
      <c r="K274" s="12" t="n">
        <v>78316.91</v>
      </c>
      <c r="N274" s="131">
        <f>(K274/$K$762)*100</f>
        <v/>
      </c>
      <c r="T274" s="278" t="n">
        <v>46168</v>
      </c>
      <c r="W274" s="170" t="n">
        <v>35.9434</v>
      </c>
    </row>
    <row r="275">
      <c r="B275" s="278" t="n">
        <v>46163</v>
      </c>
      <c r="E275" s="12" t="n">
        <v>1978.4</v>
      </c>
      <c r="H275" s="21">
        <f>(E275/$E$762)*100</f>
        <v/>
      </c>
      <c r="K275" s="12" t="n">
        <v>78274.89999999999</v>
      </c>
      <c r="N275" s="131">
        <f>(K275/$K$762)*100</f>
        <v/>
      </c>
      <c r="T275" s="278" t="n">
        <v>46167</v>
      </c>
      <c r="W275" s="170" t="n">
        <v>35.8799</v>
      </c>
    </row>
    <row r="276">
      <c r="B276" s="278" t="n">
        <v>46162</v>
      </c>
      <c r="E276" s="12" t="n">
        <v>1952</v>
      </c>
      <c r="H276" s="21">
        <f>(E276/$E$762)*100</f>
        <v/>
      </c>
      <c r="K276" s="12" t="n">
        <v>77278.48</v>
      </c>
      <c r="N276" s="131">
        <f>(K276/$K$762)*100</f>
        <v/>
      </c>
      <c r="T276" s="278" t="n">
        <v>46164</v>
      </c>
      <c r="W276" s="170" t="n">
        <v>35.8781</v>
      </c>
    </row>
    <row r="277">
      <c r="B277" s="278" t="n">
        <v>46161</v>
      </c>
      <c r="E277" s="12" t="n">
        <v>1955.5</v>
      </c>
      <c r="H277" s="21">
        <f>(E277/$E$762)*100</f>
        <v/>
      </c>
      <c r="K277" s="12" t="n">
        <v>76118.17</v>
      </c>
      <c r="N277" s="131">
        <f>(K277/$K$762)*100</f>
        <v/>
      </c>
      <c r="T277" s="278" t="n">
        <v>46163</v>
      </c>
      <c r="W277" s="170" t="n">
        <v>35.8926</v>
      </c>
    </row>
    <row r="278">
      <c r="B278" s="278" t="n">
        <v>46160</v>
      </c>
      <c r="E278" s="12" t="n">
        <v>1929.6</v>
      </c>
      <c r="H278" s="21">
        <f>(E278/$E$762)*100</f>
        <v/>
      </c>
      <c r="K278" s="12" t="n">
        <v>76219.00999999999</v>
      </c>
      <c r="N278" s="131">
        <f>(K278/$K$762)*100</f>
        <v/>
      </c>
      <c r="T278" s="278" t="n">
        <v>46162</v>
      </c>
      <c r="W278" s="170" t="n">
        <v>35.4136</v>
      </c>
    </row>
    <row r="279">
      <c r="B279" s="278" t="n">
        <v>46157</v>
      </c>
      <c r="E279" s="12" t="n">
        <v>1966.5</v>
      </c>
      <c r="H279" s="21">
        <f>(E279/$E$762)*100</f>
        <v/>
      </c>
      <c r="K279" s="12" t="n">
        <v>76826.42</v>
      </c>
      <c r="N279" s="131">
        <f>(K279/$K$762)*100</f>
        <v/>
      </c>
      <c r="T279" s="278" t="n">
        <v>46161</v>
      </c>
      <c r="W279" s="170" t="n">
        <v>35.4771</v>
      </c>
    </row>
    <row r="280">
      <c r="B280" s="278" t="n">
        <v>46156</v>
      </c>
      <c r="E280" s="12" t="n">
        <v>1961.4</v>
      </c>
      <c r="H280" s="21">
        <f>(E280/$E$762)*100</f>
        <v/>
      </c>
      <c r="K280" s="12" t="n">
        <v>77604.31</v>
      </c>
      <c r="N280" s="131">
        <f>(K280/$K$762)*100</f>
        <v/>
      </c>
      <c r="T280" s="278" t="n">
        <v>46160</v>
      </c>
      <c r="W280" s="170" t="n">
        <v>35.0073</v>
      </c>
    </row>
    <row r="281">
      <c r="B281" s="278" t="n">
        <v>46155</v>
      </c>
      <c r="E281" s="12" t="n">
        <v>1979.2</v>
      </c>
      <c r="H281" s="21">
        <f>(E281/$E$762)*100</f>
        <v/>
      </c>
      <c r="K281" s="12" t="n">
        <v>77073.96000000001</v>
      </c>
      <c r="N281" s="131">
        <f>(K281/$K$762)*100</f>
        <v/>
      </c>
      <c r="T281" s="278" t="n">
        <v>46157</v>
      </c>
      <c r="W281" s="170" t="n">
        <v>35.6767</v>
      </c>
    </row>
    <row r="282">
      <c r="B282" s="278" t="n">
        <v>46154</v>
      </c>
      <c r="E282" s="12" t="n">
        <v>1970.4</v>
      </c>
      <c r="H282" s="21">
        <f>(E282/$E$762)*100</f>
        <v/>
      </c>
      <c r="K282" s="12" t="n">
        <v>76216.88</v>
      </c>
      <c r="N282" s="131">
        <f>(K282/$K$762)*100</f>
        <v/>
      </c>
      <c r="T282" s="278" t="n">
        <v>46156</v>
      </c>
      <c r="W282" s="170" t="n">
        <v>35.5842</v>
      </c>
    </row>
    <row r="283">
      <c r="B283" s="278" t="n">
        <v>46153</v>
      </c>
      <c r="E283" s="12" t="n">
        <v>2067.6</v>
      </c>
      <c r="H283" s="21">
        <f>(E283/$E$762)*100</f>
        <v/>
      </c>
      <c r="K283" s="12" t="n">
        <v>78453.03</v>
      </c>
      <c r="N283" s="131">
        <f>(K283/$K$762)*100</f>
        <v/>
      </c>
      <c r="T283" s="278" t="n">
        <v>46155</v>
      </c>
      <c r="W283" s="170" t="n">
        <v>35.9071</v>
      </c>
    </row>
    <row r="284">
      <c r="B284" s="278" t="n">
        <v>46150</v>
      </c>
      <c r="E284" s="12" t="n">
        <v>2161.9</v>
      </c>
      <c r="H284" s="21">
        <f>(E284/$E$762)*100</f>
        <v/>
      </c>
      <c r="K284" s="12" t="n">
        <v>80125.2</v>
      </c>
      <c r="N284" s="131">
        <f>(K284/$K$762)*100</f>
        <v/>
      </c>
      <c r="T284" s="278" t="n">
        <v>46154</v>
      </c>
      <c r="W284" s="170" t="n">
        <v>35.7475</v>
      </c>
    </row>
    <row r="285">
      <c r="B285" s="278" t="n">
        <v>46149</v>
      </c>
      <c r="E285" s="12" t="n">
        <v>2184.8</v>
      </c>
      <c r="H285" s="21">
        <f>(E285/$E$762)*100</f>
        <v/>
      </c>
      <c r="K285" s="12" t="n">
        <v>80320.92</v>
      </c>
      <c r="N285" s="131">
        <f>(K285/$K$762)*100</f>
        <v/>
      </c>
      <c r="T285" s="278" t="n">
        <v>46153</v>
      </c>
      <c r="W285" s="170" t="n">
        <v>37.5109</v>
      </c>
    </row>
    <row r="286">
      <c r="B286" s="278" t="n">
        <v>46148</v>
      </c>
      <c r="E286" s="12" t="n">
        <v>2121.8</v>
      </c>
      <c r="H286" s="21">
        <f>(E286/$E$762)*100</f>
        <v/>
      </c>
      <c r="K286" s="12" t="n">
        <v>78706.03</v>
      </c>
      <c r="N286" s="131">
        <f>(K286/$K$762)*100</f>
        <v/>
      </c>
      <c r="T286" s="278" t="n">
        <v>46150</v>
      </c>
      <c r="W286" s="170" t="n">
        <v>39.2217</v>
      </c>
    </row>
    <row r="287">
      <c r="B287" s="278" t="n">
        <v>46147</v>
      </c>
      <c r="E287" s="12" t="n">
        <v>2072.2</v>
      </c>
      <c r="H287" s="21">
        <f>(E287/$E$762)*100</f>
        <v/>
      </c>
      <c r="K287" s="12" t="n">
        <v>78403.69</v>
      </c>
      <c r="N287" s="131">
        <f>(K287/$K$762)*100</f>
        <v/>
      </c>
      <c r="T287" s="278" t="n">
        <v>46149</v>
      </c>
      <c r="W287" s="170" t="n">
        <v>39.6372</v>
      </c>
    </row>
    <row r="288">
      <c r="B288" s="278" t="n">
        <v>46146</v>
      </c>
      <c r="E288" s="12" t="n">
        <v>2077.5</v>
      </c>
      <c r="H288" s="21">
        <f>(E288/$E$762)*100</f>
        <v/>
      </c>
      <c r="K288" s="12" t="n">
        <v>78066.17999999999</v>
      </c>
      <c r="N288" s="131">
        <f>(K288/$K$762)*100</f>
        <v/>
      </c>
      <c r="T288" s="278" t="n">
        <v>46148</v>
      </c>
      <c r="W288" s="170" t="n">
        <v>38.4942</v>
      </c>
    </row>
    <row r="289">
      <c r="B289" s="278" t="n">
        <v>46142</v>
      </c>
      <c r="E289" s="12" t="n">
        <v>2062.2</v>
      </c>
      <c r="H289" s="21">
        <f>(E289/$E$762)*100</f>
        <v/>
      </c>
      <c r="K289" s="12" t="n">
        <v>77210.23</v>
      </c>
      <c r="N289" s="131">
        <f>(K289/$K$762)*100</f>
        <v/>
      </c>
      <c r="T289" s="278" t="n">
        <v>46147</v>
      </c>
      <c r="W289" s="170" t="n">
        <v>37.5943</v>
      </c>
    </row>
    <row r="290">
      <c r="B290" s="278" t="n">
        <v>46141</v>
      </c>
      <c r="E290" s="12" t="n">
        <v>2093.1</v>
      </c>
      <c r="H290" s="21">
        <f>(E290/$E$762)*100</f>
        <v/>
      </c>
      <c r="K290" s="12" t="n">
        <v>77962.97</v>
      </c>
      <c r="N290" s="131">
        <f>(K290/$K$762)*100</f>
        <v/>
      </c>
      <c r="T290" s="278" t="n">
        <v>46146</v>
      </c>
      <c r="W290" s="170" t="n">
        <v>37.6905</v>
      </c>
    </row>
    <row r="291">
      <c r="B291" s="278" t="n">
        <v>46140</v>
      </c>
      <c r="E291" s="12" t="n">
        <v>2172.1</v>
      </c>
      <c r="H291" s="21">
        <f>(E291/$E$762)*100</f>
        <v/>
      </c>
      <c r="K291" s="12" t="n">
        <v>77941.87</v>
      </c>
      <c r="N291" s="131">
        <f>(K291/$K$762)*100</f>
        <v/>
      </c>
      <c r="T291" s="278" t="n">
        <v>46143</v>
      </c>
      <c r="W291" s="170" t="n"/>
    </row>
    <row r="292">
      <c r="B292" s="278" t="n">
        <v>46139</v>
      </c>
      <c r="E292" s="12" t="n">
        <v>2215.5</v>
      </c>
      <c r="H292" s="21">
        <f>(E292/$E$762)*100</f>
        <v/>
      </c>
      <c r="K292" s="12" t="n">
        <v>77608.08</v>
      </c>
      <c r="N292" s="131">
        <f>(K292/$K$762)*100</f>
        <v/>
      </c>
      <c r="T292" s="278" t="n">
        <v>46142</v>
      </c>
      <c r="W292" s="170" t="n">
        <v>37.4129</v>
      </c>
    </row>
    <row r="293">
      <c r="B293" s="278" t="n">
        <v>46136</v>
      </c>
      <c r="E293" s="12" t="n">
        <v>2108.8</v>
      </c>
      <c r="H293" s="21">
        <f>(E293/$E$762)*100</f>
        <v/>
      </c>
      <c r="K293" s="12" t="n">
        <v>77089.06</v>
      </c>
      <c r="N293" s="131">
        <f>(K293/$K$762)*100</f>
        <v/>
      </c>
      <c r="T293" s="278" t="n">
        <v>46141</v>
      </c>
      <c r="W293" s="170" t="n">
        <v>37.9735</v>
      </c>
    </row>
    <row r="294">
      <c r="B294" s="278" t="n">
        <v>46135</v>
      </c>
      <c r="E294" s="12" t="n">
        <v>2157.8</v>
      </c>
      <c r="H294" s="21">
        <f>(E294/$E$762)*100</f>
        <v/>
      </c>
      <c r="K294" s="12" t="n">
        <v>77648.33</v>
      </c>
      <c r="N294" s="131">
        <f>(K294/$K$762)*100</f>
        <v/>
      </c>
      <c r="T294" s="278" t="n">
        <v>46140</v>
      </c>
      <c r="W294" s="170" t="n">
        <v>39.4067</v>
      </c>
    </row>
    <row r="295">
      <c r="B295" s="278" t="n">
        <v>46134</v>
      </c>
      <c r="E295" s="12" t="n">
        <v>2052.6</v>
      </c>
      <c r="H295" s="21">
        <f>(E295/$E$762)*100</f>
        <v/>
      </c>
      <c r="K295" s="12" t="n">
        <v>77339.97</v>
      </c>
      <c r="N295" s="131">
        <f>(K295/$K$762)*100</f>
        <v/>
      </c>
      <c r="T295" s="278" t="n">
        <v>46139</v>
      </c>
      <c r="W295" s="170" t="n">
        <v>40.1941</v>
      </c>
    </row>
    <row r="296">
      <c r="B296" s="278" t="n">
        <v>46133</v>
      </c>
      <c r="E296" s="12" t="n">
        <v>2044.7</v>
      </c>
      <c r="H296" s="21">
        <f>(E296/$E$762)*100</f>
        <v/>
      </c>
      <c r="K296" s="12" t="n">
        <v>76489.96000000001</v>
      </c>
      <c r="N296" s="131">
        <f>(K296/$K$762)*100</f>
        <v/>
      </c>
      <c r="T296" s="278" t="n">
        <v>46136</v>
      </c>
      <c r="W296" s="170" t="n">
        <v>38.2583</v>
      </c>
    </row>
    <row r="297">
      <c r="B297" s="278" t="n">
        <v>46132</v>
      </c>
      <c r="E297" s="12" t="n">
        <v>2028.3</v>
      </c>
      <c r="H297" s="21">
        <f>(E297/$E$762)*100</f>
        <v/>
      </c>
      <c r="K297" s="12" t="n">
        <v>76533.10000000001</v>
      </c>
      <c r="N297" s="131">
        <f>(K297/$K$762)*100</f>
        <v/>
      </c>
      <c r="T297" s="278" t="n">
        <v>46135</v>
      </c>
      <c r="W297" s="170" t="n">
        <v>39.1473</v>
      </c>
    </row>
    <row r="298">
      <c r="B298" s="278" t="n">
        <v>46129</v>
      </c>
      <c r="E298" s="12" t="n">
        <v>2022.3</v>
      </c>
      <c r="H298" s="21">
        <f>(E298/$E$762)*100</f>
        <v/>
      </c>
      <c r="K298" s="12" t="n">
        <v>76112.21000000001</v>
      </c>
      <c r="N298" s="131">
        <f>(K298/$K$762)*100</f>
        <v/>
      </c>
      <c r="T298" s="278" t="n">
        <v>46134</v>
      </c>
      <c r="W298" s="170" t="n">
        <v>37.2388</v>
      </c>
    </row>
    <row r="299">
      <c r="B299" s="278" t="n">
        <v>46128</v>
      </c>
      <c r="E299" s="12" t="n">
        <v>2050</v>
      </c>
      <c r="H299" s="21">
        <f>(E299/$E$762)*100</f>
        <v/>
      </c>
      <c r="K299" s="12" t="n">
        <v>74479.85000000001</v>
      </c>
      <c r="N299" s="131">
        <f>(K299/$K$762)*100</f>
        <v/>
      </c>
      <c r="T299" s="278" t="n">
        <v>46133</v>
      </c>
      <c r="W299" s="170" t="n">
        <v>37.0954</v>
      </c>
    </row>
    <row r="300">
      <c r="B300" s="278" t="n">
        <v>46127</v>
      </c>
      <c r="E300" s="12" t="n">
        <v>2017.4</v>
      </c>
      <c r="H300" s="21">
        <f>(E300/$E$762)*100</f>
        <v/>
      </c>
      <c r="K300" s="12" t="n">
        <v>73726.28999999999</v>
      </c>
      <c r="N300" s="131">
        <f>(K300/$K$762)*100</f>
        <v/>
      </c>
      <c r="T300" s="278" t="n">
        <v>46132</v>
      </c>
      <c r="W300" s="170" t="n">
        <v>36.7979</v>
      </c>
    </row>
    <row r="301">
      <c r="B301" s="278" t="n">
        <v>46125</v>
      </c>
      <c r="E301" s="12" t="n">
        <v>1931.5</v>
      </c>
      <c r="H301" s="21">
        <f>(E301/$E$762)*100</f>
        <v/>
      </c>
      <c r="K301" s="12" t="n">
        <v>71902.8</v>
      </c>
      <c r="N301" s="131">
        <f>(K301/$K$762)*100</f>
        <v/>
      </c>
      <c r="T301" s="278" t="n">
        <v>46129</v>
      </c>
      <c r="W301" s="170" t="n">
        <v>36.689</v>
      </c>
    </row>
    <row r="302">
      <c r="B302" s="278" t="n">
        <v>46122</v>
      </c>
      <c r="E302" s="12" t="n">
        <v>1911.8</v>
      </c>
      <c r="H302" s="21">
        <f>(E302/$E$762)*100</f>
        <v/>
      </c>
      <c r="K302" s="12" t="n">
        <v>72180.77</v>
      </c>
      <c r="N302" s="131">
        <f>(K302/$K$762)*100</f>
        <v/>
      </c>
      <c r="T302" s="278" t="n">
        <v>46128</v>
      </c>
      <c r="W302" s="170" t="n">
        <v>37.1916</v>
      </c>
    </row>
    <row r="303">
      <c r="B303" s="278" t="n">
        <v>46121</v>
      </c>
      <c r="E303" s="12" t="n">
        <v>1863.3</v>
      </c>
      <c r="H303" s="21">
        <f>(E303/$E$762)*100</f>
        <v/>
      </c>
      <c r="K303" s="12" t="n">
        <v>70578.50999999999</v>
      </c>
      <c r="N303" s="131">
        <f>(K303/$K$762)*100</f>
        <v/>
      </c>
      <c r="T303" s="278" t="n">
        <v>46127</v>
      </c>
      <c r="W303" s="170" t="n">
        <v>36.6001</v>
      </c>
    </row>
    <row r="304">
      <c r="B304" s="278" t="n">
        <v>46120</v>
      </c>
      <c r="E304" s="12" t="n">
        <v>1830.5</v>
      </c>
      <c r="H304" s="21">
        <f>(E304/$E$762)*100</f>
        <v/>
      </c>
      <c r="K304" s="12" t="n">
        <v>69442.42</v>
      </c>
      <c r="N304" s="131">
        <f>(K304/$K$762)*100</f>
        <v/>
      </c>
      <c r="T304" s="278" t="n">
        <v>46126</v>
      </c>
      <c r="W304" s="170" t="n"/>
    </row>
    <row r="305">
      <c r="B305" s="278" t="n">
        <v>46119</v>
      </c>
      <c r="E305" s="12" t="n">
        <v>1737.7</v>
      </c>
      <c r="H305" s="21">
        <f>(E305/$E$762)*100</f>
        <v/>
      </c>
      <c r="K305" s="12" t="n">
        <v>67382.25999999999</v>
      </c>
      <c r="N305" s="131">
        <f>(K305/$K$762)*100</f>
        <v/>
      </c>
      <c r="T305" s="278" t="n">
        <v>46125</v>
      </c>
      <c r="W305" s="170" t="n">
        <v>35.0417</v>
      </c>
    </row>
    <row r="306">
      <c r="B306" s="278" t="n">
        <v>46118</v>
      </c>
      <c r="E306" s="12" t="n">
        <v>1717.6</v>
      </c>
      <c r="H306" s="21">
        <f>(E306/$E$762)*100</f>
        <v/>
      </c>
      <c r="K306" s="12" t="n">
        <v>66948.89999999999</v>
      </c>
      <c r="N306" s="131">
        <f>(K306/$K$762)*100</f>
        <v/>
      </c>
      <c r="T306" s="278" t="n">
        <v>46122</v>
      </c>
      <c r="W306" s="170" t="n">
        <v>34.6843</v>
      </c>
    </row>
    <row r="307">
      <c r="B307" s="278" t="n">
        <v>46114</v>
      </c>
      <c r="E307" s="12" t="n">
        <v>1748.8</v>
      </c>
      <c r="H307" s="21">
        <f>(E307/$E$762)*100</f>
        <v/>
      </c>
      <c r="K307" s="12" t="n">
        <v>66360.28</v>
      </c>
      <c r="N307" s="131">
        <f>(K307/$K$762)*100</f>
        <v/>
      </c>
      <c r="T307" s="278" t="n">
        <v>46121</v>
      </c>
      <c r="W307" s="170" t="n">
        <v>33.8044</v>
      </c>
    </row>
    <row r="308">
      <c r="B308" s="278" t="n">
        <v>46113</v>
      </c>
      <c r="E308" s="12" t="n">
        <v>1728.8</v>
      </c>
      <c r="H308" s="21">
        <f>(E308/$E$762)*100</f>
        <v/>
      </c>
      <c r="K308" s="12" t="n">
        <v>66360.14999999999</v>
      </c>
      <c r="N308" s="131">
        <f>(K308/$K$762)*100</f>
        <v/>
      </c>
      <c r="T308" s="278" t="n">
        <v>46120</v>
      </c>
      <c r="W308" s="170" t="n">
        <v>33.2094</v>
      </c>
    </row>
    <row r="309">
      <c r="B309" s="278" t="n">
        <v>46111</v>
      </c>
      <c r="E309" s="12" t="n">
        <v>1603.7</v>
      </c>
      <c r="H309" s="21">
        <f>(E309/$E$762)*100</f>
        <v/>
      </c>
      <c r="K309" s="12" t="n">
        <v>64243.38</v>
      </c>
      <c r="N309" s="131">
        <f>(K309/$K$762)*100</f>
        <v/>
      </c>
      <c r="T309" s="278" t="n">
        <v>46119</v>
      </c>
      <c r="W309" s="170" t="n">
        <v>31.5258</v>
      </c>
    </row>
    <row r="310">
      <c r="B310" s="278" t="n">
        <v>46108</v>
      </c>
      <c r="E310" s="12" t="n">
        <v>1672.8</v>
      </c>
      <c r="H310" s="21">
        <f>(E310/$E$762)*100</f>
        <v/>
      </c>
      <c r="K310" s="12" t="n">
        <v>65702.59</v>
      </c>
      <c r="N310" s="131">
        <f>(K310/$K$762)*100</f>
        <v/>
      </c>
      <c r="T310" s="278" t="n">
        <v>46118</v>
      </c>
      <c r="W310" s="170" t="n">
        <v>31.1611</v>
      </c>
    </row>
    <row r="311">
      <c r="B311" s="278" t="n">
        <v>46106</v>
      </c>
      <c r="E311" s="12" t="n">
        <v>1714.8</v>
      </c>
      <c r="H311" s="21">
        <f>(E311/$E$762)*100</f>
        <v/>
      </c>
      <c r="K311" s="12" t="n">
        <v>67232.94</v>
      </c>
      <c r="N311" s="131">
        <f>(K311/$K$762)*100</f>
        <v/>
      </c>
      <c r="T311" s="278" t="n">
        <v>46115</v>
      </c>
      <c r="W311" s="170" t="n"/>
    </row>
    <row r="312">
      <c r="B312" s="278" t="n">
        <v>46105</v>
      </c>
      <c r="E312" s="12" t="n">
        <v>1650.1</v>
      </c>
      <c r="H312" s="21">
        <f>(E312/$E$762)*100</f>
        <v/>
      </c>
      <c r="K312" s="12" t="n">
        <v>65886.72</v>
      </c>
      <c r="N312" s="131">
        <f>(K312/$K$762)*100</f>
        <v/>
      </c>
      <c r="T312" s="278" t="n">
        <v>46114</v>
      </c>
      <c r="W312" s="170" t="n">
        <v>31.7271</v>
      </c>
    </row>
    <row r="313">
      <c r="B313" s="278" t="n">
        <v>46104</v>
      </c>
      <c r="E313" s="12" t="n">
        <v>1507.7</v>
      </c>
      <c r="H313" s="21">
        <f>(E313/$E$762)*100</f>
        <v/>
      </c>
      <c r="K313" s="12" t="n">
        <v>64657.74</v>
      </c>
      <c r="N313" s="131">
        <f>(K313/$K$762)*100</f>
        <v/>
      </c>
      <c r="T313" s="278" t="n">
        <v>46113</v>
      </c>
      <c r="W313" s="170" t="n">
        <v>31.3643</v>
      </c>
    </row>
    <row r="314">
      <c r="B314" s="278" t="n">
        <v>46101</v>
      </c>
      <c r="E314" s="12" t="n">
        <v>1588.2</v>
      </c>
      <c r="H314" s="21">
        <f>(E314/$E$762)*100</f>
        <v/>
      </c>
      <c r="K314" s="12" t="n">
        <v>67344.39</v>
      </c>
      <c r="N314" s="131">
        <f>(K314/$K$762)*100</f>
        <v/>
      </c>
      <c r="T314" s="278" t="n">
        <v>46112</v>
      </c>
      <c r="W314" s="170" t="n"/>
    </row>
    <row r="315">
      <c r="B315" s="278" t="n">
        <v>46100</v>
      </c>
      <c r="E315" s="12" t="n">
        <v>1632.6</v>
      </c>
      <c r="H315" s="21">
        <f>(E315/$E$762)*100</f>
        <v/>
      </c>
      <c r="K315" s="12" t="n">
        <v>67220.46000000001</v>
      </c>
      <c r="N315" s="131">
        <f>(K315/$K$762)*100</f>
        <v/>
      </c>
      <c r="T315" s="278" t="n">
        <v>46111</v>
      </c>
      <c r="W315" s="170" t="n">
        <v>29.0947</v>
      </c>
    </row>
    <row r="316">
      <c r="B316" s="278" t="n">
        <v>46099</v>
      </c>
      <c r="E316" s="12" t="n">
        <v>1658.2</v>
      </c>
      <c r="H316" s="21">
        <f>(E316/$E$762)*100</f>
        <v/>
      </c>
      <c r="K316" s="12" t="n">
        <v>69213.42</v>
      </c>
      <c r="N316" s="131">
        <f>(K316/$K$762)*100</f>
        <v/>
      </c>
      <c r="T316" s="278" t="n">
        <v>46108</v>
      </c>
      <c r="W316" s="170" t="n">
        <v>28.2329</v>
      </c>
    </row>
    <row r="317">
      <c r="B317" s="278" t="n">
        <v>46098</v>
      </c>
      <c r="E317" s="12" t="n">
        <v>1544.8</v>
      </c>
      <c r="H317" s="21">
        <f>(E317/$E$762)*100</f>
        <v/>
      </c>
      <c r="K317" s="12" t="n">
        <v>67943.61</v>
      </c>
      <c r="N317" s="131">
        <f>(K317/$K$762)*100</f>
        <v/>
      </c>
      <c r="T317" s="278" t="n">
        <v>46107</v>
      </c>
      <c r="W317" s="170" t="n"/>
    </row>
    <row r="318">
      <c r="B318" s="278" t="n">
        <v>46097</v>
      </c>
      <c r="E318" s="12" t="n">
        <v>1504.8</v>
      </c>
      <c r="H318" s="21">
        <f>(E318/$E$762)*100</f>
        <v/>
      </c>
      <c r="K318" s="12" t="n">
        <v>67007.19</v>
      </c>
      <c r="N318" s="131">
        <f>(K318/$K$762)*100</f>
        <v/>
      </c>
      <c r="T318" s="278" t="n">
        <v>46106</v>
      </c>
      <c r="W318" s="170" t="n">
        <v>28.9418</v>
      </c>
    </row>
    <row r="319">
      <c r="B319" s="278" t="n">
        <v>46094</v>
      </c>
      <c r="E319" s="12" t="n">
        <v>1521.8</v>
      </c>
      <c r="H319" s="21">
        <f>(E319/$E$762)*100</f>
        <v/>
      </c>
      <c r="K319" s="12" t="n">
        <v>67620.2</v>
      </c>
      <c r="N319" s="131">
        <f>(K319/$K$762)*100</f>
        <v/>
      </c>
      <c r="T319" s="278" t="n">
        <v>46105</v>
      </c>
      <c r="W319" s="170" t="n">
        <v>27.8498</v>
      </c>
    </row>
    <row r="320">
      <c r="B320" s="278" t="n">
        <v>46093</v>
      </c>
      <c r="E320" s="12" t="n">
        <v>1556.6</v>
      </c>
      <c r="H320" s="21">
        <f>(E320/$E$762)*100</f>
        <v/>
      </c>
      <c r="K320" s="12" t="n">
        <v>69704.67</v>
      </c>
      <c r="N320" s="131">
        <f>(K320/$K$762)*100</f>
        <v/>
      </c>
      <c r="T320" s="278" t="n">
        <v>46104</v>
      </c>
      <c r="W320" s="170" t="n">
        <v>25.4464</v>
      </c>
    </row>
    <row r="321">
      <c r="B321" s="278" t="n">
        <v>46092</v>
      </c>
      <c r="E321" s="12" t="n">
        <v>1527.3</v>
      </c>
      <c r="H321" s="21">
        <f>(E321/$E$762)*100</f>
        <v/>
      </c>
      <c r="K321" s="12" t="n">
        <v>69323.22</v>
      </c>
      <c r="N321" s="131">
        <f>(K321/$K$762)*100</f>
        <v/>
      </c>
      <c r="T321" s="278" t="n">
        <v>46101</v>
      </c>
      <c r="W321" s="170" t="n">
        <v>26.8051</v>
      </c>
    </row>
    <row r="322">
      <c r="B322" s="278" t="n">
        <v>46091</v>
      </c>
      <c r="E322" s="12" t="n">
        <v>1498.4</v>
      </c>
      <c r="H322" s="21">
        <f>(E322/$E$762)*100</f>
        <v/>
      </c>
      <c r="K322" s="12" t="n">
        <v>70054.28999999999</v>
      </c>
      <c r="N322" s="131">
        <f>(K322/$K$762)*100</f>
        <v/>
      </c>
      <c r="T322" s="278" t="n">
        <v>46100</v>
      </c>
      <c r="W322" s="170" t="n">
        <v>27.5544</v>
      </c>
    </row>
    <row r="323">
      <c r="B323" s="278" t="n">
        <v>46090</v>
      </c>
      <c r="E323" s="12" t="n">
        <v>1449.6</v>
      </c>
      <c r="H323" s="21">
        <f>(E323/$E$762)*100</f>
        <v/>
      </c>
      <c r="K323" s="12" t="n">
        <v>69098.31</v>
      </c>
      <c r="N323" s="131">
        <f>(K323/$K$762)*100</f>
        <v/>
      </c>
      <c r="T323" s="278" t="n">
        <v>46099</v>
      </c>
      <c r="W323" s="170" t="n">
        <v>27.9865</v>
      </c>
    </row>
    <row r="324">
      <c r="B324" s="278" t="n">
        <v>46087</v>
      </c>
      <c r="E324" s="12" t="n">
        <v>1479.2</v>
      </c>
      <c r="H324" s="21">
        <f>(E324/$E$762)*100</f>
        <v/>
      </c>
      <c r="K324" s="12" t="n">
        <v>70618.46000000001</v>
      </c>
      <c r="N324" s="131">
        <f>(K324/$K$762)*100</f>
        <v/>
      </c>
      <c r="T324" s="278" t="n">
        <v>46098</v>
      </c>
      <c r="W324" s="170" t="n">
        <v>26.0726</v>
      </c>
    </row>
    <row r="325">
      <c r="B325" s="278" t="n">
        <v>46086</v>
      </c>
      <c r="E325" s="12" t="n">
        <v>1461.1</v>
      </c>
      <c r="H325" s="21">
        <f>(E325/$E$762)*100</f>
        <v/>
      </c>
      <c r="K325" s="12" t="n">
        <v>69709.56</v>
      </c>
      <c r="N325" s="131">
        <f>(K325/$K$762)*100</f>
        <v/>
      </c>
      <c r="T325" s="278" t="n">
        <v>46097</v>
      </c>
      <c r="W325" s="170" t="n">
        <v>25.3975</v>
      </c>
    </row>
    <row r="326">
      <c r="B326" s="278" t="n">
        <v>46085</v>
      </c>
      <c r="E326" s="12" t="n">
        <v>1490.2</v>
      </c>
      <c r="H326" s="21">
        <f>(E326/$E$762)*100</f>
        <v/>
      </c>
      <c r="K326" s="12" t="n">
        <v>68146.84</v>
      </c>
      <c r="N326" s="131">
        <f>(K326/$K$762)*100</f>
        <v/>
      </c>
      <c r="T326" s="278" t="n">
        <v>46094</v>
      </c>
      <c r="W326" s="170" t="n">
        <v>25.6844</v>
      </c>
    </row>
    <row r="327">
      <c r="B327" s="278" t="n">
        <v>46083</v>
      </c>
      <c r="E327" s="12" t="n">
        <v>1557.8</v>
      </c>
      <c r="H327" s="21">
        <f>(E327/$E$762)*100</f>
        <v/>
      </c>
      <c r="K327" s="12" t="n">
        <v>69993.72</v>
      </c>
      <c r="N327" s="131">
        <f>(K327/$K$762)*100</f>
        <v/>
      </c>
      <c r="T327" s="278" t="n">
        <v>46093</v>
      </c>
      <c r="W327" s="170" t="n">
        <v>26.2717</v>
      </c>
    </row>
    <row r="328">
      <c r="B328" s="278" t="n">
        <v>46080</v>
      </c>
      <c r="E328" s="12" t="n">
        <v>1571.2</v>
      </c>
      <c r="H328" s="21">
        <f>(E328/$E$762)*100</f>
        <v/>
      </c>
      <c r="K328" s="12" t="n">
        <v>70454.47</v>
      </c>
      <c r="N328" s="131">
        <f>(K328/$K$762)*100</f>
        <v/>
      </c>
      <c r="T328" s="278" t="n">
        <v>46092</v>
      </c>
      <c r="W328" s="170" t="n">
        <v>25.7772</v>
      </c>
    </row>
    <row r="329">
      <c r="B329" s="278" t="n">
        <v>46079</v>
      </c>
      <c r="E329" s="12" t="n">
        <v>1613.3</v>
      </c>
      <c r="H329" s="21">
        <f>(E329/$E$762)*100</f>
        <v/>
      </c>
      <c r="K329" s="12" t="n">
        <v>70804.27</v>
      </c>
      <c r="N329" s="131">
        <f>(K329/$K$762)*100</f>
        <v/>
      </c>
      <c r="T329" s="278" t="n">
        <v>46091</v>
      </c>
      <c r="W329" s="170" t="n">
        <v>25.2895</v>
      </c>
    </row>
    <row r="330">
      <c r="B330" s="278" t="n">
        <v>46078</v>
      </c>
      <c r="E330" s="12" t="n">
        <v>1586.2</v>
      </c>
      <c r="H330" s="21">
        <f>(E330/$E$762)*100</f>
        <v/>
      </c>
      <c r="K330" s="12" t="n">
        <v>70188.31</v>
      </c>
      <c r="N330" s="131">
        <f>(K330/$K$762)*100</f>
        <v/>
      </c>
      <c r="T330" s="278" t="n">
        <v>46090</v>
      </c>
      <c r="W330" s="170" t="n">
        <v>24.4658</v>
      </c>
    </row>
    <row r="331">
      <c r="B331" s="278" t="n">
        <v>46077</v>
      </c>
      <c r="E331" s="12" t="n">
        <v>1630.6</v>
      </c>
      <c r="H331" s="21">
        <f>(E331/$E$762)*100</f>
        <v/>
      </c>
      <c r="K331" s="12" t="n">
        <v>69999.42999999999</v>
      </c>
      <c r="N331" s="131">
        <f>(K331/$K$762)*100</f>
        <v/>
      </c>
      <c r="T331" s="278" t="n">
        <v>46087</v>
      </c>
      <c r="W331" s="170" t="n">
        <v>24.9654</v>
      </c>
    </row>
    <row r="332">
      <c r="B332" s="278" t="n">
        <v>46076</v>
      </c>
      <c r="E332" s="12" t="n">
        <v>1729.5</v>
      </c>
      <c r="H332" s="21">
        <f>(E332/$E$762)*100</f>
        <v/>
      </c>
      <c r="K332" s="12" t="n">
        <v>69774.05</v>
      </c>
      <c r="N332" s="131">
        <f>(K332/$K$762)*100</f>
        <v/>
      </c>
      <c r="T332" s="278" t="n">
        <v>46086</v>
      </c>
      <c r="W332" s="170" t="n">
        <v>24.6599</v>
      </c>
    </row>
    <row r="333">
      <c r="B333" s="278" t="n">
        <v>46073</v>
      </c>
      <c r="E333" s="12" t="n">
        <v>1700.5</v>
      </c>
      <c r="H333" s="21">
        <f>(E333/$E$762)*100</f>
        <v/>
      </c>
      <c r="K333" s="12" t="n">
        <v>69612.86</v>
      </c>
      <c r="N333" s="131">
        <f>(K333/$K$762)*100</f>
        <v/>
      </c>
      <c r="T333" s="278" t="n">
        <v>46085</v>
      </c>
      <c r="W333" s="170" t="n">
        <v>25.1511</v>
      </c>
    </row>
    <row r="334">
      <c r="B334" s="278" t="n">
        <v>46072</v>
      </c>
      <c r="E334" s="12" t="n">
        <v>1728.4</v>
      </c>
      <c r="H334" s="21">
        <f>(E334/$E$762)*100</f>
        <v/>
      </c>
      <c r="K334" s="12" t="n">
        <v>68578.35000000001</v>
      </c>
      <c r="N334" s="131">
        <f>(K334/$K$762)*100</f>
        <v/>
      </c>
      <c r="T334" s="278" t="n">
        <v>46084</v>
      </c>
      <c r="W334" s="170" t="n"/>
    </row>
    <row r="335">
      <c r="B335" s="278" t="n">
        <v>46071</v>
      </c>
      <c r="E335" s="12" t="n">
        <v>1798.3</v>
      </c>
      <c r="H335" s="21">
        <f>(E335/$E$762)*100</f>
        <v/>
      </c>
      <c r="K335" s="12" t="n">
        <v>70104.62</v>
      </c>
      <c r="N335" s="131">
        <f>(K335/$K$762)*100</f>
        <v/>
      </c>
      <c r="T335" s="278" t="n">
        <v>46083</v>
      </c>
      <c r="W335" s="170" t="n">
        <v>26.292</v>
      </c>
    </row>
    <row r="336">
      <c r="B336" s="278" t="n">
        <v>46070</v>
      </c>
      <c r="E336" s="12" t="n">
        <v>1796.4</v>
      </c>
      <c r="H336" s="21">
        <f>(E336/$E$762)*100</f>
        <v/>
      </c>
      <c r="K336" s="12" t="n">
        <v>69483.84</v>
      </c>
      <c r="N336" s="131">
        <f>(K336/$K$762)*100</f>
        <v/>
      </c>
      <c r="T336" s="278" t="n">
        <v>46080</v>
      </c>
      <c r="W336" s="170" t="n">
        <v>26.5181</v>
      </c>
    </row>
    <row r="337">
      <c r="B337" s="278" t="n">
        <v>46069</v>
      </c>
      <c r="E337" s="12" t="n">
        <v>1883.5</v>
      </c>
      <c r="H337" s="21">
        <f>(E337/$E$762)*100</f>
        <v/>
      </c>
      <c r="K337" s="12" t="n">
        <v>68957.07000000001</v>
      </c>
      <c r="N337" s="131">
        <f>(K337/$K$762)*100</f>
        <v/>
      </c>
      <c r="T337" s="278" t="n">
        <v>46079</v>
      </c>
      <c r="W337" s="170" t="n">
        <v>27.2287</v>
      </c>
    </row>
    <row r="338">
      <c r="B338" s="278" t="n">
        <v>46066</v>
      </c>
      <c r="E338" s="12" t="n">
        <v>1984.5</v>
      </c>
      <c r="H338" s="21">
        <f>(E338/$E$762)*100</f>
        <v/>
      </c>
      <c r="K338" s="12" t="n">
        <v>68243.17</v>
      </c>
      <c r="N338" s="131">
        <f>(K338/$K$762)*100</f>
        <v/>
      </c>
      <c r="T338" s="278" t="n">
        <v>46078</v>
      </c>
      <c r="W338" s="170" t="n">
        <v>26.7713</v>
      </c>
    </row>
    <row r="339">
      <c r="B339" s="278" t="n">
        <v>46065</v>
      </c>
      <c r="E339" s="12" t="n">
        <v>2046.4</v>
      </c>
      <c r="H339" s="21">
        <f>(E339/$E$762)*100</f>
        <v/>
      </c>
      <c r="K339" s="12" t="n">
        <v>69045.33</v>
      </c>
      <c r="N339" s="131">
        <f>(K339/$K$762)*100</f>
        <v/>
      </c>
      <c r="T339" s="278" t="n">
        <v>46077</v>
      </c>
      <c r="W339" s="170" t="n">
        <v>27.5207</v>
      </c>
    </row>
    <row r="340">
      <c r="B340" s="278" t="n">
        <v>46064</v>
      </c>
      <c r="E340" s="12" t="n">
        <v>2081.2</v>
      </c>
      <c r="H340" s="21">
        <f>(E340/$E$762)*100</f>
        <v/>
      </c>
      <c r="K340" s="12" t="n">
        <v>68997.95</v>
      </c>
      <c r="N340" s="131">
        <f>(K340/$K$762)*100</f>
        <v/>
      </c>
      <c r="T340" s="278" t="n">
        <v>46076</v>
      </c>
      <c r="W340" s="170" t="n">
        <v>29.1899</v>
      </c>
    </row>
    <row r="341">
      <c r="B341" s="278" t="n">
        <v>46063</v>
      </c>
      <c r="E341" s="12" t="n">
        <v>2115.5</v>
      </c>
      <c r="H341" s="21">
        <f>(E341/$E$762)*100</f>
        <v/>
      </c>
      <c r="K341" s="12" t="n">
        <v>68974.98</v>
      </c>
      <c r="N341" s="131">
        <f>(K341/$K$762)*100</f>
        <v/>
      </c>
      <c r="T341" s="278" t="n">
        <v>46073</v>
      </c>
      <c r="W341" s="170" t="n">
        <v>28.7004</v>
      </c>
    </row>
    <row r="342">
      <c r="B342" s="278" t="n">
        <v>46062</v>
      </c>
      <c r="E342" s="12" t="n">
        <v>2019.3</v>
      </c>
      <c r="H342" s="21">
        <f>(E342/$E$762)*100</f>
        <v/>
      </c>
      <c r="K342" s="12" t="n">
        <v>69035.42</v>
      </c>
      <c r="N342" s="131">
        <f>(K342/$K$762)*100</f>
        <v/>
      </c>
      <c r="T342" s="278" t="n">
        <v>46072</v>
      </c>
      <c r="W342" s="170" t="n">
        <v>29.1713</v>
      </c>
    </row>
    <row r="343">
      <c r="B343" s="278" t="n">
        <v>46059</v>
      </c>
      <c r="E343" s="12" t="n">
        <v>1933.7</v>
      </c>
      <c r="H343" s="21">
        <f>(E343/$E$762)*100</f>
        <v/>
      </c>
      <c r="K343" s="12" t="n">
        <v>67752.3</v>
      </c>
      <c r="N343" s="131">
        <f>(K343/$K$762)*100</f>
        <v/>
      </c>
      <c r="T343" s="278" t="n">
        <v>46071</v>
      </c>
      <c r="W343" s="170" t="n">
        <v>30.3511</v>
      </c>
    </row>
    <row r="344">
      <c r="B344" s="278" t="n">
        <v>46058</v>
      </c>
      <c r="E344" s="12" t="n">
        <v>1900.4</v>
      </c>
      <c r="H344" s="21">
        <f>(E344/$E$762)*100</f>
        <v/>
      </c>
      <c r="K344" s="12" t="n">
        <v>67479.00999999999</v>
      </c>
      <c r="N344" s="131">
        <f>(K344/$K$762)*100</f>
        <v/>
      </c>
      <c r="T344" s="278" t="n">
        <v>46070</v>
      </c>
      <c r="W344" s="170" t="n">
        <v>30.319</v>
      </c>
    </row>
    <row r="345">
      <c r="B345" s="278" t="n">
        <v>46057</v>
      </c>
      <c r="E345" s="12" t="n">
        <v>1938.2</v>
      </c>
      <c r="H345" s="21">
        <f>(E345/$E$762)*100</f>
        <v/>
      </c>
      <c r="K345" s="12" t="n">
        <v>68205.66</v>
      </c>
      <c r="N345" s="131">
        <f>(K345/$K$762)*100</f>
        <v/>
      </c>
      <c r="T345" s="278" t="n">
        <v>46069</v>
      </c>
      <c r="W345" s="170" t="n">
        <v>31.789</v>
      </c>
    </row>
    <row r="346">
      <c r="B346" s="278" t="n">
        <v>46056</v>
      </c>
      <c r="E346" s="12" t="n">
        <v>2072</v>
      </c>
      <c r="H346" s="21">
        <f>(E346/$E$762)*100</f>
        <v/>
      </c>
      <c r="K346" s="12" t="n">
        <v>68093.03</v>
      </c>
      <c r="N346" s="131">
        <f>(K346/$K$762)*100</f>
        <v/>
      </c>
      <c r="T346" s="278" t="n">
        <v>46066</v>
      </c>
      <c r="W346" s="170" t="n">
        <v>33.4937</v>
      </c>
    </row>
    <row r="347">
      <c r="B347" s="278" t="n">
        <v>46055</v>
      </c>
      <c r="E347" s="12" t="n">
        <v>1776.6</v>
      </c>
      <c r="H347" s="21">
        <f>(E347/$E$762)*100</f>
        <v/>
      </c>
      <c r="K347" s="12" t="n">
        <v>65659.56</v>
      </c>
      <c r="N347" s="131">
        <f>(K347/$K$762)*100</f>
        <v/>
      </c>
      <c r="T347" s="278" t="n">
        <v>46065</v>
      </c>
      <c r="W347" s="170" t="n">
        <v>34.5384</v>
      </c>
    </row>
    <row r="348">
      <c r="B348" s="278" t="n">
        <v>46054</v>
      </c>
      <c r="E348" s="12" t="n">
        <v>1757.4</v>
      </c>
      <c r="H348" s="21">
        <f>(E348/$E$762)*100</f>
        <v/>
      </c>
      <c r="K348" s="12" t="n">
        <v>64655.41</v>
      </c>
      <c r="N348" s="131">
        <f>(K348/$K$762)*100</f>
        <v/>
      </c>
      <c r="T348" s="278" t="n">
        <v>46064</v>
      </c>
      <c r="W348" s="170" t="n">
        <v>35.1257</v>
      </c>
    </row>
    <row r="349">
      <c r="B349" s="278" t="n">
        <v>46052</v>
      </c>
      <c r="E349" s="12" t="n">
        <v>1771.2</v>
      </c>
      <c r="H349" s="21">
        <f>(E349/$E$762)*100</f>
        <v/>
      </c>
      <c r="K349" s="12" t="n">
        <v>66666.73</v>
      </c>
      <c r="N349" s="131">
        <f>(K349/$K$762)*100</f>
        <v/>
      </c>
      <c r="T349" s="278" t="n">
        <v>46063</v>
      </c>
      <c r="W349" s="170" t="n">
        <v>35.7046</v>
      </c>
    </row>
    <row r="350">
      <c r="B350" s="278" t="n">
        <v>46051</v>
      </c>
      <c r="E350" s="12" t="n">
        <v>1731.3</v>
      </c>
      <c r="H350" s="21">
        <f>(E350/$E$762)*100</f>
        <v/>
      </c>
      <c r="K350" s="12" t="n">
        <v>66005.56</v>
      </c>
      <c r="N350" s="131">
        <f>(K350/$K$762)*100</f>
        <v/>
      </c>
      <c r="T350" s="278" t="n">
        <v>46062</v>
      </c>
      <c r="W350" s="170" t="n">
        <v>34.081</v>
      </c>
    </row>
    <row r="351">
      <c r="B351" s="278" t="n">
        <v>46050</v>
      </c>
      <c r="E351" s="12" t="n">
        <v>1781.7</v>
      </c>
      <c r="H351" s="21">
        <f>(E351/$E$762)*100</f>
        <v/>
      </c>
      <c r="K351" s="12" t="n">
        <v>65596.27</v>
      </c>
      <c r="N351" s="131">
        <f>(K351/$K$762)*100</f>
        <v/>
      </c>
      <c r="T351" s="278" t="n">
        <v>46059</v>
      </c>
      <c r="W351" s="170" t="n">
        <v>32.6363</v>
      </c>
    </row>
    <row r="352">
      <c r="B352" s="278" t="n">
        <v>46049</v>
      </c>
      <c r="E352" s="12" t="n">
        <v>1731.6</v>
      </c>
      <c r="H352" s="21">
        <f>(E352/$E$762)*100</f>
        <v/>
      </c>
      <c r="K352" s="12" t="n">
        <v>62280.26</v>
      </c>
      <c r="N352" s="131">
        <f>(K352/$K$762)*100</f>
        <v/>
      </c>
      <c r="T352" s="278" t="n">
        <v>46058</v>
      </c>
      <c r="W352" s="170" t="n">
        <v>32.0743</v>
      </c>
    </row>
    <row r="353">
      <c r="B353" s="278" t="n">
        <v>46045</v>
      </c>
      <c r="E353" s="12" t="n">
        <v>1820</v>
      </c>
      <c r="H353" s="21">
        <f>(E353/$E$762)*100</f>
        <v/>
      </c>
      <c r="K353" s="12" t="n">
        <v>61781.41</v>
      </c>
      <c r="N353" s="131">
        <f>(K353/$K$762)*100</f>
        <v/>
      </c>
      <c r="T353" s="278" t="n">
        <v>46057</v>
      </c>
      <c r="W353" s="170" t="n">
        <v>32.7122</v>
      </c>
    </row>
    <row r="354">
      <c r="B354" s="278" t="n">
        <v>46044</v>
      </c>
      <c r="E354" s="12" t="n">
        <v>1875.3</v>
      </c>
      <c r="H354" s="21">
        <f>(E354/$E$762)*100</f>
        <v/>
      </c>
      <c r="K354" s="12" t="n">
        <v>63102.4</v>
      </c>
      <c r="N354" s="131">
        <f>(K354/$K$762)*100</f>
        <v/>
      </c>
      <c r="T354" s="278" t="n">
        <v>46056</v>
      </c>
      <c r="W354" s="170" t="n">
        <v>34.9705</v>
      </c>
    </row>
    <row r="355">
      <c r="B355" s="278" t="n">
        <v>46043</v>
      </c>
      <c r="E355" s="12" t="n">
        <v>1838</v>
      </c>
      <c r="H355" s="21">
        <f>(E355/$E$762)*100</f>
        <v/>
      </c>
      <c r="K355" s="12" t="n">
        <v>61846.94</v>
      </c>
      <c r="N355" s="131">
        <f>(K355/$K$762)*100</f>
        <v/>
      </c>
      <c r="T355" s="278" t="n">
        <v>46055</v>
      </c>
      <c r="W355" s="170" t="n">
        <v>29.9848</v>
      </c>
    </row>
    <row r="356">
      <c r="B356" s="278" t="n">
        <v>46042</v>
      </c>
      <c r="E356" s="12" t="n">
        <v>1969.3</v>
      </c>
      <c r="H356" s="21">
        <f>(E356/$E$762)*100</f>
        <v/>
      </c>
      <c r="K356" s="12" t="n">
        <v>62420.06</v>
      </c>
      <c r="N356" s="131">
        <f>(K356/$K$762)*100</f>
        <v/>
      </c>
      <c r="T356" s="278" t="n">
        <v>46054</v>
      </c>
      <c r="W356" s="170" t="n">
        <v>29.6608</v>
      </c>
    </row>
    <row r="357">
      <c r="B357" s="278" t="n">
        <v>46041</v>
      </c>
      <c r="E357" s="12" t="n">
        <v>1986.9</v>
      </c>
      <c r="H357" s="21">
        <f>(E357/$E$762)*100</f>
        <v/>
      </c>
      <c r="K357" s="12" t="n">
        <v>64188.99</v>
      </c>
      <c r="N357" s="131">
        <f>(K357/$K$762)*100</f>
        <v/>
      </c>
      <c r="T357" s="278" t="n">
        <v>46052</v>
      </c>
      <c r="W357" s="170" t="n">
        <v>29.8937</v>
      </c>
    </row>
    <row r="358">
      <c r="B358" s="278" t="n">
        <v>46038</v>
      </c>
      <c r="E358" s="12" t="n">
        <v>1972.7</v>
      </c>
      <c r="H358" s="21">
        <f>(E358/$E$762)*100</f>
        <v/>
      </c>
      <c r="K358" s="12" t="n">
        <v>63952.45</v>
      </c>
      <c r="N358" s="131">
        <f>(K358/$K$762)*100</f>
        <v/>
      </c>
      <c r="T358" s="278" t="n">
        <v>46051</v>
      </c>
      <c r="W358" s="170" t="n">
        <v>29.2203</v>
      </c>
    </row>
    <row r="359">
      <c r="B359" s="278" t="n">
        <v>46036</v>
      </c>
      <c r="E359" s="12" t="n">
        <v>2001.9</v>
      </c>
      <c r="H359" s="21">
        <f>(E359/$E$762)*100</f>
        <v/>
      </c>
      <c r="K359" s="12" t="n">
        <v>64746.36</v>
      </c>
      <c r="N359" s="131">
        <f>(K359/$K$762)*100</f>
        <v/>
      </c>
      <c r="T359" s="278" t="n">
        <v>46050</v>
      </c>
      <c r="W359" s="170" t="n">
        <v>30.0709</v>
      </c>
    </row>
    <row r="360">
      <c r="B360" s="278" t="n">
        <v>46035</v>
      </c>
      <c r="E360" s="12" t="n">
        <v>2056.4</v>
      </c>
      <c r="H360" s="21">
        <f>(E360/$E$762)*100</f>
        <v/>
      </c>
      <c r="K360" s="12" t="n">
        <v>64611.74</v>
      </c>
      <c r="N360" s="131">
        <f>(K360/$K$762)*100</f>
        <v/>
      </c>
      <c r="T360" s="278" t="n">
        <v>46049</v>
      </c>
      <c r="W360" s="170" t="n">
        <v>29.2253</v>
      </c>
    </row>
    <row r="361">
      <c r="B361" s="278" t="n">
        <v>46034</v>
      </c>
      <c r="E361" s="12" t="n">
        <v>2120.4</v>
      </c>
      <c r="H361" s="21">
        <f>(E361/$E$762)*100</f>
        <v/>
      </c>
      <c r="K361" s="12" t="n">
        <v>65047.92</v>
      </c>
      <c r="N361" s="131">
        <f>(K361/$K$762)*100</f>
        <v/>
      </c>
      <c r="T361" s="278" t="n">
        <v>46048</v>
      </c>
      <c r="W361" s="170" t="n"/>
    </row>
    <row r="362">
      <c r="B362" s="278" t="n">
        <v>46031</v>
      </c>
      <c r="E362" s="12" t="n">
        <v>2163.6</v>
      </c>
      <c r="H362" s="21">
        <f>(E362/$E$762)*100</f>
        <v/>
      </c>
      <c r="K362" s="12" t="n">
        <v>65582.69</v>
      </c>
      <c r="N362" s="131">
        <f>(K362/$K$762)*100</f>
        <v/>
      </c>
      <c r="T362" s="278" t="n">
        <v>46045</v>
      </c>
      <c r="W362" s="170" t="n">
        <v>30.7173</v>
      </c>
    </row>
    <row r="363">
      <c r="B363" s="278" t="n">
        <v>46030</v>
      </c>
      <c r="E363" s="12" t="n">
        <v>2200</v>
      </c>
      <c r="H363" s="21">
        <f>(E363/$E$762)*100</f>
        <v/>
      </c>
      <c r="K363" s="12" t="n">
        <v>66267.64999999999</v>
      </c>
      <c r="N363" s="131">
        <f>(K363/$K$762)*100</f>
        <v/>
      </c>
      <c r="T363" s="278" t="n">
        <v>46044</v>
      </c>
      <c r="W363" s="170" t="n">
        <v>31.6506</v>
      </c>
    </row>
    <row r="364">
      <c r="B364" s="278" t="n">
        <v>46029</v>
      </c>
      <c r="E364" s="12" t="n">
        <v>2217.3</v>
      </c>
      <c r="H364" s="21">
        <f>(E364/$E$762)*100</f>
        <v/>
      </c>
      <c r="K364" s="12" t="n">
        <v>67836.44</v>
      </c>
      <c r="N364" s="131">
        <f>(K364/$K$762)*100</f>
        <v/>
      </c>
      <c r="T364" s="278" t="n">
        <v>46043</v>
      </c>
      <c r="W364" s="170" t="n">
        <v>31.0211</v>
      </c>
    </row>
    <row r="365">
      <c r="B365" s="278" t="n">
        <v>46028</v>
      </c>
      <c r="E365" s="12" t="n">
        <v>2247.5</v>
      </c>
      <c r="H365" s="21">
        <f>(E365/$E$762)*100</f>
        <v/>
      </c>
      <c r="K365" s="12" t="n">
        <v>67556.71000000001</v>
      </c>
      <c r="N365" s="131">
        <f>(K365/$K$762)*100</f>
        <v/>
      </c>
      <c r="T365" s="278" t="n">
        <v>46042</v>
      </c>
      <c r="W365" s="170" t="n">
        <v>33.2371</v>
      </c>
    </row>
    <row r="366">
      <c r="B366" s="278" t="n">
        <v>46027</v>
      </c>
      <c r="E366" s="12" t="n">
        <v>2249.5</v>
      </c>
      <c r="H366" s="21">
        <f>(E366/$E$762)*100</f>
        <v/>
      </c>
      <c r="K366" s="12" t="n">
        <v>67987.75999999999</v>
      </c>
      <c r="N366" s="131">
        <f>(K366/$K$762)*100</f>
        <v/>
      </c>
      <c r="T366" s="278" t="n">
        <v>46041</v>
      </c>
      <c r="W366" s="170" t="n">
        <v>33.5342</v>
      </c>
    </row>
    <row r="367">
      <c r="B367" s="278" t="n">
        <v>46024</v>
      </c>
      <c r="E367" s="12" t="n">
        <v>2256.4</v>
      </c>
      <c r="H367" s="21">
        <f>(E367/$E$762)*100</f>
        <v/>
      </c>
      <c r="K367" s="12" t="n">
        <v>67872.72</v>
      </c>
      <c r="N367" s="131">
        <f>(K367/$K$762)*100</f>
        <v/>
      </c>
      <c r="T367" s="278" t="n">
        <v>46038</v>
      </c>
      <c r="W367" s="170" t="n">
        <v>33.2945</v>
      </c>
    </row>
    <row r="368">
      <c r="B368" s="278" t="n">
        <v>46023</v>
      </c>
      <c r="E368" s="12" t="n">
        <v>2231.8</v>
      </c>
      <c r="H368" s="21">
        <f>(E368/$E$762)*100</f>
        <v/>
      </c>
      <c r="K368" s="12" t="n">
        <v>67259.78</v>
      </c>
      <c r="N368" s="131">
        <f>(K368/$K$762)*100</f>
        <v/>
      </c>
      <c r="T368" s="278" t="n">
        <v>46037</v>
      </c>
      <c r="W368" s="170" t="n"/>
    </row>
    <row r="369">
      <c r="B369" s="278" t="n">
        <v>46022</v>
      </c>
      <c r="E369" s="12" t="n">
        <v>2243.1</v>
      </c>
      <c r="H369" s="21">
        <f>(E369/$E$762)*100</f>
        <v/>
      </c>
      <c r="K369" s="12" t="n">
        <v>67112</v>
      </c>
      <c r="N369" s="131">
        <f>(K369/$K$762)*100</f>
        <v/>
      </c>
      <c r="T369" s="278" t="n">
        <v>46036</v>
      </c>
      <c r="W369" s="170" t="n">
        <v>33.7873</v>
      </c>
    </row>
    <row r="370">
      <c r="B370" s="278" t="n">
        <v>46021</v>
      </c>
      <c r="E370" s="12" t="n">
        <v>2227.9</v>
      </c>
      <c r="H370" s="21">
        <f>(E370/$E$762)*100</f>
        <v/>
      </c>
      <c r="K370" s="12" t="n">
        <v>66366.28</v>
      </c>
      <c r="N370" s="131">
        <f>(K370/$K$762)*100</f>
        <v/>
      </c>
      <c r="T370" s="278" t="n">
        <v>46035</v>
      </c>
      <c r="W370" s="170" t="n">
        <v>34.7072</v>
      </c>
    </row>
    <row r="371">
      <c r="B371" s="278" t="n">
        <v>46020</v>
      </c>
      <c r="E371" s="12" t="n">
        <v>2246.6</v>
      </c>
      <c r="H371" s="21">
        <f>(E371/$E$762)*100</f>
        <v/>
      </c>
      <c r="K371" s="12" t="n">
        <v>66665.39</v>
      </c>
      <c r="N371" s="131">
        <f>(K371/$K$762)*100</f>
        <v/>
      </c>
      <c r="T371" s="278" t="n">
        <v>46034</v>
      </c>
      <c r="W371" s="170" t="n">
        <v>35.7873</v>
      </c>
    </row>
    <row r="372">
      <c r="B372" s="278" t="n">
        <v>46017</v>
      </c>
      <c r="E372" s="12" t="n">
        <v>2223.9</v>
      </c>
      <c r="H372" s="21">
        <f>(E372/$E$762)*100</f>
        <v/>
      </c>
      <c r="K372" s="12" t="n">
        <v>67141.56</v>
      </c>
      <c r="N372" s="131">
        <f>(K372/$K$762)*100</f>
        <v/>
      </c>
      <c r="T372" s="278" t="n">
        <v>46031</v>
      </c>
      <c r="W372" s="170" t="n">
        <v>36.5165</v>
      </c>
    </row>
    <row r="373">
      <c r="B373" s="278" t="n">
        <v>46015</v>
      </c>
      <c r="E373" s="12" t="n">
        <v>2213.8</v>
      </c>
      <c r="H373" s="21">
        <f>(E373/$E$762)*100</f>
        <v/>
      </c>
      <c r="K373" s="12" t="n">
        <v>67503.78999999999</v>
      </c>
      <c r="N373" s="131">
        <f>(K373/$K$762)*100</f>
        <v/>
      </c>
      <c r="T373" s="278" t="n">
        <v>46030</v>
      </c>
      <c r="W373" s="170" t="n">
        <v>37.1308</v>
      </c>
    </row>
    <row r="374">
      <c r="B374" s="278" t="n">
        <v>46014</v>
      </c>
      <c r="E374" s="12" t="n">
        <v>2205.1</v>
      </c>
      <c r="H374" s="21">
        <f>(E374/$E$762)*100</f>
        <v/>
      </c>
      <c r="K374" s="12" t="n">
        <v>67644.25</v>
      </c>
      <c r="N374" s="131">
        <f>(K374/$K$762)*100</f>
        <v/>
      </c>
      <c r="T374" s="278" t="n">
        <v>46029</v>
      </c>
      <c r="W374" s="170" t="n">
        <v>37.4228</v>
      </c>
    </row>
    <row r="375">
      <c r="B375" s="278" t="n">
        <v>46013</v>
      </c>
      <c r="E375" s="12" t="n">
        <v>2214.8</v>
      </c>
      <c r="H375" s="21">
        <f>(E375/$E$762)*100</f>
        <v/>
      </c>
      <c r="K375" s="12" t="n">
        <v>67631.67999999999</v>
      </c>
      <c r="N375" s="131">
        <f>(K375/$K$762)*100</f>
        <v/>
      </c>
      <c r="T375" s="278" t="n">
        <v>46028</v>
      </c>
      <c r="W375" s="170" t="n">
        <v>37.9325</v>
      </c>
    </row>
    <row r="376">
      <c r="B376" s="278" t="n">
        <v>46010</v>
      </c>
      <c r="E376" s="12" t="n">
        <v>2176.5</v>
      </c>
      <c r="H376" s="21">
        <f>(E376/$E$762)*100</f>
        <v/>
      </c>
      <c r="K376" s="12" t="n">
        <v>66534.02</v>
      </c>
      <c r="N376" s="131">
        <f>(K376/$K$762)*100</f>
        <v/>
      </c>
      <c r="T376" s="278" t="n">
        <v>46027</v>
      </c>
      <c r="W376" s="170" t="n">
        <v>37.9662</v>
      </c>
    </row>
    <row r="377">
      <c r="B377" s="278" t="n">
        <v>46009</v>
      </c>
      <c r="E377" s="12" t="n">
        <v>2154.1</v>
      </c>
      <c r="H377" s="21">
        <f>(E377/$E$762)*100</f>
        <v/>
      </c>
      <c r="K377" s="12" t="n">
        <v>65452.28</v>
      </c>
      <c r="N377" s="131">
        <f>(K377/$K$762)*100</f>
        <v/>
      </c>
      <c r="T377" s="278" t="n">
        <v>46024</v>
      </c>
      <c r="W377" s="170" t="n">
        <v>38.0827</v>
      </c>
    </row>
    <row r="378">
      <c r="B378" s="278" t="n">
        <v>46008</v>
      </c>
      <c r="E378" s="12" t="n">
        <v>2176.4</v>
      </c>
      <c r="H378" s="21">
        <f>(E378/$E$762)*100</f>
        <v/>
      </c>
      <c r="K378" s="12" t="n">
        <v>65981.82000000001</v>
      </c>
      <c r="N378" s="131">
        <f>(K378/$K$762)*100</f>
        <v/>
      </c>
      <c r="T378" s="278" t="n">
        <v>46023</v>
      </c>
      <c r="W378" s="170" t="n">
        <v>37.6675</v>
      </c>
    </row>
    <row r="379">
      <c r="B379" s="278" t="n">
        <v>46007</v>
      </c>
      <c r="E379" s="12" t="n">
        <v>2202.4</v>
      </c>
      <c r="H379" s="21">
        <f>(E379/$E$762)*100</f>
        <v/>
      </c>
      <c r="K379" s="12" t="n">
        <v>66618.39999999999</v>
      </c>
      <c r="N379" s="131">
        <f>(K379/$K$762)*100</f>
        <v/>
      </c>
      <c r="T379" s="278" t="n">
        <v>46022</v>
      </c>
      <c r="W379" s="170" t="n">
        <v>37.8582</v>
      </c>
    </row>
    <row r="380">
      <c r="B380" s="278" t="n">
        <v>46006</v>
      </c>
      <c r="E380" s="12" t="n">
        <v>2277.3</v>
      </c>
      <c r="H380" s="21">
        <f>(E380/$E$762)*100</f>
        <v/>
      </c>
      <c r="K380" s="12" t="n">
        <v>66959.27</v>
      </c>
      <c r="N380" s="131">
        <f>(K380/$K$762)*100</f>
        <v/>
      </c>
      <c r="T380" s="278" t="n">
        <v>46021</v>
      </c>
      <c r="W380" s="170" t="n">
        <v>37.6017</v>
      </c>
    </row>
    <row r="381">
      <c r="B381" s="278" t="n">
        <v>46003</v>
      </c>
      <c r="E381" s="12" t="n">
        <v>2218.6</v>
      </c>
      <c r="H381" s="21">
        <f>(E381/$E$762)*100</f>
        <v/>
      </c>
      <c r="K381" s="12" t="n">
        <v>66781.85000000001</v>
      </c>
      <c r="N381" s="131">
        <f>(K381/$K$762)*100</f>
        <v/>
      </c>
      <c r="T381" s="278" t="n">
        <v>46020</v>
      </c>
      <c r="W381" s="170" t="n">
        <v>37.9173</v>
      </c>
    </row>
    <row r="382">
      <c r="B382" s="278" t="n">
        <v>46002</v>
      </c>
      <c r="E382" s="12" t="n">
        <v>2220.4</v>
      </c>
      <c r="H382" s="21">
        <f>(E382/$E$762)*100</f>
        <v/>
      </c>
      <c r="K382" s="12" t="n">
        <v>66273.78</v>
      </c>
      <c r="N382" s="131">
        <f>(K382/$K$762)*100</f>
        <v/>
      </c>
      <c r="T382" s="278" t="n">
        <v>46017</v>
      </c>
      <c r="W382" s="170" t="n">
        <v>37.5342</v>
      </c>
    </row>
    <row r="383">
      <c r="B383" s="278" t="n">
        <v>46001</v>
      </c>
      <c r="E383" s="12" t="n">
        <v>2200.7</v>
      </c>
      <c r="H383" s="21">
        <f>(E383/$E$762)*100</f>
        <v/>
      </c>
      <c r="K383" s="12" t="n">
        <v>65909.02</v>
      </c>
      <c r="N383" s="131">
        <f>(K383/$K$762)*100</f>
        <v/>
      </c>
      <c r="T383" s="278" t="n">
        <v>46016</v>
      </c>
      <c r="W383" s="170" t="n"/>
    </row>
    <row r="384">
      <c r="B384" s="278" t="n">
        <v>46000</v>
      </c>
      <c r="E384" s="12" t="n">
        <v>2218.4</v>
      </c>
      <c r="H384" s="21">
        <f>(E384/$E$762)*100</f>
        <v/>
      </c>
      <c r="K384" s="12" t="n">
        <v>66564.92999999999</v>
      </c>
      <c r="N384" s="131">
        <f>(K384/$K$762)*100</f>
        <v/>
      </c>
      <c r="T384" s="278" t="n">
        <v>46015</v>
      </c>
      <c r="W384" s="170" t="n">
        <v>37.3637</v>
      </c>
    </row>
    <row r="385">
      <c r="B385" s="278" t="n">
        <v>45999</v>
      </c>
      <c r="E385" s="12" t="n">
        <v>2248.4</v>
      </c>
      <c r="H385" s="21">
        <f>(E385/$E$762)*100</f>
        <v/>
      </c>
      <c r="K385" s="12" t="n">
        <v>65733.03999999999</v>
      </c>
      <c r="N385" s="131">
        <f>(K385/$K$762)*100</f>
        <v/>
      </c>
      <c r="T385" s="278" t="n">
        <v>46014</v>
      </c>
      <c r="W385" s="170" t="n">
        <v>37.2169</v>
      </c>
    </row>
    <row r="386">
      <c r="B386" s="278" t="n">
        <v>45996</v>
      </c>
      <c r="E386" s="12" t="n">
        <v>2184.4</v>
      </c>
      <c r="H386" s="21">
        <f>(E386/$E$762)*100</f>
        <v/>
      </c>
      <c r="K386" s="12" t="n">
        <v>67647.37</v>
      </c>
      <c r="N386" s="131">
        <f>(K386/$K$762)*100</f>
        <v/>
      </c>
      <c r="T386" s="278" t="n">
        <v>46013</v>
      </c>
      <c r="W386" s="170" t="n">
        <v>37.3806</v>
      </c>
    </row>
    <row r="387">
      <c r="B387" s="278" t="n">
        <v>45995</v>
      </c>
      <c r="E387" s="12" t="n">
        <v>2211.7</v>
      </c>
      <c r="H387" s="21">
        <f>(E387/$E$762)*100</f>
        <v/>
      </c>
      <c r="K387" s="12" t="n">
        <v>67933.24000000001</v>
      </c>
      <c r="N387" s="131">
        <f>(K387/$K$762)*100</f>
        <v/>
      </c>
      <c r="T387" s="278" t="n">
        <v>46010</v>
      </c>
      <c r="W387" s="170" t="n">
        <v>36.7342</v>
      </c>
    </row>
    <row r="388">
      <c r="B388" s="278" t="n">
        <v>45994</v>
      </c>
      <c r="E388" s="12" t="n">
        <v>2184.8</v>
      </c>
      <c r="H388" s="21">
        <f>(E388/$E$762)*100</f>
        <v/>
      </c>
      <c r="K388" s="12" t="n">
        <v>68074.46000000001</v>
      </c>
      <c r="N388" s="131">
        <f>(K388/$K$762)*100</f>
        <v/>
      </c>
      <c r="T388" s="278" t="n">
        <v>46009</v>
      </c>
      <c r="W388" s="170" t="n">
        <v>36.3561</v>
      </c>
    </row>
    <row r="389">
      <c r="B389" s="278" t="n">
        <v>45993</v>
      </c>
      <c r="E389" s="12" t="n">
        <v>2230.6</v>
      </c>
      <c r="H389" s="21">
        <f>(E389/$E$762)*100</f>
        <v/>
      </c>
      <c r="K389" s="12" t="n">
        <v>68980.36</v>
      </c>
      <c r="N389" s="131">
        <f>(K389/$K$762)*100</f>
        <v/>
      </c>
      <c r="T389" s="278" t="n">
        <v>46008</v>
      </c>
      <c r="W389" s="170" t="n">
        <v>36.7325</v>
      </c>
    </row>
    <row r="390">
      <c r="B390" s="278" t="n">
        <v>45992</v>
      </c>
      <c r="E390" s="12" t="n">
        <v>2257.4</v>
      </c>
      <c r="H390" s="21">
        <f>(E390/$E$762)*100</f>
        <v/>
      </c>
      <c r="K390" s="12" t="n">
        <v>69237.14</v>
      </c>
      <c r="N390" s="131">
        <f>(K390/$K$762)*100</f>
        <v/>
      </c>
      <c r="T390" s="278" t="n">
        <v>46007</v>
      </c>
      <c r="W390" s="170" t="n">
        <v>37.1713</v>
      </c>
    </row>
    <row r="391">
      <c r="B391" s="278" t="n">
        <v>45989</v>
      </c>
      <c r="E391" s="12" t="n">
        <v>2259.8</v>
      </c>
      <c r="H391" s="21">
        <f>(E391/$E$762)*100</f>
        <v/>
      </c>
      <c r="K391" s="12" t="n">
        <v>69208.59</v>
      </c>
      <c r="N391" s="131">
        <f>(K391/$K$762)*100</f>
        <v/>
      </c>
      <c r="T391" s="278" t="n">
        <v>46006</v>
      </c>
      <c r="W391" s="170" t="n">
        <v>38.4354</v>
      </c>
    </row>
    <row r="392">
      <c r="B392" s="278" t="n">
        <v>45988</v>
      </c>
      <c r="E392" s="12" t="n">
        <v>2279.4</v>
      </c>
      <c r="H392" s="21">
        <f>(E392/$E$762)*100</f>
        <v/>
      </c>
      <c r="K392" s="12" t="n">
        <v>69354.45</v>
      </c>
      <c r="N392" s="131">
        <f>(K392/$K$762)*100</f>
        <v/>
      </c>
      <c r="T392" s="278" t="n">
        <v>46003</v>
      </c>
      <c r="W392" s="170" t="n">
        <v>37.4447</v>
      </c>
    </row>
    <row r="393">
      <c r="B393" s="278" t="n">
        <v>45987</v>
      </c>
      <c r="E393" s="12" t="n">
        <v>2308.9</v>
      </c>
      <c r="H393" s="21">
        <f>(E393/$E$762)*100</f>
        <v/>
      </c>
      <c r="K393" s="12" t="n">
        <v>69691.3</v>
      </c>
      <c r="N393" s="131">
        <f>(K393/$K$762)*100</f>
        <v/>
      </c>
      <c r="T393" s="278" t="n">
        <v>46002</v>
      </c>
      <c r="W393" s="170" t="n">
        <v>37.4751</v>
      </c>
    </row>
    <row r="394">
      <c r="B394" s="278" t="n">
        <v>45986</v>
      </c>
      <c r="E394" s="12" t="n">
        <v>2272.2</v>
      </c>
      <c r="H394" s="21">
        <f>(E394/$E$762)*100</f>
        <v/>
      </c>
      <c r="K394" s="12" t="n">
        <v>68562.39999999999</v>
      </c>
      <c r="N394" s="131">
        <f>(K394/$K$762)*100</f>
        <v/>
      </c>
      <c r="T394" s="278" t="n">
        <v>46001</v>
      </c>
      <c r="W394" s="170" t="n">
        <v>37.1426</v>
      </c>
    </row>
    <row r="395">
      <c r="B395" s="278" t="n">
        <v>45985</v>
      </c>
      <c r="E395" s="12" t="n">
        <v>2268.7</v>
      </c>
      <c r="H395" s="21">
        <f>(E395/$E$762)*100</f>
        <v/>
      </c>
      <c r="K395" s="12" t="n">
        <v>68434.67</v>
      </c>
      <c r="N395" s="131">
        <f>(K395/$K$762)*100</f>
        <v/>
      </c>
      <c r="T395" s="278" t="n">
        <v>46000</v>
      </c>
      <c r="W395" s="170" t="n">
        <v>37.4413</v>
      </c>
    </row>
    <row r="396">
      <c r="B396" s="278" t="n">
        <v>45982</v>
      </c>
      <c r="E396" s="12" t="n">
        <v>2313.1</v>
      </c>
      <c r="H396" s="21">
        <f>(E396/$E$762)*100</f>
        <v/>
      </c>
      <c r="K396" s="12" t="n">
        <v>69364.00999999999</v>
      </c>
      <c r="N396" s="131">
        <f>(K396/$K$762)*100</f>
        <v/>
      </c>
      <c r="T396" s="278" t="n">
        <v>45999</v>
      </c>
      <c r="W396" s="170" t="n">
        <v>37.9477</v>
      </c>
    </row>
    <row r="397">
      <c r="B397" s="278" t="n">
        <v>45981</v>
      </c>
      <c r="E397" s="12" t="n">
        <v>2402.8</v>
      </c>
      <c r="H397" s="21">
        <f>(E397/$E$762)*100</f>
        <v/>
      </c>
      <c r="K397" s="12" t="n">
        <v>70628.67</v>
      </c>
      <c r="N397" s="131">
        <f>(K397/$K$762)*100</f>
        <v/>
      </c>
      <c r="T397" s="278" t="n">
        <v>45996</v>
      </c>
      <c r="W397" s="170" t="n">
        <v>36.8675</v>
      </c>
    </row>
    <row r="398">
      <c r="B398" s="278" t="n">
        <v>45980</v>
      </c>
      <c r="E398" s="12" t="n">
        <v>2397.1</v>
      </c>
      <c r="H398" s="21">
        <f>(E398/$E$762)*100</f>
        <v/>
      </c>
      <c r="K398" s="12" t="n">
        <v>70389.52</v>
      </c>
      <c r="N398" s="131">
        <f>(K398/$K$762)*100</f>
        <v/>
      </c>
      <c r="T398" s="278" t="n">
        <v>45995</v>
      </c>
      <c r="W398" s="170" t="n">
        <v>37.3283</v>
      </c>
    </row>
    <row r="399">
      <c r="B399" s="278" t="n">
        <v>45979</v>
      </c>
      <c r="E399" s="12" t="n">
        <v>2435.2</v>
      </c>
      <c r="H399" s="21">
        <f>(E399/$E$762)*100</f>
        <v/>
      </c>
      <c r="K399" s="12" t="n">
        <v>70530.08</v>
      </c>
      <c r="N399" s="131">
        <f>(K399/$K$762)*100</f>
        <v/>
      </c>
      <c r="T399" s="278" t="n">
        <v>45994</v>
      </c>
      <c r="W399" s="170" t="n">
        <v>36.8743</v>
      </c>
    </row>
    <row r="400">
      <c r="B400" s="278" t="n">
        <v>45978</v>
      </c>
      <c r="E400" s="12" t="n">
        <v>2447.1</v>
      </c>
      <c r="H400" s="21">
        <f>(E400/$E$762)*100</f>
        <v/>
      </c>
      <c r="K400" s="12" t="n">
        <v>71201.71000000001</v>
      </c>
      <c r="N400" s="131">
        <f>(K400/$K$762)*100</f>
        <v/>
      </c>
      <c r="T400" s="278" t="n">
        <v>45993</v>
      </c>
      <c r="W400" s="170" t="n">
        <v>37.6473</v>
      </c>
    </row>
    <row r="401">
      <c r="B401" s="278" t="n">
        <v>45975</v>
      </c>
      <c r="E401" s="12" t="n">
        <v>2449.9</v>
      </c>
      <c r="H401" s="21">
        <f>(E401/$E$762)*100</f>
        <v/>
      </c>
      <c r="K401" s="12" t="n">
        <v>70775.41</v>
      </c>
      <c r="N401" s="131">
        <f>(K401/$K$762)*100</f>
        <v/>
      </c>
      <c r="T401" s="278" t="n">
        <v>45992</v>
      </c>
      <c r="W401" s="170" t="n">
        <v>38.0996</v>
      </c>
    </row>
    <row r="402">
      <c r="B402" s="278" t="n">
        <v>45974</v>
      </c>
      <c r="E402" s="12" t="n">
        <v>2447.3</v>
      </c>
      <c r="H402" s="21">
        <f>(E402/$E$762)*100</f>
        <v/>
      </c>
      <c r="K402" s="12" t="n">
        <v>70665.82000000001</v>
      </c>
      <c r="N402" s="131">
        <f>(K402/$K$762)*100</f>
        <v/>
      </c>
      <c r="T402" s="278" t="n">
        <v>45989</v>
      </c>
      <c r="W402" s="170" t="n">
        <v>38.1401</v>
      </c>
    </row>
    <row r="403">
      <c r="B403" s="278" t="n">
        <v>45973</v>
      </c>
      <c r="E403" s="12" t="n">
        <v>2417.5</v>
      </c>
      <c r="H403" s="21">
        <f>(E403/$E$762)*100</f>
        <v/>
      </c>
      <c r="K403" s="12" t="n">
        <v>71167.22</v>
      </c>
      <c r="N403" s="131">
        <f>(K403/$K$762)*100</f>
        <v/>
      </c>
      <c r="T403" s="278" t="n">
        <v>45988</v>
      </c>
      <c r="W403" s="170" t="n">
        <v>38.4709</v>
      </c>
    </row>
    <row r="404">
      <c r="B404" s="278" t="n">
        <v>45972</v>
      </c>
      <c r="E404" s="12" t="n">
        <v>2402.6</v>
      </c>
      <c r="H404" s="21">
        <f>(E404/$E$762)*100</f>
        <v/>
      </c>
      <c r="K404" s="12" t="n">
        <v>71061.62</v>
      </c>
      <c r="N404" s="131">
        <f>(K404/$K$762)*100</f>
        <v/>
      </c>
      <c r="T404" s="278" t="n">
        <v>45987</v>
      </c>
      <c r="W404" s="170" t="n">
        <v>38.9688</v>
      </c>
    </row>
    <row r="405">
      <c r="B405" s="278" t="n">
        <v>45971</v>
      </c>
      <c r="E405" s="12" t="n">
        <v>2397.7</v>
      </c>
      <c r="H405" s="21">
        <f>(E405/$E$762)*100</f>
        <v/>
      </c>
      <c r="K405" s="12" t="n">
        <v>70225.64</v>
      </c>
      <c r="N405" s="131">
        <f>(K405/$K$762)*100</f>
        <v/>
      </c>
      <c r="T405" s="278" t="n">
        <v>45986</v>
      </c>
      <c r="W405" s="170" t="n">
        <v>38.3494</v>
      </c>
    </row>
    <row r="406">
      <c r="B406" s="278" t="n">
        <v>45968</v>
      </c>
      <c r="E406" s="12" t="n">
        <v>2313</v>
      </c>
      <c r="H406" s="21">
        <f>(E406/$E$762)*100</f>
        <v/>
      </c>
      <c r="K406" s="12" t="n">
        <v>69366.03999999999</v>
      </c>
      <c r="N406" s="131">
        <f>(K406/$K$762)*100</f>
        <v/>
      </c>
      <c r="T406" s="278" t="n">
        <v>45985</v>
      </c>
      <c r="W406" s="170" t="n">
        <v>38.2903</v>
      </c>
    </row>
    <row r="407">
      <c r="B407" s="278" t="n">
        <v>45967</v>
      </c>
      <c r="E407" s="12" t="n">
        <v>2293.9</v>
      </c>
      <c r="H407" s="21">
        <f>(E407/$E$762)*100</f>
        <v/>
      </c>
      <c r="K407" s="12" t="n">
        <v>69508.07000000001</v>
      </c>
      <c r="N407" s="131">
        <f>(K407/$K$762)*100</f>
        <v/>
      </c>
      <c r="T407" s="278" t="n">
        <v>45982</v>
      </c>
      <c r="W407" s="170" t="n">
        <v>39.0397</v>
      </c>
    </row>
    <row r="408">
      <c r="B408" s="278" t="n">
        <v>45965</v>
      </c>
      <c r="E408" s="12" t="n">
        <v>2328.3</v>
      </c>
      <c r="H408" s="21">
        <f>(E408/$E$762)*100</f>
        <v/>
      </c>
      <c r="K408" s="12" t="n">
        <v>70385.53999999999</v>
      </c>
      <c r="N408" s="131">
        <f>(K408/$K$762)*100</f>
        <v/>
      </c>
      <c r="T408" s="278" t="n">
        <v>45981</v>
      </c>
      <c r="W408" s="170" t="n">
        <v>40.5536</v>
      </c>
    </row>
    <row r="409">
      <c r="B409" s="278" t="n">
        <v>45964</v>
      </c>
      <c r="E409" s="12" t="n">
        <v>2359.4</v>
      </c>
      <c r="H409" s="21">
        <f>(E409/$E$762)*100</f>
        <v/>
      </c>
      <c r="K409" s="12" t="n">
        <v>70525.60000000001</v>
      </c>
      <c r="N409" s="131">
        <f>(K409/$K$762)*100</f>
        <v/>
      </c>
      <c r="T409" s="278" t="n">
        <v>45980</v>
      </c>
      <c r="W409" s="170" t="n">
        <v>40.4574</v>
      </c>
    </row>
    <row r="410">
      <c r="B410" s="278" t="n">
        <v>45961</v>
      </c>
      <c r="E410" s="12" t="n">
        <v>2307.2</v>
      </c>
      <c r="H410" s="21">
        <f>(E410/$E$762)*100</f>
        <v/>
      </c>
      <c r="K410" s="12" t="n">
        <v>70404.39</v>
      </c>
      <c r="N410" s="131">
        <f>(K410/$K$762)*100</f>
        <v/>
      </c>
      <c r="T410" s="278" t="n">
        <v>45979</v>
      </c>
      <c r="W410" s="170" t="n">
        <v>41.1004</v>
      </c>
    </row>
    <row r="411">
      <c r="B411" s="278" t="n">
        <v>45960</v>
      </c>
      <c r="E411" s="12" t="n">
        <v>2341.7</v>
      </c>
      <c r="H411" s="21">
        <f>(E411/$E$762)*100</f>
        <v/>
      </c>
      <c r="K411" s="12" t="n">
        <v>70119.5</v>
      </c>
      <c r="N411" s="131">
        <f>(K411/$K$762)*100</f>
        <v/>
      </c>
      <c r="T411" s="278" t="n">
        <v>45978</v>
      </c>
      <c r="W411" s="170" t="n">
        <v>41.3013</v>
      </c>
    </row>
    <row r="412">
      <c r="B412" s="278" t="n">
        <v>45959</v>
      </c>
      <c r="E412" s="12" t="n">
        <v>2303.1</v>
      </c>
      <c r="H412" s="21">
        <f>(E412/$E$762)*100</f>
        <v/>
      </c>
      <c r="K412" s="12" t="n">
        <v>70021.69</v>
      </c>
      <c r="N412" s="131">
        <f>(K412/$K$762)*100</f>
        <v/>
      </c>
      <c r="T412" s="278" t="n">
        <v>45975</v>
      </c>
      <c r="W412" s="170" t="n">
        <v>41.3485</v>
      </c>
    </row>
    <row r="413">
      <c r="B413" s="278" t="n">
        <v>45958</v>
      </c>
      <c r="E413" s="12" t="n">
        <v>2299.8</v>
      </c>
      <c r="H413" s="21">
        <f>(E413/$E$762)*100</f>
        <v/>
      </c>
      <c r="K413" s="12" t="n">
        <v>69321.56</v>
      </c>
      <c r="N413" s="131">
        <f>(K413/$K$762)*100</f>
        <v/>
      </c>
      <c r="T413" s="278" t="n">
        <v>45974</v>
      </c>
      <c r="W413" s="170" t="n">
        <v>41.3046</v>
      </c>
    </row>
    <row r="414">
      <c r="B414" s="278" t="n">
        <v>45957</v>
      </c>
      <c r="E414" s="12" t="n">
        <v>2298.3</v>
      </c>
      <c r="H414" s="21">
        <f>(E414/$E$762)*100</f>
        <v/>
      </c>
      <c r="K414" s="12" t="n">
        <v>69419.02</v>
      </c>
      <c r="N414" s="131">
        <f>(K414/$K$762)*100</f>
        <v/>
      </c>
      <c r="T414" s="278" t="n">
        <v>45973</v>
      </c>
      <c r="W414" s="170" t="n">
        <v>40.8017</v>
      </c>
    </row>
    <row r="415">
      <c r="B415" s="278" t="n">
        <v>45954</v>
      </c>
      <c r="E415" s="12" t="n">
        <v>2316.3</v>
      </c>
      <c r="H415" s="21">
        <f>(E415/$E$762)*100</f>
        <v/>
      </c>
      <c r="K415" s="12" t="n">
        <v>69322.24000000001</v>
      </c>
      <c r="N415" s="131">
        <f>(K415/$K$762)*100</f>
        <v/>
      </c>
      <c r="T415" s="278" t="n">
        <v>45972</v>
      </c>
      <c r="W415" s="170" t="n">
        <v>40.5502</v>
      </c>
    </row>
    <row r="416">
      <c r="B416" s="278" t="n">
        <v>45953</v>
      </c>
      <c r="E416" s="12" t="n">
        <v>2333.5</v>
      </c>
      <c r="H416" s="21">
        <f>(E416/$E$762)*100</f>
        <v/>
      </c>
      <c r="K416" s="12" t="n">
        <v>69255.19</v>
      </c>
      <c r="N416" s="131">
        <f>(K416/$K$762)*100</f>
        <v/>
      </c>
      <c r="T416" s="278" t="n">
        <v>45971</v>
      </c>
      <c r="W416" s="170" t="n">
        <v>40.4675</v>
      </c>
    </row>
    <row r="417">
      <c r="B417" s="278" t="n">
        <v>45951</v>
      </c>
      <c r="E417" s="12" t="n">
        <v>2320.8</v>
      </c>
      <c r="H417" s="21">
        <f>(E417/$E$762)*100</f>
        <v/>
      </c>
      <c r="K417" s="12" t="n">
        <v>69450.41</v>
      </c>
      <c r="N417" s="131">
        <f>(K417/$K$762)*100</f>
        <v/>
      </c>
      <c r="T417" s="278" t="n">
        <v>45968</v>
      </c>
      <c r="W417" s="170" t="n">
        <v>39.038</v>
      </c>
    </row>
    <row r="418">
      <c r="B418" s="278" t="n">
        <v>45950</v>
      </c>
      <c r="E418" s="12" t="n">
        <v>2344.4</v>
      </c>
      <c r="H418" s="21">
        <f>(E418/$E$762)*100</f>
        <v/>
      </c>
      <c r="K418" s="12" t="n">
        <v>69173.98</v>
      </c>
      <c r="N418" s="131">
        <f>(K418/$K$762)*100</f>
        <v/>
      </c>
      <c r="T418" s="278" t="n">
        <v>45967</v>
      </c>
      <c r="W418" s="170" t="n">
        <v>38.7156</v>
      </c>
    </row>
    <row r="419">
      <c r="B419" s="278" t="n">
        <v>45947</v>
      </c>
      <c r="E419" s="12" t="n">
        <v>2384.5</v>
      </c>
      <c r="H419" s="21">
        <f>(E419/$E$762)*100</f>
        <v/>
      </c>
      <c r="K419" s="12" t="n">
        <v>69061.86</v>
      </c>
      <c r="N419" s="131">
        <f>(K419/$K$762)*100</f>
        <v/>
      </c>
      <c r="T419" s="278" t="n">
        <v>45966</v>
      </c>
      <c r="W419" s="170" t="n"/>
    </row>
    <row r="420">
      <c r="B420" s="278" t="n">
        <v>45946</v>
      </c>
      <c r="E420" s="12" t="n">
        <v>2383.5</v>
      </c>
      <c r="H420" s="21">
        <f>(E420/$E$762)*100</f>
        <v/>
      </c>
      <c r="K420" s="12" t="n">
        <v>69238.22</v>
      </c>
      <c r="N420" s="131">
        <f>(K420/$K$762)*100</f>
        <v/>
      </c>
      <c r="T420" s="278" t="n">
        <v>45965</v>
      </c>
      <c r="W420" s="170" t="n">
        <v>39.2962</v>
      </c>
    </row>
    <row r="421">
      <c r="B421" s="278" t="n">
        <v>45945</v>
      </c>
      <c r="E421" s="12" t="n">
        <v>2332.9</v>
      </c>
      <c r="H421" s="21">
        <f>(E421/$E$762)*100</f>
        <v/>
      </c>
      <c r="K421" s="12" t="n">
        <v>69086.67999999999</v>
      </c>
      <c r="N421" s="131">
        <f>(K421/$K$762)*100</f>
        <v/>
      </c>
      <c r="T421" s="278" t="n">
        <v>45964</v>
      </c>
      <c r="W421" s="170" t="n">
        <v>39.8211</v>
      </c>
    </row>
    <row r="422">
      <c r="B422" s="278" t="n">
        <v>45944</v>
      </c>
      <c r="E422" s="12" t="n">
        <v>2310.5</v>
      </c>
      <c r="H422" s="21">
        <f>(E422/$E$762)*100</f>
        <v/>
      </c>
      <c r="K422" s="12" t="n">
        <v>68488.7</v>
      </c>
      <c r="N422" s="131">
        <f>(K422/$K$762)*100</f>
        <v/>
      </c>
      <c r="T422" s="278" t="n">
        <v>45961</v>
      </c>
      <c r="W422" s="170" t="n">
        <v>38.9401</v>
      </c>
    </row>
    <row r="423">
      <c r="B423" s="278" t="n">
        <v>45943</v>
      </c>
      <c r="E423" s="12" t="n">
        <v>2349.3</v>
      </c>
      <c r="H423" s="21">
        <f>(E423/$E$762)*100</f>
        <v/>
      </c>
      <c r="K423" s="12" t="n">
        <v>68963.2</v>
      </c>
      <c r="N423" s="131">
        <f>(K423/$K$762)*100</f>
        <v/>
      </c>
      <c r="T423" s="278" t="n">
        <v>45960</v>
      </c>
      <c r="W423" s="170" t="n">
        <v>39.5224</v>
      </c>
    </row>
    <row r="424">
      <c r="B424" s="278" t="n">
        <v>45940</v>
      </c>
      <c r="E424" s="12" t="n">
        <v>2398.3</v>
      </c>
      <c r="H424" s="21">
        <f>(E424/$E$762)*100</f>
        <v/>
      </c>
      <c r="K424" s="12" t="n">
        <v>69552.59</v>
      </c>
      <c r="N424" s="131">
        <f>(K424/$K$762)*100</f>
        <v/>
      </c>
      <c r="T424" s="278" t="n">
        <v>45959</v>
      </c>
      <c r="W424" s="170" t="n">
        <v>38.8709</v>
      </c>
    </row>
    <row r="425">
      <c r="B425" s="278" t="n">
        <v>45939</v>
      </c>
      <c r="E425" s="12" t="n">
        <v>2394.4</v>
      </c>
      <c r="H425" s="21">
        <f>(E425/$E$762)*100</f>
        <v/>
      </c>
      <c r="K425" s="12" t="n">
        <v>69224.75</v>
      </c>
      <c r="N425" s="131">
        <f>(K425/$K$762)*100</f>
        <v/>
      </c>
      <c r="T425" s="278" t="n">
        <v>45958</v>
      </c>
      <c r="W425" s="170" t="n">
        <v>38.8152</v>
      </c>
    </row>
    <row r="426">
      <c r="B426" s="278" t="n">
        <v>45938</v>
      </c>
      <c r="E426" s="12" t="n">
        <v>2382.5</v>
      </c>
      <c r="H426" s="21">
        <f>(E426/$E$762)*100</f>
        <v/>
      </c>
      <c r="K426" s="12" t="n">
        <v>68690.2</v>
      </c>
      <c r="N426" s="131">
        <f>(K426/$K$762)*100</f>
        <v/>
      </c>
      <c r="T426" s="278" t="n">
        <v>45957</v>
      </c>
      <c r="W426" s="170" t="n">
        <v>38.7899</v>
      </c>
    </row>
    <row r="427">
      <c r="B427" s="278" t="n">
        <v>45937</v>
      </c>
      <c r="E427" s="12" t="n">
        <v>2480.8</v>
      </c>
      <c r="H427" s="21">
        <f>(E427/$E$762)*100</f>
        <v/>
      </c>
      <c r="K427" s="12" t="n">
        <v>69521.5</v>
      </c>
      <c r="N427" s="131">
        <f>(K427/$K$762)*100</f>
        <v/>
      </c>
      <c r="T427" s="278" t="n">
        <v>45954</v>
      </c>
      <c r="W427" s="170" t="n">
        <v>39.0937</v>
      </c>
    </row>
    <row r="428">
      <c r="B428" s="278" t="n">
        <v>45936</v>
      </c>
      <c r="E428" s="12" t="n">
        <v>2492.5</v>
      </c>
      <c r="H428" s="21">
        <f>(E428/$E$762)*100</f>
        <v/>
      </c>
      <c r="K428" s="12" t="n">
        <v>69564.12</v>
      </c>
      <c r="N428" s="131">
        <f>(K428/$K$762)*100</f>
        <v/>
      </c>
      <c r="T428" s="278" t="n">
        <v>45953</v>
      </c>
      <c r="W428" s="170" t="n">
        <v>39.384</v>
      </c>
    </row>
    <row r="429">
      <c r="B429" s="278" t="n">
        <v>45933</v>
      </c>
      <c r="E429" s="12" t="n">
        <v>2325.3</v>
      </c>
      <c r="H429" s="21">
        <f>(E429/$E$762)*100</f>
        <v/>
      </c>
      <c r="K429" s="12" t="n">
        <v>69458.21000000001</v>
      </c>
      <c r="N429" s="131">
        <f>(K429/$K$762)*100</f>
        <v/>
      </c>
      <c r="T429" s="278" t="n">
        <v>45952</v>
      </c>
      <c r="W429" s="170" t="n"/>
    </row>
    <row r="430">
      <c r="B430" s="278" t="n">
        <v>45931</v>
      </c>
      <c r="E430" s="12" t="n">
        <v>2323.2</v>
      </c>
      <c r="H430" s="21">
        <f>(E430/$E$762)*100</f>
        <v/>
      </c>
      <c r="K430" s="12" t="n">
        <v>68758.5</v>
      </c>
      <c r="N430" s="131">
        <f>(K430/$K$762)*100</f>
        <v/>
      </c>
      <c r="T430" s="278" t="n">
        <v>45951</v>
      </c>
      <c r="W430" s="170" t="n">
        <v>39.1696</v>
      </c>
    </row>
    <row r="431">
      <c r="B431" s="278" t="n">
        <v>45930</v>
      </c>
      <c r="E431" s="12" t="n">
        <v>2347.1</v>
      </c>
      <c r="H431" s="21">
        <f>(E431/$E$762)*100</f>
        <v/>
      </c>
      <c r="K431" s="12" t="n">
        <v>68289.99000000001</v>
      </c>
      <c r="N431" s="131">
        <f>(K431/$K$762)*100</f>
        <v/>
      </c>
      <c r="T431" s="278" t="n">
        <v>45950</v>
      </c>
      <c r="W431" s="170" t="n">
        <v>39.5679</v>
      </c>
    </row>
    <row r="432">
      <c r="B432" s="278" t="n">
        <v>45929</v>
      </c>
      <c r="E432" s="12" t="n">
        <v>2303.6</v>
      </c>
      <c r="H432" s="21">
        <f>(E432/$E$762)*100</f>
        <v/>
      </c>
      <c r="K432" s="12" t="n">
        <v>68283.11</v>
      </c>
      <c r="N432" s="131">
        <f>(K432/$K$762)*100</f>
        <v/>
      </c>
      <c r="T432" s="278" t="n">
        <v>45947</v>
      </c>
      <c r="W432" s="170" t="n">
        <v>40.2447</v>
      </c>
    </row>
    <row r="433">
      <c r="B433" s="278" t="n">
        <v>45926</v>
      </c>
      <c r="E433" s="12" t="n">
        <v>2292.7</v>
      </c>
      <c r="H433" s="21">
        <f>(E433/$E$762)*100</f>
        <v/>
      </c>
      <c r="K433" s="12" t="n">
        <v>68345.94</v>
      </c>
      <c r="N433" s="131">
        <f>(K433/$K$762)*100</f>
        <v/>
      </c>
      <c r="T433" s="278" t="n">
        <v>45946</v>
      </c>
      <c r="W433" s="170" t="n">
        <v>40.2278</v>
      </c>
    </row>
    <row r="434">
      <c r="B434" s="278" t="n">
        <v>45925</v>
      </c>
      <c r="E434" s="12" t="n">
        <v>2364.4</v>
      </c>
      <c r="H434" s="21">
        <f>(E434/$E$762)*100</f>
        <v/>
      </c>
      <c r="K434" s="12" t="n">
        <v>69582.38</v>
      </c>
      <c r="N434" s="131">
        <f>(K434/$K$762)*100</f>
        <v/>
      </c>
      <c r="T434" s="278" t="n">
        <v>45945</v>
      </c>
      <c r="W434" s="170" t="n">
        <v>39.3738</v>
      </c>
    </row>
    <row r="435">
      <c r="B435" s="278" t="n">
        <v>45924</v>
      </c>
      <c r="E435" s="12" t="n">
        <v>2412.8</v>
      </c>
      <c r="H435" s="21">
        <f>(E435/$E$762)*100</f>
        <v/>
      </c>
      <c r="K435" s="12" t="n">
        <v>69646.5</v>
      </c>
      <c r="N435" s="131">
        <f>(K435/$K$762)*100</f>
        <v/>
      </c>
      <c r="T435" s="278" t="n">
        <v>45944</v>
      </c>
      <c r="W435" s="170" t="n">
        <v>38.9958</v>
      </c>
    </row>
    <row r="436">
      <c r="B436" s="278" t="n">
        <v>45923</v>
      </c>
      <c r="E436" s="12" t="n">
        <v>2446.6</v>
      </c>
      <c r="H436" s="21">
        <f>(E436/$E$762)*100</f>
        <v/>
      </c>
      <c r="K436" s="12" t="n">
        <v>70417.12</v>
      </c>
      <c r="N436" s="131">
        <f>(K436/$K$762)*100</f>
        <v/>
      </c>
      <c r="T436" s="278" t="n">
        <v>45943</v>
      </c>
      <c r="W436" s="170" t="n">
        <v>39.6506</v>
      </c>
    </row>
    <row r="437">
      <c r="B437" s="278" t="n">
        <v>45922</v>
      </c>
      <c r="E437" s="12" t="n">
        <v>2493.5</v>
      </c>
      <c r="H437" s="21">
        <f>(E437/$E$762)*100</f>
        <v/>
      </c>
      <c r="K437" s="12" t="n">
        <v>70686.14</v>
      </c>
      <c r="N437" s="131">
        <f>(K437/$K$762)*100</f>
        <v/>
      </c>
      <c r="T437" s="278" t="n">
        <v>45940</v>
      </c>
      <c r="W437" s="170" t="n">
        <v>40.4776</v>
      </c>
    </row>
    <row r="438">
      <c r="B438" s="278" t="n">
        <v>45919</v>
      </c>
      <c r="E438" s="12" t="n">
        <v>2536.7</v>
      </c>
      <c r="H438" s="21">
        <f>(E438/$E$762)*100</f>
        <v/>
      </c>
      <c r="K438" s="12" t="n">
        <v>71231.16</v>
      </c>
      <c r="N438" s="131">
        <f>(K438/$K$762)*100</f>
        <v/>
      </c>
      <c r="T438" s="278" t="n">
        <v>45939</v>
      </c>
      <c r="W438" s="170" t="n">
        <v>40.4118</v>
      </c>
    </row>
    <row r="439">
      <c r="B439" s="278" t="n">
        <v>45918</v>
      </c>
      <c r="E439" s="12" t="n">
        <v>2278.6</v>
      </c>
      <c r="H439" s="21">
        <f>(E439/$E$762)*100</f>
        <v/>
      </c>
      <c r="K439" s="12" t="n">
        <v>71179.98</v>
      </c>
      <c r="N439" s="131">
        <f>(K439/$K$762)*100</f>
        <v/>
      </c>
      <c r="T439" s="278" t="n">
        <v>45938</v>
      </c>
      <c r="W439" s="170" t="n">
        <v>40.211</v>
      </c>
    </row>
    <row r="440">
      <c r="B440" s="278" t="n">
        <v>45917</v>
      </c>
      <c r="E440" s="12" t="n">
        <v>2310.6</v>
      </c>
      <c r="H440" s="21">
        <f>(E440/$E$762)*100</f>
        <v/>
      </c>
      <c r="K440" s="12" t="n">
        <v>71414.69</v>
      </c>
      <c r="N440" s="131">
        <f>(K440/$K$762)*100</f>
        <v/>
      </c>
      <c r="T440" s="278" t="n">
        <v>45937</v>
      </c>
      <c r="W440" s="170" t="n">
        <v>41.87</v>
      </c>
    </row>
    <row r="441">
      <c r="B441" s="278" t="n">
        <v>45916</v>
      </c>
      <c r="E441" s="12" t="n">
        <v>2312.8</v>
      </c>
      <c r="H441" s="21">
        <f>(E441/$E$762)*100</f>
        <v/>
      </c>
      <c r="K441" s="12" t="n">
        <v>70738.19</v>
      </c>
      <c r="N441" s="131">
        <f>(K441/$K$762)*100</f>
        <v/>
      </c>
      <c r="T441" s="278" t="n">
        <v>45936</v>
      </c>
      <c r="W441" s="170" t="n">
        <v>42.0675</v>
      </c>
    </row>
    <row r="442">
      <c r="B442" s="278" t="n">
        <v>45915</v>
      </c>
      <c r="E442" s="12" t="n">
        <v>2299.1</v>
      </c>
      <c r="H442" s="21">
        <f>(E442/$E$762)*100</f>
        <v/>
      </c>
      <c r="K442" s="12" t="n">
        <v>70115.39</v>
      </c>
      <c r="N442" s="131">
        <f>(K442/$K$762)*100</f>
        <v/>
      </c>
      <c r="T442" s="278" t="n">
        <v>45933</v>
      </c>
      <c r="W442" s="170" t="n">
        <v>39.2456</v>
      </c>
    </row>
    <row r="443">
      <c r="B443" s="278" t="n">
        <v>45912</v>
      </c>
      <c r="E443" s="12" t="n">
        <v>2275.2</v>
      </c>
      <c r="H443" s="21">
        <f>(E443/$E$762)*100</f>
        <v/>
      </c>
      <c r="K443" s="12" t="n">
        <v>69691.78999999999</v>
      </c>
      <c r="N443" s="131">
        <f>(K443/$K$762)*100</f>
        <v/>
      </c>
      <c r="T443" s="278" t="n">
        <v>45932</v>
      </c>
      <c r="W443" s="170" t="n"/>
    </row>
    <row r="444">
      <c r="B444" s="278" t="n">
        <v>45911</v>
      </c>
      <c r="E444" s="12" t="n">
        <v>2288.5</v>
      </c>
      <c r="H444" s="21">
        <f>(E444/$E$762)*100</f>
        <v/>
      </c>
      <c r="K444" s="12" t="n">
        <v>68487.66</v>
      </c>
      <c r="N444" s="131">
        <f>(K444/$K$762)*100</f>
        <v/>
      </c>
      <c r="T444" s="278" t="n">
        <v>45931</v>
      </c>
      <c r="W444" s="170" t="n">
        <v>39.2101</v>
      </c>
    </row>
    <row r="445">
      <c r="B445" s="278" t="n">
        <v>45910</v>
      </c>
      <c r="E445" s="12" t="n">
        <v>2292.5</v>
      </c>
      <c r="H445" s="21">
        <f>(E445/$E$762)*100</f>
        <v/>
      </c>
      <c r="K445" s="12" t="n">
        <v>68366.25</v>
      </c>
      <c r="N445" s="131">
        <f>(K445/$K$762)*100</f>
        <v/>
      </c>
      <c r="T445" s="278" t="n">
        <v>45930</v>
      </c>
      <c r="W445" s="170" t="n">
        <v>39.6135</v>
      </c>
    </row>
    <row r="446">
      <c r="B446" s="278" t="n">
        <v>45909</v>
      </c>
      <c r="E446" s="12" t="n">
        <v>2245.1</v>
      </c>
      <c r="H446" s="21">
        <f>(E446/$E$762)*100</f>
        <v/>
      </c>
      <c r="K446" s="12" t="n">
        <v>67104.56</v>
      </c>
      <c r="N446" s="131">
        <f>(K446/$K$762)*100</f>
        <v/>
      </c>
      <c r="T446" s="278" t="n">
        <v>45929</v>
      </c>
      <c r="W446" s="170" t="n">
        <v>38.8793</v>
      </c>
    </row>
    <row r="447">
      <c r="B447" s="278" t="n">
        <v>45908</v>
      </c>
      <c r="E447" s="12" t="n">
        <v>2264.2</v>
      </c>
      <c r="H447" s="21">
        <f>(E447/$E$762)*100</f>
        <v/>
      </c>
      <c r="K447" s="12" t="n">
        <v>67101.3</v>
      </c>
      <c r="N447" s="131">
        <f>(K447/$K$762)*100</f>
        <v/>
      </c>
      <c r="T447" s="278" t="n">
        <v>45926</v>
      </c>
      <c r="W447" s="170" t="n">
        <v>38.6954</v>
      </c>
    </row>
    <row r="448">
      <c r="B448" s="278" t="n">
        <v>45905</v>
      </c>
      <c r="E448" s="12" t="n">
        <v>2261.3</v>
      </c>
      <c r="H448" s="21">
        <f>(E448/$E$762)*100</f>
        <v/>
      </c>
      <c r="K448" s="12" t="n">
        <v>66852.58</v>
      </c>
      <c r="N448" s="131">
        <f>(K448/$K$762)*100</f>
        <v/>
      </c>
      <c r="T448" s="278" t="n">
        <v>45925</v>
      </c>
      <c r="W448" s="170" t="n">
        <v>39.9055</v>
      </c>
    </row>
    <row r="449">
      <c r="B449" s="278" t="n">
        <v>45904</v>
      </c>
      <c r="E449" s="12" t="n">
        <v>2325.7</v>
      </c>
      <c r="H449" s="21">
        <f>(E449/$E$762)*100</f>
        <v/>
      </c>
      <c r="K449" s="12" t="n">
        <v>67021.45</v>
      </c>
      <c r="N449" s="131">
        <f>(K449/$K$762)*100</f>
        <v/>
      </c>
      <c r="T449" s="278" t="n">
        <v>45924</v>
      </c>
      <c r="W449" s="170" t="n">
        <v>40.7224</v>
      </c>
    </row>
    <row r="450">
      <c r="B450" s="278" t="n">
        <v>45903</v>
      </c>
      <c r="E450" s="12" t="n">
        <v>2317.5</v>
      </c>
      <c r="H450" s="21">
        <f>(E450/$E$762)*100</f>
        <v/>
      </c>
      <c r="K450" s="12" t="n">
        <v>67412.13</v>
      </c>
      <c r="N450" s="131">
        <f>(K450/$K$762)*100</f>
        <v/>
      </c>
      <c r="T450" s="278" t="n">
        <v>45923</v>
      </c>
      <c r="W450" s="170" t="n">
        <v>41.2928</v>
      </c>
    </row>
    <row r="451">
      <c r="B451" s="278" t="n">
        <v>45902</v>
      </c>
      <c r="E451" s="12" t="n">
        <v>2310.6</v>
      </c>
      <c r="H451" s="21">
        <f>(E451/$E$762)*100</f>
        <v/>
      </c>
      <c r="K451" s="12" t="n">
        <v>67209.64999999999</v>
      </c>
      <c r="N451" s="131">
        <f>(K451/$K$762)*100</f>
        <v/>
      </c>
      <c r="T451" s="278" t="n">
        <v>45922</v>
      </c>
      <c r="W451" s="170" t="n">
        <v>42.0844</v>
      </c>
    </row>
    <row r="452">
      <c r="B452" s="278" t="n">
        <v>45901</v>
      </c>
      <c r="E452" s="12" t="n">
        <v>2248.7</v>
      </c>
      <c r="H452" s="21">
        <f>(E452/$E$762)*100</f>
        <v/>
      </c>
      <c r="K452" s="12" t="n">
        <v>66677.09</v>
      </c>
      <c r="N452" s="131">
        <f>(K452/$K$762)*100</f>
        <v/>
      </c>
      <c r="T452" s="278" t="n">
        <v>45919</v>
      </c>
      <c r="W452" s="170" t="n">
        <v>42.8135</v>
      </c>
    </row>
    <row r="453">
      <c r="B453" s="278" t="n">
        <v>45898</v>
      </c>
      <c r="E453" s="12" t="n">
        <v>2214.7</v>
      </c>
      <c r="H453" s="21">
        <f>(E453/$E$762)*100</f>
        <v/>
      </c>
      <c r="K453" s="12" t="n">
        <v>65417.08</v>
      </c>
      <c r="N453" s="131">
        <f>(K453/$K$762)*100</f>
        <v/>
      </c>
      <c r="T453" s="278" t="n">
        <v>45918</v>
      </c>
      <c r="W453" s="170" t="n">
        <v>38.4574</v>
      </c>
    </row>
    <row r="454">
      <c r="B454" s="278" t="n">
        <v>45897</v>
      </c>
      <c r="E454" s="12" t="n">
        <v>2239.2</v>
      </c>
      <c r="H454" s="21">
        <f>(E454/$E$762)*100</f>
        <v/>
      </c>
      <c r="K454" s="12" t="n">
        <v>65274.23</v>
      </c>
      <c r="N454" s="131">
        <f>(K454/$K$762)*100</f>
        <v/>
      </c>
      <c r="T454" s="278" t="n">
        <v>45917</v>
      </c>
      <c r="W454" s="170" t="n">
        <v>38.9975</v>
      </c>
    </row>
    <row r="455">
      <c r="B455" s="278" t="n">
        <v>45895</v>
      </c>
      <c r="E455" s="12" t="n">
        <v>2236.4</v>
      </c>
      <c r="H455" s="21">
        <f>(E455/$E$762)*100</f>
        <v/>
      </c>
      <c r="K455" s="12" t="n">
        <v>65879.32000000001</v>
      </c>
      <c r="N455" s="131">
        <f>(K455/$K$762)*100</f>
        <v/>
      </c>
      <c r="T455" s="278" t="n">
        <v>45916</v>
      </c>
      <c r="W455" s="170" t="n">
        <v>39.0346</v>
      </c>
    </row>
    <row r="456">
      <c r="B456" s="278" t="n">
        <v>45894</v>
      </c>
      <c r="E456" s="12" t="n">
        <v>2283</v>
      </c>
      <c r="H456" s="21">
        <f>(E456/$E$762)*100</f>
        <v/>
      </c>
      <c r="K456" s="12" t="n">
        <v>66871.05</v>
      </c>
      <c r="N456" s="131">
        <f>(K456/$K$762)*100</f>
        <v/>
      </c>
      <c r="T456" s="278" t="n">
        <v>45915</v>
      </c>
      <c r="W456" s="170" t="n">
        <v>38.8034</v>
      </c>
    </row>
    <row r="457">
      <c r="B457" s="278" t="n">
        <v>45891</v>
      </c>
      <c r="E457" s="12" t="n">
        <v>2287</v>
      </c>
      <c r="H457" s="21">
        <f>(E457/$E$762)*100</f>
        <v/>
      </c>
      <c r="K457" s="12" t="n">
        <v>67151.02</v>
      </c>
      <c r="N457" s="131">
        <f>(K457/$K$762)*100</f>
        <v/>
      </c>
      <c r="T457" s="278" t="n">
        <v>45912</v>
      </c>
      <c r="W457" s="170" t="n">
        <v>38.4</v>
      </c>
    </row>
    <row r="458">
      <c r="B458" s="278" t="n">
        <v>45890</v>
      </c>
      <c r="E458" s="12" t="n">
        <v>2309.3</v>
      </c>
      <c r="H458" s="21">
        <f>(E458/$E$762)*100</f>
        <v/>
      </c>
      <c r="K458" s="12" t="n">
        <v>67096.53</v>
      </c>
      <c r="N458" s="131">
        <f>(K458/$K$762)*100</f>
        <v/>
      </c>
      <c r="T458" s="278" t="n">
        <v>45911</v>
      </c>
      <c r="W458" s="170" t="n">
        <v>38.6245</v>
      </c>
    </row>
    <row r="459">
      <c r="B459" s="278" t="n">
        <v>45889</v>
      </c>
      <c r="E459" s="12" t="n">
        <v>2326.8</v>
      </c>
      <c r="H459" s="21">
        <f>(E459/$E$762)*100</f>
        <v/>
      </c>
      <c r="K459" s="12" t="n">
        <v>67127.00999999999</v>
      </c>
      <c r="N459" s="131">
        <f>(K459/$K$762)*100</f>
        <v/>
      </c>
      <c r="T459" s="278" t="n">
        <v>45910</v>
      </c>
      <c r="W459" s="170" t="n">
        <v>38.692</v>
      </c>
    </row>
    <row r="460">
      <c r="B460" s="278" t="n">
        <v>45888</v>
      </c>
      <c r="E460" s="12" t="n">
        <v>2305.4</v>
      </c>
      <c r="H460" s="21">
        <f>(E460/$E$762)*100</f>
        <v/>
      </c>
      <c r="K460" s="12" t="n">
        <v>67038.83</v>
      </c>
      <c r="N460" s="131">
        <f>(K460/$K$762)*100</f>
        <v/>
      </c>
      <c r="T460" s="278" t="n">
        <v>45909</v>
      </c>
      <c r="W460" s="170" t="n">
        <v>37.892</v>
      </c>
    </row>
    <row r="461">
      <c r="B461" s="278" t="n">
        <v>45887</v>
      </c>
      <c r="E461" s="12" t="n">
        <v>2348.8</v>
      </c>
      <c r="H461" s="21">
        <f>(E461/$E$762)*100</f>
        <v/>
      </c>
      <c r="K461" s="12" t="n">
        <v>66773.05</v>
      </c>
      <c r="N461" s="131">
        <f>(K461/$K$762)*100</f>
        <v/>
      </c>
      <c r="T461" s="278" t="n">
        <v>45908</v>
      </c>
      <c r="W461" s="170" t="n">
        <v>38.2143</v>
      </c>
    </row>
    <row r="462">
      <c r="B462" s="278" t="n">
        <v>45883</v>
      </c>
      <c r="E462" s="12" t="n">
        <v>2219.8</v>
      </c>
      <c r="H462" s="21">
        <f>(E462/$E$762)*100</f>
        <v/>
      </c>
      <c r="K462" s="12" t="n">
        <v>66761.32000000001</v>
      </c>
      <c r="N462" s="131">
        <f>(K462/$K$762)*100</f>
        <v/>
      </c>
      <c r="T462" s="278" t="n">
        <v>45905</v>
      </c>
      <c r="W462" s="170" t="n">
        <v>38.1654</v>
      </c>
    </row>
    <row r="463">
      <c r="B463" s="278" t="n">
        <v>45882</v>
      </c>
      <c r="E463" s="12" t="n">
        <v>2250.1</v>
      </c>
      <c r="H463" s="21">
        <f>(E463/$E$762)*100</f>
        <v/>
      </c>
      <c r="K463" s="12" t="n">
        <v>67133.03</v>
      </c>
      <c r="N463" s="131">
        <f>(K463/$K$762)*100</f>
        <v/>
      </c>
      <c r="T463" s="278" t="n">
        <v>45904</v>
      </c>
      <c r="W463" s="170" t="n">
        <v>39.2523</v>
      </c>
    </row>
    <row r="464">
      <c r="B464" s="278" t="n">
        <v>45881</v>
      </c>
      <c r="E464" s="12" t="n">
        <v>2246.8</v>
      </c>
      <c r="H464" s="21">
        <f>(E464/$E$762)*100</f>
        <v/>
      </c>
      <c r="K464" s="12" t="n">
        <v>66460.66</v>
      </c>
      <c r="N464" s="131">
        <f>(K464/$K$762)*100</f>
        <v/>
      </c>
      <c r="T464" s="278" t="n">
        <v>45903</v>
      </c>
      <c r="W464" s="170" t="n">
        <v>39.1139</v>
      </c>
    </row>
    <row r="465">
      <c r="B465" s="278" t="n">
        <v>45880</v>
      </c>
      <c r="E465" s="12" t="n">
        <v>2322.9</v>
      </c>
      <c r="H465" s="21">
        <f>(E465/$E$762)*100</f>
        <v/>
      </c>
      <c r="K465" s="12" t="n">
        <v>66966.61</v>
      </c>
      <c r="N465" s="131">
        <f>(K465/$K$762)*100</f>
        <v/>
      </c>
      <c r="T465" s="278" t="n">
        <v>45902</v>
      </c>
      <c r="W465" s="170" t="n">
        <v>38.9975</v>
      </c>
    </row>
    <row r="466">
      <c r="B466" s="278" t="n">
        <v>45877</v>
      </c>
      <c r="E466" s="12" t="n">
        <v>2310.2</v>
      </c>
      <c r="H466" s="21">
        <f>(E466/$E$762)*100</f>
        <v/>
      </c>
      <c r="K466" s="12" t="n">
        <v>66751.25999999999</v>
      </c>
      <c r="N466" s="131">
        <f>(K466/$K$762)*100</f>
        <v/>
      </c>
      <c r="T466" s="278" t="n">
        <v>45901</v>
      </c>
      <c r="W466" s="170" t="n">
        <v>37.9527</v>
      </c>
    </row>
    <row r="467">
      <c r="B467" s="278" t="n">
        <v>45876</v>
      </c>
      <c r="E467" s="12" t="n">
        <v>2354.8</v>
      </c>
      <c r="H467" s="21">
        <f>(E467/$E$762)*100</f>
        <v/>
      </c>
      <c r="K467" s="12" t="n">
        <v>67848.75999999999</v>
      </c>
      <c r="N467" s="131">
        <f>(K467/$K$762)*100</f>
        <v/>
      </c>
      <c r="T467" s="278" t="n">
        <v>45898</v>
      </c>
      <c r="W467" s="170" t="n">
        <v>37.3789</v>
      </c>
    </row>
    <row r="468">
      <c r="B468" s="278" t="n">
        <v>45875</v>
      </c>
      <c r="E468" s="12" t="n">
        <v>2452.4</v>
      </c>
      <c r="H468" s="21">
        <f>(E468/$E$762)*100</f>
        <v/>
      </c>
      <c r="K468" s="12" t="n">
        <v>68131.45</v>
      </c>
      <c r="N468" s="131">
        <f>(K468/$K$762)*100</f>
        <v/>
      </c>
      <c r="T468" s="278" t="n">
        <v>45897</v>
      </c>
      <c r="W468" s="170" t="n">
        <v>37.7924</v>
      </c>
    </row>
    <row r="469">
      <c r="B469" s="278" t="n">
        <v>45874</v>
      </c>
      <c r="E469" s="12" t="n">
        <v>2618.8</v>
      </c>
      <c r="H469" s="21">
        <f>(E469/$E$762)*100</f>
        <v/>
      </c>
      <c r="K469" s="12" t="n">
        <v>68700.82000000001</v>
      </c>
      <c r="N469" s="131">
        <f>(K469/$K$762)*100</f>
        <v/>
      </c>
      <c r="T469" s="278" t="n">
        <v>45896</v>
      </c>
      <c r="W469" s="170" t="n"/>
    </row>
    <row r="470">
      <c r="B470" s="278" t="n">
        <v>45873</v>
      </c>
      <c r="E470" s="12" t="n">
        <v>2663.2</v>
      </c>
      <c r="H470" s="21">
        <f>(E470/$E$762)*100</f>
        <v/>
      </c>
      <c r="K470" s="12" t="n">
        <v>68505.5</v>
      </c>
      <c r="N470" s="131">
        <f>(K470/$K$762)*100</f>
        <v/>
      </c>
      <c r="T470" s="278" t="n">
        <v>45895</v>
      </c>
      <c r="W470" s="170" t="n">
        <v>37.7451</v>
      </c>
    </row>
    <row r="471">
      <c r="B471" s="278" t="n">
        <v>45870</v>
      </c>
      <c r="E471" s="12" t="n">
        <v>2609.9</v>
      </c>
      <c r="H471" s="21">
        <f>(E471/$E$762)*100</f>
        <v/>
      </c>
      <c r="K471" s="12" t="n">
        <v>67850.22</v>
      </c>
      <c r="N471" s="131">
        <f>(K471/$K$762)*100</f>
        <v/>
      </c>
      <c r="T471" s="278" t="n">
        <v>45894</v>
      </c>
      <c r="W471" s="170" t="n">
        <v>38.5316</v>
      </c>
    </row>
    <row r="472">
      <c r="B472" s="278" t="n">
        <v>45869</v>
      </c>
      <c r="E472" s="12" t="n">
        <v>2645.3</v>
      </c>
      <c r="H472" s="21">
        <f>(E472/$E$762)*100</f>
        <v/>
      </c>
      <c r="K472" s="12" t="n">
        <v>68236.66</v>
      </c>
      <c r="N472" s="131">
        <f>(K472/$K$762)*100</f>
        <v/>
      </c>
      <c r="T472" s="278" t="n">
        <v>45891</v>
      </c>
      <c r="W472" s="170" t="n">
        <v>38.5992</v>
      </c>
    </row>
    <row r="473">
      <c r="B473" s="278" t="n">
        <v>45868</v>
      </c>
      <c r="E473" s="12" t="n">
        <v>2695.8</v>
      </c>
      <c r="H473" s="21">
        <f>(E473/$E$762)*100</f>
        <v/>
      </c>
      <c r="K473" s="12" t="n">
        <v>68692.77</v>
      </c>
      <c r="N473" s="131">
        <f>(K473/$K$762)*100</f>
        <v/>
      </c>
      <c r="T473" s="278" t="n">
        <v>45890</v>
      </c>
      <c r="W473" s="170" t="n">
        <v>38.9755</v>
      </c>
    </row>
    <row r="474">
      <c r="B474" s="278" t="n">
        <v>45867</v>
      </c>
      <c r="E474" s="12" t="n">
        <v>2692.9</v>
      </c>
      <c r="H474" s="21">
        <f>(E474/$E$762)*100</f>
        <v/>
      </c>
      <c r="K474" s="12" t="n">
        <v>68509.5</v>
      </c>
      <c r="N474" s="131">
        <f>(K474/$K$762)*100</f>
        <v/>
      </c>
      <c r="T474" s="278" t="n">
        <v>45889</v>
      </c>
      <c r="W474" s="170" t="n">
        <v>39.2709</v>
      </c>
    </row>
    <row r="475">
      <c r="B475" s="278" t="n">
        <v>45866</v>
      </c>
      <c r="E475" s="12" t="n">
        <v>2564.2</v>
      </c>
      <c r="H475" s="21">
        <f>(E475/$E$762)*100</f>
        <v/>
      </c>
      <c r="K475" s="12" t="n">
        <v>68106.02</v>
      </c>
      <c r="N475" s="131">
        <f>(K475/$K$762)*100</f>
        <v/>
      </c>
      <c r="T475" s="278" t="n">
        <v>45888</v>
      </c>
      <c r="W475" s="170" t="n">
        <v>38.9097</v>
      </c>
    </row>
    <row r="476">
      <c r="B476" s="278" t="n">
        <v>45863</v>
      </c>
      <c r="E476" s="12" t="n">
        <v>2650</v>
      </c>
      <c r="H476" s="21">
        <f>(E476/$E$762)*100</f>
        <v/>
      </c>
      <c r="K476" s="12" t="n">
        <v>69136.11</v>
      </c>
      <c r="N476" s="131">
        <f>(K476/$K$762)*100</f>
        <v/>
      </c>
      <c r="T476" s="278" t="n">
        <v>45887</v>
      </c>
      <c r="W476" s="170" t="n">
        <v>39.6422</v>
      </c>
    </row>
    <row r="477">
      <c r="B477" s="278" t="n">
        <v>45862</v>
      </c>
      <c r="E477" s="12" t="n">
        <v>2712.1</v>
      </c>
      <c r="H477" s="21">
        <f>(E477/$E$762)*100</f>
        <v/>
      </c>
      <c r="K477" s="12" t="n">
        <v>70428.28999999999</v>
      </c>
      <c r="N477" s="131">
        <f>(K477/$K$762)*100</f>
        <v/>
      </c>
      <c r="T477" s="278" t="n">
        <v>45884</v>
      </c>
      <c r="W477" s="170" t="n"/>
    </row>
    <row r="478">
      <c r="B478" s="278" t="n">
        <v>45861</v>
      </c>
      <c r="E478" s="12" t="n">
        <v>2745.3</v>
      </c>
      <c r="H478" s="21">
        <f>(E478/$E$762)*100</f>
        <v/>
      </c>
      <c r="K478" s="12" t="n">
        <v>70773.22</v>
      </c>
      <c r="N478" s="131">
        <f>(K478/$K$762)*100</f>
        <v/>
      </c>
      <c r="T478" s="278" t="n">
        <v>45883</v>
      </c>
      <c r="W478" s="170" t="n">
        <v>37.465</v>
      </c>
    </row>
    <row r="479">
      <c r="B479" s="278" t="n">
        <v>45860</v>
      </c>
      <c r="E479" s="12" t="n">
        <v>2720.3</v>
      </c>
      <c r="H479" s="21">
        <f>(E479/$E$762)*100</f>
        <v/>
      </c>
      <c r="K479" s="12" t="n">
        <v>70990.36</v>
      </c>
      <c r="N479" s="131">
        <f>(K479/$K$762)*100</f>
        <v/>
      </c>
      <c r="T479" s="278" t="n">
        <v>45882</v>
      </c>
      <c r="W479" s="170" t="n">
        <v>37.9764</v>
      </c>
    </row>
    <row r="480">
      <c r="B480" s="278" t="n">
        <v>45859</v>
      </c>
      <c r="E480" s="12" t="n">
        <v>2787.6</v>
      </c>
      <c r="H480" s="21">
        <f>(E480/$E$762)*100</f>
        <v/>
      </c>
      <c r="K480" s="12" t="n">
        <v>71135.53</v>
      </c>
      <c r="N480" s="131">
        <f>(K480/$K$762)*100</f>
        <v/>
      </c>
      <c r="T480" s="278" t="n">
        <v>45881</v>
      </c>
      <c r="W480" s="170" t="n">
        <v>37.9207</v>
      </c>
    </row>
    <row r="481">
      <c r="B481" s="278" t="n">
        <v>45856</v>
      </c>
      <c r="E481" s="12" t="n">
        <v>2814.7</v>
      </c>
      <c r="H481" s="21">
        <f>(E481/$E$762)*100</f>
        <v/>
      </c>
      <c r="K481" s="12" t="n">
        <v>70200.61</v>
      </c>
      <c r="N481" s="131">
        <f>(K481/$K$762)*100</f>
        <v/>
      </c>
      <c r="T481" s="278" t="n">
        <v>45880</v>
      </c>
      <c r="W481" s="170" t="n">
        <v>39.2051</v>
      </c>
    </row>
    <row r="482">
      <c r="B482" s="278" t="n">
        <v>45855</v>
      </c>
      <c r="E482" s="12" t="n">
        <v>2870.6</v>
      </c>
      <c r="H482" s="21">
        <f>(E482/$E$762)*100</f>
        <v/>
      </c>
      <c r="K482" s="12" t="n">
        <v>71271.41</v>
      </c>
      <c r="N482" s="131">
        <f>(K482/$K$762)*100</f>
        <v/>
      </c>
      <c r="T482" s="278" t="n">
        <v>45877</v>
      </c>
      <c r="W482" s="170" t="n">
        <v>38.9907</v>
      </c>
    </row>
    <row r="483">
      <c r="B483" s="278" t="n">
        <v>45854</v>
      </c>
      <c r="E483" s="12" t="n">
        <v>2845.9</v>
      </c>
      <c r="H483" s="21">
        <f>(E483/$E$762)*100</f>
        <v/>
      </c>
      <c r="K483" s="12" t="n">
        <v>71236.84</v>
      </c>
      <c r="N483" s="131">
        <f>(K483/$K$762)*100</f>
        <v/>
      </c>
      <c r="T483" s="278" t="n">
        <v>45876</v>
      </c>
      <c r="W483" s="170" t="n">
        <v>39.7435</v>
      </c>
    </row>
    <row r="484">
      <c r="B484" s="278" t="n">
        <v>45853</v>
      </c>
      <c r="E484" s="12" t="n">
        <v>2911.9</v>
      </c>
      <c r="H484" s="21">
        <f>(E484/$E$762)*100</f>
        <v/>
      </c>
      <c r="K484" s="12" t="n">
        <v>71408.92999999999</v>
      </c>
      <c r="N484" s="131">
        <f>(K484/$K$762)*100</f>
        <v/>
      </c>
      <c r="T484" s="278" t="n">
        <v>45875</v>
      </c>
      <c r="W484" s="170" t="n">
        <v>41.3907</v>
      </c>
    </row>
    <row r="485">
      <c r="B485" s="278" t="n">
        <v>45852</v>
      </c>
      <c r="E485" s="12" t="n">
        <v>2872.2</v>
      </c>
      <c r="H485" s="21">
        <f>(E485/$E$762)*100</f>
        <v/>
      </c>
      <c r="K485" s="12" t="n">
        <v>70916.10000000001</v>
      </c>
      <c r="N485" s="131">
        <f>(K485/$K$762)*100</f>
        <v/>
      </c>
      <c r="T485" s="278" t="n">
        <v>45874</v>
      </c>
      <c r="W485" s="170" t="n">
        <v>44.1992</v>
      </c>
    </row>
    <row r="486">
      <c r="B486" s="278" t="n">
        <v>45849</v>
      </c>
      <c r="E486" s="12" t="n">
        <v>2849.4</v>
      </c>
      <c r="H486" s="21">
        <f>(E486/$E$762)*100</f>
        <v/>
      </c>
      <c r="K486" s="12" t="n">
        <v>70967.03999999999</v>
      </c>
      <c r="N486" s="131">
        <f>(K486/$K$762)*100</f>
        <v/>
      </c>
      <c r="T486" s="278" t="n">
        <v>45873</v>
      </c>
      <c r="W486" s="170" t="n">
        <v>44.9485</v>
      </c>
    </row>
    <row r="487">
      <c r="B487" s="278" t="n">
        <v>45848</v>
      </c>
      <c r="E487" s="12" t="n">
        <v>2868.5</v>
      </c>
      <c r="H487" s="21">
        <f>(E487/$E$762)*100</f>
        <v/>
      </c>
      <c r="K487" s="12" t="n">
        <v>71835.52</v>
      </c>
      <c r="N487" s="131">
        <f>(K487/$K$762)*100</f>
        <v/>
      </c>
      <c r="T487" s="278" t="n">
        <v>45870</v>
      </c>
      <c r="W487" s="170" t="n">
        <v>44.0489</v>
      </c>
    </row>
    <row r="488">
      <c r="B488" s="278" t="n">
        <v>45847</v>
      </c>
      <c r="E488" s="12" t="n">
        <v>2897.7</v>
      </c>
      <c r="H488" s="21">
        <f>(E488/$E$762)*100</f>
        <v/>
      </c>
      <c r="K488" s="12" t="n">
        <v>72147.97</v>
      </c>
      <c r="N488" s="131">
        <f>(K488/$K$762)*100</f>
        <v/>
      </c>
      <c r="T488" s="278" t="n">
        <v>45869</v>
      </c>
      <c r="W488" s="170" t="n">
        <v>44.6464</v>
      </c>
    </row>
    <row r="489">
      <c r="B489" s="278" t="n">
        <v>45846</v>
      </c>
      <c r="E489" s="12" t="n">
        <v>2851.9</v>
      </c>
      <c r="H489" s="21">
        <f>(E489/$E$762)*100</f>
        <v/>
      </c>
      <c r="K489" s="12" t="n">
        <v>72153.56</v>
      </c>
      <c r="N489" s="131">
        <f>(K489/$K$762)*100</f>
        <v/>
      </c>
      <c r="T489" s="278" t="n">
        <v>45868</v>
      </c>
      <c r="W489" s="170" t="n">
        <v>45.4987</v>
      </c>
    </row>
    <row r="490">
      <c r="B490" s="278" t="n">
        <v>45845</v>
      </c>
      <c r="E490" s="12" t="n">
        <v>2795</v>
      </c>
      <c r="H490" s="21">
        <f>(E490/$E$762)*100</f>
        <v/>
      </c>
      <c r="K490" s="12" t="n">
        <v>72000.88</v>
      </c>
      <c r="N490" s="131">
        <f>(K490/$K$762)*100</f>
        <v/>
      </c>
      <c r="T490" s="278" t="n">
        <v>45867</v>
      </c>
      <c r="W490" s="170" t="n">
        <v>45.4498</v>
      </c>
    </row>
    <row r="491">
      <c r="B491" s="278" t="n">
        <v>45842</v>
      </c>
      <c r="E491" s="12" t="n">
        <v>2760.4</v>
      </c>
      <c r="H491" s="21">
        <f>(E491/$E$762)*100</f>
        <v/>
      </c>
      <c r="K491" s="12" t="n">
        <v>72322.41</v>
      </c>
      <c r="N491" s="131">
        <f>(K491/$K$762)*100</f>
        <v/>
      </c>
      <c r="T491" s="278" t="n">
        <v>45866</v>
      </c>
      <c r="W491" s="170" t="n">
        <v>43.2776</v>
      </c>
    </row>
    <row r="492">
      <c r="B492" s="278" t="n">
        <v>45841</v>
      </c>
      <c r="E492" s="12" t="n">
        <v>2780.9</v>
      </c>
      <c r="H492" s="21">
        <f>(E492/$E$762)*100</f>
        <v/>
      </c>
      <c r="K492" s="12" t="n">
        <v>72127.75</v>
      </c>
      <c r="N492" s="131">
        <f>(K492/$K$762)*100</f>
        <v/>
      </c>
      <c r="T492" s="278" t="n">
        <v>45863</v>
      </c>
      <c r="W492" s="170" t="n">
        <v>44.7257</v>
      </c>
    </row>
    <row r="493">
      <c r="B493" s="278" t="n">
        <v>45840</v>
      </c>
      <c r="E493" s="12" t="n">
        <v>2763.6</v>
      </c>
      <c r="H493" s="21">
        <f>(E493/$E$762)*100</f>
        <v/>
      </c>
      <c r="K493" s="12" t="n">
        <v>72033.14</v>
      </c>
      <c r="N493" s="131">
        <f>(K493/$K$762)*100</f>
        <v/>
      </c>
      <c r="T493" s="278" t="n">
        <v>45862</v>
      </c>
      <c r="W493" s="170" t="n">
        <v>45.7738</v>
      </c>
    </row>
    <row r="494">
      <c r="B494" s="278" t="n">
        <v>45839</v>
      </c>
      <c r="E494" s="12" t="n">
        <v>2749.5</v>
      </c>
      <c r="H494" s="21">
        <f>(E494/$E$762)*100</f>
        <v/>
      </c>
      <c r="K494" s="12" t="n">
        <v>72533.47</v>
      </c>
      <c r="N494" s="131">
        <f>(K494/$K$762)*100</f>
        <v/>
      </c>
      <c r="T494" s="278" t="n">
        <v>45861</v>
      </c>
      <c r="W494" s="170" t="n">
        <v>46.3342</v>
      </c>
    </row>
    <row r="495">
      <c r="B495" s="278" t="n">
        <v>45838</v>
      </c>
      <c r="E495" s="12" t="n">
        <v>2769.1</v>
      </c>
      <c r="H495" s="21">
        <f>(E495/$E$762)*100</f>
        <v/>
      </c>
      <c r="K495" s="12" t="n">
        <v>72332.77</v>
      </c>
      <c r="N495" s="131">
        <f>(K495/$K$762)*100</f>
        <v/>
      </c>
      <c r="T495" s="278" t="n">
        <v>45860</v>
      </c>
      <c r="W495" s="170" t="n">
        <v>45.9122</v>
      </c>
    </row>
    <row r="496">
      <c r="B496" s="278" t="n">
        <v>45835</v>
      </c>
      <c r="E496" s="12" t="n">
        <v>2709.4</v>
      </c>
      <c r="H496" s="21">
        <f>(E496/$E$762)*100</f>
        <v/>
      </c>
      <c r="K496" s="12" t="n">
        <v>71548.78</v>
      </c>
      <c r="N496" s="131">
        <f>(K496/$K$762)*100</f>
        <v/>
      </c>
      <c r="T496" s="278" t="n">
        <v>45859</v>
      </c>
      <c r="W496" s="170" t="n">
        <v>47.0481</v>
      </c>
    </row>
    <row r="497">
      <c r="B497" s="278" t="n">
        <v>45834</v>
      </c>
      <c r="E497" s="12" t="n">
        <v>2615.4</v>
      </c>
      <c r="H497" s="21">
        <f>(E497/$E$762)*100</f>
        <v/>
      </c>
      <c r="K497" s="12" t="n">
        <v>70957.2</v>
      </c>
      <c r="N497" s="131">
        <f>(K497/$K$762)*100</f>
        <v/>
      </c>
      <c r="T497" s="278" t="n">
        <v>45856</v>
      </c>
      <c r="W497" s="170" t="n">
        <v>47.5055</v>
      </c>
    </row>
    <row r="498">
      <c r="B498" s="278" t="n">
        <v>45833</v>
      </c>
      <c r="E498" s="12" t="n">
        <v>2667.7</v>
      </c>
      <c r="H498" s="21">
        <f>(E498/$E$762)*100</f>
        <v/>
      </c>
      <c r="K498" s="12" t="n">
        <v>70703.12</v>
      </c>
      <c r="N498" s="131">
        <f>(K498/$K$762)*100</f>
        <v/>
      </c>
      <c r="T498" s="278" t="n">
        <v>45855</v>
      </c>
      <c r="W498" s="170" t="n">
        <v>48.4489</v>
      </c>
    </row>
    <row r="499">
      <c r="B499" s="278" t="n">
        <v>45832</v>
      </c>
      <c r="E499" s="12" t="n">
        <v>2586.5</v>
      </c>
      <c r="H499" s="21">
        <f>(E499/$E$762)*100</f>
        <v/>
      </c>
      <c r="K499" s="12" t="n">
        <v>71087.25</v>
      </c>
      <c r="N499" s="131">
        <f>(K499/$K$762)*100</f>
        <v/>
      </c>
      <c r="T499" s="278" t="n">
        <v>45854</v>
      </c>
      <c r="W499" s="170" t="n">
        <v>48.0321</v>
      </c>
    </row>
    <row r="500">
      <c r="B500" s="278" t="n">
        <v>45831</v>
      </c>
      <c r="E500" s="12" t="n">
        <v>2583.6</v>
      </c>
      <c r="H500" s="21">
        <f>(E500/$E$762)*100</f>
        <v/>
      </c>
      <c r="K500" s="12" t="n">
        <v>70903.38</v>
      </c>
      <c r="N500" s="131">
        <f>(K500/$K$762)*100</f>
        <v/>
      </c>
      <c r="T500" s="278" t="n">
        <v>45853</v>
      </c>
      <c r="W500" s="170" t="n">
        <v>49.146</v>
      </c>
    </row>
    <row r="501">
      <c r="B501" s="278" t="n">
        <v>45828</v>
      </c>
      <c r="E501" s="12" t="n">
        <v>2589.6</v>
      </c>
      <c r="H501" s="21">
        <f>(E501/$E$762)*100</f>
        <v/>
      </c>
      <c r="K501" s="12" t="n">
        <v>70243.36</v>
      </c>
      <c r="N501" s="131">
        <f>(K501/$K$762)*100</f>
        <v/>
      </c>
      <c r="T501" s="278" t="n">
        <v>45852</v>
      </c>
      <c r="W501" s="170" t="n">
        <v>48.4759</v>
      </c>
    </row>
    <row r="502">
      <c r="B502" s="278" t="n">
        <v>45827</v>
      </c>
      <c r="E502" s="12" t="n">
        <v>2599.7</v>
      </c>
      <c r="H502" s="21">
        <f>(E502/$E$762)*100</f>
        <v/>
      </c>
      <c r="K502" s="12" t="n">
        <v>69446.7</v>
      </c>
      <c r="N502" s="131">
        <f>(K502/$K$762)*100</f>
        <v/>
      </c>
      <c r="T502" s="278" t="n">
        <v>45849</v>
      </c>
      <c r="W502" s="170" t="n">
        <v>48.0911</v>
      </c>
    </row>
    <row r="503">
      <c r="B503" s="278" t="n">
        <v>45826</v>
      </c>
      <c r="E503" s="12" t="n">
        <v>2645.2</v>
      </c>
      <c r="H503" s="21">
        <f>(E503/$E$762)*100</f>
        <v/>
      </c>
      <c r="K503" s="12" t="n">
        <v>69846.72</v>
      </c>
      <c r="N503" s="131">
        <f>(K503/$K$762)*100</f>
        <v/>
      </c>
      <c r="T503" s="278" t="n">
        <v>45848</v>
      </c>
      <c r="W503" s="170" t="n">
        <v>48.4135</v>
      </c>
    </row>
    <row r="504">
      <c r="B504" s="278" t="n">
        <v>45825</v>
      </c>
      <c r="E504" s="12" t="n">
        <v>2667</v>
      </c>
      <c r="H504" s="21">
        <f>(E504/$E$762)*100</f>
        <v/>
      </c>
      <c r="K504" s="12" t="n">
        <v>70180.69</v>
      </c>
      <c r="N504" s="131">
        <f>(K504/$K$762)*100</f>
        <v/>
      </c>
      <c r="T504" s="278" t="n">
        <v>45847</v>
      </c>
      <c r="W504" s="170" t="n">
        <v>48.9063</v>
      </c>
    </row>
    <row r="505">
      <c r="B505" s="278" t="n">
        <v>45824</v>
      </c>
      <c r="E505" s="12" t="n">
        <v>2721.3</v>
      </c>
      <c r="H505" s="21">
        <f>(E505/$E$762)*100</f>
        <v/>
      </c>
      <c r="K505" s="12" t="n">
        <v>70336.95</v>
      </c>
      <c r="N505" s="131">
        <f>(K505/$K$762)*100</f>
        <v/>
      </c>
      <c r="T505" s="278" t="n">
        <v>45846</v>
      </c>
      <c r="W505" s="170" t="n">
        <v>48.1333</v>
      </c>
    </row>
    <row r="506">
      <c r="B506" s="278" t="n">
        <v>45821</v>
      </c>
      <c r="E506" s="12" t="n">
        <v>2735</v>
      </c>
      <c r="H506" s="21">
        <f>(E506/$E$762)*100</f>
        <v/>
      </c>
      <c r="K506" s="12" t="n">
        <v>69767.45</v>
      </c>
      <c r="N506" s="131">
        <f>(K506/$K$762)*100</f>
        <v/>
      </c>
      <c r="T506" s="278" t="n">
        <v>45845</v>
      </c>
      <c r="W506" s="170" t="n">
        <v>47.173</v>
      </c>
    </row>
    <row r="507">
      <c r="B507" s="278" t="n">
        <v>45820</v>
      </c>
      <c r="E507" s="12" t="n">
        <v>2721.2</v>
      </c>
      <c r="H507" s="21">
        <f>(E507/$E$762)*100</f>
        <v/>
      </c>
      <c r="K507" s="12" t="n">
        <v>69774.57000000001</v>
      </c>
      <c r="N507" s="131">
        <f>(K507/$K$762)*100</f>
        <v/>
      </c>
      <c r="T507" s="278" t="n">
        <v>45842</v>
      </c>
      <c r="W507" s="170" t="n">
        <v>46.589</v>
      </c>
    </row>
    <row r="508">
      <c r="B508" s="278" t="n">
        <v>45819</v>
      </c>
      <c r="E508" s="12" t="n">
        <v>2760.4</v>
      </c>
      <c r="H508" s="21">
        <f>(E508/$E$762)*100</f>
        <v/>
      </c>
      <c r="K508" s="12" t="n">
        <v>71160.97</v>
      </c>
      <c r="N508" s="131">
        <f>(K508/$K$762)*100</f>
        <v/>
      </c>
      <c r="T508" s="278" t="n">
        <v>45841</v>
      </c>
      <c r="W508" s="170" t="n">
        <v>46.935</v>
      </c>
    </row>
    <row r="509">
      <c r="B509" s="278" t="n">
        <v>45818</v>
      </c>
      <c r="E509" s="12" t="n">
        <v>2772.3</v>
      </c>
      <c r="H509" s="21">
        <f>(E509/$E$762)*100</f>
        <v/>
      </c>
      <c r="K509" s="12" t="n">
        <v>71464.12</v>
      </c>
      <c r="N509" s="131">
        <f>(K509/$K$762)*100</f>
        <v/>
      </c>
      <c r="T509" s="278" t="n">
        <v>45840</v>
      </c>
      <c r="W509" s="170" t="n">
        <v>46.643</v>
      </c>
    </row>
    <row r="510">
      <c r="B510" s="278" t="n">
        <v>45817</v>
      </c>
      <c r="E510" s="12" t="n">
        <v>2798.4</v>
      </c>
      <c r="H510" s="21">
        <f>(E510/$E$762)*100</f>
        <v/>
      </c>
      <c r="K510" s="12" t="n">
        <v>71316.58</v>
      </c>
      <c r="N510" s="131">
        <f>(K510/$K$762)*100</f>
        <v/>
      </c>
      <c r="T510" s="278" t="n">
        <v>45839</v>
      </c>
      <c r="W510" s="170" t="n">
        <v>46.4051</v>
      </c>
    </row>
    <row r="511">
      <c r="B511" s="278" t="n">
        <v>45814</v>
      </c>
      <c r="E511" s="12" t="n">
        <v>2796.4</v>
      </c>
      <c r="H511" s="21">
        <f>(E511/$E$762)*100</f>
        <v/>
      </c>
      <c r="K511" s="12" t="n">
        <v>70797.7</v>
      </c>
      <c r="N511" s="131">
        <f>(K511/$K$762)*100</f>
        <v/>
      </c>
      <c r="T511" s="278" t="n">
        <v>45838</v>
      </c>
      <c r="W511" s="170" t="n">
        <v>46.7359</v>
      </c>
    </row>
    <row r="512">
      <c r="B512" s="278" t="n">
        <v>45813</v>
      </c>
      <c r="E512" s="12" t="n">
        <v>2805.7</v>
      </c>
      <c r="H512" s="21">
        <f>(E512/$E$762)*100</f>
        <v/>
      </c>
      <c r="K512" s="12" t="n">
        <v>71008.42</v>
      </c>
      <c r="N512" s="131">
        <f>(K512/$K$762)*100</f>
        <v/>
      </c>
      <c r="T512" s="278" t="n">
        <v>45835</v>
      </c>
      <c r="W512" s="170" t="n">
        <v>45.7283</v>
      </c>
    </row>
    <row r="513">
      <c r="B513" s="278" t="n">
        <v>45812</v>
      </c>
      <c r="E513" s="12" t="n">
        <v>2780.4</v>
      </c>
      <c r="H513" s="21">
        <f>(E513/$E$762)*100</f>
        <v/>
      </c>
      <c r="K513" s="12" t="n">
        <v>70713.45</v>
      </c>
      <c r="N513" s="131">
        <f>(K513/$K$762)*100</f>
        <v/>
      </c>
      <c r="T513" s="278" t="n">
        <v>45834</v>
      </c>
      <c r="W513" s="170" t="n">
        <v>44.1418</v>
      </c>
    </row>
    <row r="514">
      <c r="B514" s="278" t="n">
        <v>45811</v>
      </c>
      <c r="E514" s="12" t="n">
        <v>2795.4</v>
      </c>
      <c r="H514" s="21">
        <f>(E514/$E$762)*100</f>
        <v/>
      </c>
      <c r="K514" s="12" t="n">
        <v>70588.39999999999</v>
      </c>
      <c r="N514" s="131">
        <f>(K514/$K$762)*100</f>
        <v/>
      </c>
      <c r="T514" s="278" t="n">
        <v>45833</v>
      </c>
      <c r="W514" s="170" t="n">
        <v>45.0245</v>
      </c>
    </row>
    <row r="515">
      <c r="B515" s="278" t="n">
        <v>45810</v>
      </c>
      <c r="E515" s="12" t="n">
        <v>2731.4</v>
      </c>
      <c r="H515" s="21">
        <f>(E515/$E$762)*100</f>
        <v/>
      </c>
      <c r="K515" s="12" t="n">
        <v>71210.89999999999</v>
      </c>
      <c r="N515" s="131">
        <f>(K515/$K$762)*100</f>
        <v/>
      </c>
      <c r="T515" s="278" t="n">
        <v>45832</v>
      </c>
      <c r="W515" s="170" t="n">
        <v>43.654</v>
      </c>
    </row>
    <row r="516">
      <c r="B516" s="278" t="n">
        <v>45807</v>
      </c>
      <c r="E516" s="12" t="n">
        <v>2778.2</v>
      </c>
      <c r="H516" s="21">
        <f>(E516/$E$762)*100</f>
        <v/>
      </c>
      <c r="K516" s="12" t="n">
        <v>71089.64</v>
      </c>
      <c r="N516" s="131">
        <f>(K516/$K$762)*100</f>
        <v/>
      </c>
      <c r="T516" s="278" t="n">
        <v>45831</v>
      </c>
      <c r="W516" s="170" t="n">
        <v>43.6051</v>
      </c>
    </row>
    <row r="517">
      <c r="B517" s="278" t="n">
        <v>45806</v>
      </c>
      <c r="E517" s="12" t="n">
        <v>2796.4</v>
      </c>
      <c r="H517" s="21">
        <f>(E517/$E$762)*100</f>
        <v/>
      </c>
      <c r="K517" s="12" t="n">
        <v>70650.14999999999</v>
      </c>
      <c r="N517" s="131">
        <f>(K517/$K$762)*100</f>
        <v/>
      </c>
      <c r="T517" s="278" t="n">
        <v>45828</v>
      </c>
      <c r="W517" s="170" t="n">
        <v>43.7063</v>
      </c>
    </row>
    <row r="518">
      <c r="B518" s="278" t="n">
        <v>45805</v>
      </c>
      <c r="E518" s="12" t="n">
        <v>2815.1</v>
      </c>
      <c r="H518" s="21">
        <f>(E518/$E$762)*100</f>
        <v/>
      </c>
      <c r="K518" s="12" t="n">
        <v>70430.91</v>
      </c>
      <c r="N518" s="131">
        <f>(K518/$K$762)*100</f>
        <v/>
      </c>
      <c r="T518" s="278" t="n">
        <v>45827</v>
      </c>
      <c r="W518" s="170" t="n">
        <v>43.8768</v>
      </c>
    </row>
    <row r="519">
      <c r="B519" s="278" t="n">
        <v>45804</v>
      </c>
      <c r="E519" s="12" t="n">
        <v>2824</v>
      </c>
      <c r="H519" s="21">
        <f>(E519/$E$762)*100</f>
        <v/>
      </c>
      <c r="K519" s="12" t="n">
        <v>70168.14999999999</v>
      </c>
      <c r="N519" s="131">
        <f>(K519/$K$762)*100</f>
        <v/>
      </c>
      <c r="T519" s="278" t="n">
        <v>45826</v>
      </c>
      <c r="W519" s="170" t="n">
        <v>44.6447</v>
      </c>
    </row>
    <row r="520">
      <c r="B520" s="278" t="n">
        <v>45803</v>
      </c>
      <c r="E520" s="12" t="n">
        <v>2801.5</v>
      </c>
      <c r="H520" s="21">
        <f>(E520/$E$762)*100</f>
        <v/>
      </c>
      <c r="K520" s="12" t="n">
        <v>69874.85000000001</v>
      </c>
      <c r="N520" s="131">
        <f>(K520/$K$762)*100</f>
        <v/>
      </c>
      <c r="T520" s="278" t="n">
        <v>45825</v>
      </c>
      <c r="W520" s="170" t="n">
        <v>45.0127</v>
      </c>
    </row>
    <row r="521">
      <c r="B521" s="278" t="n">
        <v>45800</v>
      </c>
      <c r="E521" s="12" t="n">
        <v>2782.2</v>
      </c>
      <c r="H521" s="21">
        <f>(E521/$E$762)*100</f>
        <v/>
      </c>
      <c r="K521" s="12" t="n">
        <v>69246.03</v>
      </c>
      <c r="N521" s="131">
        <f>(K521/$K$762)*100</f>
        <v/>
      </c>
      <c r="T521" s="278" t="n">
        <v>45824</v>
      </c>
      <c r="W521" s="170" t="n">
        <v>45.9291</v>
      </c>
    </row>
    <row r="522">
      <c r="B522" s="278" t="n">
        <v>45799</v>
      </c>
      <c r="E522" s="12" t="n">
        <v>2808</v>
      </c>
      <c r="H522" s="21">
        <f>(E522/$E$762)*100</f>
        <v/>
      </c>
      <c r="K522" s="12" t="n">
        <v>68952.2</v>
      </c>
      <c r="N522" s="131">
        <f>(K522/$K$762)*100</f>
        <v/>
      </c>
      <c r="T522" s="278" t="n">
        <v>45821</v>
      </c>
      <c r="W522" s="170" t="n">
        <v>46.1603</v>
      </c>
    </row>
    <row r="523">
      <c r="B523" s="278" t="n">
        <v>45798</v>
      </c>
      <c r="E523" s="12" t="n">
        <v>2847.7</v>
      </c>
      <c r="H523" s="21">
        <f>(E523/$E$762)*100</f>
        <v/>
      </c>
      <c r="K523" s="12" t="n">
        <v>69097.16</v>
      </c>
      <c r="N523" s="131">
        <f>(K523/$K$762)*100</f>
        <v/>
      </c>
      <c r="T523" s="278" t="n">
        <v>45820</v>
      </c>
      <c r="W523" s="170" t="n">
        <v>45.9274</v>
      </c>
    </row>
    <row r="524">
      <c r="B524" s="278" t="n">
        <v>45797</v>
      </c>
      <c r="E524" s="12" t="n">
        <v>2865.1</v>
      </c>
      <c r="H524" s="21">
        <f>(E524/$E$762)*100</f>
        <v/>
      </c>
      <c r="K524" s="12" t="n">
        <v>67978.24000000001</v>
      </c>
      <c r="N524" s="131">
        <f>(K524/$K$762)*100</f>
        <v/>
      </c>
      <c r="T524" s="278" t="n">
        <v>45819</v>
      </c>
      <c r="W524" s="170" t="n">
        <v>46.589</v>
      </c>
    </row>
    <row r="525">
      <c r="B525" s="278" t="n">
        <v>45796</v>
      </c>
      <c r="E525" s="12" t="n">
        <v>2934.8</v>
      </c>
      <c r="H525" s="21">
        <f>(E525/$E$762)*100</f>
        <v/>
      </c>
      <c r="K525" s="12" t="n">
        <v>68800.35000000001</v>
      </c>
      <c r="N525" s="131">
        <f>(K525/$K$762)*100</f>
        <v/>
      </c>
      <c r="T525" s="278" t="n">
        <v>45818</v>
      </c>
      <c r="W525" s="170" t="n">
        <v>46.7899</v>
      </c>
    </row>
    <row r="526">
      <c r="B526" s="278" t="n">
        <v>45793</v>
      </c>
      <c r="E526" s="12" t="n">
        <v>2991.2</v>
      </c>
      <c r="H526" s="21">
        <f>(E526/$E$762)*100</f>
        <v/>
      </c>
      <c r="K526" s="12" t="n">
        <v>68909.14</v>
      </c>
      <c r="N526" s="131">
        <f>(K526/$K$762)*100</f>
        <v/>
      </c>
      <c r="T526" s="278" t="n">
        <v>45817</v>
      </c>
      <c r="W526" s="170" t="n">
        <v>47.2304</v>
      </c>
    </row>
    <row r="527">
      <c r="B527" s="278" t="n">
        <v>45792</v>
      </c>
      <c r="E527" s="12" t="n">
        <v>2979.8</v>
      </c>
      <c r="H527" s="21">
        <f>(E527/$E$762)*100</f>
        <v/>
      </c>
      <c r="K527" s="12" t="n">
        <v>67802.23</v>
      </c>
      <c r="N527" s="131">
        <f>(K527/$K$762)*100</f>
        <v/>
      </c>
      <c r="T527" s="278" t="n">
        <v>45814</v>
      </c>
      <c r="W527" s="170" t="n">
        <v>47.1966</v>
      </c>
    </row>
    <row r="528">
      <c r="B528" s="278" t="n">
        <v>45791</v>
      </c>
      <c r="E528" s="12" t="n">
        <v>2993.8</v>
      </c>
      <c r="H528" s="21">
        <f>(E528/$E$762)*100</f>
        <v/>
      </c>
      <c r="K528" s="12" t="n">
        <v>66938.23</v>
      </c>
      <c r="N528" s="131">
        <f>(K528/$K$762)*100</f>
        <v/>
      </c>
      <c r="T528" s="278" t="n">
        <v>45813</v>
      </c>
      <c r="W528" s="170" t="n">
        <v>47.3536</v>
      </c>
    </row>
    <row r="529">
      <c r="B529" s="278" t="n">
        <v>45790</v>
      </c>
      <c r="E529" s="12" t="n">
        <v>3025.2</v>
      </c>
      <c r="H529" s="21">
        <f>(E529/$E$762)*100</f>
        <v/>
      </c>
      <c r="K529" s="12" t="n">
        <v>65952.78</v>
      </c>
      <c r="N529" s="131">
        <f>(K529/$K$762)*100</f>
        <v/>
      </c>
      <c r="T529" s="278" t="n">
        <v>45812</v>
      </c>
      <c r="W529" s="170" t="n">
        <v>46.9266</v>
      </c>
    </row>
    <row r="530">
      <c r="B530" s="278" t="n">
        <v>45789</v>
      </c>
      <c r="E530" s="12" t="n">
        <v>3301.8</v>
      </c>
      <c r="H530" s="21">
        <f>(E530/$E$762)*100</f>
        <v/>
      </c>
      <c r="K530" s="12" t="n">
        <v>65274.44</v>
      </c>
      <c r="N530" s="131">
        <f>(K530/$K$762)*100</f>
        <v/>
      </c>
      <c r="T530" s="278" t="n">
        <v>45811</v>
      </c>
      <c r="W530" s="170" t="n">
        <v>47.1797</v>
      </c>
    </row>
    <row r="531">
      <c r="B531" s="278" t="n">
        <v>45786</v>
      </c>
      <c r="E531" s="12" t="n">
        <v>3158</v>
      </c>
      <c r="H531" s="21">
        <f>(E531/$E$762)*100</f>
        <v/>
      </c>
      <c r="K531" s="12" t="n">
        <v>62852.21</v>
      </c>
      <c r="N531" s="131">
        <f>(K531/$K$762)*100</f>
        <v/>
      </c>
      <c r="T531" s="278" t="n">
        <v>45810</v>
      </c>
      <c r="W531" s="170" t="n">
        <v>46.0996</v>
      </c>
    </row>
    <row r="532">
      <c r="B532" s="278" t="n">
        <v>45785</v>
      </c>
      <c r="E532" s="12" t="n">
        <v>3093.6</v>
      </c>
      <c r="H532" s="21">
        <f>(E532/$E$762)*100</f>
        <v/>
      </c>
      <c r="K532" s="12" t="n">
        <v>61820.63</v>
      </c>
      <c r="N532" s="131">
        <f>(K532/$K$762)*100</f>
        <v/>
      </c>
      <c r="T532" s="278" t="n">
        <v>45807</v>
      </c>
      <c r="W532" s="170" t="n">
        <v>46.8895</v>
      </c>
    </row>
    <row r="533">
      <c r="B533" s="278" t="n">
        <v>45784</v>
      </c>
      <c r="E533" s="12" t="n">
        <v>3119.5</v>
      </c>
      <c r="H533" s="21">
        <f>(E533/$E$762)*100</f>
        <v/>
      </c>
      <c r="K533" s="12" t="n">
        <v>62384</v>
      </c>
      <c r="N533" s="131">
        <f>(K533/$K$762)*100</f>
        <v/>
      </c>
      <c r="T533" s="278" t="n">
        <v>45806</v>
      </c>
      <c r="W533" s="170" t="n">
        <v>47.1966</v>
      </c>
    </row>
    <row r="534">
      <c r="B534" s="278" t="n">
        <v>45783</v>
      </c>
      <c r="E534" s="12" t="n">
        <v>3041.4</v>
      </c>
      <c r="H534" s="21">
        <f>(E534/$E$762)*100</f>
        <v/>
      </c>
      <c r="K534" s="12" t="n">
        <v>62117.06</v>
      </c>
      <c r="N534" s="131">
        <f>(K534/$K$762)*100</f>
        <v/>
      </c>
      <c r="T534" s="278" t="n">
        <v>45805</v>
      </c>
      <c r="W534" s="170" t="n">
        <v>47.5122</v>
      </c>
    </row>
    <row r="535">
      <c r="B535" s="278" t="n">
        <v>45782</v>
      </c>
      <c r="E535" s="12" t="n">
        <v>3115.8</v>
      </c>
      <c r="H535" s="21">
        <f>(E535/$E$762)*100</f>
        <v/>
      </c>
      <c r="K535" s="12" t="n">
        <v>63200.61</v>
      </c>
      <c r="N535" s="131">
        <f>(K535/$K$762)*100</f>
        <v/>
      </c>
      <c r="T535" s="278" t="n">
        <v>45804</v>
      </c>
      <c r="W535" s="170" t="n">
        <v>47.6624</v>
      </c>
    </row>
    <row r="536">
      <c r="B536" s="278" t="n">
        <v>45779</v>
      </c>
      <c r="E536" s="12" t="n">
        <v>2914.1</v>
      </c>
      <c r="H536" s="21">
        <f>(E536/$E$762)*100</f>
        <v/>
      </c>
      <c r="K536" s="12" t="n">
        <v>62668.31</v>
      </c>
      <c r="N536" s="131">
        <f>(K536/$K$762)*100</f>
        <v/>
      </c>
      <c r="T536" s="278" t="n">
        <v>45803</v>
      </c>
      <c r="W536" s="170" t="n">
        <v>47.2827</v>
      </c>
    </row>
    <row r="537">
      <c r="B537" s="278" t="n">
        <v>45777</v>
      </c>
      <c r="E537" s="12" t="n">
        <v>2989.4</v>
      </c>
      <c r="H537" s="21">
        <f>(E537/$E$762)*100</f>
        <v/>
      </c>
      <c r="K537" s="12" t="n">
        <v>62780.39</v>
      </c>
      <c r="N537" s="131">
        <f>(K537/$K$762)*100</f>
        <v/>
      </c>
      <c r="T537" s="278" t="n">
        <v>45800</v>
      </c>
      <c r="W537" s="170" t="n">
        <v>46.957</v>
      </c>
    </row>
    <row r="538">
      <c r="B538" s="278" t="n">
        <v>45776</v>
      </c>
      <c r="E538" s="12" t="n">
        <v>3089.4</v>
      </c>
      <c r="H538" s="21">
        <f>(E538/$E$762)*100</f>
        <v/>
      </c>
      <c r="K538" s="12" t="n">
        <v>63289.87</v>
      </c>
      <c r="N538" s="131">
        <f>(K538/$K$762)*100</f>
        <v/>
      </c>
      <c r="T538" s="278" t="n">
        <v>45799</v>
      </c>
      <c r="W538" s="170" t="n">
        <v>47.3924</v>
      </c>
    </row>
    <row r="539">
      <c r="B539" s="278" t="n">
        <v>45775</v>
      </c>
      <c r="E539" s="12" t="n">
        <v>3018</v>
      </c>
      <c r="H539" s="21">
        <f>(E539/$E$762)*100</f>
        <v/>
      </c>
      <c r="K539" s="12" t="n">
        <v>62698.43</v>
      </c>
      <c r="N539" s="131">
        <f>(K539/$K$762)*100</f>
        <v/>
      </c>
      <c r="T539" s="278" t="n">
        <v>45798</v>
      </c>
      <c r="W539" s="170" t="n">
        <v>48.0624</v>
      </c>
    </row>
    <row r="540">
      <c r="B540" s="278" t="n">
        <v>45772</v>
      </c>
      <c r="E540" s="12" t="n">
        <v>3035.3</v>
      </c>
      <c r="H540" s="21">
        <f>(E540/$E$762)*100</f>
        <v/>
      </c>
      <c r="K540" s="12" t="n">
        <v>61508.96</v>
      </c>
      <c r="N540" s="131">
        <f>(K540/$K$762)*100</f>
        <v/>
      </c>
      <c r="T540" s="278" t="n">
        <v>45797</v>
      </c>
      <c r="W540" s="170" t="n">
        <v>48.3561</v>
      </c>
    </row>
    <row r="541">
      <c r="B541" s="278" t="n">
        <v>45771</v>
      </c>
      <c r="E541" s="12" t="n">
        <v>3082.7</v>
      </c>
      <c r="H541" s="21">
        <f>(E541/$E$762)*100</f>
        <v/>
      </c>
      <c r="K541" s="12" t="n">
        <v>62802.62</v>
      </c>
      <c r="N541" s="131">
        <f>(K541/$K$762)*100</f>
        <v/>
      </c>
      <c r="T541" s="278" t="n">
        <v>45796</v>
      </c>
      <c r="W541" s="170" t="n">
        <v>49.5325</v>
      </c>
    </row>
    <row r="542">
      <c r="B542" s="278" t="n">
        <v>45770</v>
      </c>
      <c r="E542" s="12" t="n">
        <v>3158.7</v>
      </c>
      <c r="H542" s="21">
        <f>(E542/$E$762)*100</f>
        <v/>
      </c>
      <c r="K542" s="12" t="n">
        <v>62829.74</v>
      </c>
      <c r="N542" s="131">
        <f>(K542/$K$762)*100</f>
        <v/>
      </c>
      <c r="T542" s="278" t="n">
        <v>45793</v>
      </c>
      <c r="W542" s="170" t="n">
        <v>50.4844</v>
      </c>
    </row>
    <row r="543">
      <c r="B543" s="278" t="n">
        <v>45769</v>
      </c>
      <c r="E543" s="12" t="n">
        <v>3231.1</v>
      </c>
      <c r="H543" s="21">
        <f>(E543/$E$762)*100</f>
        <v/>
      </c>
      <c r="K543" s="12" t="n">
        <v>62189.75</v>
      </c>
      <c r="N543" s="131">
        <f>(K543/$K$762)*100</f>
        <v/>
      </c>
      <c r="T543" s="278" t="n">
        <v>45792</v>
      </c>
      <c r="W543" s="170" t="n">
        <v>50.292</v>
      </c>
    </row>
    <row r="544">
      <c r="B544" s="278" t="n">
        <v>45768</v>
      </c>
      <c r="E544" s="12" t="n">
        <v>3327.9</v>
      </c>
      <c r="H544" s="21">
        <f>(E544/$E$762)*100</f>
        <v/>
      </c>
      <c r="K544" s="12" t="n">
        <v>62275.41</v>
      </c>
      <c r="N544" s="131">
        <f>(K544/$K$762)*100</f>
        <v/>
      </c>
      <c r="T544" s="278" t="n">
        <v>45791</v>
      </c>
      <c r="W544" s="170" t="n">
        <v>50.5283</v>
      </c>
    </row>
    <row r="545">
      <c r="B545" s="278" t="n">
        <v>45764</v>
      </c>
      <c r="E545" s="12" t="n">
        <v>3167.1</v>
      </c>
      <c r="H545" s="21">
        <f>(E545/$E$762)*100</f>
        <v/>
      </c>
      <c r="K545" s="12" t="n">
        <v>61111.69</v>
      </c>
      <c r="N545" s="131">
        <f>(K545/$K$762)*100</f>
        <v/>
      </c>
      <c r="T545" s="278" t="n">
        <v>45790</v>
      </c>
      <c r="W545" s="170" t="n">
        <v>51.0582</v>
      </c>
    </row>
    <row r="546">
      <c r="B546" s="278" t="n">
        <v>45763</v>
      </c>
      <c r="E546" s="12" t="n">
        <v>3153</v>
      </c>
      <c r="H546" s="21">
        <f>(E546/$E$762)*100</f>
        <v/>
      </c>
      <c r="K546" s="12" t="n">
        <v>60654.34</v>
      </c>
      <c r="N546" s="131">
        <f>(K546/$K$762)*100</f>
        <v/>
      </c>
      <c r="T546" s="278" t="n">
        <v>45789</v>
      </c>
      <c r="W546" s="170" t="n">
        <v>55.7266</v>
      </c>
    </row>
    <row r="547">
      <c r="B547" s="278" t="n">
        <v>45762</v>
      </c>
      <c r="E547" s="12" t="n">
        <v>3190.6</v>
      </c>
      <c r="H547" s="21">
        <f>(E547/$E$762)*100</f>
        <v/>
      </c>
      <c r="K547" s="12" t="n">
        <v>60696.06</v>
      </c>
      <c r="N547" s="131">
        <f>(K547/$K$762)*100</f>
        <v/>
      </c>
      <c r="T547" s="278" t="n">
        <v>45786</v>
      </c>
      <c r="W547" s="170" t="n">
        <v>53.2996</v>
      </c>
    </row>
    <row r="548">
      <c r="B548" s="278" t="n">
        <v>45758</v>
      </c>
      <c r="E548" s="12" t="n">
        <v>3064.45</v>
      </c>
      <c r="H548" s="21">
        <f>(E548/$E$762)*100</f>
        <v/>
      </c>
      <c r="K548" s="12" t="n">
        <v>58545.93</v>
      </c>
      <c r="N548" s="131">
        <f>(K548/$K$762)*100</f>
        <v/>
      </c>
      <c r="T548" s="278" t="n">
        <v>45785</v>
      </c>
      <c r="W548" s="170" t="n">
        <v>52.2127</v>
      </c>
    </row>
    <row r="549">
      <c r="B549" s="278" t="n">
        <v>45756</v>
      </c>
      <c r="E549" s="12" t="n">
        <v>2908</v>
      </c>
      <c r="H549" s="21">
        <f>(E549/$E$762)*100</f>
        <v/>
      </c>
      <c r="K549" s="12" t="n">
        <v>57314.96</v>
      </c>
      <c r="N549" s="131">
        <f>(K549/$K$762)*100</f>
        <v/>
      </c>
      <c r="T549" s="278" t="n">
        <v>45784</v>
      </c>
      <c r="W549" s="170" t="n">
        <v>52.6498</v>
      </c>
    </row>
    <row r="550">
      <c r="B550" s="278" t="n">
        <v>45755</v>
      </c>
      <c r="E550" s="12" t="n">
        <v>3050.5</v>
      </c>
      <c r="H550" s="21">
        <f>(E550/$E$762)*100</f>
        <v/>
      </c>
      <c r="K550" s="12" t="n">
        <v>58275.98</v>
      </c>
      <c r="N550" s="131">
        <f>(K550/$K$762)*100</f>
        <v/>
      </c>
      <c r="T550" s="278" t="n">
        <v>45783</v>
      </c>
      <c r="W550" s="170" t="n">
        <v>51.3316</v>
      </c>
    </row>
    <row r="551">
      <c r="B551" s="278" t="n">
        <v>45754</v>
      </c>
      <c r="E551" s="12" t="n">
        <v>2985.05</v>
      </c>
      <c r="H551" s="21">
        <f>(E551/$E$762)*100</f>
        <v/>
      </c>
      <c r="K551" s="12" t="n">
        <v>57055.91</v>
      </c>
      <c r="N551" s="131">
        <f>(K551/$K$762)*100</f>
        <v/>
      </c>
      <c r="T551" s="278" t="n">
        <v>45782</v>
      </c>
      <c r="W551" s="170" t="n">
        <v>52.5873</v>
      </c>
    </row>
    <row r="552">
      <c r="B552" s="278" t="n">
        <v>45751</v>
      </c>
      <c r="E552" s="12" t="n">
        <v>3178</v>
      </c>
      <c r="H552" s="21">
        <f>(E552/$E$762)*100</f>
        <v/>
      </c>
      <c r="K552" s="12" t="n">
        <v>59643.57</v>
      </c>
      <c r="N552" s="131">
        <f>(K552/$K$762)*100</f>
        <v/>
      </c>
      <c r="T552" s="278" t="n">
        <v>45779</v>
      </c>
      <c r="W552" s="170" t="n">
        <v>49.1831</v>
      </c>
    </row>
    <row r="553">
      <c r="B553" s="278" t="n">
        <v>45750</v>
      </c>
      <c r="E553" s="12" t="n">
        <v>3420.85</v>
      </c>
      <c r="H553" s="21">
        <f>(E553/$E$762)*100</f>
        <v/>
      </c>
      <c r="K553" s="12" t="n">
        <v>62121.12</v>
      </c>
      <c r="N553" s="131">
        <f>(K553/$K$762)*100</f>
        <v/>
      </c>
      <c r="T553" s="278" t="n">
        <v>45778</v>
      </c>
      <c r="W553" s="170" t="n"/>
    </row>
    <row r="554">
      <c r="B554" s="278" t="n">
        <v>45749</v>
      </c>
      <c r="E554" s="12" t="n">
        <v>3390.6</v>
      </c>
      <c r="H554" s="21">
        <f>(E554/$E$762)*100</f>
        <v/>
      </c>
      <c r="K554" s="12" t="n">
        <v>61893.92</v>
      </c>
      <c r="N554" s="131">
        <f>(K554/$K$762)*100</f>
        <v/>
      </c>
      <c r="T554" s="278" t="n">
        <v>45777</v>
      </c>
      <c r="W554" s="170" t="n">
        <v>50.454</v>
      </c>
    </row>
    <row r="555">
      <c r="B555" s="278" t="n">
        <v>45748</v>
      </c>
      <c r="E555" s="12" t="n">
        <v>3393.05</v>
      </c>
      <c r="H555" s="21">
        <f>(E555/$E$762)*100</f>
        <v/>
      </c>
      <c r="K555" s="12" t="n">
        <v>61802.95</v>
      </c>
      <c r="N555" s="131">
        <f>(K555/$K$762)*100</f>
        <v/>
      </c>
      <c r="T555" s="278" t="n">
        <v>45776</v>
      </c>
      <c r="W555" s="170" t="n">
        <v>52.1418</v>
      </c>
    </row>
    <row r="556">
      <c r="B556" s="278" t="n">
        <v>45744</v>
      </c>
      <c r="E556" s="12" t="n">
        <v>3475.5</v>
      </c>
      <c r="H556" s="21">
        <f>(E556/$E$762)*100</f>
        <v/>
      </c>
      <c r="K556" s="12" t="n">
        <v>62724.28</v>
      </c>
      <c r="N556" s="131">
        <f>(K556/$K$762)*100</f>
        <v/>
      </c>
      <c r="T556" s="278" t="n">
        <v>45775</v>
      </c>
      <c r="W556" s="170" t="n">
        <v>50.9367</v>
      </c>
    </row>
    <row r="557">
      <c r="B557" s="278" t="n">
        <v>45743</v>
      </c>
      <c r="E557" s="12" t="n">
        <v>3546.6</v>
      </c>
      <c r="H557" s="21">
        <f>(E557/$E$762)*100</f>
        <v/>
      </c>
      <c r="K557" s="12" t="n">
        <v>62817.33</v>
      </c>
      <c r="N557" s="131">
        <f>(K557/$K$762)*100</f>
        <v/>
      </c>
      <c r="T557" s="278" t="n">
        <v>45772</v>
      </c>
      <c r="W557" s="170" t="n">
        <v>51.2287</v>
      </c>
    </row>
    <row r="558">
      <c r="B558" s="278" t="n">
        <v>45742</v>
      </c>
      <c r="E558" s="12" t="n">
        <v>3363.9</v>
      </c>
      <c r="H558" s="21">
        <f>(E558/$E$762)*100</f>
        <v/>
      </c>
      <c r="K558" s="12" t="n">
        <v>62499.96</v>
      </c>
      <c r="N558" s="131">
        <f>(K558/$K$762)*100</f>
        <v/>
      </c>
      <c r="T558" s="278" t="n">
        <v>45771</v>
      </c>
      <c r="W558" s="170" t="n">
        <v>52.0287</v>
      </c>
    </row>
    <row r="559">
      <c r="B559" s="278" t="n">
        <v>45741</v>
      </c>
      <c r="E559" s="12" t="n">
        <v>3290.65</v>
      </c>
      <c r="H559" s="21">
        <f>(E559/$E$762)*100</f>
        <v/>
      </c>
      <c r="K559" s="12" t="n">
        <v>62468.01</v>
      </c>
      <c r="N559" s="131">
        <f>(K559/$K$762)*100</f>
        <v/>
      </c>
      <c r="T559" s="278" t="n">
        <v>45770</v>
      </c>
      <c r="W559" s="170" t="n">
        <v>53.3114</v>
      </c>
    </row>
    <row r="560">
      <c r="B560" s="278" t="n">
        <v>45740</v>
      </c>
      <c r="E560" s="12" t="n">
        <v>3371.1</v>
      </c>
      <c r="H560" s="21">
        <f>(E560/$E$762)*100</f>
        <v/>
      </c>
      <c r="K560" s="12" t="n">
        <v>63106.78</v>
      </c>
      <c r="N560" s="131">
        <f>(K560/$K$762)*100</f>
        <v/>
      </c>
      <c r="T560" s="278" t="n">
        <v>45769</v>
      </c>
      <c r="W560" s="170" t="n">
        <v>54.5333</v>
      </c>
    </row>
    <row r="561">
      <c r="B561" s="278" t="n">
        <v>45737</v>
      </c>
      <c r="E561" s="12" t="n">
        <v>3266.55</v>
      </c>
      <c r="H561" s="21">
        <f>(E561/$E$762)*100</f>
        <v/>
      </c>
      <c r="K561" s="12" t="n">
        <v>61901.78</v>
      </c>
      <c r="N561" s="131">
        <f>(K561/$K$762)*100</f>
        <v/>
      </c>
      <c r="T561" s="278" t="n">
        <v>45768</v>
      </c>
      <c r="W561" s="170" t="n">
        <v>56.1671</v>
      </c>
    </row>
    <row r="562">
      <c r="B562" s="278" t="n">
        <v>45736</v>
      </c>
      <c r="E562" s="12" t="n">
        <v>3135.7</v>
      </c>
      <c r="H562" s="21">
        <f>(E562/$E$762)*100</f>
        <v/>
      </c>
      <c r="K562" s="12" t="n">
        <v>61290.7</v>
      </c>
      <c r="N562" s="131">
        <f>(K562/$K$762)*100</f>
        <v/>
      </c>
      <c r="T562" s="278" t="n">
        <v>45765</v>
      </c>
      <c r="W562" s="170" t="n"/>
    </row>
    <row r="563">
      <c r="B563" s="278" t="n">
        <v>45735</v>
      </c>
      <c r="E563" s="12" t="n">
        <v>3172.85</v>
      </c>
      <c r="H563" s="21">
        <f>(E563/$E$762)*100</f>
        <v/>
      </c>
      <c r="K563" s="12" t="n">
        <v>60768.04</v>
      </c>
      <c r="N563" s="131">
        <f>(K563/$K$762)*100</f>
        <v/>
      </c>
      <c r="T563" s="278" t="n">
        <v>45764</v>
      </c>
      <c r="W563" s="170" t="n">
        <v>53.4532</v>
      </c>
    </row>
    <row r="564">
      <c r="B564" s="278" t="n">
        <v>45734</v>
      </c>
      <c r="E564" s="12" t="n">
        <v>3167.95</v>
      </c>
      <c r="H564" s="21">
        <f>(E564/$E$762)*100</f>
        <v/>
      </c>
      <c r="K564" s="12" t="n">
        <v>59437.56</v>
      </c>
      <c r="N564" s="131">
        <f>(K564/$K$762)*100</f>
        <v/>
      </c>
      <c r="T564" s="278" t="n">
        <v>45763</v>
      </c>
      <c r="W564" s="170" t="n">
        <v>53.2152</v>
      </c>
    </row>
    <row r="565">
      <c r="B565" s="278" t="n">
        <v>45733</v>
      </c>
      <c r="E565" s="12" t="n">
        <v>3075.2</v>
      </c>
      <c r="H565" s="21">
        <f>(E565/$E$762)*100</f>
        <v/>
      </c>
      <c r="K565" s="12" t="n">
        <v>58020.05</v>
      </c>
      <c r="N565" s="131">
        <f>(K565/$K$762)*100</f>
        <v/>
      </c>
      <c r="T565" s="278" t="n">
        <v>45762</v>
      </c>
      <c r="W565" s="170" t="n">
        <v>53.8498</v>
      </c>
    </row>
    <row r="566">
      <c r="B566" s="278" t="n">
        <v>45729</v>
      </c>
      <c r="E566" s="12" t="n">
        <v>2886.4</v>
      </c>
      <c r="H566" s="21">
        <f>(E566/$E$762)*100</f>
        <v/>
      </c>
      <c r="K566" s="12" t="n">
        <v>57756.79</v>
      </c>
      <c r="N566" s="131">
        <f>(K566/$K$762)*100</f>
        <v/>
      </c>
      <c r="T566" s="278" t="n">
        <v>45761</v>
      </c>
      <c r="W566" s="170" t="n"/>
    </row>
    <row r="567">
      <c r="B567" s="278" t="n">
        <v>45728</v>
      </c>
      <c r="E567" s="12" t="n">
        <v>2976.45</v>
      </c>
      <c r="H567" s="21">
        <f>(E567/$E$762)*100</f>
        <v/>
      </c>
      <c r="K567" s="12" t="n">
        <v>57791.87</v>
      </c>
      <c r="N567" s="131">
        <f>(K567/$K$762)*100</f>
        <v/>
      </c>
      <c r="T567" s="278" t="n">
        <v>45758</v>
      </c>
      <c r="W567" s="170" t="n">
        <v>51.7207</v>
      </c>
    </row>
    <row r="568">
      <c r="B568" s="278" t="n">
        <v>45727</v>
      </c>
      <c r="E568" s="12" t="n">
        <v>3012.7</v>
      </c>
      <c r="H568" s="21">
        <f>(E568/$E$762)*100</f>
        <v/>
      </c>
      <c r="K568" s="12" t="n">
        <v>57968.72</v>
      </c>
      <c r="N568" s="131">
        <f>(K568/$K$762)*100</f>
        <v/>
      </c>
      <c r="T568" s="278" t="n">
        <v>45757</v>
      </c>
      <c r="W568" s="170" t="n"/>
    </row>
    <row r="569">
      <c r="B569" s="278" t="n">
        <v>45726</v>
      </c>
      <c r="E569" s="12" t="n">
        <v>3014.25</v>
      </c>
      <c r="H569" s="21">
        <f>(E569/$E$762)*100</f>
        <v/>
      </c>
      <c r="K569" s="12" t="n">
        <v>57697.55</v>
      </c>
      <c r="N569" s="131">
        <f>(K569/$K$762)*100</f>
        <v/>
      </c>
      <c r="T569" s="278" t="n">
        <v>45756</v>
      </c>
      <c r="W569" s="170" t="n">
        <v>49.0802</v>
      </c>
    </row>
    <row r="570">
      <c r="B570" s="278" t="n">
        <v>45723</v>
      </c>
      <c r="E570" s="12" t="n">
        <v>3057.95</v>
      </c>
      <c r="H570" s="21">
        <f>(E570/$E$762)*100</f>
        <v/>
      </c>
      <c r="K570" s="12" t="n">
        <v>58911.86</v>
      </c>
      <c r="N570" s="131">
        <f>(K570/$K$762)*100</f>
        <v/>
      </c>
      <c r="T570" s="278" t="n">
        <v>45755</v>
      </c>
      <c r="W570" s="170" t="n">
        <v>51.4852</v>
      </c>
    </row>
    <row r="571">
      <c r="B571" s="278" t="n">
        <v>45722</v>
      </c>
      <c r="E571" s="12" t="n">
        <v>3069.45</v>
      </c>
      <c r="H571" s="21">
        <f>(E571/$E$762)*100</f>
        <v/>
      </c>
      <c r="K571" s="12" t="n">
        <v>58634.88</v>
      </c>
      <c r="N571" s="131">
        <f>(K571/$K$762)*100</f>
        <v/>
      </c>
      <c r="T571" s="278" t="n">
        <v>45754</v>
      </c>
      <c r="W571" s="170" t="n">
        <v>50.3806</v>
      </c>
    </row>
    <row r="572">
      <c r="B572" s="278" t="n">
        <v>45721</v>
      </c>
      <c r="E572" s="12" t="n">
        <v>2841.35</v>
      </c>
      <c r="H572" s="21">
        <f>(E572/$E$762)*100</f>
        <v/>
      </c>
      <c r="K572" s="12" t="n">
        <v>58160.24</v>
      </c>
      <c r="N572" s="131">
        <f>(K572/$K$762)*100</f>
        <v/>
      </c>
      <c r="T572" s="278" t="n">
        <v>45751</v>
      </c>
      <c r="W572" s="170" t="n">
        <v>53.6371</v>
      </c>
    </row>
    <row r="573">
      <c r="B573" s="278" t="n">
        <v>45720</v>
      </c>
      <c r="E573" s="12" t="n">
        <v>2751.65</v>
      </c>
      <c r="H573" s="21">
        <f>(E573/$E$762)*100</f>
        <v/>
      </c>
      <c r="K573" s="12" t="n">
        <v>56876.17</v>
      </c>
      <c r="N573" s="131">
        <f>(K573/$K$762)*100</f>
        <v/>
      </c>
      <c r="T573" s="278" t="n">
        <v>45750</v>
      </c>
      <c r="W573" s="170" t="n">
        <v>57.7359</v>
      </c>
    </row>
    <row r="574">
      <c r="B574" s="278" t="n">
        <v>45719</v>
      </c>
      <c r="E574" s="12" t="n">
        <v>2742.4</v>
      </c>
      <c r="H574" s="21">
        <f>(E574/$E$762)*100</f>
        <v/>
      </c>
      <c r="K574" s="12" t="n">
        <v>56083.57</v>
      </c>
      <c r="N574" s="131">
        <f>(K574/$K$762)*100</f>
        <v/>
      </c>
      <c r="T574" s="278" t="n">
        <v>45749</v>
      </c>
      <c r="W574" s="170" t="n">
        <v>57.2253</v>
      </c>
    </row>
    <row r="575">
      <c r="B575" s="278" t="n">
        <v>45716</v>
      </c>
      <c r="E575" s="12" t="n">
        <v>2798.15</v>
      </c>
      <c r="H575" s="21">
        <f>(E575/$E$762)*100</f>
        <v/>
      </c>
      <c r="K575" s="12" t="n">
        <v>55241.12</v>
      </c>
      <c r="N575" s="131">
        <f>(K575/$K$762)*100</f>
        <v/>
      </c>
      <c r="T575" s="278" t="n">
        <v>45748</v>
      </c>
      <c r="W575" s="170" t="n">
        <v>57.2667</v>
      </c>
    </row>
    <row r="576">
      <c r="B576" s="278" t="n">
        <v>45715</v>
      </c>
      <c r="E576" s="12" t="n">
        <v>2915.25</v>
      </c>
      <c r="H576" s="21">
        <f>(E576/$E$762)*100</f>
        <v/>
      </c>
      <c r="K576" s="12" t="n">
        <v>56493.23</v>
      </c>
      <c r="N576" s="131">
        <f>(K576/$K$762)*100</f>
        <v/>
      </c>
      <c r="T576" s="278" t="n">
        <v>45747</v>
      </c>
      <c r="W576" s="170" t="n"/>
    </row>
    <row r="577">
      <c r="B577" s="278" t="n">
        <v>45713</v>
      </c>
      <c r="E577" s="12" t="n">
        <v>3046.5</v>
      </c>
      <c r="H577" s="21">
        <f>(E577/$E$762)*100</f>
        <v/>
      </c>
      <c r="K577" s="12" t="n">
        <v>57399.52</v>
      </c>
      <c r="N577" s="131">
        <f>(K577/$K$762)*100</f>
        <v/>
      </c>
      <c r="T577" s="278" t="n">
        <v>45744</v>
      </c>
      <c r="W577" s="170" t="n">
        <v>58.6582</v>
      </c>
    </row>
    <row r="578">
      <c r="B578" s="278" t="n">
        <v>45712</v>
      </c>
      <c r="E578" s="12" t="n">
        <v>3215.9</v>
      </c>
      <c r="H578" s="21">
        <f>(E578/$E$762)*100</f>
        <v/>
      </c>
      <c r="K578" s="12" t="n">
        <v>57758.47</v>
      </c>
      <c r="N578" s="131">
        <f>(K578/$K$762)*100</f>
        <v/>
      </c>
      <c r="T578" s="278" t="n">
        <v>45743</v>
      </c>
      <c r="W578" s="170" t="n">
        <v>136.3815</v>
      </c>
    </row>
    <row r="579">
      <c r="B579" s="278" t="n">
        <v>45709</v>
      </c>
      <c r="E579" s="12" t="n">
        <v>3179.85</v>
      </c>
      <c r="H579" s="21">
        <f>(E579/$E$762)*100</f>
        <v/>
      </c>
      <c r="K579" s="12" t="n">
        <v>58398.81</v>
      </c>
      <c r="N579" s="131">
        <f>(K579/$K$762)*100</f>
        <v/>
      </c>
      <c r="T579" s="278" t="n">
        <v>45742</v>
      </c>
      <c r="W579" s="170" t="n">
        <v>129.3559</v>
      </c>
    </row>
    <row r="580">
      <c r="B580" s="278" t="n">
        <v>45708</v>
      </c>
      <c r="E580" s="12" t="n">
        <v>3106.45</v>
      </c>
      <c r="H580" s="21">
        <f>(E580/$E$762)*100</f>
        <v/>
      </c>
      <c r="K580" s="12" t="n">
        <v>58435.58</v>
      </c>
      <c r="N580" s="131">
        <f>(K580/$K$762)*100</f>
        <v/>
      </c>
      <c r="T580" s="278" t="n">
        <v>45741</v>
      </c>
      <c r="W580" s="170" t="n">
        <v>126.5391</v>
      </c>
    </row>
    <row r="581">
      <c r="B581" s="278" t="n">
        <v>45707</v>
      </c>
      <c r="E581" s="12" t="n">
        <v>3087.65</v>
      </c>
      <c r="H581" s="21">
        <f>(E581/$E$762)*100</f>
        <v/>
      </c>
      <c r="K581" s="12" t="n">
        <v>57780.05</v>
      </c>
      <c r="N581" s="131">
        <f>(K581/$K$762)*100</f>
        <v/>
      </c>
      <c r="T581" s="278" t="n">
        <v>45740</v>
      </c>
      <c r="W581" s="170" t="n">
        <v>129.6328</v>
      </c>
    </row>
    <row r="582">
      <c r="B582" s="278" t="n">
        <v>45706</v>
      </c>
      <c r="E582" s="12" t="n">
        <v>2845.25</v>
      </c>
      <c r="H582" s="21">
        <f>(E582/$E$762)*100</f>
        <v/>
      </c>
      <c r="K582" s="12" t="n">
        <v>56543.09</v>
      </c>
      <c r="N582" s="131">
        <f>(K582/$K$762)*100</f>
        <v/>
      </c>
      <c r="T582" s="278" t="n">
        <v>45737</v>
      </c>
      <c r="W582" s="170" t="n">
        <v>125.6124</v>
      </c>
    </row>
    <row r="583">
      <c r="B583" s="278" t="n">
        <v>45705</v>
      </c>
      <c r="E583" s="12" t="n">
        <v>2843.4</v>
      </c>
      <c r="H583" s="21">
        <f>(E583/$E$762)*100</f>
        <v/>
      </c>
      <c r="K583" s="12" t="n">
        <v>57063.92</v>
      </c>
      <c r="N583" s="131">
        <f>(K583/$K$762)*100</f>
        <v/>
      </c>
      <c r="T583" s="278" t="n">
        <v>45736</v>
      </c>
      <c r="W583" s="170" t="n">
        <v>120.5807</v>
      </c>
    </row>
    <row r="584">
      <c r="B584" s="278" t="n">
        <v>45702</v>
      </c>
      <c r="E584" s="12" t="n">
        <v>2732.1</v>
      </c>
      <c r="H584" s="21">
        <f>(E584/$E$762)*100</f>
        <v/>
      </c>
      <c r="K584" s="12" t="n">
        <v>57349.1</v>
      </c>
      <c r="N584" s="131">
        <f>(K584/$K$762)*100</f>
        <v/>
      </c>
      <c r="T584" s="278" t="n">
        <v>45735</v>
      </c>
      <c r="W584" s="170" t="n">
        <v>122.0092</v>
      </c>
    </row>
    <row r="585">
      <c r="B585" s="278" t="n">
        <v>45701</v>
      </c>
      <c r="E585" s="12" t="n">
        <v>2812.25</v>
      </c>
      <c r="H585" s="21">
        <f>(E585/$E$762)*100</f>
        <v/>
      </c>
      <c r="K585" s="12" t="n">
        <v>58979.79</v>
      </c>
      <c r="N585" s="131">
        <f>(K585/$K$762)*100</f>
        <v/>
      </c>
      <c r="T585" s="278" t="n">
        <v>45734</v>
      </c>
      <c r="W585" s="170" t="n">
        <v>121.8208</v>
      </c>
    </row>
    <row r="586">
      <c r="B586" s="278" t="n">
        <v>45700</v>
      </c>
      <c r="E586" s="12" t="n">
        <v>2669.95</v>
      </c>
      <c r="H586" s="21">
        <f>(E586/$E$762)*100</f>
        <v/>
      </c>
      <c r="K586" s="12" t="n">
        <v>58923.77</v>
      </c>
      <c r="N586" s="131">
        <f>(K586/$K$762)*100</f>
        <v/>
      </c>
      <c r="T586" s="278" t="n">
        <v>45733</v>
      </c>
      <c r="W586" s="170" t="n">
        <v>118.2542</v>
      </c>
    </row>
    <row r="587">
      <c r="B587" s="278" t="n">
        <v>45699</v>
      </c>
      <c r="E587" s="12" t="n">
        <v>2688</v>
      </c>
      <c r="H587" s="21">
        <f>(E587/$E$762)*100</f>
        <v/>
      </c>
      <c r="K587" s="12" t="n">
        <v>58827.26</v>
      </c>
      <c r="N587" s="131">
        <f>(K587/$K$762)*100</f>
        <v/>
      </c>
      <c r="T587" s="278" t="n">
        <v>45730</v>
      </c>
      <c r="W587" s="170" t="n"/>
    </row>
    <row r="588">
      <c r="B588" s="278" t="n">
        <v>45698</v>
      </c>
      <c r="E588" s="12" t="n">
        <v>2820.95</v>
      </c>
      <c r="H588" s="21">
        <f>(E588/$E$762)*100</f>
        <v/>
      </c>
      <c r="K588" s="12" t="n">
        <v>60391.27</v>
      </c>
      <c r="N588" s="131">
        <f>(K588/$K$762)*100</f>
        <v/>
      </c>
      <c r="T588" s="278" t="n">
        <v>45729</v>
      </c>
      <c r="W588" s="170" t="n">
        <v>110.994</v>
      </c>
    </row>
    <row r="589">
      <c r="B589" s="278" t="n">
        <v>45695</v>
      </c>
      <c r="E589" s="12" t="n">
        <v>2798.7</v>
      </c>
      <c r="H589" s="21">
        <f>(E589/$E$762)*100</f>
        <v/>
      </c>
      <c r="K589" s="12" t="n">
        <v>61074.9</v>
      </c>
      <c r="N589" s="131">
        <f>(K589/$K$762)*100</f>
        <v/>
      </c>
      <c r="T589" s="278" t="n">
        <v>45728</v>
      </c>
      <c r="W589" s="170" t="n">
        <v>114.4568</v>
      </c>
    </row>
    <row r="590">
      <c r="B590" s="278" t="n">
        <v>45694</v>
      </c>
      <c r="E590" s="12" t="n">
        <v>2815.65</v>
      </c>
      <c r="H590" s="21">
        <f>(E590/$E$762)*100</f>
        <v/>
      </c>
      <c r="K590" s="12" t="n">
        <v>61525.05</v>
      </c>
      <c r="N590" s="131">
        <f>(K590/$K$762)*100</f>
        <v/>
      </c>
      <c r="T590" s="278" t="n">
        <v>45727</v>
      </c>
      <c r="W590" s="170" t="n">
        <v>115.8508</v>
      </c>
    </row>
    <row r="591">
      <c r="B591" s="278" t="n">
        <v>45693</v>
      </c>
      <c r="E591" s="12" t="n">
        <v>2832.15</v>
      </c>
      <c r="H591" s="21">
        <f>(E591/$E$762)*100</f>
        <v/>
      </c>
      <c r="K591" s="12" t="n">
        <v>62048.08</v>
      </c>
      <c r="N591" s="131">
        <f>(K591/$K$762)*100</f>
        <v/>
      </c>
      <c r="T591" s="278" t="n">
        <v>45726</v>
      </c>
      <c r="W591" s="170" t="n">
        <v>115.9104</v>
      </c>
    </row>
    <row r="592">
      <c r="B592" s="278" t="n">
        <v>45692</v>
      </c>
      <c r="E592" s="12" t="n">
        <v>2835.3</v>
      </c>
      <c r="H592" s="21">
        <f>(E592/$E$762)*100</f>
        <v/>
      </c>
      <c r="K592" s="12" t="n">
        <v>61947.54</v>
      </c>
      <c r="N592" s="131">
        <f>(K592/$K$762)*100</f>
        <v/>
      </c>
      <c r="T592" s="278" t="n">
        <v>45723</v>
      </c>
      <c r="W592" s="170" t="n">
        <v>117.5909</v>
      </c>
    </row>
    <row r="593">
      <c r="B593" s="278" t="n">
        <v>45691</v>
      </c>
      <c r="E593" s="12" t="n">
        <v>2938.2</v>
      </c>
      <c r="H593" s="21">
        <f>(E593/$E$762)*100</f>
        <v/>
      </c>
      <c r="K593" s="12" t="n">
        <v>59898.65</v>
      </c>
      <c r="N593" s="131">
        <f>(K593/$K$762)*100</f>
        <v/>
      </c>
      <c r="T593" s="278" t="n">
        <v>45722</v>
      </c>
      <c r="W593" s="170" t="n">
        <v>118.0331</v>
      </c>
    </row>
    <row r="594">
      <c r="B594" s="278" t="n">
        <v>45689</v>
      </c>
      <c r="E594" s="12" t="n">
        <v>3027.8</v>
      </c>
      <c r="H594" s="21">
        <f>(E594/$E$762)*100</f>
        <v/>
      </c>
      <c r="K594" s="12" t="n">
        <v>62581.73</v>
      </c>
      <c r="N594" s="131">
        <f>(K594/$K$762)*100</f>
        <v/>
      </c>
      <c r="T594" s="278" t="n">
        <v>45721</v>
      </c>
      <c r="W594" s="170" t="n">
        <v>109.2617</v>
      </c>
    </row>
    <row r="595">
      <c r="B595" s="278" t="n">
        <v>45688</v>
      </c>
      <c r="E595" s="12" t="n">
        <v>2824.6</v>
      </c>
      <c r="H595" s="21">
        <f>(E595/$E$762)*100</f>
        <v/>
      </c>
      <c r="K595" s="12" t="n">
        <v>64529.77</v>
      </c>
      <c r="N595" s="131">
        <f>(K595/$K$762)*100</f>
        <v/>
      </c>
      <c r="T595" s="278" t="n">
        <v>45720</v>
      </c>
      <c r="W595" s="170" t="n">
        <v>105.8123</v>
      </c>
    </row>
    <row r="596">
      <c r="B596" s="278" t="n">
        <v>45687</v>
      </c>
      <c r="E596" s="12" t="n">
        <v>2994.3</v>
      </c>
      <c r="H596" s="21">
        <f>(E596/$E$762)*100</f>
        <v/>
      </c>
      <c r="K596" s="12" t="n">
        <v>62112.3</v>
      </c>
      <c r="N596" s="131">
        <f>(K596/$K$762)*100</f>
        <v/>
      </c>
      <c r="T596" s="278" t="n">
        <v>45719</v>
      </c>
      <c r="W596" s="170" t="n">
        <v>105.4566</v>
      </c>
    </row>
    <row r="597">
      <c r="B597" s="278" t="n">
        <v>45686</v>
      </c>
      <c r="E597" s="12" t="n">
        <v>3063.95</v>
      </c>
      <c r="H597" s="21">
        <f>(E597/$E$762)*100</f>
        <v/>
      </c>
      <c r="K597" s="12" t="n">
        <v>61759.35</v>
      </c>
      <c r="N597" s="131">
        <f>(K597/$K$762)*100</f>
        <v/>
      </c>
      <c r="T597" s="278" t="n">
        <v>45716</v>
      </c>
      <c r="W597" s="170" t="n">
        <v>107.6005</v>
      </c>
    </row>
    <row r="598">
      <c r="B598" s="278" t="n">
        <v>45685</v>
      </c>
      <c r="E598" s="12" t="n">
        <v>2961.2</v>
      </c>
      <c r="H598" s="21">
        <f>(E598/$E$762)*100</f>
        <v/>
      </c>
      <c r="K598" s="12" t="n">
        <v>60136.27</v>
      </c>
      <c r="N598" s="131">
        <f>(K598/$K$762)*100</f>
        <v/>
      </c>
      <c r="T598" s="278" t="n">
        <v>45715</v>
      </c>
      <c r="W598" s="170" t="n">
        <v>112.1034</v>
      </c>
    </row>
    <row r="599">
      <c r="B599" s="278" t="n">
        <v>45684</v>
      </c>
      <c r="E599" s="12" t="n">
        <v>2838.35</v>
      </c>
      <c r="H599" s="21">
        <f>(E599/$E$762)*100</f>
        <v/>
      </c>
      <c r="K599" s="12" t="n">
        <v>61101.85</v>
      </c>
      <c r="N599" s="131">
        <f>(K599/$K$762)*100</f>
        <v/>
      </c>
      <c r="T599" s="278" t="n">
        <v>45714</v>
      </c>
      <c r="W599" s="170" t="n"/>
    </row>
    <row r="600">
      <c r="B600" s="278" t="n">
        <v>45681</v>
      </c>
      <c r="E600" s="12" t="n">
        <v>2950.9</v>
      </c>
      <c r="H600" s="21">
        <f>(E600/$E$762)*100</f>
        <v/>
      </c>
      <c r="K600" s="12" t="n">
        <v>62231.16</v>
      </c>
      <c r="N600" s="131">
        <f>(K600/$K$762)*100</f>
        <v/>
      </c>
      <c r="T600" s="278" t="n">
        <v>45713</v>
      </c>
      <c r="W600" s="170" t="n">
        <v>117.1506</v>
      </c>
    </row>
    <row r="601">
      <c r="B601" s="278" t="n">
        <v>45680</v>
      </c>
      <c r="E601" s="12" t="n">
        <v>3073.5</v>
      </c>
      <c r="H601" s="21">
        <f>(E601/$E$762)*100</f>
        <v/>
      </c>
      <c r="K601" s="12" t="n">
        <v>63429.75</v>
      </c>
      <c r="N601" s="131">
        <f>(K601/$K$762)*100</f>
        <v/>
      </c>
      <c r="T601" s="278" t="n">
        <v>45712</v>
      </c>
      <c r="W601" s="170" t="n">
        <v>123.6647</v>
      </c>
    </row>
    <row r="602">
      <c r="B602" s="278" t="n">
        <v>45679</v>
      </c>
      <c r="E602" s="12" t="n">
        <v>3027.1</v>
      </c>
      <c r="H602" s="21">
        <f>(E602/$E$762)*100</f>
        <v/>
      </c>
      <c r="K602" s="12" t="n">
        <v>63215.31</v>
      </c>
      <c r="N602" s="131">
        <f>(K602/$K$762)*100</f>
        <v/>
      </c>
      <c r="T602" s="278" t="n">
        <v>45709</v>
      </c>
      <c r="W602" s="170" t="n">
        <v>122.2784</v>
      </c>
    </row>
    <row r="603">
      <c r="B603" s="278" t="n">
        <v>45678</v>
      </c>
      <c r="E603" s="12" t="n">
        <v>3024.45</v>
      </c>
      <c r="H603" s="21">
        <f>(E603/$E$762)*100</f>
        <v/>
      </c>
      <c r="K603" s="12" t="n">
        <v>64384.37</v>
      </c>
      <c r="N603" s="131">
        <f>(K603/$K$762)*100</f>
        <v/>
      </c>
      <c r="T603" s="278" t="n">
        <v>45708</v>
      </c>
      <c r="W603" s="170" t="n">
        <v>119.4559</v>
      </c>
    </row>
    <row r="604">
      <c r="B604" s="278" t="n">
        <v>45677</v>
      </c>
      <c r="E604" s="12" t="n">
        <v>3114</v>
      </c>
      <c r="H604" s="21">
        <f>(E604/$E$762)*100</f>
        <v/>
      </c>
      <c r="K604" s="12" t="n">
        <v>65807.60000000001</v>
      </c>
      <c r="N604" s="131">
        <f>(K604/$K$762)*100</f>
        <v/>
      </c>
      <c r="T604" s="278" t="n">
        <v>45707</v>
      </c>
      <c r="W604" s="170" t="n">
        <v>118.7329</v>
      </c>
    </row>
    <row r="605">
      <c r="B605" s="278" t="n">
        <v>45674</v>
      </c>
      <c r="E605" s="12" t="n">
        <v>3100.4</v>
      </c>
      <c r="H605" s="21">
        <f>(E605/$E$762)*100</f>
        <v/>
      </c>
      <c r="K605" s="12" t="n">
        <v>65179.63</v>
      </c>
      <c r="N605" s="131">
        <f>(K605/$K$762)*100</f>
        <v/>
      </c>
      <c r="T605" s="278" t="n">
        <v>45706</v>
      </c>
      <c r="W605" s="170" t="n">
        <v>109.4117</v>
      </c>
    </row>
    <row r="606">
      <c r="B606" s="278" t="n">
        <v>45673</v>
      </c>
      <c r="E606" s="12" t="n">
        <v>3097.55</v>
      </c>
      <c r="H606" s="21">
        <f>(E606/$E$762)*100</f>
        <v/>
      </c>
      <c r="K606" s="12" t="n">
        <v>64158.49</v>
      </c>
      <c r="N606" s="131">
        <f>(K606/$K$762)*100</f>
        <v/>
      </c>
      <c r="T606" s="278" t="n">
        <v>45705</v>
      </c>
      <c r="W606" s="170" t="n">
        <v>109.3405</v>
      </c>
    </row>
    <row r="607">
      <c r="B607" s="278" t="n">
        <v>45672</v>
      </c>
      <c r="E607" s="12" t="n">
        <v>3044.4</v>
      </c>
      <c r="H607" s="21">
        <f>(E607/$E$762)*100</f>
        <v/>
      </c>
      <c r="K607" s="12" t="n">
        <v>63175.87</v>
      </c>
      <c r="N607" s="131">
        <f>(K607/$K$762)*100</f>
        <v/>
      </c>
      <c r="T607" s="278" t="n">
        <v>45702</v>
      </c>
      <c r="W607" s="170" t="n">
        <v>105.0606</v>
      </c>
    </row>
    <row r="608">
      <c r="B608" s="278" t="n">
        <v>45671</v>
      </c>
      <c r="E608" s="12" t="n">
        <v>3118.75</v>
      </c>
      <c r="H608" s="21">
        <f>(E608/$E$762)*100</f>
        <v/>
      </c>
      <c r="K608" s="12" t="n">
        <v>62951.74</v>
      </c>
      <c r="N608" s="131">
        <f>(K608/$K$762)*100</f>
        <v/>
      </c>
      <c r="T608" s="278" t="n">
        <v>45701</v>
      </c>
      <c r="W608" s="170" t="n">
        <v>108.1427</v>
      </c>
    </row>
    <row r="609">
      <c r="B609" s="278" t="n">
        <v>45670</v>
      </c>
      <c r="E609" s="12" t="n">
        <v>2892.2</v>
      </c>
      <c r="H609" s="21">
        <f>(E609/$E$762)*100</f>
        <v/>
      </c>
      <c r="K609" s="12" t="n">
        <v>61931.11</v>
      </c>
      <c r="N609" s="131">
        <f>(K609/$K$762)*100</f>
        <v/>
      </c>
      <c r="T609" s="278" t="n">
        <v>45700</v>
      </c>
      <c r="W609" s="170" t="n">
        <v>102.6706</v>
      </c>
    </row>
    <row r="610">
      <c r="B610" s="278" t="n">
        <v>45667</v>
      </c>
      <c r="E610" s="12" t="n">
        <v>3092.7</v>
      </c>
      <c r="H610" s="21">
        <f>(E610/$E$762)*100</f>
        <v/>
      </c>
      <c r="K610" s="12" t="n">
        <v>64232.65</v>
      </c>
      <c r="N610" s="131">
        <f>(K610/$K$762)*100</f>
        <v/>
      </c>
      <c r="T610" s="278" t="n">
        <v>45699</v>
      </c>
      <c r="W610" s="170" t="n">
        <v>103.3647</v>
      </c>
    </row>
    <row r="611">
      <c r="B611" s="278" t="n">
        <v>45666</v>
      </c>
      <c r="E611" s="12" t="n">
        <v>3293.65</v>
      </c>
      <c r="H611" s="21">
        <f>(E611/$E$762)*100</f>
        <v/>
      </c>
      <c r="K611" s="12" t="n">
        <v>65355.69</v>
      </c>
      <c r="N611" s="131">
        <f>(K611/$K$762)*100</f>
        <v/>
      </c>
      <c r="T611" s="278" t="n">
        <v>45698</v>
      </c>
      <c r="W611" s="170" t="n">
        <v>108.4772</v>
      </c>
    </row>
    <row r="612">
      <c r="B612" s="278" t="n">
        <v>45665</v>
      </c>
      <c r="E612" s="12" t="n">
        <v>3426.65</v>
      </c>
      <c r="H612" s="21">
        <f>(E612/$E$762)*100</f>
        <v/>
      </c>
      <c r="K612" s="12" t="n">
        <v>66375.31</v>
      </c>
      <c r="N612" s="131">
        <f>(K612/$K$762)*100</f>
        <v/>
      </c>
      <c r="T612" s="278" t="n">
        <v>45695</v>
      </c>
      <c r="W612" s="170" t="n">
        <v>107.6216</v>
      </c>
    </row>
    <row r="613">
      <c r="B613" s="278" t="n">
        <v>45664</v>
      </c>
      <c r="E613" s="12" t="n">
        <v>3492.85</v>
      </c>
      <c r="H613" s="21">
        <f>(E613/$E$762)*100</f>
        <v/>
      </c>
      <c r="K613" s="12" t="n">
        <v>67277.50999999999</v>
      </c>
      <c r="N613" s="131">
        <f>(K613/$K$762)*100</f>
        <v/>
      </c>
      <c r="T613" s="278" t="n">
        <v>45694</v>
      </c>
      <c r="W613" s="170" t="n">
        <v>108.2734</v>
      </c>
    </row>
    <row r="614">
      <c r="B614" s="278" t="n">
        <v>45663</v>
      </c>
      <c r="E614" s="12" t="n">
        <v>3435.85</v>
      </c>
      <c r="H614" s="21">
        <f>(E614/$E$762)*100</f>
        <v/>
      </c>
      <c r="K614" s="12" t="n">
        <v>66521.96000000001</v>
      </c>
      <c r="N614" s="131">
        <f>(K614/$K$762)*100</f>
        <v/>
      </c>
      <c r="T614" s="278" t="n">
        <v>45693</v>
      </c>
      <c r="W614" s="170" t="n">
        <v>108.9079</v>
      </c>
    </row>
    <row r="615">
      <c r="B615" s="278" t="n">
        <v>45660</v>
      </c>
      <c r="E615" s="12" t="n">
        <v>3516.25</v>
      </c>
      <c r="H615" s="21">
        <f>(E615/$E$762)*100</f>
        <v/>
      </c>
      <c r="K615" s="12" t="n">
        <v>68211.21000000001</v>
      </c>
      <c r="N615" s="131">
        <f>(K615/$K$762)*100</f>
        <v/>
      </c>
      <c r="T615" s="278" t="n">
        <v>45692</v>
      </c>
      <c r="W615" s="170" t="n">
        <v>109.029</v>
      </c>
    </row>
    <row r="616">
      <c r="B616" s="278" t="n">
        <v>45659</v>
      </c>
      <c r="E616" s="12" t="n">
        <v>3542.8</v>
      </c>
      <c r="H616" s="21">
        <f>(E616/$E$762)*100</f>
        <v/>
      </c>
      <c r="K616" s="12" t="n">
        <v>68938.92</v>
      </c>
      <c r="N616" s="131">
        <f>(K616/$K$762)*100</f>
        <v/>
      </c>
      <c r="T616" s="278" t="n">
        <v>45691</v>
      </c>
      <c r="W616" s="170" t="n">
        <v>112.986</v>
      </c>
    </row>
    <row r="617">
      <c r="B617" s="278" t="n">
        <v>45658</v>
      </c>
      <c r="E617" s="12" t="n">
        <v>3491.75</v>
      </c>
      <c r="H617" s="21">
        <f>(E617/$E$762)*100</f>
        <v/>
      </c>
      <c r="K617" s="12" t="n">
        <v>68604.11</v>
      </c>
      <c r="N617" s="131">
        <f>(K617/$K$762)*100</f>
        <v/>
      </c>
      <c r="T617" s="278" t="n">
        <v>45689</v>
      </c>
      <c r="W617" s="170" t="n">
        <v>116.4315</v>
      </c>
    </row>
    <row r="618">
      <c r="B618" s="278" t="n">
        <v>45657</v>
      </c>
      <c r="E618" s="12" t="n">
        <v>3498.65</v>
      </c>
      <c r="H618" s="21">
        <f>(E618/$E$762)*100</f>
        <v/>
      </c>
      <c r="K618" s="12" t="n">
        <v>67779.5</v>
      </c>
      <c r="N618" s="131">
        <f>(K618/$K$762)*100</f>
        <v/>
      </c>
      <c r="T618" s="278" t="n">
        <v>45688</v>
      </c>
      <c r="W618" s="170" t="n">
        <v>108.6176</v>
      </c>
    </row>
    <row r="619">
      <c r="B619" s="278" t="n">
        <v>45656</v>
      </c>
      <c r="E619" s="12" t="n">
        <v>3473.55</v>
      </c>
      <c r="H619" s="21">
        <f>(E619/$E$762)*100</f>
        <v/>
      </c>
      <c r="K619" s="12" t="n">
        <v>66904.27</v>
      </c>
      <c r="N619" s="131">
        <f>(K619/$K$762)*100</f>
        <v/>
      </c>
      <c r="T619" s="278" t="n">
        <v>45687</v>
      </c>
      <c r="W619" s="170" t="n">
        <v>115.1432</v>
      </c>
    </row>
    <row r="620">
      <c r="B620" s="278" t="n">
        <v>45653</v>
      </c>
      <c r="E620" s="12" t="n">
        <v>3442.6</v>
      </c>
      <c r="H620" s="21">
        <f>(E620/$E$762)*100</f>
        <v/>
      </c>
      <c r="K620" s="12" t="n">
        <v>68160.14999999999</v>
      </c>
      <c r="N620" s="131">
        <f>(K620/$K$762)*100</f>
        <v/>
      </c>
      <c r="T620" s="278" t="n">
        <v>45686</v>
      </c>
      <c r="W620" s="170" t="n">
        <v>117.8216</v>
      </c>
    </row>
    <row r="621">
      <c r="B621" s="278" t="n">
        <v>45652</v>
      </c>
      <c r="E621" s="12" t="n">
        <v>3499.65</v>
      </c>
      <c r="H621" s="21">
        <f>(E621/$E$762)*100</f>
        <v/>
      </c>
      <c r="K621" s="12" t="n">
        <v>68576.74000000001</v>
      </c>
      <c r="N621" s="131">
        <f>(K621/$K$762)*100</f>
        <v/>
      </c>
      <c r="T621" s="278" t="n">
        <v>45685</v>
      </c>
      <c r="W621" s="170" t="n">
        <v>113.8704</v>
      </c>
    </row>
    <row r="622">
      <c r="B622" s="278" t="n">
        <v>45650</v>
      </c>
      <c r="E622" s="12" t="n">
        <v>3381.95</v>
      </c>
      <c r="H622" s="21">
        <f>(E622/$E$762)*100</f>
        <v/>
      </c>
      <c r="K622" s="12" t="n">
        <v>68551.06</v>
      </c>
      <c r="N622" s="131">
        <f>(K622/$K$762)*100</f>
        <v/>
      </c>
      <c r="T622" s="278" t="n">
        <v>45684</v>
      </c>
      <c r="W622" s="170" t="n">
        <v>109.1463</v>
      </c>
    </row>
    <row r="623">
      <c r="B623" s="278" t="n">
        <v>45649</v>
      </c>
      <c r="E623" s="12" t="n">
        <v>3427.25</v>
      </c>
      <c r="H623" s="21">
        <f>(E623/$E$762)*100</f>
        <v/>
      </c>
      <c r="K623" s="12" t="n">
        <v>68616.42</v>
      </c>
      <c r="N623" s="131">
        <f>(K623/$K$762)*100</f>
        <v/>
      </c>
      <c r="T623" s="278" t="n">
        <v>45681</v>
      </c>
      <c r="W623" s="170" t="n">
        <v>113.4743</v>
      </c>
    </row>
    <row r="624">
      <c r="B624" s="278" t="n">
        <v>45646</v>
      </c>
      <c r="E624" s="12" t="n">
        <v>3421.45</v>
      </c>
      <c r="H624" s="21">
        <f>(E624/$E$762)*100</f>
        <v/>
      </c>
      <c r="K624" s="12" t="n">
        <v>68557.39999999999</v>
      </c>
      <c r="N624" s="131">
        <f>(K624/$K$762)*100</f>
        <v/>
      </c>
      <c r="T624" s="278" t="n">
        <v>45680</v>
      </c>
      <c r="W624" s="170" t="n">
        <v>118.1888</v>
      </c>
    </row>
    <row r="625">
      <c r="B625" s="278" t="n">
        <v>45645</v>
      </c>
      <c r="E625" s="12" t="n">
        <v>3445.3</v>
      </c>
      <c r="H625" s="21">
        <f>(E625/$E$762)*100</f>
        <v/>
      </c>
      <c r="K625" s="12" t="n">
        <v>70695.45</v>
      </c>
      <c r="N625" s="131">
        <f>(K625/$K$762)*100</f>
        <v/>
      </c>
      <c r="T625" s="278" t="n">
        <v>45679</v>
      </c>
      <c r="W625" s="170" t="n">
        <v>116.4045</v>
      </c>
    </row>
    <row r="626">
      <c r="B626" s="278" t="n">
        <v>45644</v>
      </c>
      <c r="E626" s="12" t="n">
        <v>3397.9</v>
      </c>
      <c r="H626" s="21">
        <f>(E626/$E$762)*100</f>
        <v/>
      </c>
      <c r="K626" s="12" t="n">
        <v>71462.08</v>
      </c>
      <c r="N626" s="131">
        <f>(K626/$K$762)*100</f>
        <v/>
      </c>
      <c r="T626" s="278" t="n">
        <v>45678</v>
      </c>
      <c r="W626" s="170" t="n">
        <v>116.3026</v>
      </c>
    </row>
    <row r="627">
      <c r="B627" s="278" t="n">
        <v>45643</v>
      </c>
      <c r="E627" s="12" t="n">
        <v>3615.1</v>
      </c>
      <c r="H627" s="21">
        <f>(E627/$E$762)*100</f>
        <v/>
      </c>
      <c r="K627" s="12" t="n">
        <v>72597.2</v>
      </c>
      <c r="N627" s="131">
        <f>(K627/$K$762)*100</f>
        <v/>
      </c>
      <c r="T627" s="278" t="n">
        <v>45677</v>
      </c>
      <c r="W627" s="170" t="n">
        <v>119.7462</v>
      </c>
    </row>
    <row r="628">
      <c r="B628" s="278" t="n">
        <v>45642</v>
      </c>
      <c r="E628" s="12" t="n">
        <v>3679.6</v>
      </c>
      <c r="H628" s="21">
        <f>(E628/$E$762)*100</f>
        <v/>
      </c>
      <c r="K628" s="12" t="n">
        <v>73345.09</v>
      </c>
      <c r="N628" s="131">
        <f>(K628/$K$762)*100</f>
        <v/>
      </c>
      <c r="T628" s="278" t="n">
        <v>45674</v>
      </c>
      <c r="W628" s="170" t="n">
        <v>119.2232</v>
      </c>
    </row>
    <row r="629">
      <c r="B629" s="278" t="n">
        <v>45639</v>
      </c>
      <c r="E629" s="12" t="n">
        <v>3730.55</v>
      </c>
      <c r="H629" s="21">
        <f>(E629/$E$762)*100</f>
        <v/>
      </c>
      <c r="K629" s="12" t="n">
        <v>73065.89</v>
      </c>
      <c r="N629" s="131">
        <f>(K629/$K$762)*100</f>
        <v/>
      </c>
      <c r="T629" s="278" t="n">
        <v>45673</v>
      </c>
      <c r="W629" s="170" t="n">
        <v>119.1136</v>
      </c>
    </row>
    <row r="630">
      <c r="B630" s="278" t="n">
        <v>45638</v>
      </c>
      <c r="E630" s="12" t="n">
        <v>3741.75</v>
      </c>
      <c r="H630" s="21">
        <f>(E630/$E$762)*100</f>
        <v/>
      </c>
      <c r="K630" s="12" t="n">
        <v>72932.67999999999</v>
      </c>
      <c r="N630" s="131">
        <f>(K630/$K$762)*100</f>
        <v/>
      </c>
      <c r="T630" s="278" t="n">
        <v>45672</v>
      </c>
      <c r="W630" s="170" t="n">
        <v>117.0698</v>
      </c>
    </row>
    <row r="631">
      <c r="B631" s="278" t="n">
        <v>45637</v>
      </c>
      <c r="E631" s="12" t="n">
        <v>3628.6</v>
      </c>
      <c r="H631" s="21">
        <f>(E631/$E$762)*100</f>
        <v/>
      </c>
      <c r="K631" s="12" t="n">
        <v>73519.41</v>
      </c>
      <c r="N631" s="131">
        <f>(K631/$K$762)*100</f>
        <v/>
      </c>
      <c r="T631" s="278" t="n">
        <v>45671</v>
      </c>
      <c r="W631" s="170" t="n">
        <v>119.9289</v>
      </c>
    </row>
    <row r="632">
      <c r="B632" s="278" t="n">
        <v>45636</v>
      </c>
      <c r="E632" s="12" t="n">
        <v>3576.05</v>
      </c>
      <c r="H632" s="21">
        <f>(E632/$E$762)*100</f>
        <v/>
      </c>
      <c r="K632" s="12" t="n">
        <v>73346.25</v>
      </c>
      <c r="N632" s="131">
        <f>(K632/$K$762)*100</f>
        <v/>
      </c>
      <c r="T632" s="278" t="n">
        <v>45670</v>
      </c>
      <c r="W632" s="170" t="n">
        <v>111.2171</v>
      </c>
    </row>
    <row r="633">
      <c r="B633" s="278" t="n">
        <v>45635</v>
      </c>
      <c r="E633" s="12" t="n">
        <v>3686.9</v>
      </c>
      <c r="H633" s="21">
        <f>(E633/$E$762)*100</f>
        <v/>
      </c>
      <c r="K633" s="12" t="n">
        <v>73601.8</v>
      </c>
      <c r="N633" s="131">
        <f>(K633/$K$762)*100</f>
        <v/>
      </c>
      <c r="T633" s="278" t="n">
        <v>45667</v>
      </c>
      <c r="W633" s="170" t="n">
        <v>118.9271</v>
      </c>
    </row>
    <row r="634">
      <c r="B634" s="278" t="n">
        <v>45632</v>
      </c>
      <c r="E634" s="12" t="n">
        <v>3597.6</v>
      </c>
      <c r="H634" s="21">
        <f>(E634/$E$762)*100</f>
        <v/>
      </c>
      <c r="K634" s="12" t="n">
        <v>72814.67999999999</v>
      </c>
      <c r="N634" s="131">
        <f>(K634/$K$762)*100</f>
        <v/>
      </c>
      <c r="T634" s="278" t="n">
        <v>45666</v>
      </c>
      <c r="W634" s="170" t="n">
        <v>126.6545</v>
      </c>
    </row>
    <row r="635">
      <c r="B635" s="278" t="n">
        <v>45631</v>
      </c>
      <c r="E635" s="12" t="n">
        <v>3634.9</v>
      </c>
      <c r="H635" s="21">
        <f>(E635/$E$762)*100</f>
        <v/>
      </c>
      <c r="K635" s="12" t="n">
        <v>72612.92</v>
      </c>
      <c r="N635" s="131">
        <f>(K635/$K$762)*100</f>
        <v/>
      </c>
      <c r="T635" s="278" t="n">
        <v>45665</v>
      </c>
      <c r="W635" s="170" t="n">
        <v>131.7689</v>
      </c>
    </row>
    <row r="636">
      <c r="B636" s="278" t="n">
        <v>45630</v>
      </c>
      <c r="E636" s="12" t="n">
        <v>3702.55</v>
      </c>
      <c r="H636" s="21">
        <f>(E636/$E$762)*100</f>
        <v/>
      </c>
      <c r="K636" s="12" t="n">
        <v>72231.45</v>
      </c>
      <c r="N636" s="131">
        <f>(K636/$K$762)*100</f>
        <v/>
      </c>
      <c r="T636" s="278" t="n">
        <v>45664</v>
      </c>
      <c r="W636" s="170" t="n">
        <v>134.3146</v>
      </c>
    </row>
    <row r="637">
      <c r="B637" s="278" t="n">
        <v>45629</v>
      </c>
      <c r="E637" s="12" t="n">
        <v>3562.7</v>
      </c>
      <c r="H637" s="21">
        <f>(E637/$E$762)*100</f>
        <v/>
      </c>
      <c r="K637" s="12" t="n">
        <v>71834.69</v>
      </c>
      <c r="N637" s="131">
        <f>(K637/$K$762)*100</f>
        <v/>
      </c>
      <c r="T637" s="278" t="n">
        <v>45663</v>
      </c>
      <c r="W637" s="170" t="n">
        <v>132.1227</v>
      </c>
    </row>
    <row r="638">
      <c r="B638" s="278" t="n">
        <v>45628</v>
      </c>
      <c r="E638" s="12" t="n">
        <v>3595.2</v>
      </c>
      <c r="H638" s="21">
        <f>(E638/$E$762)*100</f>
        <v/>
      </c>
      <c r="K638" s="12" t="n">
        <v>70962.89999999999</v>
      </c>
      <c r="N638" s="131">
        <f>(K638/$K$762)*100</f>
        <v/>
      </c>
      <c r="T638" s="278" t="n">
        <v>45660</v>
      </c>
      <c r="W638" s="170" t="n">
        <v>135.2144</v>
      </c>
    </row>
    <row r="639">
      <c r="B639" s="278" t="n">
        <v>45625</v>
      </c>
      <c r="E639" s="12" t="n">
        <v>3655.15</v>
      </c>
      <c r="H639" s="21">
        <f>(E639/$E$762)*100</f>
        <v/>
      </c>
      <c r="K639" s="12" t="n">
        <v>70700.25999999999</v>
      </c>
      <c r="N639" s="131">
        <f>(K639/$K$762)*100</f>
        <v/>
      </c>
      <c r="T639" s="278" t="n">
        <v>45659</v>
      </c>
      <c r="W639" s="170" t="n">
        <v>136.2353</v>
      </c>
    </row>
    <row r="640">
      <c r="B640" s="278" t="n">
        <v>45624</v>
      </c>
      <c r="E640" s="12" t="n">
        <v>3480.4</v>
      </c>
      <c r="H640" s="21">
        <f>(E640/$E$762)*100</f>
        <v/>
      </c>
      <c r="K640" s="12" t="n">
        <v>70167.37</v>
      </c>
      <c r="N640" s="131">
        <f>(K640/$K$762)*100</f>
        <v/>
      </c>
      <c r="T640" s="278" t="n">
        <v>45658</v>
      </c>
      <c r="W640" s="170" t="n">
        <v>134.2723</v>
      </c>
    </row>
    <row r="641">
      <c r="B641" s="278" t="n">
        <v>45623</v>
      </c>
      <c r="E641" s="12" t="n">
        <v>3470.75</v>
      </c>
      <c r="H641" s="21">
        <f>(E641/$E$762)*100</f>
        <v/>
      </c>
      <c r="K641" s="12" t="n">
        <v>70332.46000000001</v>
      </c>
      <c r="N641" s="131">
        <f>(K641/$K$762)*100</f>
        <v/>
      </c>
      <c r="T641" s="278" t="n">
        <v>45657</v>
      </c>
      <c r="W641" s="170" t="n">
        <v>134.5376</v>
      </c>
    </row>
    <row r="642">
      <c r="B642" s="278" t="n">
        <v>45622</v>
      </c>
      <c r="E642" s="12" t="n">
        <v>3578.3</v>
      </c>
      <c r="H642" s="21">
        <f>(E642/$E$762)*100</f>
        <v/>
      </c>
      <c r="K642" s="12" t="n">
        <v>69547.61</v>
      </c>
      <c r="N642" s="131">
        <f>(K642/$K$762)*100</f>
        <v/>
      </c>
      <c r="T642" s="278" t="n">
        <v>45656</v>
      </c>
      <c r="W642" s="170" t="n">
        <v>133.5724</v>
      </c>
    </row>
    <row r="643">
      <c r="B643" s="278" t="n">
        <v>45621</v>
      </c>
      <c r="E643" s="12" t="n">
        <v>3679.45</v>
      </c>
      <c r="H643" s="21">
        <f>(E643/$E$762)*100</f>
        <v/>
      </c>
      <c r="K643" s="12" t="n">
        <v>69622.05</v>
      </c>
      <c r="N643" s="131">
        <f>(K643/$K$762)*100</f>
        <v/>
      </c>
      <c r="T643" s="278" t="n">
        <v>45653</v>
      </c>
      <c r="W643" s="170" t="n">
        <v>132.3822</v>
      </c>
    </row>
    <row r="644">
      <c r="B644" s="278" t="n">
        <v>45618</v>
      </c>
      <c r="E644" s="12" t="n">
        <v>3434.25</v>
      </c>
      <c r="H644" s="21">
        <f>(E644/$E$762)*100</f>
        <v/>
      </c>
      <c r="K644" s="12" t="n">
        <v>67417.28</v>
      </c>
      <c r="N644" s="131">
        <f>(K644/$K$762)*100</f>
        <v/>
      </c>
      <c r="T644" s="278" t="n">
        <v>45652</v>
      </c>
      <c r="W644" s="170" t="n">
        <v>134.576</v>
      </c>
    </row>
    <row r="645">
      <c r="B645" s="278" t="n">
        <v>45617</v>
      </c>
      <c r="E645" s="12" t="n">
        <v>3488.35</v>
      </c>
      <c r="H645" s="21">
        <f>(E645/$E$762)*100</f>
        <v/>
      </c>
      <c r="K645" s="12" t="n">
        <v>65862.63</v>
      </c>
      <c r="N645" s="131">
        <f>(K645/$K$762)*100</f>
        <v/>
      </c>
      <c r="T645" s="278" t="n">
        <v>45651</v>
      </c>
      <c r="W645" s="170" t="n"/>
    </row>
    <row r="646">
      <c r="B646" s="278" t="n">
        <v>45615</v>
      </c>
      <c r="E646" s="12" t="n">
        <v>3413.85</v>
      </c>
      <c r="H646" s="21">
        <f>(E646/$E$762)*100</f>
        <v/>
      </c>
      <c r="K646" s="12" t="n">
        <v>66327.89999999999</v>
      </c>
      <c r="N646" s="131">
        <f>(K646/$K$762)*100</f>
        <v/>
      </c>
      <c r="T646" s="278" t="n">
        <v>45650</v>
      </c>
      <c r="W646" s="170" t="n">
        <v>130.05</v>
      </c>
    </row>
    <row r="647">
      <c r="B647" s="278" t="n">
        <v>45614</v>
      </c>
      <c r="E647" s="12" t="n">
        <v>3270.8</v>
      </c>
      <c r="H647" s="21">
        <f>(E647/$E$762)*100</f>
        <v/>
      </c>
      <c r="K647" s="12" t="n">
        <v>66067.53999999999</v>
      </c>
      <c r="N647" s="131">
        <f>(K647/$K$762)*100</f>
        <v/>
      </c>
      <c r="T647" s="278" t="n">
        <v>45649</v>
      </c>
      <c r="W647" s="170" t="n">
        <v>131.792</v>
      </c>
    </row>
    <row r="648">
      <c r="B648" s="278" t="n">
        <v>45610</v>
      </c>
      <c r="E648" s="12" t="n">
        <v>3534.35</v>
      </c>
      <c r="H648" s="21">
        <f>(E648/$E$762)*100</f>
        <v/>
      </c>
      <c r="K648" s="12" t="n">
        <v>66026.23</v>
      </c>
      <c r="N648" s="131">
        <f>(K648/$K$762)*100</f>
        <v/>
      </c>
      <c r="T648" s="278" t="n">
        <v>45646</v>
      </c>
      <c r="W648" s="170" t="n">
        <v>131.5689</v>
      </c>
    </row>
    <row r="649">
      <c r="B649" s="278" t="n">
        <v>45609</v>
      </c>
      <c r="E649" s="12" t="n">
        <v>3243.85</v>
      </c>
      <c r="H649" s="21">
        <f>(E649/$E$762)*100</f>
        <v/>
      </c>
      <c r="K649" s="12" t="n">
        <v>65927.52</v>
      </c>
      <c r="N649" s="131">
        <f>(K649/$K$762)*100</f>
        <v/>
      </c>
      <c r="T649" s="278" t="n">
        <v>45645</v>
      </c>
      <c r="W649" s="170" t="n">
        <v>132.4861</v>
      </c>
    </row>
    <row r="650">
      <c r="B650" s="278" t="n">
        <v>45608</v>
      </c>
      <c r="E650" s="12" t="n">
        <v>3500.05</v>
      </c>
      <c r="H650" s="21">
        <f>(E650/$E$762)*100</f>
        <v/>
      </c>
      <c r="K650" s="12" t="n">
        <v>67767.53</v>
      </c>
      <c r="N650" s="131">
        <f>(K650/$K$762)*100</f>
        <v/>
      </c>
      <c r="T650" s="278" t="n">
        <v>45644</v>
      </c>
      <c r="W650" s="170" t="n">
        <v>130.6633</v>
      </c>
    </row>
    <row r="651">
      <c r="B651" s="278" t="n">
        <v>45607</v>
      </c>
      <c r="E651" s="12" t="n">
        <v>3394.55</v>
      </c>
      <c r="H651" s="21">
        <f>(E651/$E$762)*100</f>
        <v/>
      </c>
      <c r="K651" s="12" t="n">
        <v>69247.60000000001</v>
      </c>
      <c r="N651" s="131">
        <f>(K651/$K$762)*100</f>
        <v/>
      </c>
      <c r="T651" s="278" t="n">
        <v>45643</v>
      </c>
      <c r="W651" s="170" t="n">
        <v>139.0156</v>
      </c>
    </row>
    <row r="652">
      <c r="B652" s="278" t="n">
        <v>45604</v>
      </c>
      <c r="E652" s="12" t="n">
        <v>3561.95</v>
      </c>
      <c r="H652" s="21">
        <f>(E652/$E$762)*100</f>
        <v/>
      </c>
      <c r="K652" s="12" t="n">
        <v>69479.42999999999</v>
      </c>
      <c r="N652" s="131">
        <f>(K652/$K$762)*100</f>
        <v/>
      </c>
      <c r="T652" s="278" t="n">
        <v>45642</v>
      </c>
      <c r="W652" s="170" t="n">
        <v>141.4959</v>
      </c>
    </row>
    <row r="653">
      <c r="B653" s="278" t="n">
        <v>45603</v>
      </c>
      <c r="E653" s="12" t="n">
        <v>3519.7</v>
      </c>
      <c r="H653" s="21">
        <f>(E653/$E$762)*100</f>
        <v/>
      </c>
      <c r="K653" s="12" t="n">
        <v>70113.61</v>
      </c>
      <c r="N653" s="131">
        <f>(K653/$K$762)*100</f>
        <v/>
      </c>
      <c r="T653" s="278" t="n">
        <v>45639</v>
      </c>
      <c r="W653" s="170" t="n">
        <v>143.4551</v>
      </c>
    </row>
    <row r="654">
      <c r="B654" s="278" t="n">
        <v>45602</v>
      </c>
      <c r="E654" s="12" t="n">
        <v>3558.65</v>
      </c>
      <c r="H654" s="21">
        <f>(E654/$E$762)*100</f>
        <v/>
      </c>
      <c r="K654" s="12" t="n">
        <v>70472.21000000001</v>
      </c>
      <c r="N654" s="131">
        <f>(K654/$K$762)*100</f>
        <v/>
      </c>
      <c r="T654" s="278" t="n">
        <v>45638</v>
      </c>
      <c r="W654" s="170" t="n">
        <v>143.8858</v>
      </c>
    </row>
    <row r="655">
      <c r="B655" s="278" t="n">
        <v>45601</v>
      </c>
      <c r="E655" s="12" t="n">
        <v>3273.35</v>
      </c>
      <c r="H655" s="21">
        <f>(E655/$E$762)*100</f>
        <v/>
      </c>
      <c r="K655" s="12" t="n">
        <v>68635.28</v>
      </c>
      <c r="N655" s="131">
        <f>(K655/$K$762)*100</f>
        <v/>
      </c>
      <c r="T655" s="278" t="n">
        <v>45637</v>
      </c>
      <c r="W655" s="170" t="n">
        <v>139.5347</v>
      </c>
    </row>
    <row r="656">
      <c r="B656" s="278" t="n">
        <v>45600</v>
      </c>
      <c r="E656" s="12" t="n">
        <v>3309.55</v>
      </c>
      <c r="H656" s="21">
        <f>(E656/$E$762)*100</f>
        <v/>
      </c>
      <c r="K656" s="12" t="n">
        <v>68523.98</v>
      </c>
      <c r="N656" s="131">
        <f>(K656/$K$762)*100</f>
        <v/>
      </c>
      <c r="T656" s="278" t="n">
        <v>45636</v>
      </c>
      <c r="W656" s="170" t="n">
        <v>137.5139</v>
      </c>
    </row>
    <row r="657">
      <c r="B657" s="278" t="n">
        <v>45597</v>
      </c>
      <c r="E657" s="12" t="n">
        <v>3603.3</v>
      </c>
      <c r="H657" s="21">
        <f>(E657/$E$762)*100</f>
        <v/>
      </c>
      <c r="K657" s="12" t="n">
        <v>69577.84</v>
      </c>
      <c r="N657" s="131">
        <f>(K657/$K$762)*100</f>
        <v/>
      </c>
      <c r="T657" s="278" t="n">
        <v>45635</v>
      </c>
      <c r="W657" s="170" t="n">
        <v>141.7766</v>
      </c>
    </row>
    <row r="658">
      <c r="B658" s="278" t="n">
        <v>45596</v>
      </c>
      <c r="E658" s="12" t="n">
        <v>3481.6</v>
      </c>
      <c r="H658" s="21">
        <f>(E658/$E$762)*100</f>
        <v/>
      </c>
      <c r="K658" s="12" t="n">
        <v>69105.8</v>
      </c>
      <c r="N658" s="131">
        <f>(K658/$K$762)*100</f>
        <v/>
      </c>
      <c r="T658" s="278" t="n">
        <v>45632</v>
      </c>
      <c r="W658" s="170" t="n">
        <v>138.3426</v>
      </c>
    </row>
    <row r="659">
      <c r="B659" s="278" t="n">
        <v>45595</v>
      </c>
      <c r="E659" s="12" t="n">
        <v>3110.6</v>
      </c>
      <c r="H659" s="21">
        <f>(E659/$E$762)*100</f>
        <v/>
      </c>
      <c r="K659" s="12" t="n">
        <v>67659.63</v>
      </c>
      <c r="N659" s="131">
        <f>(K659/$K$762)*100</f>
        <v/>
      </c>
      <c r="T659" s="278" t="n">
        <v>45631</v>
      </c>
      <c r="W659" s="170" t="n">
        <v>139.777</v>
      </c>
    </row>
    <row r="660">
      <c r="B660" s="278" t="n">
        <v>45594</v>
      </c>
      <c r="E660" s="12" t="n">
        <v>3148.85</v>
      </c>
      <c r="H660" s="21">
        <f>(E660/$E$762)*100</f>
        <v/>
      </c>
      <c r="K660" s="12" t="n">
        <v>67271.8</v>
      </c>
      <c r="N660" s="131">
        <f>(K660/$K$762)*100</f>
        <v/>
      </c>
      <c r="T660" s="278" t="n">
        <v>45630</v>
      </c>
      <c r="W660" s="170" t="n">
        <v>142.3784</v>
      </c>
    </row>
    <row r="661">
      <c r="B661" s="278" t="n">
        <v>45593</v>
      </c>
      <c r="E661" s="12" t="n">
        <v>2740.55</v>
      </c>
      <c r="H661" s="21">
        <f>(E661/$E$762)*100</f>
        <v/>
      </c>
      <c r="K661" s="12" t="n">
        <v>66422.59</v>
      </c>
      <c r="N661" s="131">
        <f>(K661/$K$762)*100</f>
        <v/>
      </c>
      <c r="T661" s="278" t="n">
        <v>45629</v>
      </c>
      <c r="W661" s="170" t="n">
        <v>137.0006</v>
      </c>
    </row>
    <row r="662">
      <c r="B662" s="278" t="n">
        <v>45590</v>
      </c>
      <c r="E662" s="12" t="n">
        <v>2743.05</v>
      </c>
      <c r="H662" s="21">
        <f>(E662/$E$762)*100</f>
        <v/>
      </c>
      <c r="K662" s="12" t="n">
        <v>66429.39999999999</v>
      </c>
      <c r="N662" s="131">
        <f>(K662/$K$762)*100</f>
        <v/>
      </c>
      <c r="T662" s="278" t="n">
        <v>45628</v>
      </c>
      <c r="W662" s="170" t="n">
        <v>138.2503</v>
      </c>
    </row>
    <row r="663">
      <c r="B663" s="278" t="n">
        <v>45589</v>
      </c>
      <c r="E663" s="12" t="n">
        <v>2746.65</v>
      </c>
      <c r="H663" s="21">
        <f>(E663/$E$762)*100</f>
        <v/>
      </c>
      <c r="K663" s="12" t="n">
        <v>67941.69</v>
      </c>
      <c r="N663" s="131">
        <f>(K663/$K$762)*100</f>
        <v/>
      </c>
      <c r="T663" s="278" t="n">
        <v>45625</v>
      </c>
      <c r="W663" s="170" t="n">
        <v>140.5557</v>
      </c>
    </row>
    <row r="664">
      <c r="B664" s="278" t="n">
        <v>45588</v>
      </c>
      <c r="E664" s="12" t="n">
        <v>2744.3</v>
      </c>
      <c r="H664" s="21">
        <f>(E664/$E$762)*100</f>
        <v/>
      </c>
      <c r="K664" s="12" t="n">
        <v>67908.97</v>
      </c>
      <c r="N664" s="131">
        <f>(K664/$K$762)*100</f>
        <v/>
      </c>
      <c r="T664" s="278" t="n">
        <v>45624</v>
      </c>
      <c r="W664" s="170" t="n">
        <v>133.8358</v>
      </c>
    </row>
    <row r="665">
      <c r="B665" s="278" t="n">
        <v>45587</v>
      </c>
      <c r="E665" s="12" t="n">
        <v>2773.45</v>
      </c>
      <c r="H665" s="21">
        <f>(E665/$E$762)*100</f>
        <v/>
      </c>
      <c r="K665" s="12" t="n">
        <v>68715.52</v>
      </c>
      <c r="N665" s="131">
        <f>(K665/$K$762)*100</f>
        <v/>
      </c>
      <c r="T665" s="278" t="n">
        <v>45623</v>
      </c>
      <c r="W665" s="170" t="n">
        <v>133.4647</v>
      </c>
    </row>
    <row r="666">
      <c r="B666" s="278" t="n">
        <v>45586</v>
      </c>
      <c r="E666" s="12" t="n">
        <v>2808.35</v>
      </c>
      <c r="H666" s="21">
        <f>(E666/$E$762)*100</f>
        <v/>
      </c>
      <c r="K666" s="12" t="n">
        <v>70806.56</v>
      </c>
      <c r="N666" s="131">
        <f>(K666/$K$762)*100</f>
        <v/>
      </c>
      <c r="T666" s="278" t="n">
        <v>45622</v>
      </c>
      <c r="W666" s="170" t="n">
        <v>137.6005</v>
      </c>
    </row>
    <row r="667">
      <c r="B667" s="278" t="n">
        <v>45583</v>
      </c>
      <c r="E667" s="12" t="n">
        <v>2699.15</v>
      </c>
      <c r="H667" s="21">
        <f>(E667/$E$762)*100</f>
        <v/>
      </c>
      <c r="K667" s="12" t="n">
        <v>71821.00999999999</v>
      </c>
      <c r="N667" s="131">
        <f>(K667/$K$762)*100</f>
        <v/>
      </c>
      <c r="T667" s="278" t="n">
        <v>45621</v>
      </c>
      <c r="W667" s="170" t="n">
        <v>141.4901</v>
      </c>
    </row>
    <row r="668">
      <c r="B668" s="278" t="n">
        <v>45582</v>
      </c>
      <c r="E668" s="12" t="n">
        <v>2718.5</v>
      </c>
      <c r="H668" s="21">
        <f>(E668/$E$762)*100</f>
        <v/>
      </c>
      <c r="K668" s="12" t="n">
        <v>71818.25999999999</v>
      </c>
      <c r="N668" s="131">
        <f>(K668/$K$762)*100</f>
        <v/>
      </c>
      <c r="T668" s="278" t="n">
        <v>45618</v>
      </c>
      <c r="W668" s="170" t="n">
        <v>132.0611</v>
      </c>
    </row>
    <row r="669">
      <c r="B669" s="278" t="n">
        <v>45581</v>
      </c>
      <c r="E669" s="12" t="n">
        <v>2734.75</v>
      </c>
      <c r="H669" s="21">
        <f>(E669/$E$762)*100</f>
        <v/>
      </c>
      <c r="K669" s="12" t="n">
        <v>72350.42</v>
      </c>
      <c r="N669" s="131">
        <f>(K669/$K$762)*100</f>
        <v/>
      </c>
      <c r="T669" s="278" t="n">
        <v>45617</v>
      </c>
      <c r="W669" s="170" t="n">
        <v>134.1415</v>
      </c>
    </row>
    <row r="670">
      <c r="B670" s="278" t="n">
        <v>45580</v>
      </c>
      <c r="E670" s="12" t="n">
        <v>2685.1</v>
      </c>
      <c r="H670" s="21">
        <f>(E670/$E$762)*100</f>
        <v/>
      </c>
      <c r="K670" s="12" t="n">
        <v>72355.75</v>
      </c>
      <c r="N670" s="131">
        <f>(K670/$K$762)*100</f>
        <v/>
      </c>
      <c r="T670" s="278" t="n">
        <v>45616</v>
      </c>
      <c r="W670" s="170" t="n"/>
    </row>
    <row r="671">
      <c r="B671" s="278" t="n">
        <v>45579</v>
      </c>
      <c r="E671" s="12" t="n">
        <v>2733.9</v>
      </c>
      <c r="H671" s="21">
        <f>(E671/$E$762)*100</f>
        <v/>
      </c>
      <c r="K671" s="12" t="n">
        <v>72061.17</v>
      </c>
      <c r="N671" s="131">
        <f>(K671/$K$762)*100</f>
        <v/>
      </c>
      <c r="T671" s="278" t="n">
        <v>45615</v>
      </c>
      <c r="W671" s="170" t="n">
        <v>131.2767</v>
      </c>
    </row>
    <row r="672">
      <c r="B672" s="278" t="n">
        <v>45576</v>
      </c>
      <c r="E672" s="12" t="n">
        <v>2735.15</v>
      </c>
      <c r="H672" s="21">
        <f>(E672/$E$762)*100</f>
        <v/>
      </c>
      <c r="K672" s="12" t="n">
        <v>71579.87</v>
      </c>
      <c r="N672" s="131">
        <f>(K672/$K$762)*100</f>
        <v/>
      </c>
      <c r="T672" s="278" t="n">
        <v>45614</v>
      </c>
      <c r="W672" s="170" t="n">
        <v>125.7758</v>
      </c>
    </row>
    <row r="673">
      <c r="B673" s="278" t="n">
        <v>45575</v>
      </c>
      <c r="E673" s="12" t="n">
        <v>2738.1</v>
      </c>
      <c r="H673" s="21">
        <f>(E673/$E$762)*100</f>
        <v/>
      </c>
      <c r="K673" s="12" t="n">
        <v>71507.19</v>
      </c>
      <c r="N673" s="131">
        <f>(K673/$K$762)*100</f>
        <v/>
      </c>
      <c r="T673" s="278" t="n">
        <v>45611</v>
      </c>
      <c r="W673" s="170" t="n"/>
    </row>
    <row r="674">
      <c r="B674" s="278" t="n">
        <v>45574</v>
      </c>
      <c r="E674" s="12" t="n">
        <v>2752.2</v>
      </c>
      <c r="H674" s="21">
        <f>(E674/$E$762)*100</f>
        <v/>
      </c>
      <c r="K674" s="12" t="n">
        <v>71238.45</v>
      </c>
      <c r="N674" s="131">
        <f>(K674/$K$762)*100</f>
        <v/>
      </c>
      <c r="T674" s="278" t="n">
        <v>45610</v>
      </c>
      <c r="W674" s="170" t="n">
        <v>135.9104</v>
      </c>
    </row>
    <row r="675">
      <c r="B675" s="278" t="n">
        <v>45573</v>
      </c>
      <c r="E675" s="12" t="n">
        <v>2808.1</v>
      </c>
      <c r="H675" s="21">
        <f>(E675/$E$762)*100</f>
        <v/>
      </c>
      <c r="K675" s="12" t="n">
        <v>70731.14</v>
      </c>
      <c r="N675" s="131">
        <f>(K675/$K$762)*100</f>
        <v/>
      </c>
      <c r="T675" s="278" t="n">
        <v>45609</v>
      </c>
      <c r="W675" s="170" t="n">
        <v>124.7395</v>
      </c>
    </row>
    <row r="676">
      <c r="B676" s="278" t="n">
        <v>45572</v>
      </c>
      <c r="E676" s="12" t="n">
        <v>2743.9</v>
      </c>
      <c r="H676" s="21">
        <f>(E676/$E$762)*100</f>
        <v/>
      </c>
      <c r="K676" s="12" t="n">
        <v>68792.24000000001</v>
      </c>
      <c r="N676" s="131">
        <f>(K676/$K$762)*100</f>
        <v/>
      </c>
      <c r="T676" s="278" t="n">
        <v>45608</v>
      </c>
      <c r="W676" s="170" t="n">
        <v>134.5914</v>
      </c>
    </row>
    <row r="677">
      <c r="B677" s="278" t="n">
        <v>45569</v>
      </c>
      <c r="E677" s="12" t="n">
        <v>2653.25</v>
      </c>
      <c r="H677" s="21">
        <f>(E677/$E$762)*100</f>
        <v/>
      </c>
      <c r="K677" s="12" t="n">
        <v>70301.10000000001</v>
      </c>
      <c r="N677" s="131">
        <f>(K677/$K$762)*100</f>
        <v/>
      </c>
      <c r="T677" s="278" t="n">
        <v>45607</v>
      </c>
      <c r="W677" s="170" t="n">
        <v>130.5345</v>
      </c>
    </row>
    <row r="678">
      <c r="B678" s="278" t="n">
        <v>45568</v>
      </c>
      <c r="E678" s="12" t="n">
        <v>2607.35</v>
      </c>
      <c r="H678" s="21">
        <f>(E678/$E$762)*100</f>
        <v/>
      </c>
      <c r="K678" s="12" t="n">
        <v>70751.67</v>
      </c>
      <c r="N678" s="131">
        <f>(K678/$K$762)*100</f>
        <v/>
      </c>
      <c r="T678" s="278" t="n">
        <v>45604</v>
      </c>
      <c r="W678" s="170" t="n">
        <v>136.9717</v>
      </c>
    </row>
    <row r="679">
      <c r="B679" s="278" t="n">
        <v>45566</v>
      </c>
      <c r="E679" s="12" t="n">
        <v>2329.25</v>
      </c>
      <c r="H679" s="21">
        <f>(E679/$E$762)*100</f>
        <v/>
      </c>
      <c r="K679" s="12" t="n">
        <v>73078.03</v>
      </c>
      <c r="N679" s="131">
        <f>(K679/$K$762)*100</f>
        <v/>
      </c>
      <c r="T679" s="278" t="n">
        <v>45603</v>
      </c>
      <c r="W679" s="170" t="n">
        <v>135.347</v>
      </c>
    </row>
    <row r="680">
      <c r="B680" s="278" t="n">
        <v>45565</v>
      </c>
      <c r="E680" s="12" t="n">
        <v>2323.25</v>
      </c>
      <c r="H680" s="21">
        <f>(E680/$E$762)*100</f>
        <v/>
      </c>
      <c r="K680" s="12" t="n">
        <v>73107</v>
      </c>
      <c r="N680" s="131">
        <f>(K680/$K$762)*100</f>
        <v/>
      </c>
      <c r="T680" s="278" t="n">
        <v>45602</v>
      </c>
      <c r="W680" s="170" t="n">
        <v>136.8448</v>
      </c>
    </row>
    <row r="681">
      <c r="B681" s="278" t="n">
        <v>45562</v>
      </c>
      <c r="E681" s="12" t="n">
        <v>2220.45</v>
      </c>
      <c r="H681" s="21">
        <f>(E681/$E$762)*100</f>
        <v/>
      </c>
      <c r="K681" s="12" t="n">
        <v>73704.11</v>
      </c>
      <c r="N681" s="131">
        <f>(K681/$K$762)*100</f>
        <v/>
      </c>
      <c r="T681" s="278" t="n">
        <v>45601</v>
      </c>
      <c r="W681" s="170" t="n">
        <v>125.8739</v>
      </c>
    </row>
    <row r="682">
      <c r="B682" s="278" t="n">
        <v>45561</v>
      </c>
      <c r="E682" s="12" t="n">
        <v>2238.8</v>
      </c>
      <c r="H682" s="21">
        <f>(E682/$E$762)*100</f>
        <v/>
      </c>
      <c r="K682" s="12" t="n">
        <v>73584.88</v>
      </c>
      <c r="N682" s="131">
        <f>(K682/$K$762)*100</f>
        <v/>
      </c>
      <c r="T682" s="278" t="n">
        <v>45600</v>
      </c>
      <c r="W682" s="170" t="n">
        <v>127.2659</v>
      </c>
    </row>
    <row r="683">
      <c r="B683" s="278" t="n">
        <v>45560</v>
      </c>
      <c r="E683" s="12" t="n">
        <v>2180.2</v>
      </c>
      <c r="H683" s="21">
        <f>(E683/$E$762)*100</f>
        <v/>
      </c>
      <c r="K683" s="12" t="n">
        <v>74066.2</v>
      </c>
      <c r="N683" s="131">
        <f>(K683/$K$762)*100</f>
        <v/>
      </c>
      <c r="T683" s="278" t="n">
        <v>45597</v>
      </c>
      <c r="W683" s="170" t="n">
        <v>138.5618</v>
      </c>
    </row>
    <row r="684">
      <c r="B684" s="278" t="n">
        <v>45559</v>
      </c>
      <c r="E684" s="12" t="n">
        <v>2204.8</v>
      </c>
      <c r="H684" s="21">
        <f>(E684/$E$762)*100</f>
        <v/>
      </c>
      <c r="K684" s="12" t="n">
        <v>74265.69</v>
      </c>
      <c r="N684" s="131">
        <f>(K684/$K$762)*100</f>
        <v/>
      </c>
      <c r="T684" s="278" t="n">
        <v>45596</v>
      </c>
      <c r="W684" s="170" t="n">
        <v>133.8819</v>
      </c>
    </row>
    <row r="685">
      <c r="B685" s="278" t="n">
        <v>45558</v>
      </c>
      <c r="E685" s="12" t="n">
        <v>2254.5</v>
      </c>
      <c r="H685" s="21">
        <f>(E685/$E$762)*100</f>
        <v/>
      </c>
      <c r="K685" s="12" t="n">
        <v>73907.84</v>
      </c>
      <c r="N685" s="131">
        <f>(K685/$K$762)*100</f>
        <v/>
      </c>
      <c r="T685" s="278" t="n">
        <v>45595</v>
      </c>
      <c r="W685" s="170" t="n">
        <v>119.6155</v>
      </c>
    </row>
    <row r="686">
      <c r="B686" s="278" t="n">
        <v>45555</v>
      </c>
      <c r="E686" s="12" t="n">
        <v>2226.75</v>
      </c>
      <c r="H686" s="21">
        <f>(E686/$E$762)*100</f>
        <v/>
      </c>
      <c r="K686" s="12" t="n">
        <v>73373.89</v>
      </c>
      <c r="N686" s="131">
        <f>(K686/$K$762)*100</f>
        <v/>
      </c>
      <c r="T686" s="278" t="n">
        <v>45594</v>
      </c>
      <c r="W686" s="170" t="n">
        <v>121.0863</v>
      </c>
    </row>
    <row r="687">
      <c r="B687" s="278" t="n">
        <v>45554</v>
      </c>
      <c r="E687" s="12" t="n">
        <v>2152.95</v>
      </c>
      <c r="H687" s="21">
        <f>(E687/$E$762)*100</f>
        <v/>
      </c>
      <c r="K687" s="12" t="n">
        <v>71712.98</v>
      </c>
      <c r="N687" s="131">
        <f>(K687/$K$762)*100</f>
        <v/>
      </c>
      <c r="T687" s="278" t="n">
        <v>45593</v>
      </c>
      <c r="W687" s="170" t="n">
        <v>105.3855</v>
      </c>
    </row>
    <row r="688">
      <c r="B688" s="278" t="n">
        <v>45553</v>
      </c>
      <c r="E688" s="12" t="n">
        <v>2213.45</v>
      </c>
      <c r="H688" s="21">
        <f>(E688/$E$762)*100</f>
        <v/>
      </c>
      <c r="K688" s="12" t="n">
        <v>72778.83</v>
      </c>
      <c r="N688" s="131">
        <f>(K688/$K$762)*100</f>
        <v/>
      </c>
      <c r="T688" s="278" t="n">
        <v>45590</v>
      </c>
      <c r="W688" s="170" t="n">
        <v>105.4816</v>
      </c>
    </row>
    <row r="689">
      <c r="B689" s="278" t="n">
        <v>45552</v>
      </c>
      <c r="E689" s="12" t="n">
        <v>2255.9</v>
      </c>
      <c r="H689" s="21">
        <f>(E689/$E$762)*100</f>
        <v/>
      </c>
      <c r="K689" s="12" t="n">
        <v>72921.12</v>
      </c>
      <c r="N689" s="131">
        <f>(K689/$K$762)*100</f>
        <v/>
      </c>
      <c r="T689" s="278" t="n">
        <v>45589</v>
      </c>
      <c r="W689" s="170" t="n">
        <v>105.6201</v>
      </c>
    </row>
    <row r="690">
      <c r="B690" s="278" t="n">
        <v>45551</v>
      </c>
      <c r="E690" s="12" t="n">
        <v>2229.25</v>
      </c>
      <c r="H690" s="21">
        <f>(E690/$E$762)*100</f>
        <v/>
      </c>
      <c r="K690" s="12" t="n">
        <v>73057.77</v>
      </c>
      <c r="N690" s="131">
        <f>(K690/$K$762)*100</f>
        <v/>
      </c>
      <c r="T690" s="278" t="n">
        <v>45588</v>
      </c>
      <c r="W690" s="170" t="n">
        <v>105.5297</v>
      </c>
    </row>
    <row r="691">
      <c r="B691" s="278" t="n">
        <v>45548</v>
      </c>
      <c r="E691" s="12" t="n">
        <v>2262.2</v>
      </c>
      <c r="H691" s="21">
        <f>(E691/$E$762)*100</f>
        <v/>
      </c>
      <c r="K691" s="12" t="n">
        <v>72654.00999999999</v>
      </c>
      <c r="N691" s="131">
        <f>(K691/$K$762)*100</f>
        <v/>
      </c>
      <c r="T691" s="278" t="n">
        <v>45587</v>
      </c>
      <c r="W691" s="170" t="n">
        <v>106.6506</v>
      </c>
    </row>
    <row r="692">
      <c r="B692" s="278" t="n">
        <v>45547</v>
      </c>
      <c r="E692" s="12" t="n">
        <v>2224.65</v>
      </c>
      <c r="H692" s="21">
        <f>(E692/$E$762)*100</f>
        <v/>
      </c>
      <c r="K692" s="12" t="n">
        <v>72606.75999999999</v>
      </c>
      <c r="N692" s="131">
        <f>(K692/$K$762)*100</f>
        <v/>
      </c>
      <c r="T692" s="278" t="n">
        <v>45586</v>
      </c>
      <c r="W692" s="170" t="n">
        <v>107.9927</v>
      </c>
    </row>
    <row r="693">
      <c r="B693" s="278" t="n">
        <v>45546</v>
      </c>
      <c r="E693" s="12" t="n">
        <v>2279.25</v>
      </c>
      <c r="H693" s="21">
        <f>(E693/$E$762)*100</f>
        <v/>
      </c>
      <c r="K693" s="12" t="n">
        <v>71434.47</v>
      </c>
      <c r="N693" s="131">
        <f>(K693/$K$762)*100</f>
        <v/>
      </c>
      <c r="T693" s="278" t="n">
        <v>45583</v>
      </c>
      <c r="W693" s="170" t="n">
        <v>103.7935</v>
      </c>
    </row>
    <row r="694">
      <c r="B694" s="278" t="n">
        <v>45545</v>
      </c>
      <c r="E694" s="12" t="n">
        <v>2283.7</v>
      </c>
      <c r="H694" s="21">
        <f>(E694/$E$762)*100</f>
        <v/>
      </c>
      <c r="K694" s="12" t="n">
        <v>71558.05</v>
      </c>
      <c r="N694" s="131">
        <f>(K694/$K$762)*100</f>
        <v/>
      </c>
      <c r="T694" s="278" t="n">
        <v>45582</v>
      </c>
      <c r="W694" s="170" t="n">
        <v>104.5376</v>
      </c>
    </row>
    <row r="695">
      <c r="B695" s="278" t="n">
        <v>45544</v>
      </c>
      <c r="E695" s="12" t="n">
        <v>2241.15</v>
      </c>
      <c r="H695" s="21">
        <f>(E695/$E$762)*100</f>
        <v/>
      </c>
      <c r="K695" s="12" t="n">
        <v>70797.44</v>
      </c>
      <c r="N695" s="131">
        <f>(K695/$K$762)*100</f>
        <v/>
      </c>
      <c r="T695" s="278" t="n">
        <v>45581</v>
      </c>
      <c r="W695" s="170" t="n">
        <v>105.1625</v>
      </c>
    </row>
    <row r="696">
      <c r="B696" s="278" t="n">
        <v>45541</v>
      </c>
      <c r="E696" s="12" t="n">
        <v>2274</v>
      </c>
      <c r="H696" s="21">
        <f>(E696/$E$762)*100</f>
        <v/>
      </c>
      <c r="K696" s="12" t="n">
        <v>71143.39999999999</v>
      </c>
      <c r="N696" s="131">
        <f>(K696/$K$762)*100</f>
        <v/>
      </c>
      <c r="T696" s="278" t="n">
        <v>45580</v>
      </c>
      <c r="W696" s="170" t="n">
        <v>103.2532</v>
      </c>
    </row>
    <row r="697">
      <c r="B697" s="278" t="n">
        <v>45540</v>
      </c>
      <c r="E697" s="12" t="n">
        <v>2326.2</v>
      </c>
      <c r="H697" s="21">
        <f>(E697/$E$762)*100</f>
        <v/>
      </c>
      <c r="K697" s="12" t="n">
        <v>72375.50999999999</v>
      </c>
      <c r="N697" s="131">
        <f>(K697/$K$762)*100</f>
        <v/>
      </c>
      <c r="T697" s="278" t="n">
        <v>45579</v>
      </c>
      <c r="W697" s="170" t="n">
        <v>105.1298</v>
      </c>
    </row>
    <row r="698">
      <c r="B698" s="278" t="n">
        <v>45539</v>
      </c>
      <c r="E698" s="12" t="n">
        <v>2289.35</v>
      </c>
      <c r="H698" s="21">
        <f>(E698/$E$762)*100</f>
        <v/>
      </c>
      <c r="K698" s="12" t="n">
        <v>72820.21000000001</v>
      </c>
      <c r="N698" s="131">
        <f>(K698/$K$762)*100</f>
        <v/>
      </c>
      <c r="T698" s="278" t="n">
        <v>45576</v>
      </c>
      <c r="W698" s="170" t="n">
        <v>105.1778</v>
      </c>
    </row>
    <row r="699">
      <c r="B699" s="278" t="n">
        <v>45538</v>
      </c>
      <c r="E699" s="12" t="n">
        <v>2238.95</v>
      </c>
      <c r="H699" s="21">
        <f>(E699/$E$762)*100</f>
        <v/>
      </c>
      <c r="K699" s="12" t="n">
        <v>73026.95</v>
      </c>
      <c r="N699" s="131">
        <f>(K699/$K$762)*100</f>
        <v/>
      </c>
      <c r="T699" s="278" t="n">
        <v>45575</v>
      </c>
      <c r="W699" s="170" t="n">
        <v>105.2913</v>
      </c>
    </row>
    <row r="700">
      <c r="B700" s="278" t="n">
        <v>45537</v>
      </c>
      <c r="E700" s="12" t="n">
        <v>2224.4</v>
      </c>
      <c r="H700" s="21">
        <f>(E700/$E$762)*100</f>
        <v/>
      </c>
      <c r="K700" s="12" t="n">
        <v>72574.09</v>
      </c>
      <c r="N700" s="131">
        <f>(K700/$K$762)*100</f>
        <v/>
      </c>
      <c r="T700" s="278" t="n">
        <v>45574</v>
      </c>
      <c r="W700" s="170" t="n">
        <v>105.8335</v>
      </c>
    </row>
    <row r="701">
      <c r="B701" s="278" t="n">
        <v>45534</v>
      </c>
      <c r="E701" s="12" t="n">
        <v>2209.45</v>
      </c>
      <c r="H701" s="21">
        <f>(E701/$E$762)*100</f>
        <v/>
      </c>
      <c r="K701" s="12" t="n">
        <v>73169.37</v>
      </c>
      <c r="N701" s="131">
        <f>(K701/$K$762)*100</f>
        <v/>
      </c>
      <c r="T701" s="278" t="n">
        <v>45573</v>
      </c>
      <c r="W701" s="170" t="n">
        <v>107.9831</v>
      </c>
    </row>
    <row r="702">
      <c r="B702" s="278" t="n">
        <v>45533</v>
      </c>
      <c r="E702" s="12" t="n">
        <v>2212.65</v>
      </c>
      <c r="H702" s="21">
        <f>(E702/$E$762)*100</f>
        <v/>
      </c>
      <c r="K702" s="12" t="n">
        <v>72788.64999999999</v>
      </c>
      <c r="N702" s="131">
        <f>(K702/$K$762)*100</f>
        <v/>
      </c>
      <c r="T702" s="278" t="n">
        <v>45572</v>
      </c>
      <c r="W702" s="170" t="n">
        <v>105.5143</v>
      </c>
    </row>
    <row r="703">
      <c r="B703" s="278" t="n">
        <v>45532</v>
      </c>
      <c r="E703" s="12" t="n">
        <v>2204.1</v>
      </c>
      <c r="H703" s="21">
        <f>(E703/$E$762)*100</f>
        <v/>
      </c>
      <c r="K703" s="12" t="n">
        <v>73440.63</v>
      </c>
      <c r="N703" s="131">
        <f>(K703/$K$762)*100</f>
        <v/>
      </c>
      <c r="T703" s="278" t="n">
        <v>45569</v>
      </c>
      <c r="W703" s="170" t="n">
        <v>102.0285</v>
      </c>
    </row>
    <row r="704">
      <c r="B704" s="278" t="n">
        <v>45531</v>
      </c>
      <c r="E704" s="12" t="n">
        <v>2222.05</v>
      </c>
      <c r="H704" s="21">
        <f>(E704/$E$762)*100</f>
        <v/>
      </c>
      <c r="K704" s="12" t="n">
        <v>73668.42</v>
      </c>
      <c r="N704" s="131">
        <f>(K704/$K$762)*100</f>
        <v/>
      </c>
      <c r="T704" s="278" t="n">
        <v>45568</v>
      </c>
      <c r="W704" s="170" t="n">
        <v>100.2634</v>
      </c>
    </row>
    <row r="705">
      <c r="B705" s="278" t="n">
        <v>45530</v>
      </c>
      <c r="E705" s="12" t="n">
        <v>2012.7</v>
      </c>
      <c r="H705" s="21">
        <f>(E705/$E$762)*100</f>
        <v/>
      </c>
      <c r="K705" s="12" t="n">
        <v>73474.33</v>
      </c>
      <c r="N705" s="131">
        <f>(K705/$K$762)*100</f>
        <v/>
      </c>
      <c r="T705" s="278" t="n">
        <v>45567</v>
      </c>
      <c r="W705" s="170" t="n"/>
    </row>
    <row r="706">
      <c r="B706" s="278" t="n">
        <v>45527</v>
      </c>
      <c r="E706" s="12" t="n">
        <v>2009</v>
      </c>
      <c r="H706" s="21">
        <f>(E706/$E$762)*100</f>
        <v/>
      </c>
      <c r="K706" s="12" t="n">
        <v>73356.7</v>
      </c>
      <c r="N706" s="131">
        <f>(K706/$K$762)*100</f>
        <v/>
      </c>
      <c r="T706" s="278" t="n">
        <v>45566</v>
      </c>
      <c r="W706" s="170" t="n">
        <v>89.5693</v>
      </c>
    </row>
    <row r="707">
      <c r="B707" s="278" t="n">
        <v>45526</v>
      </c>
      <c r="E707" s="12" t="n">
        <v>1984.35</v>
      </c>
      <c r="H707" s="21">
        <f>(E707/$E$762)*100</f>
        <v/>
      </c>
      <c r="K707" s="12" t="n">
        <v>73185.32000000001</v>
      </c>
      <c r="N707" s="131">
        <f>(K707/$K$762)*100</f>
        <v/>
      </c>
      <c r="T707" s="278" t="n">
        <v>45565</v>
      </c>
      <c r="W707" s="170" t="n">
        <v>89.3386</v>
      </c>
    </row>
    <row r="708">
      <c r="B708" s="278" t="n">
        <v>45525</v>
      </c>
      <c r="E708" s="12" t="n">
        <v>1975.65</v>
      </c>
      <c r="H708" s="21">
        <f>(E708/$E$762)*100</f>
        <v/>
      </c>
      <c r="K708" s="12" t="n">
        <v>73121.12</v>
      </c>
      <c r="N708" s="131">
        <f>(K708/$K$762)*100</f>
        <v/>
      </c>
      <c r="T708" s="278" t="n">
        <v>45562</v>
      </c>
      <c r="W708" s="170" t="n">
        <v>85.38549999999999</v>
      </c>
    </row>
    <row r="709">
      <c r="B709" s="278" t="n">
        <v>45524</v>
      </c>
      <c r="E709" s="12" t="n">
        <v>1945.55</v>
      </c>
      <c r="H709" s="21">
        <f>(E709/$E$762)*100</f>
        <v/>
      </c>
      <c r="K709" s="12" t="n">
        <v>72804.05</v>
      </c>
      <c r="N709" s="131">
        <f>(K709/$K$762)*100</f>
        <v/>
      </c>
      <c r="T709" s="278" t="n">
        <v>45561</v>
      </c>
      <c r="W709" s="170" t="n">
        <v>86.0911</v>
      </c>
    </row>
    <row r="710">
      <c r="B710" s="278" t="n">
        <v>45523</v>
      </c>
      <c r="E710" s="12" t="n">
        <v>1936.05</v>
      </c>
      <c r="H710" s="21">
        <f>(E710/$E$762)*100</f>
        <v/>
      </c>
      <c r="K710" s="12" t="n">
        <v>72813.23</v>
      </c>
      <c r="N710" s="131">
        <f>(K710/$K$762)*100</f>
        <v/>
      </c>
      <c r="T710" s="278" t="n">
        <v>45560</v>
      </c>
      <c r="W710" s="170" t="n">
        <v>83.8377</v>
      </c>
    </row>
    <row r="711">
      <c r="B711" s="278" t="n">
        <v>45520</v>
      </c>
      <c r="E711" s="12" t="n">
        <v>1896.15</v>
      </c>
      <c r="H711" s="21">
        <f>(E711/$E$762)*100</f>
        <v/>
      </c>
      <c r="K711" s="12" t="n">
        <v>72847.57000000001</v>
      </c>
      <c r="N711" s="131">
        <f>(K711/$K$762)*100</f>
        <v/>
      </c>
      <c r="T711" s="278" t="n">
        <v>45559</v>
      </c>
      <c r="W711" s="170" t="n">
        <v>84.7837</v>
      </c>
    </row>
    <row r="712">
      <c r="B712" s="278" t="n">
        <v>45518</v>
      </c>
      <c r="E712" s="12" t="n">
        <v>1903.4</v>
      </c>
      <c r="H712" s="21">
        <f>(E712/$E$762)*100</f>
        <v/>
      </c>
      <c r="K712" s="12" t="n">
        <v>71539.53</v>
      </c>
      <c r="N712" s="131">
        <f>(K712/$K$762)*100</f>
        <v/>
      </c>
      <c r="T712" s="278" t="n">
        <v>45558</v>
      </c>
      <c r="W712" s="170" t="n">
        <v>86.6949</v>
      </c>
    </row>
    <row r="713">
      <c r="B713" s="278" t="n">
        <v>45517</v>
      </c>
      <c r="E713" s="12" t="n">
        <v>1889.45</v>
      </c>
      <c r="H713" s="21">
        <f>(E713/$E$762)*100</f>
        <v/>
      </c>
      <c r="K713" s="12" t="n">
        <v>71952.03999999999</v>
      </c>
      <c r="N713" s="131">
        <f>(K713/$K$762)*100</f>
        <v/>
      </c>
      <c r="T713" s="278" t="n">
        <v>45555</v>
      </c>
      <c r="W713" s="170" t="n">
        <v>85.62779999999999</v>
      </c>
    </row>
    <row r="714">
      <c r="B714" s="278" t="n">
        <v>45516</v>
      </c>
      <c r="E714" s="12" t="n">
        <v>1855.8</v>
      </c>
      <c r="H714" s="21">
        <f>(E714/$E$762)*100</f>
        <v/>
      </c>
      <c r="K714" s="12" t="n">
        <v>72564.23</v>
      </c>
      <c r="N714" s="131">
        <f>(K714/$K$762)*100</f>
        <v/>
      </c>
      <c r="T714" s="278" t="n">
        <v>45554</v>
      </c>
      <c r="W714" s="170" t="n">
        <v>82.7898</v>
      </c>
    </row>
    <row r="715">
      <c r="B715" s="278" t="n">
        <v>45513</v>
      </c>
      <c r="E715" s="12" t="n">
        <v>1804.15</v>
      </c>
      <c r="H715" s="21">
        <f>(E715/$E$762)*100</f>
        <v/>
      </c>
      <c r="K715" s="12" t="n">
        <v>72526.33</v>
      </c>
      <c r="N715" s="131">
        <f>(K715/$K$762)*100</f>
        <v/>
      </c>
      <c r="T715" s="278" t="n">
        <v>45553</v>
      </c>
      <c r="W715" s="170" t="n">
        <v>85.1163</v>
      </c>
    </row>
    <row r="716">
      <c r="B716" s="278" t="n">
        <v>45512</v>
      </c>
      <c r="E716" s="12" t="n">
        <v>1744.05</v>
      </c>
      <c r="H716" s="21">
        <f>(E716/$E$762)*100</f>
        <v/>
      </c>
      <c r="K716" s="12" t="n">
        <v>71548.05</v>
      </c>
      <c r="N716" s="131">
        <f>(K716/$K$762)*100</f>
        <v/>
      </c>
      <c r="T716" s="278" t="n">
        <v>45552</v>
      </c>
      <c r="W716" s="170" t="n">
        <v>86.7487</v>
      </c>
    </row>
    <row r="717">
      <c r="B717" s="278" t="n">
        <v>45511</v>
      </c>
      <c r="E717" s="12" t="n">
        <v>1711.55</v>
      </c>
      <c r="H717" s="21">
        <f>(E717/$E$762)*100</f>
        <v/>
      </c>
      <c r="K717" s="12" t="n">
        <v>72188.42</v>
      </c>
      <c r="N717" s="131">
        <f>(K717/$K$762)*100</f>
        <v/>
      </c>
      <c r="T717" s="278" t="n">
        <v>45551</v>
      </c>
      <c r="W717" s="170" t="n">
        <v>85.7239</v>
      </c>
    </row>
    <row r="718">
      <c r="B718" s="278" t="n">
        <v>45510</v>
      </c>
      <c r="E718" s="12" t="n">
        <v>1692</v>
      </c>
      <c r="H718" s="21">
        <f>(E718/$E$762)*100</f>
        <v/>
      </c>
      <c r="K718" s="12" t="n">
        <v>70161.39</v>
      </c>
      <c r="N718" s="131">
        <f>(K718/$K$762)*100</f>
        <v/>
      </c>
      <c r="T718" s="278" t="n">
        <v>45548</v>
      </c>
      <c r="W718" s="170" t="n">
        <v>86.991</v>
      </c>
    </row>
    <row r="719">
      <c r="B719" s="278" t="n">
        <v>45509</v>
      </c>
      <c r="E719" s="12" t="n">
        <v>1695.95</v>
      </c>
      <c r="H719" s="21">
        <f>(E719/$E$762)*100</f>
        <v/>
      </c>
      <c r="K719" s="12" t="n">
        <v>70443.47</v>
      </c>
      <c r="N719" s="131">
        <f>(K719/$K$762)*100</f>
        <v/>
      </c>
      <c r="T719" s="278" t="n">
        <v>45547</v>
      </c>
      <c r="W719" s="170" t="n">
        <v>85.547</v>
      </c>
    </row>
    <row r="720">
      <c r="B720" s="278" t="n">
        <v>45506</v>
      </c>
      <c r="E720" s="12" t="n">
        <v>1792.85</v>
      </c>
      <c r="H720" s="21">
        <f>(E720/$E$762)*100</f>
        <v/>
      </c>
      <c r="K720" s="12" t="n">
        <v>73478.11</v>
      </c>
      <c r="N720" s="131">
        <f>(K720/$K$762)*100</f>
        <v/>
      </c>
      <c r="T720" s="278" t="n">
        <v>45546</v>
      </c>
      <c r="W720" s="170" t="n">
        <v>87.64660000000001</v>
      </c>
    </row>
    <row r="721">
      <c r="B721" s="278" t="n">
        <v>45505</v>
      </c>
      <c r="E721" s="12" t="n">
        <v>1789.35</v>
      </c>
      <c r="H721" s="21">
        <f>(E721/$E$762)*100</f>
        <v/>
      </c>
      <c r="K721" s="12" t="n">
        <v>74751.14999999999</v>
      </c>
      <c r="N721" s="131">
        <f>(K721/$K$762)*100</f>
        <v/>
      </c>
      <c r="T721" s="278" t="n">
        <v>45545</v>
      </c>
      <c r="W721" s="170" t="n">
        <v>87.8177</v>
      </c>
    </row>
    <row r="722">
      <c r="B722" s="278" t="n">
        <v>45504</v>
      </c>
      <c r="E722" s="12" t="n">
        <v>1789.7</v>
      </c>
      <c r="H722" s="21">
        <f>(E722/$E$762)*100</f>
        <v/>
      </c>
      <c r="K722" s="12" t="n">
        <v>75640.12</v>
      </c>
      <c r="N722" s="131">
        <f>(K722/$K$762)*100</f>
        <v/>
      </c>
      <c r="T722" s="278" t="n">
        <v>45544</v>
      </c>
      <c r="W722" s="170" t="n">
        <v>86.1815</v>
      </c>
    </row>
    <row r="723">
      <c r="B723" s="278" t="n">
        <v>45503</v>
      </c>
      <c r="E723" s="12" t="n">
        <v>1812.6</v>
      </c>
      <c r="H723" s="21">
        <f>(E723/$E$762)*100</f>
        <v/>
      </c>
      <c r="K723" s="12" t="n">
        <v>75488.44</v>
      </c>
      <c r="N723" s="131">
        <f>(K723/$K$762)*100</f>
        <v/>
      </c>
      <c r="T723" s="278" t="n">
        <v>45541</v>
      </c>
      <c r="W723" s="170" t="n">
        <v>87.4447</v>
      </c>
    </row>
    <row r="724">
      <c r="B724" s="278" t="n">
        <v>45502</v>
      </c>
      <c r="E724" s="12" t="n">
        <v>1795.95</v>
      </c>
      <c r="H724" s="21">
        <f>(E724/$E$762)*100</f>
        <v/>
      </c>
      <c r="K724" s="12" t="n">
        <v>75403.36</v>
      </c>
      <c r="N724" s="131">
        <f>(K724/$K$762)*100</f>
        <v/>
      </c>
      <c r="T724" s="278" t="n">
        <v>45540</v>
      </c>
      <c r="W724" s="170" t="n">
        <v>89.452</v>
      </c>
    </row>
    <row r="725">
      <c r="B725" s="278" t="n">
        <v>45499</v>
      </c>
      <c r="E725" s="12" t="n">
        <v>1803.1</v>
      </c>
      <c r="H725" s="21">
        <f>(E725/$E$762)*100</f>
        <v/>
      </c>
      <c r="K725" s="12" t="n">
        <v>73396.25999999999</v>
      </c>
      <c r="N725" s="131">
        <f>(K725/$K$762)*100</f>
        <v/>
      </c>
      <c r="T725" s="278" t="n">
        <v>45539</v>
      </c>
      <c r="W725" s="170" t="n">
        <v>88.035</v>
      </c>
    </row>
    <row r="726">
      <c r="B726" s="278" t="n">
        <v>45498</v>
      </c>
      <c r="E726" s="12" t="n">
        <v>1809.35</v>
      </c>
      <c r="H726" s="21">
        <f>(E726/$E$762)*100</f>
        <v/>
      </c>
      <c r="K726" s="12" t="n">
        <v>72305.61</v>
      </c>
      <c r="N726" s="131">
        <f>(K726/$K$762)*100</f>
        <v/>
      </c>
      <c r="T726" s="278" t="n">
        <v>45538</v>
      </c>
      <c r="W726" s="170" t="n">
        <v>86.09690000000001</v>
      </c>
    </row>
    <row r="727">
      <c r="B727" s="278" t="n">
        <v>45497</v>
      </c>
      <c r="E727" s="12" t="n">
        <v>1818.8</v>
      </c>
      <c r="H727" s="21">
        <f>(E727/$E$762)*100</f>
        <v/>
      </c>
      <c r="K727" s="12" t="n">
        <v>71559.42</v>
      </c>
      <c r="N727" s="131">
        <f>(K727/$K$762)*100</f>
        <v/>
      </c>
      <c r="T727" s="278" t="n">
        <v>45537</v>
      </c>
      <c r="W727" s="170" t="n">
        <v>85.53740000000001</v>
      </c>
    </row>
    <row r="728">
      <c r="B728" s="278" t="n">
        <v>45496</v>
      </c>
      <c r="E728" s="12" t="n">
        <v>1762.05</v>
      </c>
      <c r="H728" s="21">
        <f>(E728/$E$762)*100</f>
        <v/>
      </c>
      <c r="K728" s="12" t="n">
        <v>71199.03</v>
      </c>
      <c r="N728" s="131">
        <f>(K728/$K$762)*100</f>
        <v/>
      </c>
      <c r="T728" s="278" t="n">
        <v>45534</v>
      </c>
      <c r="W728" s="170" t="n">
        <v>84.96250000000001</v>
      </c>
    </row>
    <row r="729">
      <c r="B729" s="278" t="n">
        <v>45495</v>
      </c>
      <c r="E729" s="12" t="n">
        <v>1764.55</v>
      </c>
      <c r="H729" s="21">
        <f>(E729/$E$762)*100</f>
        <v/>
      </c>
      <c r="K729" s="12" t="n">
        <v>72677.78</v>
      </c>
      <c r="N729" s="131">
        <f>(K729/$K$762)*100</f>
        <v/>
      </c>
      <c r="T729" s="278" t="n">
        <v>45533</v>
      </c>
      <c r="W729" s="170" t="n">
        <v>85.0856</v>
      </c>
    </row>
    <row r="730">
      <c r="B730" s="278" t="n">
        <v>45492</v>
      </c>
      <c r="E730" s="12" t="n">
        <v>1775.75</v>
      </c>
      <c r="H730" s="21">
        <f>(E730/$E$762)*100</f>
        <v/>
      </c>
      <c r="K730" s="12" t="n">
        <v>71599.17</v>
      </c>
      <c r="N730" s="131">
        <f>(K730/$K$762)*100</f>
        <v/>
      </c>
      <c r="T730" s="278" t="n">
        <v>45532</v>
      </c>
      <c r="W730" s="170" t="n">
        <v>84.7568</v>
      </c>
    </row>
    <row r="731">
      <c r="B731" s="278" t="n">
        <v>45491</v>
      </c>
      <c r="E731" s="12" t="n">
        <v>1813.8</v>
      </c>
      <c r="H731" s="21">
        <f>(E731/$E$762)*100</f>
        <v/>
      </c>
      <c r="K731" s="12" t="n">
        <v>72945.66</v>
      </c>
      <c r="N731" s="131">
        <f>(K731/$K$762)*100</f>
        <v/>
      </c>
      <c r="T731" s="278" t="n">
        <v>45531</v>
      </c>
      <c r="W731" s="170" t="n">
        <v>85.447</v>
      </c>
    </row>
    <row r="732">
      <c r="B732" s="278" t="n">
        <v>45489</v>
      </c>
      <c r="E732" s="12" t="n">
        <v>1831.65</v>
      </c>
      <c r="H732" s="21">
        <f>(E732/$E$762)*100</f>
        <v/>
      </c>
      <c r="K732" s="12" t="n">
        <v>74460.06</v>
      </c>
      <c r="N732" s="131">
        <f>(K732/$K$762)*100</f>
        <v/>
      </c>
      <c r="T732" s="278" t="n">
        <v>45530</v>
      </c>
      <c r="W732" s="170" t="n">
        <v>77.3967</v>
      </c>
    </row>
    <row r="733">
      <c r="B733" s="278" t="n">
        <v>45488</v>
      </c>
      <c r="E733" s="12" t="n">
        <v>1807.9</v>
      </c>
      <c r="H733" s="21">
        <f>(E733/$E$762)*100</f>
        <v/>
      </c>
      <c r="K733" s="12" t="n">
        <v>74859.8</v>
      </c>
      <c r="N733" s="131">
        <f>(K733/$K$762)*100</f>
        <v/>
      </c>
      <c r="T733" s="278" t="n">
        <v>45527</v>
      </c>
      <c r="W733" s="170" t="n">
        <v>77.2544</v>
      </c>
    </row>
    <row r="734">
      <c r="B734" s="278" t="n">
        <v>45485</v>
      </c>
      <c r="E734" s="12" t="n">
        <v>1789.2</v>
      </c>
      <c r="H734" s="21">
        <f>(E734/$E$762)*100</f>
        <v/>
      </c>
      <c r="K734" s="12" t="n">
        <v>74950.89999999999</v>
      </c>
      <c r="N734" s="131">
        <f>(K734/$K$762)*100</f>
        <v/>
      </c>
      <c r="T734" s="278" t="n">
        <v>45526</v>
      </c>
      <c r="W734" s="170" t="n">
        <v>76.3065</v>
      </c>
    </row>
    <row r="735">
      <c r="B735" s="278" t="n">
        <v>45484</v>
      </c>
      <c r="E735" s="12" t="n">
        <v>1778.2</v>
      </c>
      <c r="H735" s="21">
        <f>(E735/$E$762)*100</f>
        <v/>
      </c>
      <c r="K735" s="12" t="n">
        <v>75381.58</v>
      </c>
      <c r="N735" s="131">
        <f>(K735/$K$762)*100</f>
        <v/>
      </c>
      <c r="T735" s="278" t="n">
        <v>45525</v>
      </c>
      <c r="W735" s="170" t="n">
        <v>75.97190000000001</v>
      </c>
    </row>
    <row r="736">
      <c r="B736" s="278" t="n">
        <v>45483</v>
      </c>
      <c r="E736" s="12" t="n">
        <v>1775.15</v>
      </c>
      <c r="H736" s="21">
        <f>(E736/$E$762)*100</f>
        <v/>
      </c>
      <c r="K736" s="12" t="n">
        <v>75207.69</v>
      </c>
      <c r="N736" s="131">
        <f>(K736/$K$762)*100</f>
        <v/>
      </c>
      <c r="T736" s="278" t="n">
        <v>45524</v>
      </c>
      <c r="W736" s="170" t="n">
        <v>74.8145</v>
      </c>
    </row>
    <row r="737">
      <c r="B737" s="278" t="n">
        <v>45482</v>
      </c>
      <c r="E737" s="12" t="n">
        <v>1800.35</v>
      </c>
      <c r="H737" s="21">
        <f>(E737/$E$762)*100</f>
        <v/>
      </c>
      <c r="K737" s="12" t="n">
        <v>75536.57000000001</v>
      </c>
      <c r="N737" s="131">
        <f>(K737/$K$762)*100</f>
        <v/>
      </c>
      <c r="T737" s="278" t="n">
        <v>45523</v>
      </c>
      <c r="W737" s="170" t="n">
        <v>74.4491</v>
      </c>
    </row>
    <row r="738">
      <c r="B738" s="278" t="n">
        <v>45481</v>
      </c>
      <c r="E738" s="12" t="n">
        <v>1769.55</v>
      </c>
      <c r="H738" s="21">
        <f>(E738/$E$762)*100</f>
        <v/>
      </c>
      <c r="K738" s="12" t="n">
        <v>75620.11</v>
      </c>
      <c r="N738" s="131">
        <f>(K738/$K$762)*100</f>
        <v/>
      </c>
      <c r="T738" s="278" t="n">
        <v>45520</v>
      </c>
      <c r="W738" s="170" t="n">
        <v>72.9148</v>
      </c>
    </row>
    <row r="739">
      <c r="B739" s="278" t="n">
        <v>45478</v>
      </c>
      <c r="E739" s="12" t="n">
        <v>1804.9</v>
      </c>
      <c r="H739" s="21">
        <f>(E739/$E$762)*100</f>
        <v/>
      </c>
      <c r="K739" s="12" t="n">
        <v>75131.42999999999</v>
      </c>
      <c r="N739" s="131">
        <f>(K739/$K$762)*100</f>
        <v/>
      </c>
      <c r="T739" s="278" t="n">
        <v>45519</v>
      </c>
      <c r="W739" s="170" t="n"/>
    </row>
    <row r="740">
      <c r="B740" s="278" t="n">
        <v>45477</v>
      </c>
      <c r="E740" s="12" t="n">
        <v>1799</v>
      </c>
      <c r="H740" s="21">
        <f>(E740/$E$762)*100</f>
        <v/>
      </c>
      <c r="K740" s="12" t="n">
        <v>73985.28999999999</v>
      </c>
      <c r="N740" s="131">
        <f>(K740/$K$762)*100</f>
        <v/>
      </c>
      <c r="T740" s="278" t="n">
        <v>45518</v>
      </c>
      <c r="W740" s="170" t="n">
        <v>73.1936</v>
      </c>
    </row>
    <row r="741">
      <c r="B741" s="278" t="n">
        <v>45476</v>
      </c>
      <c r="E741" s="12" t="n">
        <v>1818.3</v>
      </c>
      <c r="H741" s="21">
        <f>(E741/$E$762)*100</f>
        <v/>
      </c>
      <c r="K741" s="12" t="n">
        <v>73757.67</v>
      </c>
      <c r="N741" s="131">
        <f>(K741/$K$762)*100</f>
        <v/>
      </c>
      <c r="T741" s="278" t="n">
        <v>45517</v>
      </c>
      <c r="W741" s="170" t="n">
        <v>72.6572</v>
      </c>
    </row>
    <row r="742">
      <c r="B742" s="278" t="n">
        <v>45475</v>
      </c>
      <c r="E742" s="12" t="n">
        <v>1814.05</v>
      </c>
      <c r="H742" s="21">
        <f>(E742/$E$762)*100</f>
        <v/>
      </c>
      <c r="K742" s="12" t="n">
        <v>73044.87</v>
      </c>
      <c r="N742" s="131">
        <f>(K742/$K$762)*100</f>
        <v/>
      </c>
      <c r="T742" s="278" t="n">
        <v>45516</v>
      </c>
      <c r="W742" s="170" t="n">
        <v>71.36320000000001</v>
      </c>
    </row>
    <row r="743">
      <c r="B743" s="278" t="n">
        <v>45474</v>
      </c>
      <c r="E743" s="12" t="n">
        <v>1819.2</v>
      </c>
      <c r="H743" s="21">
        <f>(E743/$E$762)*100</f>
        <v/>
      </c>
      <c r="K743" s="12" t="n">
        <v>72726.60000000001</v>
      </c>
      <c r="N743" s="131">
        <f>(K743/$K$762)*100</f>
        <v/>
      </c>
      <c r="T743" s="278" t="n">
        <v>45513</v>
      </c>
      <c r="W743" s="170" t="n">
        <v>69.377</v>
      </c>
    </row>
    <row r="744">
      <c r="B744" s="278" t="n">
        <v>45471</v>
      </c>
      <c r="E744" s="12" t="n">
        <v>1819.55</v>
      </c>
      <c r="H744" s="21">
        <f>(E744/$E$762)*100</f>
        <v/>
      </c>
      <c r="K744" s="12" t="n">
        <v>72324.41</v>
      </c>
      <c r="N744" s="131">
        <f>(K744/$K$762)*100</f>
        <v/>
      </c>
      <c r="T744" s="278" t="n">
        <v>45512</v>
      </c>
      <c r="W744" s="170" t="n">
        <v>67.0659</v>
      </c>
    </row>
    <row r="745">
      <c r="B745" s="278" t="n">
        <v>45470</v>
      </c>
      <c r="E745" s="12" t="n">
        <v>1783.45</v>
      </c>
      <c r="H745" s="21">
        <f>(E745/$E$762)*100</f>
        <v/>
      </c>
      <c r="K745" s="12" t="n">
        <v>72628.78</v>
      </c>
      <c r="N745" s="131">
        <f>(K745/$K$762)*100</f>
        <v/>
      </c>
      <c r="T745" s="278" t="n">
        <v>45511</v>
      </c>
      <c r="W745" s="170" t="n">
        <v>65.81619999999999</v>
      </c>
    </row>
    <row r="746">
      <c r="B746" s="278" t="n">
        <v>45469</v>
      </c>
      <c r="E746" s="12" t="n">
        <v>1803</v>
      </c>
      <c r="H746" s="21">
        <f>(E746/$E$762)*100</f>
        <v/>
      </c>
      <c r="K746" s="12" t="n">
        <v>72683.19</v>
      </c>
      <c r="N746" s="131">
        <f>(K746/$K$762)*100</f>
        <v/>
      </c>
      <c r="T746" s="278" t="n">
        <v>45510</v>
      </c>
      <c r="W746" s="170" t="n">
        <v>65.06440000000001</v>
      </c>
    </row>
    <row r="747">
      <c r="B747" s="278" t="n">
        <v>45468</v>
      </c>
      <c r="E747" s="12" t="n">
        <v>1906.5</v>
      </c>
      <c r="H747" s="21">
        <f>(E747/$E$762)*100</f>
        <v/>
      </c>
      <c r="K747" s="12" t="n">
        <v>72694.07000000001</v>
      </c>
      <c r="N747" s="131">
        <f>(K747/$K$762)*100</f>
        <v/>
      </c>
      <c r="T747" s="278" t="n">
        <v>45509</v>
      </c>
      <c r="W747" s="170" t="n">
        <v>65.2163</v>
      </c>
    </row>
    <row r="748">
      <c r="B748" s="278" t="n">
        <v>45467</v>
      </c>
      <c r="E748" s="12" t="n">
        <v>1929.15</v>
      </c>
      <c r="H748" s="21">
        <f>(E748/$E$762)*100</f>
        <v/>
      </c>
      <c r="K748" s="12" t="n">
        <v>72489.21000000001</v>
      </c>
      <c r="N748" s="131">
        <f>(K748/$K$762)*100</f>
        <v/>
      </c>
      <c r="T748" s="278" t="n">
        <v>45506</v>
      </c>
      <c r="W748" s="170" t="n">
        <v>68.9425</v>
      </c>
    </row>
    <row r="749">
      <c r="B749" s="278" t="n">
        <v>45464</v>
      </c>
      <c r="E749" s="12" t="n">
        <v>1910.05</v>
      </c>
      <c r="H749" s="21">
        <f>(E749/$E$762)*100</f>
        <v/>
      </c>
      <c r="K749" s="12" t="n">
        <v>71779.22</v>
      </c>
      <c r="N749" s="131">
        <f>(K749/$K$762)*100</f>
        <v/>
      </c>
      <c r="T749" s="278" t="n">
        <v>45505</v>
      </c>
      <c r="W749" s="170" t="n">
        <v>68.8079</v>
      </c>
    </row>
    <row r="750">
      <c r="B750" s="278" t="n">
        <v>45463</v>
      </c>
      <c r="E750" s="12" t="n">
        <v>1930.05</v>
      </c>
      <c r="H750" s="21">
        <f>(E750/$E$762)*100</f>
        <v/>
      </c>
      <c r="K750" s="12" t="n">
        <v>72473.56</v>
      </c>
      <c r="N750" s="131">
        <f>(K750/$K$762)*100</f>
        <v/>
      </c>
      <c r="T750" s="278" t="n">
        <v>45504</v>
      </c>
      <c r="W750" s="170" t="n">
        <v>68.8214</v>
      </c>
    </row>
    <row r="751">
      <c r="B751" s="278" t="n">
        <v>45462</v>
      </c>
      <c r="E751" s="12" t="n">
        <v>1946.9</v>
      </c>
      <c r="H751" s="21">
        <f>(E751/$E$762)*100</f>
        <v/>
      </c>
      <c r="K751" s="12" t="n">
        <v>72206.83</v>
      </c>
      <c r="N751" s="131">
        <f>(K751/$K$762)*100</f>
        <v/>
      </c>
      <c r="T751" s="278" t="n">
        <v>45503</v>
      </c>
      <c r="W751" s="170" t="n">
        <v>69.702</v>
      </c>
    </row>
    <row r="752">
      <c r="B752" s="278" t="n">
        <v>45461</v>
      </c>
      <c r="E752" s="12" t="n">
        <v>1977.95</v>
      </c>
      <c r="H752" s="21">
        <f>(E752/$E$762)*100</f>
        <v/>
      </c>
      <c r="K752" s="12" t="n">
        <v>73790.16</v>
      </c>
      <c r="N752" s="131">
        <f>(K752/$K$762)*100</f>
        <v/>
      </c>
      <c r="T752" s="278" t="n">
        <v>45502</v>
      </c>
      <c r="W752" s="170" t="n">
        <v>69.0617</v>
      </c>
    </row>
    <row r="753">
      <c r="B753" s="278" t="n">
        <v>45457</v>
      </c>
      <c r="E753" s="12" t="n">
        <v>1787.9</v>
      </c>
      <c r="H753" s="21">
        <f>(E753/$E$762)*100</f>
        <v/>
      </c>
      <c r="K753" s="12" t="n">
        <v>73255.72</v>
      </c>
      <c r="N753" s="131">
        <f>(K753/$K$762)*100</f>
        <v/>
      </c>
      <c r="T753" s="278" t="n">
        <v>45499</v>
      </c>
      <c r="W753" s="170" t="n">
        <v>69.33669999999999</v>
      </c>
    </row>
    <row r="754">
      <c r="B754" s="278" t="n">
        <v>45456</v>
      </c>
      <c r="E754" s="12" t="n">
        <v>1808.35</v>
      </c>
      <c r="H754" s="21">
        <f>(E754/$E$762)*100</f>
        <v/>
      </c>
      <c r="K754" s="12" t="n">
        <v>72088.2</v>
      </c>
      <c r="N754" s="131">
        <f>(K754/$K$762)*100</f>
        <v/>
      </c>
      <c r="T754" s="278" t="n">
        <v>45498</v>
      </c>
      <c r="W754" s="170" t="n">
        <v>69.577</v>
      </c>
    </row>
    <row r="755">
      <c r="B755" s="278" t="n">
        <v>45455</v>
      </c>
      <c r="E755" s="12" t="n">
        <v>1793.65</v>
      </c>
      <c r="H755" s="21">
        <f>(E755/$E$762)*100</f>
        <v/>
      </c>
      <c r="K755" s="12" t="n">
        <v>70639.28999999999</v>
      </c>
      <c r="N755" s="131">
        <f>(K755/$K$762)*100</f>
        <v/>
      </c>
      <c r="T755" s="278" t="n">
        <v>45497</v>
      </c>
      <c r="W755" s="170" t="n">
        <v>69.9404</v>
      </c>
    </row>
    <row r="756">
      <c r="B756" s="278" t="n">
        <v>45454</v>
      </c>
      <c r="E756" s="12" t="n">
        <v>1792.05</v>
      </c>
      <c r="H756" s="21">
        <f>(E756/$E$762)*100</f>
        <v/>
      </c>
      <c r="K756" s="12" t="n">
        <v>69810.96000000001</v>
      </c>
      <c r="N756" s="131">
        <f>(K756/$K$762)*100</f>
        <v/>
      </c>
      <c r="T756" s="278" t="n">
        <v>45496</v>
      </c>
      <c r="W756" s="170" t="n">
        <v>67.7581</v>
      </c>
    </row>
    <row r="757">
      <c r="B757" s="278" t="n">
        <v>45453</v>
      </c>
      <c r="E757" s="12" t="n">
        <v>1791.55</v>
      </c>
      <c r="H757" s="21">
        <f>(E757/$E$762)*100</f>
        <v/>
      </c>
      <c r="K757" s="12" t="n">
        <v>68853.12</v>
      </c>
      <c r="N757" s="131">
        <f>(K757/$K$762)*100</f>
        <v/>
      </c>
      <c r="T757" s="278" t="n">
        <v>45495</v>
      </c>
      <c r="W757" s="170" t="n">
        <v>67.85429999999999</v>
      </c>
    </row>
    <row r="758">
      <c r="B758" s="278" t="n">
        <v>45450</v>
      </c>
      <c r="E758" s="12" t="n">
        <v>1763.65</v>
      </c>
      <c r="H758" s="21">
        <f>(E758/$E$762)*100</f>
        <v/>
      </c>
      <c r="K758" s="12" t="n">
        <v>68852.25999999999</v>
      </c>
      <c r="N758" s="131">
        <f>(K758/$K$762)*100</f>
        <v/>
      </c>
      <c r="T758" s="278" t="n">
        <v>45492</v>
      </c>
      <c r="W758" s="170" t="n">
        <v>68.28489999999999</v>
      </c>
    </row>
    <row r="759">
      <c r="B759" s="278" t="n">
        <v>45449</v>
      </c>
      <c r="E759" s="12" t="n">
        <v>1789.75</v>
      </c>
      <c r="H759" s="21">
        <f>(E759/$E$762)*100</f>
        <v/>
      </c>
      <c r="K759" s="12" t="n">
        <v>67886.67</v>
      </c>
      <c r="N759" s="131">
        <f>(K759/$K$762)*100</f>
        <v/>
      </c>
      <c r="T759" s="278" t="n">
        <v>45491</v>
      </c>
      <c r="W759" s="170" t="n">
        <v>69.74809999999999</v>
      </c>
    </row>
    <row r="760">
      <c r="B760" s="278" t="n">
        <v>45448</v>
      </c>
      <c r="E760" s="12" t="n">
        <v>1748.75</v>
      </c>
      <c r="H760" s="21">
        <f>(E760/$E$762)*100</f>
        <v/>
      </c>
      <c r="K760" s="12" t="n">
        <v>65643.28</v>
      </c>
      <c r="N760" s="131">
        <f>(K760/$K$762)*100</f>
        <v/>
      </c>
      <c r="T760" s="278" t="n">
        <v>45490</v>
      </c>
      <c r="W760" s="170" t="n"/>
    </row>
    <row r="761">
      <c r="B761" s="278" t="n">
        <v>45447</v>
      </c>
      <c r="E761" s="12" t="n">
        <v>1609.3</v>
      </c>
      <c r="H761" s="21">
        <f>(E761/$E$762)*100</f>
        <v/>
      </c>
      <c r="K761" s="12" t="n">
        <v>64829.31</v>
      </c>
      <c r="N761" s="131">
        <f>(K761/$K$762)*100</f>
        <v/>
      </c>
      <c r="T761" s="278" t="n">
        <v>45489</v>
      </c>
      <c r="W761" s="170" t="n">
        <v>70.4345</v>
      </c>
    </row>
    <row r="762">
      <c r="B762" s="279" t="n">
        <v>45446</v>
      </c>
      <c r="C762" s="144" t="n"/>
      <c r="D762" s="144" t="n"/>
      <c r="E762" s="144" t="n">
        <v>1742.1</v>
      </c>
      <c r="F762" s="144" t="n"/>
      <c r="G762" s="144" t="n"/>
      <c r="H762" s="245">
        <f>(E762/$E$762)*100</f>
        <v/>
      </c>
      <c r="I762" s="144" t="n"/>
      <c r="J762" s="144" t="n"/>
      <c r="K762" s="144" t="n">
        <v>73722.27</v>
      </c>
      <c r="L762" s="144" t="n"/>
      <c r="M762" s="144" t="n"/>
      <c r="N762" s="247">
        <f>(K762/$K$762)*100</f>
        <v/>
      </c>
      <c r="T762" s="278" t="n">
        <v>45488</v>
      </c>
      <c r="W762" s="170" t="n">
        <v>69.52119999999999</v>
      </c>
    </row>
    <row r="763">
      <c r="T763" s="278" t="n">
        <v>45485</v>
      </c>
      <c r="W763" s="170" t="n">
        <v>68.8022</v>
      </c>
    </row>
    <row r="764">
      <c r="T764" s="278" t="n">
        <v>45484</v>
      </c>
      <c r="W764" s="170" t="n">
        <v>68.3792</v>
      </c>
    </row>
    <row r="765">
      <c r="T765" s="278" t="n">
        <v>45483</v>
      </c>
      <c r="W765" s="170" t="n">
        <v>68.2619</v>
      </c>
    </row>
    <row r="766">
      <c r="T766" s="278" t="n">
        <v>45482</v>
      </c>
      <c r="W766" s="170" t="n">
        <v>69.23090000000001</v>
      </c>
    </row>
    <row r="767">
      <c r="T767" s="278" t="n">
        <v>45481</v>
      </c>
      <c r="W767" s="170" t="n">
        <v>68.04649999999999</v>
      </c>
    </row>
    <row r="768">
      <c r="T768" s="278" t="n">
        <v>45478</v>
      </c>
      <c r="W768" s="170" t="n">
        <v>69.4059</v>
      </c>
    </row>
    <row r="769">
      <c r="T769" s="278" t="n">
        <v>45477</v>
      </c>
      <c r="W769" s="170" t="n">
        <v>69.179</v>
      </c>
    </row>
    <row r="770">
      <c r="T770" s="278" t="n">
        <v>45476</v>
      </c>
      <c r="W770" s="170" t="n">
        <v>69.9212</v>
      </c>
    </row>
    <row r="771">
      <c r="T771" s="278" t="n">
        <v>45475</v>
      </c>
      <c r="W771" s="170" t="n">
        <v>69.7577</v>
      </c>
    </row>
    <row r="772">
      <c r="T772" s="278" t="n">
        <v>45474</v>
      </c>
      <c r="W772" s="170" t="n">
        <v>69.9558</v>
      </c>
    </row>
    <row r="773">
      <c r="T773" s="278" t="n">
        <v>45471</v>
      </c>
      <c r="W773" s="170" t="n">
        <v>69.9692</v>
      </c>
    </row>
    <row r="774">
      <c r="T774" s="278" t="n">
        <v>45470</v>
      </c>
      <c r="W774" s="170" t="n">
        <v>68.581</v>
      </c>
    </row>
    <row r="775">
      <c r="T775" s="278" t="n">
        <v>45469</v>
      </c>
      <c r="W775" s="170" t="n">
        <v>69.33280000000001</v>
      </c>
    </row>
    <row r="776">
      <c r="T776" s="278" t="n">
        <v>45468</v>
      </c>
      <c r="W776" s="170" t="n">
        <v>73.3128</v>
      </c>
    </row>
    <row r="777">
      <c r="T777" s="278" t="n">
        <v>45467</v>
      </c>
      <c r="W777" s="170" t="n">
        <v>74.18380000000001</v>
      </c>
    </row>
    <row r="778">
      <c r="T778" s="278" t="n">
        <v>45464</v>
      </c>
      <c r="W778" s="170" t="n">
        <v>73.44929999999999</v>
      </c>
    </row>
    <row r="779">
      <c r="T779" s="278" t="n">
        <v>45463</v>
      </c>
      <c r="W779" s="170" t="n">
        <v>74.2184</v>
      </c>
    </row>
    <row r="780">
      <c r="T780" s="278" t="n">
        <v>45462</v>
      </c>
      <c r="W780" s="170" t="n">
        <v>74.8664</v>
      </c>
    </row>
    <row r="781">
      <c r="T781" s="278" t="n">
        <v>45461</v>
      </c>
      <c r="W781" s="170" t="n">
        <v>76.0604</v>
      </c>
    </row>
    <row r="782">
      <c r="T782" s="278" t="n">
        <v>45460</v>
      </c>
      <c r="W782" s="170" t="n"/>
    </row>
    <row r="783">
      <c r="T783" s="278" t="n">
        <v>45457</v>
      </c>
      <c r="W783" s="170" t="n">
        <v>68.7522</v>
      </c>
    </row>
    <row r="784">
      <c r="T784" s="278" t="n">
        <v>45456</v>
      </c>
      <c r="W784" s="170" t="n">
        <v>69.5386</v>
      </c>
    </row>
    <row r="785">
      <c r="T785" s="278" t="n">
        <v>45455</v>
      </c>
      <c r="W785" s="170" t="n">
        <v>68.97329999999999</v>
      </c>
    </row>
    <row r="786">
      <c r="T786" s="278" t="n">
        <v>45454</v>
      </c>
      <c r="W786" s="170" t="n">
        <v>68.9118</v>
      </c>
    </row>
    <row r="787">
      <c r="T787" s="278" t="n">
        <v>45453</v>
      </c>
      <c r="W787" s="170" t="n">
        <v>68.8925</v>
      </c>
    </row>
    <row r="788">
      <c r="T788" s="278" t="n">
        <v>45450</v>
      </c>
      <c r="W788" s="170" t="n">
        <v>67.81959999999999</v>
      </c>
    </row>
    <row r="789">
      <c r="T789" s="278" t="n">
        <v>45449</v>
      </c>
      <c r="W789" s="170" t="n">
        <v>68.8233</v>
      </c>
    </row>
    <row r="790">
      <c r="T790" s="278" t="n">
        <v>45448</v>
      </c>
      <c r="W790" s="170" t="n">
        <v>67.2467</v>
      </c>
    </row>
    <row r="791">
      <c r="T791" s="278" t="n">
        <v>45447</v>
      </c>
      <c r="W791" s="170" t="n">
        <v>61.8843</v>
      </c>
    </row>
    <row r="792">
      <c r="T792" s="278" t="n">
        <v>45446</v>
      </c>
      <c r="W792" s="170" t="n">
        <v>66.991</v>
      </c>
    </row>
    <row r="793">
      <c r="T793" s="278" t="n">
        <v>45443</v>
      </c>
      <c r="W793" s="170" t="n">
        <v>66.4122</v>
      </c>
    </row>
    <row r="794">
      <c r="T794" s="278" t="n">
        <v>45442</v>
      </c>
      <c r="W794" s="170" t="n">
        <v>65.5759</v>
      </c>
    </row>
    <row r="795">
      <c r="T795" s="278" t="n">
        <v>45441</v>
      </c>
      <c r="W795" s="170" t="n">
        <v>66.3122</v>
      </c>
    </row>
    <row r="796">
      <c r="T796" s="278" t="n">
        <v>45440</v>
      </c>
      <c r="W796" s="170" t="n">
        <v>65.5163</v>
      </c>
    </row>
    <row r="797">
      <c r="T797" s="278" t="n">
        <v>45439</v>
      </c>
      <c r="W797" s="170" t="n">
        <v>66.7718</v>
      </c>
    </row>
    <row r="798">
      <c r="T798" s="278" t="n">
        <v>45436</v>
      </c>
      <c r="W798" s="170" t="n">
        <v>67.7024</v>
      </c>
    </row>
    <row r="799">
      <c r="T799" s="278" t="n">
        <v>45435</v>
      </c>
      <c r="W799" s="170" t="n">
        <v>68.1965</v>
      </c>
    </row>
    <row r="800">
      <c r="T800" s="278" t="n">
        <v>45434</v>
      </c>
      <c r="W800" s="170" t="n">
        <v>68.8656</v>
      </c>
    </row>
    <row r="801">
      <c r="T801" s="278" t="n">
        <v>45433</v>
      </c>
      <c r="W801" s="170" t="n">
        <v>70.0538</v>
      </c>
    </row>
    <row r="802">
      <c r="T802" s="278" t="n">
        <v>45432</v>
      </c>
      <c r="W802" s="170" t="n"/>
    </row>
    <row r="803">
      <c r="T803" s="278" t="n">
        <v>45430</v>
      </c>
      <c r="W803" s="170" t="n">
        <v>71.4478</v>
      </c>
    </row>
    <row r="804">
      <c r="T804" s="278" t="n">
        <v>45429</v>
      </c>
      <c r="W804" s="170" t="n">
        <v>71.52849999999999</v>
      </c>
    </row>
    <row r="805">
      <c r="T805" s="278" t="n">
        <v>45428</v>
      </c>
      <c r="W805" s="170" t="n">
        <v>69.52509999999999</v>
      </c>
    </row>
    <row r="806">
      <c r="T806" s="278" t="n">
        <v>45427</v>
      </c>
      <c r="W806" s="170" t="n">
        <v>69.8712</v>
      </c>
    </row>
    <row r="807">
      <c r="T807" s="278" t="n">
        <v>45426</v>
      </c>
      <c r="W807" s="170" t="n">
        <v>69.9808</v>
      </c>
    </row>
    <row r="808">
      <c r="T808" s="278" t="n">
        <v>45425</v>
      </c>
      <c r="W808" s="170" t="n">
        <v>68.3753</v>
      </c>
    </row>
    <row r="809">
      <c r="T809" s="278" t="n">
        <v>45422</v>
      </c>
      <c r="W809" s="170" t="n">
        <v>69.8077</v>
      </c>
    </row>
    <row r="810">
      <c r="T810" s="278" t="n">
        <v>45421</v>
      </c>
      <c r="W810" s="170" t="n">
        <v>72.6514</v>
      </c>
    </row>
    <row r="811">
      <c r="T811" s="278" t="n">
        <v>45420</v>
      </c>
      <c r="W811" s="170" t="n">
        <v>75.67010000000001</v>
      </c>
    </row>
    <row r="812">
      <c r="T812" s="278" t="n">
        <v>45419</v>
      </c>
      <c r="W812" s="170" t="n">
        <v>74.9567</v>
      </c>
    </row>
    <row r="813">
      <c r="T813" s="278" t="n">
        <v>45418</v>
      </c>
      <c r="W813" s="170" t="n">
        <v>79.3578</v>
      </c>
    </row>
    <row r="814">
      <c r="T814" s="278" t="n">
        <v>45415</v>
      </c>
      <c r="W814" s="170" t="n">
        <v>70.6133</v>
      </c>
    </row>
    <row r="815">
      <c r="T815" s="278" t="n">
        <v>45414</v>
      </c>
      <c r="W815" s="170" t="n">
        <v>69.5578</v>
      </c>
    </row>
    <row r="816">
      <c r="T816" s="278" t="n">
        <v>45413</v>
      </c>
      <c r="W816" s="170" t="n"/>
    </row>
    <row r="817">
      <c r="T817" s="278" t="n">
        <v>45412</v>
      </c>
      <c r="W817" s="170" t="n">
        <v>68.5311</v>
      </c>
    </row>
    <row r="818">
      <c r="T818" s="278" t="n">
        <v>45411</v>
      </c>
      <c r="W818" s="170" t="n">
        <v>68.34650000000001</v>
      </c>
    </row>
    <row r="819">
      <c r="T819" s="278" t="n">
        <v>45408</v>
      </c>
      <c r="W819" s="170" t="n">
        <v>68.78870000000001</v>
      </c>
    </row>
    <row r="820">
      <c r="T820" s="278" t="n">
        <v>45407</v>
      </c>
      <c r="W820" s="170" t="n">
        <v>69.84229999999999</v>
      </c>
    </row>
    <row r="821">
      <c r="T821" s="278" t="n">
        <v>45406</v>
      </c>
      <c r="W821" s="170" t="n">
        <v>67.4524</v>
      </c>
    </row>
    <row r="822">
      <c r="T822" s="278" t="n">
        <v>45405</v>
      </c>
      <c r="W822" s="170" t="n">
        <v>70.2653</v>
      </c>
    </row>
    <row r="823">
      <c r="T823" s="278" t="n">
        <v>45404</v>
      </c>
      <c r="W823" s="170" t="n">
        <v>69.1482</v>
      </c>
    </row>
    <row r="824">
      <c r="T824" s="278" t="n">
        <v>45401</v>
      </c>
      <c r="W824" s="170" t="n">
        <v>64.0185</v>
      </c>
    </row>
    <row r="825">
      <c r="T825" s="278" t="n">
        <v>45400</v>
      </c>
      <c r="W825" s="170" t="n">
        <v>64.5818</v>
      </c>
    </row>
    <row r="826">
      <c r="T826" s="278" t="n">
        <v>45399</v>
      </c>
      <c r="W826" s="170" t="n"/>
    </row>
    <row r="827">
      <c r="T827" s="278" t="n">
        <v>45398</v>
      </c>
      <c r="W827" s="170" t="n">
        <v>64.1444</v>
      </c>
    </row>
    <row r="828">
      <c r="T828" s="278" t="n">
        <v>45397</v>
      </c>
      <c r="W828" s="170" t="n">
        <v>64.304</v>
      </c>
    </row>
    <row r="829">
      <c r="T829" s="278" t="n">
        <v>45394</v>
      </c>
      <c r="W829" s="170" t="n">
        <v>64.827</v>
      </c>
    </row>
    <row r="830">
      <c r="T830" s="278" t="n">
        <v>45393</v>
      </c>
      <c r="W830" s="170" t="n"/>
    </row>
    <row r="831">
      <c r="T831" s="278" t="n">
        <v>45392</v>
      </c>
      <c r="W831" s="170" t="n">
        <v>64.8625</v>
      </c>
    </row>
    <row r="832">
      <c r="T832" s="278" t="n">
        <v>45391</v>
      </c>
      <c r="W832" s="170" t="n">
        <v>64.9721</v>
      </c>
    </row>
    <row r="833">
      <c r="T833" s="278" t="n">
        <v>45390</v>
      </c>
      <c r="W833" s="170" t="n">
        <v>65.1644</v>
      </c>
    </row>
    <row r="834">
      <c r="T834" s="278" t="n">
        <v>45387</v>
      </c>
      <c r="W834" s="170" t="n">
        <v>64.976</v>
      </c>
    </row>
    <row r="835">
      <c r="T835" s="278" t="n">
        <v>45386</v>
      </c>
      <c r="W835" s="170" t="n">
        <v>65.9114</v>
      </c>
    </row>
    <row r="836">
      <c r="T836" s="278" t="n">
        <v>45385</v>
      </c>
      <c r="W836" s="170" t="n">
        <v>61.9342</v>
      </c>
    </row>
    <row r="837">
      <c r="T837" s="278" t="n">
        <v>45384</v>
      </c>
      <c r="W837" s="170" t="n">
        <v>60.5134</v>
      </c>
    </row>
    <row r="838">
      <c r="T838" s="278" t="n">
        <v>45383</v>
      </c>
      <c r="W838" s="170" t="n">
        <v>60.7595</v>
      </c>
    </row>
    <row r="839">
      <c r="T839" s="278" t="n">
        <v>45380</v>
      </c>
      <c r="W839" s="170" t="n"/>
    </row>
    <row r="840">
      <c r="T840" s="278" t="n">
        <v>45379</v>
      </c>
      <c r="W840" s="170" t="n">
        <v>60.7297</v>
      </c>
    </row>
    <row r="841">
      <c r="T841" s="278" t="n">
        <v>45378</v>
      </c>
      <c r="W841" s="170" t="n">
        <v>61.0325</v>
      </c>
    </row>
    <row r="842">
      <c r="T842" s="278" t="n">
        <v>45377</v>
      </c>
      <c r="W842" s="170" t="n">
        <v>61.4305</v>
      </c>
    </row>
    <row r="843">
      <c r="T843" s="278" t="n">
        <v>45376</v>
      </c>
      <c r="W843" s="170" t="n"/>
    </row>
    <row r="844">
      <c r="T844" s="278" t="n">
        <v>45373</v>
      </c>
      <c r="W844" s="170" t="n">
        <v>61.1969</v>
      </c>
    </row>
    <row r="845">
      <c r="T845" s="278" t="n">
        <v>45372</v>
      </c>
      <c r="W845" s="170" t="n">
        <v>60.4115</v>
      </c>
    </row>
    <row r="846">
      <c r="T846" s="278" t="n">
        <v>45371</v>
      </c>
      <c r="W846" s="170" t="n">
        <v>58.4955</v>
      </c>
    </row>
    <row r="847">
      <c r="T847" s="278" t="n">
        <v>45370</v>
      </c>
      <c r="W847" s="170" t="n">
        <v>62.9148</v>
      </c>
    </row>
    <row r="848">
      <c r="T848" s="278" t="n">
        <v>45369</v>
      </c>
      <c r="W848" s="170" t="n">
        <v>59.8914</v>
      </c>
    </row>
    <row r="849">
      <c r="T849" s="278" t="n">
        <v>45366</v>
      </c>
      <c r="W849" s="170" t="n">
        <v>52.1871</v>
      </c>
    </row>
    <row r="850">
      <c r="T850" s="278" t="n">
        <v>45365</v>
      </c>
      <c r="W850" s="170" t="n">
        <v>49.5587</v>
      </c>
    </row>
    <row r="851">
      <c r="T851" s="278" t="n">
        <v>45364</v>
      </c>
      <c r="W851" s="170" t="n">
        <v>49.4703</v>
      </c>
    </row>
    <row r="852">
      <c r="T852" s="278" t="n">
        <v>45363</v>
      </c>
      <c r="W852" s="170" t="n">
        <v>52.314</v>
      </c>
    </row>
    <row r="853">
      <c r="T853" s="278" t="n">
        <v>45362</v>
      </c>
      <c r="W853" s="170" t="n">
        <v>52.8485</v>
      </c>
    </row>
    <row r="854">
      <c r="T854" s="278" t="n">
        <v>45359</v>
      </c>
      <c r="W854" s="170" t="n"/>
    </row>
    <row r="855">
      <c r="T855" s="278" t="n">
        <v>45358</v>
      </c>
      <c r="W855" s="170" t="n">
        <v>54.1031</v>
      </c>
    </row>
    <row r="856">
      <c r="T856" s="278" t="n">
        <v>45357</v>
      </c>
      <c r="W856" s="170" t="n">
        <v>52.6283</v>
      </c>
    </row>
    <row r="857">
      <c r="T857" s="278" t="n">
        <v>45356</v>
      </c>
      <c r="W857" s="170" t="n">
        <v>53.9915</v>
      </c>
    </row>
    <row r="858">
      <c r="T858" s="278" t="n">
        <v>45355</v>
      </c>
      <c r="W858" s="170" t="n">
        <v>53.0888</v>
      </c>
    </row>
    <row r="859">
      <c r="T859" s="278" t="n">
        <v>45353</v>
      </c>
      <c r="W859" s="170" t="n">
        <v>53.4368</v>
      </c>
    </row>
    <row r="860">
      <c r="T860" s="278" t="n">
        <v>45352</v>
      </c>
      <c r="W860" s="170" t="n">
        <v>53.434</v>
      </c>
    </row>
    <row r="861">
      <c r="T861" s="278" t="n">
        <v>45351</v>
      </c>
      <c r="W861" s="170" t="n">
        <v>54.1156</v>
      </c>
    </row>
    <row r="862">
      <c r="T862" s="278" t="n">
        <v>45350</v>
      </c>
      <c r="W862" s="170" t="n">
        <v>53.8031</v>
      </c>
    </row>
    <row r="863">
      <c r="T863" s="278" t="n">
        <v>45349</v>
      </c>
      <c r="W863" s="170" t="n">
        <v>53.5714</v>
      </c>
    </row>
    <row r="864">
      <c r="T864" s="278" t="n">
        <v>45348</v>
      </c>
      <c r="W864" s="170" t="n">
        <v>53.5839</v>
      </c>
    </row>
    <row r="865">
      <c r="T865" s="278" t="n">
        <v>45345</v>
      </c>
      <c r="W865" s="170" t="n">
        <v>53.9944</v>
      </c>
    </row>
    <row r="866">
      <c r="T866" s="278" t="n">
        <v>45344</v>
      </c>
      <c r="W866" s="170" t="n">
        <v>53.8127</v>
      </c>
    </row>
    <row r="867">
      <c r="T867" s="278" t="n">
        <v>45343</v>
      </c>
      <c r="W867" s="170" t="n">
        <v>54.2588</v>
      </c>
    </row>
    <row r="868">
      <c r="T868" s="278" t="n">
        <v>45342</v>
      </c>
      <c r="W868" s="170" t="n">
        <v>54.0531</v>
      </c>
    </row>
    <row r="869">
      <c r="T869" s="278" t="n">
        <v>45341</v>
      </c>
      <c r="W869" s="170" t="n">
        <v>54.9346</v>
      </c>
    </row>
    <row r="870">
      <c r="T870" s="278" t="n">
        <v>45338</v>
      </c>
      <c r="W870" s="170" t="n">
        <v>56.12</v>
      </c>
    </row>
    <row r="871">
      <c r="T871" s="278" t="n">
        <v>45337</v>
      </c>
      <c r="W871" s="170" t="n">
        <v>52.6899</v>
      </c>
    </row>
    <row r="872">
      <c r="T872" s="278" t="n">
        <v>45336</v>
      </c>
      <c r="W872" s="170" t="n">
        <v>51.6881</v>
      </c>
    </row>
    <row r="873">
      <c r="T873" s="278" t="n">
        <v>45335</v>
      </c>
      <c r="W873" s="170" t="n">
        <v>50.9335</v>
      </c>
    </row>
    <row r="874">
      <c r="T874" s="278" t="n">
        <v>45334</v>
      </c>
      <c r="W874" s="170" t="n">
        <v>51.8314</v>
      </c>
    </row>
    <row r="875">
      <c r="T875" s="278" t="n">
        <v>45331</v>
      </c>
      <c r="W875" s="170" t="n">
        <v>59.5001</v>
      </c>
    </row>
    <row r="876">
      <c r="T876" s="278" t="n">
        <v>45330</v>
      </c>
      <c r="W876" s="170" t="n">
        <v>59.7347</v>
      </c>
    </row>
    <row r="877">
      <c r="T877" s="278" t="n">
        <v>45329</v>
      </c>
      <c r="W877" s="170" t="n">
        <v>57.7033</v>
      </c>
    </row>
    <row r="878">
      <c r="T878" s="278" t="n">
        <v>45328</v>
      </c>
      <c r="W878" s="170" t="n">
        <v>57.3063</v>
      </c>
    </row>
    <row r="879">
      <c r="T879" s="278" t="n">
        <v>45327</v>
      </c>
      <c r="W879" s="170" t="n">
        <v>56.4007</v>
      </c>
    </row>
    <row r="880">
      <c r="T880" s="278" t="n">
        <v>45324</v>
      </c>
      <c r="W880" s="170" t="n">
        <v>57.9696</v>
      </c>
    </row>
    <row r="881">
      <c r="T881" s="278" t="n">
        <v>45323</v>
      </c>
      <c r="W881" s="170" t="n">
        <v>56.618</v>
      </c>
    </row>
    <row r="882">
      <c r="T882" s="278" t="n">
        <v>45322</v>
      </c>
      <c r="W882" s="170" t="n">
        <v>56.5795</v>
      </c>
    </row>
    <row r="883">
      <c r="T883" s="278" t="n">
        <v>45321</v>
      </c>
      <c r="W883" s="170" t="n">
        <v>56.4334</v>
      </c>
    </row>
    <row r="884">
      <c r="T884" s="278" t="n">
        <v>45320</v>
      </c>
      <c r="W884" s="170" t="n">
        <v>56.3642</v>
      </c>
    </row>
    <row r="885">
      <c r="T885" s="278" t="n">
        <v>45317</v>
      </c>
      <c r="W885" s="170" t="n"/>
    </row>
    <row r="886">
      <c r="T886" s="278" t="n">
        <v>45316</v>
      </c>
      <c r="W886" s="170" t="n">
        <v>57.1092</v>
      </c>
    </row>
    <row r="887">
      <c r="T887" s="278" t="n">
        <v>45315</v>
      </c>
      <c r="W887" s="170" t="n">
        <v>57.6716</v>
      </c>
    </row>
    <row r="888">
      <c r="T888" s="278" t="n">
        <v>45314</v>
      </c>
      <c r="W888" s="170" t="n">
        <v>57.364</v>
      </c>
    </row>
    <row r="889">
      <c r="T889" s="278" t="n">
        <v>45313</v>
      </c>
      <c r="W889" s="170" t="n"/>
    </row>
    <row r="890">
      <c r="T890" s="278" t="n">
        <v>45311</v>
      </c>
      <c r="W890" s="170" t="n">
        <v>57.6514</v>
      </c>
    </row>
    <row r="891">
      <c r="T891" s="278" t="n">
        <v>45310</v>
      </c>
      <c r="W891" s="170" t="n">
        <v>57.5312</v>
      </c>
    </row>
    <row r="892">
      <c r="T892" s="278" t="n">
        <v>45309</v>
      </c>
      <c r="W892" s="170" t="n">
        <v>54.9971</v>
      </c>
    </row>
    <row r="893">
      <c r="T893" s="278" t="n">
        <v>45308</v>
      </c>
      <c r="W893" s="170" t="n">
        <v>54.3357</v>
      </c>
    </row>
    <row r="894">
      <c r="T894" s="278" t="n">
        <v>45307</v>
      </c>
      <c r="W894" s="170" t="n">
        <v>53.2686</v>
      </c>
    </row>
    <row r="895">
      <c r="T895" s="278" t="n">
        <v>45306</v>
      </c>
      <c r="W895" s="170" t="n">
        <v>54.1627</v>
      </c>
    </row>
    <row r="896">
      <c r="T896" s="278" t="n">
        <v>45303</v>
      </c>
      <c r="W896" s="170" t="n">
        <v>54.9337</v>
      </c>
    </row>
    <row r="897">
      <c r="T897" s="278" t="n">
        <v>45302</v>
      </c>
      <c r="W897" s="170" t="n">
        <v>56.4949</v>
      </c>
    </row>
    <row r="898">
      <c r="T898" s="278" t="n">
        <v>45301</v>
      </c>
      <c r="W898" s="170" t="n">
        <v>55.8191</v>
      </c>
    </row>
    <row r="899">
      <c r="T899" s="278" t="n">
        <v>45300</v>
      </c>
      <c r="W899" s="170" t="n">
        <v>55.1356</v>
      </c>
    </row>
    <row r="900">
      <c r="T900" s="278" t="n">
        <v>45299</v>
      </c>
      <c r="W900" s="170" t="n">
        <v>54.7491</v>
      </c>
    </row>
    <row r="901">
      <c r="T901" s="278" t="n">
        <v>45296</v>
      </c>
      <c r="W901" s="170" t="n">
        <v>52.0756</v>
      </c>
    </row>
    <row r="902">
      <c r="T902" s="278" t="n">
        <v>45295</v>
      </c>
      <c r="W902" s="170" t="n">
        <v>52.0929</v>
      </c>
    </row>
    <row r="903">
      <c r="T903" s="278" t="n">
        <v>45294</v>
      </c>
      <c r="W903" s="170" t="n">
        <v>52.0823</v>
      </c>
    </row>
    <row r="904">
      <c r="T904" s="278" t="n">
        <v>45293</v>
      </c>
      <c r="W904" s="170" t="n">
        <v>51.2921</v>
      </c>
    </row>
    <row r="905">
      <c r="T905" s="278" t="n">
        <v>45292</v>
      </c>
      <c r="W905" s="170" t="n">
        <v>51.8987</v>
      </c>
    </row>
    <row r="906">
      <c r="T906" s="278" t="n">
        <v>45289</v>
      </c>
      <c r="W906" s="170" t="n">
        <v>52.2996</v>
      </c>
    </row>
    <row r="907">
      <c r="T907" s="278" t="n">
        <v>45288</v>
      </c>
      <c r="W907" s="170" t="n">
        <v>53.1619</v>
      </c>
    </row>
    <row r="908">
      <c r="T908" s="278" t="n">
        <v>45287</v>
      </c>
      <c r="W908" s="170" t="n">
        <v>52.4986</v>
      </c>
    </row>
    <row r="909">
      <c r="T909" s="278" t="n">
        <v>45286</v>
      </c>
      <c r="W909" s="170" t="n">
        <v>52.5284</v>
      </c>
    </row>
    <row r="910">
      <c r="T910" s="278" t="n">
        <v>45285</v>
      </c>
      <c r="W910" s="170" t="n"/>
    </row>
    <row r="911">
      <c r="T911" s="278" t="n">
        <v>45282</v>
      </c>
      <c r="W911" s="170" t="n">
        <v>50.721</v>
      </c>
    </row>
    <row r="912">
      <c r="T912" s="278" t="n">
        <v>45281</v>
      </c>
      <c r="W912" s="170" t="n">
        <v>50.2086</v>
      </c>
    </row>
    <row r="913">
      <c r="T913" s="278" t="n">
        <v>45280</v>
      </c>
      <c r="W913" s="170" t="n">
        <v>50.9325</v>
      </c>
    </row>
    <row r="914">
      <c r="T914" s="278" t="n">
        <v>45279</v>
      </c>
      <c r="W914" s="170" t="n">
        <v>51.6487</v>
      </c>
    </row>
    <row r="915">
      <c r="T915" s="278" t="n">
        <v>45278</v>
      </c>
      <c r="W915" s="170" t="n">
        <v>52.6812</v>
      </c>
    </row>
    <row r="916">
      <c r="T916" s="278" t="n">
        <v>45275</v>
      </c>
      <c r="W916" s="170" t="n">
        <v>52.3851</v>
      </c>
    </row>
    <row r="917">
      <c r="T917" s="278" t="n">
        <v>45274</v>
      </c>
      <c r="W917" s="170" t="n">
        <v>52.7524</v>
      </c>
    </row>
    <row r="918">
      <c r="T918" s="278" t="n">
        <v>45273</v>
      </c>
      <c r="W918" s="170" t="n">
        <v>53.3176</v>
      </c>
    </row>
    <row r="919">
      <c r="T919" s="278" t="n">
        <v>45272</v>
      </c>
      <c r="W919" s="170" t="n">
        <v>52.5418</v>
      </c>
    </row>
    <row r="920">
      <c r="T920" s="278" t="n">
        <v>45271</v>
      </c>
      <c r="W920" s="170" t="n">
        <v>53.3369</v>
      </c>
    </row>
    <row r="921">
      <c r="T921" s="278" t="n">
        <v>45268</v>
      </c>
      <c r="W921" s="170" t="n">
        <v>51.2796</v>
      </c>
    </row>
    <row r="922">
      <c r="T922" s="278" t="n">
        <v>45267</v>
      </c>
      <c r="W922" s="170" t="n">
        <v>50.449</v>
      </c>
    </row>
    <row r="923">
      <c r="T923" s="278" t="n">
        <v>45266</v>
      </c>
      <c r="W923" s="170" t="n">
        <v>48.4157</v>
      </c>
    </row>
    <row r="924">
      <c r="T924" s="278" t="n">
        <v>45265</v>
      </c>
      <c r="W924" s="170" t="n">
        <v>49.6789</v>
      </c>
    </row>
    <row r="925">
      <c r="T925" s="278" t="n">
        <v>45264</v>
      </c>
      <c r="W925" s="170" t="n">
        <v>50.4413</v>
      </c>
    </row>
    <row r="926">
      <c r="T926" s="278" t="n">
        <v>45261</v>
      </c>
      <c r="W926" s="170" t="n">
        <v>49.502</v>
      </c>
    </row>
    <row r="927">
      <c r="T927" s="278" t="n">
        <v>45260</v>
      </c>
      <c r="W927" s="170" t="n">
        <v>48.9819</v>
      </c>
    </row>
    <row r="928">
      <c r="T928" s="278" t="n">
        <v>45259</v>
      </c>
      <c r="W928" s="170" t="n">
        <v>50.0038</v>
      </c>
    </row>
    <row r="929">
      <c r="T929" s="278" t="n">
        <v>45258</v>
      </c>
      <c r="W929" s="170" t="n">
        <v>50.5182</v>
      </c>
    </row>
    <row r="930">
      <c r="T930" s="278" t="n">
        <v>45257</v>
      </c>
      <c r="W930" s="170" t="n"/>
    </row>
    <row r="931">
      <c r="T931" s="278" t="n">
        <v>45254</v>
      </c>
      <c r="W931" s="170" t="n">
        <v>52.1957</v>
      </c>
    </row>
    <row r="932">
      <c r="T932" s="278" t="n">
        <v>45253</v>
      </c>
      <c r="W932" s="170" t="n">
        <v>52.7495</v>
      </c>
    </row>
    <row r="933">
      <c r="T933" s="278" t="n">
        <v>45252</v>
      </c>
      <c r="W933" s="170" t="n">
        <v>53.3417</v>
      </c>
    </row>
    <row r="934">
      <c r="T934" s="278" t="n">
        <v>45251</v>
      </c>
      <c r="W934" s="170" t="n">
        <v>55.548</v>
      </c>
    </row>
    <row r="935">
      <c r="T935" s="278" t="n">
        <v>45250</v>
      </c>
      <c r="W935" s="170" t="n">
        <v>52.9648</v>
      </c>
    </row>
    <row r="936">
      <c r="T936" s="278" t="n">
        <v>45247</v>
      </c>
      <c r="W936" s="170" t="n">
        <v>51.8756</v>
      </c>
    </row>
    <row r="937">
      <c r="T937" s="278" t="n">
        <v>45246</v>
      </c>
      <c r="W937" s="170" t="n">
        <v>52.9581</v>
      </c>
    </row>
    <row r="938">
      <c r="T938" s="278" t="n">
        <v>45245</v>
      </c>
      <c r="W938" s="170" t="n">
        <v>54.004</v>
      </c>
    </row>
    <row r="939">
      <c r="T939" s="278" t="n">
        <v>45244</v>
      </c>
      <c r="W939" s="170" t="n"/>
    </row>
    <row r="940">
      <c r="T940" s="278" t="n">
        <v>45243</v>
      </c>
      <c r="W940" s="170" t="n">
        <v>52.4457</v>
      </c>
    </row>
    <row r="941">
      <c r="T941" s="278" t="n">
        <v>45242</v>
      </c>
      <c r="W941" s="170" t="n">
        <v>53.9291</v>
      </c>
    </row>
    <row r="942">
      <c r="T942" s="278" t="n">
        <v>45240</v>
      </c>
      <c r="W942" s="170" t="n">
        <v>49.5962</v>
      </c>
    </row>
    <row r="943">
      <c r="T943" s="278" t="n">
        <v>45239</v>
      </c>
      <c r="W943" s="170" t="n">
        <v>47.1034</v>
      </c>
    </row>
    <row r="944">
      <c r="T944" s="278" t="n">
        <v>45238</v>
      </c>
      <c r="W944" s="170" t="n">
        <v>47.1784</v>
      </c>
    </row>
    <row r="945">
      <c r="T945" s="278" t="n">
        <v>45237</v>
      </c>
      <c r="W945" s="170" t="n">
        <v>47.5582</v>
      </c>
    </row>
    <row r="946">
      <c r="T946" s="278" t="n">
        <v>45236</v>
      </c>
      <c r="W946" s="170" t="n">
        <v>48.1927</v>
      </c>
    </row>
    <row r="947">
      <c r="T947" s="278" t="n">
        <v>45233</v>
      </c>
      <c r="W947" s="170" t="n">
        <v>47.6024</v>
      </c>
    </row>
    <row r="948">
      <c r="T948" s="278" t="n">
        <v>45232</v>
      </c>
      <c r="W948" s="170" t="n">
        <v>47.1534</v>
      </c>
    </row>
    <row r="949">
      <c r="T949" s="278" t="n">
        <v>45231</v>
      </c>
      <c r="W949" s="170" t="n">
        <v>46.0267</v>
      </c>
    </row>
    <row r="950">
      <c r="T950" s="278" t="n">
        <v>45230</v>
      </c>
      <c r="W950" s="170" t="n">
        <v>47.3409</v>
      </c>
    </row>
    <row r="951">
      <c r="T951" s="278" t="n">
        <v>45229</v>
      </c>
      <c r="W951" s="170" t="n">
        <v>47.2861</v>
      </c>
    </row>
    <row r="952">
      <c r="T952" s="278" t="n">
        <v>45226</v>
      </c>
      <c r="W952" s="170" t="n">
        <v>41.0815</v>
      </c>
    </row>
    <row r="953">
      <c r="T953" s="278" t="n">
        <v>45225</v>
      </c>
      <c r="W953" s="170" t="n">
        <v>38.7589</v>
      </c>
    </row>
    <row r="954">
      <c r="T954" s="278" t="n">
        <v>45224</v>
      </c>
      <c r="W954" s="170" t="n">
        <v>40.7499</v>
      </c>
    </row>
    <row r="955">
      <c r="T955" s="278" t="n">
        <v>45223</v>
      </c>
      <c r="W955" s="170" t="n"/>
    </row>
    <row r="956">
      <c r="T956" s="278" t="n">
        <v>45222</v>
      </c>
      <c r="W956" s="170" t="n">
        <v>40.5066</v>
      </c>
    </row>
    <row r="957">
      <c r="T957" s="278" t="n">
        <v>45219</v>
      </c>
      <c r="W957" s="170" t="n">
        <v>40.8229</v>
      </c>
    </row>
    <row r="958">
      <c r="T958" s="278" t="n">
        <v>45218</v>
      </c>
      <c r="W958" s="170" t="n">
        <v>41.4795</v>
      </c>
    </row>
    <row r="959">
      <c r="T959" s="278" t="n">
        <v>45217</v>
      </c>
      <c r="W959" s="170" t="n">
        <v>41.3046</v>
      </c>
    </row>
    <row r="960">
      <c r="T960" s="278" t="n">
        <v>45216</v>
      </c>
      <c r="W960" s="170" t="n">
        <v>40.4893</v>
      </c>
    </row>
    <row r="961">
      <c r="T961" s="278" t="n">
        <v>45215</v>
      </c>
      <c r="W961" s="170" t="n">
        <v>40.9758</v>
      </c>
    </row>
    <row r="962">
      <c r="T962" s="278" t="n">
        <v>45212</v>
      </c>
      <c r="W962" s="170" t="n">
        <v>39.7972</v>
      </c>
    </row>
    <row r="963">
      <c r="T963" s="278" t="n">
        <v>45211</v>
      </c>
      <c r="W963" s="170" t="n">
        <v>39.3559</v>
      </c>
    </row>
    <row r="964">
      <c r="T964" s="278" t="n">
        <v>45210</v>
      </c>
      <c r="W964" s="170" t="n">
        <v>39.776</v>
      </c>
    </row>
    <row r="965">
      <c r="T965" s="278" t="n">
        <v>45209</v>
      </c>
      <c r="W965" s="170" t="n">
        <v>39.427</v>
      </c>
    </row>
    <row r="966">
      <c r="T966" s="278" t="n">
        <v>45208</v>
      </c>
      <c r="W966" s="170" t="n">
        <v>39.1463</v>
      </c>
    </row>
    <row r="967">
      <c r="T967" s="278" t="n">
        <v>45205</v>
      </c>
      <c r="W967" s="170" t="n">
        <v>38.508</v>
      </c>
    </row>
    <row r="968">
      <c r="T968" s="278" t="n">
        <v>45204</v>
      </c>
      <c r="W968" s="170" t="n">
        <v>37.8591</v>
      </c>
    </row>
    <row r="969">
      <c r="T969" s="278" t="n">
        <v>45203</v>
      </c>
      <c r="W969" s="170" t="n">
        <v>37.6706</v>
      </c>
    </row>
    <row r="970">
      <c r="T970" s="278" t="n">
        <v>45202</v>
      </c>
      <c r="W970" s="170" t="n">
        <v>37.7302</v>
      </c>
    </row>
    <row r="971">
      <c r="T971" s="278" t="n">
        <v>45201</v>
      </c>
      <c r="W971" s="170" t="n"/>
    </row>
    <row r="972">
      <c r="T972" s="278" t="n">
        <v>45198</v>
      </c>
      <c r="W972" s="170" t="n">
        <v>38.1215</v>
      </c>
    </row>
    <row r="973">
      <c r="T973" s="278" t="n">
        <v>45197</v>
      </c>
      <c r="W973" s="170" t="n">
        <v>37.4832</v>
      </c>
    </row>
    <row r="974">
      <c r="T974" s="278" t="n">
        <v>45196</v>
      </c>
      <c r="W974" s="170" t="n">
        <v>37.8206</v>
      </c>
    </row>
    <row r="975">
      <c r="T975" s="278" t="n">
        <v>45195</v>
      </c>
      <c r="W975" s="170" t="n">
        <v>38.0744</v>
      </c>
    </row>
    <row r="976">
      <c r="T976" s="278" t="n">
        <v>45194</v>
      </c>
      <c r="W976" s="170" t="n">
        <v>38.135</v>
      </c>
    </row>
    <row r="977">
      <c r="T977" s="278" t="n">
        <v>45191</v>
      </c>
      <c r="W977" s="170" t="n">
        <v>38.633</v>
      </c>
    </row>
    <row r="978">
      <c r="T978" s="278" t="n">
        <v>45190</v>
      </c>
      <c r="W978" s="170" t="n">
        <v>39.4914</v>
      </c>
    </row>
    <row r="979">
      <c r="T979" s="278" t="n">
        <v>45189</v>
      </c>
      <c r="W979" s="170" t="n">
        <v>40.2153</v>
      </c>
    </row>
    <row r="980">
      <c r="T980" s="278" t="n">
        <v>45188</v>
      </c>
      <c r="W980" s="170" t="n"/>
    </row>
    <row r="981">
      <c r="T981" s="278" t="n">
        <v>45187</v>
      </c>
      <c r="W981" s="170" t="n">
        <v>40.9421</v>
      </c>
    </row>
    <row r="982">
      <c r="T982" s="278" t="n">
        <v>45184</v>
      </c>
      <c r="W982" s="170" t="n">
        <v>42.0563</v>
      </c>
    </row>
    <row r="983">
      <c r="T983" s="278" t="n">
        <v>45183</v>
      </c>
      <c r="W983" s="170" t="n">
        <v>41.1373</v>
      </c>
    </row>
    <row r="984">
      <c r="T984" s="278" t="n">
        <v>45182</v>
      </c>
      <c r="W984" s="170" t="n">
        <v>40.3528</v>
      </c>
    </row>
    <row r="985">
      <c r="T985" s="278" t="n">
        <v>45181</v>
      </c>
      <c r="W985" s="170" t="n">
        <v>39.8222</v>
      </c>
    </row>
    <row r="986">
      <c r="T986" s="278" t="n">
        <v>45180</v>
      </c>
      <c r="W986" s="170" t="n">
        <v>41.0959</v>
      </c>
    </row>
    <row r="987">
      <c r="T987" s="278" t="n">
        <v>45177</v>
      </c>
      <c r="W987" s="170" t="n">
        <v>41.8669</v>
      </c>
    </row>
    <row r="988">
      <c r="T988" s="278" t="n">
        <v>45176</v>
      </c>
      <c r="W988" s="170" t="n">
        <v>41.5074</v>
      </c>
    </row>
    <row r="989">
      <c r="T989" s="278" t="n">
        <v>45175</v>
      </c>
      <c r="W989" s="170" t="n">
        <v>40.97</v>
      </c>
    </row>
    <row r="990">
      <c r="T990" s="278" t="n">
        <v>45174</v>
      </c>
      <c r="W990" s="170" t="n">
        <v>41.3786</v>
      </c>
    </row>
    <row r="991">
      <c r="T991" s="278" t="n">
        <v>45173</v>
      </c>
      <c r="W991" s="170" t="n">
        <v>41.293</v>
      </c>
    </row>
    <row r="992">
      <c r="T992" s="278" t="n">
        <v>45170</v>
      </c>
      <c r="W992" s="170" t="n">
        <v>41.6766</v>
      </c>
    </row>
    <row r="993">
      <c r="T993" s="278" t="n">
        <v>45169</v>
      </c>
      <c r="W993" s="170" t="n">
        <v>42.7831</v>
      </c>
    </row>
    <row r="994">
      <c r="T994" s="278" t="n">
        <v>45168</v>
      </c>
      <c r="W994" s="170" t="n">
        <v>41.6035</v>
      </c>
    </row>
    <row r="995">
      <c r="T995" s="278" t="n">
        <v>45167</v>
      </c>
      <c r="W995" s="170" t="n">
        <v>41.0633</v>
      </c>
    </row>
    <row r="996">
      <c r="T996" s="278" t="n">
        <v>45166</v>
      </c>
      <c r="W996" s="170" t="n">
        <v>41.0267</v>
      </c>
    </row>
    <row r="997">
      <c r="T997" s="278" t="n">
        <v>45163</v>
      </c>
      <c r="W997" s="170" t="n">
        <v>42.0563</v>
      </c>
    </row>
    <row r="998">
      <c r="T998" s="278" t="n">
        <v>45162</v>
      </c>
      <c r="W998" s="170" t="n">
        <v>42.6264</v>
      </c>
    </row>
    <row r="999">
      <c r="T999" s="278" t="n">
        <v>45161</v>
      </c>
      <c r="W999" s="170" t="n">
        <v>42.3207</v>
      </c>
    </row>
    <row r="1000">
      <c r="T1000" s="278" t="n">
        <v>45160</v>
      </c>
      <c r="W1000" s="170" t="n">
        <v>42.6226</v>
      </c>
    </row>
    <row r="1001">
      <c r="T1001" s="278" t="n">
        <v>45159</v>
      </c>
      <c r="W1001" s="170" t="n">
        <v>41.8064</v>
      </c>
    </row>
    <row r="1002">
      <c r="T1002" s="278" t="n">
        <v>45156</v>
      </c>
      <c r="W1002" s="170" t="n">
        <v>41.1027</v>
      </c>
    </row>
    <row r="1003">
      <c r="T1003" s="278" t="n">
        <v>45155</v>
      </c>
      <c r="W1003" s="170" t="n">
        <v>41.193</v>
      </c>
    </row>
    <row r="1004">
      <c r="T1004" s="278" t="n">
        <v>45154</v>
      </c>
      <c r="W1004" s="170" t="n">
        <v>41.2873</v>
      </c>
    </row>
    <row r="1005">
      <c r="T1005" s="278" t="n">
        <v>45153</v>
      </c>
      <c r="W1005" s="170" t="n"/>
    </row>
    <row r="1006">
      <c r="T1006" s="278" t="n">
        <v>45152</v>
      </c>
      <c r="W1006" s="170" t="n">
        <v>40.546</v>
      </c>
    </row>
    <row r="1007">
      <c r="T1007" s="278" t="n">
        <v>45149</v>
      </c>
      <c r="W1007" s="170" t="n">
        <v>40.2788</v>
      </c>
    </row>
    <row r="1008">
      <c r="T1008" s="278" t="n">
        <v>45148</v>
      </c>
      <c r="W1008" s="170" t="n">
        <v>40.6018</v>
      </c>
    </row>
    <row r="1009">
      <c r="T1009" s="278" t="n">
        <v>45147</v>
      </c>
      <c r="W1009" s="170" t="n">
        <v>40.6355</v>
      </c>
    </row>
    <row r="1010">
      <c r="T1010" s="278" t="n">
        <v>45146</v>
      </c>
      <c r="W1010" s="170" t="n">
        <v>41.2796</v>
      </c>
    </row>
    <row r="1011">
      <c r="T1011" s="278" t="n">
        <v>45145</v>
      </c>
      <c r="W1011" s="170" t="n">
        <v>41.3449</v>
      </c>
    </row>
    <row r="1012">
      <c r="T1012" s="278" t="n">
        <v>45142</v>
      </c>
      <c r="W1012" s="170" t="n">
        <v>40.7922</v>
      </c>
    </row>
    <row r="1013">
      <c r="T1013" s="278" t="n">
        <v>45141</v>
      </c>
      <c r="W1013" s="170" t="n">
        <v>41.7525</v>
      </c>
    </row>
    <row r="1014">
      <c r="T1014" s="278" t="n">
        <v>45140</v>
      </c>
      <c r="W1014" s="170" t="n">
        <v>41.8295</v>
      </c>
    </row>
    <row r="1015">
      <c r="T1015" s="278" t="n">
        <v>45139</v>
      </c>
      <c r="W1015" s="170" t="n">
        <v>43.0552</v>
      </c>
    </row>
    <row r="1016">
      <c r="T1016" s="278" t="n">
        <v>45138</v>
      </c>
      <c r="W1016" s="170" t="n">
        <v>40.2865</v>
      </c>
    </row>
    <row r="1017">
      <c r="T1017" s="278" t="n">
        <v>45135</v>
      </c>
      <c r="W1017" s="170" t="n">
        <v>38.508</v>
      </c>
    </row>
    <row r="1018">
      <c r="T1018" s="278" t="n">
        <v>45134</v>
      </c>
      <c r="W1018" s="170" t="n">
        <v>38.0225</v>
      </c>
    </row>
    <row r="1019">
      <c r="T1019" s="278" t="n">
        <v>45133</v>
      </c>
      <c r="W1019" s="170" t="n">
        <v>37.7764</v>
      </c>
    </row>
    <row r="1020">
      <c r="T1020" s="278" t="n">
        <v>45132</v>
      </c>
      <c r="W1020" s="170" t="n">
        <v>37.7889</v>
      </c>
    </row>
    <row r="1021">
      <c r="T1021" s="278" t="n">
        <v>45131</v>
      </c>
      <c r="W1021" s="170" t="n">
        <v>36.4026</v>
      </c>
    </row>
    <row r="1022">
      <c r="T1022" s="278" t="n">
        <v>45128</v>
      </c>
      <c r="W1022" s="170" t="n">
        <v>37.1794</v>
      </c>
    </row>
    <row r="1023">
      <c r="T1023" s="278" t="n">
        <v>45127</v>
      </c>
      <c r="W1023" s="170" t="n">
        <v>37.3745</v>
      </c>
    </row>
    <row r="1024">
      <c r="T1024" s="278" t="n">
        <v>45126</v>
      </c>
      <c r="W1024" s="170" t="n">
        <v>36.1853</v>
      </c>
    </row>
    <row r="1025">
      <c r="T1025" s="278" t="n">
        <v>45125</v>
      </c>
      <c r="W1025" s="170" t="n">
        <v>35.5807</v>
      </c>
    </row>
    <row r="1026">
      <c r="T1026" s="278" t="n">
        <v>45124</v>
      </c>
      <c r="W1026" s="170" t="n">
        <v>36.443</v>
      </c>
    </row>
    <row r="1027">
      <c r="T1027" s="278" t="n">
        <v>45121</v>
      </c>
      <c r="W1027" s="170" t="n">
        <v>35.9248</v>
      </c>
    </row>
    <row r="1028">
      <c r="T1028" s="278" t="n">
        <v>45120</v>
      </c>
      <c r="W1028" s="170" t="n">
        <v>36.1181</v>
      </c>
    </row>
    <row r="1029">
      <c r="T1029" s="278" t="n">
        <v>45119</v>
      </c>
      <c r="W1029" s="170" t="n">
        <v>36.79</v>
      </c>
    </row>
    <row r="1030">
      <c r="T1030" s="278" t="n">
        <v>45118</v>
      </c>
      <c r="W1030" s="170" t="n">
        <v>37.6331</v>
      </c>
    </row>
    <row r="1031">
      <c r="T1031" s="278" t="n">
        <v>45117</v>
      </c>
      <c r="W1031" s="170" t="n">
        <v>35.6624</v>
      </c>
    </row>
    <row r="1032">
      <c r="T1032" s="278" t="n">
        <v>45114</v>
      </c>
      <c r="W1032" s="170" t="n">
        <v>35.3451</v>
      </c>
    </row>
    <row r="1033">
      <c r="T1033" s="278" t="n">
        <v>45113</v>
      </c>
      <c r="W1033" s="170" t="n">
        <v>35.8258</v>
      </c>
    </row>
    <row r="1034">
      <c r="T1034" s="278" t="n">
        <v>45112</v>
      </c>
      <c r="W1034" s="170" t="n">
        <v>33.7541</v>
      </c>
    </row>
    <row r="1035">
      <c r="T1035" s="278" t="n">
        <v>45111</v>
      </c>
      <c r="W1035" s="170" t="n">
        <v>33.1648</v>
      </c>
    </row>
    <row r="1036">
      <c r="T1036" s="278" t="n">
        <v>45110</v>
      </c>
      <c r="W1036" s="170" t="n">
        <v>33.4647</v>
      </c>
    </row>
    <row r="1037">
      <c r="T1037" s="278" t="n">
        <v>45107</v>
      </c>
      <c r="W1037" s="170" t="n">
        <v>33.7897</v>
      </c>
    </row>
    <row r="1038">
      <c r="T1038" s="278" t="n">
        <v>45106</v>
      </c>
      <c r="W1038" s="170" t="n"/>
    </row>
    <row r="1039">
      <c r="T1039" s="278" t="n">
        <v>45105</v>
      </c>
      <c r="W1039" s="170" t="n">
        <v>31.5978</v>
      </c>
    </row>
    <row r="1040">
      <c r="T1040" s="278" t="n">
        <v>45104</v>
      </c>
      <c r="W1040" s="170" t="n">
        <v>31.8391</v>
      </c>
    </row>
    <row r="1041">
      <c r="T1041" s="278" t="n">
        <v>45103</v>
      </c>
      <c r="W1041" s="170" t="n">
        <v>31.1354</v>
      </c>
    </row>
    <row r="1042">
      <c r="T1042" s="278" t="n">
        <v>45100</v>
      </c>
      <c r="W1042" s="170" t="n">
        <v>30.8806</v>
      </c>
    </row>
    <row r="1043">
      <c r="T1043" s="278" t="n">
        <v>45099</v>
      </c>
      <c r="W1043" s="170" t="n">
        <v>31.368</v>
      </c>
    </row>
    <row r="1044">
      <c r="T1044" s="278" t="n">
        <v>45098</v>
      </c>
      <c r="W1044" s="170" t="n">
        <v>32.3053</v>
      </c>
    </row>
    <row r="1045">
      <c r="T1045" s="278" t="n">
        <v>45097</v>
      </c>
      <c r="W1045" s="170" t="n">
        <v>32.4082</v>
      </c>
    </row>
    <row r="1046">
      <c r="T1046" s="278" t="n">
        <v>45096</v>
      </c>
      <c r="W1046" s="170" t="n">
        <v>31.9583</v>
      </c>
    </row>
    <row r="1047">
      <c r="T1047" s="278" t="n">
        <v>45093</v>
      </c>
      <c r="W1047" s="170" t="n">
        <v>31.3651</v>
      </c>
    </row>
    <row r="1048">
      <c r="T1048" s="278" t="n">
        <v>45092</v>
      </c>
      <c r="W1048" s="170" t="n">
        <v>31.4949</v>
      </c>
    </row>
    <row r="1049">
      <c r="T1049" s="278" t="n">
        <v>45091</v>
      </c>
      <c r="W1049" s="170" t="n">
        <v>31.045</v>
      </c>
    </row>
    <row r="1050">
      <c r="T1050" s="278" t="n">
        <v>45090</v>
      </c>
      <c r="W1050" s="170" t="n">
        <v>30.8796</v>
      </c>
    </row>
    <row r="1051">
      <c r="T1051" s="278" t="n">
        <v>45089</v>
      </c>
      <c r="W1051" s="170" t="n">
        <v>31.6679</v>
      </c>
    </row>
    <row r="1052">
      <c r="T1052" s="278" t="n">
        <v>45086</v>
      </c>
      <c r="W1052" s="170" t="n">
        <v>30.8787</v>
      </c>
    </row>
    <row r="1053">
      <c r="T1053" s="278" t="n">
        <v>45085</v>
      </c>
      <c r="W1053" s="170" t="n">
        <v>31.1998</v>
      </c>
    </row>
    <row r="1054">
      <c r="T1054" s="278" t="n">
        <v>45084</v>
      </c>
      <c r="W1054" s="170" t="n">
        <v>31.7737</v>
      </c>
    </row>
    <row r="1055">
      <c r="T1055" s="278" t="n">
        <v>45083</v>
      </c>
      <c r="W1055" s="170" t="n">
        <v>30.9191</v>
      </c>
    </row>
    <row r="1056">
      <c r="T1056" s="278" t="n">
        <v>45082</v>
      </c>
      <c r="W1056" s="170" t="n">
        <v>30.4989</v>
      </c>
    </row>
    <row r="1057">
      <c r="T1057" s="278" t="n">
        <v>45079</v>
      </c>
      <c r="W1057" s="170" t="n">
        <v>30.4153</v>
      </c>
    </row>
    <row r="1058">
      <c r="T1058" s="278" t="n">
        <v>45078</v>
      </c>
      <c r="W1058" s="170" t="n">
        <v>29.6885</v>
      </c>
    </row>
    <row r="1059">
      <c r="T1059" s="278" t="n">
        <v>45077</v>
      </c>
      <c r="W1059" s="170" t="n">
        <v>29.7789</v>
      </c>
    </row>
    <row r="1060">
      <c r="T1060" s="278" t="n">
        <v>45076</v>
      </c>
      <c r="W1060" s="170" t="n">
        <v>28.0734</v>
      </c>
    </row>
    <row r="1061">
      <c r="T1061" s="278" t="n">
        <v>45075</v>
      </c>
      <c r="W1061" s="170" t="n">
        <v>27.6341</v>
      </c>
    </row>
    <row r="1062">
      <c r="T1062" s="278" t="n">
        <v>45072</v>
      </c>
      <c r="W1062" s="170" t="n">
        <v>27.0025</v>
      </c>
    </row>
    <row r="1063">
      <c r="T1063" s="278" t="n">
        <v>45071</v>
      </c>
      <c r="W1063" s="170" t="n">
        <v>25.7076</v>
      </c>
    </row>
    <row r="1064">
      <c r="T1064" s="278" t="n">
        <v>45070</v>
      </c>
      <c r="W1064" s="170" t="n">
        <v>26.4824</v>
      </c>
    </row>
    <row r="1065">
      <c r="T1065" s="278" t="n">
        <v>45069</v>
      </c>
      <c r="W1065" s="170" t="n">
        <v>25.9191</v>
      </c>
    </row>
    <row r="1066">
      <c r="T1066" s="278" t="n">
        <v>45068</v>
      </c>
      <c r="W1066" s="170" t="n">
        <v>26.8968</v>
      </c>
    </row>
    <row r="1067">
      <c r="T1067" s="278" t="n">
        <v>45065</v>
      </c>
      <c r="W1067" s="170" t="n">
        <v>27.3495</v>
      </c>
    </row>
    <row r="1068">
      <c r="T1068" s="278" t="n">
        <v>45064</v>
      </c>
      <c r="W1068" s="170" t="n">
        <v>28.1657</v>
      </c>
    </row>
    <row r="1069">
      <c r="T1069" s="278" t="n">
        <v>45063</v>
      </c>
      <c r="W1069" s="170" t="n">
        <v>24.9625</v>
      </c>
    </row>
    <row r="1070">
      <c r="T1070" s="278" t="n">
        <v>45062</v>
      </c>
      <c r="W1070" s="170" t="n">
        <v>24.1031</v>
      </c>
    </row>
    <row r="1071">
      <c r="T1071" s="278" t="n">
        <v>45061</v>
      </c>
      <c r="W1071" s="170" t="n">
        <v>23.9723</v>
      </c>
    </row>
    <row r="1072">
      <c r="T1072" s="278" t="n">
        <v>45058</v>
      </c>
      <c r="W1072" s="170" t="n">
        <v>24.0069</v>
      </c>
    </row>
    <row r="1073">
      <c r="T1073" s="278" t="n">
        <v>45057</v>
      </c>
      <c r="W1073" s="170" t="n">
        <v>22.4601</v>
      </c>
    </row>
    <row r="1074">
      <c r="T1074" s="278" t="n">
        <v>45056</v>
      </c>
      <c r="W1074" s="170" t="n">
        <v>22.5466</v>
      </c>
    </row>
    <row r="1075">
      <c r="T1075" s="278" t="n">
        <v>45055</v>
      </c>
      <c r="W1075" s="170" t="n">
        <v>21.8631</v>
      </c>
    </row>
    <row r="1076">
      <c r="T1076" s="278" t="n">
        <v>45054</v>
      </c>
      <c r="W1076" s="170" t="n">
        <v>22.1352</v>
      </c>
    </row>
    <row r="1077">
      <c r="T1077" s="278" t="n">
        <v>45051</v>
      </c>
      <c r="W1077" s="170" t="n">
        <v>22.2025</v>
      </c>
    </row>
    <row r="1078">
      <c r="T1078" s="278" t="n">
        <v>45050</v>
      </c>
      <c r="W1078" s="170" t="n">
        <v>22.3371</v>
      </c>
    </row>
    <row r="1079">
      <c r="T1079" s="278" t="n">
        <v>45049</v>
      </c>
      <c r="W1079" s="170" t="n">
        <v>21.9381</v>
      </c>
    </row>
    <row r="1080">
      <c r="T1080" s="278" t="n">
        <v>45048</v>
      </c>
      <c r="W1080" s="170" t="n">
        <v>21.567</v>
      </c>
    </row>
    <row r="1081">
      <c r="T1081" s="278" t="n">
        <v>45047</v>
      </c>
      <c r="W1081" s="170" t="n"/>
    </row>
    <row r="1082">
      <c r="T1082" s="278" t="n">
        <v>45044</v>
      </c>
      <c r="W1082" s="170" t="n">
        <v>21.8554</v>
      </c>
    </row>
    <row r="1083">
      <c r="T1083" s="278" t="n">
        <v>45043</v>
      </c>
      <c r="W1083" s="170" t="n">
        <v>21.3344</v>
      </c>
    </row>
    <row r="1084">
      <c r="T1084" s="278" t="n">
        <v>45042</v>
      </c>
      <c r="W1084" s="170" t="n">
        <v>21.4536</v>
      </c>
    </row>
    <row r="1085">
      <c r="T1085" s="278" t="n">
        <v>45041</v>
      </c>
      <c r="W1085" s="170" t="n">
        <v>21.2978</v>
      </c>
    </row>
    <row r="1086">
      <c r="T1086" s="278" t="n">
        <v>45040</v>
      </c>
      <c r="W1086" s="170" t="n">
        <v>21.1536</v>
      </c>
    </row>
    <row r="1087">
      <c r="T1087" s="278" t="n">
        <v>45037</v>
      </c>
      <c r="W1087" s="170" t="n">
        <v>20.8623</v>
      </c>
    </row>
    <row r="1088">
      <c r="T1088" s="278" t="n">
        <v>45036</v>
      </c>
      <c r="W1088" s="170" t="n">
        <v>21.2517</v>
      </c>
    </row>
    <row r="1089">
      <c r="T1089" s="278" t="n">
        <v>45035</v>
      </c>
      <c r="W1089" s="170" t="n">
        <v>20.7854</v>
      </c>
    </row>
    <row r="1090">
      <c r="T1090" s="278" t="n">
        <v>45034</v>
      </c>
      <c r="W1090" s="170" t="n">
        <v>20.9979</v>
      </c>
    </row>
    <row r="1091">
      <c r="T1091" s="278" t="n">
        <v>45033</v>
      </c>
      <c r="W1091" s="170" t="n">
        <v>20.571</v>
      </c>
    </row>
    <row r="1092">
      <c r="T1092" s="278" t="n">
        <v>45030</v>
      </c>
      <c r="W1092" s="170" t="n"/>
    </row>
    <row r="1093">
      <c r="T1093" s="278" t="n">
        <v>45029</v>
      </c>
      <c r="W1093" s="170" t="n">
        <v>20.148</v>
      </c>
    </row>
    <row r="1094">
      <c r="T1094" s="278" t="n">
        <v>45028</v>
      </c>
      <c r="W1094" s="170" t="n">
        <v>20.0596</v>
      </c>
    </row>
    <row r="1095">
      <c r="T1095" s="278" t="n">
        <v>45027</v>
      </c>
      <c r="W1095" s="170" t="n">
        <v>19.702</v>
      </c>
    </row>
    <row r="1096">
      <c r="T1096" s="278" t="n">
        <v>45026</v>
      </c>
      <c r="W1096" s="170" t="n">
        <v>19.777</v>
      </c>
    </row>
    <row r="1097">
      <c r="T1097" s="278" t="n">
        <v>45023</v>
      </c>
      <c r="W1097" s="170" t="n"/>
    </row>
    <row r="1098">
      <c r="T1098" s="278" t="n">
        <v>45022</v>
      </c>
      <c r="W1098" s="170" t="n">
        <v>20.274</v>
      </c>
    </row>
    <row r="1099">
      <c r="T1099" s="278" t="n">
        <v>45021</v>
      </c>
      <c r="W1099" s="170" t="n">
        <v>19.9913</v>
      </c>
    </row>
    <row r="1100">
      <c r="T1100" s="278" t="n">
        <v>45020</v>
      </c>
      <c r="W1100" s="170" t="n"/>
    </row>
    <row r="1101">
      <c r="T1101" s="278" t="n">
        <v>45019</v>
      </c>
      <c r="W1101" s="170" t="n">
        <v>20.4663</v>
      </c>
    </row>
    <row r="1102">
      <c r="T1102" s="278" t="n">
        <v>45016</v>
      </c>
      <c r="W1102" s="170" t="n">
        <v>19.2598</v>
      </c>
    </row>
    <row r="1103">
      <c r="T1103" s="278" t="n">
        <v>45015</v>
      </c>
      <c r="W1103" s="170" t="n"/>
    </row>
    <row r="1104">
      <c r="T1104" s="278" t="n">
        <v>45014</v>
      </c>
      <c r="W1104" s="170" t="n">
        <v>15.5451</v>
      </c>
    </row>
    <row r="1105">
      <c r="T1105" s="278" t="n">
        <v>45013</v>
      </c>
      <c r="W1105" s="170" t="n">
        <v>15.7377</v>
      </c>
    </row>
    <row r="1106">
      <c r="T1106" s="278" t="n">
        <v>45012</v>
      </c>
      <c r="W1106" s="170" t="n">
        <v>15.5435</v>
      </c>
    </row>
    <row r="1107">
      <c r="T1107" s="278" t="n">
        <v>45009</v>
      </c>
      <c r="W1107" s="170" t="n">
        <v>15.3454</v>
      </c>
    </row>
    <row r="1108">
      <c r="T1108" s="278" t="n">
        <v>45008</v>
      </c>
      <c r="W1108" s="170" t="n">
        <v>15.5738</v>
      </c>
    </row>
    <row r="1109">
      <c r="T1109" s="278" t="n">
        <v>45007</v>
      </c>
      <c r="W1109" s="170" t="n">
        <v>15.5515</v>
      </c>
    </row>
    <row r="1110">
      <c r="T1110" s="278" t="n">
        <v>45006</v>
      </c>
      <c r="W1110" s="170" t="n">
        <v>15.7831</v>
      </c>
    </row>
    <row r="1111">
      <c r="T1111" s="278" t="n">
        <v>45005</v>
      </c>
      <c r="W1111" s="170" t="n">
        <v>15.7433</v>
      </c>
    </row>
    <row r="1112">
      <c r="T1112" s="278" t="n">
        <v>45002</v>
      </c>
      <c r="W1112" s="170" t="n">
        <v>15.8459</v>
      </c>
    </row>
    <row r="1113">
      <c r="T1113" s="278" t="n">
        <v>45001</v>
      </c>
      <c r="W1113" s="170" t="n">
        <v>15.5594</v>
      </c>
    </row>
    <row r="1114">
      <c r="T1114" s="278" t="n">
        <v>45000</v>
      </c>
      <c r="W1114" s="170" t="n">
        <v>15.8977</v>
      </c>
    </row>
    <row r="1115">
      <c r="T1115" s="278" t="n">
        <v>44999</v>
      </c>
      <c r="W1115" s="170" t="n">
        <v>16.0512</v>
      </c>
    </row>
    <row r="1116">
      <c r="T1116" s="278" t="n">
        <v>44998</v>
      </c>
      <c r="W1116" s="170" t="n">
        <v>16.1698</v>
      </c>
    </row>
    <row r="1117">
      <c r="T1117" s="278" t="n">
        <v>44995</v>
      </c>
      <c r="W1117" s="170" t="n">
        <v>16.9123</v>
      </c>
    </row>
    <row r="1118">
      <c r="T1118" s="278" t="n">
        <v>44994</v>
      </c>
      <c r="W1118" s="170" t="n">
        <v>17.1821</v>
      </c>
    </row>
    <row r="1119">
      <c r="T1119" s="278" t="n">
        <v>44993</v>
      </c>
      <c r="W1119" s="170" t="n">
        <v>17.4487</v>
      </c>
    </row>
    <row r="1120">
      <c r="T1120" s="278" t="n">
        <v>44992</v>
      </c>
      <c r="W1120" s="170" t="n"/>
    </row>
    <row r="1121">
      <c r="T1121" s="278" t="n">
        <v>44991</v>
      </c>
      <c r="W1121" s="170" t="n">
        <v>17.4813</v>
      </c>
    </row>
    <row r="1122">
      <c r="T1122" s="278" t="n">
        <v>44988</v>
      </c>
      <c r="W1122" s="170" t="n">
        <v>17.3635</v>
      </c>
    </row>
    <row r="1123">
      <c r="T1123" s="278" t="n">
        <v>44987</v>
      </c>
      <c r="W1123" s="170" t="n">
        <v>17.3221</v>
      </c>
    </row>
    <row r="1124">
      <c r="T1124" s="278" t="n">
        <v>44986</v>
      </c>
      <c r="W1124" s="170" t="n">
        <v>17.6938</v>
      </c>
    </row>
    <row r="1125">
      <c r="T1125" s="278" t="n">
        <v>44985</v>
      </c>
      <c r="W1125" s="170" t="n">
        <v>18.593</v>
      </c>
    </row>
    <row r="1126">
      <c r="T1126" s="278" t="n">
        <v>44984</v>
      </c>
      <c r="W1126" s="170" t="n">
        <v>18.1935</v>
      </c>
    </row>
    <row r="1127">
      <c r="T1127" s="278" t="n">
        <v>44981</v>
      </c>
      <c r="W1127" s="170" t="n">
        <v>18.5341</v>
      </c>
    </row>
    <row r="1128">
      <c r="T1128" s="278" t="n">
        <v>44980</v>
      </c>
      <c r="W1128" s="170" t="n">
        <v>18.3662</v>
      </c>
    </row>
    <row r="1129">
      <c r="T1129" s="278" t="n">
        <v>44979</v>
      </c>
      <c r="W1129" s="170" t="n">
        <v>18.289</v>
      </c>
    </row>
    <row r="1130">
      <c r="T1130" s="278" t="n">
        <v>44978</v>
      </c>
      <c r="W1130" s="170" t="n">
        <v>18.5294</v>
      </c>
    </row>
    <row r="1131">
      <c r="T1131" s="278" t="n">
        <v>44977</v>
      </c>
      <c r="W1131" s="170" t="n">
        <v>18.0025</v>
      </c>
    </row>
    <row r="1132">
      <c r="T1132" s="278" t="n">
        <v>44974</v>
      </c>
      <c r="W1132" s="170" t="n">
        <v>17.8505</v>
      </c>
    </row>
    <row r="1133">
      <c r="T1133" s="278" t="n">
        <v>44973</v>
      </c>
      <c r="W1133" s="170" t="n">
        <v>18.1275</v>
      </c>
    </row>
    <row r="1134">
      <c r="T1134" s="278" t="n">
        <v>44972</v>
      </c>
      <c r="W1134" s="170" t="n">
        <v>18.3479</v>
      </c>
    </row>
    <row r="1135">
      <c r="T1135" s="278" t="n">
        <v>44971</v>
      </c>
      <c r="W1135" s="170" t="n">
        <v>17.985</v>
      </c>
    </row>
    <row r="1136">
      <c r="T1136" s="278" t="n">
        <v>44970</v>
      </c>
      <c r="W1136" s="170" t="n">
        <v>17.8155</v>
      </c>
    </row>
    <row r="1137">
      <c r="T1137" s="278" t="n">
        <v>44967</v>
      </c>
      <c r="W1137" s="170" t="n">
        <v>18.1434</v>
      </c>
    </row>
    <row r="1138">
      <c r="T1138" s="278" t="n">
        <v>44966</v>
      </c>
      <c r="W1138" s="170" t="n">
        <v>18.7785</v>
      </c>
    </row>
    <row r="1139">
      <c r="T1139" s="278" t="n">
        <v>44965</v>
      </c>
      <c r="W1139" s="170" t="n">
        <v>17.7256</v>
      </c>
    </row>
    <row r="1140">
      <c r="T1140" s="278" t="n">
        <v>44964</v>
      </c>
      <c r="W1140" s="170" t="n">
        <v>17.9882</v>
      </c>
    </row>
    <row r="1141">
      <c r="T1141" s="278" t="n">
        <v>44963</v>
      </c>
      <c r="W1141" s="170" t="n">
        <v>17.7789</v>
      </c>
    </row>
    <row r="1142">
      <c r="T1142" s="278" t="n">
        <v>44960</v>
      </c>
      <c r="W1142" s="170" t="n">
        <v>17.7797</v>
      </c>
    </row>
    <row r="1143">
      <c r="T1143" s="278" t="n">
        <v>44959</v>
      </c>
      <c r="W1143" s="170" t="n">
        <v>18.1609</v>
      </c>
    </row>
    <row r="1144">
      <c r="T1144" s="278" t="n">
        <v>44958</v>
      </c>
      <c r="W1144" s="170" t="n">
        <v>17.2887</v>
      </c>
    </row>
    <row r="1145">
      <c r="T1145" s="278" t="n">
        <v>44957</v>
      </c>
      <c r="W1145" s="170" t="n">
        <v>16.7189</v>
      </c>
    </row>
    <row r="1146">
      <c r="T1146" s="278" t="n">
        <v>44956</v>
      </c>
      <c r="W1146" s="170" t="n">
        <v>16.4436</v>
      </c>
    </row>
    <row r="1147">
      <c r="T1147" s="278" t="n">
        <v>44953</v>
      </c>
      <c r="W1147" s="170" t="n">
        <v>16.1611</v>
      </c>
    </row>
    <row r="1148">
      <c r="T1148" s="278" t="n">
        <v>44952</v>
      </c>
      <c r="W1148" s="170" t="n"/>
    </row>
    <row r="1149">
      <c r="T1149" s="278" t="n">
        <v>44951</v>
      </c>
      <c r="W1149" s="170" t="n">
        <v>16.7802</v>
      </c>
    </row>
    <row r="1150">
      <c r="T1150" s="278" t="n">
        <v>44950</v>
      </c>
      <c r="W1150" s="170" t="n">
        <v>16.5423</v>
      </c>
    </row>
    <row r="1151">
      <c r="T1151" s="278" t="n">
        <v>44949</v>
      </c>
      <c r="W1151" s="170" t="n">
        <v>16.4332</v>
      </c>
    </row>
    <row r="1152">
      <c r="T1152" s="278" t="n">
        <v>44946</v>
      </c>
      <c r="W1152" s="170" t="n">
        <v>16.8765</v>
      </c>
    </row>
    <row r="1153">
      <c r="T1153" s="278" t="n">
        <v>44945</v>
      </c>
      <c r="W1153" s="170" t="n">
        <v>16.4969</v>
      </c>
    </row>
    <row r="1154">
      <c r="T1154" s="278" t="n">
        <v>44944</v>
      </c>
      <c r="W1154" s="170" t="n">
        <v>16.2319</v>
      </c>
    </row>
    <row r="1155">
      <c r="T1155" s="278" t="n">
        <v>44943</v>
      </c>
      <c r="W1155" s="170" t="n">
        <v>15.3517</v>
      </c>
    </row>
    <row r="1156">
      <c r="T1156" s="278" t="n">
        <v>44942</v>
      </c>
      <c r="W1156" s="170" t="n">
        <v>15.9406</v>
      </c>
    </row>
    <row r="1157">
      <c r="T1157" s="278" t="n">
        <v>44939</v>
      </c>
      <c r="W1157" s="170" t="n">
        <v>15.1361</v>
      </c>
    </row>
    <row r="1158">
      <c r="T1158" s="278" t="n">
        <v>44938</v>
      </c>
      <c r="W1158" s="170" t="n">
        <v>15.2936</v>
      </c>
    </row>
    <row r="1159">
      <c r="T1159" s="278" t="n">
        <v>44937</v>
      </c>
      <c r="W1159" s="170" t="n">
        <v>14.6021</v>
      </c>
    </row>
    <row r="1160">
      <c r="T1160" s="278" t="n">
        <v>44936</v>
      </c>
      <c r="W1160" s="170" t="n">
        <v>14.7159</v>
      </c>
    </row>
    <row r="1161">
      <c r="T1161" s="278" t="n">
        <v>44935</v>
      </c>
      <c r="W1161" s="170" t="n">
        <v>14.8257</v>
      </c>
    </row>
    <row r="1162">
      <c r="T1162" s="278" t="n">
        <v>44932</v>
      </c>
      <c r="W1162" s="170" t="n">
        <v>14.8257</v>
      </c>
    </row>
    <row r="1163">
      <c r="T1163" s="278" t="n">
        <v>44931</v>
      </c>
      <c r="W1163" s="170" t="n">
        <v>14.6395</v>
      </c>
    </row>
    <row r="1164">
      <c r="T1164" s="278" t="n">
        <v>44930</v>
      </c>
      <c r="W1164" s="170" t="n">
        <v>14.8973</v>
      </c>
    </row>
    <row r="1165">
      <c r="T1165" s="278" t="n">
        <v>44929</v>
      </c>
      <c r="W1165" s="170" t="n">
        <v>15.1178</v>
      </c>
    </row>
    <row r="1166">
      <c r="T1166" s="278" t="n">
        <v>44928</v>
      </c>
      <c r="W1166" s="170" t="n">
        <v>14.0474</v>
      </c>
    </row>
    <row r="1167">
      <c r="T1167" s="278" t="n">
        <v>44925</v>
      </c>
      <c r="W1167" s="170" t="n">
        <v>13.7641</v>
      </c>
    </row>
    <row r="1168">
      <c r="T1168" s="278" t="n">
        <v>44924</v>
      </c>
      <c r="W1168" s="170" t="n">
        <v>13.4848</v>
      </c>
    </row>
    <row r="1169">
      <c r="T1169" s="278" t="n">
        <v>44923</v>
      </c>
      <c r="W1169" s="170" t="n">
        <v>13.5612</v>
      </c>
    </row>
    <row r="1170">
      <c r="T1170" s="278" t="n">
        <v>44922</v>
      </c>
      <c r="W1170" s="170" t="n">
        <v>13.6217</v>
      </c>
    </row>
    <row r="1171">
      <c r="T1171" s="278" t="n">
        <v>44921</v>
      </c>
      <c r="W1171" s="170" t="n">
        <v>13.6129</v>
      </c>
    </row>
    <row r="1172">
      <c r="T1172" s="278" t="n">
        <v>44918</v>
      </c>
      <c r="W1172" s="170" t="n">
        <v>13.1561</v>
      </c>
    </row>
    <row r="1173">
      <c r="T1173" s="278" t="n">
        <v>44917</v>
      </c>
      <c r="W1173" s="170" t="n">
        <v>13.6249</v>
      </c>
    </row>
    <row r="1174">
      <c r="T1174" s="278" t="n">
        <v>44916</v>
      </c>
      <c r="W1174" s="170" t="n">
        <v>13.5875</v>
      </c>
    </row>
    <row r="1175">
      <c r="T1175" s="278" t="n">
        <v>44915</v>
      </c>
      <c r="W1175" s="170" t="n">
        <v>13.4068</v>
      </c>
    </row>
    <row r="1176">
      <c r="T1176" s="278" t="n">
        <v>44914</v>
      </c>
      <c r="W1176" s="170" t="n">
        <v>13.4808</v>
      </c>
    </row>
    <row r="1177">
      <c r="T1177" s="278" t="n">
        <v>44911</v>
      </c>
      <c r="W1177" s="170" t="n">
        <v>13.6034</v>
      </c>
    </row>
    <row r="1178">
      <c r="T1178" s="278" t="n">
        <v>44910</v>
      </c>
      <c r="W1178" s="170" t="n">
        <v>13.7235</v>
      </c>
    </row>
    <row r="1179">
      <c r="T1179" s="278" t="n">
        <v>44909</v>
      </c>
      <c r="W1179" s="170" t="n">
        <v>13.7013</v>
      </c>
    </row>
    <row r="1180">
      <c r="T1180" s="278" t="n">
        <v>44908</v>
      </c>
      <c r="W1180" s="170" t="n">
        <v>13.7132</v>
      </c>
    </row>
    <row r="1181">
      <c r="T1181" s="278" t="n">
        <v>44907</v>
      </c>
      <c r="W1181" s="170" t="n">
        <v>13.7936</v>
      </c>
    </row>
    <row r="1182">
      <c r="T1182" s="278" t="n">
        <v>44904</v>
      </c>
      <c r="W1182" s="170" t="n">
        <v>13.8238</v>
      </c>
    </row>
    <row r="1183">
      <c r="T1183" s="278" t="n">
        <v>44903</v>
      </c>
      <c r="W1183" s="170" t="n">
        <v>14.1557</v>
      </c>
    </row>
    <row r="1184">
      <c r="T1184" s="278" t="n">
        <v>44902</v>
      </c>
      <c r="W1184" s="170" t="n">
        <v>14.0618</v>
      </c>
    </row>
    <row r="1185">
      <c r="T1185" s="278" t="n">
        <v>44901</v>
      </c>
      <c r="W1185" s="170" t="n">
        <v>14.1549</v>
      </c>
    </row>
    <row r="1186">
      <c r="T1186" s="278" t="n">
        <v>44900</v>
      </c>
      <c r="W1186" s="170" t="n">
        <v>13.9535</v>
      </c>
    </row>
    <row r="1187">
      <c r="T1187" s="278" t="n">
        <v>44897</v>
      </c>
      <c r="W1187" s="170" t="n">
        <v>14.0132</v>
      </c>
    </row>
    <row r="1188">
      <c r="T1188" s="278" t="n">
        <v>44896</v>
      </c>
      <c r="W1188" s="170" t="n">
        <v>14.1939</v>
      </c>
    </row>
    <row r="1189">
      <c r="T1189" s="278" t="n">
        <v>44895</v>
      </c>
      <c r="W1189" s="170" t="n">
        <v>14.2575</v>
      </c>
    </row>
    <row r="1190">
      <c r="T1190" s="278" t="n">
        <v>44894</v>
      </c>
      <c r="W1190" s="170" t="n">
        <v>14.2209</v>
      </c>
    </row>
    <row r="1191">
      <c r="T1191" s="278" t="n">
        <v>44893</v>
      </c>
      <c r="W1191" s="170" t="n">
        <v>13.9129</v>
      </c>
    </row>
    <row r="1192">
      <c r="T1192" s="278" t="n">
        <v>44890</v>
      </c>
      <c r="W1192" s="170" t="n">
        <v>13.858</v>
      </c>
    </row>
    <row r="1193">
      <c r="T1193" s="278" t="n">
        <v>44889</v>
      </c>
      <c r="W1193" s="170" t="n">
        <v>13.6201</v>
      </c>
    </row>
    <row r="1194">
      <c r="T1194" s="278" t="n">
        <v>44888</v>
      </c>
      <c r="W1194" s="170" t="n">
        <v>13.8166</v>
      </c>
    </row>
    <row r="1195">
      <c r="T1195" s="278" t="n">
        <v>44887</v>
      </c>
      <c r="W1195" s="170" t="n">
        <v>13.7681</v>
      </c>
    </row>
    <row r="1196">
      <c r="T1196" s="278" t="n">
        <v>44886</v>
      </c>
      <c r="W1196" s="170" t="n">
        <v>13.7506</v>
      </c>
    </row>
    <row r="1197">
      <c r="T1197" s="278" t="n">
        <v>44883</v>
      </c>
      <c r="W1197" s="170" t="n">
        <v>14.4254</v>
      </c>
    </row>
    <row r="1198">
      <c r="T1198" s="278" t="n">
        <v>44882</v>
      </c>
      <c r="W1198" s="170" t="n">
        <v>14.9523</v>
      </c>
    </row>
    <row r="1199">
      <c r="T1199" s="278" t="n">
        <v>44881</v>
      </c>
      <c r="W1199" s="170" t="n">
        <v>14.8018</v>
      </c>
    </row>
    <row r="1200">
      <c r="T1200" s="278" t="n">
        <v>44880</v>
      </c>
      <c r="W1200" s="170" t="n">
        <v>14.096</v>
      </c>
    </row>
    <row r="1201">
      <c r="T1201" s="278" t="n">
        <v>44879</v>
      </c>
      <c r="W1201" s="170" t="n">
        <v>13.9121</v>
      </c>
    </row>
    <row r="1202">
      <c r="T1202" s="278" t="n">
        <v>44876</v>
      </c>
      <c r="W1202" s="170" t="n">
        <v>13.9352</v>
      </c>
    </row>
    <row r="1203">
      <c r="T1203" s="278" t="n">
        <v>44875</v>
      </c>
      <c r="W1203" s="170" t="n">
        <v>13.858</v>
      </c>
    </row>
    <row r="1204">
      <c r="T1204" s="278" t="n">
        <v>44874</v>
      </c>
      <c r="W1204" s="170" t="n">
        <v>13.5357</v>
      </c>
    </row>
    <row r="1205">
      <c r="T1205" s="278" t="n">
        <v>44873</v>
      </c>
      <c r="W1205" s="170" t="n"/>
    </row>
    <row r="1206">
      <c r="T1206" s="278" t="n">
        <v>44872</v>
      </c>
      <c r="W1206" s="170" t="n">
        <v>13.5127</v>
      </c>
    </row>
    <row r="1207">
      <c r="T1207" s="278" t="n">
        <v>44869</v>
      </c>
      <c r="W1207" s="170" t="n">
        <v>13.453</v>
      </c>
    </row>
    <row r="1208">
      <c r="T1208" s="278" t="n">
        <v>44868</v>
      </c>
      <c r="W1208" s="170" t="n">
        <v>13.527</v>
      </c>
    </row>
    <row r="1209">
      <c r="T1209" s="278" t="n">
        <v>44867</v>
      </c>
      <c r="W1209" s="170" t="n">
        <v>13.4657</v>
      </c>
    </row>
    <row r="1210">
      <c r="T1210" s="278" t="n">
        <v>44866</v>
      </c>
      <c r="W1210" s="170" t="n">
        <v>13.4052</v>
      </c>
    </row>
    <row r="1211">
      <c r="T1211" s="278" t="n">
        <v>44865</v>
      </c>
      <c r="W1211" s="170" t="n">
        <v>13.4418</v>
      </c>
    </row>
    <row r="1212">
      <c r="T1212" s="278" t="n">
        <v>44862</v>
      </c>
      <c r="W1212" s="170" t="n">
        <v>13.3694</v>
      </c>
    </row>
    <row r="1213">
      <c r="T1213" s="278" t="n">
        <v>44861</v>
      </c>
      <c r="W1213" s="170" t="n">
        <v>13.3559</v>
      </c>
    </row>
    <row r="1214">
      <c r="T1214" s="278" t="n">
        <v>44860</v>
      </c>
      <c r="W1214" s="170" t="n"/>
    </row>
    <row r="1215">
      <c r="T1215" s="278" t="n">
        <v>44859</v>
      </c>
      <c r="W1215" s="170" t="n">
        <v>13.4076</v>
      </c>
    </row>
    <row r="1216">
      <c r="T1216" s="278" t="n">
        <v>44858</v>
      </c>
      <c r="W1216" s="170" t="n">
        <v>13.5493</v>
      </c>
    </row>
    <row r="1217">
      <c r="T1217" s="278" t="n">
        <v>44855</v>
      </c>
      <c r="W1217" s="170" t="n">
        <v>13.5381</v>
      </c>
    </row>
    <row r="1218">
      <c r="T1218" s="278" t="n">
        <v>44854</v>
      </c>
      <c r="W1218" s="170" t="n">
        <v>13.5262</v>
      </c>
    </row>
    <row r="1219">
      <c r="T1219" s="278" t="n">
        <v>44853</v>
      </c>
      <c r="W1219" s="170" t="n">
        <v>13.7219</v>
      </c>
    </row>
    <row r="1220">
      <c r="T1220" s="278" t="n">
        <v>44852</v>
      </c>
      <c r="W1220" s="170" t="n">
        <v>13.64</v>
      </c>
    </row>
    <row r="1221">
      <c r="T1221" s="278" t="n">
        <v>44851</v>
      </c>
      <c r="W1221" s="170" t="n">
        <v>13.5867</v>
      </c>
    </row>
    <row r="1222">
      <c r="T1222" s="278" t="n">
        <v>44848</v>
      </c>
      <c r="W1222" s="170" t="n">
        <v>13.7928</v>
      </c>
    </row>
    <row r="1223">
      <c r="T1223" s="278" t="n">
        <v>44847</v>
      </c>
      <c r="W1223" s="170" t="n">
        <v>14.2687</v>
      </c>
    </row>
    <row r="1224">
      <c r="T1224" s="278" t="n">
        <v>44846</v>
      </c>
      <c r="W1224" s="170" t="n">
        <v>13.9893</v>
      </c>
    </row>
    <row r="1225">
      <c r="T1225" s="278" t="n">
        <v>44845</v>
      </c>
      <c r="W1225" s="170" t="n">
        <v>13.8015</v>
      </c>
    </row>
    <row r="1226">
      <c r="T1226" s="278" t="n">
        <v>44844</v>
      </c>
      <c r="W1226" s="170" t="n">
        <v>14.1676</v>
      </c>
    </row>
    <row r="1227">
      <c r="T1227" s="278" t="n">
        <v>44841</v>
      </c>
      <c r="W1227" s="170" t="n">
        <v>14.2671</v>
      </c>
    </row>
    <row r="1228">
      <c r="T1228" s="278" t="n">
        <v>44840</v>
      </c>
      <c r="W1228" s="170" t="n">
        <v>14.0641</v>
      </c>
    </row>
    <row r="1229">
      <c r="T1229" s="278" t="n">
        <v>44839</v>
      </c>
      <c r="W1229" s="170" t="n"/>
    </row>
    <row r="1230">
      <c r="T1230" s="278" t="n">
        <v>44838</v>
      </c>
      <c r="W1230" s="170" t="n">
        <v>13.5811</v>
      </c>
    </row>
    <row r="1231">
      <c r="T1231" s="278" t="n">
        <v>44837</v>
      </c>
      <c r="W1231" s="170" t="n">
        <v>13.5349</v>
      </c>
    </row>
    <row r="1232">
      <c r="T1232" s="278" t="n">
        <v>44834</v>
      </c>
      <c r="W1232" s="170" t="n">
        <v>13.1506</v>
      </c>
    </row>
    <row r="1233">
      <c r="T1233" s="278" t="n">
        <v>44833</v>
      </c>
      <c r="W1233" s="170" t="n">
        <v>13.0169</v>
      </c>
    </row>
    <row r="1234">
      <c r="T1234" s="278" t="n">
        <v>44832</v>
      </c>
      <c r="W1234" s="170" t="n">
        <v>12.8991</v>
      </c>
    </row>
    <row r="1235">
      <c r="T1235" s="278" t="n">
        <v>44831</v>
      </c>
      <c r="W1235" s="170" t="n">
        <v>13.4044</v>
      </c>
    </row>
    <row r="1236">
      <c r="T1236" s="278" t="n">
        <v>44830</v>
      </c>
      <c r="W1236" s="170" t="n">
        <v>13.3726</v>
      </c>
    </row>
    <row r="1237">
      <c r="T1237" s="278" t="n">
        <v>44827</v>
      </c>
      <c r="W1237" s="170" t="n">
        <v>14.4262</v>
      </c>
    </row>
    <row r="1238">
      <c r="T1238" s="278" t="n">
        <v>44826</v>
      </c>
      <c r="W1238" s="170" t="n">
        <v>14.63</v>
      </c>
    </row>
    <row r="1239">
      <c r="T1239" s="278" t="n">
        <v>44825</v>
      </c>
      <c r="W1239" s="170" t="n">
        <v>14.6069</v>
      </c>
    </row>
    <row r="1240">
      <c r="T1240" s="278" t="n">
        <v>44824</v>
      </c>
      <c r="W1240" s="170" t="n">
        <v>14.7358</v>
      </c>
    </row>
    <row r="1241">
      <c r="T1241" s="278" t="n">
        <v>44823</v>
      </c>
      <c r="W1241" s="170" t="n">
        <v>14.8464</v>
      </c>
    </row>
    <row r="1242">
      <c r="T1242" s="278" t="n">
        <v>44820</v>
      </c>
      <c r="W1242" s="170" t="n">
        <v>15.1074</v>
      </c>
    </row>
    <row r="1243">
      <c r="T1243" s="278" t="n">
        <v>44819</v>
      </c>
      <c r="W1243" s="170" t="n">
        <v>15.6581</v>
      </c>
    </row>
    <row r="1244">
      <c r="T1244" s="278" t="n">
        <v>44818</v>
      </c>
      <c r="W1244" s="170" t="n">
        <v>15.526</v>
      </c>
    </row>
    <row r="1245">
      <c r="T1245" s="278" t="n">
        <v>44817</v>
      </c>
      <c r="W1245" s="170" t="n">
        <v>15.8467</v>
      </c>
    </row>
    <row r="1246">
      <c r="T1246" s="278" t="n">
        <v>44816</v>
      </c>
      <c r="W1246" s="170" t="n">
        <v>15.6724</v>
      </c>
    </row>
    <row r="1247">
      <c r="T1247" s="278" t="n">
        <v>44813</v>
      </c>
      <c r="W1247" s="170" t="n">
        <v>14.9737</v>
      </c>
    </row>
    <row r="1248">
      <c r="T1248" s="278" t="n">
        <v>44812</v>
      </c>
      <c r="W1248" s="170" t="n">
        <v>14.4859</v>
      </c>
    </row>
    <row r="1249">
      <c r="T1249" s="278" t="n">
        <v>44811</v>
      </c>
      <c r="W1249" s="170" t="n">
        <v>14.1445</v>
      </c>
    </row>
    <row r="1250">
      <c r="T1250" s="278" t="n">
        <v>44810</v>
      </c>
      <c r="W1250" s="170" t="n">
        <v>13.8771</v>
      </c>
    </row>
    <row r="1251">
      <c r="T1251" s="278" t="n">
        <v>44809</v>
      </c>
      <c r="W1251" s="170" t="n">
        <v>14.0442</v>
      </c>
    </row>
    <row r="1252">
      <c r="T1252" s="278" t="n">
        <v>44806</v>
      </c>
      <c r="W1252" s="170" t="n">
        <v>14.1923</v>
      </c>
    </row>
    <row r="1253">
      <c r="T1253" s="278" t="n">
        <v>44805</v>
      </c>
      <c r="W1253" s="170" t="n">
        <v>14.6284</v>
      </c>
    </row>
    <row r="1254">
      <c r="T1254" s="278" t="n">
        <v>44804</v>
      </c>
      <c r="W1254" s="170" t="n"/>
    </row>
    <row r="1255">
      <c r="T1255" s="278" t="n">
        <v>44803</v>
      </c>
      <c r="W1255" s="170" t="n">
        <v>15.0024</v>
      </c>
    </row>
    <row r="1256">
      <c r="T1256" s="278" t="n">
        <v>44802</v>
      </c>
      <c r="W1256" s="170" t="n">
        <v>14.7064</v>
      </c>
    </row>
    <row r="1257">
      <c r="T1257" s="278" t="n">
        <v>44799</v>
      </c>
      <c r="W1257" s="170" t="n">
        <v>14.0196</v>
      </c>
    </row>
    <row r="1258">
      <c r="T1258" s="278" t="n">
        <v>44798</v>
      </c>
      <c r="W1258" s="170" t="n">
        <v>14.213</v>
      </c>
    </row>
    <row r="1259">
      <c r="T1259" s="278" t="n">
        <v>44797</v>
      </c>
      <c r="W1259" s="170" t="n">
        <v>13.7633</v>
      </c>
    </row>
    <row r="1260">
      <c r="T1260" s="278" t="n">
        <v>44796</v>
      </c>
      <c r="W1260" s="170" t="n">
        <v>13.558</v>
      </c>
    </row>
    <row r="1261">
      <c r="T1261" s="278" t="n">
        <v>44795</v>
      </c>
      <c r="W1261" s="170" t="n">
        <v>13.7426</v>
      </c>
    </row>
    <row r="1262">
      <c r="T1262" s="278" t="n">
        <v>44792</v>
      </c>
      <c r="W1262" s="170" t="n">
        <v>13.6925</v>
      </c>
    </row>
    <row r="1263">
      <c r="T1263" s="278" t="n">
        <v>44791</v>
      </c>
      <c r="W1263" s="170" t="n">
        <v>13.0845</v>
      </c>
    </row>
    <row r="1264">
      <c r="T1264" s="278" t="n">
        <v>44790</v>
      </c>
      <c r="W1264" s="170" t="n">
        <v>13.0837</v>
      </c>
    </row>
    <row r="1265">
      <c r="T1265" s="278" t="n">
        <v>44789</v>
      </c>
      <c r="W1265" s="170" t="n">
        <v>13.1004</v>
      </c>
    </row>
    <row r="1266">
      <c r="T1266" s="278" t="n">
        <v>44788</v>
      </c>
      <c r="W1266" s="170" t="n"/>
    </row>
    <row r="1267">
      <c r="T1267" s="278" t="n">
        <v>44785</v>
      </c>
      <c r="W1267" s="170" t="n">
        <v>13.3487</v>
      </c>
    </row>
    <row r="1268">
      <c r="T1268" s="278" t="n">
        <v>44784</v>
      </c>
      <c r="W1268" s="170" t="n">
        <v>13.0161</v>
      </c>
    </row>
    <row r="1269">
      <c r="T1269" s="278" t="n">
        <v>44783</v>
      </c>
      <c r="W1269" s="170" t="n">
        <v>12.8911</v>
      </c>
    </row>
    <row r="1270">
      <c r="T1270" s="278" t="n">
        <v>44782</v>
      </c>
      <c r="W1270" s="170" t="n"/>
    </row>
    <row r="1271">
      <c r="T1271" s="278" t="n">
        <v>44781</v>
      </c>
      <c r="W1271" s="170" t="n">
        <v>13.605</v>
      </c>
    </row>
    <row r="1272">
      <c r="T1272" s="278" t="n">
        <v>44778</v>
      </c>
      <c r="W1272" s="170" t="n">
        <v>13.5381</v>
      </c>
    </row>
    <row r="1273">
      <c r="T1273" s="278" t="n">
        <v>44777</v>
      </c>
      <c r="W1273" s="170" t="n">
        <v>13.301</v>
      </c>
    </row>
    <row r="1274">
      <c r="T1274" s="278" t="n">
        <v>44776</v>
      </c>
      <c r="W1274" s="170" t="n">
        <v>13.4872</v>
      </c>
    </row>
    <row r="1275">
      <c r="T1275" s="278" t="n">
        <v>44775</v>
      </c>
      <c r="W1275" s="170" t="n">
        <v>13.4808</v>
      </c>
    </row>
    <row r="1276">
      <c r="T1276" s="278" t="n">
        <v>44774</v>
      </c>
      <c r="W1276" s="170" t="n">
        <v>13.6782</v>
      </c>
    </row>
    <row r="1277">
      <c r="T1277" s="278" t="n">
        <v>44771</v>
      </c>
      <c r="W1277" s="170" t="n">
        <v>13.8222</v>
      </c>
    </row>
    <row r="1278">
      <c r="T1278" s="278" t="n">
        <v>44770</v>
      </c>
      <c r="W1278" s="170" t="n">
        <v>13.4609</v>
      </c>
    </row>
    <row r="1279">
      <c r="T1279" s="278" t="n">
        <v>44769</v>
      </c>
      <c r="W1279" s="170" t="n">
        <v>13.5851</v>
      </c>
    </row>
    <row r="1280">
      <c r="T1280" s="278" t="n">
        <v>44768</v>
      </c>
      <c r="W1280" s="170" t="n">
        <v>13.6838</v>
      </c>
    </row>
    <row r="1281">
      <c r="T1281" s="278" t="n">
        <v>44767</v>
      </c>
      <c r="W1281" s="170" t="n">
        <v>13.9726</v>
      </c>
    </row>
    <row r="1282">
      <c r="T1282" s="278" t="n">
        <v>44764</v>
      </c>
      <c r="W1282" s="170" t="n">
        <v>13.6129</v>
      </c>
    </row>
    <row r="1283">
      <c r="T1283" s="278" t="n">
        <v>44763</v>
      </c>
      <c r="W1283" s="170" t="n">
        <v>13.5031</v>
      </c>
    </row>
    <row r="1284">
      <c r="T1284" s="278" t="n">
        <v>44762</v>
      </c>
      <c r="W1284" s="170" t="n">
        <v>13.3288</v>
      </c>
    </row>
    <row r="1285">
      <c r="T1285" s="278" t="n">
        <v>44761</v>
      </c>
      <c r="W1285" s="170" t="n">
        <v>13.188</v>
      </c>
    </row>
    <row r="1286">
      <c r="T1286" s="278" t="n">
        <v>44760</v>
      </c>
      <c r="W1286" s="170" t="n">
        <v>13.3026</v>
      </c>
    </row>
    <row r="1287">
      <c r="T1287" s="278" t="n">
        <v>44757</v>
      </c>
      <c r="W1287" s="170" t="n">
        <v>12.8442</v>
      </c>
    </row>
    <row r="1288">
      <c r="T1288" s="278" t="n">
        <v>44756</v>
      </c>
      <c r="W1288" s="170" t="n">
        <v>12.0524</v>
      </c>
    </row>
    <row r="1289">
      <c r="T1289" s="278" t="n">
        <v>44755</v>
      </c>
      <c r="W1289" s="170" t="n">
        <v>12.2179</v>
      </c>
    </row>
    <row r="1290">
      <c r="T1290" s="278" t="n">
        <v>44754</v>
      </c>
      <c r="W1290" s="170" t="n">
        <v>12.2465</v>
      </c>
    </row>
    <row r="1291">
      <c r="T1291" s="278" t="n">
        <v>44753</v>
      </c>
      <c r="W1291" s="170" t="n">
        <v>12.3261</v>
      </c>
    </row>
    <row r="1292">
      <c r="T1292" s="278" t="n">
        <v>44750</v>
      </c>
      <c r="W1292" s="170" t="n">
        <v>12.5442</v>
      </c>
    </row>
    <row r="1293">
      <c r="T1293" s="278" t="n">
        <v>44749</v>
      </c>
      <c r="W1293" s="170" t="n">
        <v>12.3763</v>
      </c>
    </row>
    <row r="1294">
      <c r="T1294" s="278" t="n">
        <v>44748</v>
      </c>
      <c r="W1294" s="170" t="n">
        <v>12.1566</v>
      </c>
    </row>
    <row r="1295">
      <c r="T1295" s="278" t="n">
        <v>44747</v>
      </c>
      <c r="W1295" s="170" t="n">
        <v>12.1113</v>
      </c>
    </row>
    <row r="1296">
      <c r="T1296" s="278" t="n">
        <v>44746</v>
      </c>
      <c r="W1296" s="170" t="n">
        <v>12.2839</v>
      </c>
    </row>
    <row r="1297">
      <c r="T1297" s="278" t="n">
        <v>44743</v>
      </c>
      <c r="W1297" s="170" t="n">
        <v>12.0802</v>
      </c>
    </row>
    <row r="1298">
      <c r="T1298" s="278" t="n">
        <v>44742</v>
      </c>
      <c r="W1298" s="170" t="n">
        <v>11.8956</v>
      </c>
    </row>
    <row r="1299">
      <c r="T1299" s="278" t="n">
        <v>44741</v>
      </c>
      <c r="W1299" s="170" t="n">
        <v>11.6847</v>
      </c>
    </row>
    <row r="1300">
      <c r="T1300" s="278" t="n">
        <v>44740</v>
      </c>
      <c r="W1300" s="170" t="n">
        <v>11.4953</v>
      </c>
    </row>
    <row r="1301">
      <c r="T1301" s="278" t="n">
        <v>44739</v>
      </c>
      <c r="W1301" s="170" t="n">
        <v>10.994</v>
      </c>
    </row>
    <row r="1302">
      <c r="T1302" s="278" t="n">
        <v>44736</v>
      </c>
      <c r="W1302" s="170" t="n">
        <v>10.8706</v>
      </c>
    </row>
    <row r="1303">
      <c r="T1303" s="278" t="n">
        <v>44735</v>
      </c>
      <c r="W1303" s="170" t="n">
        <v>10.8825</v>
      </c>
    </row>
    <row r="1304">
      <c r="T1304" s="278" t="n">
        <v>44734</v>
      </c>
      <c r="W1304" s="170" t="n">
        <v>10.6446</v>
      </c>
    </row>
    <row r="1305">
      <c r="T1305" s="278" t="n">
        <v>44733</v>
      </c>
      <c r="W1305" s="170" t="n">
        <v>10.5921</v>
      </c>
    </row>
    <row r="1306">
      <c r="T1306" s="278" t="n">
        <v>44732</v>
      </c>
      <c r="W1306" s="170" t="n">
        <v>10.1417</v>
      </c>
    </row>
    <row r="1307">
      <c r="T1307" s="278" t="n">
        <v>44729</v>
      </c>
      <c r="W1307" s="170" t="n">
        <v>10.5873</v>
      </c>
    </row>
    <row r="1308">
      <c r="T1308" s="278" t="n">
        <v>44728</v>
      </c>
      <c r="W1308" s="170" t="n">
        <v>10.4345</v>
      </c>
    </row>
    <row r="1309">
      <c r="T1309" s="278" t="n">
        <v>44727</v>
      </c>
      <c r="W1309" s="170" t="n">
        <v>10.3915</v>
      </c>
    </row>
    <row r="1310">
      <c r="T1310" s="278" t="n">
        <v>44726</v>
      </c>
      <c r="W1310" s="170" t="n">
        <v>10.0653</v>
      </c>
    </row>
    <row r="1311">
      <c r="T1311" s="278" t="n">
        <v>44725</v>
      </c>
      <c r="W1311" s="170" t="n">
        <v>9.8735</v>
      </c>
    </row>
    <row r="1312">
      <c r="T1312" s="278" t="n">
        <v>44722</v>
      </c>
      <c r="W1312" s="170" t="n">
        <v>10.5459</v>
      </c>
    </row>
    <row r="1313">
      <c r="T1313" s="278" t="n">
        <v>44721</v>
      </c>
      <c r="W1313" s="170" t="n">
        <v>10.6884</v>
      </c>
    </row>
    <row r="1314">
      <c r="T1314" s="278" t="n">
        <v>44720</v>
      </c>
      <c r="W1314" s="170" t="n">
        <v>11.1364</v>
      </c>
    </row>
    <row r="1315">
      <c r="T1315" s="278" t="n">
        <v>44719</v>
      </c>
      <c r="W1315" s="170" t="n">
        <v>11.4985</v>
      </c>
    </row>
    <row r="1316">
      <c r="T1316" s="278" t="n">
        <v>44718</v>
      </c>
      <c r="W1316" s="170" t="n">
        <v>11.5996</v>
      </c>
    </row>
    <row r="1317">
      <c r="T1317" s="278" t="n">
        <v>44715</v>
      </c>
      <c r="W1317" s="170" t="n">
        <v>11.6187</v>
      </c>
    </row>
    <row r="1318">
      <c r="T1318" s="278" t="n">
        <v>44714</v>
      </c>
      <c r="W1318" s="170" t="n">
        <v>11.7738</v>
      </c>
    </row>
    <row r="1319">
      <c r="T1319" s="278" t="n">
        <v>44713</v>
      </c>
      <c r="W1319" s="170" t="n">
        <v>11.8876</v>
      </c>
    </row>
    <row r="1320">
      <c r="T1320" s="278" t="n">
        <v>44712</v>
      </c>
      <c r="W1320" s="170" t="n">
        <v>12.2282</v>
      </c>
    </row>
    <row r="1321">
      <c r="T1321" s="278" t="n">
        <v>44711</v>
      </c>
      <c r="W1321" s="170" t="n">
        <v>11.9879</v>
      </c>
    </row>
    <row r="1322">
      <c r="T1322" s="278" t="n">
        <v>44708</v>
      </c>
      <c r="W1322" s="170" t="n">
        <v>11.7794</v>
      </c>
    </row>
    <row r="1323">
      <c r="T1323" s="278" t="n">
        <v>44707</v>
      </c>
      <c r="W1323" s="170" t="n">
        <v>11.5311</v>
      </c>
    </row>
    <row r="1324">
      <c r="T1324" s="278" t="n">
        <v>44706</v>
      </c>
      <c r="W1324" s="170" t="n">
        <v>11.8001</v>
      </c>
    </row>
    <row r="1325">
      <c r="T1325" s="278" t="n">
        <v>44705</v>
      </c>
      <c r="W1325" s="170" t="n">
        <v>12.3603</v>
      </c>
    </row>
    <row r="1326">
      <c r="T1326" s="278" t="n">
        <v>44704</v>
      </c>
      <c r="W1326" s="170" t="n">
        <v>12.4622</v>
      </c>
    </row>
    <row r="1327">
      <c r="T1327" s="278" t="n">
        <v>44701</v>
      </c>
      <c r="W1327" s="170" t="n">
        <v>12.7471</v>
      </c>
    </row>
    <row r="1328">
      <c r="T1328" s="278" t="n">
        <v>44700</v>
      </c>
      <c r="W1328" s="170" t="n">
        <v>12.7574</v>
      </c>
    </row>
    <row r="1329">
      <c r="T1329" s="278" t="n">
        <v>44699</v>
      </c>
      <c r="W1329" s="170" t="n">
        <v>12.8768</v>
      </c>
    </row>
    <row r="1330">
      <c r="T1330" s="278" t="n">
        <v>44698</v>
      </c>
      <c r="W1330" s="170" t="n">
        <v>12.876</v>
      </c>
    </row>
    <row r="1331">
      <c r="T1331" s="278" t="n">
        <v>44697</v>
      </c>
      <c r="W1331" s="170" t="n">
        <v>12.9198</v>
      </c>
    </row>
    <row r="1332">
      <c r="T1332" s="278" t="n">
        <v>44694</v>
      </c>
      <c r="W1332" s="170" t="n">
        <v>12.7065</v>
      </c>
    </row>
    <row r="1333">
      <c r="T1333" s="278" t="n">
        <v>44693</v>
      </c>
      <c r="W1333" s="170" t="n">
        <v>12.6484</v>
      </c>
    </row>
    <row r="1334">
      <c r="T1334" s="278" t="n">
        <v>44692</v>
      </c>
      <c r="W1334" s="170" t="n">
        <v>12.4598</v>
      </c>
    </row>
    <row r="1335">
      <c r="T1335" s="278" t="n">
        <v>44691</v>
      </c>
      <c r="W1335" s="170" t="n">
        <v>12.4009</v>
      </c>
    </row>
    <row r="1336">
      <c r="T1336" s="278" t="n">
        <v>44690</v>
      </c>
      <c r="W1336" s="170" t="n">
        <v>12.8211</v>
      </c>
    </row>
    <row r="1337">
      <c r="T1337" s="278" t="n">
        <v>44687</v>
      </c>
      <c r="W1337" s="170" t="n">
        <v>13.0893</v>
      </c>
    </row>
    <row r="1338">
      <c r="T1338" s="278" t="n">
        <v>44686</v>
      </c>
      <c r="W1338" s="170" t="n">
        <v>13.1362</v>
      </c>
    </row>
    <row r="1339">
      <c r="T1339" s="278" t="n">
        <v>44685</v>
      </c>
      <c r="W1339" s="170" t="n">
        <v>13.1633</v>
      </c>
    </row>
    <row r="1340">
      <c r="T1340" s="278" t="n">
        <v>44684</v>
      </c>
      <c r="W1340" s="170" t="n"/>
    </row>
    <row r="1341">
      <c r="T1341" s="278" t="n">
        <v>44683</v>
      </c>
      <c r="W1341" s="170" t="n">
        <v>13.4514</v>
      </c>
    </row>
    <row r="1342">
      <c r="T1342" s="278" t="n">
        <v>44680</v>
      </c>
      <c r="W1342" s="170" t="n">
        <v>13.6893</v>
      </c>
    </row>
    <row r="1343">
      <c r="T1343" s="278" t="n">
        <v>44679</v>
      </c>
      <c r="W1343" s="170" t="n">
        <v>13.8413</v>
      </c>
    </row>
    <row r="1344">
      <c r="T1344" s="278" t="n">
        <v>44678</v>
      </c>
      <c r="W1344" s="170" t="n">
        <v>13.8867</v>
      </c>
    </row>
    <row r="1345">
      <c r="T1345" s="278" t="n">
        <v>44677</v>
      </c>
      <c r="W1345" s="170" t="n">
        <v>13.8716</v>
      </c>
    </row>
    <row r="1346">
      <c r="T1346" s="278" t="n">
        <v>44676</v>
      </c>
      <c r="W1346" s="170" t="n">
        <v>14.1342</v>
      </c>
    </row>
    <row r="1347">
      <c r="T1347" s="278" t="n">
        <v>44673</v>
      </c>
      <c r="W1347" s="170" t="n">
        <v>14.3968</v>
      </c>
    </row>
    <row r="1348">
      <c r="T1348" s="278" t="n">
        <v>44672</v>
      </c>
      <c r="W1348" s="170" t="n">
        <v>14.174</v>
      </c>
    </row>
    <row r="1349">
      <c r="T1349" s="278" t="n">
        <v>44671</v>
      </c>
      <c r="W1349" s="170" t="n">
        <v>14.1405</v>
      </c>
    </row>
    <row r="1350">
      <c r="T1350" s="278" t="n">
        <v>44670</v>
      </c>
      <c r="W1350" s="170" t="n">
        <v>14.1795</v>
      </c>
    </row>
    <row r="1351">
      <c r="T1351" s="278" t="n">
        <v>44669</v>
      </c>
      <c r="W1351" s="170" t="n">
        <v>14.6331</v>
      </c>
    </row>
    <row r="1352">
      <c r="T1352" s="278" t="n">
        <v>44666</v>
      </c>
      <c r="W1352" s="170" t="n"/>
    </row>
    <row r="1353">
      <c r="T1353" s="278" t="n">
        <v>44665</v>
      </c>
      <c r="W1353" s="170" t="n"/>
    </row>
    <row r="1354">
      <c r="T1354" s="278" t="n">
        <v>44664</v>
      </c>
      <c r="W1354" s="170" t="n">
        <v>14.5217</v>
      </c>
    </row>
    <row r="1355">
      <c r="T1355" s="278" t="n">
        <v>44663</v>
      </c>
      <c r="W1355" s="170" t="n">
        <v>14.6602</v>
      </c>
    </row>
    <row r="1356">
      <c r="T1356" s="278" t="n">
        <v>44662</v>
      </c>
      <c r="W1356" s="170" t="n">
        <v>14.1947</v>
      </c>
    </row>
    <row r="1357">
      <c r="T1357" s="278" t="n">
        <v>44659</v>
      </c>
      <c r="W1357" s="170" t="n">
        <v>14.2034</v>
      </c>
    </row>
    <row r="1358">
      <c r="T1358" s="278" t="n">
        <v>44658</v>
      </c>
      <c r="W1358" s="170" t="n">
        <v>14.2018</v>
      </c>
    </row>
    <row r="1359">
      <c r="T1359" s="278" t="n">
        <v>44657</v>
      </c>
      <c r="W1359" s="170" t="n">
        <v>13.9257</v>
      </c>
    </row>
    <row r="1360">
      <c r="T1360" s="278" t="n">
        <v>44656</v>
      </c>
      <c r="W1360" s="170" t="n">
        <v>14.0037</v>
      </c>
    </row>
    <row r="1361">
      <c r="T1361" s="278" t="n">
        <v>44655</v>
      </c>
      <c r="W1361" s="170" t="n">
        <v>13.9106</v>
      </c>
    </row>
    <row r="1362">
      <c r="T1362" s="278" t="n">
        <v>44652</v>
      </c>
      <c r="W1362" s="170" t="n">
        <v>13.1259</v>
      </c>
    </row>
    <row r="1363">
      <c r="T1363" s="278" t="n">
        <v>44651</v>
      </c>
      <c r="W1363" s="170" t="n">
        <v>12.6428</v>
      </c>
    </row>
    <row r="1364">
      <c r="T1364" s="278" t="n">
        <v>44650</v>
      </c>
      <c r="W1364" s="170" t="n">
        <v>15.2779</v>
      </c>
    </row>
    <row r="1365">
      <c r="T1365" s="278" t="n">
        <v>44649</v>
      </c>
      <c r="W1365" s="170" t="n">
        <v>15.1628</v>
      </c>
    </row>
    <row r="1366">
      <c r="T1366" s="278" t="n">
        <v>44648</v>
      </c>
      <c r="W1366" s="170" t="n">
        <v>15.5188</v>
      </c>
    </row>
    <row r="1367">
      <c r="T1367" s="278" t="n">
        <v>44645</v>
      </c>
      <c r="W1367" s="170" t="n">
        <v>15.9937</v>
      </c>
    </row>
    <row r="1368">
      <c r="T1368" s="278" t="n">
        <v>44644</v>
      </c>
      <c r="W1368" s="170" t="n">
        <v>16.1079</v>
      </c>
    </row>
    <row r="1369">
      <c r="T1369" s="278" t="n">
        <v>44643</v>
      </c>
      <c r="W1369" s="170" t="n">
        <v>16.1194</v>
      </c>
    </row>
    <row r="1370">
      <c r="T1370" s="278" t="n">
        <v>44642</v>
      </c>
      <c r="W1370" s="170" t="n">
        <v>16.153</v>
      </c>
    </row>
    <row r="1371">
      <c r="T1371" s="278" t="n">
        <v>44641</v>
      </c>
      <c r="W1371" s="170" t="n">
        <v>16.4131</v>
      </c>
    </row>
    <row r="1372">
      <c r="T1372" s="278" t="n">
        <v>44638</v>
      </c>
      <c r="W1372" s="170" t="n"/>
    </row>
    <row r="1373">
      <c r="T1373" s="278" t="n">
        <v>44637</v>
      </c>
      <c r="W1373" s="170" t="n">
        <v>16.3507</v>
      </c>
    </row>
    <row r="1374">
      <c r="T1374" s="278" t="n">
        <v>44636</v>
      </c>
      <c r="W1374" s="170" t="n">
        <v>16.2538</v>
      </c>
    </row>
    <row r="1375">
      <c r="T1375" s="278" t="n">
        <v>44635</v>
      </c>
      <c r="W1375" s="170" t="n">
        <v>16.321</v>
      </c>
    </row>
    <row r="1376">
      <c r="T1376" s="278" t="n">
        <v>44634</v>
      </c>
      <c r="W1376" s="170" t="n">
        <v>15.8373</v>
      </c>
    </row>
    <row r="1377">
      <c r="T1377" s="278" t="n">
        <v>44631</v>
      </c>
      <c r="W1377" s="170" t="n">
        <v>15.7587</v>
      </c>
    </row>
    <row r="1378">
      <c r="T1378" s="278" t="n">
        <v>44630</v>
      </c>
      <c r="W1378" s="170" t="n">
        <v>15.9678</v>
      </c>
    </row>
    <row r="1379">
      <c r="T1379" s="278" t="n">
        <v>44629</v>
      </c>
      <c r="W1379" s="170" t="n">
        <v>15.3748</v>
      </c>
    </row>
    <row r="1380">
      <c r="T1380" s="278" t="n">
        <v>44628</v>
      </c>
      <c r="W1380" s="170" t="n">
        <v>15.1781</v>
      </c>
    </row>
    <row r="1381">
      <c r="T1381" s="278" t="n">
        <v>44627</v>
      </c>
      <c r="W1381" s="170" t="n">
        <v>14.8768</v>
      </c>
    </row>
    <row r="1382">
      <c r="T1382" s="278" t="n">
        <v>44624</v>
      </c>
      <c r="W1382" s="170" t="n">
        <v>15.6992</v>
      </c>
    </row>
    <row r="1383">
      <c r="T1383" s="278" t="n">
        <v>44623</v>
      </c>
      <c r="W1383" s="170" t="n">
        <v>15.9467</v>
      </c>
    </row>
    <row r="1384">
      <c r="T1384" s="278" t="n">
        <v>44622</v>
      </c>
      <c r="W1384" s="170" t="n">
        <v>15.8911</v>
      </c>
    </row>
    <row r="1385">
      <c r="T1385" s="278" t="n">
        <v>44621</v>
      </c>
      <c r="W1385" s="170" t="n"/>
    </row>
    <row r="1386">
      <c r="T1386" s="278" t="n">
        <v>44620</v>
      </c>
      <c r="W1386" s="170" t="n">
        <v>16.2509</v>
      </c>
    </row>
    <row r="1387">
      <c r="T1387" s="278" t="n">
        <v>44617</v>
      </c>
      <c r="W1387" s="170" t="n">
        <v>15.6032</v>
      </c>
    </row>
    <row r="1388">
      <c r="T1388" s="278" t="n">
        <v>44616</v>
      </c>
      <c r="W1388" s="170" t="n">
        <v>14.9191</v>
      </c>
    </row>
    <row r="1389">
      <c r="T1389" s="278" t="n">
        <v>44615</v>
      </c>
      <c r="W1389" s="170" t="n">
        <v>15.9573</v>
      </c>
    </row>
    <row r="1390">
      <c r="T1390" s="278" t="n">
        <v>44614</v>
      </c>
      <c r="W1390" s="170" t="n">
        <v>15.6877</v>
      </c>
    </row>
    <row r="1391">
      <c r="T1391" s="278" t="n">
        <v>44613</v>
      </c>
      <c r="W1391" s="170" t="n">
        <v>15.9842</v>
      </c>
    </row>
    <row r="1392">
      <c r="T1392" s="278" t="n">
        <v>44610</v>
      </c>
      <c r="W1392" s="170" t="n">
        <v>16.5359</v>
      </c>
    </row>
    <row r="1393">
      <c r="T1393" s="278" t="n">
        <v>44609</v>
      </c>
      <c r="W1393" s="170" t="n">
        <v>16.4313</v>
      </c>
    </row>
    <row r="1394">
      <c r="T1394" s="278" t="n">
        <v>44608</v>
      </c>
      <c r="W1394" s="170" t="n">
        <v>16.9639</v>
      </c>
    </row>
    <row r="1395">
      <c r="T1395" s="278" t="n">
        <v>44607</v>
      </c>
      <c r="W1395" s="170" t="n">
        <v>16.2461</v>
      </c>
    </row>
    <row r="1396">
      <c r="T1396" s="278" t="n">
        <v>44606</v>
      </c>
      <c r="W1396" s="170" t="n">
        <v>16.036</v>
      </c>
    </row>
    <row r="1397">
      <c r="T1397" s="278" t="n">
        <v>44603</v>
      </c>
      <c r="W1397" s="170" t="n">
        <v>17.2565</v>
      </c>
    </row>
    <row r="1398">
      <c r="T1398" s="278" t="n">
        <v>44602</v>
      </c>
      <c r="W1398" s="170" t="n">
        <v>17.5559</v>
      </c>
    </row>
    <row r="1399">
      <c r="T1399" s="278" t="n">
        <v>44601</v>
      </c>
      <c r="W1399" s="170" t="n">
        <v>17.5271</v>
      </c>
    </row>
    <row r="1400">
      <c r="T1400" s="278" t="n">
        <v>44600</v>
      </c>
      <c r="W1400" s="170" t="n">
        <v>17.5578</v>
      </c>
    </row>
    <row r="1401">
      <c r="T1401" s="278" t="n">
        <v>44599</v>
      </c>
      <c r="W1401" s="170" t="n">
        <v>17.7862</v>
      </c>
    </row>
    <row r="1402">
      <c r="T1402" s="278" t="n">
        <v>44596</v>
      </c>
      <c r="W1402" s="170" t="n">
        <v>17.7507</v>
      </c>
    </row>
    <row r="1403">
      <c r="T1403" s="278" t="n">
        <v>44595</v>
      </c>
      <c r="W1403" s="170" t="n">
        <v>17.933</v>
      </c>
    </row>
    <row r="1404">
      <c r="T1404" s="278" t="n">
        <v>44594</v>
      </c>
      <c r="W1404" s="170" t="n">
        <v>18.1182</v>
      </c>
    </row>
    <row r="1405">
      <c r="T1405" s="278" t="n">
        <v>44593</v>
      </c>
      <c r="W1405" s="170" t="n">
        <v>17.7862</v>
      </c>
    </row>
    <row r="1406">
      <c r="T1406" s="278" t="n">
        <v>44592</v>
      </c>
      <c r="W1406" s="170" t="n">
        <v>17.649</v>
      </c>
    </row>
    <row r="1407">
      <c r="T1407" s="278" t="n">
        <v>44589</v>
      </c>
      <c r="W1407" s="170" t="n">
        <v>17.483</v>
      </c>
    </row>
    <row r="1408">
      <c r="T1408" s="278" t="n">
        <v>44588</v>
      </c>
      <c r="W1408" s="170" t="n">
        <v>17.6365</v>
      </c>
    </row>
    <row r="1409">
      <c r="T1409" s="278" t="n">
        <v>44587</v>
      </c>
      <c r="W1409" s="170" t="n"/>
    </row>
    <row r="1410">
      <c r="T1410" s="278" t="n">
        <v>44586</v>
      </c>
      <c r="W1410" s="170" t="n">
        <v>17.6557</v>
      </c>
    </row>
    <row r="1411">
      <c r="T1411" s="278" t="n">
        <v>44585</v>
      </c>
      <c r="W1411" s="170" t="n">
        <v>17.8284</v>
      </c>
    </row>
    <row r="1412">
      <c r="T1412" s="278" t="n">
        <v>44582</v>
      </c>
      <c r="W1412" s="170" t="n">
        <v>18.2995</v>
      </c>
    </row>
    <row r="1413">
      <c r="T1413" s="278" t="n">
        <v>44581</v>
      </c>
      <c r="W1413" s="170" t="n">
        <v>18.8973</v>
      </c>
    </row>
    <row r="1414">
      <c r="T1414" s="278" t="n">
        <v>44580</v>
      </c>
      <c r="W1414" s="170" t="n">
        <v>18.7803</v>
      </c>
    </row>
    <row r="1415">
      <c r="T1415" s="278" t="n">
        <v>44579</v>
      </c>
      <c r="W1415" s="170" t="n">
        <v>19.024</v>
      </c>
    </row>
    <row r="1416">
      <c r="T1416" s="278" t="n">
        <v>44578</v>
      </c>
      <c r="W1416" s="170" t="n">
        <v>22.7969</v>
      </c>
    </row>
    <row r="1417">
      <c r="T1417" s="278" t="n">
        <v>44575</v>
      </c>
      <c r="W1417" s="170" t="n">
        <v>22.3786</v>
      </c>
    </row>
    <row r="1418">
      <c r="T1418" s="278" t="n">
        <v>44574</v>
      </c>
      <c r="W1418" s="170" t="n">
        <v>23.0886</v>
      </c>
    </row>
    <row r="1419">
      <c r="T1419" s="278" t="n">
        <v>44573</v>
      </c>
      <c r="W1419" s="170" t="n">
        <v>20.0737</v>
      </c>
    </row>
    <row r="1420">
      <c r="T1420" s="278" t="n">
        <v>44572</v>
      </c>
      <c r="W1420" s="170" t="n">
        <v>20.1428</v>
      </c>
    </row>
    <row r="1421">
      <c r="T1421" s="278" t="n">
        <v>44571</v>
      </c>
      <c r="W1421" s="170" t="n">
        <v>19.9605</v>
      </c>
    </row>
    <row r="1422">
      <c r="T1422" s="278" t="n">
        <v>44568</v>
      </c>
      <c r="W1422" s="170" t="n">
        <v>19.8559</v>
      </c>
    </row>
    <row r="1423">
      <c r="T1423" s="278" t="n">
        <v>44567</v>
      </c>
      <c r="W1423" s="170" t="n">
        <v>19.4836</v>
      </c>
    </row>
    <row r="1424">
      <c r="T1424" s="278" t="n">
        <v>44566</v>
      </c>
      <c r="W1424" s="170" t="n">
        <v>19.5278</v>
      </c>
    </row>
    <row r="1425">
      <c r="T1425" s="278" t="n">
        <v>44565</v>
      </c>
      <c r="W1425" s="170" t="n">
        <v>19.2015</v>
      </c>
    </row>
    <row r="1426">
      <c r="T1426" s="278" t="n">
        <v>44564</v>
      </c>
      <c r="W1426" s="170" t="n">
        <v>19.5527</v>
      </c>
    </row>
    <row r="1427">
      <c r="T1427" s="278" t="n">
        <v>44561</v>
      </c>
      <c r="W1427" s="170" t="n">
        <v>19.45</v>
      </c>
    </row>
    <row r="1428">
      <c r="T1428" s="278" t="n">
        <v>44560</v>
      </c>
      <c r="W1428" s="170" t="n">
        <v>19.3944</v>
      </c>
    </row>
    <row r="1429">
      <c r="T1429" s="278" t="n">
        <v>44559</v>
      </c>
      <c r="W1429" s="170" t="n">
        <v>19.6535</v>
      </c>
    </row>
    <row r="1430">
      <c r="T1430" s="278" t="n">
        <v>44558</v>
      </c>
      <c r="W1430" s="170" t="n">
        <v>19.4779</v>
      </c>
    </row>
    <row r="1431">
      <c r="T1431" s="278" t="n">
        <v>44557</v>
      </c>
      <c r="W1431" s="170" t="n">
        <v>19.3819</v>
      </c>
    </row>
    <row r="1432">
      <c r="T1432" s="278" t="n">
        <v>44554</v>
      </c>
      <c r="W1432" s="170" t="n">
        <v>19.4366</v>
      </c>
    </row>
    <row r="1433">
      <c r="T1433" s="278" t="n">
        <v>44553</v>
      </c>
      <c r="W1433" s="170" t="n">
        <v>19.5383</v>
      </c>
    </row>
    <row r="1434">
      <c r="T1434" s="278" t="n">
        <v>44552</v>
      </c>
      <c r="W1434" s="170" t="n">
        <v>19.6707</v>
      </c>
    </row>
    <row r="1435">
      <c r="T1435" s="278" t="n">
        <v>44551</v>
      </c>
      <c r="W1435" s="170" t="n">
        <v>19.4414</v>
      </c>
    </row>
    <row r="1436">
      <c r="T1436" s="278" t="n">
        <v>44550</v>
      </c>
      <c r="W1436" s="170" t="n">
        <v>19.3522</v>
      </c>
    </row>
    <row r="1437">
      <c r="T1437" s="278" t="n">
        <v>44547</v>
      </c>
      <c r="W1437" s="170" t="n">
        <v>19.8876</v>
      </c>
    </row>
    <row r="1438">
      <c r="T1438" s="278" t="n">
        <v>44546</v>
      </c>
      <c r="W1438" s="170" t="n">
        <v>20.709</v>
      </c>
    </row>
    <row r="1439">
      <c r="T1439" s="278" t="n">
        <v>44545</v>
      </c>
      <c r="W1439" s="170" t="n">
        <v>20.7972</v>
      </c>
    </row>
    <row r="1440">
      <c r="T1440" s="278" t="n">
        <v>44544</v>
      </c>
      <c r="W1440" s="170" t="n">
        <v>19.8722</v>
      </c>
    </row>
    <row r="1441">
      <c r="T1441" s="278" t="n">
        <v>44543</v>
      </c>
      <c r="W1441" s="170" t="n">
        <v>20.1246</v>
      </c>
    </row>
    <row r="1442">
      <c r="T1442" s="278" t="n">
        <v>44540</v>
      </c>
      <c r="W1442" s="170" t="n">
        <v>19.5345</v>
      </c>
    </row>
    <row r="1443">
      <c r="T1443" s="278" t="n">
        <v>44539</v>
      </c>
      <c r="W1443" s="170" t="n">
        <v>19.5067</v>
      </c>
    </row>
    <row r="1444">
      <c r="T1444" s="278" t="n">
        <v>44538</v>
      </c>
      <c r="W1444" s="170" t="n">
        <v>19.1986</v>
      </c>
    </row>
    <row r="1445">
      <c r="T1445" s="278" t="n">
        <v>44537</v>
      </c>
      <c r="W1445" s="170" t="n">
        <v>18.9683</v>
      </c>
    </row>
    <row r="1446">
      <c r="T1446" s="278" t="n">
        <v>44536</v>
      </c>
      <c r="W1446" s="170" t="n">
        <v>18.8503</v>
      </c>
    </row>
    <row r="1447">
      <c r="T1447" s="278" t="n">
        <v>44533</v>
      </c>
      <c r="W1447" s="170" t="n">
        <v>19.1938</v>
      </c>
    </row>
    <row r="1448">
      <c r="T1448" s="278" t="n">
        <v>44532</v>
      </c>
      <c r="W1448" s="170" t="n">
        <v>19.3982</v>
      </c>
    </row>
    <row r="1449">
      <c r="T1449" s="278" t="n">
        <v>44531</v>
      </c>
      <c r="W1449" s="170" t="n">
        <v>18.9482</v>
      </c>
    </row>
    <row r="1450">
      <c r="T1450" s="278" t="n">
        <v>44530</v>
      </c>
      <c r="W1450" s="170" t="n">
        <v>18.8714</v>
      </c>
    </row>
    <row r="1451">
      <c r="T1451" s="278" t="n">
        <v>44529</v>
      </c>
      <c r="W1451" s="170" t="n">
        <v>18.0932</v>
      </c>
    </row>
    <row r="1452">
      <c r="T1452" s="278" t="n">
        <v>44526</v>
      </c>
      <c r="W1452" s="170" t="n">
        <v>18.6124</v>
      </c>
    </row>
    <row r="1453">
      <c r="T1453" s="278" t="n">
        <v>44525</v>
      </c>
      <c r="W1453" s="170" t="n">
        <v>19.6823</v>
      </c>
    </row>
    <row r="1454">
      <c r="T1454" s="278" t="n">
        <v>44524</v>
      </c>
      <c r="W1454" s="170" t="n">
        <v>19.4788</v>
      </c>
    </row>
    <row r="1455">
      <c r="T1455" s="278" t="n">
        <v>44523</v>
      </c>
      <c r="W1455" s="170" t="n">
        <v>19.4491</v>
      </c>
    </row>
    <row r="1456">
      <c r="T1456" s="278" t="n">
        <v>44522</v>
      </c>
      <c r="W1456" s="170" t="n">
        <v>19.0086</v>
      </c>
    </row>
    <row r="1457">
      <c r="T1457" s="278" t="n">
        <v>44519</v>
      </c>
      <c r="W1457" s="170" t="n"/>
    </row>
    <row r="1458">
      <c r="T1458" s="278" t="n">
        <v>44518</v>
      </c>
      <c r="W1458" s="170" t="n">
        <v>19.451</v>
      </c>
    </row>
    <row r="1459">
      <c r="T1459" s="278" t="n">
        <v>44517</v>
      </c>
      <c r="W1459" s="170" t="n">
        <v>20.4461</v>
      </c>
    </row>
    <row r="1460">
      <c r="T1460" s="278" t="n">
        <v>44516</v>
      </c>
      <c r="W1460" s="170" t="n">
        <v>20.7819</v>
      </c>
    </row>
    <row r="1461">
      <c r="T1461" s="278" t="n">
        <v>44515</v>
      </c>
      <c r="W1461" s="170" t="n">
        <v>20.2225</v>
      </c>
    </row>
    <row r="1462">
      <c r="T1462" s="278" t="n">
        <v>44512</v>
      </c>
      <c r="W1462" s="170" t="n">
        <v>19.9538</v>
      </c>
    </row>
    <row r="1463">
      <c r="T1463" s="278" t="n">
        <v>44511</v>
      </c>
      <c r="W1463" s="170" t="n">
        <v>20.1236</v>
      </c>
    </row>
    <row r="1464">
      <c r="T1464" s="278" t="n">
        <v>44510</v>
      </c>
      <c r="W1464" s="170" t="n">
        <v>20.0354</v>
      </c>
    </row>
    <row r="1465">
      <c r="T1465" s="278" t="n">
        <v>44509</v>
      </c>
      <c r="W1465" s="170" t="n">
        <v>20.4547</v>
      </c>
    </row>
    <row r="1466">
      <c r="T1466" s="278" t="n">
        <v>44508</v>
      </c>
      <c r="W1466" s="170" t="n">
        <v>21.1628</v>
      </c>
    </row>
    <row r="1467">
      <c r="T1467" s="278" t="n">
        <v>44505</v>
      </c>
      <c r="W1467" s="170" t="n"/>
    </row>
    <row r="1468">
      <c r="T1468" s="278" t="n">
        <v>44504</v>
      </c>
      <c r="W1468" s="170" t="n">
        <v>20.2042</v>
      </c>
    </row>
    <row r="1469">
      <c r="T1469" s="278" t="n">
        <v>44503</v>
      </c>
      <c r="W1469" s="170" t="n">
        <v>20.2916</v>
      </c>
    </row>
    <row r="1470">
      <c r="T1470" s="278" t="n">
        <v>44502</v>
      </c>
      <c r="W1470" s="170" t="n">
        <v>19.9682</v>
      </c>
    </row>
    <row r="1471">
      <c r="T1471" s="278" t="n">
        <v>44501</v>
      </c>
      <c r="W1471" s="170" t="n">
        <v>20.4221</v>
      </c>
    </row>
    <row r="1472">
      <c r="T1472" s="278" t="n">
        <v>44498</v>
      </c>
      <c r="W1472" s="170" t="n">
        <v>19.4155</v>
      </c>
    </row>
    <row r="1473">
      <c r="T1473" s="278" t="n">
        <v>44497</v>
      </c>
      <c r="W1473" s="170" t="n">
        <v>19.3368</v>
      </c>
    </row>
    <row r="1474">
      <c r="T1474" s="278" t="n">
        <v>44496</v>
      </c>
      <c r="W1474" s="170" t="n">
        <v>19.9077</v>
      </c>
    </row>
    <row r="1475">
      <c r="T1475" s="278" t="n">
        <v>44495</v>
      </c>
      <c r="W1475" s="170" t="n">
        <v>18.3159</v>
      </c>
    </row>
    <row r="1476">
      <c r="T1476" s="278" t="n">
        <v>44494</v>
      </c>
      <c r="W1476" s="170" t="n">
        <v>17.8466</v>
      </c>
    </row>
    <row r="1477">
      <c r="T1477" s="278" t="n">
        <v>44491</v>
      </c>
      <c r="W1477" s="170" t="n">
        <v>17.8956</v>
      </c>
    </row>
    <row r="1478">
      <c r="T1478" s="278" t="n">
        <v>44490</v>
      </c>
      <c r="W1478" s="170" t="n">
        <v>17.9148</v>
      </c>
    </row>
    <row r="1479">
      <c r="T1479" s="278" t="n">
        <v>44489</v>
      </c>
      <c r="W1479" s="170" t="n">
        <v>18.1671</v>
      </c>
    </row>
    <row r="1480">
      <c r="T1480" s="278" t="n">
        <v>44488</v>
      </c>
      <c r="W1480" s="170" t="n">
        <v>18.6517</v>
      </c>
    </row>
    <row r="1481">
      <c r="T1481" s="278" t="n">
        <v>44487</v>
      </c>
      <c r="W1481" s="170" t="n">
        <v>18.4214</v>
      </c>
    </row>
    <row r="1482">
      <c r="T1482" s="278" t="n">
        <v>44484</v>
      </c>
      <c r="W1482" s="170" t="n"/>
    </row>
    <row r="1483">
      <c r="T1483" s="278" t="n">
        <v>44483</v>
      </c>
      <c r="W1483" s="170" t="n">
        <v>18.739</v>
      </c>
    </row>
    <row r="1484">
      <c r="T1484" s="278" t="n">
        <v>44482</v>
      </c>
      <c r="W1484" s="170" t="n">
        <v>18.5116</v>
      </c>
    </row>
    <row r="1485">
      <c r="T1485" s="278" t="n">
        <v>44481</v>
      </c>
      <c r="W1485" s="170" t="n">
        <v>18.4502</v>
      </c>
    </row>
    <row r="1486">
      <c r="T1486" s="278" t="n">
        <v>44480</v>
      </c>
      <c r="W1486" s="170" t="n">
        <v>18.5701</v>
      </c>
    </row>
    <row r="1487">
      <c r="T1487" s="278" t="n">
        <v>44477</v>
      </c>
      <c r="W1487" s="170" t="n">
        <v>18.7899</v>
      </c>
    </row>
    <row r="1488">
      <c r="T1488" s="278" t="n">
        <v>44476</v>
      </c>
      <c r="W1488" s="170" t="n">
        <v>18.8215</v>
      </c>
    </row>
    <row r="1489">
      <c r="T1489" s="278" t="n">
        <v>44475</v>
      </c>
      <c r="W1489" s="170" t="n">
        <v>18.4819</v>
      </c>
    </row>
    <row r="1490">
      <c r="T1490" s="278" t="n">
        <v>44474</v>
      </c>
      <c r="W1490" s="170" t="n">
        <v>18.7381</v>
      </c>
    </row>
    <row r="1491">
      <c r="T1491" s="278" t="n">
        <v>44473</v>
      </c>
      <c r="W1491" s="170" t="n">
        <v>18.6104</v>
      </c>
    </row>
    <row r="1492">
      <c r="T1492" s="278" t="n">
        <v>44470</v>
      </c>
      <c r="W1492" s="170" t="n">
        <v>18.1547</v>
      </c>
    </row>
    <row r="1493">
      <c r="T1493" s="278" t="n">
        <v>44469</v>
      </c>
      <c r="W1493" s="170" t="n">
        <v>18.3974</v>
      </c>
    </row>
    <row r="1494">
      <c r="T1494" s="278" t="n">
        <v>44468</v>
      </c>
      <c r="W1494" s="170" t="n">
        <v>18.195</v>
      </c>
    </row>
    <row r="1495">
      <c r="T1495" s="278" t="n">
        <v>44467</v>
      </c>
      <c r="W1495" s="170" t="n">
        <v>18.2976</v>
      </c>
    </row>
    <row r="1496">
      <c r="T1496" s="278" t="n">
        <v>44466</v>
      </c>
      <c r="W1496" s="170" t="n">
        <v>18.4262</v>
      </c>
    </row>
    <row r="1497">
      <c r="T1497" s="278" t="n">
        <v>44463</v>
      </c>
      <c r="W1497" s="170" t="n">
        <v>18.5202</v>
      </c>
    </row>
    <row r="1498">
      <c r="T1498" s="278" t="n">
        <v>44462</v>
      </c>
      <c r="W1498" s="170" t="n">
        <v>18.8964</v>
      </c>
    </row>
    <row r="1499">
      <c r="T1499" s="278" t="n">
        <v>44461</v>
      </c>
      <c r="W1499" s="170" t="n">
        <v>18.8743</v>
      </c>
    </row>
    <row r="1500">
      <c r="T1500" s="278" t="n">
        <v>44460</v>
      </c>
      <c r="W1500" s="170" t="n">
        <v>18.62</v>
      </c>
    </row>
    <row r="1501">
      <c r="T1501" s="278" t="n">
        <v>44459</v>
      </c>
      <c r="W1501" s="170" t="n">
        <v>18.5049</v>
      </c>
    </row>
    <row r="1502">
      <c r="T1502" s="278" t="n">
        <v>44456</v>
      </c>
      <c r="W1502" s="170" t="n">
        <v>20.1764</v>
      </c>
    </row>
    <row r="1503">
      <c r="T1503" s="278" t="n">
        <v>44455</v>
      </c>
      <c r="W1503" s="170" t="n">
        <v>20.6178</v>
      </c>
    </row>
    <row r="1504">
      <c r="T1504" s="278" t="n">
        <v>44454</v>
      </c>
      <c r="W1504" s="170" t="n">
        <v>21.0842</v>
      </c>
    </row>
    <row r="1505">
      <c r="T1505" s="278" t="n">
        <v>44453</v>
      </c>
      <c r="W1505" s="170" t="n">
        <v>20.9642</v>
      </c>
    </row>
    <row r="1506">
      <c r="T1506" s="278" t="n">
        <v>44452</v>
      </c>
      <c r="W1506" s="170" t="n">
        <v>20.5727</v>
      </c>
    </row>
    <row r="1507">
      <c r="T1507" s="278" t="n">
        <v>44449</v>
      </c>
      <c r="W1507" s="170" t="n"/>
    </row>
    <row r="1508">
      <c r="T1508" s="278" t="n">
        <v>44448</v>
      </c>
      <c r="W1508" s="170" t="n">
        <v>20.1812</v>
      </c>
    </row>
    <row r="1509">
      <c r="T1509" s="278" t="n">
        <v>44447</v>
      </c>
      <c r="W1509" s="170" t="n">
        <v>19.3445</v>
      </c>
    </row>
    <row r="1510">
      <c r="T1510" s="278" t="n">
        <v>44446</v>
      </c>
      <c r="W1510" s="170" t="n">
        <v>19.3099</v>
      </c>
    </row>
    <row r="1511">
      <c r="T1511" s="278" t="n">
        <v>44445</v>
      </c>
      <c r="W1511" s="170" t="n">
        <v>19.2063</v>
      </c>
    </row>
    <row r="1512">
      <c r="T1512" s="278" t="n">
        <v>44442</v>
      </c>
      <c r="W1512" s="170" t="n">
        <v>19.2553</v>
      </c>
    </row>
    <row r="1513">
      <c r="T1513" s="278" t="n">
        <v>44441</v>
      </c>
      <c r="W1513" s="170" t="n">
        <v>19.1775</v>
      </c>
    </row>
    <row r="1514">
      <c r="T1514" s="278" t="n">
        <v>44440</v>
      </c>
      <c r="W1514" s="170" t="n">
        <v>19.0029</v>
      </c>
    </row>
    <row r="1515">
      <c r="T1515" s="278" t="n">
        <v>44439</v>
      </c>
      <c r="W1515" s="170" t="n">
        <v>19.4107</v>
      </c>
    </row>
    <row r="1516">
      <c r="T1516" s="278" t="n">
        <v>44438</v>
      </c>
      <c r="W1516" s="170" t="n">
        <v>18.6757</v>
      </c>
    </row>
    <row r="1517">
      <c r="T1517" s="278" t="n">
        <v>44435</v>
      </c>
      <c r="W1517" s="170" t="n">
        <v>18.1978</v>
      </c>
    </row>
    <row r="1518">
      <c r="T1518" s="278" t="n">
        <v>44434</v>
      </c>
      <c r="W1518" s="170" t="n">
        <v>18.2544</v>
      </c>
    </row>
    <row r="1519">
      <c r="T1519" s="278" t="n">
        <v>44433</v>
      </c>
      <c r="W1519" s="170" t="n">
        <v>18.4886</v>
      </c>
    </row>
    <row r="1520">
      <c r="T1520" s="278" t="n">
        <v>44432</v>
      </c>
      <c r="W1520" s="170" t="n">
        <v>18.0932</v>
      </c>
    </row>
    <row r="1521">
      <c r="T1521" s="278" t="n">
        <v>44431</v>
      </c>
      <c r="W1521" s="170" t="n">
        <v>17.933</v>
      </c>
    </row>
    <row r="1522">
      <c r="T1522" s="278" t="n">
        <v>44428</v>
      </c>
      <c r="W1522" s="170" t="n">
        <v>18.5068</v>
      </c>
    </row>
    <row r="1523">
      <c r="T1523" s="278" t="n">
        <v>44427</v>
      </c>
      <c r="W1523" s="170" t="n"/>
    </row>
    <row r="1524">
      <c r="T1524" s="278" t="n">
        <v>44426</v>
      </c>
      <c r="W1524" s="170" t="n">
        <v>19.2936</v>
      </c>
    </row>
    <row r="1525">
      <c r="T1525" s="278" t="n">
        <v>44425</v>
      </c>
      <c r="W1525" s="170" t="n">
        <v>19.4481</v>
      </c>
    </row>
    <row r="1526">
      <c r="T1526" s="278" t="n">
        <v>44424</v>
      </c>
      <c r="W1526" s="170" t="n">
        <v>19.2783</v>
      </c>
    </row>
    <row r="1527">
      <c r="T1527" s="278" t="n">
        <v>44421</v>
      </c>
      <c r="W1527" s="170" t="n">
        <v>19.1967</v>
      </c>
    </row>
    <row r="1528">
      <c r="T1528" s="278" t="n">
        <v>44420</v>
      </c>
      <c r="W1528" s="170" t="n">
        <v>19.7245</v>
      </c>
    </row>
    <row r="1529">
      <c r="T1529" s="278" t="n">
        <v>44419</v>
      </c>
      <c r="W1529" s="170" t="n">
        <v>18.4703</v>
      </c>
    </row>
    <row r="1530">
      <c r="T1530" s="278" t="n">
        <v>44418</v>
      </c>
      <c r="W1530" s="170" t="n">
        <v>18.3984</v>
      </c>
    </row>
    <row r="1531">
      <c r="T1531" s="278" t="n">
        <v>44417</v>
      </c>
      <c r="W1531" s="170" t="n">
        <v>19.0221</v>
      </c>
    </row>
    <row r="1532">
      <c r="T1532" s="278" t="n">
        <v>44414</v>
      </c>
      <c r="W1532" s="170" t="n">
        <v>19.3234</v>
      </c>
    </row>
    <row r="1533">
      <c r="T1533" s="278" t="n">
        <v>44413</v>
      </c>
      <c r="W1533" s="170" t="n">
        <v>19.3896</v>
      </c>
    </row>
    <row r="1534">
      <c r="T1534" s="278" t="n">
        <v>44412</v>
      </c>
      <c r="W1534" s="170" t="n">
        <v>19.2025</v>
      </c>
    </row>
    <row r="1535">
      <c r="T1535" s="278" t="n">
        <v>44411</v>
      </c>
      <c r="W1535" s="170" t="n">
        <v>20.0162</v>
      </c>
    </row>
    <row r="1536">
      <c r="T1536" s="278" t="n">
        <v>44410</v>
      </c>
      <c r="W1536" s="170" t="n">
        <v>19.8828</v>
      </c>
    </row>
    <row r="1537">
      <c r="T1537" s="278" t="n">
        <v>44407</v>
      </c>
      <c r="W1537" s="170" t="n">
        <v>19.7235</v>
      </c>
    </row>
    <row r="1538">
      <c r="T1538" s="278" t="n">
        <v>44406</v>
      </c>
      <c r="W1538" s="170" t="n">
        <v>19.9509</v>
      </c>
    </row>
    <row r="1539">
      <c r="T1539" s="278" t="n">
        <v>44405</v>
      </c>
      <c r="W1539" s="170" t="n">
        <v>20.0162</v>
      </c>
    </row>
    <row r="1540">
      <c r="T1540" s="278" t="n">
        <v>44404</v>
      </c>
      <c r="W1540" s="170" t="n">
        <v>17.8831</v>
      </c>
    </row>
    <row r="1541">
      <c r="T1541" s="278" t="n">
        <v>44403</v>
      </c>
      <c r="W1541" s="170" t="n">
        <v>18.4502</v>
      </c>
    </row>
    <row r="1542">
      <c r="T1542" s="278" t="n">
        <v>44400</v>
      </c>
      <c r="W1542" s="170" t="n">
        <v>18.5989</v>
      </c>
    </row>
    <row r="1543">
      <c r="T1543" s="278" t="n">
        <v>44399</v>
      </c>
      <c r="W1543" s="170" t="n">
        <v>19.2303</v>
      </c>
    </row>
    <row r="1544">
      <c r="T1544" s="278" t="n">
        <v>44398</v>
      </c>
      <c r="W1544" s="170" t="n"/>
    </row>
    <row r="1545">
      <c r="T1545" s="278" t="n">
        <v>44397</v>
      </c>
      <c r="W1545" s="170" t="n">
        <v>18.9895</v>
      </c>
    </row>
    <row r="1546">
      <c r="T1546" s="278" t="n">
        <v>44396</v>
      </c>
      <c r="W1546" s="170" t="n">
        <v>19.1132</v>
      </c>
    </row>
    <row r="1547">
      <c r="T1547" s="278" t="n">
        <v>44393</v>
      </c>
      <c r="W1547" s="170" t="n">
        <v>18.6335</v>
      </c>
    </row>
    <row r="1548">
      <c r="T1548" s="278" t="n">
        <v>44392</v>
      </c>
      <c r="W1548" s="170" t="n">
        <v>17.0675</v>
      </c>
    </row>
    <row r="1549">
      <c r="T1549" s="278" t="n">
        <v>44391</v>
      </c>
      <c r="W1549" s="170" t="n">
        <v>16.9485</v>
      </c>
    </row>
    <row r="1550">
      <c r="T1550" s="278" t="n">
        <v>44390</v>
      </c>
      <c r="W1550" s="170" t="n">
        <v>16.8257</v>
      </c>
    </row>
    <row r="1551">
      <c r="T1551" s="278" t="n">
        <v>44389</v>
      </c>
      <c r="W1551" s="170" t="n">
        <v>16.9658</v>
      </c>
    </row>
    <row r="1552">
      <c r="T1552" s="278" t="n">
        <v>44386</v>
      </c>
      <c r="W1552" s="170" t="n">
        <v>16.6453</v>
      </c>
    </row>
    <row r="1553">
      <c r="T1553" s="278" t="n">
        <v>44385</v>
      </c>
      <c r="W1553" s="170" t="n">
        <v>16.7077</v>
      </c>
    </row>
    <row r="1554">
      <c r="T1554" s="278" t="n">
        <v>44384</v>
      </c>
      <c r="W1554" s="170" t="n">
        <v>16.9955</v>
      </c>
    </row>
    <row r="1555">
      <c r="T1555" s="278" t="n">
        <v>44383</v>
      </c>
      <c r="W1555" s="170" t="n">
        <v>16.9207</v>
      </c>
    </row>
    <row r="1556">
      <c r="T1556" s="278" t="n">
        <v>44382</v>
      </c>
      <c r="W1556" s="170" t="n">
        <v>17.4772</v>
      </c>
    </row>
    <row r="1557">
      <c r="T1557" s="278" t="n">
        <v>44379</v>
      </c>
      <c r="W1557" s="170" t="n">
        <v>16.6683</v>
      </c>
    </row>
    <row r="1558">
      <c r="T1558" s="278" t="n">
        <v>44378</v>
      </c>
      <c r="W1558" s="170" t="n">
        <v>16.628</v>
      </c>
    </row>
    <row r="1559">
      <c r="T1559" s="278" t="n">
        <v>44377</v>
      </c>
      <c r="W1559" s="170" t="n">
        <v>16.6002</v>
      </c>
    </row>
    <row r="1560">
      <c r="T1560" s="278" t="n">
        <v>44376</v>
      </c>
      <c r="W1560" s="170" t="n">
        <v>16.9629</v>
      </c>
    </row>
    <row r="1561">
      <c r="T1561" s="278" t="n">
        <v>44375</v>
      </c>
      <c r="W1561" s="170" t="n">
        <v>16.8516</v>
      </c>
    </row>
    <row r="1562">
      <c r="T1562" s="278" t="n">
        <v>44372</v>
      </c>
      <c r="W1562" s="170" t="n">
        <v>16.7048</v>
      </c>
    </row>
    <row r="1563">
      <c r="T1563" s="278" t="n">
        <v>44371</v>
      </c>
      <c r="W1563" s="170" t="n">
        <v>16.6578</v>
      </c>
    </row>
    <row r="1564">
      <c r="T1564" s="278" t="n">
        <v>44370</v>
      </c>
      <c r="W1564" s="170" t="n">
        <v>17.0761</v>
      </c>
    </row>
    <row r="1565">
      <c r="T1565" s="278" t="n">
        <v>44369</v>
      </c>
      <c r="W1565" s="170" t="n">
        <v>16.5599</v>
      </c>
    </row>
    <row r="1566">
      <c r="T1566" s="278" t="n">
        <v>44368</v>
      </c>
      <c r="W1566" s="170" t="n">
        <v>16.7268</v>
      </c>
    </row>
    <row r="1567">
      <c r="T1567" s="278" t="n">
        <v>44365</v>
      </c>
      <c r="W1567" s="170" t="n">
        <v>16.3133</v>
      </c>
    </row>
    <row r="1568">
      <c r="T1568" s="278" t="n">
        <v>44364</v>
      </c>
      <c r="W1568" s="170" t="n">
        <v>16.7316</v>
      </c>
    </row>
    <row r="1569">
      <c r="T1569" s="278" t="n">
        <v>44363</v>
      </c>
      <c r="W1569" s="170" t="n">
        <v>16.7288</v>
      </c>
    </row>
    <row r="1570">
      <c r="T1570" s="278" t="n">
        <v>44362</v>
      </c>
      <c r="W1570" s="170" t="n">
        <v>17.0588</v>
      </c>
    </row>
    <row r="1571">
      <c r="T1571" s="278" t="n">
        <v>44361</v>
      </c>
      <c r="W1571" s="170" t="n">
        <v>16.912</v>
      </c>
    </row>
    <row r="1572">
      <c r="T1572" s="278" t="n">
        <v>44358</v>
      </c>
      <c r="W1572" s="170" t="n">
        <v>17.055</v>
      </c>
    </row>
    <row r="1573">
      <c r="T1573" s="278" t="n">
        <v>44357</v>
      </c>
      <c r="W1573" s="170" t="n">
        <v>17.2853</v>
      </c>
    </row>
    <row r="1574">
      <c r="T1574" s="278" t="n">
        <v>44356</v>
      </c>
      <c r="W1574" s="170" t="n">
        <v>16.9427</v>
      </c>
    </row>
    <row r="1575">
      <c r="T1575" s="278" t="n">
        <v>44355</v>
      </c>
      <c r="W1575" s="170" t="n">
        <v>17.1855</v>
      </c>
    </row>
    <row r="1576">
      <c r="T1576" s="279" t="n">
        <v>44354</v>
      </c>
      <c r="U1576" s="144" t="n"/>
      <c r="V1576" s="144" t="n"/>
      <c r="W1576" s="126" t="n">
        <v>17.2412</v>
      </c>
    </row>
  </sheetData>
  <mergeCells count="12">
    <mergeCell ref="H155:H156"/>
    <mergeCell ref="B155:B156"/>
    <mergeCell ref="Q155:Q156"/>
    <mergeCell ref="AF155:AF156"/>
    <mergeCell ref="K155:K156"/>
    <mergeCell ref="AC155:AC156"/>
    <mergeCell ref="N155:N156"/>
    <mergeCell ref="Z155:Z156"/>
    <mergeCell ref="AI155:AI156"/>
    <mergeCell ref="E155:E156"/>
    <mergeCell ref="T155:T156"/>
    <mergeCell ref="W155:W156"/>
  </mergeCells>
  <hyperlinks>
    <hyperlink xmlns:r="http://schemas.openxmlformats.org/officeDocument/2006/relationships" ref="Q243" r:id="rId1"/>
  </hyperlinks>
  <pageMargins left="0.7" right="0.7" top="0.75" bottom="0.75" header="0.3" footer="0.3"/>
  <pageSetup orientation="portrait"/>
  <drawing xmlns:r="http://schemas.openxmlformats.org/officeDocument/2006/relationships" r:id="rId2"/>
</worksheet>
</file>

<file path=xl/worksheets/sheet6.xml><?xml version="1.0" encoding="utf-8"?>
<worksheet xmlns="http://schemas.openxmlformats.org/spreadsheetml/2006/main">
  <sheetPr>
    <tabColor rgb="FF8E1C2F"/>
    <outlinePr summaryBelow="1" summaryRight="1"/>
    <pageSetUpPr/>
  </sheetPr>
  <dimension ref="B1:AJ132"/>
  <sheetViews>
    <sheetView zoomScale="80" zoomScaleNormal="80" workbookViewId="0">
      <pane xSplit="2" ySplit="5" topLeftCell="E97" activePane="bottomRight" state="frozen"/>
      <selection pane="topRight" activeCell="C1" sqref="C1"/>
      <selection pane="bottomLeft" activeCell="A6" sqref="A6"/>
      <selection pane="bottomRight" activeCell="W113" sqref="W113"/>
    </sheetView>
  </sheetViews>
  <sheetFormatPr baseColWidth="8" defaultColWidth="10.5546875" defaultRowHeight="13.8"/>
  <cols>
    <col width="2.6640625" customWidth="1" style="12" min="1" max="1"/>
    <col width="55.6640625" customWidth="1" style="12" min="2" max="2"/>
    <col hidden="1" outlineLevel="1" width="10.6640625" customWidth="1" style="12" min="3" max="4"/>
    <col collapsed="1" width="10.6640625" customWidth="1" style="12" min="5" max="5"/>
    <col hidden="1" outlineLevel="1" width="10.6640625" customWidth="1" style="12" min="6" max="7"/>
    <col collapsed="1" width="10.6640625" customWidth="1" style="12" min="8" max="8"/>
    <col hidden="1" outlineLevel="1" width="10.6640625" customWidth="1" style="12" min="9" max="10"/>
    <col collapsed="1" width="10.6640625" customWidth="1" style="12" min="11" max="11"/>
    <col hidden="1" outlineLevel="1" width="10.6640625" customWidth="1" style="12" min="12" max="13"/>
    <col collapsed="1" width="10.6640625" customWidth="1" style="12" min="14" max="14"/>
    <col hidden="1" outlineLevel="1" width="10.6640625" customWidth="1" style="12" min="15" max="16"/>
    <col collapsed="1" width="10.6640625" customWidth="1" style="12" min="17" max="17"/>
    <col hidden="1" outlineLevel="1" width="10.6640625" customWidth="1" style="12" min="18" max="19"/>
    <col collapsed="1" width="10.6640625" customWidth="1" style="12" min="20" max="20"/>
    <col hidden="1" outlineLevel="1" width="10.6640625" customWidth="1" style="12" min="21" max="22"/>
    <col collapsed="1" width="10.6640625" customWidth="1" style="12" min="23" max="23"/>
    <col hidden="1" outlineLevel="1" width="10.6640625" customWidth="1" style="12" min="24" max="25"/>
    <col collapsed="1" width="10.6640625" customWidth="1" style="12" min="26" max="26"/>
    <col hidden="1" outlineLevel="1" width="10.6640625" customWidth="1" style="12" min="27" max="28"/>
    <col collapsed="1" width="10.6640625" customWidth="1" style="12" min="29" max="29"/>
    <col hidden="1" outlineLevel="1" width="10.6640625" customWidth="1" style="12" min="30" max="31"/>
    <col collapsed="1" width="10.6640625" customWidth="1" style="12" min="32" max="32"/>
    <col hidden="1" outlineLevel="1" width="10.6640625" customWidth="1" style="12" min="33" max="34"/>
    <col collapsed="1" width="10.6640625" customWidth="1" style="12" min="35" max="35"/>
    <col width="10.6640625" customWidth="1" style="12" min="36" max="51"/>
    <col width="10.5546875" customWidth="1" style="12" min="52" max="16384"/>
  </cols>
  <sheetData>
    <row r="1" ht="12.9" customHeight="1" s="343">
      <c r="B1" s="436" t="inlineStr">
        <is>
          <t>Anup Engineering Limited</t>
        </is>
      </c>
      <c r="C1" s="436" t="n"/>
      <c r="D1" s="436" t="n"/>
      <c r="E1" s="436" t="n"/>
      <c r="F1" s="436" t="n"/>
      <c r="G1" s="436" t="n"/>
      <c r="H1" s="436" t="n"/>
      <c r="I1" s="436" t="n"/>
      <c r="J1" s="436" t="n"/>
      <c r="K1" s="436" t="n"/>
      <c r="L1" s="436" t="n"/>
      <c r="M1" s="436" t="n"/>
      <c r="N1" s="436" t="n"/>
      <c r="O1" s="436" t="n"/>
      <c r="P1" s="436" t="n"/>
      <c r="Q1" s="436" t="n"/>
      <c r="R1" s="436" t="n"/>
      <c r="S1" s="436" t="n"/>
    </row>
    <row r="2" ht="12.9" customHeight="1" s="343">
      <c r="B2" s="12" t="inlineStr">
        <is>
          <t>Fiscal year ending 31st Mar, 2026</t>
        </is>
      </c>
      <c r="C2" s="383" t="inlineStr">
        <is>
          <t>H1</t>
        </is>
      </c>
      <c r="D2" s="383" t="inlineStr">
        <is>
          <t>H2</t>
        </is>
      </c>
      <c r="E2" s="383" t="inlineStr">
        <is>
          <t>FY</t>
        </is>
      </c>
      <c r="F2" s="383" t="inlineStr">
        <is>
          <t>H1</t>
        </is>
      </c>
      <c r="G2" s="383" t="inlineStr">
        <is>
          <t>H2</t>
        </is>
      </c>
      <c r="H2" s="383" t="inlineStr">
        <is>
          <t>FY</t>
        </is>
      </c>
      <c r="I2" s="383" t="inlineStr">
        <is>
          <t>H1</t>
        </is>
      </c>
      <c r="J2" s="383" t="inlineStr">
        <is>
          <t>H2</t>
        </is>
      </c>
      <c r="K2" s="383" t="inlineStr">
        <is>
          <t>FY</t>
        </is>
      </c>
      <c r="L2" s="383" t="inlineStr">
        <is>
          <t>H1</t>
        </is>
      </c>
      <c r="M2" s="383" t="inlineStr">
        <is>
          <t>H2</t>
        </is>
      </c>
      <c r="N2" s="383" t="inlineStr">
        <is>
          <t>FY</t>
        </is>
      </c>
      <c r="O2" s="383" t="inlineStr">
        <is>
          <t>H1</t>
        </is>
      </c>
      <c r="P2" s="383" t="inlineStr">
        <is>
          <t>H2</t>
        </is>
      </c>
      <c r="Q2" s="383" t="inlineStr">
        <is>
          <t>FY</t>
        </is>
      </c>
      <c r="R2" s="383" t="inlineStr">
        <is>
          <t>H1</t>
        </is>
      </c>
      <c r="S2" s="383" t="inlineStr">
        <is>
          <t>H2</t>
        </is>
      </c>
      <c r="T2" s="383" t="inlineStr">
        <is>
          <t>FY</t>
        </is>
      </c>
      <c r="U2" s="384" t="inlineStr">
        <is>
          <t>H1</t>
        </is>
      </c>
      <c r="V2" s="384" t="inlineStr">
        <is>
          <t>H2</t>
        </is>
      </c>
      <c r="W2" s="384" t="inlineStr">
        <is>
          <t>FY</t>
        </is>
      </c>
      <c r="X2" s="384" t="inlineStr">
        <is>
          <t>H1</t>
        </is>
      </c>
      <c r="Y2" s="384" t="inlineStr">
        <is>
          <t>H2</t>
        </is>
      </c>
      <c r="Z2" s="384" t="inlineStr">
        <is>
          <t>FY</t>
        </is>
      </c>
      <c r="AA2" s="384" t="inlineStr">
        <is>
          <t>H1</t>
        </is>
      </c>
      <c r="AB2" s="384" t="inlineStr">
        <is>
          <t>H2</t>
        </is>
      </c>
      <c r="AC2" s="384" t="inlineStr">
        <is>
          <t>FY</t>
        </is>
      </c>
      <c r="AD2" s="384" t="inlineStr">
        <is>
          <t>H1</t>
        </is>
      </c>
      <c r="AE2" s="384" t="inlineStr">
        <is>
          <t>H2</t>
        </is>
      </c>
      <c r="AF2" s="384" t="inlineStr">
        <is>
          <t>FY</t>
        </is>
      </c>
      <c r="AG2" s="384" t="inlineStr">
        <is>
          <t>H1</t>
        </is>
      </c>
      <c r="AH2" s="384" t="inlineStr">
        <is>
          <t>H2</t>
        </is>
      </c>
      <c r="AI2" s="384" t="inlineStr">
        <is>
          <t>FY</t>
        </is>
      </c>
    </row>
    <row r="3" ht="12.9" customHeight="1" s="343">
      <c r="B3" s="12" t="inlineStr">
        <is>
          <t>All amounts in ₹ crores except per share data</t>
        </is>
      </c>
      <c r="C3" s="346" t="n">
        <v>2021</v>
      </c>
      <c r="D3" s="346" t="n">
        <v>2021</v>
      </c>
      <c r="E3" s="346" t="n">
        <v>2021</v>
      </c>
      <c r="F3" s="347" t="n">
        <v>2022</v>
      </c>
      <c r="G3" s="347" t="n">
        <v>2022</v>
      </c>
      <c r="H3" s="347" t="n">
        <v>2022</v>
      </c>
      <c r="I3" s="348" t="n">
        <v>2023</v>
      </c>
      <c r="J3" s="348" t="n">
        <v>2023</v>
      </c>
      <c r="K3" s="348" t="n">
        <v>2023</v>
      </c>
      <c r="L3" s="348" t="n">
        <v>2024</v>
      </c>
      <c r="M3" s="348" t="n">
        <v>2024</v>
      </c>
      <c r="N3" s="348" t="n">
        <v>2024</v>
      </c>
      <c r="O3" s="348" t="n">
        <v>2025</v>
      </c>
      <c r="P3" s="348" t="n">
        <v>2025</v>
      </c>
      <c r="Q3" s="348" t="n">
        <v>2025</v>
      </c>
      <c r="R3" s="348" t="n">
        <v>2026</v>
      </c>
      <c r="S3" s="348" t="n">
        <v>2026</v>
      </c>
      <c r="T3" s="348" t="n">
        <v>2026</v>
      </c>
      <c r="U3" s="349" t="inlineStr">
        <is>
          <t>2027 E</t>
        </is>
      </c>
      <c r="V3" s="349" t="inlineStr">
        <is>
          <t>2027 E</t>
        </is>
      </c>
      <c r="W3" s="349" t="inlineStr">
        <is>
          <t>2027 E</t>
        </is>
      </c>
      <c r="X3" s="349" t="inlineStr">
        <is>
          <t>2028 E</t>
        </is>
      </c>
      <c r="Y3" s="349" t="inlineStr">
        <is>
          <t>2028 E</t>
        </is>
      </c>
      <c r="Z3" s="349" t="inlineStr">
        <is>
          <t>2028 E</t>
        </is>
      </c>
      <c r="AA3" s="349" t="inlineStr">
        <is>
          <t>2029 E</t>
        </is>
      </c>
      <c r="AB3" s="349" t="inlineStr">
        <is>
          <t>2029 E</t>
        </is>
      </c>
      <c r="AC3" s="349" t="inlineStr">
        <is>
          <t>2029 E</t>
        </is>
      </c>
      <c r="AD3" s="349" t="inlineStr">
        <is>
          <t>2030 E</t>
        </is>
      </c>
      <c r="AE3" s="349" t="inlineStr">
        <is>
          <t>2030 E</t>
        </is>
      </c>
      <c r="AF3" s="349" t="inlineStr">
        <is>
          <t>2030 E</t>
        </is>
      </c>
      <c r="AG3" s="349" t="inlineStr">
        <is>
          <t>2031 E</t>
        </is>
      </c>
      <c r="AH3" s="349" t="inlineStr">
        <is>
          <t>2031 E</t>
        </is>
      </c>
      <c r="AI3" s="349" t="inlineStr">
        <is>
          <t>2031 E</t>
        </is>
      </c>
    </row>
    <row r="4" ht="12.9" customHeight="1" s="343">
      <c r="B4" s="438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6" t="n"/>
    </row>
    <row r="5" ht="12.9" customFormat="1" customHeight="1" s="360">
      <c r="B5" s="493" t="inlineStr">
        <is>
          <t>REVENUE BIFURCATION</t>
        </is>
      </c>
      <c r="C5" s="363" t="n"/>
      <c r="D5" s="363" t="n"/>
      <c r="E5" s="363" t="n"/>
      <c r="F5" s="363" t="n"/>
      <c r="G5" s="363" t="n"/>
      <c r="H5" s="363" t="n"/>
      <c r="I5" s="363" t="n"/>
      <c r="J5" s="363" t="n"/>
      <c r="K5" s="363" t="n"/>
      <c r="L5" s="363" t="n"/>
      <c r="M5" s="363" t="n"/>
      <c r="N5" s="363" t="n"/>
      <c r="O5" s="363" t="n"/>
      <c r="P5" s="363" t="n"/>
      <c r="Q5" s="363" t="n"/>
      <c r="R5" s="363" t="n"/>
      <c r="S5" s="354" t="n"/>
    </row>
    <row r="6" ht="12.9" customHeight="1" s="343">
      <c r="B6" s="438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6" t="n"/>
    </row>
    <row r="7" ht="12.9" customHeight="1" s="343">
      <c r="B7" s="6" t="inlineStr">
        <is>
          <t>PRODUCT CATEGORY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6" t="n"/>
      <c r="R7" s="5" t="n"/>
      <c r="S7" s="6" t="n"/>
    </row>
    <row r="8" ht="12.9" customHeight="1" s="343">
      <c r="B8" s="354" t="inlineStr">
        <is>
          <t>Heat Exchangers</t>
        </is>
      </c>
      <c r="C8" s="17" t="n"/>
      <c r="D8" s="17" t="n"/>
      <c r="E8" s="17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6" t="n"/>
    </row>
    <row r="9" ht="12.9" customHeight="1" s="343">
      <c r="B9" s="454" t="inlineStr">
        <is>
          <t>Opening order book</t>
        </is>
      </c>
      <c r="D9" s="21">
        <f>C17</f>
        <v/>
      </c>
      <c r="E9" s="21" t="n">
        <v>0</v>
      </c>
      <c r="F9" s="21">
        <f>E17</f>
        <v/>
      </c>
      <c r="G9" s="21">
        <f>F17</f>
        <v/>
      </c>
      <c r="H9" s="21">
        <f>E17</f>
        <v/>
      </c>
      <c r="I9" s="21">
        <f>H17</f>
        <v/>
      </c>
      <c r="J9" s="21">
        <f>I17</f>
        <v/>
      </c>
      <c r="K9" s="21">
        <f>H17</f>
        <v/>
      </c>
      <c r="L9" s="21">
        <f>K17</f>
        <v/>
      </c>
      <c r="M9" s="21">
        <f>L17</f>
        <v/>
      </c>
      <c r="N9" s="21">
        <f>K17</f>
        <v/>
      </c>
      <c r="O9" s="21">
        <f>N17</f>
        <v/>
      </c>
      <c r="P9" s="21">
        <f>O17</f>
        <v/>
      </c>
      <c r="Q9" s="21">
        <f>N17</f>
        <v/>
      </c>
      <c r="R9" s="21">
        <f>Q17</f>
        <v/>
      </c>
      <c r="S9" s="21">
        <f>R17</f>
        <v/>
      </c>
      <c r="T9" s="21">
        <f>Q17</f>
        <v/>
      </c>
      <c r="U9" s="21">
        <f>T17</f>
        <v/>
      </c>
      <c r="V9" s="21">
        <f>U17</f>
        <v/>
      </c>
      <c r="W9" s="21">
        <f>T17</f>
        <v/>
      </c>
      <c r="X9" s="21">
        <f>W17</f>
        <v/>
      </c>
      <c r="Y9" s="21">
        <f>X17</f>
        <v/>
      </c>
      <c r="Z9" s="21">
        <f>W17</f>
        <v/>
      </c>
      <c r="AA9" s="21">
        <f>Z17</f>
        <v/>
      </c>
      <c r="AB9" s="21">
        <f>AA17</f>
        <v/>
      </c>
      <c r="AC9" s="21">
        <f>Z17</f>
        <v/>
      </c>
      <c r="AD9" s="21">
        <f>AC17</f>
        <v/>
      </c>
      <c r="AE9" s="21">
        <f>AD17</f>
        <v/>
      </c>
      <c r="AF9" s="21">
        <f>AC17</f>
        <v/>
      </c>
      <c r="AG9" s="21">
        <f>AF17</f>
        <v/>
      </c>
      <c r="AH9" s="21">
        <f>AG17</f>
        <v/>
      </c>
      <c r="AI9" s="21">
        <f>AF17</f>
        <v/>
      </c>
    </row>
    <row r="10" ht="12.9" customHeight="1" s="343">
      <c r="B10" s="463" t="n"/>
      <c r="C10" s="454" t="n"/>
      <c r="D10" s="454" t="n"/>
      <c r="E10" s="454" t="n"/>
      <c r="F10" s="454" t="n"/>
      <c r="G10" s="454" t="n"/>
      <c r="H10" s="454" t="n"/>
      <c r="I10" s="454" t="n"/>
      <c r="J10" s="454" t="n"/>
      <c r="K10" s="454" t="n"/>
      <c r="L10" s="454" t="n"/>
      <c r="M10" s="454" t="n"/>
      <c r="N10" s="272" t="n"/>
      <c r="O10" s="454" t="n"/>
      <c r="P10" s="454" t="n"/>
      <c r="Q10" s="272" t="n"/>
      <c r="R10" s="454" t="n"/>
      <c r="S10" s="454" t="n"/>
    </row>
    <row r="11" ht="12.9" customHeight="1" s="343">
      <c r="B11" s="463" t="inlineStr">
        <is>
          <t>Order Inflow</t>
        </is>
      </c>
      <c r="C11" s="454" t="n"/>
      <c r="D11" s="272">
        <f>D17-D9+D14</f>
        <v/>
      </c>
      <c r="E11" s="272">
        <f>E17-E9+E14</f>
        <v/>
      </c>
      <c r="F11" s="272">
        <f>F17-F9+F14</f>
        <v/>
      </c>
      <c r="G11" s="272">
        <f>G17-G9+G14</f>
        <v/>
      </c>
      <c r="H11" s="272">
        <f>H17-H9+H14</f>
        <v/>
      </c>
      <c r="I11" s="272">
        <f>I17-I9+I14</f>
        <v/>
      </c>
      <c r="J11" s="272">
        <f>J17-J9+J14</f>
        <v/>
      </c>
      <c r="K11" s="272">
        <f>K17-K9+K14</f>
        <v/>
      </c>
      <c r="L11" s="272">
        <f>L17-L9+L14</f>
        <v/>
      </c>
      <c r="M11" s="272">
        <f>M17-M9+M14</f>
        <v/>
      </c>
      <c r="N11" s="272">
        <f>N17-N9+N14</f>
        <v/>
      </c>
      <c r="O11" s="272">
        <f>O17-O9+O14</f>
        <v/>
      </c>
      <c r="P11" s="272">
        <f>P17-P9+P14</f>
        <v/>
      </c>
      <c r="Q11" s="272">
        <f>Q17-Q9+Q14</f>
        <v/>
      </c>
      <c r="R11" s="272">
        <f>R17-R9+R14</f>
        <v/>
      </c>
      <c r="S11" s="272">
        <f>S17-S9+S14</f>
        <v/>
      </c>
      <c r="T11" s="272">
        <f>R11+S11</f>
        <v/>
      </c>
      <c r="U11" s="272">
        <f>AVERAGE(MAX(L11,0),MAX(O11,0),MAX(R11,0))*(1+U12)</f>
        <v/>
      </c>
      <c r="V11" s="272">
        <f>AVERAGE(MAX(M11,0),MAX(P11,0),MAX(S11,0))*(1+V12)</f>
        <v/>
      </c>
      <c r="W11" s="272">
        <f>U11+V11</f>
        <v/>
      </c>
      <c r="X11" s="272">
        <f>AVERAGE(MAX(O11,0),MAX(R11,0),MAX(U11,0))*(1+X12)</f>
        <v/>
      </c>
      <c r="Y11" s="272">
        <f>AVERAGE(MAX(P11,0),MAX(S11,0),MAX(V11,0))*(1+Y12)</f>
        <v/>
      </c>
      <c r="Z11" s="272">
        <f>X11+Y11</f>
        <v/>
      </c>
      <c r="AA11" s="272">
        <f>AVERAGE(MAX(R11,0),MAX(U11,0),MAX(X11,0))*(1+AA12)</f>
        <v/>
      </c>
      <c r="AB11" s="272">
        <f>AVERAGE(MAX(S11,0),MAX(V11,0),MAX(Y11,0))*(1+AB12)</f>
        <v/>
      </c>
      <c r="AC11" s="272">
        <f>AA11+AB11</f>
        <v/>
      </c>
      <c r="AD11" s="272">
        <f>AVERAGE(MAX(U11,0),MAX(X11,0),MAX(AA11,0))*(1+AD12)</f>
        <v/>
      </c>
      <c r="AE11" s="272">
        <f>AVERAGE(MAX(V11,0),MAX(Y11,0),MAX(AB11,0))*(1+AE12)</f>
        <v/>
      </c>
      <c r="AF11" s="272">
        <f>AD11+AE11</f>
        <v/>
      </c>
      <c r="AG11" s="272">
        <f>AVERAGE(MAX(X11,0),MAX(AA11,0),MAX(AD11,0))*(1+AG12)</f>
        <v/>
      </c>
      <c r="AH11" s="272">
        <f>AVERAGE(MAX(Y11,0),MAX(AB11,0),MAX(AE11,0))*(1+AH12)</f>
        <v/>
      </c>
      <c r="AI11" s="272">
        <f>AG11+AH11</f>
        <v/>
      </c>
    </row>
    <row r="12" ht="12.9" customHeight="1" s="343">
      <c r="B12" s="463" t="inlineStr">
        <is>
          <t>Growth %</t>
        </is>
      </c>
      <c r="C12" s="454" t="n"/>
      <c r="D12" s="454" t="n"/>
      <c r="E12" s="454" t="n"/>
      <c r="F12" s="33" t="n"/>
      <c r="G12" s="33">
        <f>(G11-D11)/D11</f>
        <v/>
      </c>
      <c r="H12" s="33">
        <f>(H11-E11)/E11</f>
        <v/>
      </c>
      <c r="I12" s="33">
        <f>(I11-F11)/F11</f>
        <v/>
      </c>
      <c r="J12" s="33">
        <f>(J11-G11)/G11</f>
        <v/>
      </c>
      <c r="K12" s="33">
        <f>(K11-H11)/H11</f>
        <v/>
      </c>
      <c r="L12" s="33">
        <f>(L11-I11)/I11</f>
        <v/>
      </c>
      <c r="M12" s="33">
        <f>(M11-J11)/J11</f>
        <v/>
      </c>
      <c r="N12" s="33">
        <f>(N11-K11)/K11</f>
        <v/>
      </c>
      <c r="O12" s="33">
        <f>(O11-L11)/L11</f>
        <v/>
      </c>
      <c r="P12" s="33">
        <f>(P11-M11)/M11</f>
        <v/>
      </c>
      <c r="Q12" s="33">
        <f>(Q11-N11)/N11</f>
        <v/>
      </c>
      <c r="R12" s="33">
        <f>(R11-O11)/O11</f>
        <v/>
      </c>
      <c r="S12" s="33">
        <f>(S11-P11)/P11</f>
        <v/>
      </c>
      <c r="T12" s="33">
        <f>(T11-Q11)/Q11</f>
        <v/>
      </c>
      <c r="U12" s="455" t="n">
        <v>0.08</v>
      </c>
      <c r="V12" s="455">
        <f>U12</f>
        <v/>
      </c>
      <c r="W12" s="33">
        <f>(W11-T11)/T11</f>
        <v/>
      </c>
      <c r="X12" s="455">
        <f>V12+3%</f>
        <v/>
      </c>
      <c r="Y12" s="455">
        <f>X12</f>
        <v/>
      </c>
      <c r="Z12" s="33">
        <f>(Z11-W11)/W11</f>
        <v/>
      </c>
      <c r="AA12" s="455">
        <f>Y12+3%</f>
        <v/>
      </c>
      <c r="AB12" s="455">
        <f>AA12</f>
        <v/>
      </c>
      <c r="AC12" s="33">
        <f>(AC11-Z11)/Z11</f>
        <v/>
      </c>
      <c r="AD12" s="455">
        <f>AB12+3%</f>
        <v/>
      </c>
      <c r="AE12" s="455">
        <f>AD12</f>
        <v/>
      </c>
      <c r="AF12" s="33">
        <f>(AF11-AC11)/AC11</f>
        <v/>
      </c>
      <c r="AG12" s="455">
        <f>AE12+3%</f>
        <v/>
      </c>
      <c r="AH12" s="455">
        <f>AG12</f>
        <v/>
      </c>
      <c r="AI12" s="33">
        <f>(AI11-AF11)/AF11</f>
        <v/>
      </c>
    </row>
    <row r="13" ht="12.9" customHeight="1" s="343">
      <c r="B13" s="463" t="n"/>
      <c r="C13" s="17" t="n"/>
      <c r="D13" s="494" t="n"/>
      <c r="E13" s="494" t="n"/>
      <c r="F13" s="495" t="n"/>
      <c r="G13" s="495" t="n"/>
      <c r="H13" s="495" t="n"/>
      <c r="I13" s="495" t="n"/>
      <c r="J13" s="495" t="n"/>
      <c r="K13" s="495" t="n"/>
      <c r="L13" s="495" t="n"/>
      <c r="M13" s="495" t="n"/>
      <c r="N13" s="495" t="n"/>
      <c r="O13" s="495" t="n"/>
      <c r="P13" s="495" t="n"/>
      <c r="Q13" s="495" t="n"/>
      <c r="R13" s="5" t="n"/>
      <c r="S13" s="495" t="n"/>
    </row>
    <row r="14" ht="12.9" customHeight="1" s="343">
      <c r="B14" s="463" t="inlineStr">
        <is>
          <t>Revenue Executed</t>
        </is>
      </c>
      <c r="C14" s="452" t="n"/>
      <c r="D14" s="452">
        <f>E14-C14</f>
        <v/>
      </c>
      <c r="E14" s="452" t="n"/>
      <c r="F14" s="452" t="n">
        <v>88</v>
      </c>
      <c r="G14" s="12">
        <f>H14-F14</f>
        <v/>
      </c>
      <c r="H14" s="452" t="n">
        <v>195.6</v>
      </c>
      <c r="I14" s="452" t="n">
        <v>115.7</v>
      </c>
      <c r="J14" s="12">
        <f>K14-I14</f>
        <v/>
      </c>
      <c r="K14" s="452" t="n">
        <v>305.8</v>
      </c>
      <c r="L14" s="452" t="n">
        <v>104.9</v>
      </c>
      <c r="M14" s="12">
        <f>N14-L14</f>
        <v/>
      </c>
      <c r="N14" s="452" t="n">
        <v>387.6</v>
      </c>
      <c r="O14" s="452" t="n">
        <v>243</v>
      </c>
      <c r="P14" s="12">
        <f>Q14-O14</f>
        <v/>
      </c>
      <c r="Q14" s="452" t="n">
        <v>467.6</v>
      </c>
      <c r="R14" s="452" t="n">
        <v>234.8</v>
      </c>
      <c r="S14" s="12">
        <f>T14-R14</f>
        <v/>
      </c>
      <c r="T14" s="452" t="n">
        <v>443.2</v>
      </c>
      <c r="U14" s="21">
        <f>U15*(U9+U11)</f>
        <v/>
      </c>
      <c r="V14" s="21">
        <f>V15*(V9+V11)</f>
        <v/>
      </c>
      <c r="W14" s="21">
        <f>U14+V14</f>
        <v/>
      </c>
      <c r="X14" s="21">
        <f>X15*(X9+X11)</f>
        <v/>
      </c>
      <c r="Y14" s="21">
        <f>Y15*(Y9+Y11)</f>
        <v/>
      </c>
      <c r="Z14" s="21">
        <f>X14+Y14</f>
        <v/>
      </c>
      <c r="AA14" s="21">
        <f>AA15*(AA9+AA11)</f>
        <v/>
      </c>
      <c r="AB14" s="21">
        <f>AB15*(AB9+AB11)</f>
        <v/>
      </c>
      <c r="AC14" s="21">
        <f>AA14+AB14</f>
        <v/>
      </c>
      <c r="AD14" s="21">
        <f>AD15*(AD9+AD11)</f>
        <v/>
      </c>
      <c r="AE14" s="21">
        <f>AE15*(AE9+AE11)</f>
        <v/>
      </c>
      <c r="AF14" s="21">
        <f>AD14+AE14</f>
        <v/>
      </c>
      <c r="AG14" s="21">
        <f>AG15*(AG9+AG11)</f>
        <v/>
      </c>
      <c r="AH14" s="21">
        <f>AH15*(AH9+AH11)</f>
        <v/>
      </c>
      <c r="AI14" s="21">
        <f>AG14+AH14</f>
        <v/>
      </c>
    </row>
    <row r="15" ht="12.9" customHeight="1" s="343">
      <c r="B15" s="38" t="inlineStr">
        <is>
          <t>Execution %</t>
        </is>
      </c>
      <c r="C15" s="454" t="n"/>
      <c r="D15" s="454">
        <f>D14/(D9+D11)</f>
        <v/>
      </c>
      <c r="E15" s="454">
        <f>E14/(E9+E11)</f>
        <v/>
      </c>
      <c r="F15" s="454">
        <f>F14/(F9+F11)</f>
        <v/>
      </c>
      <c r="G15" s="454">
        <f>G14/(G9+G11)</f>
        <v/>
      </c>
      <c r="H15" s="454">
        <f>H14/(H9+H11)</f>
        <v/>
      </c>
      <c r="I15" s="454">
        <f>I14/(I9+I11)</f>
        <v/>
      </c>
      <c r="J15" s="454">
        <f>J14/(J9+J11)</f>
        <v/>
      </c>
      <c r="K15" s="454">
        <f>K14/(K9+K11)</f>
        <v/>
      </c>
      <c r="L15" s="454">
        <f>L14/(L9+L11)</f>
        <v/>
      </c>
      <c r="M15" s="454">
        <f>M14/(M9+M11)</f>
        <v/>
      </c>
      <c r="N15" s="454">
        <f>N14/(N9+N11)</f>
        <v/>
      </c>
      <c r="O15" s="454">
        <f>O14/(O9+O11)</f>
        <v/>
      </c>
      <c r="P15" s="454">
        <f>P14/(P9+P11)</f>
        <v/>
      </c>
      <c r="Q15" s="454">
        <f>Q14/(Q9+Q11)</f>
        <v/>
      </c>
      <c r="R15" s="454">
        <f>R14/(R9+R11)</f>
        <v/>
      </c>
      <c r="S15" s="454">
        <f>S14/(S9+S11)</f>
        <v/>
      </c>
      <c r="T15" s="454">
        <f>T14/(T9+T11)</f>
        <v/>
      </c>
      <c r="U15" s="455" t="n">
        <v>0.45</v>
      </c>
      <c r="V15" s="455">
        <f>U15</f>
        <v/>
      </c>
      <c r="W15" s="454">
        <f>W14/(W9+W11)</f>
        <v/>
      </c>
      <c r="X15" s="455">
        <f>V15+5%</f>
        <v/>
      </c>
      <c r="Y15" s="455">
        <f>X15</f>
        <v/>
      </c>
      <c r="Z15" s="454">
        <f>Z14/(Z9+Z11)</f>
        <v/>
      </c>
      <c r="AA15" s="455">
        <f>Y15+5%</f>
        <v/>
      </c>
      <c r="AB15" s="455">
        <f>AA15</f>
        <v/>
      </c>
      <c r="AC15" s="454">
        <f>AC14/(AC9+AC11)</f>
        <v/>
      </c>
      <c r="AD15" s="455">
        <f>AB15+5%</f>
        <v/>
      </c>
      <c r="AE15" s="455">
        <f>AD15</f>
        <v/>
      </c>
      <c r="AF15" s="454">
        <f>AF14/(AF9+AF11)</f>
        <v/>
      </c>
      <c r="AG15" s="455">
        <f>AE15+5%</f>
        <v/>
      </c>
      <c r="AH15" s="455">
        <f>AG15</f>
        <v/>
      </c>
      <c r="AI15" s="454">
        <f>AI14/(AI9+AI11)</f>
        <v/>
      </c>
    </row>
    <row r="16" ht="12.9" customHeight="1" s="343">
      <c r="B16" s="463" t="n"/>
      <c r="C16" s="454" t="n"/>
      <c r="D16" s="454" t="n"/>
      <c r="E16" s="454" t="n"/>
      <c r="F16" s="454" t="n"/>
      <c r="G16" s="454" t="n"/>
      <c r="H16" s="454" t="n"/>
      <c r="I16" s="454" t="n"/>
      <c r="J16" s="454" t="n"/>
      <c r="K16" s="454" t="n"/>
      <c r="L16" s="454" t="n"/>
      <c r="M16" s="454" t="n"/>
      <c r="N16" s="454" t="n"/>
      <c r="O16" s="454" t="n"/>
      <c r="P16" s="454" t="n"/>
      <c r="Q16" s="454" t="n"/>
      <c r="R16" s="454" t="n"/>
      <c r="S16" s="454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</row>
    <row r="17" ht="12.9" customHeight="1" s="343">
      <c r="B17" s="463" t="inlineStr">
        <is>
          <t>Closing Order Book</t>
        </is>
      </c>
      <c r="D17" s="466">
        <f>E17</f>
        <v/>
      </c>
      <c r="E17" s="452" t="n">
        <v>178.3</v>
      </c>
      <c r="F17" s="452" t="n">
        <v>220.5</v>
      </c>
      <c r="G17" s="466">
        <f>H17</f>
        <v/>
      </c>
      <c r="H17" s="452" t="n">
        <v>295.2</v>
      </c>
      <c r="I17" s="452" t="n">
        <v>367</v>
      </c>
      <c r="J17" s="466">
        <f>K17</f>
        <v/>
      </c>
      <c r="K17" s="452" t="n">
        <v>343.3</v>
      </c>
      <c r="L17" s="452" t="n">
        <v>395</v>
      </c>
      <c r="M17" s="466">
        <f>N17</f>
        <v/>
      </c>
      <c r="N17" s="452" t="n">
        <v>573.6</v>
      </c>
      <c r="O17" s="452" t="n">
        <v>394.3</v>
      </c>
      <c r="P17" s="466">
        <f>Q17</f>
        <v/>
      </c>
      <c r="Q17" s="452" t="n">
        <v>404.8</v>
      </c>
      <c r="R17" s="452" t="n">
        <v>279.7</v>
      </c>
      <c r="S17" s="466">
        <f>T17</f>
        <v/>
      </c>
      <c r="T17" s="452" t="n">
        <v>363.5</v>
      </c>
      <c r="U17" s="272">
        <f>U9+U11-U14</f>
        <v/>
      </c>
      <c r="V17" s="272">
        <f>V9+V11-V14</f>
        <v/>
      </c>
      <c r="W17" s="272">
        <f>W9+W11-W14</f>
        <v/>
      </c>
      <c r="X17" s="272">
        <f>X9+X11-X14</f>
        <v/>
      </c>
      <c r="Y17" s="272">
        <f>Y9+Y11-Y14</f>
        <v/>
      </c>
      <c r="Z17" s="272">
        <f>Z9+Z11-Z14</f>
        <v/>
      </c>
      <c r="AA17" s="272">
        <f>AA9+AA11-AA14</f>
        <v/>
      </c>
      <c r="AB17" s="272">
        <f>AB9+AB11-AB14</f>
        <v/>
      </c>
      <c r="AC17" s="272">
        <f>AC9+AC11-AC14</f>
        <v/>
      </c>
      <c r="AD17" s="272">
        <f>AD9+AD11-AD14</f>
        <v/>
      </c>
      <c r="AE17" s="272">
        <f>AE9+AE11-AE14</f>
        <v/>
      </c>
      <c r="AF17" s="272">
        <f>AF9+AF11-AF14</f>
        <v/>
      </c>
      <c r="AG17" s="272">
        <f>AG9+AG11-AG14</f>
        <v/>
      </c>
      <c r="AH17" s="272">
        <f>AH9+AH11-AH14</f>
        <v/>
      </c>
      <c r="AI17" s="272">
        <f>AI9+AI11-AI14</f>
        <v/>
      </c>
    </row>
    <row r="18" ht="12.9" customHeight="1" s="343">
      <c r="B18" s="463" t="n"/>
      <c r="C18" s="454" t="n"/>
      <c r="D18" s="454" t="n"/>
      <c r="E18" s="454" t="n"/>
      <c r="F18" s="454" t="n"/>
      <c r="G18" s="454" t="n"/>
      <c r="H18" s="454" t="n"/>
      <c r="I18" s="454" t="n"/>
      <c r="J18" s="454" t="n"/>
      <c r="K18" s="454" t="n"/>
      <c r="L18" s="454" t="n"/>
      <c r="M18" s="454" t="n"/>
      <c r="N18" s="454" t="n"/>
      <c r="O18" s="454" t="n"/>
      <c r="P18" s="454" t="n"/>
      <c r="Q18" s="454" t="n"/>
      <c r="R18" s="454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</row>
    <row r="19" ht="12.9" customHeight="1" s="343">
      <c r="B19" s="463" t="n"/>
      <c r="C19" s="454" t="n"/>
      <c r="D19" s="454" t="n"/>
      <c r="E19" s="454" t="n"/>
      <c r="F19" s="454" t="n"/>
      <c r="G19" s="454" t="n"/>
      <c r="H19" s="454" t="n"/>
      <c r="I19" s="454" t="n"/>
      <c r="J19" s="454" t="n"/>
      <c r="K19" s="454" t="n"/>
      <c r="L19" s="454" t="n"/>
      <c r="M19" s="454" t="n"/>
      <c r="N19" s="454" t="n"/>
      <c r="O19" s="454" t="n"/>
      <c r="P19" s="454" t="n"/>
      <c r="Q19" s="454" t="n"/>
      <c r="R19" s="454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</row>
    <row r="20" ht="12.9" customHeight="1" s="343">
      <c r="B20" s="354" t="inlineStr">
        <is>
          <t>Vessels</t>
        </is>
      </c>
      <c r="C20" s="454" t="n"/>
      <c r="D20" s="454" t="n"/>
      <c r="E20" s="454" t="n"/>
      <c r="F20" s="454" t="n"/>
      <c r="G20" s="454" t="n"/>
      <c r="H20" s="454" t="n"/>
      <c r="I20" s="454" t="n"/>
      <c r="J20" s="454" t="n"/>
      <c r="K20" s="454" t="n"/>
      <c r="L20" s="454" t="n"/>
      <c r="M20" s="454" t="n"/>
      <c r="N20" s="454" t="n"/>
      <c r="O20" s="454" t="n"/>
      <c r="P20" s="454" t="n"/>
      <c r="Q20" s="454" t="n"/>
      <c r="R20" s="454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</row>
    <row r="21" ht="12.9" customHeight="1" s="343">
      <c r="B21" s="454" t="inlineStr">
        <is>
          <t>Opening order book</t>
        </is>
      </c>
      <c r="D21" s="21">
        <f>C29</f>
        <v/>
      </c>
      <c r="E21" s="21" t="n"/>
      <c r="F21" s="21">
        <f>E29</f>
        <v/>
      </c>
      <c r="G21" s="21">
        <f>F29</f>
        <v/>
      </c>
      <c r="H21" s="21">
        <f>E29</f>
        <v/>
      </c>
      <c r="I21" s="21">
        <f>H29</f>
        <v/>
      </c>
      <c r="J21" s="21">
        <f>I29</f>
        <v/>
      </c>
      <c r="K21" s="21">
        <f>H29</f>
        <v/>
      </c>
      <c r="L21" s="21">
        <f>K29</f>
        <v/>
      </c>
      <c r="M21" s="21">
        <f>L29</f>
        <v/>
      </c>
      <c r="N21" s="21">
        <f>K29</f>
        <v/>
      </c>
      <c r="O21" s="21">
        <f>N29</f>
        <v/>
      </c>
      <c r="P21" s="21">
        <f>O29</f>
        <v/>
      </c>
      <c r="Q21" s="21">
        <f>N29</f>
        <v/>
      </c>
      <c r="R21" s="21">
        <f>Q29</f>
        <v/>
      </c>
      <c r="S21" s="21">
        <f>R29</f>
        <v/>
      </c>
      <c r="T21" s="21">
        <f>Q29</f>
        <v/>
      </c>
      <c r="U21" s="21">
        <f>T29</f>
        <v/>
      </c>
      <c r="V21" s="21">
        <f>U29</f>
        <v/>
      </c>
      <c r="W21" s="21">
        <f>T29</f>
        <v/>
      </c>
      <c r="X21" s="21">
        <f>W29</f>
        <v/>
      </c>
      <c r="Y21" s="21">
        <f>X29</f>
        <v/>
      </c>
      <c r="Z21" s="21">
        <f>W29</f>
        <v/>
      </c>
      <c r="AA21" s="21">
        <f>Z29</f>
        <v/>
      </c>
      <c r="AB21" s="21">
        <f>AA29</f>
        <v/>
      </c>
      <c r="AC21" s="21">
        <f>Z29</f>
        <v/>
      </c>
      <c r="AD21" s="21">
        <f>AC29</f>
        <v/>
      </c>
      <c r="AE21" s="21">
        <f>AD29</f>
        <v/>
      </c>
      <c r="AF21" s="21">
        <f>AC29</f>
        <v/>
      </c>
      <c r="AG21" s="21">
        <f>AF29</f>
        <v/>
      </c>
      <c r="AH21" s="21">
        <f>AG29</f>
        <v/>
      </c>
      <c r="AI21" s="21">
        <f>AF29</f>
        <v/>
      </c>
    </row>
    <row r="22" ht="12.9" customHeight="1" s="343">
      <c r="B22" s="463" t="n"/>
      <c r="C22" s="454" t="n"/>
      <c r="D22" s="454" t="n"/>
      <c r="E22" s="454" t="n"/>
      <c r="F22" s="454" t="n"/>
      <c r="G22" s="454" t="n"/>
      <c r="H22" s="454" t="n"/>
      <c r="I22" s="454" t="n"/>
      <c r="J22" s="454" t="n"/>
      <c r="K22" s="454" t="n"/>
      <c r="L22" s="454" t="n"/>
      <c r="M22" s="454" t="n"/>
      <c r="N22" s="454" t="n"/>
      <c r="O22" s="454" t="n"/>
      <c r="P22" s="454" t="n"/>
      <c r="Q22" s="454" t="n"/>
      <c r="R22" s="454" t="n"/>
      <c r="S22" s="454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</row>
    <row r="23" ht="12.9" customHeight="1" s="343">
      <c r="B23" s="463" t="inlineStr">
        <is>
          <t>Order Inflow</t>
        </is>
      </c>
      <c r="C23" s="272">
        <f>C29-C21+C26</f>
        <v/>
      </c>
      <c r="D23" s="272">
        <f>D29-D21+D26</f>
        <v/>
      </c>
      <c r="E23" s="272">
        <f>E29-E21+E26</f>
        <v/>
      </c>
      <c r="F23" s="272">
        <f>F29-F21+F26</f>
        <v/>
      </c>
      <c r="G23" s="272">
        <f>G29-G21+G26</f>
        <v/>
      </c>
      <c r="H23" s="272">
        <f>H29-H21+H26</f>
        <v/>
      </c>
      <c r="I23" s="272">
        <f>I29-I21+I26</f>
        <v/>
      </c>
      <c r="J23" s="272">
        <f>J29-J21+J26</f>
        <v/>
      </c>
      <c r="K23" s="272">
        <f>K29-K21+K26</f>
        <v/>
      </c>
      <c r="L23" s="272">
        <f>L29-L21+L26</f>
        <v/>
      </c>
      <c r="M23" s="272">
        <f>M29-M21+M26</f>
        <v/>
      </c>
      <c r="N23" s="272">
        <f>N29-N21+N26</f>
        <v/>
      </c>
      <c r="O23" s="272">
        <f>O29-O21+O26</f>
        <v/>
      </c>
      <c r="P23" s="272">
        <f>P29-P21+P26</f>
        <v/>
      </c>
      <c r="Q23" s="272">
        <f>Q29-Q21+Q26</f>
        <v/>
      </c>
      <c r="R23" s="272">
        <f>R29-R21+R26</f>
        <v/>
      </c>
      <c r="S23" s="272">
        <f>S29-S21+S26</f>
        <v/>
      </c>
      <c r="T23" s="272">
        <f>R23+S23</f>
        <v/>
      </c>
      <c r="U23" s="272">
        <f>AVERAGE(MAX(L23,0),MAX(O23,0),MAX(R23,0))*(1+U24)</f>
        <v/>
      </c>
      <c r="V23" s="272">
        <f>AVERAGE(MAX(M23,0),MAX(P23,0),MAX(S23,0))*(1+V24)</f>
        <v/>
      </c>
      <c r="W23" s="272">
        <f>U23+V23</f>
        <v/>
      </c>
      <c r="X23" s="272">
        <f>AVERAGE(MAX(O23,0),MAX(R23,0),MAX(U23,0))*(1+X24)</f>
        <v/>
      </c>
      <c r="Y23" s="272">
        <f>AVERAGE(MAX(P23,0),MAX(S23,0),MAX(V23,0))*(1+Y24)</f>
        <v/>
      </c>
      <c r="Z23" s="272">
        <f>X23+Y23</f>
        <v/>
      </c>
      <c r="AA23" s="272">
        <f>AVERAGE(MAX(R23,0),MAX(U23,0),MAX(X23,0))*(1+AA24)</f>
        <v/>
      </c>
      <c r="AB23" s="272">
        <f>AVERAGE(MAX(S23,0),MAX(V23,0),MAX(Y23,0))*(1+AB24)</f>
        <v/>
      </c>
      <c r="AC23" s="272">
        <f>AA23+AB23</f>
        <v/>
      </c>
      <c r="AD23" s="272">
        <f>AVERAGE(MAX(U23,0),MAX(X23,0),MAX(AA23,0))*(1+AD24)</f>
        <v/>
      </c>
      <c r="AE23" s="272">
        <f>AVERAGE(MAX(V23,0),MAX(Y23,0),MAX(AB23,0))*(1+AE24)</f>
        <v/>
      </c>
      <c r="AF23" s="272">
        <f>AD23+AE23</f>
        <v/>
      </c>
      <c r="AG23" s="272">
        <f>AVERAGE(MAX(X23,0),MAX(AA23,0),MAX(AD23,0))*(1+AG24)</f>
        <v/>
      </c>
      <c r="AH23" s="272">
        <f>AVERAGE(MAX(Y23,0),MAX(AB23,0),MAX(AE23,0))*(1+AH24)</f>
        <v/>
      </c>
      <c r="AI23" s="272">
        <f>AG23+AH23</f>
        <v/>
      </c>
    </row>
    <row r="24" ht="12.9" customHeight="1" s="343">
      <c r="B24" s="463" t="inlineStr">
        <is>
          <t>Growth %</t>
        </is>
      </c>
      <c r="C24" s="454" t="n"/>
      <c r="D24" s="272" t="n"/>
      <c r="E24" s="33" t="n"/>
      <c r="F24" s="33" t="n"/>
      <c r="G24" s="33" t="n"/>
      <c r="H24" s="33">
        <f>(H23-E23)/E23</f>
        <v/>
      </c>
      <c r="I24" s="33">
        <f>(I23-F23)/F23</f>
        <v/>
      </c>
      <c r="J24" s="33">
        <f>(J23-G23)/G23</f>
        <v/>
      </c>
      <c r="K24" s="33">
        <f>(K23-H23)/H23</f>
        <v/>
      </c>
      <c r="L24" s="33">
        <f>(L23-I23)/I23</f>
        <v/>
      </c>
      <c r="M24" s="33">
        <f>(M23-J23)/J23</f>
        <v/>
      </c>
      <c r="N24" s="33">
        <f>(N23-K23)/K23</f>
        <v/>
      </c>
      <c r="O24" s="33">
        <f>(O23-L23)/L23</f>
        <v/>
      </c>
      <c r="P24" s="33">
        <f>(P23-M23)/M23</f>
        <v/>
      </c>
      <c r="Q24" s="33">
        <f>(Q23-N23)/N23</f>
        <v/>
      </c>
      <c r="R24" s="33">
        <f>(R23-O23)/O23</f>
        <v/>
      </c>
      <c r="S24" s="33">
        <f>(S23-P23)/P23</f>
        <v/>
      </c>
      <c r="T24" s="33">
        <f>(T23-Q23)/Q23</f>
        <v/>
      </c>
      <c r="U24" s="455" t="n">
        <v>0.25</v>
      </c>
      <c r="V24" s="455">
        <f>U24</f>
        <v/>
      </c>
      <c r="W24" s="33">
        <f>(W23-T23)/T23</f>
        <v/>
      </c>
      <c r="X24" s="455">
        <f>U24+10%</f>
        <v/>
      </c>
      <c r="Y24" s="455">
        <f>X24</f>
        <v/>
      </c>
      <c r="Z24" s="33">
        <f>(Z23-W23)/W23</f>
        <v/>
      </c>
      <c r="AA24" s="455">
        <f>X24+10%</f>
        <v/>
      </c>
      <c r="AB24" s="455">
        <f>AA24</f>
        <v/>
      </c>
      <c r="AC24" s="33">
        <f>(AC23-Z23)/Z23</f>
        <v/>
      </c>
      <c r="AD24" s="455">
        <f>AA24+10%</f>
        <v/>
      </c>
      <c r="AE24" s="455">
        <f>AD24</f>
        <v/>
      </c>
      <c r="AF24" s="33">
        <f>(AF23-AC23)/AC23</f>
        <v/>
      </c>
      <c r="AG24" s="455">
        <f>AD24+10%</f>
        <v/>
      </c>
      <c r="AH24" s="455">
        <f>AG24</f>
        <v/>
      </c>
      <c r="AI24" s="33">
        <f>(AI23-AF23)/AF23</f>
        <v/>
      </c>
    </row>
    <row r="25" ht="12.9" customHeight="1" s="343">
      <c r="B25" s="38" t="n"/>
      <c r="C25" s="454" t="n"/>
      <c r="D25" s="454" t="n"/>
      <c r="E25" s="454" t="n"/>
      <c r="F25" s="454" t="n"/>
      <c r="G25" s="454" t="n"/>
      <c r="H25" s="454" t="n"/>
      <c r="I25" s="454" t="n"/>
      <c r="J25" s="454" t="n"/>
      <c r="K25" s="454" t="n"/>
      <c r="L25" s="454" t="n"/>
      <c r="M25" s="454" t="n"/>
      <c r="N25" s="454" t="n"/>
      <c r="O25" s="454" t="n"/>
      <c r="P25" s="454" t="n"/>
      <c r="Q25" s="454" t="n"/>
      <c r="R25" s="454" t="n"/>
      <c r="S25" s="454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</row>
    <row r="26" ht="12.9" customHeight="1" s="343">
      <c r="B26" s="463" t="inlineStr">
        <is>
          <t>Revenue Executed</t>
        </is>
      </c>
      <c r="C26" s="18" t="n"/>
      <c r="D26" s="452">
        <f>E26-C26</f>
        <v/>
      </c>
      <c r="E26" s="452" t="n"/>
      <c r="F26" s="452" t="n">
        <v>42.8</v>
      </c>
      <c r="G26" s="12">
        <f>H26-F26</f>
        <v/>
      </c>
      <c r="H26" s="452" t="n">
        <v>53.2</v>
      </c>
      <c r="I26" s="452" t="n">
        <v>29.2</v>
      </c>
      <c r="J26" s="12">
        <f>K26-I26</f>
        <v/>
      </c>
      <c r="K26" s="452" t="n">
        <v>44.5</v>
      </c>
      <c r="L26" s="21">
        <f>28.9*K26/(K26+K38)</f>
        <v/>
      </c>
      <c r="M26" s="21">
        <f>N26-L26</f>
        <v/>
      </c>
      <c r="N26" s="452" t="n">
        <v>71.5</v>
      </c>
      <c r="O26" s="452" t="n">
        <v>33.3</v>
      </c>
      <c r="P26" s="12">
        <f>Q26-O26</f>
        <v/>
      </c>
      <c r="Q26" s="452" t="n">
        <v>130.5</v>
      </c>
      <c r="R26" s="452" t="n">
        <v>128.8</v>
      </c>
      <c r="S26" s="12">
        <f>T26-R26</f>
        <v/>
      </c>
      <c r="T26" s="452" t="n">
        <v>267.1</v>
      </c>
      <c r="U26" s="21">
        <f>U27*(U21+U23)</f>
        <v/>
      </c>
      <c r="V26" s="21">
        <f>V27*(V21+V23)</f>
        <v/>
      </c>
      <c r="W26" s="21">
        <f>U26+V26</f>
        <v/>
      </c>
      <c r="X26" s="21">
        <f>X27*(X21+X23)</f>
        <v/>
      </c>
      <c r="Y26" s="21">
        <f>Y27*(Y21+Y23)</f>
        <v/>
      </c>
      <c r="Z26" s="21">
        <f>X26+Y26</f>
        <v/>
      </c>
      <c r="AA26" s="21">
        <f>AA27*(AA21+AA23)</f>
        <v/>
      </c>
      <c r="AB26" s="21">
        <f>AB27*(AB21+AB23)</f>
        <v/>
      </c>
      <c r="AC26" s="21">
        <f>AA26+AB26</f>
        <v/>
      </c>
      <c r="AD26" s="21">
        <f>AD27*(AD21+AD23)</f>
        <v/>
      </c>
      <c r="AE26" s="21">
        <f>AE27*(AE21+AE23)</f>
        <v/>
      </c>
      <c r="AF26" s="21">
        <f>AD26+AE26</f>
        <v/>
      </c>
      <c r="AG26" s="21">
        <f>AG27*(AG21+AG23)</f>
        <v/>
      </c>
      <c r="AH26" s="21">
        <f>AH27*(AH21+AH23)</f>
        <v/>
      </c>
      <c r="AI26" s="21">
        <f>AG26+AH26</f>
        <v/>
      </c>
    </row>
    <row r="27" ht="12.9" customHeight="1" s="343">
      <c r="B27" s="38" t="inlineStr">
        <is>
          <t>Execution %</t>
        </is>
      </c>
      <c r="C27" s="454" t="n"/>
      <c r="D27" s="454">
        <f>D26/(D21+D23)</f>
        <v/>
      </c>
      <c r="E27" s="454">
        <f>E26/(E21+E23)</f>
        <v/>
      </c>
      <c r="F27" s="454">
        <f>F26/(F21+F23)</f>
        <v/>
      </c>
      <c r="G27" s="454">
        <f>G26/(G21+G23)</f>
        <v/>
      </c>
      <c r="H27" s="454">
        <f>H26/(H21+H23)</f>
        <v/>
      </c>
      <c r="I27" s="454">
        <f>I26/(I21+I23)</f>
        <v/>
      </c>
      <c r="J27" s="454">
        <f>J26/(J21+J23)</f>
        <v/>
      </c>
      <c r="K27" s="454">
        <f>K26/(K21+K23)</f>
        <v/>
      </c>
      <c r="L27" s="454">
        <f>L26/(L21+L23)</f>
        <v/>
      </c>
      <c r="M27" s="454">
        <f>M26/(M21+M23)</f>
        <v/>
      </c>
      <c r="N27" s="454">
        <f>N26/(N21+N23)</f>
        <v/>
      </c>
      <c r="O27" s="454">
        <f>O26/(O21+O23)</f>
        <v/>
      </c>
      <c r="P27" s="454">
        <f>P26/(P21+P23)</f>
        <v/>
      </c>
      <c r="Q27" s="454">
        <f>Q26/(Q21+Q23)</f>
        <v/>
      </c>
      <c r="R27" s="454">
        <f>R26/(R21+R23)</f>
        <v/>
      </c>
      <c r="S27" s="454">
        <f>S26/(S21+S23)</f>
        <v/>
      </c>
      <c r="T27" s="496">
        <f>T26/(T21+T23)</f>
        <v/>
      </c>
      <c r="U27" s="455" t="n">
        <v>0.3</v>
      </c>
      <c r="V27" s="455">
        <f>U27</f>
        <v/>
      </c>
      <c r="W27" s="496">
        <f>W26/(W21+W23)</f>
        <v/>
      </c>
      <c r="X27" s="455">
        <f>V27+10%</f>
        <v/>
      </c>
      <c r="Y27" s="455">
        <f>X27</f>
        <v/>
      </c>
      <c r="Z27" s="496">
        <f>Z26/(Z21+Z23)</f>
        <v/>
      </c>
      <c r="AA27" s="455">
        <f>Y27+10%</f>
        <v/>
      </c>
      <c r="AB27" s="455">
        <f>AA27</f>
        <v/>
      </c>
      <c r="AC27" s="496">
        <f>AC26/(AC21+AC23)</f>
        <v/>
      </c>
      <c r="AD27" s="455">
        <f>AB27+10%</f>
        <v/>
      </c>
      <c r="AE27" s="455">
        <f>AD27</f>
        <v/>
      </c>
      <c r="AF27" s="496">
        <f>AF26/(AF21+AF23)</f>
        <v/>
      </c>
      <c r="AG27" s="455">
        <f>AE27+10%</f>
        <v/>
      </c>
      <c r="AH27" s="455">
        <f>AG27</f>
        <v/>
      </c>
      <c r="AI27" s="496">
        <f>AI26/(AI21+AI23)</f>
        <v/>
      </c>
    </row>
    <row r="28" ht="12.9" customHeight="1" s="343">
      <c r="B28" s="38" t="n"/>
      <c r="F28" s="454" t="n"/>
      <c r="G28" s="454" t="n"/>
      <c r="H28" s="454" t="n"/>
      <c r="I28" s="454" t="n"/>
      <c r="J28" s="454" t="n"/>
      <c r="K28" s="454" t="n"/>
      <c r="L28" s="454" t="n"/>
      <c r="M28" s="454" t="n"/>
      <c r="N28" s="454" t="n"/>
      <c r="O28" s="454" t="n"/>
      <c r="P28" s="454" t="n"/>
      <c r="Q28" s="454" t="n"/>
      <c r="R28" s="454" t="n"/>
      <c r="S28" s="454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</row>
    <row r="29" ht="12.9" customHeight="1" s="343">
      <c r="B29" s="463" t="inlineStr">
        <is>
          <t>Closing Order Book</t>
        </is>
      </c>
      <c r="D29" s="466">
        <f>E29</f>
        <v/>
      </c>
      <c r="E29" s="452" t="n">
        <v>56.8</v>
      </c>
      <c r="F29" s="452" t="n">
        <v>48.4</v>
      </c>
      <c r="G29" s="466">
        <f>H29</f>
        <v/>
      </c>
      <c r="H29" s="452" t="n">
        <v>63.3</v>
      </c>
      <c r="I29" s="452" t="n">
        <v>72</v>
      </c>
      <c r="J29" s="466">
        <f>K29</f>
        <v/>
      </c>
      <c r="K29" s="452" t="n">
        <v>89.5</v>
      </c>
      <c r="L29" s="466">
        <f>209*K29/(K29+K47)</f>
        <v/>
      </c>
      <c r="M29" s="466">
        <f>N29</f>
        <v/>
      </c>
      <c r="N29" s="452" t="n">
        <v>98.3</v>
      </c>
      <c r="O29" s="452" t="n">
        <v>324.3</v>
      </c>
      <c r="P29" s="466">
        <f>Q29</f>
        <v/>
      </c>
      <c r="Q29" s="452" t="n">
        <v>234.3</v>
      </c>
      <c r="R29" s="452" t="n">
        <v>180.5</v>
      </c>
      <c r="S29" s="466">
        <f>T29</f>
        <v/>
      </c>
      <c r="T29" s="452" t="n">
        <v>272.5</v>
      </c>
      <c r="U29" s="272">
        <f>U21+U23-U26</f>
        <v/>
      </c>
      <c r="V29" s="272">
        <f>V21+V23-V26</f>
        <v/>
      </c>
      <c r="W29" s="272">
        <f>W21+W23-W26</f>
        <v/>
      </c>
      <c r="X29" s="272">
        <f>X21+X23-X26</f>
        <v/>
      </c>
      <c r="Y29" s="272">
        <f>Y21+Y23-Y26</f>
        <v/>
      </c>
      <c r="Z29" s="272">
        <f>Z21+Z23-Z26</f>
        <v/>
      </c>
      <c r="AA29" s="272">
        <f>AA21+AA23-AA26</f>
        <v/>
      </c>
      <c r="AB29" s="272">
        <f>AB21+AB23-AB26</f>
        <v/>
      </c>
      <c r="AC29" s="272">
        <f>AC21+AC23-AC26</f>
        <v/>
      </c>
      <c r="AD29" s="272">
        <f>AD21+AD23-AD26</f>
        <v/>
      </c>
      <c r="AE29" s="272">
        <f>AE21+AE23-AE26</f>
        <v/>
      </c>
      <c r="AF29" s="272">
        <f>AF21+AF23-AF26</f>
        <v/>
      </c>
      <c r="AG29" s="272">
        <f>AG21+AG23-AG26</f>
        <v/>
      </c>
      <c r="AH29" s="272">
        <f>AH21+AH23-AH26</f>
        <v/>
      </c>
      <c r="AI29" s="272">
        <f>AI21+AI23-AI26</f>
        <v/>
      </c>
    </row>
    <row r="30" ht="12.9" customHeight="1" s="343">
      <c r="B30" s="463" t="n"/>
      <c r="C30" s="272" t="n"/>
      <c r="D30" s="272" t="n"/>
      <c r="E30" s="272" t="n"/>
      <c r="F30" s="272" t="n"/>
      <c r="G30" s="272" t="n"/>
      <c r="H30" s="272" t="n"/>
      <c r="I30" s="272" t="n"/>
      <c r="J30" s="272" t="n"/>
      <c r="K30" s="272" t="n"/>
      <c r="L30" s="272" t="n"/>
      <c r="M30" s="272" t="n"/>
      <c r="N30" s="272" t="n"/>
      <c r="O30" s="272" t="n"/>
      <c r="P30" s="272" t="n"/>
      <c r="Q30" s="272" t="n"/>
      <c r="R30" s="272" t="n"/>
      <c r="S30" s="272" t="n"/>
      <c r="T30" s="272" t="n"/>
      <c r="U30" s="272" t="n"/>
      <c r="V30" s="272" t="n"/>
      <c r="W30" s="272" t="n"/>
      <c r="X30" s="272" t="n"/>
      <c r="Y30" s="272" t="n"/>
      <c r="Z30" s="272" t="n"/>
      <c r="AA30" s="272" t="n"/>
      <c r="AB30" s="272" t="n"/>
      <c r="AC30" s="272" t="n"/>
      <c r="AD30" s="272" t="n"/>
      <c r="AE30" s="272" t="n"/>
      <c r="AF30" s="272" t="n"/>
      <c r="AG30" s="272" t="n"/>
      <c r="AH30" s="272" t="n"/>
      <c r="AI30" s="272" t="n"/>
    </row>
    <row r="31" ht="12.9" customHeight="1" s="343">
      <c r="B31" s="38" t="n"/>
      <c r="F31" s="454" t="n"/>
      <c r="G31" s="454" t="n"/>
      <c r="H31" s="454" t="n"/>
      <c r="I31" s="454" t="n"/>
      <c r="J31" s="454" t="n"/>
      <c r="K31" s="454" t="n"/>
      <c r="L31" s="454" t="n"/>
      <c r="M31" s="454" t="n"/>
      <c r="N31" s="454" t="n"/>
      <c r="O31" s="454" t="n"/>
      <c r="P31" s="454" t="n"/>
      <c r="Q31" s="454" t="n"/>
      <c r="R31" s="454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</row>
    <row r="32" ht="12.9" customHeight="1" s="343">
      <c r="B32" s="354" t="inlineStr">
        <is>
          <t>Towers &amp; Reactors</t>
        </is>
      </c>
      <c r="F32" s="454" t="n"/>
      <c r="G32" s="454" t="n"/>
      <c r="H32" s="454" t="n"/>
      <c r="I32" s="454" t="n"/>
      <c r="J32" s="454" t="n"/>
      <c r="K32" s="454" t="n"/>
      <c r="L32" s="454" t="n"/>
      <c r="M32" s="454" t="n"/>
      <c r="N32" s="454" t="n"/>
      <c r="O32" s="454" t="n"/>
      <c r="P32" s="454" t="n"/>
      <c r="Q32" s="454" t="n"/>
      <c r="R32" s="454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</row>
    <row r="33" ht="12.9" customHeight="1" s="343">
      <c r="B33" s="454" t="inlineStr">
        <is>
          <t>Opening order book</t>
        </is>
      </c>
      <c r="D33" s="21">
        <f>C41</f>
        <v/>
      </c>
      <c r="E33" s="21" t="n"/>
      <c r="F33" s="21">
        <f>E41</f>
        <v/>
      </c>
      <c r="G33" s="21">
        <f>F41</f>
        <v/>
      </c>
      <c r="H33" s="21">
        <f>E41</f>
        <v/>
      </c>
      <c r="I33" s="21">
        <f>H41</f>
        <v/>
      </c>
      <c r="J33" s="21">
        <f>I41</f>
        <v/>
      </c>
      <c r="K33" s="21">
        <f>H41</f>
        <v/>
      </c>
      <c r="L33" s="21">
        <f>K41</f>
        <v/>
      </c>
      <c r="M33" s="21">
        <f>L41</f>
        <v/>
      </c>
      <c r="N33" s="21">
        <f>K41</f>
        <v/>
      </c>
      <c r="O33" s="21">
        <f>N41</f>
        <v/>
      </c>
      <c r="P33" s="21">
        <f>O41</f>
        <v/>
      </c>
      <c r="Q33" s="21">
        <f>N41</f>
        <v/>
      </c>
      <c r="R33" s="21">
        <f>Q41</f>
        <v/>
      </c>
      <c r="S33" s="21">
        <f>R41</f>
        <v/>
      </c>
      <c r="T33" s="21">
        <f>Q41</f>
        <v/>
      </c>
      <c r="U33" s="21">
        <f>T41</f>
        <v/>
      </c>
      <c r="V33" s="21">
        <f>U41</f>
        <v/>
      </c>
      <c r="W33" s="21">
        <f>T41</f>
        <v/>
      </c>
      <c r="X33" s="21">
        <f>W41</f>
        <v/>
      </c>
      <c r="Y33" s="21">
        <f>X41</f>
        <v/>
      </c>
      <c r="Z33" s="21">
        <f>W41</f>
        <v/>
      </c>
      <c r="AA33" s="21">
        <f>Z41</f>
        <v/>
      </c>
      <c r="AB33" s="21">
        <f>AA41</f>
        <v/>
      </c>
      <c r="AC33" s="21">
        <f>Z41</f>
        <v/>
      </c>
      <c r="AD33" s="21">
        <f>AC41</f>
        <v/>
      </c>
      <c r="AE33" s="21">
        <f>AD41</f>
        <v/>
      </c>
      <c r="AF33" s="21">
        <f>AC41</f>
        <v/>
      </c>
      <c r="AG33" s="21">
        <f>AF41</f>
        <v/>
      </c>
      <c r="AH33" s="21">
        <f>AG41</f>
        <v/>
      </c>
      <c r="AI33" s="21">
        <f>AF41</f>
        <v/>
      </c>
    </row>
    <row r="34" ht="12.9" customHeight="1" s="343">
      <c r="B34" s="463" t="n"/>
      <c r="F34" s="454" t="n"/>
      <c r="G34" s="454" t="n"/>
      <c r="H34" s="454" t="n"/>
      <c r="I34" s="454" t="n"/>
      <c r="J34" s="454" t="n"/>
      <c r="K34" s="454" t="n"/>
      <c r="L34" s="454" t="n"/>
      <c r="M34" s="454" t="n"/>
      <c r="N34" s="454" t="n"/>
      <c r="O34" s="454" t="n"/>
      <c r="P34" s="454" t="n"/>
      <c r="Q34" s="454" t="n"/>
      <c r="R34" s="454" t="n"/>
      <c r="S34" s="454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</row>
    <row r="35" ht="12.9" customHeight="1" s="343">
      <c r="B35" s="463" t="inlineStr">
        <is>
          <t>Order Inflow</t>
        </is>
      </c>
      <c r="C35" s="272">
        <f>C41-C33+C38</f>
        <v/>
      </c>
      <c r="D35" s="272">
        <f>D41-D33+D38</f>
        <v/>
      </c>
      <c r="E35" s="272">
        <f>E41-E33+E38</f>
        <v/>
      </c>
      <c r="F35" s="272">
        <f>F41-F33+F38</f>
        <v/>
      </c>
      <c r="G35" s="272">
        <f>G41-G33+G38</f>
        <v/>
      </c>
      <c r="H35" s="272">
        <f>H41-H33+H38</f>
        <v/>
      </c>
      <c r="I35" s="272">
        <f>I41-I33+I38</f>
        <v/>
      </c>
      <c r="J35" s="272">
        <f>J41-J33+J38</f>
        <v/>
      </c>
      <c r="K35" s="272">
        <f>K41-K33+K38</f>
        <v/>
      </c>
      <c r="L35" s="272">
        <f>L41-L33+L38</f>
        <v/>
      </c>
      <c r="M35" s="272">
        <f>M41-M33+M38</f>
        <v/>
      </c>
      <c r="N35" s="272">
        <f>N41-N33+N38</f>
        <v/>
      </c>
      <c r="O35" s="272">
        <f>O41-O33+O38</f>
        <v/>
      </c>
      <c r="P35" s="272">
        <f>P41-P33+P38</f>
        <v/>
      </c>
      <c r="Q35" s="272">
        <f>Q41-Q33+Q38</f>
        <v/>
      </c>
      <c r="R35" s="272">
        <f>R41-R33+R38</f>
        <v/>
      </c>
      <c r="S35" s="272">
        <f>S41-S33+S38</f>
        <v/>
      </c>
      <c r="T35" s="21">
        <f>R35+S35</f>
        <v/>
      </c>
      <c r="U35" s="272">
        <f>AVERAGE(MAX(L35,0),MAX(O35,0),MAX(R35,0))*(1+U36)</f>
        <v/>
      </c>
      <c r="V35" s="272">
        <f>AVERAGE(MAX(M35,0),MAX(P35,0),MAX(S35,0))*(1+V36)</f>
        <v/>
      </c>
      <c r="W35" s="21">
        <f>U35+V35</f>
        <v/>
      </c>
      <c r="X35" s="272">
        <f>AVERAGE(MAX(O35,0),MAX(R35,0),MAX(U35,0))*(1+X36)</f>
        <v/>
      </c>
      <c r="Y35" s="272">
        <f>AVERAGE(MAX(P35,0),MAX(S35,0),MAX(V35,0))*(1+Y36)</f>
        <v/>
      </c>
      <c r="Z35" s="272">
        <f>X35+Y35</f>
        <v/>
      </c>
      <c r="AA35" s="272">
        <f>AVERAGE(MAX(R35,0),MAX(U35,0),MAX(X35,0))*(1+AA36)</f>
        <v/>
      </c>
      <c r="AB35" s="272">
        <f>AVERAGE(MAX(S35,0),MAX(V35,0),MAX(Y35,0))*(1+AB36)</f>
        <v/>
      </c>
      <c r="AC35" s="272">
        <f>AA35+AB35</f>
        <v/>
      </c>
      <c r="AD35" s="272">
        <f>AVERAGE(MAX(U35,0),MAX(X35,0),MAX(AA35,0))*(1+AD36)</f>
        <v/>
      </c>
      <c r="AE35" s="272">
        <f>AVERAGE(MAX(V35,0),MAX(Y35,0),MAX(AB35,0))*(1+AE36)</f>
        <v/>
      </c>
      <c r="AF35" s="272">
        <f>AD35+AE35</f>
        <v/>
      </c>
      <c r="AG35" s="272">
        <f>AVERAGE(MAX(X35,0),MAX(AA35,0),MAX(AD35,0))*(1+AG36)</f>
        <v/>
      </c>
      <c r="AH35" s="272">
        <f>AVERAGE(MAX(Y35,0),MAX(AB35,0),MAX(AE35,0))*(1+AH36)</f>
        <v/>
      </c>
      <c r="AI35" s="272">
        <f>AG35+AH35</f>
        <v/>
      </c>
    </row>
    <row r="36" ht="12.9" customHeight="1" s="343">
      <c r="B36" s="463" t="inlineStr">
        <is>
          <t>Growth %</t>
        </is>
      </c>
      <c r="C36" s="454" t="n"/>
      <c r="D36" s="272" t="n"/>
      <c r="E36" s="272" t="n"/>
      <c r="F36" s="33" t="n"/>
      <c r="G36" s="33" t="n"/>
      <c r="H36" s="454">
        <f>(H35-E35)/E35</f>
        <v/>
      </c>
      <c r="I36" s="454">
        <f>(I35-F35)/F35</f>
        <v/>
      </c>
      <c r="J36" s="454">
        <f>(J35-G35)/G35</f>
        <v/>
      </c>
      <c r="K36" s="454">
        <f>(K35-H35)/H35</f>
        <v/>
      </c>
      <c r="L36" s="454">
        <f>(L35-I35)/I35</f>
        <v/>
      </c>
      <c r="M36" s="454">
        <f>(M35-J35)/J35</f>
        <v/>
      </c>
      <c r="N36" s="454">
        <f>(N35-K35)/K35</f>
        <v/>
      </c>
      <c r="O36" s="454">
        <f>(O35-L35)/L35</f>
        <v/>
      </c>
      <c r="P36" s="454">
        <f>(P35-M35)/M35</f>
        <v/>
      </c>
      <c r="Q36" s="454">
        <f>(Q35-N35)/N35</f>
        <v/>
      </c>
      <c r="R36" s="454">
        <f>(R35-O35)/O35</f>
        <v/>
      </c>
      <c r="S36" s="454">
        <f>(S35-P35)/P35</f>
        <v/>
      </c>
      <c r="T36" s="454">
        <f>(T35-Q35)/Q35</f>
        <v/>
      </c>
      <c r="U36" s="455" t="n">
        <v>0.1</v>
      </c>
      <c r="V36" s="455">
        <f>U36</f>
        <v/>
      </c>
      <c r="W36" s="454">
        <f>(W35-T35)/T35</f>
        <v/>
      </c>
      <c r="X36" s="455">
        <f>V36+10%</f>
        <v/>
      </c>
      <c r="Y36" s="455">
        <f>X36</f>
        <v/>
      </c>
      <c r="Z36" s="454">
        <f>(Z35-W35)/W35</f>
        <v/>
      </c>
      <c r="AA36" s="455">
        <f>Y36+10%</f>
        <v/>
      </c>
      <c r="AB36" s="455">
        <f>AA36</f>
        <v/>
      </c>
      <c r="AC36" s="454">
        <f>(AC35-Z35)/Z35</f>
        <v/>
      </c>
      <c r="AD36" s="455">
        <f>AB36+10%</f>
        <v/>
      </c>
      <c r="AE36" s="455">
        <f>AD36</f>
        <v/>
      </c>
      <c r="AF36" s="454">
        <f>(AF35-AC35)/AC35</f>
        <v/>
      </c>
      <c r="AG36" s="455">
        <f>AE36+10%</f>
        <v/>
      </c>
      <c r="AH36" s="455">
        <f>AG36</f>
        <v/>
      </c>
      <c r="AI36" s="454">
        <f>(AI35-AF35)/AF35</f>
        <v/>
      </c>
    </row>
    <row r="37" ht="12.9" customHeight="1" s="343">
      <c r="B37" s="6" t="n"/>
      <c r="F37" s="454" t="n"/>
      <c r="G37" s="454" t="n"/>
      <c r="H37" s="454" t="n"/>
      <c r="I37" s="454" t="n"/>
      <c r="J37" s="454" t="n"/>
      <c r="K37" s="454" t="n"/>
      <c r="L37" s="454" t="n"/>
      <c r="M37" s="454" t="n"/>
      <c r="N37" s="454" t="n"/>
      <c r="O37" s="454" t="n"/>
      <c r="P37" s="454" t="n"/>
      <c r="Q37" s="454" t="n"/>
      <c r="R37" s="454" t="n"/>
      <c r="S37" s="454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</row>
    <row r="38" ht="12.9" customHeight="1" s="343">
      <c r="B38" s="463" t="inlineStr">
        <is>
          <t>Revenue Executed</t>
        </is>
      </c>
      <c r="D38" s="12">
        <f>E38-C38</f>
        <v/>
      </c>
      <c r="G38" s="12">
        <f>H38-F38</f>
        <v/>
      </c>
      <c r="H38" s="452" t="n">
        <v>22</v>
      </c>
      <c r="I38" s="452" t="n">
        <v>3.3</v>
      </c>
      <c r="J38" s="12">
        <f>K38-I38</f>
        <v/>
      </c>
      <c r="K38" s="452" t="n">
        <v>30.6</v>
      </c>
      <c r="L38" s="21">
        <f>28.9*K38/(K26+K38)</f>
        <v/>
      </c>
      <c r="M38" s="21">
        <f>N38-L38</f>
        <v/>
      </c>
      <c r="N38" s="452" t="n">
        <v>49.7</v>
      </c>
      <c r="O38" s="452" t="n">
        <v>48.1</v>
      </c>
      <c r="P38" s="12">
        <f>Q38-O38</f>
        <v/>
      </c>
      <c r="Q38" s="452" t="n">
        <v>94.90000000000001</v>
      </c>
      <c r="R38" s="452" t="n">
        <v>24.5</v>
      </c>
      <c r="S38" s="12">
        <f>T38-R38</f>
        <v/>
      </c>
      <c r="T38" s="452" t="n">
        <v>49.9</v>
      </c>
      <c r="U38" s="21">
        <f>U39*(U33+U35)</f>
        <v/>
      </c>
      <c r="V38" s="21">
        <f>V39*(V33+V35)</f>
        <v/>
      </c>
      <c r="W38" s="21">
        <f>U38+V38</f>
        <v/>
      </c>
      <c r="X38" s="21">
        <f>X39*(X33+X35)</f>
        <v/>
      </c>
      <c r="Y38" s="21">
        <f>Y39*(Y33+Y35)</f>
        <v/>
      </c>
      <c r="Z38" s="21">
        <f>X38+Y38</f>
        <v/>
      </c>
      <c r="AA38" s="21">
        <f>AA39*(AA33+AA35)</f>
        <v/>
      </c>
      <c r="AB38" s="21">
        <f>AB39*(AB33+AB35)</f>
        <v/>
      </c>
      <c r="AC38" s="21">
        <f>AA38+AB38</f>
        <v/>
      </c>
      <c r="AD38" s="21">
        <f>AD39*(AD33+AD35)</f>
        <v/>
      </c>
      <c r="AE38" s="21">
        <f>AE39*(AE33+AE35)</f>
        <v/>
      </c>
      <c r="AF38" s="21">
        <f>AD38+AE38</f>
        <v/>
      </c>
      <c r="AG38" s="21">
        <f>AG39*(AG33+AG35)</f>
        <v/>
      </c>
      <c r="AH38" s="21">
        <f>AH39*(AH33+AH35)</f>
        <v/>
      </c>
      <c r="AI38" s="21">
        <f>AG38+AH38</f>
        <v/>
      </c>
    </row>
    <row r="39" ht="12.9" customHeight="1" s="343">
      <c r="B39" s="38" t="inlineStr">
        <is>
          <t>Execution %</t>
        </is>
      </c>
      <c r="F39" s="454">
        <f>F38/(F33+F35)</f>
        <v/>
      </c>
      <c r="G39" s="454">
        <f>G38/(G33+G35)</f>
        <v/>
      </c>
      <c r="H39" s="454">
        <f>H38/(H33+H35)</f>
        <v/>
      </c>
      <c r="I39" s="454">
        <f>I38/(I33+I35)</f>
        <v/>
      </c>
      <c r="J39" s="454">
        <f>J38/(J33+J35)</f>
        <v/>
      </c>
      <c r="K39" s="454">
        <f>K38/(K33+K35)</f>
        <v/>
      </c>
      <c r="L39" s="454">
        <f>L38/(L33+L35)</f>
        <v/>
      </c>
      <c r="M39" s="454">
        <f>M38/(M33+M35)</f>
        <v/>
      </c>
      <c r="N39" s="454">
        <f>N38/(N33+N35)</f>
        <v/>
      </c>
      <c r="O39" s="454">
        <f>O38/(O33+O35)</f>
        <v/>
      </c>
      <c r="P39" s="454">
        <f>P38/(P33+P35)</f>
        <v/>
      </c>
      <c r="Q39" s="454">
        <f>Q38/(Q33+Q35)</f>
        <v/>
      </c>
      <c r="R39" s="454">
        <f>R38/(R33+R35)</f>
        <v/>
      </c>
      <c r="S39" s="454">
        <f>S38/(S33+S35)</f>
        <v/>
      </c>
      <c r="T39" s="496">
        <f>T38/(T33+T35)</f>
        <v/>
      </c>
      <c r="U39" s="455" t="n">
        <v>0.6</v>
      </c>
      <c r="V39" s="455">
        <f>U39</f>
        <v/>
      </c>
      <c r="W39" s="496">
        <f>W38/(W33+W35)</f>
        <v/>
      </c>
      <c r="X39" s="455">
        <f>V39+5%</f>
        <v/>
      </c>
      <c r="Y39" s="455">
        <f>X39</f>
        <v/>
      </c>
      <c r="Z39" s="496">
        <f>Z38/(Z33+Z35)</f>
        <v/>
      </c>
      <c r="AA39" s="455">
        <f>Y39+5%</f>
        <v/>
      </c>
      <c r="AB39" s="455">
        <f>AA39</f>
        <v/>
      </c>
      <c r="AC39" s="496">
        <f>AC38/(AC33+AC35)</f>
        <v/>
      </c>
      <c r="AD39" s="455">
        <f>AB39+5%</f>
        <v/>
      </c>
      <c r="AE39" s="455">
        <f>AD39</f>
        <v/>
      </c>
      <c r="AF39" s="496">
        <f>AF38/(AF33+AF35)</f>
        <v/>
      </c>
      <c r="AG39" s="455">
        <f>AE39+5%</f>
        <v/>
      </c>
      <c r="AH39" s="455">
        <f>AG39</f>
        <v/>
      </c>
      <c r="AI39" s="496">
        <f>AI38/(AI33+AI35)</f>
        <v/>
      </c>
    </row>
    <row r="40" ht="12.9" customHeight="1" s="343">
      <c r="B40" s="463" t="n"/>
      <c r="C40" s="454" t="n"/>
      <c r="D40" s="454" t="n"/>
      <c r="E40" s="454" t="n"/>
      <c r="F40" s="454" t="n"/>
      <c r="G40" s="454" t="n"/>
      <c r="H40" s="454" t="n"/>
      <c r="I40" s="454" t="n"/>
      <c r="J40" s="454" t="n"/>
      <c r="K40" s="454" t="n"/>
      <c r="L40" s="454" t="n"/>
      <c r="M40" s="454" t="n"/>
      <c r="N40" s="454" t="n"/>
      <c r="O40" s="454" t="n"/>
      <c r="P40" s="454" t="n"/>
      <c r="Q40" s="454" t="n"/>
      <c r="R40" s="454" t="n"/>
      <c r="S40" s="454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</row>
    <row r="41" ht="12.9" customHeight="1" s="343">
      <c r="B41" s="463" t="inlineStr">
        <is>
          <t>Closing Order Book</t>
        </is>
      </c>
      <c r="D41" s="466">
        <f>E41</f>
        <v/>
      </c>
      <c r="E41" s="452" t="n">
        <v>18</v>
      </c>
      <c r="F41" s="452" t="n">
        <v>27.8</v>
      </c>
      <c r="G41" s="466">
        <f>H41</f>
        <v/>
      </c>
      <c r="H41" s="452" t="n">
        <v>15.7</v>
      </c>
      <c r="I41" s="452" t="n">
        <v>93.2</v>
      </c>
      <c r="J41" s="466">
        <f>K41</f>
        <v/>
      </c>
      <c r="K41" s="452" t="n">
        <v>90.3</v>
      </c>
      <c r="L41" s="466">
        <f>209*K41/(K31+K41)</f>
        <v/>
      </c>
      <c r="M41" s="466">
        <f>N41</f>
        <v/>
      </c>
      <c r="N41" s="452" t="n">
        <v>174</v>
      </c>
      <c r="O41" s="452" t="n">
        <v>151.5</v>
      </c>
      <c r="P41" s="466">
        <f>Q41</f>
        <v/>
      </c>
      <c r="Q41" s="452" t="n">
        <v>56</v>
      </c>
      <c r="R41" s="452" t="n">
        <v>33.9</v>
      </c>
      <c r="S41" s="466">
        <f>T41</f>
        <v/>
      </c>
      <c r="T41" s="452" t="n">
        <v>8.1</v>
      </c>
      <c r="U41" s="272">
        <f>U33+U35-U38</f>
        <v/>
      </c>
      <c r="V41" s="272">
        <f>V33+V35-V38</f>
        <v/>
      </c>
      <c r="W41" s="272">
        <f>W33+W35-W38</f>
        <v/>
      </c>
      <c r="X41" s="272">
        <f>X33+X35-X38</f>
        <v/>
      </c>
      <c r="Y41" s="272">
        <f>Y33+Y35-Y38</f>
        <v/>
      </c>
      <c r="Z41" s="272">
        <f>Z33+Z35-Z38</f>
        <v/>
      </c>
      <c r="AA41" s="272">
        <f>AA33+AA35-AA38</f>
        <v/>
      </c>
      <c r="AB41" s="272">
        <f>AB33+AB35-AB38</f>
        <v/>
      </c>
      <c r="AC41" s="272">
        <f>AC33+AC35-AC38</f>
        <v/>
      </c>
      <c r="AD41" s="272">
        <f>AD33+AD35-AD38</f>
        <v/>
      </c>
      <c r="AE41" s="272">
        <f>AE33+AE35-AE38</f>
        <v/>
      </c>
      <c r="AF41" s="272">
        <f>AF33+AF35-AF38</f>
        <v/>
      </c>
      <c r="AG41" s="272">
        <f>AG33+AG35-AG38</f>
        <v/>
      </c>
      <c r="AH41" s="272">
        <f>AH33+AH35-AH38</f>
        <v/>
      </c>
      <c r="AI41" s="272">
        <f>AI33+AI35-AI38</f>
        <v/>
      </c>
    </row>
    <row r="42" ht="12.9" customHeight="1" s="343">
      <c r="B42" s="463" t="n"/>
      <c r="C42" s="454" t="n"/>
      <c r="D42" s="454" t="n"/>
      <c r="E42" s="454" t="n"/>
      <c r="F42" s="454" t="n"/>
      <c r="G42" s="454" t="n"/>
      <c r="H42" s="454" t="n"/>
      <c r="I42" s="454" t="n"/>
      <c r="J42" s="454" t="n"/>
      <c r="K42" s="454" t="n"/>
      <c r="L42" s="454" t="n"/>
      <c r="M42" s="454" t="n"/>
      <c r="N42" s="454" t="n"/>
      <c r="O42" s="454" t="n"/>
      <c r="P42" s="454" t="n"/>
      <c r="Q42" s="454" t="n"/>
      <c r="R42" s="454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</row>
    <row r="43" ht="12.9" customHeight="1" s="343">
      <c r="B43" s="38" t="n"/>
      <c r="C43" s="454" t="n"/>
      <c r="D43" s="454" t="n"/>
      <c r="E43" s="454" t="n"/>
      <c r="F43" s="454" t="n"/>
      <c r="G43" s="454" t="n"/>
      <c r="H43" s="454" t="n"/>
      <c r="I43" s="454" t="n"/>
      <c r="J43" s="454" t="n"/>
      <c r="K43" s="454" t="n"/>
      <c r="L43" s="454" t="n"/>
      <c r="M43" s="454" t="n"/>
      <c r="N43" s="454" t="n"/>
      <c r="O43" s="454" t="n"/>
      <c r="P43" s="454" t="n"/>
      <c r="Q43" s="454" t="n"/>
      <c r="R43" s="454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</row>
    <row r="44" ht="12.9" customHeight="1" s="343">
      <c r="B44" s="354" t="inlineStr">
        <is>
          <t>Tank &amp; Silos</t>
        </is>
      </c>
      <c r="C44" s="454" t="n"/>
      <c r="D44" s="454" t="n"/>
      <c r="E44" s="454" t="n"/>
      <c r="F44" s="454" t="n"/>
      <c r="G44" s="454" t="n"/>
      <c r="H44" s="454" t="n"/>
      <c r="I44" s="454" t="n"/>
      <c r="J44" s="454" t="n"/>
      <c r="K44" s="454" t="n"/>
      <c r="L44" s="454" t="n"/>
      <c r="M44" s="454" t="n"/>
      <c r="N44" s="454" t="n"/>
      <c r="O44" s="454" t="n"/>
      <c r="P44" s="454" t="n"/>
      <c r="Q44" s="454" t="n"/>
      <c r="R44" s="454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</row>
    <row r="45" ht="12.9" customHeight="1" s="343">
      <c r="B45" s="454" t="inlineStr">
        <is>
          <t>Opening order book</t>
        </is>
      </c>
      <c r="D45" s="21">
        <f>C53</f>
        <v/>
      </c>
      <c r="E45" s="21" t="n"/>
      <c r="F45" s="21">
        <f>E53</f>
        <v/>
      </c>
      <c r="G45" s="21">
        <f>F53</f>
        <v/>
      </c>
      <c r="H45" s="21">
        <f>E53</f>
        <v/>
      </c>
      <c r="I45" s="21">
        <f>H53</f>
        <v/>
      </c>
      <c r="J45" s="21">
        <f>I53</f>
        <v/>
      </c>
      <c r="K45" s="21">
        <f>H53</f>
        <v/>
      </c>
      <c r="L45" s="21">
        <f>K53</f>
        <v/>
      </c>
      <c r="M45" s="21">
        <f>L53</f>
        <v/>
      </c>
      <c r="N45" s="21">
        <f>K53</f>
        <v/>
      </c>
      <c r="O45" s="21">
        <f>N53</f>
        <v/>
      </c>
      <c r="P45" s="21">
        <f>O53</f>
        <v/>
      </c>
      <c r="Q45" s="21">
        <f>N53</f>
        <v/>
      </c>
      <c r="R45" s="21">
        <f>Q53</f>
        <v/>
      </c>
      <c r="S45" s="21">
        <f>R53</f>
        <v/>
      </c>
      <c r="T45" s="21">
        <f>Q53</f>
        <v/>
      </c>
      <c r="U45" s="21">
        <f>T53</f>
        <v/>
      </c>
      <c r="V45" s="21">
        <f>U53</f>
        <v/>
      </c>
      <c r="W45" s="21">
        <f>T53</f>
        <v/>
      </c>
      <c r="X45" s="21">
        <f>W53</f>
        <v/>
      </c>
      <c r="Y45" s="21">
        <f>X53</f>
        <v/>
      </c>
      <c r="Z45" s="21">
        <f>W53</f>
        <v/>
      </c>
      <c r="AA45" s="21">
        <f>Z53</f>
        <v/>
      </c>
      <c r="AB45" s="21">
        <f>AA53</f>
        <v/>
      </c>
      <c r="AC45" s="21">
        <f>Z53</f>
        <v/>
      </c>
      <c r="AD45" s="21">
        <f>AC53</f>
        <v/>
      </c>
      <c r="AE45" s="21">
        <f>AD53</f>
        <v/>
      </c>
      <c r="AF45" s="21">
        <f>AC53</f>
        <v/>
      </c>
      <c r="AG45" s="21">
        <f>AF53</f>
        <v/>
      </c>
      <c r="AH45" s="21">
        <f>AG53</f>
        <v/>
      </c>
      <c r="AI45" s="21">
        <f>AF53</f>
        <v/>
      </c>
    </row>
    <row r="46" ht="12.9" customHeight="1" s="343">
      <c r="B46" s="463" t="n"/>
      <c r="C46" s="454" t="n"/>
      <c r="D46" s="454" t="n"/>
      <c r="E46" s="454" t="n"/>
      <c r="F46" s="454" t="n"/>
      <c r="G46" s="454" t="n"/>
      <c r="H46" s="454" t="n"/>
      <c r="I46" s="454" t="n"/>
      <c r="J46" s="454" t="n"/>
      <c r="K46" s="454" t="n"/>
      <c r="L46" s="454" t="n"/>
      <c r="M46" s="454" t="n"/>
      <c r="N46" s="454" t="n"/>
      <c r="O46" s="454" t="n"/>
      <c r="P46" s="454" t="n"/>
      <c r="Q46" s="454" t="n"/>
      <c r="R46" s="454" t="n"/>
      <c r="S46" s="454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</row>
    <row r="47" ht="12.9" customHeight="1" s="343">
      <c r="B47" s="463" t="inlineStr">
        <is>
          <t>Order Inflow</t>
        </is>
      </c>
      <c r="C47" s="272">
        <f>C53-C45+C50</f>
        <v/>
      </c>
      <c r="D47" s="272">
        <f>D53-D45+D50</f>
        <v/>
      </c>
      <c r="E47" s="272">
        <f>E53-E45+E50</f>
        <v/>
      </c>
      <c r="F47" s="272">
        <f>F53-F45+F50</f>
        <v/>
      </c>
      <c r="G47" s="272">
        <f>G53-G45+G50</f>
        <v/>
      </c>
      <c r="H47" s="272">
        <f>H53-H45+H50</f>
        <v/>
      </c>
      <c r="I47" s="272">
        <f>I53-I45+I50</f>
        <v/>
      </c>
      <c r="J47" s="272">
        <f>J53-J45+J50</f>
        <v/>
      </c>
      <c r="K47" s="272">
        <f>K53-K45+K50</f>
        <v/>
      </c>
      <c r="L47" s="272">
        <f>L53-L45+L50</f>
        <v/>
      </c>
      <c r="M47" s="272">
        <f>M53-M45+M50</f>
        <v/>
      </c>
      <c r="N47" s="272">
        <f>N53-N45+N50</f>
        <v/>
      </c>
      <c r="O47" s="272">
        <f>O53-O45+O50</f>
        <v/>
      </c>
      <c r="P47" s="272">
        <f>P53-P45+P50</f>
        <v/>
      </c>
      <c r="Q47" s="272">
        <f>Q53-Q45+Q50</f>
        <v/>
      </c>
      <c r="R47" s="272">
        <f>R53-R45+R50</f>
        <v/>
      </c>
      <c r="S47" s="272">
        <f>S53-S45+S50</f>
        <v/>
      </c>
      <c r="T47" s="21">
        <f>R47+S47</f>
        <v/>
      </c>
      <c r="U47" s="272">
        <f>AVERAGE(MAX(L47,0),MAX(O47,0),MAX(R47,0))*(1+U48)</f>
        <v/>
      </c>
      <c r="V47" s="272">
        <f>AVERAGE(MAX(M47,0),MAX(P47,0),MAX(S47,0))*(1+V48)</f>
        <v/>
      </c>
      <c r="W47" s="272">
        <f>U47+V47</f>
        <v/>
      </c>
      <c r="X47" s="272">
        <f>AVERAGE(MAX(O47,0),MAX(R47,0),MAX(U47,0))*(1+X48)</f>
        <v/>
      </c>
      <c r="Y47" s="272">
        <f>AVERAGE(MAX(P47,0),MAX(S47,0),MAX(V47,0))*(1+Y48)</f>
        <v/>
      </c>
      <c r="Z47" s="272">
        <f>X47+Y47</f>
        <v/>
      </c>
      <c r="AA47" s="272">
        <f>AVERAGE(MAX(R47,0),MAX(U47,0),MAX(X47,0))*(1+AA48)</f>
        <v/>
      </c>
      <c r="AB47" s="272">
        <f>AVERAGE(MAX(S47,0),MAX(V47,0),MAX(Y47,0))*(1+AB48)</f>
        <v/>
      </c>
      <c r="AC47" s="272">
        <f>AA47+AB47</f>
        <v/>
      </c>
      <c r="AD47" s="272">
        <f>AVERAGE(MAX(U47,0),MAX(X47,0),MAX(AA47,0))*(1+AD48)</f>
        <v/>
      </c>
      <c r="AE47" s="272">
        <f>AVERAGE(MAX(V47,0),MAX(Y47,0),MAX(AB47,0))*(1+AE48)</f>
        <v/>
      </c>
      <c r="AF47" s="272">
        <f>AD47+AE47</f>
        <v/>
      </c>
      <c r="AG47" s="272">
        <f>AVERAGE(MAX(X47,0),MAX(AA47,0),MAX(AD47,0))*(1+AG48)</f>
        <v/>
      </c>
      <c r="AH47" s="272">
        <f>AVERAGE(MAX(Y47,0),MAX(AB47,0),MAX(AE47,0))*(1+AH48)</f>
        <v/>
      </c>
      <c r="AI47" s="272">
        <f>AG47+AH47</f>
        <v/>
      </c>
    </row>
    <row r="48" ht="12.9" customHeight="1" s="343">
      <c r="B48" s="463" t="inlineStr">
        <is>
          <t>Growth %</t>
        </is>
      </c>
      <c r="C48" s="272" t="n"/>
      <c r="D48" s="272" t="n"/>
      <c r="E48" s="272" t="n"/>
      <c r="F48" s="272" t="n"/>
      <c r="G48" s="272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497" t="n"/>
      <c r="S48" s="454">
        <f>(S47-P47)/P47</f>
        <v/>
      </c>
      <c r="T48" s="454">
        <f>(T47-Q47)/Q47</f>
        <v/>
      </c>
      <c r="U48" s="455" t="n">
        <v>0.15</v>
      </c>
      <c r="V48" s="455">
        <f>U48</f>
        <v/>
      </c>
      <c r="W48" s="454">
        <f>(W47-T47)/T47</f>
        <v/>
      </c>
      <c r="X48" s="455">
        <f>V48+10%</f>
        <v/>
      </c>
      <c r="Y48" s="455">
        <f>X48</f>
        <v/>
      </c>
      <c r="Z48" s="454">
        <f>(Z47-W47)/W47</f>
        <v/>
      </c>
      <c r="AA48" s="455">
        <f>Y48+10%</f>
        <v/>
      </c>
      <c r="AB48" s="455">
        <f>AA48</f>
        <v/>
      </c>
      <c r="AC48" s="454">
        <f>(AC47-Z47)/Z47</f>
        <v/>
      </c>
      <c r="AD48" s="455">
        <f>AB48+10%</f>
        <v/>
      </c>
      <c r="AE48" s="455">
        <f>AD48</f>
        <v/>
      </c>
      <c r="AF48" s="454">
        <f>(AF47-AC47)/AC47</f>
        <v/>
      </c>
      <c r="AG48" s="455">
        <f>AE48+10%</f>
        <v/>
      </c>
      <c r="AH48" s="455">
        <f>AG48</f>
        <v/>
      </c>
      <c r="AI48" s="454">
        <f>(AI47-AF47)/AF47</f>
        <v/>
      </c>
    </row>
    <row r="49" ht="12.9" customHeight="1" s="343">
      <c r="B49" s="6" t="n"/>
      <c r="C49" s="454" t="n"/>
      <c r="D49" s="454" t="n"/>
      <c r="E49" s="454" t="n"/>
      <c r="F49" s="454" t="n"/>
      <c r="G49" s="454" t="n"/>
      <c r="H49" s="454" t="n"/>
      <c r="I49" s="454" t="n"/>
      <c r="J49" s="454" t="n"/>
      <c r="K49" s="454" t="n"/>
      <c r="L49" s="454" t="n"/>
      <c r="M49" s="454" t="n"/>
      <c r="N49" s="454" t="n"/>
      <c r="O49" s="454" t="n"/>
      <c r="P49" s="454" t="n"/>
      <c r="Q49" s="454" t="n"/>
      <c r="R49" s="454" t="n"/>
      <c r="S49" s="454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</row>
    <row r="50" ht="12.9" customHeight="1" s="343">
      <c r="B50" s="463" t="inlineStr">
        <is>
          <t>Revenue Executed</t>
        </is>
      </c>
      <c r="C50" s="18" t="n"/>
      <c r="D50" s="452">
        <f>E50-C50</f>
        <v/>
      </c>
      <c r="E50" s="18" t="n"/>
      <c r="F50" s="18" t="n"/>
      <c r="G50" s="12">
        <f>H50-F50</f>
        <v/>
      </c>
      <c r="H50" s="18" t="n"/>
      <c r="I50" s="18" t="n"/>
      <c r="J50" s="12">
        <f>K50-I50</f>
        <v/>
      </c>
      <c r="K50" s="18" t="n"/>
      <c r="L50" s="18" t="n"/>
      <c r="M50" s="12">
        <f>N50-L50</f>
        <v/>
      </c>
      <c r="N50" s="18" t="n"/>
      <c r="P50" s="12">
        <f>Q50-O50</f>
        <v/>
      </c>
      <c r="Q50" s="452" t="n"/>
      <c r="R50" s="452" t="n">
        <v>3.2</v>
      </c>
      <c r="S50" s="12">
        <f>T50-R50</f>
        <v/>
      </c>
      <c r="T50" s="452" t="n">
        <v>26.3</v>
      </c>
      <c r="U50" s="21">
        <f>U51*(U45+U47)</f>
        <v/>
      </c>
      <c r="V50" s="21">
        <f>V51*(V45+V47)</f>
        <v/>
      </c>
      <c r="W50" s="21">
        <f>U50+V50</f>
        <v/>
      </c>
      <c r="X50" s="21">
        <f>X51*(X45+X47)</f>
        <v/>
      </c>
      <c r="Y50" s="21">
        <f>Y51*(Y45+Y47)</f>
        <v/>
      </c>
      <c r="Z50" s="21">
        <f>X50+Y50</f>
        <v/>
      </c>
      <c r="AA50" s="21">
        <f>AA51*(AA45+AA47)</f>
        <v/>
      </c>
      <c r="AB50" s="21">
        <f>AB51*(AB45+AB47)</f>
        <v/>
      </c>
      <c r="AC50" s="21">
        <f>AA50+AB50</f>
        <v/>
      </c>
      <c r="AD50" s="21">
        <f>AD51*(AD45+AD47)</f>
        <v/>
      </c>
      <c r="AE50" s="21">
        <f>AE51*(AE45+AE47)</f>
        <v/>
      </c>
      <c r="AF50" s="21">
        <f>AD50+AE50</f>
        <v/>
      </c>
      <c r="AG50" s="21">
        <f>AG51*(AG45+AG47)</f>
        <v/>
      </c>
      <c r="AH50" s="21">
        <f>AH51*(AH45+AH47)</f>
        <v/>
      </c>
      <c r="AI50" s="21">
        <f>AG50+AH50</f>
        <v/>
      </c>
    </row>
    <row r="51" ht="12.9" customHeight="1" s="343">
      <c r="B51" s="38" t="inlineStr">
        <is>
          <t>Execution %</t>
        </is>
      </c>
      <c r="C51" s="18" t="n"/>
      <c r="D51" s="452" t="n"/>
      <c r="E51" s="18" t="n"/>
      <c r="F51" s="18" t="n"/>
      <c r="H51" s="18" t="n"/>
      <c r="I51" s="18" t="n"/>
      <c r="K51" s="18" t="n"/>
      <c r="L51" s="18" t="n"/>
      <c r="N51" s="18" t="n"/>
      <c r="Q51" s="454" t="n"/>
      <c r="R51" s="454">
        <f>R50/(R45+R47)</f>
        <v/>
      </c>
      <c r="S51" s="454">
        <f>S50/(S45+S47)</f>
        <v/>
      </c>
      <c r="T51" s="454">
        <f>T50/(T45+T47)</f>
        <v/>
      </c>
      <c r="U51" s="455" t="n">
        <v>0.15</v>
      </c>
      <c r="V51" s="455">
        <f>U51</f>
        <v/>
      </c>
      <c r="W51" s="496">
        <f>W50/(W45+W47)</f>
        <v/>
      </c>
      <c r="X51" s="455">
        <f>V51+15%</f>
        <v/>
      </c>
      <c r="Y51" s="455">
        <f>X51</f>
        <v/>
      </c>
      <c r="Z51" s="496">
        <f>Z50/(Z45+Z47)</f>
        <v/>
      </c>
      <c r="AA51" s="455">
        <f>Y51+15%</f>
        <v/>
      </c>
      <c r="AB51" s="455">
        <f>AA51</f>
        <v/>
      </c>
      <c r="AC51" s="496">
        <f>AC50/(AC45+AC47)</f>
        <v/>
      </c>
      <c r="AD51" s="455">
        <f>AB51+15%</f>
        <v/>
      </c>
      <c r="AE51" s="455">
        <f>AD51</f>
        <v/>
      </c>
      <c r="AF51" s="496">
        <f>AF50/(AF45+AF47)</f>
        <v/>
      </c>
      <c r="AG51" s="455">
        <f>AE51+15%</f>
        <v/>
      </c>
      <c r="AH51" s="455">
        <f>AG51</f>
        <v/>
      </c>
      <c r="AI51" s="496">
        <f>AI50/(AI45+AI47)</f>
        <v/>
      </c>
    </row>
    <row r="52" ht="12.9" customHeight="1" s="343">
      <c r="B52" s="463" t="n"/>
      <c r="C52" s="454" t="n"/>
      <c r="D52" s="454" t="n"/>
      <c r="E52" s="454" t="n"/>
      <c r="F52" s="454" t="n"/>
      <c r="G52" s="454" t="n"/>
      <c r="H52" s="454" t="n"/>
      <c r="I52" s="454" t="n"/>
      <c r="J52" s="454" t="n"/>
      <c r="K52" s="454" t="n"/>
      <c r="L52" s="454" t="n"/>
      <c r="M52" s="454" t="n"/>
      <c r="N52" s="454" t="n"/>
      <c r="O52" s="454" t="n"/>
      <c r="P52" s="454" t="n"/>
      <c r="Q52" s="454" t="n"/>
      <c r="R52" s="454" t="n"/>
      <c r="S52" s="454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</row>
    <row r="53" ht="12.9" customHeight="1" s="343">
      <c r="B53" s="463" t="inlineStr">
        <is>
          <t>Closing Order Book</t>
        </is>
      </c>
      <c r="D53" s="466">
        <f>E53</f>
        <v/>
      </c>
      <c r="E53" s="452" t="n"/>
      <c r="G53" s="466">
        <f>H53</f>
        <v/>
      </c>
      <c r="H53" s="452" t="n"/>
      <c r="I53" s="452" t="n"/>
      <c r="J53" s="466">
        <f>K53</f>
        <v/>
      </c>
      <c r="K53" s="452" t="n"/>
      <c r="L53" s="452" t="n"/>
      <c r="M53" s="466">
        <f>N53</f>
        <v/>
      </c>
      <c r="N53" s="452" t="n"/>
      <c r="P53" s="466">
        <f>Q53</f>
        <v/>
      </c>
      <c r="Q53" s="452" t="n">
        <v>26.5</v>
      </c>
      <c r="R53" s="452" t="n">
        <v>67.7</v>
      </c>
      <c r="S53" s="466">
        <f>T53</f>
        <v/>
      </c>
      <c r="T53" s="452" t="n">
        <v>95.2</v>
      </c>
      <c r="U53" s="272">
        <f>U45+U47-U50</f>
        <v/>
      </c>
      <c r="V53" s="272">
        <f>V45+V47-V50</f>
        <v/>
      </c>
      <c r="W53" s="272">
        <f>W45+W47-W50</f>
        <v/>
      </c>
      <c r="X53" s="272">
        <f>X45+X47-X50</f>
        <v/>
      </c>
      <c r="Y53" s="272">
        <f>Y45+Y47-Y50</f>
        <v/>
      </c>
      <c r="Z53" s="272">
        <f>Z45+Z47-Z50</f>
        <v/>
      </c>
      <c r="AA53" s="272">
        <f>AA45+AA47-AA50</f>
        <v/>
      </c>
      <c r="AB53" s="272">
        <f>AB45+AB47-AB50</f>
        <v/>
      </c>
      <c r="AC53" s="272">
        <f>AC45+AC47-AC50</f>
        <v/>
      </c>
      <c r="AD53" s="272">
        <f>AD45+AD47-AD50</f>
        <v/>
      </c>
      <c r="AE53" s="272">
        <f>AE45+AE47-AE50</f>
        <v/>
      </c>
      <c r="AF53" s="272">
        <f>AF45+AF47-AF50</f>
        <v/>
      </c>
      <c r="AG53" s="272">
        <f>AG45+AG47-AG50</f>
        <v/>
      </c>
      <c r="AH53" s="272">
        <f>AH45+AH47-AH50</f>
        <v/>
      </c>
      <c r="AI53" s="272">
        <f>AI45+AI47-AI50</f>
        <v/>
      </c>
    </row>
    <row r="54" ht="12.9" customHeight="1" s="343">
      <c r="B54" s="463" t="n"/>
      <c r="C54" s="454" t="n"/>
      <c r="D54" s="454" t="n"/>
      <c r="E54" s="454" t="n"/>
      <c r="F54" s="454" t="n"/>
      <c r="G54" s="454" t="n"/>
      <c r="H54" s="454" t="n"/>
      <c r="I54" s="454" t="n"/>
      <c r="J54" s="454" t="n"/>
      <c r="K54" s="454" t="n"/>
      <c r="L54" s="454" t="n"/>
      <c r="M54" s="454" t="n"/>
      <c r="N54" s="454" t="n"/>
      <c r="O54" s="454" t="n"/>
      <c r="P54" s="454" t="n"/>
      <c r="Q54" s="454" t="n"/>
      <c r="R54" s="454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</row>
    <row r="55" ht="12.9" customHeight="1" s="343">
      <c r="B55" s="463" t="n"/>
      <c r="C55" s="454" t="n"/>
      <c r="D55" s="454" t="n"/>
      <c r="E55" s="454" t="n"/>
      <c r="F55" s="454" t="n"/>
      <c r="G55" s="454" t="n"/>
      <c r="H55" s="454" t="n"/>
      <c r="I55" s="454" t="n"/>
      <c r="J55" s="454" t="n"/>
      <c r="K55" s="454" t="n"/>
      <c r="L55" s="454" t="n"/>
      <c r="M55" s="454" t="n"/>
      <c r="N55" s="454" t="n"/>
      <c r="O55" s="454" t="n"/>
      <c r="P55" s="454" t="n"/>
      <c r="Q55" s="454" t="n"/>
      <c r="R55" s="454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</row>
    <row r="56" ht="12.9" customHeight="1" s="343">
      <c r="B56" s="354" t="inlineStr">
        <is>
          <t>Centrifuge &amp; Others</t>
        </is>
      </c>
      <c r="C56" s="454" t="n"/>
      <c r="D56" s="454" t="n"/>
      <c r="E56" s="454" t="n"/>
      <c r="F56" s="454" t="n"/>
      <c r="G56" s="454" t="n"/>
      <c r="H56" s="454" t="n"/>
      <c r="I56" s="454" t="n"/>
      <c r="J56" s="454" t="n"/>
      <c r="K56" s="454" t="n"/>
      <c r="L56" s="454" t="n"/>
      <c r="M56" s="454" t="n"/>
      <c r="N56" s="454" t="n"/>
      <c r="O56" s="454" t="n"/>
      <c r="P56" s="454" t="n"/>
      <c r="Q56" s="454" t="n"/>
      <c r="R56" s="454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</row>
    <row r="57" ht="12.9" customHeight="1" s="343">
      <c r="B57" s="454" t="inlineStr">
        <is>
          <t>Opening order book</t>
        </is>
      </c>
      <c r="D57" s="21">
        <f>C65</f>
        <v/>
      </c>
      <c r="E57" s="21" t="n"/>
      <c r="F57" s="21">
        <f>E65</f>
        <v/>
      </c>
      <c r="G57" s="21">
        <f>F65</f>
        <v/>
      </c>
      <c r="H57" s="21">
        <f>E65</f>
        <v/>
      </c>
      <c r="I57" s="21">
        <f>H65</f>
        <v/>
      </c>
      <c r="J57" s="21">
        <f>I65</f>
        <v/>
      </c>
      <c r="K57" s="21">
        <f>H65</f>
        <v/>
      </c>
      <c r="L57" s="21">
        <f>K65</f>
        <v/>
      </c>
      <c r="M57" s="21">
        <f>L65</f>
        <v/>
      </c>
      <c r="N57" s="21">
        <f>K65</f>
        <v/>
      </c>
      <c r="O57" s="21">
        <f>N65</f>
        <v/>
      </c>
      <c r="P57" s="21">
        <f>O65</f>
        <v/>
      </c>
      <c r="Q57" s="21">
        <f>N65</f>
        <v/>
      </c>
      <c r="R57" s="21">
        <f>Q65</f>
        <v/>
      </c>
      <c r="S57" s="21">
        <f>R65</f>
        <v/>
      </c>
      <c r="T57" s="21">
        <f>Q65</f>
        <v/>
      </c>
      <c r="U57" s="21">
        <f>T65</f>
        <v/>
      </c>
      <c r="V57" s="21">
        <f>U65</f>
        <v/>
      </c>
      <c r="W57" s="21">
        <f>T65</f>
        <v/>
      </c>
      <c r="X57" s="21">
        <f>W65</f>
        <v/>
      </c>
      <c r="Y57" s="21">
        <f>X65</f>
        <v/>
      </c>
      <c r="Z57" s="21">
        <f>W65</f>
        <v/>
      </c>
      <c r="AA57" s="21">
        <f>Z65</f>
        <v/>
      </c>
      <c r="AB57" s="21">
        <f>AA65</f>
        <v/>
      </c>
      <c r="AC57" s="21">
        <f>Z65</f>
        <v/>
      </c>
      <c r="AD57" s="21">
        <f>AC65</f>
        <v/>
      </c>
      <c r="AE57" s="21">
        <f>AD65</f>
        <v/>
      </c>
      <c r="AF57" s="21">
        <f>AC65</f>
        <v/>
      </c>
      <c r="AG57" s="21">
        <f>AF65</f>
        <v/>
      </c>
      <c r="AH57" s="21">
        <f>AG65</f>
        <v/>
      </c>
      <c r="AI57" s="21">
        <f>AF65</f>
        <v/>
      </c>
    </row>
    <row r="58" ht="12.9" customHeight="1" s="343">
      <c r="B58" s="463" t="n"/>
      <c r="C58" s="454" t="n"/>
      <c r="D58" s="454" t="n"/>
      <c r="E58" s="454" t="n"/>
      <c r="F58" s="454" t="n"/>
      <c r="G58" s="454" t="n"/>
      <c r="H58" s="454" t="n"/>
      <c r="I58" s="454" t="n"/>
      <c r="J58" s="454" t="n"/>
      <c r="K58" s="454" t="n"/>
      <c r="L58" s="454" t="n"/>
      <c r="M58" s="454" t="n"/>
      <c r="N58" s="454" t="n"/>
      <c r="O58" s="454" t="n"/>
      <c r="P58" s="454" t="n"/>
      <c r="Q58" s="454" t="n"/>
      <c r="R58" s="454" t="n"/>
      <c r="S58" s="454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</row>
    <row r="59" ht="12.9" customHeight="1" s="343">
      <c r="B59" s="463" t="inlineStr">
        <is>
          <t>Order Inflow</t>
        </is>
      </c>
      <c r="C59" s="272">
        <f>C65-C57+C62</f>
        <v/>
      </c>
      <c r="D59" s="272">
        <f>D65-D57+D62</f>
        <v/>
      </c>
      <c r="E59" s="272">
        <f>E65-E57+E62</f>
        <v/>
      </c>
      <c r="F59" s="272">
        <f>F65-F57+F62</f>
        <v/>
      </c>
      <c r="G59" s="272">
        <f>G65-G57+G62</f>
        <v/>
      </c>
      <c r="H59" s="272">
        <f>H65-H57+H62</f>
        <v/>
      </c>
      <c r="I59" s="272">
        <f>I65-I57+I62</f>
        <v/>
      </c>
      <c r="J59" s="272">
        <f>J65-J57+J62</f>
        <v/>
      </c>
      <c r="K59" s="272">
        <f>K65-K57+K62</f>
        <v/>
      </c>
      <c r="L59" s="272">
        <f>L65-L57+L62</f>
        <v/>
      </c>
      <c r="M59" s="272">
        <f>M65-M57+M62</f>
        <v/>
      </c>
      <c r="N59" s="272">
        <f>N65-N57+N62</f>
        <v/>
      </c>
      <c r="O59" s="272">
        <f>O65-O57+O62</f>
        <v/>
      </c>
      <c r="P59" s="272">
        <f>P65-P57+P62</f>
        <v/>
      </c>
      <c r="Q59" s="272">
        <f>Q65-Q57+Q62</f>
        <v/>
      </c>
      <c r="R59" s="272">
        <f>R65-R57+R62</f>
        <v/>
      </c>
      <c r="S59" s="272">
        <f>S65-S57+S62</f>
        <v/>
      </c>
      <c r="T59" s="272">
        <f>R59+S59</f>
        <v/>
      </c>
      <c r="U59" s="272">
        <f>AVERAGE(MAX(L59,0),MAX(O59,0),MAX(R59,0))*(1+U60)</f>
        <v/>
      </c>
      <c r="V59" s="272">
        <f>AVERAGE(MAX(M59,0),MAX(P59,0),MAX(S59,0))*(1+V60)</f>
        <v/>
      </c>
      <c r="W59" s="272">
        <f>U59+V59</f>
        <v/>
      </c>
      <c r="X59" s="272">
        <f>AVERAGE(MAX(O59,0),MAX(R59,0),MAX(U59,0))*(1+X60)</f>
        <v/>
      </c>
      <c r="Y59" s="272">
        <f>AVERAGE(MAX(P59,0),MAX(S59,0),MAX(V59,0))*(1+Y60)</f>
        <v/>
      </c>
      <c r="Z59" s="272">
        <f>X59+Y59</f>
        <v/>
      </c>
      <c r="AA59" s="272">
        <f>AVERAGE(MAX(R59,0),MAX(U59,0),MAX(X59,0))*(1+AA60)</f>
        <v/>
      </c>
      <c r="AB59" s="272">
        <f>AVERAGE(MAX(S59,0),MAX(V59,0),MAX(Y59,0))*(1+AB60)</f>
        <v/>
      </c>
      <c r="AC59" s="272">
        <f>AA59+AB59</f>
        <v/>
      </c>
      <c r="AD59" s="272">
        <f>AVERAGE(MAX(U59,0),MAX(X59,0),MAX(AA59,0))*(1+AD60)</f>
        <v/>
      </c>
      <c r="AE59" s="272">
        <f>AVERAGE(MAX(V59,0),MAX(Y59,0),MAX(AB59,0))*(1+AE60)</f>
        <v/>
      </c>
      <c r="AF59" s="272">
        <f>AD59+AE59</f>
        <v/>
      </c>
      <c r="AG59" s="272">
        <f>AVERAGE(MAX(X59,0),MAX(AA59,0),MAX(AD59,0))*(1+AG60)</f>
        <v/>
      </c>
      <c r="AH59" s="272">
        <f>AVERAGE(MAX(Y59,0),MAX(AB59,0),MAX(AE59,0))*(1+AH60)</f>
        <v/>
      </c>
      <c r="AI59" s="272">
        <f>AG59+AH59</f>
        <v/>
      </c>
    </row>
    <row r="60" ht="12.9" customHeight="1" s="343">
      <c r="B60" s="463" t="inlineStr">
        <is>
          <t>Growth %</t>
        </is>
      </c>
      <c r="C60" s="454" t="n"/>
      <c r="D60" s="454" t="n"/>
      <c r="E60" s="454" t="n"/>
      <c r="F60" s="454" t="n"/>
      <c r="G60" s="33" t="n"/>
      <c r="H60" s="454">
        <f>(H59-E59)/E59</f>
        <v/>
      </c>
      <c r="I60" s="454">
        <f>(I59-F59)/F59</f>
        <v/>
      </c>
      <c r="J60" s="454">
        <f>(J59-G59)/G59</f>
        <v/>
      </c>
      <c r="K60" s="454">
        <f>(K59-H59)/H59</f>
        <v/>
      </c>
      <c r="L60" s="454">
        <f>(L59-I59)/I59</f>
        <v/>
      </c>
      <c r="M60" s="454">
        <f>(M59-J59)/J59</f>
        <v/>
      </c>
      <c r="N60" s="454">
        <f>(N59-K59)/K59</f>
        <v/>
      </c>
      <c r="O60" s="454">
        <f>(O59-L59)/L59</f>
        <v/>
      </c>
      <c r="P60" s="454">
        <f>(P59-M59)/M59</f>
        <v/>
      </c>
      <c r="Q60" s="454">
        <f>(Q59-N59)/N59</f>
        <v/>
      </c>
      <c r="R60" s="454">
        <f>(R59-O59)/O59</f>
        <v/>
      </c>
      <c r="S60" s="454">
        <f>(S59-P59)/P59</f>
        <v/>
      </c>
      <c r="T60" s="454">
        <f>(T59-Q59)/Q59</f>
        <v/>
      </c>
      <c r="U60" s="455" t="n">
        <v>0.15</v>
      </c>
      <c r="V60" s="455">
        <f>U60</f>
        <v/>
      </c>
      <c r="W60" s="454">
        <f>(W59-T59)/T59</f>
        <v/>
      </c>
      <c r="X60" s="455">
        <f>V60+10%</f>
        <v/>
      </c>
      <c r="Y60" s="455">
        <f>X60</f>
        <v/>
      </c>
      <c r="Z60" s="454">
        <f>(Z59-W59)/W59</f>
        <v/>
      </c>
      <c r="AA60" s="455">
        <f>Y60+10%</f>
        <v/>
      </c>
      <c r="AB60" s="455">
        <f>AA60</f>
        <v/>
      </c>
      <c r="AC60" s="454">
        <f>(AC59-Z59)/Z59</f>
        <v/>
      </c>
      <c r="AD60" s="455">
        <f>AB60+10%</f>
        <v/>
      </c>
      <c r="AE60" s="455">
        <f>AD60</f>
        <v/>
      </c>
      <c r="AF60" s="454">
        <f>(AF59-AC59)/AC59</f>
        <v/>
      </c>
      <c r="AG60" s="455">
        <f>AE60+10%</f>
        <v/>
      </c>
      <c r="AH60" s="455">
        <f>AG60</f>
        <v/>
      </c>
      <c r="AI60" s="454">
        <f>(AI59-AF59)/AF59</f>
        <v/>
      </c>
    </row>
    <row r="61" ht="12.9" customHeight="1" s="343">
      <c r="B61" s="6" t="n"/>
      <c r="C61" s="454" t="n"/>
      <c r="D61" s="454" t="n"/>
      <c r="E61" s="454" t="n"/>
      <c r="F61" s="454" t="n"/>
      <c r="G61" s="454" t="n"/>
      <c r="H61" s="454" t="n"/>
      <c r="I61" s="454" t="n"/>
      <c r="J61" s="454" t="n"/>
      <c r="K61" s="454" t="n"/>
      <c r="L61" s="454" t="n"/>
      <c r="M61" s="454" t="n"/>
      <c r="N61" s="454" t="n"/>
      <c r="O61" s="454" t="n"/>
      <c r="P61" s="454" t="n"/>
      <c r="Q61" s="454" t="n"/>
      <c r="R61" s="454" t="n"/>
      <c r="S61" s="454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</row>
    <row r="62" ht="12.9" customHeight="1" s="343">
      <c r="B62" s="463" t="inlineStr">
        <is>
          <t>Revenue Executed</t>
        </is>
      </c>
      <c r="C62" s="18" t="n"/>
      <c r="D62" s="18">
        <f>E62-C62</f>
        <v/>
      </c>
      <c r="E62" s="452" t="n"/>
      <c r="F62" s="452" t="n">
        <v>10.3</v>
      </c>
      <c r="G62" s="12">
        <f>H62-F62</f>
        <v/>
      </c>
      <c r="H62" s="452" t="n">
        <v>17.4</v>
      </c>
      <c r="I62" s="452" t="n">
        <v>4.4</v>
      </c>
      <c r="J62" s="12">
        <f>K62-I62</f>
        <v/>
      </c>
      <c r="K62" s="452" t="n">
        <v>30.3</v>
      </c>
      <c r="L62" s="452" t="n">
        <v>3.6</v>
      </c>
      <c r="M62" s="12">
        <f>N62-L62</f>
        <v/>
      </c>
      <c r="N62" s="452" t="n">
        <v>41.7</v>
      </c>
      <c r="O62" s="452" t="n">
        <v>14.6</v>
      </c>
      <c r="P62" s="12">
        <f>Q62-O62</f>
        <v/>
      </c>
      <c r="Q62" s="452" t="n">
        <v>15.3</v>
      </c>
      <c r="R62" s="452" t="n">
        <v>16.2</v>
      </c>
      <c r="S62" s="12">
        <f>T62-R62</f>
        <v/>
      </c>
      <c r="T62" s="452" t="n">
        <v>35.8</v>
      </c>
      <c r="U62" s="21">
        <f>U63*(U57+U59)</f>
        <v/>
      </c>
      <c r="V62" s="21">
        <f>V63*(V57+V59)</f>
        <v/>
      </c>
      <c r="W62" s="21">
        <f>U62+V62</f>
        <v/>
      </c>
      <c r="X62" s="21">
        <f>X63*(X57+X59)</f>
        <v/>
      </c>
      <c r="Y62" s="21">
        <f>Y63*(Y57+Y59)</f>
        <v/>
      </c>
      <c r="Z62" s="21">
        <f>X62+Y62</f>
        <v/>
      </c>
      <c r="AA62" s="21">
        <f>AA63*(AA57+AA59)</f>
        <v/>
      </c>
      <c r="AB62" s="21">
        <f>AB63*(AB57+AB59)</f>
        <v/>
      </c>
      <c r="AC62" s="21">
        <f>AA62+AB62</f>
        <v/>
      </c>
      <c r="AD62" s="21">
        <f>AD63*(AD57+AD59)</f>
        <v/>
      </c>
      <c r="AE62" s="21">
        <f>AE63*(AE57+AE59)</f>
        <v/>
      </c>
      <c r="AF62" s="21">
        <f>AD62+AE62</f>
        <v/>
      </c>
      <c r="AG62" s="21">
        <f>AG63*(AG57+AG59)</f>
        <v/>
      </c>
      <c r="AH62" s="21">
        <f>AH63*(AH57+AH59)</f>
        <v/>
      </c>
      <c r="AI62" s="21">
        <f>AG62+AH62</f>
        <v/>
      </c>
    </row>
    <row r="63" ht="12.9" customHeight="1" s="343">
      <c r="B63" s="38" t="inlineStr">
        <is>
          <t>Execution %</t>
        </is>
      </c>
      <c r="C63" s="18" t="n"/>
      <c r="D63" s="18" t="n"/>
      <c r="E63" s="452" t="n"/>
      <c r="F63" s="454">
        <f>F62/(F57+F59)</f>
        <v/>
      </c>
      <c r="G63" s="454">
        <f>G62/(G57+G59)</f>
        <v/>
      </c>
      <c r="H63" s="454">
        <f>H62/(H57+H59)</f>
        <v/>
      </c>
      <c r="I63" s="454">
        <f>I62/(I57+I59)</f>
        <v/>
      </c>
      <c r="J63" s="454">
        <f>J62/(J57+J59)</f>
        <v/>
      </c>
      <c r="K63" s="454">
        <f>K62/(K57+K59)</f>
        <v/>
      </c>
      <c r="L63" s="454">
        <f>L62/(L57+L59)</f>
        <v/>
      </c>
      <c r="M63" s="454">
        <f>M62/(M57+M59)</f>
        <v/>
      </c>
      <c r="N63" s="454">
        <f>N62/(N57+N59)</f>
        <v/>
      </c>
      <c r="O63" s="454">
        <f>O62/(O57+O59)</f>
        <v/>
      </c>
      <c r="P63" s="454">
        <f>P62/(P57+P59)</f>
        <v/>
      </c>
      <c r="Q63" s="454">
        <f>Q62/(Q57+Q59)</f>
        <v/>
      </c>
      <c r="R63" s="454">
        <f>R62/(R57+R59)</f>
        <v/>
      </c>
      <c r="S63" s="454">
        <f>S62/(S57+S59)</f>
        <v/>
      </c>
      <c r="T63" s="496">
        <f>T62/(T57+T59)</f>
        <v/>
      </c>
      <c r="U63" s="455" t="n">
        <v>0.4</v>
      </c>
      <c r="V63" s="455">
        <f>U63</f>
        <v/>
      </c>
      <c r="W63" s="496">
        <f>W62/(W57+W59)</f>
        <v/>
      </c>
      <c r="X63" s="455">
        <f>V63+10%</f>
        <v/>
      </c>
      <c r="Y63" s="455">
        <f>X63</f>
        <v/>
      </c>
      <c r="Z63" s="496">
        <f>Z62/(Z57+Z59)</f>
        <v/>
      </c>
      <c r="AA63" s="455">
        <f>Y63+10%</f>
        <v/>
      </c>
      <c r="AB63" s="455">
        <f>AA63</f>
        <v/>
      </c>
      <c r="AC63" s="496">
        <f>AC62/(AC57+AC59)</f>
        <v/>
      </c>
      <c r="AD63" s="455">
        <f>AB63+10%</f>
        <v/>
      </c>
      <c r="AE63" s="455">
        <f>AD63</f>
        <v/>
      </c>
      <c r="AF63" s="496">
        <f>AF62/(AF57+AF59)</f>
        <v/>
      </c>
      <c r="AG63" s="455">
        <f>AE63+10%</f>
        <v/>
      </c>
      <c r="AH63" s="455">
        <f>AG63</f>
        <v/>
      </c>
      <c r="AI63" s="496">
        <f>AI62/(AI57+AI59)</f>
        <v/>
      </c>
    </row>
    <row r="64" ht="12.9" customHeight="1" s="343">
      <c r="B64" s="463" t="n"/>
      <c r="C64" s="454" t="n"/>
      <c r="D64" s="454" t="n"/>
      <c r="E64" s="454" t="n"/>
      <c r="F64" s="454" t="n"/>
      <c r="G64" s="454" t="n"/>
      <c r="H64" s="454" t="n"/>
      <c r="I64" s="454" t="n"/>
      <c r="J64" s="454" t="n"/>
      <c r="K64" s="454" t="n"/>
      <c r="L64" s="454" t="n"/>
      <c r="M64" s="454" t="n"/>
      <c r="N64" s="454" t="n"/>
      <c r="O64" s="454" t="n"/>
      <c r="P64" s="454" t="n"/>
      <c r="Q64" s="454" t="n"/>
      <c r="R64" s="454" t="n"/>
      <c r="S64" s="454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</row>
    <row r="65" ht="12.9" customHeight="1" s="343">
      <c r="B65" s="463" t="inlineStr">
        <is>
          <t>Closing Order Book</t>
        </is>
      </c>
      <c r="D65" s="466">
        <f>E65</f>
        <v/>
      </c>
      <c r="E65" s="452" t="n">
        <v>2.9</v>
      </c>
      <c r="F65" s="452" t="n">
        <v>1.8</v>
      </c>
      <c r="G65" s="466">
        <f>H65</f>
        <v/>
      </c>
      <c r="H65" s="452" t="n">
        <v>19.1</v>
      </c>
      <c r="I65" s="452" t="n">
        <v>4</v>
      </c>
      <c r="J65" s="466">
        <f>K65</f>
        <v/>
      </c>
      <c r="K65" s="452" t="n">
        <v>6.9</v>
      </c>
      <c r="L65" s="452" t="n">
        <v>6.3</v>
      </c>
      <c r="M65" s="466">
        <f>N65</f>
        <v/>
      </c>
      <c r="N65" s="452" t="n">
        <v>8.199999999999999</v>
      </c>
      <c r="O65" s="452" t="n">
        <v>12.5</v>
      </c>
      <c r="P65" s="466">
        <f>Q65</f>
        <v/>
      </c>
      <c r="Q65" s="452" t="n">
        <v>19.7</v>
      </c>
      <c r="R65" s="452" t="n">
        <v>6.2</v>
      </c>
      <c r="S65" s="466">
        <f>T65</f>
        <v/>
      </c>
      <c r="T65" s="452" t="n">
        <v>29.6</v>
      </c>
      <c r="U65" s="272">
        <f>U57+U59-U62</f>
        <v/>
      </c>
      <c r="V65" s="272">
        <f>V57+V59-V62</f>
        <v/>
      </c>
      <c r="W65" s="272">
        <f>W57+W59-W62</f>
        <v/>
      </c>
      <c r="X65" s="272">
        <f>X57+X59-X62</f>
        <v/>
      </c>
      <c r="Y65" s="272">
        <f>Y57+Y59-Y62</f>
        <v/>
      </c>
      <c r="Z65" s="272">
        <f>Z57+Z59-Z62</f>
        <v/>
      </c>
      <c r="AA65" s="272">
        <f>AA57+AA59-AA62</f>
        <v/>
      </c>
      <c r="AB65" s="272">
        <f>AB57+AB59-AB62</f>
        <v/>
      </c>
      <c r="AC65" s="272">
        <f>AC57+AC59-AC62</f>
        <v/>
      </c>
      <c r="AD65" s="272">
        <f>AD57+AD59-AD62</f>
        <v/>
      </c>
      <c r="AE65" s="272">
        <f>AE57+AE59-AE62</f>
        <v/>
      </c>
      <c r="AF65" s="272">
        <f>AF57+AF59-AF62</f>
        <v/>
      </c>
      <c r="AG65" s="272">
        <f>AG57+AG59-AG62</f>
        <v/>
      </c>
      <c r="AH65" s="272">
        <f>AH57+AH59-AH62</f>
        <v/>
      </c>
      <c r="AI65" s="272">
        <f>AI57+AI59-AI62</f>
        <v/>
      </c>
    </row>
    <row r="66" ht="12.9" customHeight="1" s="343">
      <c r="B66" s="463" t="n"/>
      <c r="C66" s="454" t="n"/>
      <c r="D66" s="454" t="n"/>
      <c r="E66" s="454" t="n"/>
      <c r="F66" s="454" t="n"/>
      <c r="G66" s="454" t="n"/>
      <c r="H66" s="454" t="n"/>
      <c r="I66" s="454" t="n"/>
      <c r="J66" s="454" t="n"/>
      <c r="K66" s="454" t="n"/>
      <c r="L66" s="454" t="n"/>
      <c r="M66" s="454" t="n"/>
      <c r="N66" s="454" t="n"/>
      <c r="O66" s="454" t="n"/>
      <c r="P66" s="454" t="n"/>
      <c r="Q66" s="454" t="n"/>
      <c r="R66" s="454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1" t="n"/>
      <c r="AE66" s="21" t="n"/>
      <c r="AF66" s="21" t="n"/>
      <c r="AG66" s="21" t="n"/>
      <c r="AH66" s="21" t="n"/>
      <c r="AI66" s="21" t="n"/>
    </row>
    <row r="67" ht="12.9" customHeight="1" s="343">
      <c r="B67" s="38" t="n"/>
      <c r="C67" s="454" t="n"/>
      <c r="D67" s="454" t="n"/>
      <c r="E67" s="454" t="n"/>
      <c r="F67" s="454" t="n"/>
      <c r="G67" s="454" t="n"/>
      <c r="H67" s="454" t="n"/>
      <c r="I67" s="454" t="n"/>
      <c r="J67" s="454" t="n"/>
      <c r="K67" s="454" t="n"/>
      <c r="L67" s="454" t="n"/>
      <c r="M67" s="454" t="n"/>
      <c r="N67" s="454" t="n"/>
      <c r="O67" s="454" t="n"/>
      <c r="P67" s="454" t="n"/>
      <c r="Q67" s="454" t="n"/>
      <c r="R67" s="454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</row>
    <row r="68" ht="12.9" customFormat="1" customHeight="1" s="6">
      <c r="B68" s="47" t="inlineStr">
        <is>
          <t>Order Book Total</t>
        </is>
      </c>
      <c r="C68" s="48">
        <f>C17+C29+C41+C53+C65</f>
        <v/>
      </c>
      <c r="D68" s="48">
        <f>D17+D29+D41+D53+D65</f>
        <v/>
      </c>
      <c r="E68" s="48">
        <f>E17+E29+E41+E53+E65</f>
        <v/>
      </c>
      <c r="F68" s="48">
        <f>F17+F29+F41+F53+F65</f>
        <v/>
      </c>
      <c r="G68" s="48">
        <f>G17+G29+G41+G53+G65</f>
        <v/>
      </c>
      <c r="H68" s="48">
        <f>H17+H29+H41+H53+H65</f>
        <v/>
      </c>
      <c r="I68" s="48">
        <f>I17+I29+I41+I53+I65</f>
        <v/>
      </c>
      <c r="J68" s="48">
        <f>J17+J29+J41+J53+J65</f>
        <v/>
      </c>
      <c r="K68" s="48">
        <f>K17+K29+K41+K53+K65</f>
        <v/>
      </c>
      <c r="L68" s="48">
        <f>L17+L29+L41+L53+L65</f>
        <v/>
      </c>
      <c r="M68" s="48">
        <f>M17+M29+M41+M53+M65</f>
        <v/>
      </c>
      <c r="N68" s="48">
        <f>N17+N29+N41+N53+N65</f>
        <v/>
      </c>
      <c r="O68" s="48">
        <f>O17+O29+O41+O53+O65</f>
        <v/>
      </c>
      <c r="P68" s="48">
        <f>P17+P29+P41+P53+P65</f>
        <v/>
      </c>
      <c r="Q68" s="48">
        <f>Q17+Q29+Q41+Q53+Q65</f>
        <v/>
      </c>
      <c r="R68" s="48">
        <f>R17+R29+R41+R53+R65</f>
        <v/>
      </c>
      <c r="S68" s="48">
        <f>S17+S29+S41+S53+S65</f>
        <v/>
      </c>
      <c r="T68" s="48">
        <f>T17+T29+T41+T53+T65</f>
        <v/>
      </c>
      <c r="U68" s="48">
        <f>U17+U29+U41+U53+U65</f>
        <v/>
      </c>
      <c r="V68" s="48">
        <f>V17+V29+V41+V53+V65</f>
        <v/>
      </c>
      <c r="W68" s="48">
        <f>W17+W29+W41+W53+W65</f>
        <v/>
      </c>
      <c r="X68" s="48">
        <f>X17+X29+X41+X53+X65</f>
        <v/>
      </c>
      <c r="Y68" s="48">
        <f>Y17+Y29+Y41+Y53+Y65</f>
        <v/>
      </c>
      <c r="Z68" s="48">
        <f>Z17+Z29+Z41+Z53+Z65</f>
        <v/>
      </c>
      <c r="AA68" s="48">
        <f>AA17+AA29+AA41+AA53+AA65</f>
        <v/>
      </c>
      <c r="AB68" s="48">
        <f>AB17+AB29+AB41+AB53+AB65</f>
        <v/>
      </c>
      <c r="AC68" s="48">
        <f>AC17+AC29+AC41+AC53+AC65</f>
        <v/>
      </c>
      <c r="AD68" s="48">
        <f>AD17+AD29+AD41+AD53+AD65</f>
        <v/>
      </c>
      <c r="AE68" s="48">
        <f>AE17+AE29+AE41+AE53+AE65</f>
        <v/>
      </c>
      <c r="AF68" s="48">
        <f>AF17+AF29+AF41+AF53+AF65</f>
        <v/>
      </c>
      <c r="AG68" s="48">
        <f>AG17+AG29+AG41+AG53+AG65</f>
        <v/>
      </c>
      <c r="AH68" s="48">
        <f>AH17+AH29+AH41+AH53+AH65</f>
        <v/>
      </c>
      <c r="AI68" s="48">
        <f>AI17+AI29+AI41+AI53+AI65</f>
        <v/>
      </c>
    </row>
    <row r="69" ht="12.9" customFormat="1" customHeight="1" s="6">
      <c r="B69" s="47" t="inlineStr">
        <is>
          <t xml:space="preserve">Revenue Total </t>
        </is>
      </c>
      <c r="C69" s="6">
        <f>C14+C26+C38+C50+C62</f>
        <v/>
      </c>
      <c r="D69" s="6">
        <f>D14+D26+D38+D50+D62</f>
        <v/>
      </c>
      <c r="E69" s="6">
        <f>E14+E26+E38+E50+E62</f>
        <v/>
      </c>
      <c r="F69" s="6">
        <f>F14+F26+F38+F50+F62</f>
        <v/>
      </c>
      <c r="G69" s="6">
        <f>G14+G26+G38+G50+G62</f>
        <v/>
      </c>
      <c r="H69" s="6">
        <f>H14+H26+H38+H50+H62</f>
        <v/>
      </c>
      <c r="I69" s="6">
        <f>I14+I26+I38+I50+I62</f>
        <v/>
      </c>
      <c r="J69" s="6">
        <f>J14+J26+J38+J50+J62</f>
        <v/>
      </c>
      <c r="K69" s="6">
        <f>K14+K26+K38+K50+K62</f>
        <v/>
      </c>
      <c r="L69" s="6">
        <f>L14+L26+L38+L50+L62</f>
        <v/>
      </c>
      <c r="M69" s="6">
        <f>M14+M26+M38+M50+M62</f>
        <v/>
      </c>
      <c r="N69" s="6">
        <f>N14+N26+N38+N50+N62</f>
        <v/>
      </c>
      <c r="O69" s="6">
        <f>O14+O26+O38+O50+O62</f>
        <v/>
      </c>
      <c r="P69" s="6">
        <f>P14+P26+P38+P50+P62</f>
        <v/>
      </c>
      <c r="Q69" s="6">
        <f>Q14+Q26+Q38+Q50+Q62</f>
        <v/>
      </c>
      <c r="R69" s="6">
        <f>R14+R26+R38+R50+R62</f>
        <v/>
      </c>
      <c r="S69" s="49">
        <f>S14+S26+S38+S50+S62</f>
        <v/>
      </c>
      <c r="T69" s="49">
        <f>T14+T26+T38+T50+T62</f>
        <v/>
      </c>
      <c r="U69" s="49">
        <f>U14+U26+U38+U50+U62</f>
        <v/>
      </c>
      <c r="V69" s="49">
        <f>V14+V26+V38+V50+V62</f>
        <v/>
      </c>
      <c r="W69" s="49">
        <f>W14+W26+W38+W50+W62</f>
        <v/>
      </c>
      <c r="X69" s="49">
        <f>X14+X26+X38+X50+X62</f>
        <v/>
      </c>
      <c r="Y69" s="49">
        <f>Y14+Y26+Y38+Y50+Y62</f>
        <v/>
      </c>
      <c r="Z69" s="49">
        <f>Z14+Z26+Z38+Z50+Z62</f>
        <v/>
      </c>
      <c r="AA69" s="49">
        <f>AA14+AA26+AA38+AA50+AA62</f>
        <v/>
      </c>
      <c r="AB69" s="49">
        <f>AB14+AB26+AB38+AB50+AB62</f>
        <v/>
      </c>
      <c r="AC69" s="49">
        <f>AC14+AC26+AC38+AC50+AC62</f>
        <v/>
      </c>
      <c r="AD69" s="49">
        <f>AD14+AD26+AD38+AD50+AD62</f>
        <v/>
      </c>
      <c r="AE69" s="49">
        <f>AE14+AE26+AE38+AE50+AE62</f>
        <v/>
      </c>
      <c r="AF69" s="49">
        <f>AF14+AF26+AF38+AF50+AF62</f>
        <v/>
      </c>
      <c r="AG69" s="49">
        <f>AG14+AG26+AG38+AG50+AG62</f>
        <v/>
      </c>
      <c r="AH69" s="49">
        <f>AH14+AH26+AH38+AH50+AH62</f>
        <v/>
      </c>
      <c r="AI69" s="49">
        <f>AI14+AI26+AI38+AI50+AI62</f>
        <v/>
      </c>
    </row>
    <row r="70" ht="12.9" customHeight="1" s="343">
      <c r="B70" s="463" t="inlineStr">
        <is>
          <t>YoY Growth %</t>
        </is>
      </c>
      <c r="I70" s="454">
        <f>(I69-F69)/F69</f>
        <v/>
      </c>
      <c r="J70" s="454">
        <f>(J69-G69)/G69</f>
        <v/>
      </c>
      <c r="K70" s="454">
        <f>(K69-H69)/H69</f>
        <v/>
      </c>
      <c r="L70" s="454">
        <f>(L69-I69)/I69</f>
        <v/>
      </c>
      <c r="M70" s="454">
        <f>(M69-J69)/J69</f>
        <v/>
      </c>
      <c r="N70" s="454">
        <f>(N69-K69)/K69</f>
        <v/>
      </c>
      <c r="O70" s="454">
        <f>(O69-L69)/L69</f>
        <v/>
      </c>
      <c r="P70" s="454">
        <f>(P69-M69)/M69</f>
        <v/>
      </c>
      <c r="Q70" s="454">
        <f>(Q69-N69)/N69</f>
        <v/>
      </c>
      <c r="R70" s="454">
        <f>(R69-O69)/O69</f>
        <v/>
      </c>
      <c r="S70" s="454">
        <f>(S69-P69)/P69</f>
        <v/>
      </c>
      <c r="T70" s="454">
        <f>(T69-Q69)/Q69</f>
        <v/>
      </c>
      <c r="U70" s="454">
        <f>(U69-R69)/R69</f>
        <v/>
      </c>
      <c r="V70" s="454">
        <f>(V69-S69)/S69</f>
        <v/>
      </c>
      <c r="W70" s="454">
        <f>(W69-T69)/T69</f>
        <v/>
      </c>
      <c r="X70" s="454">
        <f>(X69-U69)/U69</f>
        <v/>
      </c>
      <c r="Y70" s="454">
        <f>(Y69-V69)/V69</f>
        <v/>
      </c>
      <c r="Z70" s="454">
        <f>(Z69-W69)/W69</f>
        <v/>
      </c>
      <c r="AA70" s="454">
        <f>(AA69-X69)/X69</f>
        <v/>
      </c>
      <c r="AB70" s="454">
        <f>(AB69-Y69)/Y69</f>
        <v/>
      </c>
      <c r="AC70" s="454">
        <f>(AC69-Z69)/Z69</f>
        <v/>
      </c>
      <c r="AD70" s="454">
        <f>(AD69-AA69)/AA69</f>
        <v/>
      </c>
      <c r="AE70" s="454">
        <f>(AE69-AB69)/AB69</f>
        <v/>
      </c>
      <c r="AF70" s="454">
        <f>(AF69-AC69)/AC69</f>
        <v/>
      </c>
      <c r="AG70" s="454">
        <f>(AG69-AD69)/AD69</f>
        <v/>
      </c>
      <c r="AH70" s="454">
        <f>(AH69-AE69)/AE69</f>
        <v/>
      </c>
      <c r="AI70" s="454">
        <f>(AI69-AF69)/AF69</f>
        <v/>
      </c>
    </row>
    <row r="71" ht="12.9" customHeight="1" s="343"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</row>
    <row r="72" ht="12.9" customHeight="1" s="343">
      <c r="B72" s="6" t="inlineStr">
        <is>
          <t>Geographical Bifurcation</t>
        </is>
      </c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</row>
    <row r="73" ht="12.9" customHeight="1" s="343">
      <c r="B73" s="12" t="inlineStr">
        <is>
          <t>Domestic</t>
        </is>
      </c>
      <c r="C73" s="18" t="n"/>
      <c r="D73" s="12">
        <f>E73-C73</f>
        <v/>
      </c>
      <c r="E73" s="452" t="n"/>
      <c r="F73" s="452" t="n">
        <v>125.2</v>
      </c>
      <c r="G73" s="12">
        <f>H73-F73</f>
        <v/>
      </c>
      <c r="H73" s="452" t="n">
        <v>260.7</v>
      </c>
      <c r="I73" s="452" t="n">
        <v>121.4</v>
      </c>
      <c r="J73" s="12">
        <f>K73-I73</f>
        <v/>
      </c>
      <c r="K73" s="452" t="n">
        <v>332.6</v>
      </c>
      <c r="L73" s="452" t="n">
        <v>109</v>
      </c>
      <c r="M73" s="12">
        <f>N73-L73</f>
        <v/>
      </c>
      <c r="N73" s="452" t="n">
        <v>325.6</v>
      </c>
      <c r="O73" s="452" t="n">
        <v>163.6</v>
      </c>
      <c r="P73" s="12">
        <f>Q73-O73</f>
        <v/>
      </c>
      <c r="Q73" s="452" t="n">
        <v>265</v>
      </c>
      <c r="R73" s="452" t="n">
        <v>145.7</v>
      </c>
      <c r="S73" s="12">
        <f>T73-R73</f>
        <v/>
      </c>
      <c r="T73" s="452" t="n">
        <v>396.7</v>
      </c>
      <c r="U73" s="21">
        <f>U69*U74</f>
        <v/>
      </c>
      <c r="V73" s="21">
        <f>V69*V74</f>
        <v/>
      </c>
      <c r="W73" s="21">
        <f>U73+V73</f>
        <v/>
      </c>
      <c r="X73" s="21">
        <f>X69*X74</f>
        <v/>
      </c>
      <c r="Y73" s="21">
        <f>Y69*Y74</f>
        <v/>
      </c>
      <c r="Z73" s="21">
        <f>X73+Y73</f>
        <v/>
      </c>
      <c r="AA73" s="21">
        <f>AA69*AA74</f>
        <v/>
      </c>
      <c r="AB73" s="21">
        <f>AB69*AB74</f>
        <v/>
      </c>
      <c r="AC73" s="21">
        <f>AA73+AB73</f>
        <v/>
      </c>
      <c r="AD73" s="21">
        <f>AD69*AD74</f>
        <v/>
      </c>
      <c r="AE73" s="21">
        <f>AE69*AE74</f>
        <v/>
      </c>
      <c r="AF73" s="21">
        <f>AD73+AE73</f>
        <v/>
      </c>
      <c r="AG73" s="21">
        <f>AG69*AG74</f>
        <v/>
      </c>
      <c r="AH73" s="21">
        <f>AH69*AH74</f>
        <v/>
      </c>
      <c r="AI73" s="21">
        <f>AG73+AH73</f>
        <v/>
      </c>
    </row>
    <row r="74" ht="12.9" customHeight="1" s="343">
      <c r="B74" s="38" t="inlineStr">
        <is>
          <t>% of Total Revenue</t>
        </is>
      </c>
      <c r="C74" s="454">
        <f>C73/'Income Statement'!C8</f>
        <v/>
      </c>
      <c r="D74" s="454">
        <f>D73/'Income Statement'!D8</f>
        <v/>
      </c>
      <c r="E74" s="454">
        <f>E73/'Income Statement'!E8</f>
        <v/>
      </c>
      <c r="F74" s="454">
        <f>F73/'Income Statement'!F8</f>
        <v/>
      </c>
      <c r="G74" s="454">
        <f>G73/'Income Statement'!G8</f>
        <v/>
      </c>
      <c r="H74" s="454">
        <f>H73/'Income Statement'!H8</f>
        <v/>
      </c>
      <c r="I74" s="454">
        <f>I73/'Income Statement'!I8</f>
        <v/>
      </c>
      <c r="J74" s="454">
        <f>J73/'Income Statement'!J8</f>
        <v/>
      </c>
      <c r="K74" s="454">
        <f>K73/'Income Statement'!K8</f>
        <v/>
      </c>
      <c r="L74" s="454">
        <f>L73/'Income Statement'!L8</f>
        <v/>
      </c>
      <c r="M74" s="454">
        <f>M73/'Income Statement'!M8</f>
        <v/>
      </c>
      <c r="N74" s="454">
        <f>N73/'Income Statement'!N8</f>
        <v/>
      </c>
      <c r="O74" s="454">
        <f>O73/'Income Statement'!O8</f>
        <v/>
      </c>
      <c r="P74" s="454">
        <f>P73/'Income Statement'!P8</f>
        <v/>
      </c>
      <c r="Q74" s="454">
        <f>Q73/'Income Statement'!Q8</f>
        <v/>
      </c>
      <c r="R74" s="454">
        <f>R73/'Income Statement'!R8</f>
        <v/>
      </c>
      <c r="S74" s="454">
        <f>S73/'Income Statement'!S8</f>
        <v/>
      </c>
      <c r="T74" s="454">
        <f>T73/'Income Statement'!T8</f>
        <v/>
      </c>
      <c r="U74" s="455" t="n">
        <v>0.59</v>
      </c>
      <c r="V74" s="455">
        <f>U74</f>
        <v/>
      </c>
      <c r="W74" s="454">
        <f>W73/W$69</f>
        <v/>
      </c>
      <c r="X74" s="455">
        <f>V74</f>
        <v/>
      </c>
      <c r="Y74" s="455">
        <f>X74</f>
        <v/>
      </c>
      <c r="Z74" s="454">
        <f>Z73/Z$69</f>
        <v/>
      </c>
      <c r="AA74" s="455">
        <f>Y74</f>
        <v/>
      </c>
      <c r="AB74" s="455">
        <f>AA74</f>
        <v/>
      </c>
      <c r="AC74" s="454">
        <f>AC73/AC$69</f>
        <v/>
      </c>
      <c r="AD74" s="455">
        <f>AB74</f>
        <v/>
      </c>
      <c r="AE74" s="455">
        <f>AD74</f>
        <v/>
      </c>
      <c r="AF74" s="454">
        <f>AF73/AF$69</f>
        <v/>
      </c>
      <c r="AG74" s="455">
        <f>AE74</f>
        <v/>
      </c>
      <c r="AH74" s="455">
        <f>AG74</f>
        <v/>
      </c>
      <c r="AI74" s="454">
        <f>AI73/AI$69</f>
        <v/>
      </c>
    </row>
    <row r="75" ht="12.9" customHeight="1" s="343">
      <c r="B75" s="463" t="inlineStr">
        <is>
          <t>Growth %</t>
        </is>
      </c>
      <c r="C75" s="454" t="n"/>
      <c r="D75" s="454" t="n"/>
      <c r="E75" s="454" t="n"/>
      <c r="F75" s="454" t="n"/>
      <c r="G75" s="454" t="n"/>
      <c r="H75" s="454" t="n"/>
      <c r="I75" s="454">
        <f>(I73-F73)/F73</f>
        <v/>
      </c>
      <c r="J75" s="454">
        <f>(J73-G73)/G73</f>
        <v/>
      </c>
      <c r="K75" s="454">
        <f>(K73-H73)/H73</f>
        <v/>
      </c>
      <c r="L75" s="454">
        <f>(L73-I73)/I73</f>
        <v/>
      </c>
      <c r="M75" s="454">
        <f>(M73-J73)/J73</f>
        <v/>
      </c>
      <c r="N75" s="454">
        <f>(N73-K73)/K73</f>
        <v/>
      </c>
      <c r="O75" s="454">
        <f>(O73-L73)/L73</f>
        <v/>
      </c>
      <c r="P75" s="454">
        <f>(P73-M73)/M73</f>
        <v/>
      </c>
      <c r="Q75" s="454">
        <f>(Q73-N73)/N73</f>
        <v/>
      </c>
      <c r="R75" s="454">
        <f>(R73-O73)/O73</f>
        <v/>
      </c>
      <c r="S75" s="454">
        <f>(S73-P73)/P73</f>
        <v/>
      </c>
      <c r="T75" s="454">
        <f>(T73-Q73)/Q73</f>
        <v/>
      </c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</row>
    <row r="76" ht="12.9" customHeight="1" s="343">
      <c r="B76" s="38" t="n"/>
      <c r="C76" s="454" t="n"/>
      <c r="D76" s="454" t="n"/>
      <c r="E76" s="454" t="n"/>
      <c r="F76" s="454" t="n"/>
      <c r="G76" s="454" t="n"/>
      <c r="H76" s="454" t="n"/>
      <c r="I76" s="454" t="n"/>
      <c r="J76" s="454" t="n"/>
      <c r="K76" s="454" t="n"/>
      <c r="L76" s="454" t="n"/>
      <c r="M76" s="454" t="n"/>
      <c r="N76" s="454" t="n"/>
      <c r="O76" s="454" t="n"/>
      <c r="P76" s="454" t="n"/>
      <c r="Q76" s="454" t="n"/>
      <c r="R76" s="454" t="n"/>
      <c r="S76" s="454" t="n"/>
      <c r="T76" s="454" t="n"/>
      <c r="U76" s="21" t="n"/>
      <c r="V76" s="21" t="n"/>
      <c r="W76" s="21" t="n"/>
      <c r="X76" s="21" t="n"/>
      <c r="Y76" s="21" t="n"/>
      <c r="Z76" s="21" t="n"/>
      <c r="AA76" s="21" t="n"/>
      <c r="AB76" s="21" t="n"/>
      <c r="AC76" s="21" t="n"/>
      <c r="AD76" s="21" t="n"/>
      <c r="AE76" s="21" t="n"/>
      <c r="AF76" s="21" t="n"/>
      <c r="AG76" s="21" t="n"/>
      <c r="AH76" s="21" t="n"/>
      <c r="AI76" s="21" t="n"/>
    </row>
    <row r="77" ht="12.9" customHeight="1" s="343">
      <c r="B77" s="12" t="inlineStr">
        <is>
          <t>Export</t>
        </is>
      </c>
      <c r="C77" s="18" t="n"/>
      <c r="D77" s="12">
        <f>E77-C77</f>
        <v/>
      </c>
      <c r="E77" s="452" t="n"/>
      <c r="F77" s="452" t="n">
        <v>15.9</v>
      </c>
      <c r="G77" s="12">
        <f>H77-F77</f>
        <v/>
      </c>
      <c r="H77" s="452" t="n">
        <v>27.5</v>
      </c>
      <c r="I77" s="452" t="n">
        <v>31.3</v>
      </c>
      <c r="J77" s="12">
        <f>K77-I77</f>
        <v/>
      </c>
      <c r="K77" s="452" t="n">
        <v>78.7</v>
      </c>
      <c r="L77" s="452" t="n">
        <v>121.6</v>
      </c>
      <c r="M77" s="12">
        <f>N77-L77</f>
        <v/>
      </c>
      <c r="N77" s="452" t="n">
        <v>171.8</v>
      </c>
      <c r="O77" s="452" t="n">
        <v>158.8</v>
      </c>
      <c r="P77" s="12">
        <f>Q77-O77</f>
        <v/>
      </c>
      <c r="Q77" s="452" t="n">
        <v>380.2</v>
      </c>
      <c r="R77" s="452" t="n">
        <v>231.1</v>
      </c>
      <c r="S77" s="12">
        <f>T77-R77</f>
        <v/>
      </c>
      <c r="T77" s="452" t="n">
        <v>395.1</v>
      </c>
      <c r="U77" s="21">
        <f>U69*U78</f>
        <v/>
      </c>
      <c r="V77" s="21">
        <f>V69*V78</f>
        <v/>
      </c>
      <c r="W77" s="21">
        <f>U77+V77</f>
        <v/>
      </c>
      <c r="X77" s="21">
        <f>X69*X78</f>
        <v/>
      </c>
      <c r="Y77" s="21">
        <f>Y69*Y78</f>
        <v/>
      </c>
      <c r="Z77" s="21">
        <f>X77+Y77</f>
        <v/>
      </c>
      <c r="AA77" s="21">
        <f>AA69*AA78</f>
        <v/>
      </c>
      <c r="AB77" s="21">
        <f>AB69*AB78</f>
        <v/>
      </c>
      <c r="AC77" s="21">
        <f>AA77+AB77</f>
        <v/>
      </c>
      <c r="AD77" s="21">
        <f>AD69*AD78</f>
        <v/>
      </c>
      <c r="AE77" s="21">
        <f>AE69*AE78</f>
        <v/>
      </c>
      <c r="AF77" s="21">
        <f>AD77+AE77</f>
        <v/>
      </c>
      <c r="AG77" s="21">
        <f>AG69*AG78</f>
        <v/>
      </c>
      <c r="AH77" s="21">
        <f>AH69*AH78</f>
        <v/>
      </c>
      <c r="AI77" s="21">
        <f>AG77+AH77</f>
        <v/>
      </c>
    </row>
    <row r="78" ht="12.9" customHeight="1" s="343">
      <c r="B78" s="38" t="inlineStr">
        <is>
          <t>% of Total Revenue</t>
        </is>
      </c>
      <c r="C78" s="454">
        <f>C77/'Income Statement'!C8</f>
        <v/>
      </c>
      <c r="D78" s="454">
        <f>D77/'Income Statement'!D8</f>
        <v/>
      </c>
      <c r="E78" s="454">
        <f>E77/'Income Statement'!E8</f>
        <v/>
      </c>
      <c r="F78" s="454">
        <f>F77/'Income Statement'!F8</f>
        <v/>
      </c>
      <c r="G78" s="454">
        <f>G77/'Income Statement'!G8</f>
        <v/>
      </c>
      <c r="H78" s="454">
        <f>H77/'Income Statement'!H8</f>
        <v/>
      </c>
      <c r="I78" s="454">
        <f>I77/'Income Statement'!I8</f>
        <v/>
      </c>
      <c r="J78" s="454">
        <f>J77/'Income Statement'!J8</f>
        <v/>
      </c>
      <c r="K78" s="454">
        <f>K77/'Income Statement'!K8</f>
        <v/>
      </c>
      <c r="L78" s="454">
        <f>L77/'Income Statement'!L8</f>
        <v/>
      </c>
      <c r="M78" s="454">
        <f>M77/'Income Statement'!M8</f>
        <v/>
      </c>
      <c r="N78" s="454">
        <f>N77/'Income Statement'!N8</f>
        <v/>
      </c>
      <c r="O78" s="454">
        <f>O77/'Income Statement'!O8</f>
        <v/>
      </c>
      <c r="P78" s="454">
        <f>P77/'Income Statement'!P8</f>
        <v/>
      </c>
      <c r="Q78" s="454">
        <f>Q77/'Income Statement'!Q8</f>
        <v/>
      </c>
      <c r="R78" s="454">
        <f>R77/'Income Statement'!R8</f>
        <v/>
      </c>
      <c r="S78" s="454">
        <f>S77/'Income Statement'!S8</f>
        <v/>
      </c>
      <c r="T78" s="454">
        <f>T77/'Income Statement'!T8</f>
        <v/>
      </c>
      <c r="U78" s="455" t="n">
        <v>0.38</v>
      </c>
      <c r="V78" s="455">
        <f>U78</f>
        <v/>
      </c>
      <c r="W78" s="454">
        <f>W77/W$69</f>
        <v/>
      </c>
      <c r="X78" s="455">
        <f>V78</f>
        <v/>
      </c>
      <c r="Y78" s="455">
        <f>X78</f>
        <v/>
      </c>
      <c r="Z78" s="454">
        <f>Z77/Z$69</f>
        <v/>
      </c>
      <c r="AA78" s="455">
        <f>Y78</f>
        <v/>
      </c>
      <c r="AB78" s="455">
        <f>AA78</f>
        <v/>
      </c>
      <c r="AC78" s="454">
        <f>AC77/AC$69</f>
        <v/>
      </c>
      <c r="AD78" s="455">
        <f>AB78</f>
        <v/>
      </c>
      <c r="AE78" s="455">
        <f>AD78</f>
        <v/>
      </c>
      <c r="AF78" s="454">
        <f>AF77/AF$69</f>
        <v/>
      </c>
      <c r="AG78" s="455">
        <f>AE78</f>
        <v/>
      </c>
      <c r="AH78" s="455">
        <f>AG78</f>
        <v/>
      </c>
      <c r="AI78" s="454">
        <f>AI77/AI$69</f>
        <v/>
      </c>
    </row>
    <row r="79" ht="12.9" customHeight="1" s="343">
      <c r="B79" s="463" t="inlineStr">
        <is>
          <t>Growth %</t>
        </is>
      </c>
      <c r="C79" s="454" t="n"/>
      <c r="D79" s="454" t="n"/>
      <c r="E79" s="454" t="n"/>
      <c r="F79" s="454" t="n"/>
      <c r="G79" s="454" t="n"/>
      <c r="H79" s="454" t="n"/>
      <c r="I79" s="454">
        <f>(I77-F77)/F77</f>
        <v/>
      </c>
      <c r="J79" s="454">
        <f>(J77-G77)/G77</f>
        <v/>
      </c>
      <c r="K79" s="454">
        <f>(K77-H77)/H77</f>
        <v/>
      </c>
      <c r="L79" s="454">
        <f>(L77-I77)/I77</f>
        <v/>
      </c>
      <c r="M79" s="454">
        <f>(M77-J77)/J77</f>
        <v/>
      </c>
      <c r="N79" s="454">
        <f>(N77-K77)/K77</f>
        <v/>
      </c>
      <c r="O79" s="454">
        <f>(O77-L77)/L77</f>
        <v/>
      </c>
      <c r="P79" s="454">
        <f>(P77-M77)/M77</f>
        <v/>
      </c>
      <c r="Q79" s="454">
        <f>(Q77-N77)/N77</f>
        <v/>
      </c>
      <c r="R79" s="454">
        <f>(R77-O77)/O77</f>
        <v/>
      </c>
      <c r="S79" s="454">
        <f>(S77-P77)/P77</f>
        <v/>
      </c>
      <c r="T79" s="454">
        <f>(T77-Q77)/Q77</f>
        <v/>
      </c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</row>
    <row r="80" ht="12.9" customHeight="1" s="343">
      <c r="B80" s="38" t="n"/>
      <c r="C80" s="454" t="n"/>
      <c r="D80" s="454" t="n"/>
      <c r="E80" s="454" t="n"/>
      <c r="F80" s="454" t="n"/>
      <c r="G80" s="454" t="n"/>
      <c r="H80" s="454" t="n"/>
      <c r="I80" s="454" t="n"/>
      <c r="J80" s="454" t="n"/>
      <c r="K80" s="454" t="n"/>
      <c r="L80" s="454" t="n"/>
      <c r="M80" s="454" t="n"/>
      <c r="N80" s="454" t="n"/>
      <c r="O80" s="454" t="n"/>
      <c r="P80" s="454" t="n"/>
      <c r="Q80" s="454" t="n"/>
      <c r="R80" s="454" t="n"/>
      <c r="S80" s="454" t="n"/>
      <c r="T80" s="454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</row>
    <row r="81" ht="12.9" customHeight="1" s="343">
      <c r="B81" s="12" t="inlineStr">
        <is>
          <t>DE/SEZ</t>
        </is>
      </c>
      <c r="C81" s="18" t="n"/>
      <c r="D81" s="12">
        <f>E81-C81</f>
        <v/>
      </c>
      <c r="E81" s="18" t="n"/>
      <c r="F81" s="18" t="n"/>
      <c r="G81" s="12">
        <f>H81-F81</f>
        <v/>
      </c>
      <c r="H81" s="18" t="n"/>
      <c r="I81" s="18" t="n"/>
      <c r="J81" s="12">
        <f>K81-I81</f>
        <v/>
      </c>
      <c r="K81" s="452" t="n"/>
      <c r="L81" s="452" t="n">
        <v>6.8</v>
      </c>
      <c r="M81" s="12">
        <f>N81-L81</f>
        <v/>
      </c>
      <c r="N81" s="452" t="n">
        <v>53</v>
      </c>
      <c r="O81" s="452" t="n">
        <v>16.7</v>
      </c>
      <c r="P81" s="12">
        <f>Q81-O81</f>
        <v/>
      </c>
      <c r="Q81" s="452" t="n">
        <v>63.1</v>
      </c>
      <c r="R81" s="452" t="n">
        <v>30.7</v>
      </c>
      <c r="S81" s="12">
        <f>T81-R81</f>
        <v/>
      </c>
      <c r="T81" s="452" t="n">
        <v>30.5</v>
      </c>
      <c r="U81" s="21">
        <f>U69*U82</f>
        <v/>
      </c>
      <c r="V81" s="21">
        <f>V69*V82</f>
        <v/>
      </c>
      <c r="W81" s="21">
        <f>U81+V81</f>
        <v/>
      </c>
      <c r="X81" s="21">
        <f>X69*X82</f>
        <v/>
      </c>
      <c r="Y81" s="21">
        <f>Y69*Y82</f>
        <v/>
      </c>
      <c r="Z81" s="21">
        <f>X81+Y81</f>
        <v/>
      </c>
      <c r="AA81" s="21">
        <f>AA69*AA82</f>
        <v/>
      </c>
      <c r="AB81" s="21">
        <f>AB69*AB82</f>
        <v/>
      </c>
      <c r="AC81" s="21">
        <f>AA81+AB81</f>
        <v/>
      </c>
      <c r="AD81" s="21">
        <f>AD69*AD82</f>
        <v/>
      </c>
      <c r="AE81" s="21">
        <f>AE69*AE82</f>
        <v/>
      </c>
      <c r="AF81" s="21">
        <f>AD81+AE81</f>
        <v/>
      </c>
      <c r="AG81" s="21">
        <f>AG69*AG82</f>
        <v/>
      </c>
      <c r="AH81" s="21">
        <f>AH69*AH82</f>
        <v/>
      </c>
      <c r="AI81" s="21">
        <f>AG81+AH81</f>
        <v/>
      </c>
    </row>
    <row r="82" ht="12.9" customHeight="1" s="343">
      <c r="B82" s="38" t="inlineStr">
        <is>
          <t>% of Total Revenue</t>
        </is>
      </c>
      <c r="C82" s="454">
        <f>C81/'Income Statement'!C8</f>
        <v/>
      </c>
      <c r="D82" s="454">
        <f>D81/'Income Statement'!D8</f>
        <v/>
      </c>
      <c r="E82" s="454">
        <f>E81/'Income Statement'!E8</f>
        <v/>
      </c>
      <c r="F82" s="454">
        <f>F81/'Income Statement'!F8</f>
        <v/>
      </c>
      <c r="G82" s="454">
        <f>G81/'Income Statement'!G8</f>
        <v/>
      </c>
      <c r="H82" s="454">
        <f>H81/'Income Statement'!H8</f>
        <v/>
      </c>
      <c r="I82" s="454">
        <f>I81/'Income Statement'!I8</f>
        <v/>
      </c>
      <c r="J82" s="454">
        <f>J81/'Income Statement'!J8</f>
        <v/>
      </c>
      <c r="K82" s="454">
        <f>K81/'Income Statement'!K8</f>
        <v/>
      </c>
      <c r="L82" s="454">
        <f>L81/'Income Statement'!L8</f>
        <v/>
      </c>
      <c r="M82" s="454">
        <f>M81/'Income Statement'!M8</f>
        <v/>
      </c>
      <c r="N82" s="454">
        <f>N81/'Income Statement'!N8</f>
        <v/>
      </c>
      <c r="O82" s="454">
        <f>O81/'Income Statement'!O8</f>
        <v/>
      </c>
      <c r="P82" s="454">
        <f>P81/'Income Statement'!P8</f>
        <v/>
      </c>
      <c r="Q82" s="454">
        <f>Q81/'Income Statement'!Q8</f>
        <v/>
      </c>
      <c r="R82" s="454">
        <f>R81/'Income Statement'!R8</f>
        <v/>
      </c>
      <c r="S82" s="454">
        <f>S81/'Income Statement'!S8</f>
        <v/>
      </c>
      <c r="T82" s="454">
        <f>T81/'Income Statement'!T8</f>
        <v/>
      </c>
      <c r="U82" s="455">
        <f>1-U74-U78</f>
        <v/>
      </c>
      <c r="V82" s="455">
        <f>U82</f>
        <v/>
      </c>
      <c r="W82" s="454">
        <f>W81/W$69</f>
        <v/>
      </c>
      <c r="X82" s="455">
        <f>V82</f>
        <v/>
      </c>
      <c r="Y82" s="455">
        <f>X82</f>
        <v/>
      </c>
      <c r="Z82" s="454">
        <f>Z81/Z$69</f>
        <v/>
      </c>
      <c r="AA82" s="455">
        <f>Y82</f>
        <v/>
      </c>
      <c r="AB82" s="455">
        <f>AA82</f>
        <v/>
      </c>
      <c r="AC82" s="454">
        <f>AC81/AC$69</f>
        <v/>
      </c>
      <c r="AD82" s="455">
        <f>AB82</f>
        <v/>
      </c>
      <c r="AE82" s="455">
        <f>AD82</f>
        <v/>
      </c>
      <c r="AF82" s="454">
        <f>AF81/AF$69</f>
        <v/>
      </c>
      <c r="AG82" s="455">
        <f>AE82</f>
        <v/>
      </c>
      <c r="AH82" s="455">
        <f>AG82</f>
        <v/>
      </c>
      <c r="AI82" s="454">
        <f>AI81/AI$69</f>
        <v/>
      </c>
    </row>
    <row r="83" ht="12.9" customHeight="1" s="343">
      <c r="B83" s="463" t="inlineStr">
        <is>
          <t>Growth %</t>
        </is>
      </c>
      <c r="I83" s="454" t="n"/>
      <c r="J83" s="454" t="n"/>
      <c r="K83" s="454" t="n"/>
      <c r="L83" s="454" t="n"/>
      <c r="M83" s="454" t="n"/>
      <c r="N83" s="454" t="n"/>
      <c r="O83" s="454">
        <f>(O81-L81)/L81</f>
        <v/>
      </c>
      <c r="P83" s="454">
        <f>(P81-M81)/M81</f>
        <v/>
      </c>
      <c r="Q83" s="454">
        <f>(Q81-N81)/N81</f>
        <v/>
      </c>
      <c r="R83" s="454">
        <f>(R81-O81)/O81</f>
        <v/>
      </c>
      <c r="S83" s="454">
        <f>(S81-P81)/P81</f>
        <v/>
      </c>
      <c r="T83" s="454">
        <f>(T81-Q81)/Q81</f>
        <v/>
      </c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</row>
    <row r="84" ht="12.9" customHeight="1" s="343"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</row>
    <row r="85" ht="12.9" customFormat="1" customHeight="1" s="6">
      <c r="B85" s="6" t="inlineStr">
        <is>
          <t xml:space="preserve">Total </t>
        </is>
      </c>
      <c r="C85" s="6">
        <f>C73+C77+C81</f>
        <v/>
      </c>
      <c r="D85" s="6">
        <f>D73+D77+D81</f>
        <v/>
      </c>
      <c r="E85" s="6">
        <f>E73+E77+E81</f>
        <v/>
      </c>
      <c r="F85" s="6">
        <f>F73+F77+F81</f>
        <v/>
      </c>
      <c r="G85" s="6">
        <f>G73+G77+G81</f>
        <v/>
      </c>
      <c r="H85" s="6">
        <f>H73+H77+H81</f>
        <v/>
      </c>
      <c r="I85" s="6">
        <f>I73+I77+I81</f>
        <v/>
      </c>
      <c r="J85" s="6">
        <f>J73+J77+J81</f>
        <v/>
      </c>
      <c r="K85" s="6">
        <f>K73+K77+K81</f>
        <v/>
      </c>
      <c r="L85" s="6">
        <f>L73+L77+L81</f>
        <v/>
      </c>
      <c r="M85" s="6">
        <f>M73+M77+M81</f>
        <v/>
      </c>
      <c r="N85" s="6">
        <f>N73+N77+N81</f>
        <v/>
      </c>
      <c r="O85" s="6">
        <f>O73+O77+O81</f>
        <v/>
      </c>
      <c r="P85" s="6">
        <f>P73+P77+P81</f>
        <v/>
      </c>
      <c r="Q85" s="6">
        <f>Q73+Q77+Q81</f>
        <v/>
      </c>
      <c r="R85" s="6">
        <f>R73+R77+R81</f>
        <v/>
      </c>
      <c r="S85" s="6">
        <f>S73+S77+S81</f>
        <v/>
      </c>
      <c r="T85" s="6">
        <f>T73+T77+T81</f>
        <v/>
      </c>
      <c r="U85" s="49">
        <f>U73+U77+U81</f>
        <v/>
      </c>
      <c r="V85" s="49">
        <f>V73+V77+V81</f>
        <v/>
      </c>
      <c r="W85" s="49">
        <f>U85+V85</f>
        <v/>
      </c>
      <c r="X85" s="49">
        <f>X73+X77+X81</f>
        <v/>
      </c>
      <c r="Y85" s="49">
        <f>Y73+Y77+Y81</f>
        <v/>
      </c>
      <c r="Z85" s="49">
        <f>X85+Y85</f>
        <v/>
      </c>
      <c r="AA85" s="49">
        <f>AA73+AA77+AA81</f>
        <v/>
      </c>
      <c r="AB85" s="49">
        <f>AB73+AB77+AB81</f>
        <v/>
      </c>
      <c r="AC85" s="49">
        <f>AA85+AB85</f>
        <v/>
      </c>
      <c r="AD85" s="49">
        <f>AD73+AD77+AD81</f>
        <v/>
      </c>
      <c r="AE85" s="49">
        <f>AE73+AE77+AE81</f>
        <v/>
      </c>
      <c r="AF85" s="49">
        <f>AD85+AE85</f>
        <v/>
      </c>
      <c r="AG85" s="49">
        <f>AG73+AG77+AG81</f>
        <v/>
      </c>
      <c r="AH85" s="49">
        <f>AH73+AH77+AH81</f>
        <v/>
      </c>
      <c r="AI85" s="49">
        <f>AG85+AH85</f>
        <v/>
      </c>
    </row>
    <row r="86" ht="12.9" customHeight="1" s="343"/>
    <row r="87" ht="12.9" customHeight="1" s="343"/>
    <row r="88" ht="12.9" customHeight="1" s="343">
      <c r="B88" s="6" t="inlineStr">
        <is>
          <t>Estimated Export Regional Split (for Risk Analysis)</t>
        </is>
      </c>
    </row>
    <row r="89" ht="12.9" customHeight="1" s="343">
      <c r="B89" s="12" t="inlineStr">
        <is>
          <t>Middle East Revenue</t>
        </is>
      </c>
      <c r="R89" s="21" t="n"/>
      <c r="S89" s="21" t="n"/>
      <c r="T89" s="21" t="n"/>
      <c r="U89" s="21">
        <f>U77*U90</f>
        <v/>
      </c>
      <c r="V89" s="21">
        <f>V77*V90</f>
        <v/>
      </c>
      <c r="W89" s="21">
        <f>U89+V89</f>
        <v/>
      </c>
      <c r="X89" s="21">
        <f>X77*X90</f>
        <v/>
      </c>
      <c r="Y89" s="21">
        <f>Y77*Y90</f>
        <v/>
      </c>
      <c r="Z89" s="21">
        <f>X89+Y89</f>
        <v/>
      </c>
      <c r="AA89" s="21">
        <f>AA77*AA90</f>
        <v/>
      </c>
      <c r="AB89" s="21">
        <f>AB77*AB90</f>
        <v/>
      </c>
      <c r="AC89" s="21">
        <f>AA89+AB89</f>
        <v/>
      </c>
      <c r="AD89" s="21">
        <f>AD77*AD90</f>
        <v/>
      </c>
      <c r="AE89" s="21">
        <f>AE77*AE90</f>
        <v/>
      </c>
      <c r="AF89" s="21">
        <f>AD89+AE89</f>
        <v/>
      </c>
      <c r="AG89" s="21">
        <f>AG77*AG90</f>
        <v/>
      </c>
      <c r="AH89" s="21">
        <f>AH77*AH90</f>
        <v/>
      </c>
      <c r="AI89" s="21">
        <f>AG89+AH89</f>
        <v/>
      </c>
    </row>
    <row r="90" ht="12.9" customHeight="1" s="343">
      <c r="B90" s="38" t="inlineStr">
        <is>
          <t>% of Exports</t>
        </is>
      </c>
      <c r="R90" s="455" t="n"/>
      <c r="S90" s="455" t="n"/>
      <c r="T90" s="454" t="n"/>
      <c r="U90" s="455" t="n">
        <v>0.4</v>
      </c>
      <c r="V90" s="455">
        <f>U90</f>
        <v/>
      </c>
      <c r="W90" s="454">
        <f>W89/W77</f>
        <v/>
      </c>
      <c r="X90" s="455">
        <f>V90</f>
        <v/>
      </c>
      <c r="Y90" s="455">
        <f>X90</f>
        <v/>
      </c>
      <c r="Z90" s="454">
        <f>Z89/Z77</f>
        <v/>
      </c>
      <c r="AA90" s="455">
        <f>Y90</f>
        <v/>
      </c>
      <c r="AB90" s="455">
        <f>AA90</f>
        <v/>
      </c>
      <c r="AC90" s="454">
        <f>AC89/AC77</f>
        <v/>
      </c>
      <c r="AD90" s="455">
        <f>AB90</f>
        <v/>
      </c>
      <c r="AE90" s="455">
        <f>AD90</f>
        <v/>
      </c>
      <c r="AF90" s="454">
        <f>AF89/AF77</f>
        <v/>
      </c>
      <c r="AG90" s="455">
        <f>AE90</f>
        <v/>
      </c>
      <c r="AH90" s="455">
        <f>AG90</f>
        <v/>
      </c>
      <c r="AI90" s="454">
        <f>AI89/AI77</f>
        <v/>
      </c>
    </row>
    <row r="91" ht="12.9" customHeight="1" s="343">
      <c r="R91" s="454" t="n"/>
      <c r="S91" s="454" t="n"/>
      <c r="T91" s="454" t="n"/>
      <c r="U91" s="454" t="n"/>
      <c r="V91" s="454" t="n"/>
      <c r="W91" s="454" t="n"/>
      <c r="X91" s="454" t="n"/>
      <c r="Y91" s="454" t="n"/>
      <c r="Z91" s="454" t="n"/>
      <c r="AA91" s="454" t="n"/>
      <c r="AB91" s="454" t="n"/>
      <c r="AC91" s="454" t="n"/>
      <c r="AD91" s="454" t="n"/>
      <c r="AE91" s="454" t="n"/>
      <c r="AF91" s="454" t="n"/>
      <c r="AG91" s="454" t="n"/>
      <c r="AH91" s="454" t="n"/>
      <c r="AI91" s="454" t="n"/>
    </row>
    <row r="92" ht="12.9" customHeight="1" s="343">
      <c r="B92" s="12" t="inlineStr">
        <is>
          <t>USA Revenue</t>
        </is>
      </c>
      <c r="R92" s="453" t="n"/>
      <c r="S92" s="453" t="n"/>
      <c r="T92" s="21" t="n"/>
      <c r="U92" s="453">
        <f>U77*U93</f>
        <v/>
      </c>
      <c r="V92" s="453">
        <f>V77*V93</f>
        <v/>
      </c>
      <c r="W92" s="21">
        <f>U92+V92</f>
        <v/>
      </c>
      <c r="X92" s="453">
        <f>X77*X93</f>
        <v/>
      </c>
      <c r="Y92" s="453">
        <f>Y77*Y93</f>
        <v/>
      </c>
      <c r="Z92" s="21">
        <f>X92+Y92</f>
        <v/>
      </c>
      <c r="AA92" s="453">
        <f>AA77*AA93</f>
        <v/>
      </c>
      <c r="AB92" s="453">
        <f>AB77*AB93</f>
        <v/>
      </c>
      <c r="AC92" s="21">
        <f>AA92+AB92</f>
        <v/>
      </c>
      <c r="AD92" s="453">
        <f>AD77*AD93</f>
        <v/>
      </c>
      <c r="AE92" s="453">
        <f>AE77*AE93</f>
        <v/>
      </c>
      <c r="AF92" s="21">
        <f>AD92+AE92</f>
        <v/>
      </c>
      <c r="AG92" s="453">
        <f>AG77*AG93</f>
        <v/>
      </c>
      <c r="AH92" s="453">
        <f>AH77*AH93</f>
        <v/>
      </c>
      <c r="AI92" s="21">
        <f>AG92+AH92</f>
        <v/>
      </c>
    </row>
    <row r="93" ht="12.9" customHeight="1" s="343">
      <c r="B93" s="38" t="inlineStr">
        <is>
          <t>% of Exports</t>
        </is>
      </c>
      <c r="R93" s="455" t="n"/>
      <c r="S93" s="455" t="n"/>
      <c r="T93" s="454" t="n"/>
      <c r="U93" s="455" t="n">
        <v>0.25</v>
      </c>
      <c r="V93" s="455">
        <f>U93</f>
        <v/>
      </c>
      <c r="W93" s="454">
        <f>W92/W77</f>
        <v/>
      </c>
      <c r="X93" s="455">
        <f>V93</f>
        <v/>
      </c>
      <c r="Y93" s="455">
        <f>X93</f>
        <v/>
      </c>
      <c r="Z93" s="454">
        <f>Z92/Z77</f>
        <v/>
      </c>
      <c r="AA93" s="455">
        <f>Y93</f>
        <v/>
      </c>
      <c r="AB93" s="455">
        <f>AA93</f>
        <v/>
      </c>
      <c r="AC93" s="454">
        <f>AC92/AC77</f>
        <v/>
      </c>
      <c r="AD93" s="455">
        <f>AB93</f>
        <v/>
      </c>
      <c r="AE93" s="455">
        <f>AD93</f>
        <v/>
      </c>
      <c r="AF93" s="454">
        <f>AF92/AF77</f>
        <v/>
      </c>
      <c r="AG93" s="455">
        <f>AE93</f>
        <v/>
      </c>
      <c r="AH93" s="455">
        <f>AG93</f>
        <v/>
      </c>
      <c r="AI93" s="454">
        <f>AI92/AI77</f>
        <v/>
      </c>
    </row>
    <row r="94" ht="12.9" customHeight="1" s="343"/>
    <row r="95" ht="12.9" customHeight="1" s="343">
      <c r="B95" s="12" t="inlineStr">
        <is>
          <t>Other Regions (Europe, Africa, SE Asia) Revenue</t>
        </is>
      </c>
      <c r="R95" s="453" t="n"/>
      <c r="S95" s="453" t="n"/>
      <c r="T95" s="21" t="n"/>
      <c r="U95" s="453">
        <f>U77*U96</f>
        <v/>
      </c>
      <c r="V95" s="453">
        <f>V77*V96</f>
        <v/>
      </c>
      <c r="W95" s="21">
        <f>U95+V95</f>
        <v/>
      </c>
      <c r="X95" s="453">
        <f>X77*X96</f>
        <v/>
      </c>
      <c r="Y95" s="453">
        <f>Y77*Y96</f>
        <v/>
      </c>
      <c r="Z95" s="21">
        <f>X95+Y95</f>
        <v/>
      </c>
      <c r="AA95" s="453">
        <f>AA77*AA96</f>
        <v/>
      </c>
      <c r="AB95" s="453">
        <f>AB77*AB96</f>
        <v/>
      </c>
      <c r="AC95" s="21">
        <f>AA95+AB95</f>
        <v/>
      </c>
      <c r="AD95" s="453">
        <f>AD77*AD96</f>
        <v/>
      </c>
      <c r="AE95" s="453">
        <f>AE77*AE96</f>
        <v/>
      </c>
      <c r="AF95" s="21">
        <f>AD95+AE95</f>
        <v/>
      </c>
      <c r="AG95" s="453">
        <f>AG77*AG96</f>
        <v/>
      </c>
      <c r="AH95" s="453">
        <f>AH77*AH96</f>
        <v/>
      </c>
      <c r="AI95" s="21">
        <f>AG95+AH95</f>
        <v/>
      </c>
    </row>
    <row r="96" ht="12.9" customHeight="1" s="343">
      <c r="B96" s="38" t="inlineStr">
        <is>
          <t>% of Exports</t>
        </is>
      </c>
      <c r="R96" s="455" t="n"/>
      <c r="S96" s="455" t="n"/>
      <c r="T96" s="454" t="n"/>
      <c r="U96" s="455">
        <f>1-U90-U93</f>
        <v/>
      </c>
      <c r="V96" s="455">
        <f>1-V90-V93</f>
        <v/>
      </c>
      <c r="W96" s="454">
        <f>W95/W77</f>
        <v/>
      </c>
      <c r="X96" s="455">
        <f>1-X90-X93</f>
        <v/>
      </c>
      <c r="Y96" s="455">
        <f>1-Y90-Y93</f>
        <v/>
      </c>
      <c r="Z96" s="454">
        <f>Z95/Z77</f>
        <v/>
      </c>
      <c r="AA96" s="455">
        <f>1-AA90-AA93</f>
        <v/>
      </c>
      <c r="AB96" s="455">
        <f>1-AB90-AB93</f>
        <v/>
      </c>
      <c r="AC96" s="454">
        <f>AC95/AC77</f>
        <v/>
      </c>
      <c r="AD96" s="455">
        <f>1-AD90-AD93</f>
        <v/>
      </c>
      <c r="AE96" s="455">
        <f>1-AE90-AE93</f>
        <v/>
      </c>
      <c r="AF96" s="454">
        <f>AF95/AF77</f>
        <v/>
      </c>
      <c r="AG96" s="455">
        <f>1-AG90-AG93</f>
        <v/>
      </c>
      <c r="AH96" s="455">
        <f>1-AH90-AH93</f>
        <v/>
      </c>
      <c r="AI96" s="454">
        <f>AI95/AI77</f>
        <v/>
      </c>
    </row>
    <row r="97" ht="12.9" customHeight="1" s="343"/>
    <row r="98" ht="12.9" customFormat="1" customHeight="1" s="6">
      <c r="B98" s="6" t="inlineStr">
        <is>
          <t>Middle East % of Total Revenue</t>
        </is>
      </c>
      <c r="R98" s="498" t="n"/>
      <c r="S98" s="498" t="n"/>
      <c r="T98" s="498" t="n"/>
      <c r="U98" s="498">
        <f>U89/U69</f>
        <v/>
      </c>
      <c r="V98" s="498">
        <f>V89/V69</f>
        <v/>
      </c>
      <c r="W98" s="498">
        <f>W89/W69</f>
        <v/>
      </c>
      <c r="X98" s="498">
        <f>X89/X69</f>
        <v/>
      </c>
      <c r="Y98" s="498">
        <f>Y89/Y69</f>
        <v/>
      </c>
      <c r="Z98" s="498">
        <f>Z89/Z69</f>
        <v/>
      </c>
      <c r="AA98" s="498">
        <f>AA89/AA69</f>
        <v/>
      </c>
      <c r="AB98" s="498">
        <f>AB89/AB69</f>
        <v/>
      </c>
      <c r="AC98" s="498">
        <f>AC89/AC69</f>
        <v/>
      </c>
      <c r="AD98" s="498">
        <f>AD89/AD69</f>
        <v/>
      </c>
      <c r="AE98" s="498">
        <f>AE89/AE69</f>
        <v/>
      </c>
      <c r="AF98" s="498">
        <f>AF89/AF69</f>
        <v/>
      </c>
      <c r="AG98" s="498">
        <f>AG89/AG69</f>
        <v/>
      </c>
      <c r="AH98" s="498">
        <f>AH89/AH69</f>
        <v/>
      </c>
      <c r="AI98" s="498">
        <f>AI89/AI69</f>
        <v/>
      </c>
    </row>
    <row r="99" ht="12.9" customHeight="1" s="343"/>
    <row r="100" ht="12.9" customHeight="1" s="343"/>
    <row r="101" ht="12.9" customHeight="1" s="343">
      <c r="B101" s="354" t="inlineStr">
        <is>
          <t>Risk Analysis (95% Confidence)</t>
        </is>
      </c>
      <c r="T101" s="41" t="n"/>
    </row>
    <row r="102" ht="12.9" customHeight="1" s="343">
      <c r="B102" s="12" t="inlineStr">
        <is>
          <t>Currency CVaR (USD/INR Risk on all Exports)</t>
        </is>
      </c>
      <c r="R102" s="453" t="n"/>
      <c r="S102" s="453" t="n"/>
      <c r="T102" s="453" t="n"/>
      <c r="U102" s="453">
        <f>U77*'Risk Data'!$M$3*'Risk Data'!$M$10</f>
        <v/>
      </c>
      <c r="V102" s="453">
        <f>V77*'Risk Data'!$M$3*'Risk Data'!$M$10</f>
        <v/>
      </c>
      <c r="W102" s="453">
        <f>W77*'Risk Data'!$M$3*'Risk Data'!$M$10</f>
        <v/>
      </c>
      <c r="X102" s="453">
        <f>X77*'Risk Data'!$M$3*'Risk Data'!$M$10</f>
        <v/>
      </c>
      <c r="Y102" s="453">
        <f>Y77*'Risk Data'!$M$3*'Risk Data'!$M$10</f>
        <v/>
      </c>
      <c r="Z102" s="453">
        <f>Z77*'Risk Data'!$M$3*'Risk Data'!$M$10</f>
        <v/>
      </c>
      <c r="AA102" s="453">
        <f>AA77*'Risk Data'!$M$3*'Risk Data'!$M$10</f>
        <v/>
      </c>
      <c r="AB102" s="453">
        <f>AB77*'Risk Data'!$M$3*'Risk Data'!$M$10</f>
        <v/>
      </c>
      <c r="AC102" s="453">
        <f>AC77*'Risk Data'!$M$3*'Risk Data'!$M$10</f>
        <v/>
      </c>
      <c r="AD102" s="453">
        <f>AD77*'Risk Data'!$M$3*'Risk Data'!$M$10</f>
        <v/>
      </c>
      <c r="AE102" s="453">
        <f>AE77*'Risk Data'!$M$3*'Risk Data'!$M$10</f>
        <v/>
      </c>
      <c r="AF102" s="453">
        <f>AF77*'Risk Data'!$M$3*'Risk Data'!$M$10</f>
        <v/>
      </c>
      <c r="AG102" s="453">
        <f>AG77*'Risk Data'!$M$3*'Risk Data'!$M$10</f>
        <v/>
      </c>
      <c r="AH102" s="453">
        <f>AH77*'Risk Data'!$M$3*'Risk Data'!$M$10</f>
        <v/>
      </c>
      <c r="AI102" s="453">
        <f>AI77*'Risk Data'!$M$3*'Risk Data'!$M$10</f>
        <v/>
      </c>
    </row>
    <row r="103" ht="12.9" customHeight="1" s="343">
      <c r="B103" s="12" t="inlineStr">
        <is>
          <t>Geopolitical CVaR (ME Exposure with Brent Crude as proxy)</t>
        </is>
      </c>
      <c r="R103" s="453" t="n"/>
      <c r="S103" s="453" t="n"/>
      <c r="T103" s="453" t="n"/>
      <c r="U103" s="453">
        <f>U89*'Risk Data'!$M$4*'Risk Data'!$M$10</f>
        <v/>
      </c>
      <c r="V103" s="453">
        <f>V89*'Risk Data'!$M$4*'Risk Data'!$M$10</f>
        <v/>
      </c>
      <c r="W103" s="453">
        <f>W89*'Risk Data'!$M$4*'Risk Data'!$M$10</f>
        <v/>
      </c>
      <c r="X103" s="453">
        <f>X89*'Risk Data'!$M$4*'Risk Data'!$M$10</f>
        <v/>
      </c>
      <c r="Y103" s="453">
        <f>Y89*'Risk Data'!$M$4*'Risk Data'!$M$10</f>
        <v/>
      </c>
      <c r="Z103" s="453">
        <f>Z89*'Risk Data'!$M$4*'Risk Data'!$M$10</f>
        <v/>
      </c>
      <c r="AA103" s="453">
        <f>AA89*'Risk Data'!$M$4*'Risk Data'!$M$10</f>
        <v/>
      </c>
      <c r="AB103" s="453">
        <f>AB89*'Risk Data'!$M$4*'Risk Data'!$M$10</f>
        <v/>
      </c>
      <c r="AC103" s="453">
        <f>AC89*'Risk Data'!$M$4*'Risk Data'!$M$10</f>
        <v/>
      </c>
      <c r="AD103" s="453">
        <f>AD89*'Risk Data'!$M$4*'Risk Data'!$M$10</f>
        <v/>
      </c>
      <c r="AE103" s="453">
        <f>AE89*'Risk Data'!$M$4*'Risk Data'!$M$10</f>
        <v/>
      </c>
      <c r="AF103" s="453">
        <f>AF89*'Risk Data'!$M$4*'Risk Data'!$M$10</f>
        <v/>
      </c>
      <c r="AG103" s="453">
        <f>AG89*'Risk Data'!$M$4*'Risk Data'!$M$10</f>
        <v/>
      </c>
      <c r="AH103" s="453">
        <f>AH89*'Risk Data'!$M$4*'Risk Data'!$M$10</f>
        <v/>
      </c>
      <c r="AI103" s="453">
        <f>AI89*'Risk Data'!$M$4*'Risk Data'!$M$10</f>
        <v/>
      </c>
    </row>
    <row r="104" ht="12.9" customHeight="1" s="343">
      <c r="R104" s="453" t="n"/>
      <c r="S104" s="453" t="n"/>
      <c r="T104" s="453" t="n"/>
      <c r="U104" s="453" t="n"/>
      <c r="V104" s="453" t="n"/>
      <c r="W104" s="453" t="n"/>
      <c r="X104" s="453" t="n"/>
      <c r="Y104" s="453" t="n"/>
      <c r="Z104" s="453" t="n"/>
      <c r="AA104" s="453" t="n"/>
      <c r="AB104" s="453" t="n"/>
      <c r="AC104" s="453" t="n"/>
      <c r="AD104" s="453" t="n"/>
      <c r="AE104" s="453" t="n"/>
      <c r="AF104" s="453" t="n"/>
      <c r="AG104" s="453" t="n"/>
      <c r="AH104" s="453" t="n"/>
      <c r="AI104" s="453" t="n"/>
    </row>
    <row r="105" ht="12.9" customHeight="1" s="343">
      <c r="B105" s="12" t="inlineStr">
        <is>
          <t>Combined CVaR (Markowitz Portfolio Formula)</t>
        </is>
      </c>
      <c r="R105" s="453" t="n"/>
      <c r="S105" s="453" t="n"/>
      <c r="T105" s="453" t="n"/>
      <c r="U105" s="453">
        <f>SQRT(U102^2+U103^2+2*'Risk Data'!$M$6*'Revenue Segments'!U102*'Revenue Segments'!U103)</f>
        <v/>
      </c>
      <c r="V105" s="453">
        <f>SQRT(V102^2+V103^2+2*'Risk Data'!$M$6*'Revenue Segments'!V102*'Revenue Segments'!V103)</f>
        <v/>
      </c>
      <c r="W105" s="453">
        <f>SQRT(W102^2+W103^2+2*'Risk Data'!$M$6*'Revenue Segments'!W102*'Revenue Segments'!W103)</f>
        <v/>
      </c>
      <c r="X105" s="453">
        <f>SQRT(X102^2+X103^2+2*'Risk Data'!$M$6*'Revenue Segments'!X102*'Revenue Segments'!X103)</f>
        <v/>
      </c>
      <c r="Y105" s="453">
        <f>SQRT(Y102^2+Y103^2+2*'Risk Data'!$M$6*'Revenue Segments'!Y102*'Revenue Segments'!Y103)</f>
        <v/>
      </c>
      <c r="Z105" s="453">
        <f>SQRT(Z102^2+Z103^2+2*'Risk Data'!$M$6*'Revenue Segments'!Z102*'Revenue Segments'!Z103)</f>
        <v/>
      </c>
      <c r="AA105" s="453">
        <f>SQRT(AA102^2+AA103^2+2*'Risk Data'!$M$6*'Revenue Segments'!AA102*'Revenue Segments'!AA103)</f>
        <v/>
      </c>
      <c r="AB105" s="453">
        <f>SQRT(AB102^2+AB103^2+2*'Risk Data'!$M$6*'Revenue Segments'!AB102*'Revenue Segments'!AB103)</f>
        <v/>
      </c>
      <c r="AC105" s="453">
        <f>SQRT(AC102^2+AC103^2+2*'Risk Data'!$M$6*'Revenue Segments'!AC102*'Revenue Segments'!AC103)</f>
        <v/>
      </c>
      <c r="AD105" s="453">
        <f>SQRT(AD102^2+AD103^2+2*'Risk Data'!$M$6*'Revenue Segments'!AD102*'Revenue Segments'!AD103)</f>
        <v/>
      </c>
      <c r="AE105" s="453">
        <f>SQRT(AE102^2+AE103^2+2*'Risk Data'!$M$6*'Revenue Segments'!AE102*'Revenue Segments'!AE103)</f>
        <v/>
      </c>
      <c r="AF105" s="453">
        <f>SQRT(AF102^2+AF103^2+2*'Risk Data'!$M$6*'Revenue Segments'!AF102*'Revenue Segments'!AF103)</f>
        <v/>
      </c>
      <c r="AG105" s="453">
        <f>SQRT(AG102^2+AG103^2+2*'Risk Data'!$M$6*'Revenue Segments'!AG102*'Revenue Segments'!AG103)</f>
        <v/>
      </c>
      <c r="AH105" s="453">
        <f>SQRT(AH102^2+AH103^2+2*'Risk Data'!$M$6*'Revenue Segments'!AH102*'Revenue Segments'!AH103)</f>
        <v/>
      </c>
      <c r="AI105" s="453">
        <f>SQRT(AI102^2+AI103^2+2*'Risk Data'!$M$6*'Revenue Segments'!AI102*'Revenue Segments'!AI103)</f>
        <v/>
      </c>
    </row>
    <row r="106" ht="12.9" customFormat="1" customHeight="1" s="69">
      <c r="B106" s="69" t="inlineStr">
        <is>
          <t>Combined CVaR as % of Total Revenue</t>
        </is>
      </c>
      <c r="R106" s="463" t="n"/>
      <c r="S106" s="463" t="n"/>
      <c r="T106" s="463" t="n"/>
      <c r="U106" s="463">
        <f>U105/U69</f>
        <v/>
      </c>
      <c r="V106" s="463">
        <f>V105/V69</f>
        <v/>
      </c>
      <c r="W106" s="463">
        <f>W105/W69</f>
        <v/>
      </c>
      <c r="X106" s="463">
        <f>X105/X69</f>
        <v/>
      </c>
      <c r="Y106" s="463">
        <f>Y105/Y69</f>
        <v/>
      </c>
      <c r="Z106" s="463">
        <f>Z105/Z69</f>
        <v/>
      </c>
      <c r="AA106" s="463">
        <f>AA105/AA69</f>
        <v/>
      </c>
      <c r="AB106" s="463">
        <f>AB105/AB69</f>
        <v/>
      </c>
      <c r="AC106" s="463">
        <f>AC105/AC69</f>
        <v/>
      </c>
      <c r="AD106" s="463">
        <f>AD105/AD69</f>
        <v/>
      </c>
      <c r="AE106" s="463">
        <f>AE105/AE69</f>
        <v/>
      </c>
      <c r="AF106" s="463">
        <f>AF105/AF69</f>
        <v/>
      </c>
      <c r="AG106" s="463">
        <f>AG105/AG69</f>
        <v/>
      </c>
      <c r="AH106" s="463">
        <f>AH105/AH69</f>
        <v/>
      </c>
      <c r="AI106" s="463">
        <f>AI105/AI69</f>
        <v/>
      </c>
    </row>
    <row r="107" ht="12.9" customFormat="1" customHeight="1" s="69">
      <c r="R107" s="463" t="n"/>
      <c r="S107" s="463" t="n"/>
      <c r="T107" s="463" t="n"/>
      <c r="U107" s="463" t="n"/>
      <c r="V107" s="463" t="n"/>
      <c r="W107" s="463" t="n"/>
      <c r="X107" s="463" t="n"/>
      <c r="Y107" s="463" t="n"/>
      <c r="Z107" s="463" t="n"/>
      <c r="AA107" s="463" t="n"/>
      <c r="AB107" s="463" t="n"/>
      <c r="AC107" s="463" t="n"/>
      <c r="AD107" s="463" t="n"/>
      <c r="AE107" s="463" t="n"/>
      <c r="AF107" s="463" t="n"/>
      <c r="AG107" s="463" t="n"/>
      <c r="AH107" s="463" t="n"/>
      <c r="AI107" s="463" t="n"/>
    </row>
    <row r="108" ht="12.9" customHeight="1" s="343">
      <c r="B108" s="6" t="inlineStr">
        <is>
          <t>Steel Price Risk Analysis</t>
        </is>
      </c>
    </row>
    <row r="109" ht="12.9" customFormat="1" customHeight="1" s="69">
      <c r="B109" s="12" t="inlineStr">
        <is>
          <t>Steel Exposure</t>
        </is>
      </c>
      <c r="C109" s="499" t="n"/>
      <c r="R109" s="463" t="n"/>
      <c r="S109" s="463" t="n"/>
      <c r="T109" s="463" t="n"/>
      <c r="U109" s="499">
        <f>'Income Statement'!U14*65%</f>
        <v/>
      </c>
      <c r="V109" s="499">
        <f>'Income Statement'!V14*65%</f>
        <v/>
      </c>
      <c r="W109" s="499">
        <f>'Income Statement'!W14*65%</f>
        <v/>
      </c>
      <c r="X109" s="499">
        <f>'Income Statement'!X14*65%</f>
        <v/>
      </c>
      <c r="Y109" s="499">
        <f>'Income Statement'!Y14*65%</f>
        <v/>
      </c>
      <c r="Z109" s="499">
        <f>'Income Statement'!Z14*65%</f>
        <v/>
      </c>
      <c r="AA109" s="499">
        <f>'Income Statement'!AA14*65%</f>
        <v/>
      </c>
      <c r="AB109" s="499">
        <f>'Income Statement'!AB14*65%</f>
        <v/>
      </c>
      <c r="AC109" s="499">
        <f>'Income Statement'!AC14*65%</f>
        <v/>
      </c>
      <c r="AD109" s="499">
        <f>'Income Statement'!AD14*65%</f>
        <v/>
      </c>
      <c r="AE109" s="499">
        <f>'Income Statement'!AE14*65%</f>
        <v/>
      </c>
      <c r="AF109" s="499">
        <f>'Income Statement'!AF14*65%</f>
        <v/>
      </c>
      <c r="AG109" s="499">
        <f>'Income Statement'!AG14*65%</f>
        <v/>
      </c>
      <c r="AH109" s="499">
        <f>'Income Statement'!AH14*65%</f>
        <v/>
      </c>
      <c r="AI109" s="499">
        <f>'Income Statement'!AI14*65%</f>
        <v/>
      </c>
      <c r="AJ109" s="499" t="n"/>
    </row>
    <row r="110" ht="12.9" customHeight="1" s="343">
      <c r="B110" s="12" t="inlineStr">
        <is>
          <t>Steel CVaR</t>
        </is>
      </c>
      <c r="U110" s="453">
        <f>U109*'Risk Data'!$M$5*'Risk Data'!$M$10</f>
        <v/>
      </c>
      <c r="V110" s="453">
        <f>V109*'Risk Data'!$M$5*'Risk Data'!$M$10</f>
        <v/>
      </c>
      <c r="W110" s="453">
        <f>W109*'Risk Data'!$M$5*'Risk Data'!$M$10</f>
        <v/>
      </c>
      <c r="X110" s="453">
        <f>X109*'Risk Data'!$M$5*'Risk Data'!$M$10</f>
        <v/>
      </c>
      <c r="Y110" s="453">
        <f>Y109*'Risk Data'!$M$5*'Risk Data'!$M$10</f>
        <v/>
      </c>
      <c r="Z110" s="453">
        <f>Z109*'Risk Data'!$M$5*'Risk Data'!$M$10</f>
        <v/>
      </c>
      <c r="AA110" s="453">
        <f>AA109*'Risk Data'!$M$5*'Risk Data'!$M$10</f>
        <v/>
      </c>
      <c r="AB110" s="453">
        <f>AB109*'Risk Data'!$M$5*'Risk Data'!$M$10</f>
        <v/>
      </c>
      <c r="AC110" s="453">
        <f>AC109*'Risk Data'!$M$5*'Risk Data'!$M$10</f>
        <v/>
      </c>
      <c r="AD110" s="453">
        <f>AD109*'Risk Data'!$M$5*'Risk Data'!$M$10</f>
        <v/>
      </c>
      <c r="AE110" s="453">
        <f>AE109*'Risk Data'!$M$5*'Risk Data'!$M$10</f>
        <v/>
      </c>
      <c r="AF110" s="453">
        <f>AF109*'Risk Data'!$M$5*'Risk Data'!$M$10</f>
        <v/>
      </c>
      <c r="AG110" s="453">
        <f>AG109*'Risk Data'!$M$5*'Risk Data'!$M$10</f>
        <v/>
      </c>
      <c r="AH110" s="453">
        <f>AH109*'Risk Data'!$M$5*'Risk Data'!$M$10</f>
        <v/>
      </c>
      <c r="AI110" s="453">
        <f>AI109*'Risk Data'!$M$5*'Risk Data'!$M$10</f>
        <v/>
      </c>
    </row>
    <row r="111" ht="12.9" customHeight="1" s="343">
      <c r="B111" s="12" t="inlineStr">
        <is>
          <t>Steel CVaR as % of EBITDA</t>
        </is>
      </c>
      <c r="U111" s="454">
        <f>U110/'Income Statement'!U23</f>
        <v/>
      </c>
      <c r="V111" s="454">
        <f>V110/'Income Statement'!V23</f>
        <v/>
      </c>
      <c r="W111" s="454">
        <f>W110/'Income Statement'!W23</f>
        <v/>
      </c>
      <c r="X111" s="454">
        <f>X110/'Income Statement'!X23</f>
        <v/>
      </c>
      <c r="Y111" s="454">
        <f>Y110/'Income Statement'!Y23</f>
        <v/>
      </c>
      <c r="Z111" s="454">
        <f>Z110/'Income Statement'!Z23</f>
        <v/>
      </c>
      <c r="AA111" s="454">
        <f>AA110/'Income Statement'!AA23</f>
        <v/>
      </c>
      <c r="AB111" s="454">
        <f>AB110/'Income Statement'!AB23</f>
        <v/>
      </c>
      <c r="AC111" s="454">
        <f>AC110/'Income Statement'!AC23</f>
        <v/>
      </c>
      <c r="AD111" s="454">
        <f>AD110/'Income Statement'!AD23</f>
        <v/>
      </c>
      <c r="AE111" s="454">
        <f>AE110/'Income Statement'!AE23</f>
        <v/>
      </c>
      <c r="AF111" s="454">
        <f>AF110/'Income Statement'!AF23</f>
        <v/>
      </c>
      <c r="AG111" s="454">
        <f>AG110/'Income Statement'!AG23</f>
        <v/>
      </c>
      <c r="AH111" s="454">
        <f>AH110/'Income Statement'!AH23</f>
        <v/>
      </c>
      <c r="AI111" s="454">
        <f>AI110/'Income Statement'!AI23</f>
        <v/>
      </c>
    </row>
    <row r="112" ht="12.9" customHeight="1" s="343"/>
    <row r="113" ht="12.9" customHeight="1" s="343">
      <c r="B113" s="354" t="inlineStr">
        <is>
          <t>Stress Scenarios</t>
        </is>
      </c>
    </row>
    <row r="114" ht="12.9" customHeight="1" s="343">
      <c r="B114" s="71" t="inlineStr">
        <is>
          <t>Base Case</t>
        </is>
      </c>
      <c r="C114" s="49">
        <f>C69</f>
        <v/>
      </c>
      <c r="D114" s="49">
        <f>D69</f>
        <v/>
      </c>
      <c r="E114" s="49">
        <f>E69</f>
        <v/>
      </c>
      <c r="F114" s="49">
        <f>F69</f>
        <v/>
      </c>
      <c r="G114" s="49">
        <f>G69</f>
        <v/>
      </c>
      <c r="H114" s="49">
        <f>H69</f>
        <v/>
      </c>
      <c r="I114" s="49">
        <f>I69</f>
        <v/>
      </c>
      <c r="J114" s="49">
        <f>J69</f>
        <v/>
      </c>
      <c r="K114" s="49">
        <f>K69</f>
        <v/>
      </c>
      <c r="L114" s="49">
        <f>L69</f>
        <v/>
      </c>
      <c r="M114" s="49">
        <f>M69</f>
        <v/>
      </c>
      <c r="N114" s="49">
        <f>N69</f>
        <v/>
      </c>
      <c r="O114" s="49">
        <f>O69</f>
        <v/>
      </c>
      <c r="P114" s="49">
        <f>P69</f>
        <v/>
      </c>
      <c r="Q114" s="49">
        <f>Q69</f>
        <v/>
      </c>
      <c r="R114" s="49">
        <f>R69</f>
        <v/>
      </c>
      <c r="S114" s="49">
        <f>S69</f>
        <v/>
      </c>
      <c r="T114" s="49">
        <f>T69</f>
        <v/>
      </c>
      <c r="U114" s="49">
        <f>U69</f>
        <v/>
      </c>
      <c r="V114" s="49">
        <f>V69</f>
        <v/>
      </c>
      <c r="W114" s="49">
        <f>W69</f>
        <v/>
      </c>
      <c r="X114" s="49">
        <f>X69</f>
        <v/>
      </c>
      <c r="Y114" s="49">
        <f>Y69</f>
        <v/>
      </c>
      <c r="Z114" s="49">
        <f>Z69</f>
        <v/>
      </c>
      <c r="AA114" s="49">
        <f>AA69</f>
        <v/>
      </c>
      <c r="AB114" s="49">
        <f>AB69</f>
        <v/>
      </c>
      <c r="AC114" s="49">
        <f>AC69</f>
        <v/>
      </c>
      <c r="AD114" s="49">
        <f>AD69</f>
        <v/>
      </c>
      <c r="AE114" s="49">
        <f>AE69</f>
        <v/>
      </c>
      <c r="AF114" s="49">
        <f>AF69</f>
        <v/>
      </c>
      <c r="AG114" s="49">
        <f>AG69</f>
        <v/>
      </c>
      <c r="AH114" s="49">
        <f>AH69</f>
        <v/>
      </c>
      <c r="AI114" s="49">
        <f>AI69</f>
        <v/>
      </c>
    </row>
    <row r="115" ht="12.9" customHeight="1" s="343"/>
    <row r="116" ht="12.9" customHeight="1" s="343">
      <c r="B116" s="71" t="inlineStr">
        <is>
          <t>Moderate Case</t>
        </is>
      </c>
    </row>
    <row r="117" ht="12.9" customHeight="1" s="343">
      <c r="B117" s="12" t="inlineStr">
        <is>
          <t>ME Order deferral %</t>
        </is>
      </c>
      <c r="E117" s="455" t="n">
        <v>0.2</v>
      </c>
      <c r="S117" s="21" t="n"/>
      <c r="U117" s="21">
        <f>$E$117*U89</f>
        <v/>
      </c>
      <c r="V117" s="21">
        <f>$E$117*V89</f>
        <v/>
      </c>
      <c r="W117" s="21">
        <f>U117+V117</f>
        <v/>
      </c>
      <c r="X117" s="21">
        <f>$E$117*X89</f>
        <v/>
      </c>
      <c r="Y117" s="21">
        <f>$E$117*Y89</f>
        <v/>
      </c>
      <c r="Z117" s="21">
        <f>X117+Y117</f>
        <v/>
      </c>
      <c r="AA117" s="21">
        <f>$E$117*AA89</f>
        <v/>
      </c>
      <c r="AB117" s="21">
        <f>$E$117*AB89</f>
        <v/>
      </c>
      <c r="AC117" s="21">
        <f>AA117+AB117</f>
        <v/>
      </c>
      <c r="AD117" s="21">
        <f>$E$117*AD89</f>
        <v/>
      </c>
      <c r="AE117" s="21">
        <f>$E$117*AE89</f>
        <v/>
      </c>
      <c r="AF117" s="21">
        <f>AD117+AE117</f>
        <v/>
      </c>
      <c r="AG117" s="21">
        <f>$E$117*AG89</f>
        <v/>
      </c>
      <c r="AH117" s="21">
        <f>$E$117*AH89</f>
        <v/>
      </c>
      <c r="AI117" s="21">
        <f>AG117+AH117</f>
        <v/>
      </c>
    </row>
    <row r="118" ht="12.9" customHeight="1" s="343">
      <c r="B118" s="12" t="inlineStr">
        <is>
          <t>US Tariff Impact</t>
        </is>
      </c>
      <c r="E118" s="455" t="n">
        <v>0.1</v>
      </c>
      <c r="S118" s="453" t="n"/>
      <c r="U118" s="453">
        <f>$E$118*U92</f>
        <v/>
      </c>
      <c r="V118" s="453">
        <f>$E$118*V92</f>
        <v/>
      </c>
      <c r="W118" s="21">
        <f>U118+V118</f>
        <v/>
      </c>
      <c r="X118" s="453">
        <f>$E$118*X92</f>
        <v/>
      </c>
      <c r="Y118" s="453">
        <f>$E$118*Y92</f>
        <v/>
      </c>
      <c r="Z118" s="21">
        <f>X118+Y118</f>
        <v/>
      </c>
      <c r="AA118" s="453">
        <f>$E$118*AA92</f>
        <v/>
      </c>
      <c r="AB118" s="453">
        <f>$E$118*AB92</f>
        <v/>
      </c>
      <c r="AC118" s="21">
        <f>AA118+AB118</f>
        <v/>
      </c>
      <c r="AD118" s="453">
        <f>$E$118*AD92</f>
        <v/>
      </c>
      <c r="AE118" s="453">
        <f>$E$118*AE92</f>
        <v/>
      </c>
      <c r="AF118" s="21">
        <f>AD118+AE118</f>
        <v/>
      </c>
      <c r="AG118" s="453">
        <f>$E$118*AG92</f>
        <v/>
      </c>
      <c r="AH118" s="453">
        <f>$E$118*AH92</f>
        <v/>
      </c>
      <c r="AI118" s="21">
        <f>AG118+AH118</f>
        <v/>
      </c>
    </row>
    <row r="119" ht="12.9" customHeight="1" s="343">
      <c r="B119" s="6" t="inlineStr">
        <is>
          <t>Adjusted Revenue</t>
        </is>
      </c>
      <c r="D119" s="6" t="n"/>
      <c r="E119" s="455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49" t="n"/>
      <c r="S119" s="448" t="n"/>
      <c r="T119" s="448" t="n"/>
      <c r="U119" s="448">
        <f>U114-U117-U118</f>
        <v/>
      </c>
      <c r="V119" s="448">
        <f>V114-V117-V118</f>
        <v/>
      </c>
      <c r="W119" s="49">
        <f>U119+V119</f>
        <v/>
      </c>
      <c r="X119" s="448">
        <f>X114-X117-X118</f>
        <v/>
      </c>
      <c r="Y119" s="448">
        <f>Y114-Y117-Y118</f>
        <v/>
      </c>
      <c r="Z119" s="49">
        <f>X119+Y119</f>
        <v/>
      </c>
      <c r="AA119" s="448">
        <f>AA114-AA117-AA118</f>
        <v/>
      </c>
      <c r="AB119" s="448">
        <f>AB114-AB117-AB118</f>
        <v/>
      </c>
      <c r="AC119" s="49">
        <f>AA119+AB119</f>
        <v/>
      </c>
      <c r="AD119" s="448">
        <f>AD114-AD117-AD118</f>
        <v/>
      </c>
      <c r="AE119" s="448">
        <f>AE114-AE117-AE118</f>
        <v/>
      </c>
      <c r="AF119" s="49">
        <f>AD119+AE119</f>
        <v/>
      </c>
      <c r="AG119" s="448">
        <f>AG114-AG117-AG118</f>
        <v/>
      </c>
      <c r="AH119" s="448">
        <f>AH114-AH117-AH118</f>
        <v/>
      </c>
      <c r="AI119" s="49">
        <f>AG119+AH119</f>
        <v/>
      </c>
    </row>
    <row r="120" ht="12.9" customFormat="1" customHeight="1" s="69">
      <c r="B120" s="69" t="inlineStr">
        <is>
          <t>% Variance Vs Base</t>
        </is>
      </c>
      <c r="E120" s="455" t="n"/>
      <c r="S120" s="500" t="n"/>
      <c r="T120" s="500" t="n"/>
      <c r="U120" s="500">
        <f>IFERROR((U119-U114)/U114,0)</f>
        <v/>
      </c>
      <c r="V120" s="500">
        <f>IFERROR((V119-V114)/V114,0)</f>
        <v/>
      </c>
      <c r="W120" s="500">
        <f>IFERROR((W119-W114)/W114,0)</f>
        <v/>
      </c>
      <c r="X120" s="500">
        <f>IFERROR((X119-X114)/X114,0)</f>
        <v/>
      </c>
      <c r="Y120" s="500">
        <f>IFERROR((Y119-Y114)/Y114,0)</f>
        <v/>
      </c>
      <c r="Z120" s="500">
        <f>IFERROR((Z119-Z114)/Z114,0)</f>
        <v/>
      </c>
      <c r="AA120" s="500">
        <f>IFERROR((AA119-AA114)/AA114,0)</f>
        <v/>
      </c>
      <c r="AB120" s="500">
        <f>IFERROR((AB119-AB114)/AB114,0)</f>
        <v/>
      </c>
      <c r="AC120" s="500">
        <f>IFERROR((AC119-AC114)/AC114,0)</f>
        <v/>
      </c>
      <c r="AD120" s="500">
        <f>IFERROR((AD119-AD114)/AD114,0)</f>
        <v/>
      </c>
      <c r="AE120" s="500">
        <f>IFERROR((AE119-AE114)/AE114,0)</f>
        <v/>
      </c>
      <c r="AF120" s="500">
        <f>IFERROR((AF119-AF114)/AF114,0)</f>
        <v/>
      </c>
      <c r="AG120" s="500">
        <f>IFERROR((AG119-AG114)/AG114,0)</f>
        <v/>
      </c>
      <c r="AH120" s="500">
        <f>IFERROR((AH119-AH114)/AH114,0)</f>
        <v/>
      </c>
      <c r="AI120" s="500">
        <f>IFERROR((AI119-AI114)/AI114,0)</f>
        <v/>
      </c>
    </row>
    <row r="121" ht="12.9" customHeight="1" s="343">
      <c r="E121" s="455" t="n"/>
    </row>
    <row r="122" ht="12.9" customHeight="1" s="343">
      <c r="B122" s="71" t="inlineStr">
        <is>
          <t>Severe Case</t>
        </is>
      </c>
      <c r="E122" s="455" t="n"/>
    </row>
    <row r="123" ht="12.9" customHeight="1" s="343">
      <c r="B123" s="12" t="inlineStr">
        <is>
          <t>ME Order deferral %</t>
        </is>
      </c>
      <c r="E123" s="455" t="n">
        <v>0.4</v>
      </c>
      <c r="S123" s="21" t="n"/>
      <c r="U123" s="21">
        <f>$E$123*U89</f>
        <v/>
      </c>
      <c r="V123" s="21">
        <f>$E$123*V89</f>
        <v/>
      </c>
      <c r="W123" s="21" t="n"/>
      <c r="X123" s="21">
        <f>$E$123*X89</f>
        <v/>
      </c>
      <c r="Y123" s="21">
        <f>$E$123*Y89</f>
        <v/>
      </c>
      <c r="AA123" s="21">
        <f>$E$123*AA89</f>
        <v/>
      </c>
      <c r="AB123" s="21">
        <f>$E$123*AB89</f>
        <v/>
      </c>
      <c r="AD123" s="21">
        <f>$E$123*AD89</f>
        <v/>
      </c>
      <c r="AE123" s="21">
        <f>$E$123*AE89</f>
        <v/>
      </c>
      <c r="AG123" s="21">
        <f>$E$123*AG89</f>
        <v/>
      </c>
      <c r="AH123" s="21">
        <f>$E$123*AH89</f>
        <v/>
      </c>
    </row>
    <row r="124" ht="12.9" customHeight="1" s="343">
      <c r="B124" s="12" t="inlineStr">
        <is>
          <t>US Tariff Impact</t>
        </is>
      </c>
      <c r="E124" s="455" t="n">
        <v>0.25</v>
      </c>
      <c r="S124" s="453" t="n"/>
      <c r="U124" s="453">
        <f>$E$124*U92</f>
        <v/>
      </c>
      <c r="V124" s="453">
        <f>$E$124*V92</f>
        <v/>
      </c>
      <c r="W124" s="21" t="n"/>
      <c r="X124" s="453">
        <f>$E$124*X92</f>
        <v/>
      </c>
      <c r="Y124" s="453">
        <f>$E$124*Y92</f>
        <v/>
      </c>
      <c r="AA124" s="453">
        <f>$E$124*AA92</f>
        <v/>
      </c>
      <c r="AB124" s="453">
        <f>$E$124*AB92</f>
        <v/>
      </c>
      <c r="AD124" s="453">
        <f>$E$124*AD92</f>
        <v/>
      </c>
      <c r="AE124" s="453">
        <f>$E$124*AE92</f>
        <v/>
      </c>
      <c r="AG124" s="453">
        <f>$E$124*AG92</f>
        <v/>
      </c>
      <c r="AH124" s="453">
        <f>$E$124*AH92</f>
        <v/>
      </c>
    </row>
    <row r="125" ht="12.9" customHeight="1" s="343">
      <c r="B125" s="12" t="inlineStr">
        <is>
          <t>Adverse FX impact on all exports</t>
        </is>
      </c>
      <c r="E125" s="455" t="n">
        <v>0.1</v>
      </c>
      <c r="S125" s="21" t="n"/>
      <c r="U125" s="21">
        <f>$E$125*U77</f>
        <v/>
      </c>
      <c r="V125" s="21">
        <f>$E$125*V77</f>
        <v/>
      </c>
      <c r="W125" s="21" t="n"/>
      <c r="X125" s="21">
        <f>$E$125*X77</f>
        <v/>
      </c>
      <c r="Y125" s="21">
        <f>$E$125*Y77</f>
        <v/>
      </c>
      <c r="AA125" s="21">
        <f>$E$125*AA77</f>
        <v/>
      </c>
      <c r="AB125" s="21">
        <f>$E$125*AB77</f>
        <v/>
      </c>
      <c r="AD125" s="21">
        <f>$E$125*AD77</f>
        <v/>
      </c>
      <c r="AE125" s="21">
        <f>$E$125*AE77</f>
        <v/>
      </c>
      <c r="AG125" s="21">
        <f>$E$125*AG77</f>
        <v/>
      </c>
      <c r="AH125" s="21">
        <f>$E$125*AH77</f>
        <v/>
      </c>
    </row>
    <row r="126" ht="12.9" customHeight="1" s="343">
      <c r="B126" s="6" t="inlineStr">
        <is>
          <t>Adjusted Revenue</t>
        </is>
      </c>
      <c r="D126" s="6" t="n"/>
      <c r="E126" s="455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49" t="n"/>
      <c r="T126" s="448" t="n"/>
      <c r="U126" s="49">
        <f>U114-SUM(U123:U125)</f>
        <v/>
      </c>
      <c r="V126" s="49">
        <f>V114-SUM(V123:V125)</f>
        <v/>
      </c>
      <c r="W126" s="448">
        <f>U126+V126</f>
        <v/>
      </c>
      <c r="X126" s="49">
        <f>X114-SUM(X123:X125)</f>
        <v/>
      </c>
      <c r="Y126" s="49">
        <f>Y114-SUM(Y123:Y125)</f>
        <v/>
      </c>
      <c r="Z126" s="448">
        <f>X126+Y126</f>
        <v/>
      </c>
      <c r="AA126" s="49">
        <f>AA114-SUM(AA123:AA125)</f>
        <v/>
      </c>
      <c r="AB126" s="49">
        <f>AB114-SUM(AB123:AB125)</f>
        <v/>
      </c>
      <c r="AC126" s="448">
        <f>AA126+AB126</f>
        <v/>
      </c>
      <c r="AD126" s="49">
        <f>AD114-SUM(AD123:AD125)</f>
        <v/>
      </c>
      <c r="AE126" s="49">
        <f>AE114-SUM(AE123:AE125)</f>
        <v/>
      </c>
      <c r="AF126" s="448">
        <f>AD126+AE126</f>
        <v/>
      </c>
      <c r="AG126" s="49">
        <f>AG114-SUM(AG123:AG125)</f>
        <v/>
      </c>
      <c r="AH126" s="49">
        <f>AH114-SUM(AH123:AH125)</f>
        <v/>
      </c>
      <c r="AI126" s="448">
        <f>AG126+AH126</f>
        <v/>
      </c>
    </row>
    <row r="127" ht="12.9" customHeight="1" s="343">
      <c r="B127" s="69" t="inlineStr">
        <is>
          <t>% Variance Vs Base</t>
        </is>
      </c>
      <c r="E127" s="455" t="n"/>
      <c r="S127" s="500" t="n"/>
      <c r="T127" s="500" t="n"/>
      <c r="U127" s="500">
        <f>IFERROR((U126-U114)/U114,0)</f>
        <v/>
      </c>
      <c r="V127" s="500">
        <f>IFERROR((V126-V114)/V114,0)</f>
        <v/>
      </c>
      <c r="W127" s="500">
        <f>IFERROR((W126-W114)/W114,0)</f>
        <v/>
      </c>
      <c r="X127" s="500">
        <f>IFERROR((X126-X114)/X114,0)</f>
        <v/>
      </c>
      <c r="Y127" s="500">
        <f>IFERROR((Y126-Y114)/Y114,0)</f>
        <v/>
      </c>
      <c r="Z127" s="500">
        <f>IFERROR((Z126-Z114)/Z114,0)</f>
        <v/>
      </c>
      <c r="AA127" s="500">
        <f>IFERROR((AA126-AA114)/AA114,0)</f>
        <v/>
      </c>
      <c r="AB127" s="500">
        <f>IFERROR((AB126-AB114)/AB114,0)</f>
        <v/>
      </c>
      <c r="AC127" s="500">
        <f>IFERROR((AC126-AC114)/AC114,0)</f>
        <v/>
      </c>
      <c r="AD127" s="500">
        <f>IFERROR((AD126-AD114)/AD114,0)</f>
        <v/>
      </c>
      <c r="AE127" s="500">
        <f>IFERROR((AE126-AE114)/AE114,0)</f>
        <v/>
      </c>
      <c r="AF127" s="500">
        <f>IFERROR((AF126-AF114)/AF114,0)</f>
        <v/>
      </c>
      <c r="AG127" s="500">
        <f>IFERROR((AG126-AG114)/AG114,0)</f>
        <v/>
      </c>
      <c r="AH127" s="500">
        <f>IFERROR((AH126-AH114)/AH114,0)</f>
        <v/>
      </c>
      <c r="AI127" s="500">
        <f>IFERROR((AI126-AI114)/AI114,0)</f>
        <v/>
      </c>
    </row>
    <row r="128" ht="12.9" customHeight="1" s="343">
      <c r="B128" s="69" t="n"/>
      <c r="E128" s="455" t="n"/>
      <c r="S128" s="500" t="n"/>
      <c r="T128" s="500" t="n"/>
      <c r="U128" s="500" t="n"/>
      <c r="V128" s="500" t="n"/>
      <c r="W128" s="280" t="n"/>
      <c r="X128" s="500" t="n"/>
      <c r="Y128" s="500" t="n"/>
      <c r="Z128" s="500" t="n"/>
      <c r="AA128" s="500" t="n"/>
      <c r="AB128" s="500" t="n"/>
      <c r="AC128" s="500" t="n"/>
      <c r="AD128" s="500" t="n"/>
      <c r="AE128" s="500" t="n"/>
      <c r="AF128" s="500" t="n"/>
      <c r="AG128" s="500" t="n"/>
      <c r="AH128" s="500" t="n"/>
      <c r="AI128" s="500" t="n"/>
    </row>
    <row r="129" ht="12.9" customHeight="1" s="343"/>
    <row r="130" ht="12.9" customHeight="1" s="343"/>
    <row r="131" ht="12.9" customHeight="1" s="343"/>
    <row r="132" ht="12.9" customHeight="1" s="343">
      <c r="B132" s="261" t="n"/>
    </row>
    <row r="133" ht="12.9" customHeight="1" s="343"/>
    <row r="134" ht="12.9" customHeight="1" s="343"/>
    <row r="135" ht="12.9" customHeight="1" s="343"/>
    <row r="136" ht="12.9" customHeight="1" s="343"/>
    <row r="137" ht="12.9" customHeight="1" s="343"/>
    <row r="138" ht="12.9" customHeight="1" s="343"/>
    <row r="139" ht="12.9" customHeight="1" s="343"/>
    <row r="140" ht="12.9" customHeight="1" s="343"/>
    <row r="141" ht="12.9" customHeight="1" s="343"/>
    <row r="142" ht="12.9" customHeight="1" s="343"/>
    <row r="143" ht="12.9" customHeight="1" s="343"/>
    <row r="144" ht="12.9" customHeight="1" s="343"/>
    <row r="145" ht="12.9" customHeight="1" s="343"/>
    <row r="146" ht="12.9" customHeight="1" s="343"/>
    <row r="147" ht="12.9" customHeight="1" s="343"/>
  </sheetData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8E1C2F"/>
    <outlinePr summaryBelow="1" summaryRight="1"/>
    <pageSetUpPr/>
  </sheetPr>
  <dimension ref="B1:K68"/>
  <sheetViews>
    <sheetView zoomScale="80" zoomScaleNormal="80" workbookViewId="0">
      <selection activeCell="A1" sqref="A1"/>
    </sheetView>
  </sheetViews>
  <sheetFormatPr baseColWidth="8" defaultColWidth="8.77734375" defaultRowHeight="13.8"/>
  <cols>
    <col width="2.6640625" customWidth="1" style="12" min="1" max="1"/>
    <col width="55.6640625" customWidth="1" style="12" min="2" max="2"/>
    <col width="10.5546875" customWidth="1" style="12" min="3" max="3"/>
    <col width="10.6640625" customWidth="1" style="12" min="4" max="32"/>
    <col width="10.5546875" customWidth="1" style="12" min="33" max="45"/>
    <col width="8.77734375" customWidth="1" style="12" min="46" max="16384"/>
  </cols>
  <sheetData>
    <row r="1" ht="12.9" customHeight="1" s="343">
      <c r="B1" s="436" t="inlineStr">
        <is>
          <t>Anup Engineering Limited</t>
        </is>
      </c>
    </row>
    <row r="2" ht="12.9" customHeight="1" s="343">
      <c r="B2" s="12" t="inlineStr">
        <is>
          <t>Fiscal year ending 31st Mar, 2026</t>
        </is>
      </c>
    </row>
    <row r="3" ht="12.9" customHeight="1" s="343">
      <c r="B3" s="12" t="inlineStr">
        <is>
          <t>All amounts in ₹ crores except per share data</t>
        </is>
      </c>
    </row>
    <row r="4" ht="12.9" customHeight="1" s="343"/>
    <row r="5" ht="12.9" customHeight="1" s="343">
      <c r="B5" s="364" t="inlineStr">
        <is>
          <t>WACC Calculation</t>
        </is>
      </c>
      <c r="C5" s="501" t="n"/>
    </row>
    <row r="6" ht="12.9" customHeight="1" s="343">
      <c r="B6" s="74" t="inlineStr">
        <is>
          <t xml:space="preserve">COST OF EQUITY   </t>
        </is>
      </c>
      <c r="C6" s="75" t="n"/>
    </row>
    <row r="7" ht="12.9" customHeight="1" s="343">
      <c r="B7" s="76" t="inlineStr">
        <is>
          <t>Risk Free Rate (Rf)</t>
        </is>
      </c>
      <c r="C7" s="502">
        <f>Beta!AA6</f>
        <v/>
      </c>
    </row>
    <row r="8" ht="12.9" customHeight="1" s="343">
      <c r="B8" s="76" t="inlineStr">
        <is>
          <t>Equity Risk Premium (ERP)</t>
        </is>
      </c>
      <c r="C8" s="502">
        <f>Beta!AA7</f>
        <v/>
      </c>
    </row>
    <row r="9" ht="12.9" customHeight="1" s="343">
      <c r="B9" s="76" t="inlineStr">
        <is>
          <t>Beta (Weekly)</t>
        </is>
      </c>
      <c r="C9" s="78">
        <f>Beta!AA4</f>
        <v/>
      </c>
    </row>
    <row r="10" ht="12.9" customHeight="1" s="343">
      <c r="B10" s="79" t="inlineStr">
        <is>
          <t>Cost of Equity (Ke)</t>
        </is>
      </c>
      <c r="C10" s="503">
        <f>C7+C9*C8</f>
        <v/>
      </c>
    </row>
    <row r="11" ht="12.9" customHeight="1" s="343">
      <c r="B11" s="76" t="n"/>
      <c r="C11" s="56" t="n"/>
    </row>
    <row r="12" ht="12.9" customHeight="1" s="343">
      <c r="B12" s="81" t="inlineStr">
        <is>
          <t xml:space="preserve">COST OF DEBT </t>
        </is>
      </c>
      <c r="C12" s="56" t="n"/>
    </row>
    <row r="13" ht="12.9" customHeight="1" s="343">
      <c r="B13" s="504" t="inlineStr">
        <is>
          <t>Debt Outstanding (closing Balance)</t>
        </is>
      </c>
      <c r="C13" s="83">
        <f>SUM('Balance Sheet'!T13,'Balance Sheet'!T19)</f>
        <v/>
      </c>
    </row>
    <row r="14" ht="12.9" customHeight="1" s="343">
      <c r="B14" s="504" t="inlineStr">
        <is>
          <t>Debt Outstanding (Opening Balance)</t>
        </is>
      </c>
      <c r="C14" s="83">
        <f>SUM('Balance Sheet'!T13,'Balance Sheet'!T19)</f>
        <v/>
      </c>
    </row>
    <row r="15" ht="12.9" customHeight="1" s="343">
      <c r="B15" s="504" t="inlineStr">
        <is>
          <t>Interest Expense for the year</t>
        </is>
      </c>
      <c r="C15" s="505">
        <f>'Income Statement'!T31</f>
        <v/>
      </c>
    </row>
    <row r="16" ht="12.9" customHeight="1" s="343">
      <c r="B16" s="504" t="inlineStr">
        <is>
          <t>Interest Rate</t>
        </is>
      </c>
      <c r="C16" s="502">
        <f>C15/C13</f>
        <v/>
      </c>
    </row>
    <row r="17" ht="12.9" customHeight="1" s="343">
      <c r="B17" s="504" t="inlineStr">
        <is>
          <t>Tax Rate</t>
        </is>
      </c>
      <c r="C17" s="212">
        <f>Guidance!C19</f>
        <v/>
      </c>
    </row>
    <row r="18" ht="12.9" customHeight="1" s="343">
      <c r="B18" s="506" t="inlineStr">
        <is>
          <t>Cost of Debt (Kd)</t>
        </is>
      </c>
      <c r="C18" s="503">
        <f>C16*(1-C17)</f>
        <v/>
      </c>
    </row>
    <row r="19" ht="12.9" customHeight="1" s="343">
      <c r="B19" s="504" t="n"/>
      <c r="C19" s="56" t="n"/>
    </row>
    <row r="20" ht="12.9" customHeight="1" s="343">
      <c r="B20" s="504" t="inlineStr">
        <is>
          <t>No. of Outstanding Shares</t>
        </is>
      </c>
      <c r="C20" s="505">
        <f>'Income Statement'!T48</f>
        <v/>
      </c>
    </row>
    <row r="21" ht="12.9" customHeight="1" s="343">
      <c r="B21" s="504" t="inlineStr">
        <is>
          <t>MPS</t>
        </is>
      </c>
      <c r="C21" s="507">
        <f>'Income Statement'!T50</f>
        <v/>
      </c>
    </row>
    <row r="22" ht="12.9" customHeight="1" s="343">
      <c r="B22" s="504" t="inlineStr">
        <is>
          <t>Market Value of Equity (Rs crores)</t>
        </is>
      </c>
      <c r="C22" s="508">
        <f>C20*C21</f>
        <v/>
      </c>
    </row>
    <row r="23" ht="12.9" customHeight="1" s="343">
      <c r="B23" s="504" t="n"/>
      <c r="C23" s="56" t="n"/>
    </row>
    <row r="24" ht="12.9" customHeight="1" s="343">
      <c r="B24" s="81" t="inlineStr">
        <is>
          <t>WACC</t>
        </is>
      </c>
      <c r="C24" s="56" t="n"/>
    </row>
    <row r="25" ht="12.9" customHeight="1" s="343">
      <c r="B25" s="504" t="inlineStr">
        <is>
          <t>Total Capital</t>
        </is>
      </c>
      <c r="C25" s="78">
        <f>C22+C13</f>
        <v/>
      </c>
    </row>
    <row r="26" ht="12.9" customHeight="1" s="343">
      <c r="B26" s="504" t="inlineStr">
        <is>
          <t>Debt (%)</t>
        </is>
      </c>
      <c r="C26" s="502">
        <f>C13/C25</f>
        <v/>
      </c>
    </row>
    <row r="27" ht="12.9" customHeight="1" s="343">
      <c r="B27" s="504" t="inlineStr">
        <is>
          <t>Equity (%)</t>
        </is>
      </c>
      <c r="C27" s="509">
        <f>1-C26</f>
        <v/>
      </c>
    </row>
    <row r="28" ht="12.9" customHeight="1" s="343">
      <c r="B28" s="89" t="inlineStr">
        <is>
          <t>WACC</t>
        </is>
      </c>
      <c r="C28" s="510">
        <f>(C10*C27)+(C18*C26)</f>
        <v/>
      </c>
    </row>
    <row r="29" ht="12.9" customHeight="1" s="343"/>
    <row r="30" ht="12.9" customHeight="1" s="343">
      <c r="B30" s="71" t="inlineStr">
        <is>
          <t>CASE SCENARIOS</t>
        </is>
      </c>
      <c r="C30" s="365" t="n">
        <v>0.05</v>
      </c>
    </row>
    <row r="31" ht="12.9" customHeight="1" s="343">
      <c r="B31" s="12" t="inlineStr">
        <is>
          <t>Conservative</t>
        </is>
      </c>
      <c r="C31" s="68" t="n">
        <v>0.04</v>
      </c>
      <c r="D31" s="12" t="inlineStr">
        <is>
          <t>Indian GDP Growth + Inflation</t>
        </is>
      </c>
    </row>
    <row r="32" ht="12.9" customHeight="1" s="343">
      <c r="B32" s="12" t="inlineStr">
        <is>
          <t>Base</t>
        </is>
      </c>
      <c r="C32" s="68" t="n">
        <v>0.05</v>
      </c>
      <c r="D32" s="12" t="inlineStr">
        <is>
          <t>Capital Goods Sector Long Term Growth</t>
        </is>
      </c>
    </row>
    <row r="33" ht="12.9" customHeight="1" s="343">
      <c r="B33" s="12" t="inlineStr">
        <is>
          <t>Aggressive</t>
        </is>
      </c>
      <c r="C33" s="68" t="n">
        <v>0.06</v>
      </c>
      <c r="D33" s="12" t="inlineStr">
        <is>
          <t>Premium for Nuclear &amp; Hydrogen Expansion</t>
        </is>
      </c>
    </row>
    <row r="34" ht="12.9" customHeight="1" s="343">
      <c r="B34" s="6" t="inlineStr">
        <is>
          <t>Terminal Growth Rate</t>
        </is>
      </c>
      <c r="C34" s="301">
        <f>C30</f>
        <v/>
      </c>
    </row>
    <row r="35" ht="12.9" customHeight="1" s="343">
      <c r="H35" s="366" t="inlineStr">
        <is>
          <t>Terminal Value</t>
        </is>
      </c>
    </row>
    <row r="36" ht="12.9" customHeight="1" s="343">
      <c r="B36" s="367" t="inlineStr">
        <is>
          <t>Discounted Cash Flow</t>
        </is>
      </c>
      <c r="C36" s="368" t="n"/>
      <c r="D36" s="369" t="inlineStr">
        <is>
          <t>FY2027 E</t>
        </is>
      </c>
      <c r="E36" s="370" t="inlineStr">
        <is>
          <t>FY2028 E</t>
        </is>
      </c>
      <c r="F36" s="371" t="inlineStr">
        <is>
          <t>FY2029 E</t>
        </is>
      </c>
      <c r="G36" s="371" t="inlineStr">
        <is>
          <t>FY2030 E</t>
        </is>
      </c>
      <c r="H36" s="372" t="inlineStr">
        <is>
          <t>FY2031 E</t>
        </is>
      </c>
    </row>
    <row r="37" ht="12.9" customHeight="1" s="343">
      <c r="B37" s="60" t="inlineStr">
        <is>
          <t>Year Fraction</t>
        </is>
      </c>
      <c r="C37" s="164">
        <f>TODAY()</f>
        <v/>
      </c>
      <c r="D37" s="511">
        <f>(DATE(2027,3,31)-$C$37)/365</f>
        <v/>
      </c>
      <c r="E37" s="511">
        <f>(DATE(2028,3,31)-$C$37)/365</f>
        <v/>
      </c>
      <c r="F37" s="511">
        <f>(DATE(2029,3,31)-$C$37)/365</f>
        <v/>
      </c>
      <c r="G37" s="511">
        <f>(DATE(2030,3,31)-$C$37)/365</f>
        <v/>
      </c>
      <c r="H37" s="512">
        <f>(DATE(2031,3,31)-$C$37)/365</f>
        <v/>
      </c>
    </row>
    <row r="38" ht="12.9" customHeight="1" s="343">
      <c r="B38" s="56" t="inlineStr">
        <is>
          <t>EBIT</t>
        </is>
      </c>
      <c r="C38" s="513" t="n"/>
      <c r="D38" s="513">
        <f>'Income Statement'!W27</f>
        <v/>
      </c>
      <c r="E38" s="513">
        <f>'Income Statement'!Z27</f>
        <v/>
      </c>
      <c r="F38" s="514">
        <f>'Income Statement'!AC27</f>
        <v/>
      </c>
      <c r="G38" s="513">
        <f>'Income Statement'!AF27</f>
        <v/>
      </c>
      <c r="H38" s="512">
        <f>'Income Statement'!AI27</f>
        <v/>
      </c>
    </row>
    <row r="39" ht="12.9" customHeight="1" s="343">
      <c r="B39" s="57" t="inlineStr">
        <is>
          <t>Less:Cash Taxes</t>
        </is>
      </c>
      <c r="C39" s="515" t="n"/>
      <c r="D39" s="515">
        <f>D38*$C$17</f>
        <v/>
      </c>
      <c r="E39" s="515">
        <f>E38*$C$17</f>
        <v/>
      </c>
      <c r="F39" s="515">
        <f>F38*$C$17</f>
        <v/>
      </c>
      <c r="G39" s="515">
        <f>G38*$C$17</f>
        <v/>
      </c>
      <c r="H39" s="513">
        <f>H38*$C$17</f>
        <v/>
      </c>
    </row>
    <row r="40" ht="12.9" customHeight="1" s="343">
      <c r="B40" s="95" t="inlineStr">
        <is>
          <t>NOPAT</t>
        </is>
      </c>
      <c r="C40" s="516" t="n"/>
      <c r="D40" s="517">
        <f>D38-D39</f>
        <v/>
      </c>
      <c r="E40" s="516">
        <f>E38-E39</f>
        <v/>
      </c>
      <c r="F40" s="474">
        <f>F38-F39</f>
        <v/>
      </c>
      <c r="G40" s="516">
        <f>G38-G39</f>
        <v/>
      </c>
      <c r="H40" s="518">
        <f>H38-H39</f>
        <v/>
      </c>
    </row>
    <row r="41" ht="12.9" customHeight="1" s="343">
      <c r="B41" s="56" t="inlineStr">
        <is>
          <t>Add: D&amp;A</t>
        </is>
      </c>
      <c r="C41" s="513" t="n"/>
      <c r="D41" s="513">
        <f>'Balance Sheet'!W63</f>
        <v/>
      </c>
      <c r="E41" s="513">
        <f>'Balance Sheet'!Z63</f>
        <v/>
      </c>
      <c r="F41" s="513">
        <f>'Balance Sheet'!AC63</f>
        <v/>
      </c>
      <c r="G41" s="513">
        <f>'Balance Sheet'!AF63</f>
        <v/>
      </c>
      <c r="H41" s="513">
        <f>'Balance Sheet'!AI63</f>
        <v/>
      </c>
    </row>
    <row r="42" ht="12.9" customHeight="1" s="343">
      <c r="B42" s="56" t="inlineStr">
        <is>
          <t>Less: Capex</t>
        </is>
      </c>
      <c r="C42" s="513" t="n"/>
      <c r="D42" s="513">
        <f>-'Balance Sheet'!W64</f>
        <v/>
      </c>
      <c r="E42" s="513">
        <f>-'Balance Sheet'!Z64</f>
        <v/>
      </c>
      <c r="F42" s="513">
        <f>-'Balance Sheet'!AC64</f>
        <v/>
      </c>
      <c r="G42" s="513">
        <f>-'Balance Sheet'!AF64</f>
        <v/>
      </c>
      <c r="H42" s="513">
        <f>-'Balance Sheet'!AI64</f>
        <v/>
      </c>
    </row>
    <row r="43" ht="12.9" customHeight="1" s="343">
      <c r="B43" s="57" t="inlineStr">
        <is>
          <t>Less: Changes in NWC</t>
        </is>
      </c>
      <c r="C43" s="515" t="n"/>
      <c r="D43" s="519">
        <f>-('Balance Sheet'!W96)</f>
        <v/>
      </c>
      <c r="E43" s="515">
        <f>-'Balance Sheet'!Z96</f>
        <v/>
      </c>
      <c r="F43" s="520">
        <f>-'Balance Sheet'!AC96</f>
        <v/>
      </c>
      <c r="G43" s="515">
        <f>-'Balance Sheet'!AF96</f>
        <v/>
      </c>
      <c r="H43" s="515">
        <f>-'Balance Sheet'!AI96</f>
        <v/>
      </c>
    </row>
    <row r="44" ht="12.9" customHeight="1" s="343">
      <c r="B44" s="95" t="inlineStr">
        <is>
          <t>FCF</t>
        </is>
      </c>
      <c r="C44" s="518" t="n"/>
      <c r="D44" s="518">
        <f>SUM(D40:D43)</f>
        <v/>
      </c>
      <c r="E44" s="518">
        <f>SUM(E40:E43)</f>
        <v/>
      </c>
      <c r="F44" s="518">
        <f>SUM(F40:F43)</f>
        <v/>
      </c>
      <c r="G44" s="518">
        <f>SUM(G40:G43)</f>
        <v/>
      </c>
      <c r="H44" s="518">
        <f>SUM(H40:H43)</f>
        <v/>
      </c>
    </row>
    <row r="45" ht="12.9" customHeight="1" s="343">
      <c r="B45" s="95" t="inlineStr">
        <is>
          <t>Terminal value</t>
        </is>
      </c>
      <c r="C45" s="516" t="n"/>
      <c r="D45" s="521" t="n"/>
      <c r="E45" s="516" t="n"/>
      <c r="F45" s="521" t="n"/>
      <c r="G45" s="516" t="n"/>
      <c r="H45" s="522">
        <f>(H44*(1+C34))/($C$28-C34)</f>
        <v/>
      </c>
    </row>
    <row r="46" ht="12.9" customHeight="1" s="343">
      <c r="B46" s="61" t="inlineStr">
        <is>
          <t>Total FCF</t>
        </is>
      </c>
      <c r="C46" s="523" t="n"/>
      <c r="D46" s="523">
        <f>D44+D45</f>
        <v/>
      </c>
      <c r="E46" s="523">
        <f>E44+E45</f>
        <v/>
      </c>
      <c r="F46" s="523">
        <f>F44+F45</f>
        <v/>
      </c>
      <c r="G46" s="523">
        <f>G44+G45</f>
        <v/>
      </c>
      <c r="H46" s="523">
        <f>H44+H45</f>
        <v/>
      </c>
    </row>
    <row r="47" ht="12.9" customHeight="1" s="343">
      <c r="B47" s="502" t="inlineStr">
        <is>
          <t>Discounting Rate(%)</t>
        </is>
      </c>
      <c r="C47" s="524" t="n"/>
      <c r="D47" s="524">
        <f>$C28</f>
        <v/>
      </c>
      <c r="E47" s="524">
        <f>$C28</f>
        <v/>
      </c>
      <c r="F47" s="524">
        <f>$C28</f>
        <v/>
      </c>
      <c r="G47" s="524">
        <f>$C28</f>
        <v/>
      </c>
      <c r="H47" s="524">
        <f>$C28</f>
        <v/>
      </c>
    </row>
    <row r="48" ht="12.9" customHeight="1" s="343">
      <c r="B48" s="57" t="inlineStr">
        <is>
          <t>Discounting Factor</t>
        </is>
      </c>
      <c r="C48" s="515" t="n"/>
      <c r="D48" s="514">
        <f>1/(1+D47)^D37</f>
        <v/>
      </c>
      <c r="E48" s="513">
        <f>1/(1+E47)^E37</f>
        <v/>
      </c>
      <c r="F48" s="525">
        <f>1/(1+F47)^F37</f>
        <v/>
      </c>
      <c r="G48" s="515">
        <f>1/(1+G47)^G37</f>
        <v/>
      </c>
      <c r="H48" s="515">
        <f>1/(1+H47)^H37</f>
        <v/>
      </c>
    </row>
    <row r="49" ht="12.9" customHeight="1" s="343">
      <c r="B49" s="61" t="inlineStr">
        <is>
          <t>PV of FCF</t>
        </is>
      </c>
      <c r="C49" s="526" t="n"/>
      <c r="D49" s="526">
        <f>D46*D48</f>
        <v/>
      </c>
      <c r="E49" s="526">
        <f>E46*E48</f>
        <v/>
      </c>
      <c r="F49" s="527">
        <f>F46*F48</f>
        <v/>
      </c>
      <c r="G49" s="526">
        <f>G46*G48</f>
        <v/>
      </c>
      <c r="H49" s="526">
        <f>H46*H48</f>
        <v/>
      </c>
    </row>
    <row r="50" ht="12.9" customHeight="1" s="343">
      <c r="C50" s="528" t="n"/>
    </row>
    <row r="51" ht="12.9" customHeight="1" s="343">
      <c r="B51" s="109" t="inlineStr">
        <is>
          <t>DCF Value of Firm/ Operating Business Enterprise Value</t>
        </is>
      </c>
      <c r="C51" s="110">
        <f>SUM(D49:H49)</f>
        <v/>
      </c>
      <c r="E51" s="323" t="inlineStr">
        <is>
          <t>SENSITIVITY ANALYSIS</t>
        </is>
      </c>
    </row>
    <row r="52" ht="12.9" customHeight="1" s="343">
      <c r="B52" s="111" t="inlineStr">
        <is>
          <t>Total Value of the Firm</t>
        </is>
      </c>
      <c r="C52" s="112">
        <f>SUM(C51)</f>
        <v/>
      </c>
      <c r="E52" s="321" t="inlineStr">
        <is>
          <t>WACC</t>
        </is>
      </c>
    </row>
    <row r="53" ht="12.9" customHeight="1" s="343">
      <c r="B53" s="113" t="inlineStr">
        <is>
          <t>Less: Gross Debt &amp; Debt Equivalents</t>
        </is>
      </c>
      <c r="C53" s="83">
        <f>C13</f>
        <v/>
      </c>
      <c r="E53" s="322" t="inlineStr">
        <is>
          <t>LTGR</t>
        </is>
      </c>
      <c r="F53" s="276">
        <f>C56</f>
        <v/>
      </c>
      <c r="G53" s="498">
        <f>H53-1%</f>
        <v/>
      </c>
      <c r="H53" s="498">
        <f>I53-1%</f>
        <v/>
      </c>
      <c r="I53" s="529" t="n">
        <v>0.1233704780306356</v>
      </c>
      <c r="J53" s="498">
        <f>I53+1%</f>
        <v/>
      </c>
      <c r="K53" s="498">
        <f>J53+1%</f>
        <v/>
      </c>
    </row>
    <row r="54" ht="12.9" customHeight="1" s="343">
      <c r="B54" s="76" t="inlineStr">
        <is>
          <t>Add: Cash</t>
        </is>
      </c>
      <c r="C54" s="83">
        <f>'Balance Sheet'!T49+'Balance Sheet'!T50</f>
        <v/>
      </c>
      <c r="F54" s="498">
        <f>F55-1%</f>
        <v/>
      </c>
      <c r="G54" s="21">
        <f t="dataTable" ref="G54:K58" dt2D="1" dtr="1" r1="C28" r2="C34" ca="1"/>
        <v/>
      </c>
      <c r="H54" s="21" t="n">
        <v>1360.627736642304</v>
      </c>
      <c r="I54" s="21" t="n">
        <v>1199.091625161244</v>
      </c>
      <c r="J54" s="21" t="n">
        <v>1069.18902222466</v>
      </c>
      <c r="K54" s="21" t="n">
        <v>962.5332316915699</v>
      </c>
    </row>
    <row r="55" ht="12.9" customHeight="1" s="343">
      <c r="B55" s="89" t="inlineStr">
        <is>
          <t>DCF Value of Common Equity</t>
        </is>
      </c>
      <c r="C55" s="114">
        <f>C52-C53+C54</f>
        <v/>
      </c>
      <c r="F55" s="498">
        <f>F56-1%</f>
        <v/>
      </c>
      <c r="G55" s="21" t="n">
        <v>1779.098131776225</v>
      </c>
      <c r="H55" s="21" t="n">
        <v>1516.697303681597</v>
      </c>
      <c r="I55" s="21" t="n">
        <v>1317.715288016287</v>
      </c>
      <c r="J55" s="21" t="n">
        <v>1161.756104376737</v>
      </c>
      <c r="K55" s="21" t="n">
        <v>1036.317120982957</v>
      </c>
    </row>
    <row r="56" ht="12.9" customHeight="1" s="343">
      <c r="B56" s="61" t="inlineStr">
        <is>
          <t>DCF Value Per Share</t>
        </is>
      </c>
      <c r="C56" s="115">
        <f>C55/C20</f>
        <v/>
      </c>
      <c r="F56" s="529">
        <f>C30</f>
        <v/>
      </c>
      <c r="G56" s="21" t="n">
        <v>2071.010773614264</v>
      </c>
      <c r="H56" s="21" t="n">
        <v>1722.023108606248</v>
      </c>
      <c r="I56" s="276" t="n">
        <v>1468.674480375586</v>
      </c>
      <c r="J56" s="21" t="n">
        <v>1276.529388133671</v>
      </c>
      <c r="K56" s="21" t="n">
        <v>1125.905553819078</v>
      </c>
    </row>
    <row r="57" ht="12.9" customHeight="1" s="343">
      <c r="B57" s="61" t="inlineStr">
        <is>
          <t>Relative Value Per Share</t>
        </is>
      </c>
      <c r="C57" s="115">
        <f>'Peer Comps'!C17</f>
        <v/>
      </c>
      <c r="F57" s="498">
        <f>F56+1%</f>
        <v/>
      </c>
      <c r="G57" s="21" t="n">
        <v>2497.536938333853</v>
      </c>
      <c r="H57" s="21" t="n">
        <v>2004.292502009455</v>
      </c>
      <c r="I57" s="21" t="n">
        <v>1667.277054022404</v>
      </c>
      <c r="J57" s="21" t="n">
        <v>1422.588629632084</v>
      </c>
      <c r="K57" s="21" t="n">
        <v>1236.985630928414</v>
      </c>
    </row>
    <row r="58" ht="12.9" customHeight="1" s="343">
      <c r="B58" s="61" t="inlineStr">
        <is>
          <t>Average Blended Target Price</t>
        </is>
      </c>
      <c r="C58" s="115">
        <f>AVERAGE(C56:C57)</f>
        <v/>
      </c>
      <c r="F58" s="498">
        <f>F57+1%</f>
        <v/>
      </c>
      <c r="G58" s="21" t="n">
        <v>3179.693941981204</v>
      </c>
      <c r="H58" s="21" t="n">
        <v>2416.728500080391</v>
      </c>
      <c r="I58" s="21" t="n">
        <v>1940.303759127373</v>
      </c>
      <c r="J58" s="21" t="n">
        <v>1614.744806497722</v>
      </c>
      <c r="K58" s="21" t="n">
        <v>1378.344937529198</v>
      </c>
    </row>
    <row r="59" ht="12.9" customHeight="1" s="343">
      <c r="B59" s="61" t="inlineStr">
        <is>
          <t>CMP a/o 16 October, 2026</t>
        </is>
      </c>
      <c r="C59" s="115" t="n">
        <v>1488.5</v>
      </c>
    </row>
    <row r="60" ht="12.9" customHeight="1" s="343">
      <c r="B60" s="61" t="inlineStr">
        <is>
          <t>% Upside to current market price</t>
        </is>
      </c>
      <c r="C60" s="530">
        <f>C58/C59-1</f>
        <v/>
      </c>
    </row>
    <row r="61" ht="12.9" customHeight="1" s="343">
      <c r="F61" s="27" t="n"/>
      <c r="G61" s="498" t="n"/>
      <c r="H61" s="498" t="n"/>
      <c r="I61" s="531" t="n"/>
      <c r="J61" s="498" t="n"/>
      <c r="K61" s="498" t="n"/>
    </row>
    <row r="62" ht="12.9" customHeight="1" s="343">
      <c r="F62" s="48" t="n"/>
      <c r="G62" s="450" t="n"/>
      <c r="H62" s="450" t="n"/>
      <c r="I62" s="450" t="n"/>
      <c r="J62" s="450" t="n"/>
      <c r="K62" s="450" t="n"/>
    </row>
    <row r="63" ht="12.9" customHeight="1" s="343">
      <c r="F63" s="531" t="n"/>
    </row>
    <row r="64" ht="12.9" customHeight="1" s="343">
      <c r="F64" s="531" t="n"/>
    </row>
    <row r="65">
      <c r="F65" s="531" t="n"/>
    </row>
    <row r="66">
      <c r="F66" s="531" t="n"/>
    </row>
    <row r="67">
      <c r="F67" s="531" t="n"/>
    </row>
    <row r="68">
      <c r="F68" s="531" t="n"/>
    </row>
  </sheetData>
  <mergeCells count="4">
    <mergeCell ref="E51:K51"/>
    <mergeCell ref="B5:C5"/>
    <mergeCell ref="E52:K52"/>
    <mergeCell ref="E53:E58"/>
  </mergeCells>
  <conditionalFormatting sqref="G54:K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xWindow="664" yWindow="517" count="2">
    <dataValidation sqref="C30" showDropDown="0" showInputMessage="1" showErrorMessage="1" allowBlank="1" type="list">
      <formula1>$C$31:$C$33</formula1>
    </dataValidation>
    <dataValidation sqref="G27" showDropDown="0" showInputMessage="1" showErrorMessage="1" allowBlank="1" type="list">
      <formula1>$G$28:$G$29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8E1C2F"/>
    <outlinePr summaryBelow="1" summaryRight="1"/>
    <pageSetUpPr/>
  </sheetPr>
  <dimension ref="A1:Q1022"/>
  <sheetViews>
    <sheetView zoomScale="80" zoomScaleNormal="80" workbookViewId="0">
      <selection activeCell="I9" sqref="I9"/>
    </sheetView>
  </sheetViews>
  <sheetFormatPr baseColWidth="8" defaultRowHeight="13.2"/>
  <cols>
    <col width="30.5546875" customWidth="1" style="303" min="1" max="1"/>
    <col width="13" customWidth="1" style="303" min="2" max="6"/>
    <col width="3.33203125" customWidth="1" style="303" min="7" max="7"/>
    <col width="24.109375" customWidth="1" style="303" min="8" max="8"/>
    <col width="13.88671875" customWidth="1" style="303" min="9" max="9"/>
    <col width="8.88671875" customWidth="1" style="303" min="10" max="16384"/>
  </cols>
  <sheetData>
    <row r="1" ht="15.6" customHeight="1" s="343">
      <c r="A1" s="315" t="inlineStr">
        <is>
          <t>Monte Carlo Simulation — DCF Value per Share</t>
        </is>
      </c>
      <c r="B1" s="304" t="n"/>
      <c r="C1" s="304" t="n"/>
      <c r="D1" s="304" t="n"/>
      <c r="E1" s="304" t="n"/>
      <c r="F1" s="304" t="n"/>
      <c r="G1" s="304" t="n"/>
      <c r="H1" s="304" t="n"/>
      <c r="I1" s="304" t="n"/>
      <c r="J1" s="304" t="n"/>
      <c r="K1" s="304" t="n"/>
      <c r="L1" s="304" t="n"/>
      <c r="M1" s="304" t="n"/>
      <c r="N1" s="304" t="n"/>
      <c r="O1" s="304" t="n"/>
      <c r="P1" s="304" t="n"/>
      <c r="Q1" s="304" t="n"/>
    </row>
    <row r="2" ht="13.8" customHeight="1" s="343">
      <c r="A2" s="316" t="inlineStr">
        <is>
          <t>Anup Engineering Limited  |  ₹ crores except per-share  |  Press F9 to run a new simulation</t>
        </is>
      </c>
      <c r="B2" s="304" t="n"/>
      <c r="C2" s="304" t="n"/>
      <c r="D2" s="304" t="n"/>
      <c r="E2" s="304" t="n"/>
      <c r="F2" s="304" t="n"/>
      <c r="G2" s="304" t="n"/>
      <c r="H2" s="304" t="n"/>
      <c r="I2" s="304" t="n"/>
      <c r="J2" s="304" t="n"/>
      <c r="K2" s="304" t="n"/>
      <c r="L2" s="304" t="n"/>
      <c r="M2" s="304" t="n"/>
      <c r="N2" s="304" t="n"/>
      <c r="O2" s="304" t="n"/>
      <c r="P2" s="304" t="n"/>
      <c r="Q2" s="304" t="n"/>
    </row>
    <row r="3" ht="13.8" customHeight="1" s="343">
      <c r="A3" s="304" t="n"/>
      <c r="B3" s="304" t="n"/>
      <c r="C3" s="304" t="n"/>
      <c r="D3" s="304" t="n"/>
      <c r="E3" s="304" t="n"/>
      <c r="F3" s="304" t="n"/>
      <c r="G3" s="304" t="n"/>
      <c r="H3" s="304" t="n"/>
      <c r="I3" s="304" t="n"/>
      <c r="J3" s="304" t="n"/>
      <c r="K3" s="304" t="n"/>
      <c r="L3" s="304" t="n"/>
      <c r="M3" s="304" t="n"/>
      <c r="N3" s="304" t="n"/>
      <c r="O3" s="304" t="n"/>
      <c r="P3" s="304" t="n"/>
      <c r="Q3" s="304" t="n"/>
    </row>
    <row r="4" ht="13.8" customHeight="1" s="343">
      <c r="A4" s="386" t="inlineStr">
        <is>
          <t>DISTRIBUTION ASSUMPTIONS</t>
        </is>
      </c>
      <c r="B4" s="387" t="n"/>
      <c r="C4" s="387" t="n"/>
      <c r="D4" s="387" t="n"/>
      <c r="E4" s="304" t="n"/>
      <c r="F4" s="304" t="n"/>
      <c r="G4" s="304" t="n"/>
      <c r="H4" s="386" t="inlineStr">
        <is>
          <t>SIMULATION RESULTS (₹ / share)</t>
        </is>
      </c>
      <c r="I4" s="387" t="n"/>
      <c r="J4" s="304" t="n"/>
      <c r="K4" s="304" t="n"/>
      <c r="L4" s="304" t="n"/>
      <c r="M4" s="304" t="n"/>
      <c r="N4" s="304" t="n"/>
      <c r="O4" s="304" t="n"/>
      <c r="P4" s="304" t="n"/>
      <c r="Q4" s="304" t="n"/>
    </row>
    <row r="5" ht="13.8" customHeight="1" s="343">
      <c r="A5" s="305" t="inlineStr">
        <is>
          <t>Variable</t>
        </is>
      </c>
      <c r="B5" s="306" t="inlineStr">
        <is>
          <t>Mean</t>
        </is>
      </c>
      <c r="C5" s="306" t="inlineStr">
        <is>
          <t>Std Dev</t>
        </is>
      </c>
      <c r="D5" s="306" t="inlineStr">
        <is>
          <t>Distribution</t>
        </is>
      </c>
      <c r="E5" s="304" t="n"/>
      <c r="F5" s="304" t="n"/>
      <c r="G5" s="304" t="n"/>
      <c r="H5" s="304" t="inlineStr">
        <is>
          <t>Trials</t>
        </is>
      </c>
      <c r="I5" s="307">
        <f>COUNT($E$23:$E$1022)</f>
        <v/>
      </c>
      <c r="J5" s="304" t="n"/>
      <c r="K5" s="304" t="n"/>
      <c r="L5" s="304" t="n"/>
      <c r="M5" s="304" t="n"/>
      <c r="N5" s="304" t="n"/>
      <c r="O5" s="304" t="n"/>
      <c r="P5" s="304" t="n"/>
      <c r="Q5" s="304" t="n"/>
    </row>
    <row r="6" ht="13.8" customHeight="1" s="343">
      <c r="A6" s="304" t="inlineStr">
        <is>
          <t>WACC</t>
        </is>
      </c>
      <c r="B6" s="532">
        <f>'DCF Model'!C28</f>
        <v/>
      </c>
      <c r="C6" s="533" t="n">
        <v>0.01</v>
      </c>
      <c r="D6" s="309" t="inlineStr">
        <is>
          <t>Normal</t>
        </is>
      </c>
      <c r="E6" s="304" t="n"/>
      <c r="F6" s="304" t="n"/>
      <c r="G6" s="304" t="n"/>
      <c r="H6" s="304" t="inlineStr">
        <is>
          <t>Mean</t>
        </is>
      </c>
      <c r="I6" s="310">
        <f>AVERAGE($E$23:$E$1022)</f>
        <v/>
      </c>
      <c r="J6" s="304" t="n"/>
      <c r="K6" s="304" t="n"/>
      <c r="L6" s="304" t="n"/>
      <c r="M6" s="304" t="n"/>
      <c r="N6" s="304" t="n"/>
      <c r="O6" s="304" t="n"/>
      <c r="P6" s="304" t="n"/>
      <c r="Q6" s="304" t="n"/>
    </row>
    <row r="7" ht="13.8" customHeight="1" s="343">
      <c r="A7" s="304" t="inlineStr">
        <is>
          <t>Terminal Growth Rate</t>
        </is>
      </c>
      <c r="B7" s="532">
        <f>'DCF Model'!C34</f>
        <v/>
      </c>
      <c r="C7" s="533" t="n">
        <v>0.0075</v>
      </c>
      <c r="D7" s="309" t="inlineStr">
        <is>
          <t>Normal</t>
        </is>
      </c>
      <c r="E7" s="304" t="n"/>
      <c r="F7" s="304" t="n"/>
      <c r="G7" s="304" t="n"/>
      <c r="H7" s="304" t="inlineStr">
        <is>
          <t>Median</t>
        </is>
      </c>
      <c r="I7" s="311">
        <f>MEDIAN($E$23:$E$1022)</f>
        <v/>
      </c>
      <c r="J7" s="304" t="n"/>
      <c r="K7" s="304" t="n"/>
      <c r="L7" s="304" t="n"/>
      <c r="M7" s="304" t="n"/>
      <c r="N7" s="304" t="n"/>
      <c r="O7" s="304" t="n"/>
      <c r="P7" s="304" t="n"/>
      <c r="Q7" s="304" t="n"/>
    </row>
    <row r="8" ht="13.8" customHeight="1" s="343">
      <c r="A8" s="304" t="inlineStr">
        <is>
          <t>FCF Performance Multiplier</t>
        </is>
      </c>
      <c r="B8" s="534" t="n">
        <v>1</v>
      </c>
      <c r="C8" s="533" t="n">
        <v>0.1</v>
      </c>
      <c r="D8" s="309" t="inlineStr">
        <is>
          <t>Normal</t>
        </is>
      </c>
      <c r="E8" s="304" t="n"/>
      <c r="F8" s="304" t="n"/>
      <c r="G8" s="304" t="n"/>
      <c r="H8" s="304" t="inlineStr">
        <is>
          <t>Std Dev</t>
        </is>
      </c>
      <c r="I8" s="311">
        <f>_xlfn.STDEV.S($E$23:$E$1022)</f>
        <v/>
      </c>
      <c r="J8" s="304" t="n"/>
      <c r="K8" s="304" t="n"/>
      <c r="L8" s="304" t="n"/>
      <c r="M8" s="304" t="n"/>
      <c r="N8" s="304" t="n"/>
      <c r="O8" s="304" t="n"/>
      <c r="P8" s="304" t="n"/>
      <c r="Q8" s="304" t="n"/>
    </row>
    <row r="9" ht="13.8" customHeight="1" s="343">
      <c r="A9" s="304" t="inlineStr">
        <is>
          <t>Number of Trials</t>
        </is>
      </c>
      <c r="B9" s="313" t="n">
        <v>1000</v>
      </c>
      <c r="C9" s="304" t="n"/>
      <c r="D9" s="304" t="n"/>
      <c r="E9" s="304" t="n"/>
      <c r="F9" s="304" t="n"/>
      <c r="G9" s="304" t="n"/>
      <c r="H9" s="304" t="inlineStr">
        <is>
          <t>Minimum</t>
        </is>
      </c>
      <c r="I9" s="311">
        <f>MIN($E$23:$E$1022)</f>
        <v/>
      </c>
      <c r="J9" s="304" t="n"/>
      <c r="K9" s="304" t="n"/>
      <c r="L9" s="304" t="n"/>
      <c r="M9" s="304" t="n"/>
      <c r="N9" s="304" t="n"/>
      <c r="O9" s="304" t="n"/>
      <c r="P9" s="304" t="n"/>
      <c r="Q9" s="304" t="n"/>
    </row>
    <row r="10" ht="13.8" customHeight="1" s="343">
      <c r="A10" s="304" t="n"/>
      <c r="B10" s="304" t="n"/>
      <c r="C10" s="304" t="n"/>
      <c r="D10" s="304" t="n"/>
      <c r="E10" s="304" t="n"/>
      <c r="F10" s="304" t="n"/>
      <c r="G10" s="304" t="n"/>
      <c r="H10" s="304" t="inlineStr">
        <is>
          <t>Maximum</t>
        </is>
      </c>
      <c r="I10" s="311">
        <f>MAX($E$23:$E$1022)</f>
        <v/>
      </c>
      <c r="J10" s="304" t="n"/>
      <c r="K10" s="304" t="n"/>
      <c r="L10" s="304" t="n"/>
      <c r="M10" s="304" t="n"/>
      <c r="N10" s="304" t="n"/>
      <c r="O10" s="304" t="n"/>
      <c r="P10" s="304" t="n"/>
      <c r="Q10" s="304" t="n"/>
    </row>
    <row r="11" ht="13.8" customHeight="1" s="343">
      <c r="A11" s="386" t="inlineStr">
        <is>
          <t>BASE CASE (linked from DCF Model)</t>
        </is>
      </c>
      <c r="B11" s="387" t="n"/>
      <c r="C11" s="387" t="n"/>
      <c r="D11" s="387" t="n"/>
      <c r="E11" s="387" t="n"/>
      <c r="F11" s="387" t="n"/>
      <c r="G11" s="304" t="n"/>
      <c r="H11" s="304" t="inlineStr">
        <is>
          <t>P5 (5th pctile)</t>
        </is>
      </c>
      <c r="I11" s="311">
        <f>_xlfn.PERCENTILE.INC($E$23:$E$1022,0.05)</f>
        <v/>
      </c>
      <c r="J11" s="304" t="n"/>
      <c r="K11" s="304" t="n"/>
      <c r="L11" s="304" t="n"/>
      <c r="M11" s="304" t="n"/>
      <c r="N11" s="304" t="n"/>
      <c r="O11" s="304" t="n"/>
      <c r="P11" s="304" t="n"/>
      <c r="Q11" s="304" t="n"/>
    </row>
    <row r="12" ht="13.8" customHeight="1" s="343">
      <c r="A12" s="305" t="n"/>
      <c r="B12" s="306" t="inlineStr">
        <is>
          <t>FY2027E</t>
        </is>
      </c>
      <c r="C12" s="306" t="inlineStr">
        <is>
          <t>FY2028E</t>
        </is>
      </c>
      <c r="D12" s="306" t="inlineStr">
        <is>
          <t>FY2029E</t>
        </is>
      </c>
      <c r="E12" s="306" t="inlineStr">
        <is>
          <t>FY2030E</t>
        </is>
      </c>
      <c r="F12" s="306" t="inlineStr">
        <is>
          <t>FY2031E</t>
        </is>
      </c>
      <c r="G12" s="304" t="n"/>
      <c r="H12" s="304" t="inlineStr">
        <is>
          <t>P25</t>
        </is>
      </c>
      <c r="I12" s="311">
        <f>_xlfn.PERCENTILE.INC($E$23:$E$1022,0.25)</f>
        <v/>
      </c>
      <c r="J12" s="304" t="n"/>
      <c r="K12" s="304" t="n"/>
      <c r="L12" s="304" t="n"/>
      <c r="M12" s="304" t="n"/>
      <c r="N12" s="304" t="n"/>
      <c r="O12" s="304" t="n"/>
      <c r="P12" s="304" t="n"/>
      <c r="Q12" s="304" t="n"/>
    </row>
    <row r="13" ht="13.8" customHeight="1" s="343">
      <c r="A13" s="304" t="inlineStr">
        <is>
          <t>FCF (₹ cr)</t>
        </is>
      </c>
      <c r="B13" s="318">
        <f>'DCF Model'!D44</f>
        <v/>
      </c>
      <c r="C13" s="318">
        <f>'DCF Model'!E44</f>
        <v/>
      </c>
      <c r="D13" s="318">
        <f>'DCF Model'!F44</f>
        <v/>
      </c>
      <c r="E13" s="318">
        <f>'DCF Model'!G44</f>
        <v/>
      </c>
      <c r="F13" s="318">
        <f>'DCF Model'!H44</f>
        <v/>
      </c>
      <c r="G13" s="304" t="n"/>
      <c r="H13" s="304" t="inlineStr">
        <is>
          <t>P75</t>
        </is>
      </c>
      <c r="I13" s="311">
        <f>_xlfn.PERCENTILE.INC($E$23:$E$1022,0.75)</f>
        <v/>
      </c>
      <c r="J13" s="304" t="n"/>
      <c r="K13" s="304" t="n"/>
      <c r="L13" s="304" t="n"/>
      <c r="M13" s="304" t="n"/>
      <c r="N13" s="304" t="n"/>
      <c r="O13" s="304" t="n"/>
      <c r="P13" s="304" t="n"/>
      <c r="Q13" s="304" t="n"/>
    </row>
    <row r="14" ht="13.8" customHeight="1" s="343">
      <c r="A14" s="304" t="inlineStr">
        <is>
          <t>Year Fraction</t>
        </is>
      </c>
      <c r="B14" s="319">
        <f>'DCF Model'!D37</f>
        <v/>
      </c>
      <c r="C14" s="319">
        <f>'DCF Model'!E37</f>
        <v/>
      </c>
      <c r="D14" s="319">
        <f>'DCF Model'!F37</f>
        <v/>
      </c>
      <c r="E14" s="319">
        <f>'DCF Model'!G37</f>
        <v/>
      </c>
      <c r="F14" s="319">
        <f>'DCF Model'!H37</f>
        <v/>
      </c>
      <c r="G14" s="304" t="n"/>
      <c r="H14" s="304" t="inlineStr">
        <is>
          <t>P95 (95th pctile)</t>
        </is>
      </c>
      <c r="I14" s="311">
        <f>_xlfn.PERCENTILE.INC($E$23:$E$1022,0.95)</f>
        <v/>
      </c>
      <c r="J14" s="304" t="n"/>
      <c r="K14" s="304" t="n"/>
      <c r="L14" s="304" t="n"/>
      <c r="M14" s="304" t="n"/>
      <c r="N14" s="304" t="n"/>
      <c r="O14" s="304" t="n"/>
      <c r="P14" s="304" t="n"/>
      <c r="Q14" s="304" t="n"/>
    </row>
    <row r="15" ht="13.8" customHeight="1" s="343">
      <c r="A15" s="304" t="inlineStr">
        <is>
          <t>Gross Debt (₹ cr)</t>
        </is>
      </c>
      <c r="B15" s="318">
        <f>'DCF Model'!C53</f>
        <v/>
      </c>
      <c r="C15" s="304" t="n"/>
      <c r="D15" s="304" t="n"/>
      <c r="E15" s="304" t="n"/>
      <c r="F15" s="304" t="n"/>
      <c r="G15" s="304" t="n"/>
      <c r="H15" s="304" t="inlineStr">
        <is>
          <t>Base Value / Share</t>
        </is>
      </c>
      <c r="I15" s="311">
        <f>B18</f>
        <v/>
      </c>
      <c r="J15" s="304" t="n"/>
      <c r="K15" s="304" t="n"/>
      <c r="L15" s="304" t="n"/>
      <c r="M15" s="304" t="n"/>
      <c r="N15" s="304" t="n"/>
      <c r="O15" s="304" t="n"/>
      <c r="P15" s="304" t="n"/>
      <c r="Q15" s="304" t="n"/>
    </row>
    <row r="16" ht="13.8" customHeight="1" s="343">
      <c r="A16" s="304" t="inlineStr">
        <is>
          <t>Cash (₹ cr)</t>
        </is>
      </c>
      <c r="B16" s="318">
        <f>'DCF Model'!C54</f>
        <v/>
      </c>
      <c r="C16" s="304" t="n"/>
      <c r="D16" s="304" t="n"/>
      <c r="E16" s="304" t="n"/>
      <c r="F16" s="304" t="n"/>
      <c r="G16" s="304" t="n"/>
      <c r="H16" s="304" t="inlineStr">
        <is>
          <t>CMP</t>
        </is>
      </c>
      <c r="I16" s="311">
        <f>B19</f>
        <v/>
      </c>
      <c r="J16" s="304" t="n"/>
      <c r="K16" s="304" t="n"/>
      <c r="L16" s="304" t="n"/>
      <c r="M16" s="304" t="n"/>
      <c r="N16" s="304" t="n"/>
      <c r="O16" s="304" t="n"/>
      <c r="P16" s="304" t="n"/>
      <c r="Q16" s="304" t="n"/>
    </row>
    <row r="17" ht="13.8" customHeight="1" s="343">
      <c r="A17" s="304" t="inlineStr">
        <is>
          <t>Shares Outstanding (cr)</t>
        </is>
      </c>
      <c r="B17" s="319">
        <f>'DCF Model'!C20</f>
        <v/>
      </c>
      <c r="C17" s="304" t="n"/>
      <c r="D17" s="304" t="n"/>
      <c r="E17" s="304" t="n"/>
      <c r="F17" s="304" t="n"/>
      <c r="G17" s="304" t="n"/>
      <c r="H17" s="304" t="inlineStr">
        <is>
          <t>P(Value &gt; CMP)</t>
        </is>
      </c>
      <c r="I17" s="535">
        <f>COUNTIF($E$23:$E$1022,"&gt;"&amp;B19)/I5</f>
        <v/>
      </c>
      <c r="J17" s="304" t="n"/>
      <c r="K17" s="304" t="n"/>
      <c r="L17" s="304" t="n"/>
      <c r="M17" s="304" t="n"/>
      <c r="N17" s="304" t="n"/>
      <c r="O17" s="304" t="n"/>
      <c r="P17" s="304" t="n"/>
      <c r="Q17" s="304" t="n"/>
    </row>
    <row r="18" ht="13.8" customHeight="1" s="343">
      <c r="A18" s="304" t="inlineStr">
        <is>
          <t>Base Value / Share (₹)</t>
        </is>
      </c>
      <c r="B18" s="320">
        <f>'DCF Model'!C56</f>
        <v/>
      </c>
      <c r="C18" s="304" t="n"/>
      <c r="D18" s="304" t="n"/>
      <c r="E18" s="304" t="n"/>
      <c r="F18" s="304" t="n"/>
      <c r="G18" s="304" t="n"/>
      <c r="H18" s="304" t="inlineStr">
        <is>
          <t>Mean Upside vs CMP</t>
        </is>
      </c>
      <c r="I18" s="535">
        <f>I6/I16-1</f>
        <v/>
      </c>
      <c r="J18" s="304" t="n"/>
      <c r="K18" s="304" t="n"/>
      <c r="L18" s="304" t="n"/>
      <c r="M18" s="304" t="n"/>
      <c r="N18" s="304" t="n"/>
      <c r="O18" s="304" t="n"/>
      <c r="P18" s="304" t="n"/>
      <c r="Q18" s="304" t="n"/>
    </row>
    <row r="19" ht="13.8" customHeight="1" s="343">
      <c r="A19" s="304" t="inlineStr">
        <is>
          <t>CMP (5 Jun 26, ₹)</t>
        </is>
      </c>
      <c r="B19" s="318">
        <f>'DCF Model'!C59</f>
        <v/>
      </c>
      <c r="C19" s="304" t="n"/>
      <c r="D19" s="304" t="n"/>
      <c r="E19" s="304" t="n"/>
      <c r="F19" s="304" t="n"/>
      <c r="G19" s="304" t="n"/>
      <c r="H19" s="304" t="n"/>
      <c r="I19" s="304" t="n"/>
      <c r="J19" s="304" t="n"/>
      <c r="K19" s="304" t="n"/>
      <c r="L19" s="304" t="n"/>
      <c r="M19" s="304" t="n"/>
      <c r="N19" s="304" t="n"/>
      <c r="O19" s="304" t="n"/>
      <c r="P19" s="304" t="n"/>
      <c r="Q19" s="304" t="n"/>
    </row>
    <row r="20" ht="13.8" customHeight="1" s="343">
      <c r="A20" s="304" t="n"/>
      <c r="B20" s="304" t="n"/>
      <c r="C20" s="304" t="n"/>
      <c r="D20" s="304" t="n"/>
      <c r="E20" s="304" t="n"/>
      <c r="F20" s="304" t="n"/>
      <c r="G20" s="304" t="n"/>
      <c r="H20" s="304" t="n"/>
      <c r="I20" s="304" t="n"/>
      <c r="J20" s="304" t="n"/>
      <c r="K20" s="304" t="n"/>
      <c r="L20" s="304" t="n"/>
      <c r="M20" s="304" t="n"/>
      <c r="N20" s="304" t="n"/>
      <c r="O20" s="304" t="n"/>
      <c r="P20" s="304" t="n"/>
      <c r="Q20" s="304" t="n"/>
    </row>
    <row r="21" ht="13.8" customHeight="1" s="343">
      <c r="A21" s="386" t="inlineStr">
        <is>
          <t>SIMULATION TRIALS</t>
        </is>
      </c>
      <c r="B21" s="387" t="n"/>
      <c r="C21" s="387" t="n"/>
      <c r="D21" s="387" t="n"/>
      <c r="E21" s="387" t="n"/>
      <c r="F21" s="304" t="n"/>
      <c r="G21" s="304" t="n"/>
      <c r="H21" s="386" t="inlineStr">
        <is>
          <t>HISTOGRAM</t>
        </is>
      </c>
      <c r="I21" s="387" t="n"/>
      <c r="J21" s="304" t="n"/>
      <c r="K21" s="304" t="n"/>
      <c r="L21" s="304" t="n"/>
      <c r="M21" s="304" t="n"/>
      <c r="N21" s="304" t="n"/>
      <c r="O21" s="304" t="n"/>
      <c r="P21" s="304" t="n"/>
      <c r="Q21" s="304" t="n"/>
    </row>
    <row r="22" ht="13.8" customHeight="1" s="343">
      <c r="A22" s="306" t="inlineStr">
        <is>
          <t>Trial</t>
        </is>
      </c>
      <c r="B22" s="306" t="inlineStr">
        <is>
          <t>WACC</t>
        </is>
      </c>
      <c r="C22" s="306" t="inlineStr">
        <is>
          <t>Term. Growth</t>
        </is>
      </c>
      <c r="D22" s="306" t="inlineStr">
        <is>
          <t>FCF Mult.</t>
        </is>
      </c>
      <c r="E22" s="306" t="inlineStr">
        <is>
          <t>Value / Share (₹)</t>
        </is>
      </c>
      <c r="F22" s="304" t="n"/>
      <c r="G22" s="304" t="n"/>
      <c r="H22" s="306" t="inlineStr">
        <is>
          <t>Value ≤ (₹)</t>
        </is>
      </c>
      <c r="I22" s="306" t="inlineStr">
        <is>
          <t>Frequency</t>
        </is>
      </c>
      <c r="J22" s="304" t="n"/>
      <c r="K22" s="304" t="n"/>
      <c r="L22" s="304" t="n"/>
      <c r="M22" s="304" t="n"/>
      <c r="N22" s="304" t="n"/>
      <c r="O22" s="304" t="n"/>
      <c r="P22" s="304" t="n"/>
      <c r="Q22" s="304" t="n"/>
    </row>
    <row r="23" ht="13.8" customHeight="1" s="343">
      <c r="A23" s="388">
        <f>ROW()-22</f>
        <v/>
      </c>
      <c r="B23" s="536">
        <f>_xlfn.NORM.INV(RAND(),$B$6,$C$6)</f>
        <v/>
      </c>
      <c r="C23" s="536">
        <f>MIN(_xlfn.NORM.INV(RAND(),$B$7,$C$7),B23-0.005)</f>
        <v/>
      </c>
      <c r="D23" s="537">
        <f>_xlfn.NORM.INV(RAND(),$B$8,$C$8)</f>
        <v/>
      </c>
      <c r="E23" s="391">
        <f t="array" ref="E23">(SUMPRODUCT($B$13:$F$13*D23/(1+B23)^$B$14:$F$14)+($F$13*D23*(1+C23))/(B23-C23)/(1+B23)^$F$14-$B$15+$B$16)/$B$17</f>
        <v/>
      </c>
      <c r="F23" s="304" t="n"/>
      <c r="G23" s="304" t="n"/>
      <c r="H23" s="307">
        <f>$I$9+($I$10-$I$9)/12*(ROW()-22)</f>
        <v/>
      </c>
      <c r="I23" s="307">
        <f t="array" ref="I23:I35">FREQUENCY($E$23:$E$1022,$H$23:$H$34)</f>
        <v/>
      </c>
      <c r="J23" s="304" t="n"/>
      <c r="K23" s="304" t="n"/>
      <c r="L23" s="304" t="n"/>
      <c r="M23" s="304" t="n"/>
      <c r="N23" s="304" t="n"/>
      <c r="O23" s="304" t="n"/>
      <c r="P23" s="304" t="n"/>
      <c r="Q23" s="304" t="n"/>
    </row>
    <row r="24" ht="13.8" customHeight="1" s="343">
      <c r="A24" s="388">
        <f>ROW()-22</f>
        <v/>
      </c>
      <c r="B24" s="536">
        <f>_xlfn.NORM.INV(RAND(),$B$6,$C$6)</f>
        <v/>
      </c>
      <c r="C24" s="536">
        <f>MIN(_xlfn.NORM.INV(RAND(),$B$7,$C$7),B24-0.005)</f>
        <v/>
      </c>
      <c r="D24" s="537">
        <f>_xlfn.NORM.INV(RAND(),$B$8,$C$8)</f>
        <v/>
      </c>
      <c r="E24" s="391">
        <f t="array" ref="E24">(SUMPRODUCT($B$13:$F$13*D24/(1+B24)^$B$14:$F$14)+($F$13*D24*(1+C24))/(B24-C24)/(1+B24)^$F$14-$B$15+$B$16)/$B$17</f>
        <v/>
      </c>
      <c r="F24" s="304" t="n"/>
      <c r="G24" s="304" t="n"/>
      <c r="H24" s="307">
        <f>$I$9+($I$10-$I$9)/12*(ROW()-22)</f>
        <v/>
      </c>
      <c r="I24" s="304">
        <f/>
        <v/>
      </c>
      <c r="J24" s="304" t="n"/>
      <c r="K24" s="304" t="n"/>
      <c r="L24" s="304" t="n"/>
      <c r="M24" s="304" t="n"/>
      <c r="N24" s="304" t="n"/>
      <c r="O24" s="304" t="n"/>
      <c r="P24" s="304" t="n"/>
      <c r="Q24" s="304" t="n"/>
    </row>
    <row r="25" ht="13.8" customHeight="1" s="343">
      <c r="A25" s="388">
        <f>ROW()-22</f>
        <v/>
      </c>
      <c r="B25" s="536">
        <f>_xlfn.NORM.INV(RAND(),$B$6,$C$6)</f>
        <v/>
      </c>
      <c r="C25" s="536">
        <f>MIN(_xlfn.NORM.INV(RAND(),$B$7,$C$7),B25-0.005)</f>
        <v/>
      </c>
      <c r="D25" s="537">
        <f>_xlfn.NORM.INV(RAND(),$B$8,$C$8)</f>
        <v/>
      </c>
      <c r="E25" s="391">
        <f t="array" ref="E25">(SUMPRODUCT($B$13:$F$13*D25/(1+B25)^$B$14:$F$14)+($F$13*D25*(1+C25))/(B25-C25)/(1+B25)^$F$14-$B$15+$B$16)/$B$17</f>
        <v/>
      </c>
      <c r="F25" s="304" t="n"/>
      <c r="G25" s="304" t="n"/>
      <c r="H25" s="307">
        <f>$I$9+($I$10-$I$9)/12*(ROW()-22)</f>
        <v/>
      </c>
      <c r="I25" s="304">
        <f/>
        <v/>
      </c>
      <c r="J25" s="304" t="n"/>
      <c r="K25" s="304" t="n"/>
      <c r="L25" s="304" t="n"/>
      <c r="M25" s="304" t="n"/>
      <c r="N25" s="304" t="n"/>
      <c r="O25" s="304" t="n"/>
      <c r="P25" s="304" t="n"/>
      <c r="Q25" s="304" t="n"/>
    </row>
    <row r="26" ht="13.8" customHeight="1" s="343">
      <c r="A26" s="388">
        <f>ROW()-22</f>
        <v/>
      </c>
      <c r="B26" s="536">
        <f>_xlfn.NORM.INV(RAND(),$B$6,$C$6)</f>
        <v/>
      </c>
      <c r="C26" s="536">
        <f>MIN(_xlfn.NORM.INV(RAND(),$B$7,$C$7),B26-0.005)</f>
        <v/>
      </c>
      <c r="D26" s="537">
        <f>_xlfn.NORM.INV(RAND(),$B$8,$C$8)</f>
        <v/>
      </c>
      <c r="E26" s="391">
        <f t="array" ref="E26">(SUMPRODUCT($B$13:$F$13*D26/(1+B26)^$B$14:$F$14)+($F$13*D26*(1+C26))/(B26-C26)/(1+B26)^$F$14-$B$15+$B$16)/$B$17</f>
        <v/>
      </c>
      <c r="F26" s="304" t="n"/>
      <c r="G26" s="304" t="n"/>
      <c r="H26" s="307">
        <f>$I$9+($I$10-$I$9)/12*(ROW()-22)</f>
        <v/>
      </c>
      <c r="I26" s="304">
        <f/>
        <v/>
      </c>
      <c r="J26" s="304" t="n"/>
      <c r="K26" s="304" t="n"/>
      <c r="L26" s="304" t="n"/>
      <c r="M26" s="304" t="n"/>
      <c r="N26" s="304" t="n"/>
      <c r="O26" s="304" t="n"/>
      <c r="P26" s="304" t="n"/>
      <c r="Q26" s="304" t="n"/>
    </row>
    <row r="27" ht="13.8" customHeight="1" s="343">
      <c r="A27" s="388">
        <f>ROW()-22</f>
        <v/>
      </c>
      <c r="B27" s="536">
        <f>_xlfn.NORM.INV(RAND(),$B$6,$C$6)</f>
        <v/>
      </c>
      <c r="C27" s="536">
        <f>MIN(_xlfn.NORM.INV(RAND(),$B$7,$C$7),B27-0.005)</f>
        <v/>
      </c>
      <c r="D27" s="537">
        <f>_xlfn.NORM.INV(RAND(),$B$8,$C$8)</f>
        <v/>
      </c>
      <c r="E27" s="391">
        <f t="array" ref="E27">(SUMPRODUCT($B$13:$F$13*D27/(1+B27)^$B$14:$F$14)+($F$13*D27*(1+C27))/(B27-C27)/(1+B27)^$F$14-$B$15+$B$16)/$B$17</f>
        <v/>
      </c>
      <c r="F27" s="304" t="n"/>
      <c r="G27" s="304" t="n"/>
      <c r="H27" s="307">
        <f>$I$9+($I$10-$I$9)/12*(ROW()-22)</f>
        <v/>
      </c>
      <c r="I27" s="304">
        <f/>
        <v/>
      </c>
      <c r="J27" s="304" t="n"/>
      <c r="K27" s="304" t="n"/>
      <c r="L27" s="304" t="n"/>
      <c r="M27" s="304" t="n"/>
      <c r="N27" s="304" t="n"/>
      <c r="O27" s="304" t="n"/>
      <c r="P27" s="304" t="n"/>
      <c r="Q27" s="304" t="n"/>
    </row>
    <row r="28" ht="13.8" customHeight="1" s="343">
      <c r="A28" s="388">
        <f>ROW()-22</f>
        <v/>
      </c>
      <c r="B28" s="536">
        <f>_xlfn.NORM.INV(RAND(),$B$6,$C$6)</f>
        <v/>
      </c>
      <c r="C28" s="536">
        <f>MIN(_xlfn.NORM.INV(RAND(),$B$7,$C$7),B28-0.005)</f>
        <v/>
      </c>
      <c r="D28" s="537">
        <f>_xlfn.NORM.INV(RAND(),$B$8,$C$8)</f>
        <v/>
      </c>
      <c r="E28" s="391">
        <f t="array" ref="E28">(SUMPRODUCT($B$13:$F$13*D28/(1+B28)^$B$14:$F$14)+($F$13*D28*(1+C28))/(B28-C28)/(1+B28)^$F$14-$B$15+$B$16)/$B$17</f>
        <v/>
      </c>
      <c r="F28" s="304" t="n"/>
      <c r="G28" s="304" t="n"/>
      <c r="H28" s="307">
        <f>$I$9+($I$10-$I$9)/12*(ROW()-22)</f>
        <v/>
      </c>
      <c r="I28" s="304">
        <f/>
        <v/>
      </c>
      <c r="J28" s="304" t="n"/>
      <c r="K28" s="304" t="n"/>
      <c r="L28" s="304" t="n"/>
      <c r="M28" s="304" t="n"/>
      <c r="N28" s="304" t="n"/>
      <c r="O28" s="304" t="n"/>
      <c r="P28" s="304" t="n"/>
      <c r="Q28" s="304" t="n"/>
    </row>
    <row r="29" ht="13.8" customHeight="1" s="343">
      <c r="A29" s="388">
        <f>ROW()-22</f>
        <v/>
      </c>
      <c r="B29" s="536">
        <f>_xlfn.NORM.INV(RAND(),$B$6,$C$6)</f>
        <v/>
      </c>
      <c r="C29" s="536">
        <f>MIN(_xlfn.NORM.INV(RAND(),$B$7,$C$7),B29-0.005)</f>
        <v/>
      </c>
      <c r="D29" s="537">
        <f>_xlfn.NORM.INV(RAND(),$B$8,$C$8)</f>
        <v/>
      </c>
      <c r="E29" s="391">
        <f t="array" ref="E29">(SUMPRODUCT($B$13:$F$13*D29/(1+B29)^$B$14:$F$14)+($F$13*D29*(1+C29))/(B29-C29)/(1+B29)^$F$14-$B$15+$B$16)/$B$17</f>
        <v/>
      </c>
      <c r="F29" s="304" t="n"/>
      <c r="G29" s="304" t="n"/>
      <c r="H29" s="307">
        <f>$I$9+($I$10-$I$9)/12*(ROW()-22)</f>
        <v/>
      </c>
      <c r="I29" s="304">
        <f/>
        <v/>
      </c>
      <c r="J29" s="304" t="n"/>
      <c r="K29" s="304" t="n"/>
      <c r="L29" s="304" t="n"/>
      <c r="M29" s="304" t="n"/>
      <c r="N29" s="304" t="n"/>
      <c r="O29" s="304" t="n"/>
      <c r="P29" s="304" t="n"/>
      <c r="Q29" s="304" t="n"/>
    </row>
    <row r="30" ht="13.8" customHeight="1" s="343">
      <c r="A30" s="388">
        <f>ROW()-22</f>
        <v/>
      </c>
      <c r="B30" s="536">
        <f>_xlfn.NORM.INV(RAND(),$B$6,$C$6)</f>
        <v/>
      </c>
      <c r="C30" s="536">
        <f>MIN(_xlfn.NORM.INV(RAND(),$B$7,$C$7),B30-0.005)</f>
        <v/>
      </c>
      <c r="D30" s="537">
        <f>_xlfn.NORM.INV(RAND(),$B$8,$C$8)</f>
        <v/>
      </c>
      <c r="E30" s="391">
        <f t="array" ref="E30">(SUMPRODUCT($B$13:$F$13*D30/(1+B30)^$B$14:$F$14)+($F$13*D30*(1+C30))/(B30-C30)/(1+B30)^$F$14-$B$15+$B$16)/$B$17</f>
        <v/>
      </c>
      <c r="F30" s="304" t="n"/>
      <c r="G30" s="304" t="n"/>
      <c r="H30" s="307">
        <f>$I$9+($I$10-$I$9)/12*(ROW()-22)</f>
        <v/>
      </c>
      <c r="I30" s="304">
        <f/>
        <v/>
      </c>
      <c r="J30" s="304" t="n"/>
      <c r="K30" s="304" t="n"/>
      <c r="L30" s="304" t="n"/>
      <c r="M30" s="304" t="n"/>
      <c r="N30" s="304" t="n"/>
      <c r="O30" s="304" t="n"/>
      <c r="P30" s="304" t="n"/>
      <c r="Q30" s="304" t="n"/>
    </row>
    <row r="31" ht="13.8" customHeight="1" s="343">
      <c r="A31" s="388">
        <f>ROW()-22</f>
        <v/>
      </c>
      <c r="B31" s="536">
        <f>_xlfn.NORM.INV(RAND(),$B$6,$C$6)</f>
        <v/>
      </c>
      <c r="C31" s="536">
        <f>MIN(_xlfn.NORM.INV(RAND(),$B$7,$C$7),B31-0.005)</f>
        <v/>
      </c>
      <c r="D31" s="537">
        <f>_xlfn.NORM.INV(RAND(),$B$8,$C$8)</f>
        <v/>
      </c>
      <c r="E31" s="391">
        <f t="array" ref="E31">(SUMPRODUCT($B$13:$F$13*D31/(1+B31)^$B$14:$F$14)+($F$13*D31*(1+C31))/(B31-C31)/(1+B31)^$F$14-$B$15+$B$16)/$B$17</f>
        <v/>
      </c>
      <c r="F31" s="304" t="n"/>
      <c r="G31" s="304" t="n"/>
      <c r="H31" s="307">
        <f>$I$9+($I$10-$I$9)/12*(ROW()-22)</f>
        <v/>
      </c>
      <c r="I31" s="304">
        <f/>
        <v/>
      </c>
      <c r="J31" s="304" t="n"/>
      <c r="K31" s="304" t="n"/>
      <c r="L31" s="304" t="n"/>
      <c r="M31" s="304" t="n"/>
      <c r="N31" s="304" t="n"/>
      <c r="O31" s="304" t="n"/>
      <c r="P31" s="304" t="n"/>
      <c r="Q31" s="304" t="n"/>
    </row>
    <row r="32" ht="13.8" customHeight="1" s="343">
      <c r="A32" s="388">
        <f>ROW()-22</f>
        <v/>
      </c>
      <c r="B32" s="536">
        <f>_xlfn.NORM.INV(RAND(),$B$6,$C$6)</f>
        <v/>
      </c>
      <c r="C32" s="536">
        <f>MIN(_xlfn.NORM.INV(RAND(),$B$7,$C$7),B32-0.005)</f>
        <v/>
      </c>
      <c r="D32" s="537">
        <f>_xlfn.NORM.INV(RAND(),$B$8,$C$8)</f>
        <v/>
      </c>
      <c r="E32" s="391">
        <f t="array" ref="E32">(SUMPRODUCT($B$13:$F$13*D32/(1+B32)^$B$14:$F$14)+($F$13*D32*(1+C32))/(B32-C32)/(1+B32)^$F$14-$B$15+$B$16)/$B$17</f>
        <v/>
      </c>
      <c r="F32" s="304" t="n"/>
      <c r="G32" s="304" t="n"/>
      <c r="H32" s="307">
        <f>$I$9+($I$10-$I$9)/12*(ROW()-22)</f>
        <v/>
      </c>
      <c r="I32" s="304">
        <f/>
        <v/>
      </c>
      <c r="J32" s="304" t="n"/>
      <c r="K32" s="304" t="n"/>
      <c r="L32" s="304" t="n"/>
      <c r="M32" s="304" t="n"/>
      <c r="N32" s="304" t="n"/>
      <c r="O32" s="304" t="n"/>
      <c r="P32" s="304" t="n"/>
      <c r="Q32" s="304" t="n"/>
    </row>
    <row r="33" ht="13.8" customHeight="1" s="343">
      <c r="A33" s="388">
        <f>ROW()-22</f>
        <v/>
      </c>
      <c r="B33" s="536">
        <f>_xlfn.NORM.INV(RAND(),$B$6,$C$6)</f>
        <v/>
      </c>
      <c r="C33" s="536">
        <f>MIN(_xlfn.NORM.INV(RAND(),$B$7,$C$7),B33-0.005)</f>
        <v/>
      </c>
      <c r="D33" s="537">
        <f>_xlfn.NORM.INV(RAND(),$B$8,$C$8)</f>
        <v/>
      </c>
      <c r="E33" s="391">
        <f t="array" ref="E33">(SUMPRODUCT($B$13:$F$13*D33/(1+B33)^$B$14:$F$14)+($F$13*D33*(1+C33))/(B33-C33)/(1+B33)^$F$14-$B$15+$B$16)/$B$17</f>
        <v/>
      </c>
      <c r="F33" s="304" t="n"/>
      <c r="G33" s="304" t="n"/>
      <c r="H33" s="307">
        <f>$I$9+($I$10-$I$9)/12*(ROW()-22)</f>
        <v/>
      </c>
      <c r="I33" s="304">
        <f/>
        <v/>
      </c>
      <c r="J33" s="304" t="n"/>
      <c r="K33" s="304" t="n"/>
      <c r="L33" s="304" t="n"/>
      <c r="M33" s="304" t="n"/>
      <c r="N33" s="304" t="n"/>
      <c r="O33" s="304" t="n"/>
      <c r="P33" s="304" t="n"/>
      <c r="Q33" s="304" t="n"/>
    </row>
    <row r="34" ht="13.8" customHeight="1" s="343">
      <c r="A34" s="388">
        <f>ROW()-22</f>
        <v/>
      </c>
      <c r="B34" s="536">
        <f>_xlfn.NORM.INV(RAND(),$B$6,$C$6)</f>
        <v/>
      </c>
      <c r="C34" s="536">
        <f>MIN(_xlfn.NORM.INV(RAND(),$B$7,$C$7),B34-0.005)</f>
        <v/>
      </c>
      <c r="D34" s="537">
        <f>_xlfn.NORM.INV(RAND(),$B$8,$C$8)</f>
        <v/>
      </c>
      <c r="E34" s="391">
        <f t="array" ref="E34">(SUMPRODUCT($B$13:$F$13*D34/(1+B34)^$B$14:$F$14)+($F$13*D34*(1+C34))/(B34-C34)/(1+B34)^$F$14-$B$15+$B$16)/$B$17</f>
        <v/>
      </c>
      <c r="F34" s="304" t="n"/>
      <c r="G34" s="304" t="n"/>
      <c r="H34" s="307">
        <f>$I$9+($I$10-$I$9)/12*(ROW()-22)</f>
        <v/>
      </c>
      <c r="I34" s="304">
        <f/>
        <v/>
      </c>
      <c r="J34" s="304" t="n"/>
      <c r="K34" s="304" t="n"/>
      <c r="L34" s="304" t="n"/>
      <c r="M34" s="304" t="n"/>
      <c r="N34" s="304" t="n"/>
      <c r="O34" s="304" t="n"/>
      <c r="P34" s="304" t="n"/>
      <c r="Q34" s="304" t="n"/>
    </row>
    <row r="35" ht="13.8" customHeight="1" s="343">
      <c r="A35" s="388">
        <f>ROW()-22</f>
        <v/>
      </c>
      <c r="B35" s="536">
        <f>_xlfn.NORM.INV(RAND(),$B$6,$C$6)</f>
        <v/>
      </c>
      <c r="C35" s="536">
        <f>MIN(_xlfn.NORM.INV(RAND(),$B$7,$C$7),B35-0.005)</f>
        <v/>
      </c>
      <c r="D35" s="537">
        <f>_xlfn.NORM.INV(RAND(),$B$8,$C$8)</f>
        <v/>
      </c>
      <c r="E35" s="391">
        <f t="array" ref="E35">(SUMPRODUCT($B$13:$F$13*D35/(1+B35)^$B$14:$F$14)+($F$13*D35*(1+C35))/(B35-C35)/(1+B35)^$F$14-$B$15+$B$16)/$B$17</f>
        <v/>
      </c>
      <c r="F35" s="304" t="n"/>
      <c r="G35" s="304" t="n"/>
      <c r="H35" s="304" t="n"/>
      <c r="I35" s="304">
        <f/>
        <v/>
      </c>
      <c r="J35" s="304" t="n"/>
      <c r="K35" s="304" t="n"/>
      <c r="L35" s="304" t="n"/>
      <c r="M35" s="304" t="n"/>
      <c r="N35" s="304" t="n"/>
      <c r="O35" s="304" t="n"/>
      <c r="P35" s="304" t="n"/>
      <c r="Q35" s="304" t="n"/>
    </row>
    <row r="36" ht="13.8" customHeight="1" s="343">
      <c r="A36" s="388">
        <f>ROW()-22</f>
        <v/>
      </c>
      <c r="B36" s="536">
        <f>_xlfn.NORM.INV(RAND(),$B$6,$C$6)</f>
        <v/>
      </c>
      <c r="C36" s="536">
        <f>MIN(_xlfn.NORM.INV(RAND(),$B$7,$C$7),B36-0.005)</f>
        <v/>
      </c>
      <c r="D36" s="537">
        <f>_xlfn.NORM.INV(RAND(),$B$8,$C$8)</f>
        <v/>
      </c>
      <c r="E36" s="391">
        <f t="array" ref="E36">(SUMPRODUCT($B$13:$F$13*D36/(1+B36)^$B$14:$F$14)+($F$13*D36*(1+C36))/(B36-C36)/(1+B36)^$F$14-$B$15+$B$16)/$B$17</f>
        <v/>
      </c>
      <c r="F36" s="304" t="n"/>
      <c r="G36" s="304" t="n"/>
      <c r="H36" s="304" t="n"/>
      <c r="I36" s="304" t="n"/>
      <c r="J36" s="304" t="n"/>
      <c r="K36" s="304" t="n"/>
      <c r="L36" s="304" t="n"/>
      <c r="M36" s="304" t="n"/>
      <c r="N36" s="304" t="n"/>
      <c r="O36" s="304" t="n"/>
      <c r="P36" s="304" t="n"/>
      <c r="Q36" s="304" t="n"/>
    </row>
    <row r="37" ht="13.8" customHeight="1" s="343">
      <c r="A37" s="388">
        <f>ROW()-22</f>
        <v/>
      </c>
      <c r="B37" s="536">
        <f>_xlfn.NORM.INV(RAND(),$B$6,$C$6)</f>
        <v/>
      </c>
      <c r="C37" s="536">
        <f>MIN(_xlfn.NORM.INV(RAND(),$B$7,$C$7),B37-0.005)</f>
        <v/>
      </c>
      <c r="D37" s="537">
        <f>_xlfn.NORM.INV(RAND(),$B$8,$C$8)</f>
        <v/>
      </c>
      <c r="E37" s="391">
        <f t="array" ref="E37">(SUMPRODUCT($B$13:$F$13*D37/(1+B37)^$B$14:$F$14)+($F$13*D37*(1+C37))/(B37-C37)/(1+B37)^$F$14-$B$15+$B$16)/$B$17</f>
        <v/>
      </c>
      <c r="F37" s="304" t="n"/>
      <c r="G37" s="304" t="n"/>
      <c r="H37" s="304" t="n"/>
      <c r="I37" s="304" t="n"/>
      <c r="J37" s="304" t="n"/>
      <c r="K37" s="304" t="n"/>
      <c r="L37" s="304" t="n"/>
      <c r="M37" s="304" t="n"/>
      <c r="N37" s="304" t="n"/>
      <c r="O37" s="304" t="n"/>
      <c r="P37" s="304" t="n"/>
      <c r="Q37" s="304" t="n"/>
    </row>
    <row r="38" ht="13.8" customHeight="1" s="343">
      <c r="A38" s="388">
        <f>ROW()-22</f>
        <v/>
      </c>
      <c r="B38" s="536">
        <f>_xlfn.NORM.INV(RAND(),$B$6,$C$6)</f>
        <v/>
      </c>
      <c r="C38" s="536">
        <f>MIN(_xlfn.NORM.INV(RAND(),$B$7,$C$7),B38-0.005)</f>
        <v/>
      </c>
      <c r="D38" s="537">
        <f>_xlfn.NORM.INV(RAND(),$B$8,$C$8)</f>
        <v/>
      </c>
      <c r="E38" s="391">
        <f t="array" ref="E38">(SUMPRODUCT($B$13:$F$13*D38/(1+B38)^$B$14:$F$14)+($F$13*D38*(1+C38))/(B38-C38)/(1+B38)^$F$14-$B$15+$B$16)/$B$17</f>
        <v/>
      </c>
      <c r="F38" s="304" t="n"/>
      <c r="G38" s="304" t="n"/>
      <c r="H38" s="304" t="n"/>
      <c r="I38" s="304" t="n"/>
      <c r="J38" s="304" t="n"/>
      <c r="K38" s="304" t="n"/>
      <c r="L38" s="304" t="n"/>
      <c r="M38" s="304" t="n"/>
      <c r="N38" s="304" t="n"/>
      <c r="O38" s="304" t="n"/>
      <c r="P38" s="304" t="n"/>
      <c r="Q38" s="304" t="n"/>
    </row>
    <row r="39" ht="13.8" customHeight="1" s="343">
      <c r="A39" s="388">
        <f>ROW()-22</f>
        <v/>
      </c>
      <c r="B39" s="536">
        <f>_xlfn.NORM.INV(RAND(),$B$6,$C$6)</f>
        <v/>
      </c>
      <c r="C39" s="536">
        <f>MIN(_xlfn.NORM.INV(RAND(),$B$7,$C$7),B39-0.005)</f>
        <v/>
      </c>
      <c r="D39" s="537">
        <f>_xlfn.NORM.INV(RAND(),$B$8,$C$8)</f>
        <v/>
      </c>
      <c r="E39" s="391">
        <f t="array" ref="E39">(SUMPRODUCT($B$13:$F$13*D39/(1+B39)^$B$14:$F$14)+($F$13*D39*(1+C39))/(B39-C39)/(1+B39)^$F$14-$B$15+$B$16)/$B$17</f>
        <v/>
      </c>
      <c r="F39" s="304" t="n"/>
      <c r="G39" s="304" t="n"/>
      <c r="H39" s="304" t="n"/>
      <c r="I39" s="304" t="n"/>
      <c r="J39" s="304" t="n"/>
      <c r="K39" s="304" t="n"/>
      <c r="L39" s="304" t="n"/>
      <c r="M39" s="304" t="n"/>
      <c r="N39" s="304" t="n"/>
      <c r="O39" s="304" t="n"/>
      <c r="P39" s="304" t="n"/>
      <c r="Q39" s="304" t="n"/>
    </row>
    <row r="40" ht="13.8" customHeight="1" s="343">
      <c r="A40" s="388">
        <f>ROW()-22</f>
        <v/>
      </c>
      <c r="B40" s="536">
        <f>_xlfn.NORM.INV(RAND(),$B$6,$C$6)</f>
        <v/>
      </c>
      <c r="C40" s="536">
        <f>MIN(_xlfn.NORM.INV(RAND(),$B$7,$C$7),B40-0.005)</f>
        <v/>
      </c>
      <c r="D40" s="537">
        <f>_xlfn.NORM.INV(RAND(),$B$8,$C$8)</f>
        <v/>
      </c>
      <c r="E40" s="391">
        <f t="array" ref="E40">(SUMPRODUCT($B$13:$F$13*D40/(1+B40)^$B$14:$F$14)+($F$13*D40*(1+C40))/(B40-C40)/(1+B40)^$F$14-$B$15+$B$16)/$B$17</f>
        <v/>
      </c>
      <c r="F40" s="304" t="n"/>
      <c r="G40" s="304" t="n"/>
      <c r="H40" s="304" t="n"/>
      <c r="I40" s="304" t="n"/>
      <c r="J40" s="304" t="n"/>
      <c r="K40" s="304" t="n"/>
      <c r="L40" s="304" t="n"/>
      <c r="M40" s="304" t="n"/>
      <c r="N40" s="304" t="n"/>
      <c r="O40" s="304" t="n"/>
      <c r="P40" s="304" t="n"/>
      <c r="Q40" s="304" t="n"/>
    </row>
    <row r="41" ht="13.8" customHeight="1" s="343">
      <c r="A41" s="388">
        <f>ROW()-22</f>
        <v/>
      </c>
      <c r="B41" s="536">
        <f>_xlfn.NORM.INV(RAND(),$B$6,$C$6)</f>
        <v/>
      </c>
      <c r="C41" s="536">
        <f>MIN(_xlfn.NORM.INV(RAND(),$B$7,$C$7),B41-0.005)</f>
        <v/>
      </c>
      <c r="D41" s="537">
        <f>_xlfn.NORM.INV(RAND(),$B$8,$C$8)</f>
        <v/>
      </c>
      <c r="E41" s="391">
        <f t="array" ref="E41">(SUMPRODUCT($B$13:$F$13*D41/(1+B41)^$B$14:$F$14)+($F$13*D41*(1+C41))/(B41-C41)/(1+B41)^$F$14-$B$15+$B$16)/$B$17</f>
        <v/>
      </c>
      <c r="F41" s="304" t="n"/>
      <c r="G41" s="304" t="n"/>
      <c r="H41" s="304" t="n"/>
      <c r="I41" s="304" t="n"/>
      <c r="J41" s="304" t="n"/>
      <c r="K41" s="304" t="n"/>
      <c r="L41" s="304" t="n"/>
      <c r="M41" s="304" t="n"/>
      <c r="N41" s="304" t="n"/>
      <c r="O41" s="304" t="n"/>
      <c r="P41" s="304" t="n"/>
      <c r="Q41" s="304" t="n"/>
    </row>
    <row r="42" ht="13.8" customHeight="1" s="343">
      <c r="A42" s="388">
        <f>ROW()-22</f>
        <v/>
      </c>
      <c r="B42" s="536">
        <f>_xlfn.NORM.INV(RAND(),$B$6,$C$6)</f>
        <v/>
      </c>
      <c r="C42" s="536">
        <f>MIN(_xlfn.NORM.INV(RAND(),$B$7,$C$7),B42-0.005)</f>
        <v/>
      </c>
      <c r="D42" s="537">
        <f>_xlfn.NORM.INV(RAND(),$B$8,$C$8)</f>
        <v/>
      </c>
      <c r="E42" s="391">
        <f t="array" ref="E42">(SUMPRODUCT($B$13:$F$13*D42/(1+B42)^$B$14:$F$14)+($F$13*D42*(1+C42))/(B42-C42)/(1+B42)^$F$14-$B$15+$B$16)/$B$17</f>
        <v/>
      </c>
      <c r="F42" s="304" t="n"/>
      <c r="G42" s="304" t="n"/>
      <c r="H42" s="304" t="n"/>
      <c r="I42" s="304" t="n"/>
      <c r="J42" s="304" t="n"/>
      <c r="K42" s="304" t="n"/>
      <c r="L42" s="304" t="n"/>
      <c r="M42" s="304" t="n"/>
      <c r="N42" s="304" t="n"/>
      <c r="O42" s="304" t="n"/>
      <c r="P42" s="304" t="n"/>
      <c r="Q42" s="304" t="n"/>
    </row>
    <row r="43" ht="13.8" customHeight="1" s="343">
      <c r="A43" s="388">
        <f>ROW()-22</f>
        <v/>
      </c>
      <c r="B43" s="536">
        <f>_xlfn.NORM.INV(RAND(),$B$6,$C$6)</f>
        <v/>
      </c>
      <c r="C43" s="536">
        <f>MIN(_xlfn.NORM.INV(RAND(),$B$7,$C$7),B43-0.005)</f>
        <v/>
      </c>
      <c r="D43" s="537">
        <f>_xlfn.NORM.INV(RAND(),$B$8,$C$8)</f>
        <v/>
      </c>
      <c r="E43" s="391">
        <f t="array" ref="E43">(SUMPRODUCT($B$13:$F$13*D43/(1+B43)^$B$14:$F$14)+($F$13*D43*(1+C43))/(B43-C43)/(1+B43)^$F$14-$B$15+$B$16)/$B$17</f>
        <v/>
      </c>
      <c r="F43" s="304" t="n"/>
      <c r="G43" s="304" t="n"/>
      <c r="H43" s="304" t="n"/>
      <c r="I43" s="304" t="n"/>
      <c r="J43" s="304" t="n"/>
      <c r="K43" s="304" t="n"/>
      <c r="L43" s="304" t="n"/>
      <c r="M43" s="304" t="n"/>
      <c r="N43" s="304" t="n"/>
      <c r="O43" s="304" t="n"/>
      <c r="P43" s="304" t="n"/>
      <c r="Q43" s="304" t="n"/>
    </row>
    <row r="44" ht="13.8" customHeight="1" s="343">
      <c r="A44" s="388">
        <f>ROW()-22</f>
        <v/>
      </c>
      <c r="B44" s="536">
        <f>_xlfn.NORM.INV(RAND(),$B$6,$C$6)</f>
        <v/>
      </c>
      <c r="C44" s="536">
        <f>MIN(_xlfn.NORM.INV(RAND(),$B$7,$C$7),B44-0.005)</f>
        <v/>
      </c>
      <c r="D44" s="537">
        <f>_xlfn.NORM.INV(RAND(),$B$8,$C$8)</f>
        <v/>
      </c>
      <c r="E44" s="391">
        <f t="array" ref="E44">(SUMPRODUCT($B$13:$F$13*D44/(1+B44)^$B$14:$F$14)+($F$13*D44*(1+C44))/(B44-C44)/(1+B44)^$F$14-$B$15+$B$16)/$B$17</f>
        <v/>
      </c>
      <c r="F44" s="304" t="n"/>
      <c r="G44" s="304" t="n"/>
      <c r="H44" s="304" t="n"/>
      <c r="I44" s="304" t="n"/>
      <c r="J44" s="304" t="n"/>
      <c r="K44" s="304" t="n"/>
      <c r="L44" s="304" t="n"/>
      <c r="M44" s="304" t="n"/>
      <c r="N44" s="304" t="n"/>
      <c r="O44" s="304" t="n"/>
      <c r="P44" s="304" t="n"/>
      <c r="Q44" s="304" t="n"/>
    </row>
    <row r="45" ht="13.8" customHeight="1" s="343">
      <c r="A45" s="388">
        <f>ROW()-22</f>
        <v/>
      </c>
      <c r="B45" s="536">
        <f>_xlfn.NORM.INV(RAND(),$B$6,$C$6)</f>
        <v/>
      </c>
      <c r="C45" s="536">
        <f>MIN(_xlfn.NORM.INV(RAND(),$B$7,$C$7),B45-0.005)</f>
        <v/>
      </c>
      <c r="D45" s="537">
        <f>_xlfn.NORM.INV(RAND(),$B$8,$C$8)</f>
        <v/>
      </c>
      <c r="E45" s="391">
        <f t="array" ref="E45">(SUMPRODUCT($B$13:$F$13*D45/(1+B45)^$B$14:$F$14)+($F$13*D45*(1+C45))/(B45-C45)/(1+B45)^$F$14-$B$15+$B$16)/$B$17</f>
        <v/>
      </c>
      <c r="F45" s="304" t="n"/>
      <c r="G45" s="304" t="n"/>
      <c r="H45" s="304" t="n"/>
      <c r="I45" s="304" t="n"/>
      <c r="J45" s="304" t="n"/>
      <c r="K45" s="304" t="n"/>
      <c r="L45" s="304" t="n"/>
      <c r="M45" s="304" t="n"/>
      <c r="N45" s="304" t="n"/>
      <c r="O45" s="304" t="n"/>
      <c r="P45" s="304" t="n"/>
      <c r="Q45" s="304" t="n"/>
    </row>
    <row r="46" ht="13.8" customHeight="1" s="343">
      <c r="A46" s="388">
        <f>ROW()-22</f>
        <v/>
      </c>
      <c r="B46" s="536">
        <f>_xlfn.NORM.INV(RAND(),$B$6,$C$6)</f>
        <v/>
      </c>
      <c r="C46" s="536">
        <f>MIN(_xlfn.NORM.INV(RAND(),$B$7,$C$7),B46-0.005)</f>
        <v/>
      </c>
      <c r="D46" s="537">
        <f>_xlfn.NORM.INV(RAND(),$B$8,$C$8)</f>
        <v/>
      </c>
      <c r="E46" s="391">
        <f t="array" ref="E46">(SUMPRODUCT($B$13:$F$13*D46/(1+B46)^$B$14:$F$14)+($F$13*D46*(1+C46))/(B46-C46)/(1+B46)^$F$14-$B$15+$B$16)/$B$17</f>
        <v/>
      </c>
      <c r="F46" s="304" t="n"/>
      <c r="G46" s="304" t="n"/>
      <c r="H46" s="304" t="n"/>
      <c r="I46" s="304" t="n"/>
      <c r="J46" s="304" t="n"/>
      <c r="K46" s="304" t="n"/>
      <c r="L46" s="304" t="n"/>
      <c r="M46" s="304" t="n"/>
      <c r="N46" s="304" t="n"/>
      <c r="O46" s="304" t="n"/>
      <c r="P46" s="304" t="n"/>
      <c r="Q46" s="304" t="n"/>
    </row>
    <row r="47" ht="13.8" customHeight="1" s="343">
      <c r="A47" s="388">
        <f>ROW()-22</f>
        <v/>
      </c>
      <c r="B47" s="536">
        <f>_xlfn.NORM.INV(RAND(),$B$6,$C$6)</f>
        <v/>
      </c>
      <c r="C47" s="536">
        <f>MIN(_xlfn.NORM.INV(RAND(),$B$7,$C$7),B47-0.005)</f>
        <v/>
      </c>
      <c r="D47" s="537">
        <f>_xlfn.NORM.INV(RAND(),$B$8,$C$8)</f>
        <v/>
      </c>
      <c r="E47" s="391">
        <f t="array" ref="E47">(SUMPRODUCT($B$13:$F$13*D47/(1+B47)^$B$14:$F$14)+($F$13*D47*(1+C47))/(B47-C47)/(1+B47)^$F$14-$B$15+$B$16)/$B$17</f>
        <v/>
      </c>
      <c r="F47" s="304" t="n"/>
      <c r="G47" s="304" t="n"/>
      <c r="H47" s="304" t="n"/>
      <c r="I47" s="304" t="n"/>
      <c r="J47" s="304" t="n"/>
      <c r="K47" s="304" t="n"/>
      <c r="L47" s="304" t="n"/>
      <c r="M47" s="304" t="n"/>
      <c r="N47" s="304" t="n"/>
      <c r="O47" s="304" t="n"/>
      <c r="P47" s="304" t="n"/>
      <c r="Q47" s="304" t="n"/>
    </row>
    <row r="48" ht="13.8" customHeight="1" s="343">
      <c r="A48" s="388">
        <f>ROW()-22</f>
        <v/>
      </c>
      <c r="B48" s="536">
        <f>_xlfn.NORM.INV(RAND(),$B$6,$C$6)</f>
        <v/>
      </c>
      <c r="C48" s="536">
        <f>MIN(_xlfn.NORM.INV(RAND(),$B$7,$C$7),B48-0.005)</f>
        <v/>
      </c>
      <c r="D48" s="537">
        <f>_xlfn.NORM.INV(RAND(),$B$8,$C$8)</f>
        <v/>
      </c>
      <c r="E48" s="391">
        <f t="array" ref="E48">(SUMPRODUCT($B$13:$F$13*D48/(1+B48)^$B$14:$F$14)+($F$13*D48*(1+C48))/(B48-C48)/(1+B48)^$F$14-$B$15+$B$16)/$B$17</f>
        <v/>
      </c>
      <c r="F48" s="304" t="n"/>
      <c r="G48" s="304" t="n"/>
      <c r="H48" s="304" t="n"/>
      <c r="I48" s="304" t="n"/>
      <c r="J48" s="304" t="n"/>
      <c r="K48" s="304" t="n"/>
      <c r="L48" s="304" t="n"/>
      <c r="M48" s="304" t="n"/>
      <c r="N48" s="304" t="n"/>
      <c r="O48" s="304" t="n"/>
      <c r="P48" s="304" t="n"/>
      <c r="Q48" s="304" t="n"/>
    </row>
    <row r="49" ht="13.8" customHeight="1" s="343">
      <c r="A49" s="388">
        <f>ROW()-22</f>
        <v/>
      </c>
      <c r="B49" s="536">
        <f>_xlfn.NORM.INV(RAND(),$B$6,$C$6)</f>
        <v/>
      </c>
      <c r="C49" s="536">
        <f>MIN(_xlfn.NORM.INV(RAND(),$B$7,$C$7),B49-0.005)</f>
        <v/>
      </c>
      <c r="D49" s="537">
        <f>_xlfn.NORM.INV(RAND(),$B$8,$C$8)</f>
        <v/>
      </c>
      <c r="E49" s="391">
        <f t="array" ref="E49">(SUMPRODUCT($B$13:$F$13*D49/(1+B49)^$B$14:$F$14)+($F$13*D49*(1+C49))/(B49-C49)/(1+B49)^$F$14-$B$15+$B$16)/$B$17</f>
        <v/>
      </c>
      <c r="F49" s="304" t="n"/>
      <c r="G49" s="304" t="n"/>
      <c r="H49" s="304" t="n"/>
      <c r="I49" s="304" t="n"/>
      <c r="J49" s="304" t="n"/>
      <c r="K49" s="304" t="n"/>
      <c r="L49" s="304" t="n"/>
      <c r="M49" s="304" t="n"/>
      <c r="N49" s="304" t="n"/>
      <c r="O49" s="304" t="n"/>
      <c r="P49" s="304" t="n"/>
      <c r="Q49" s="304" t="n"/>
    </row>
    <row r="50" ht="13.8" customHeight="1" s="343">
      <c r="A50" s="388">
        <f>ROW()-22</f>
        <v/>
      </c>
      <c r="B50" s="536">
        <f>_xlfn.NORM.INV(RAND(),$B$6,$C$6)</f>
        <v/>
      </c>
      <c r="C50" s="536">
        <f>MIN(_xlfn.NORM.INV(RAND(),$B$7,$C$7),B50-0.005)</f>
        <v/>
      </c>
      <c r="D50" s="537">
        <f>_xlfn.NORM.INV(RAND(),$B$8,$C$8)</f>
        <v/>
      </c>
      <c r="E50" s="391">
        <f t="array" ref="E50">(SUMPRODUCT($B$13:$F$13*D50/(1+B50)^$B$14:$F$14)+($F$13*D50*(1+C50))/(B50-C50)/(1+B50)^$F$14-$B$15+$B$16)/$B$17</f>
        <v/>
      </c>
      <c r="F50" s="304" t="n"/>
      <c r="G50" s="304" t="n"/>
      <c r="H50" s="304" t="n"/>
      <c r="I50" s="304" t="n"/>
      <c r="J50" s="304" t="n"/>
      <c r="K50" s="304" t="n"/>
      <c r="L50" s="304" t="n"/>
      <c r="M50" s="304" t="n"/>
      <c r="N50" s="304" t="n"/>
      <c r="O50" s="304" t="n"/>
      <c r="P50" s="304" t="n"/>
      <c r="Q50" s="304" t="n"/>
    </row>
    <row r="51" ht="13.8" customHeight="1" s="343">
      <c r="A51" s="388">
        <f>ROW()-22</f>
        <v/>
      </c>
      <c r="B51" s="536">
        <f>_xlfn.NORM.INV(RAND(),$B$6,$C$6)</f>
        <v/>
      </c>
      <c r="C51" s="536">
        <f>MIN(_xlfn.NORM.INV(RAND(),$B$7,$C$7),B51-0.005)</f>
        <v/>
      </c>
      <c r="D51" s="537">
        <f>_xlfn.NORM.INV(RAND(),$B$8,$C$8)</f>
        <v/>
      </c>
      <c r="E51" s="391">
        <f t="array" ref="E51">(SUMPRODUCT($B$13:$F$13*D51/(1+B51)^$B$14:$F$14)+($F$13*D51*(1+C51))/(B51-C51)/(1+B51)^$F$14-$B$15+$B$16)/$B$17</f>
        <v/>
      </c>
      <c r="F51" s="304" t="n"/>
      <c r="G51" s="304" t="n"/>
      <c r="H51" s="304" t="n"/>
      <c r="I51" s="304" t="n"/>
      <c r="J51" s="304" t="n"/>
      <c r="K51" s="304" t="n"/>
      <c r="L51" s="304" t="n"/>
      <c r="M51" s="304" t="n"/>
      <c r="N51" s="304" t="n"/>
      <c r="O51" s="304" t="n"/>
      <c r="P51" s="304" t="n"/>
      <c r="Q51" s="304" t="n"/>
    </row>
    <row r="52" ht="13.8" customHeight="1" s="343">
      <c r="A52" s="388">
        <f>ROW()-22</f>
        <v/>
      </c>
      <c r="B52" s="536">
        <f>_xlfn.NORM.INV(RAND(),$B$6,$C$6)</f>
        <v/>
      </c>
      <c r="C52" s="536">
        <f>MIN(_xlfn.NORM.INV(RAND(),$B$7,$C$7),B52-0.005)</f>
        <v/>
      </c>
      <c r="D52" s="537">
        <f>_xlfn.NORM.INV(RAND(),$B$8,$C$8)</f>
        <v/>
      </c>
      <c r="E52" s="391">
        <f t="array" ref="E52">(SUMPRODUCT($B$13:$F$13*D52/(1+B52)^$B$14:$F$14)+($F$13*D52*(1+C52))/(B52-C52)/(1+B52)^$F$14-$B$15+$B$16)/$B$17</f>
        <v/>
      </c>
      <c r="F52" s="304" t="n"/>
      <c r="G52" s="304" t="n"/>
      <c r="H52" s="304" t="n"/>
      <c r="I52" s="304" t="n"/>
      <c r="J52" s="304" t="n"/>
      <c r="K52" s="304" t="n"/>
      <c r="L52" s="304" t="n"/>
      <c r="M52" s="304" t="n"/>
      <c r="N52" s="304" t="n"/>
      <c r="O52" s="304" t="n"/>
      <c r="P52" s="304" t="n"/>
      <c r="Q52" s="304" t="n"/>
    </row>
    <row r="53" ht="13.8" customHeight="1" s="343">
      <c r="A53" s="388">
        <f>ROW()-22</f>
        <v/>
      </c>
      <c r="B53" s="536">
        <f>_xlfn.NORM.INV(RAND(),$B$6,$C$6)</f>
        <v/>
      </c>
      <c r="C53" s="536">
        <f>MIN(_xlfn.NORM.INV(RAND(),$B$7,$C$7),B53-0.005)</f>
        <v/>
      </c>
      <c r="D53" s="537">
        <f>_xlfn.NORM.INV(RAND(),$B$8,$C$8)</f>
        <v/>
      </c>
      <c r="E53" s="391">
        <f t="array" ref="E53">(SUMPRODUCT($B$13:$F$13*D53/(1+B53)^$B$14:$F$14)+($F$13*D53*(1+C53))/(B53-C53)/(1+B53)^$F$14-$B$15+$B$16)/$B$17</f>
        <v/>
      </c>
      <c r="F53" s="304" t="n"/>
      <c r="G53" s="304" t="n"/>
      <c r="H53" s="304" t="n"/>
      <c r="I53" s="304" t="n"/>
      <c r="J53" s="304" t="n"/>
      <c r="K53" s="304" t="n"/>
      <c r="L53" s="304" t="n"/>
      <c r="M53" s="304" t="n"/>
      <c r="N53" s="304" t="n"/>
      <c r="O53" s="304" t="n"/>
      <c r="P53" s="304" t="n"/>
      <c r="Q53" s="304" t="n"/>
    </row>
    <row r="54" ht="13.8" customHeight="1" s="343">
      <c r="A54" s="388">
        <f>ROW()-22</f>
        <v/>
      </c>
      <c r="B54" s="536">
        <f>_xlfn.NORM.INV(RAND(),$B$6,$C$6)</f>
        <v/>
      </c>
      <c r="C54" s="536">
        <f>MIN(_xlfn.NORM.INV(RAND(),$B$7,$C$7),B54-0.005)</f>
        <v/>
      </c>
      <c r="D54" s="537">
        <f>_xlfn.NORM.INV(RAND(),$B$8,$C$8)</f>
        <v/>
      </c>
      <c r="E54" s="391">
        <f t="array" ref="E54">(SUMPRODUCT($B$13:$F$13*D54/(1+B54)^$B$14:$F$14)+($F$13*D54*(1+C54))/(B54-C54)/(1+B54)^$F$14-$B$15+$B$16)/$B$17</f>
        <v/>
      </c>
      <c r="F54" s="304" t="n"/>
      <c r="G54" s="304" t="n"/>
      <c r="H54" s="304" t="n"/>
      <c r="I54" s="304" t="n"/>
      <c r="J54" s="304" t="n"/>
      <c r="K54" s="304" t="n"/>
      <c r="L54" s="304" t="n"/>
      <c r="M54" s="304" t="n"/>
      <c r="N54" s="304" t="n"/>
      <c r="O54" s="304" t="n"/>
      <c r="P54" s="304" t="n"/>
      <c r="Q54" s="304" t="n"/>
    </row>
    <row r="55" ht="13.8" customHeight="1" s="343">
      <c r="A55" s="388">
        <f>ROW()-22</f>
        <v/>
      </c>
      <c r="B55" s="536">
        <f>_xlfn.NORM.INV(RAND(),$B$6,$C$6)</f>
        <v/>
      </c>
      <c r="C55" s="536">
        <f>MIN(_xlfn.NORM.INV(RAND(),$B$7,$C$7),B55-0.005)</f>
        <v/>
      </c>
      <c r="D55" s="537">
        <f>_xlfn.NORM.INV(RAND(),$B$8,$C$8)</f>
        <v/>
      </c>
      <c r="E55" s="391">
        <f t="array" ref="E55">(SUMPRODUCT($B$13:$F$13*D55/(1+B55)^$B$14:$F$14)+($F$13*D55*(1+C55))/(B55-C55)/(1+B55)^$F$14-$B$15+$B$16)/$B$17</f>
        <v/>
      </c>
      <c r="F55" s="304" t="n"/>
      <c r="G55" s="304" t="n"/>
      <c r="H55" s="304" t="n"/>
      <c r="I55" s="304" t="n"/>
      <c r="J55" s="304" t="n"/>
      <c r="K55" s="304" t="n"/>
      <c r="L55" s="304" t="n"/>
      <c r="M55" s="304" t="n"/>
      <c r="N55" s="304" t="n"/>
      <c r="O55" s="304" t="n"/>
      <c r="P55" s="304" t="n"/>
      <c r="Q55" s="304" t="n"/>
    </row>
    <row r="56" ht="13.8" customHeight="1" s="343">
      <c r="A56" s="388">
        <f>ROW()-22</f>
        <v/>
      </c>
      <c r="B56" s="536">
        <f>_xlfn.NORM.INV(RAND(),$B$6,$C$6)</f>
        <v/>
      </c>
      <c r="C56" s="536">
        <f>MIN(_xlfn.NORM.INV(RAND(),$B$7,$C$7),B56-0.005)</f>
        <v/>
      </c>
      <c r="D56" s="537">
        <f>_xlfn.NORM.INV(RAND(),$B$8,$C$8)</f>
        <v/>
      </c>
      <c r="E56" s="391">
        <f t="array" ref="E56">(SUMPRODUCT($B$13:$F$13*D56/(1+B56)^$B$14:$F$14)+($F$13*D56*(1+C56))/(B56-C56)/(1+B56)^$F$14-$B$15+$B$16)/$B$17</f>
        <v/>
      </c>
      <c r="F56" s="304" t="n"/>
      <c r="G56" s="304" t="n"/>
      <c r="H56" s="304" t="n"/>
      <c r="I56" s="304" t="n"/>
      <c r="J56" s="304" t="n"/>
      <c r="K56" s="304" t="n"/>
      <c r="L56" s="304" t="n"/>
      <c r="M56" s="304" t="n"/>
      <c r="N56" s="304" t="n"/>
      <c r="O56" s="304" t="n"/>
      <c r="P56" s="304" t="n"/>
      <c r="Q56" s="304" t="n"/>
    </row>
    <row r="57" ht="13.8" customHeight="1" s="343">
      <c r="A57" s="388">
        <f>ROW()-22</f>
        <v/>
      </c>
      <c r="B57" s="536">
        <f>_xlfn.NORM.INV(RAND(),$B$6,$C$6)</f>
        <v/>
      </c>
      <c r="C57" s="536">
        <f>MIN(_xlfn.NORM.INV(RAND(),$B$7,$C$7),B57-0.005)</f>
        <v/>
      </c>
      <c r="D57" s="537">
        <f>_xlfn.NORM.INV(RAND(),$B$8,$C$8)</f>
        <v/>
      </c>
      <c r="E57" s="391">
        <f t="array" ref="E57">(SUMPRODUCT($B$13:$F$13*D57/(1+B57)^$B$14:$F$14)+($F$13*D57*(1+C57))/(B57-C57)/(1+B57)^$F$14-$B$15+$B$16)/$B$17</f>
        <v/>
      </c>
      <c r="F57" s="304" t="n"/>
      <c r="G57" s="304" t="n"/>
      <c r="H57" s="304" t="n"/>
      <c r="I57" s="304" t="n"/>
      <c r="J57" s="304" t="n"/>
      <c r="K57" s="304" t="n"/>
      <c r="L57" s="304" t="n"/>
      <c r="M57" s="304" t="n"/>
      <c r="N57" s="304" t="n"/>
      <c r="O57" s="304" t="n"/>
      <c r="P57" s="304" t="n"/>
      <c r="Q57" s="304" t="n"/>
    </row>
    <row r="58" ht="13.8" customHeight="1" s="343">
      <c r="A58" s="388">
        <f>ROW()-22</f>
        <v/>
      </c>
      <c r="B58" s="536">
        <f>_xlfn.NORM.INV(RAND(),$B$6,$C$6)</f>
        <v/>
      </c>
      <c r="C58" s="536">
        <f>MIN(_xlfn.NORM.INV(RAND(),$B$7,$C$7),B58-0.005)</f>
        <v/>
      </c>
      <c r="D58" s="537">
        <f>_xlfn.NORM.INV(RAND(),$B$8,$C$8)</f>
        <v/>
      </c>
      <c r="E58" s="391">
        <f t="array" ref="E58">(SUMPRODUCT($B$13:$F$13*D58/(1+B58)^$B$14:$F$14)+($F$13*D58*(1+C58))/(B58-C58)/(1+B58)^$F$14-$B$15+$B$16)/$B$17</f>
        <v/>
      </c>
      <c r="F58" s="304" t="n"/>
      <c r="G58" s="304" t="n"/>
      <c r="H58" s="304" t="n"/>
      <c r="I58" s="304" t="n"/>
      <c r="J58" s="304" t="n"/>
      <c r="K58" s="304" t="n"/>
      <c r="L58" s="304" t="n"/>
      <c r="M58" s="304" t="n"/>
      <c r="N58" s="304" t="n"/>
      <c r="O58" s="304" t="n"/>
      <c r="P58" s="304" t="n"/>
      <c r="Q58" s="304" t="n"/>
    </row>
    <row r="59" ht="13.8" customHeight="1" s="343">
      <c r="A59" s="388">
        <f>ROW()-22</f>
        <v/>
      </c>
      <c r="B59" s="536">
        <f>_xlfn.NORM.INV(RAND(),$B$6,$C$6)</f>
        <v/>
      </c>
      <c r="C59" s="536">
        <f>MIN(_xlfn.NORM.INV(RAND(),$B$7,$C$7),B59-0.005)</f>
        <v/>
      </c>
      <c r="D59" s="537">
        <f>_xlfn.NORM.INV(RAND(),$B$8,$C$8)</f>
        <v/>
      </c>
      <c r="E59" s="391">
        <f t="array" ref="E59">(SUMPRODUCT($B$13:$F$13*D59/(1+B59)^$B$14:$F$14)+($F$13*D59*(1+C59))/(B59-C59)/(1+B59)^$F$14-$B$15+$B$16)/$B$17</f>
        <v/>
      </c>
      <c r="F59" s="304" t="n"/>
      <c r="G59" s="304" t="n"/>
      <c r="H59" s="304" t="n"/>
      <c r="I59" s="304" t="n"/>
      <c r="J59" s="304" t="n"/>
      <c r="K59" s="304" t="n"/>
      <c r="L59" s="304" t="n"/>
      <c r="M59" s="304" t="n"/>
      <c r="N59" s="304" t="n"/>
      <c r="O59" s="304" t="n"/>
      <c r="P59" s="304" t="n"/>
      <c r="Q59" s="304" t="n"/>
    </row>
    <row r="60" ht="13.8" customHeight="1" s="343">
      <c r="A60" s="388">
        <f>ROW()-22</f>
        <v/>
      </c>
      <c r="B60" s="536">
        <f>_xlfn.NORM.INV(RAND(),$B$6,$C$6)</f>
        <v/>
      </c>
      <c r="C60" s="536">
        <f>MIN(_xlfn.NORM.INV(RAND(),$B$7,$C$7),B60-0.005)</f>
        <v/>
      </c>
      <c r="D60" s="537">
        <f>_xlfn.NORM.INV(RAND(),$B$8,$C$8)</f>
        <v/>
      </c>
      <c r="E60" s="391">
        <f t="array" ref="E60">(SUMPRODUCT($B$13:$F$13*D60/(1+B60)^$B$14:$F$14)+($F$13*D60*(1+C60))/(B60-C60)/(1+B60)^$F$14-$B$15+$B$16)/$B$17</f>
        <v/>
      </c>
      <c r="F60" s="304" t="n"/>
      <c r="G60" s="304" t="n"/>
      <c r="H60" s="304" t="n"/>
      <c r="I60" s="304" t="n"/>
      <c r="J60" s="304" t="n"/>
      <c r="K60" s="304" t="n"/>
      <c r="L60" s="304" t="n"/>
      <c r="M60" s="304" t="n"/>
      <c r="N60" s="304" t="n"/>
      <c r="O60" s="304" t="n"/>
      <c r="P60" s="304" t="n"/>
      <c r="Q60" s="304" t="n"/>
    </row>
    <row r="61" ht="13.8" customHeight="1" s="343">
      <c r="A61" s="388">
        <f>ROW()-22</f>
        <v/>
      </c>
      <c r="B61" s="536">
        <f>_xlfn.NORM.INV(RAND(),$B$6,$C$6)</f>
        <v/>
      </c>
      <c r="C61" s="536">
        <f>MIN(_xlfn.NORM.INV(RAND(),$B$7,$C$7),B61-0.005)</f>
        <v/>
      </c>
      <c r="D61" s="537">
        <f>_xlfn.NORM.INV(RAND(),$B$8,$C$8)</f>
        <v/>
      </c>
      <c r="E61" s="391">
        <f t="array" ref="E61">(SUMPRODUCT($B$13:$F$13*D61/(1+B61)^$B$14:$F$14)+($F$13*D61*(1+C61))/(B61-C61)/(1+B61)^$F$14-$B$15+$B$16)/$B$17</f>
        <v/>
      </c>
      <c r="F61" s="304" t="n"/>
      <c r="G61" s="304" t="n"/>
      <c r="H61" s="304" t="n"/>
      <c r="I61" s="304" t="n"/>
      <c r="J61" s="304" t="n"/>
      <c r="K61" s="304" t="n"/>
      <c r="L61" s="304" t="n"/>
      <c r="M61" s="304" t="n"/>
      <c r="N61" s="304" t="n"/>
      <c r="O61" s="304" t="n"/>
      <c r="P61" s="304" t="n"/>
      <c r="Q61" s="304" t="n"/>
    </row>
    <row r="62" ht="13.8" customHeight="1" s="343">
      <c r="A62" s="388">
        <f>ROW()-22</f>
        <v/>
      </c>
      <c r="B62" s="536">
        <f>_xlfn.NORM.INV(RAND(),$B$6,$C$6)</f>
        <v/>
      </c>
      <c r="C62" s="536">
        <f>MIN(_xlfn.NORM.INV(RAND(),$B$7,$C$7),B62-0.005)</f>
        <v/>
      </c>
      <c r="D62" s="537">
        <f>_xlfn.NORM.INV(RAND(),$B$8,$C$8)</f>
        <v/>
      </c>
      <c r="E62" s="391">
        <f t="array" ref="E62">(SUMPRODUCT($B$13:$F$13*D62/(1+B62)^$B$14:$F$14)+($F$13*D62*(1+C62))/(B62-C62)/(1+B62)^$F$14-$B$15+$B$16)/$B$17</f>
        <v/>
      </c>
      <c r="F62" s="304" t="n"/>
      <c r="G62" s="304" t="n"/>
      <c r="H62" s="304" t="n"/>
      <c r="I62" s="304" t="n"/>
      <c r="J62" s="304" t="n"/>
      <c r="K62" s="304" t="n"/>
      <c r="L62" s="304" t="n"/>
      <c r="M62" s="304" t="n"/>
      <c r="N62" s="304" t="n"/>
      <c r="O62" s="304" t="n"/>
      <c r="P62" s="304" t="n"/>
      <c r="Q62" s="304" t="n"/>
    </row>
    <row r="63" ht="13.8" customHeight="1" s="343">
      <c r="A63" s="388">
        <f>ROW()-22</f>
        <v/>
      </c>
      <c r="B63" s="536">
        <f>_xlfn.NORM.INV(RAND(),$B$6,$C$6)</f>
        <v/>
      </c>
      <c r="C63" s="536">
        <f>MIN(_xlfn.NORM.INV(RAND(),$B$7,$C$7),B63-0.005)</f>
        <v/>
      </c>
      <c r="D63" s="537">
        <f>_xlfn.NORM.INV(RAND(),$B$8,$C$8)</f>
        <v/>
      </c>
      <c r="E63" s="391">
        <f t="array" ref="E63">(SUMPRODUCT($B$13:$F$13*D63/(1+B63)^$B$14:$F$14)+($F$13*D63*(1+C63))/(B63-C63)/(1+B63)^$F$14-$B$15+$B$16)/$B$17</f>
        <v/>
      </c>
      <c r="F63" s="304" t="n"/>
      <c r="G63" s="304" t="n"/>
      <c r="H63" s="304" t="n"/>
      <c r="I63" s="304" t="n"/>
      <c r="J63" s="304" t="n"/>
      <c r="K63" s="304" t="n"/>
      <c r="L63" s="304" t="n"/>
      <c r="M63" s="304" t="n"/>
      <c r="N63" s="304" t="n"/>
      <c r="O63" s="304" t="n"/>
      <c r="P63" s="304" t="n"/>
      <c r="Q63" s="304" t="n"/>
    </row>
    <row r="64" ht="13.8" customHeight="1" s="343">
      <c r="A64" s="388">
        <f>ROW()-22</f>
        <v/>
      </c>
      <c r="B64" s="536">
        <f>_xlfn.NORM.INV(RAND(),$B$6,$C$6)</f>
        <v/>
      </c>
      <c r="C64" s="536">
        <f>MIN(_xlfn.NORM.INV(RAND(),$B$7,$C$7),B64-0.005)</f>
        <v/>
      </c>
      <c r="D64" s="537">
        <f>_xlfn.NORM.INV(RAND(),$B$8,$C$8)</f>
        <v/>
      </c>
      <c r="E64" s="391">
        <f t="array" ref="E64">(SUMPRODUCT($B$13:$F$13*D64/(1+B64)^$B$14:$F$14)+($F$13*D64*(1+C64))/(B64-C64)/(1+B64)^$F$14-$B$15+$B$16)/$B$17</f>
        <v/>
      </c>
      <c r="F64" s="304" t="n"/>
      <c r="G64" s="304" t="n"/>
      <c r="H64" s="304" t="n"/>
      <c r="I64" s="304" t="n"/>
      <c r="J64" s="304" t="n"/>
      <c r="K64" s="304" t="n"/>
      <c r="L64" s="304" t="n"/>
      <c r="M64" s="304" t="n"/>
      <c r="N64" s="304" t="n"/>
      <c r="O64" s="304" t="n"/>
      <c r="P64" s="304" t="n"/>
      <c r="Q64" s="304" t="n"/>
    </row>
    <row r="65" ht="13.8" customHeight="1" s="343">
      <c r="A65" s="388">
        <f>ROW()-22</f>
        <v/>
      </c>
      <c r="B65" s="536">
        <f>_xlfn.NORM.INV(RAND(),$B$6,$C$6)</f>
        <v/>
      </c>
      <c r="C65" s="536">
        <f>MIN(_xlfn.NORM.INV(RAND(),$B$7,$C$7),B65-0.005)</f>
        <v/>
      </c>
      <c r="D65" s="537">
        <f>_xlfn.NORM.INV(RAND(),$B$8,$C$8)</f>
        <v/>
      </c>
      <c r="E65" s="391">
        <f t="array" ref="E65">(SUMPRODUCT($B$13:$F$13*D65/(1+B65)^$B$14:$F$14)+($F$13*D65*(1+C65))/(B65-C65)/(1+B65)^$F$14-$B$15+$B$16)/$B$17</f>
        <v/>
      </c>
      <c r="F65" s="304" t="n"/>
      <c r="G65" s="304" t="n"/>
      <c r="H65" s="304" t="n"/>
      <c r="I65" s="304" t="n"/>
      <c r="J65" s="304" t="n"/>
      <c r="K65" s="304" t="n"/>
      <c r="L65" s="304" t="n"/>
      <c r="M65" s="304" t="n"/>
      <c r="N65" s="304" t="n"/>
      <c r="O65" s="304" t="n"/>
      <c r="P65" s="304" t="n"/>
      <c r="Q65" s="304" t="n"/>
    </row>
    <row r="66" ht="13.8" customHeight="1" s="343">
      <c r="A66" s="388">
        <f>ROW()-22</f>
        <v/>
      </c>
      <c r="B66" s="536">
        <f>_xlfn.NORM.INV(RAND(),$B$6,$C$6)</f>
        <v/>
      </c>
      <c r="C66" s="536">
        <f>MIN(_xlfn.NORM.INV(RAND(),$B$7,$C$7),B66-0.005)</f>
        <v/>
      </c>
      <c r="D66" s="537">
        <f>_xlfn.NORM.INV(RAND(),$B$8,$C$8)</f>
        <v/>
      </c>
      <c r="E66" s="391">
        <f t="array" ref="E66">(SUMPRODUCT($B$13:$F$13*D66/(1+B66)^$B$14:$F$14)+($F$13*D66*(1+C66))/(B66-C66)/(1+B66)^$F$14-$B$15+$B$16)/$B$17</f>
        <v/>
      </c>
      <c r="F66" s="304" t="n"/>
      <c r="G66" s="304" t="n"/>
      <c r="H66" s="304" t="n"/>
      <c r="I66" s="304" t="n"/>
      <c r="J66" s="304" t="n"/>
      <c r="K66" s="304" t="n"/>
      <c r="L66" s="304" t="n"/>
      <c r="M66" s="304" t="n"/>
      <c r="N66" s="304" t="n"/>
      <c r="O66" s="304" t="n"/>
      <c r="P66" s="304" t="n"/>
      <c r="Q66" s="304" t="n"/>
    </row>
    <row r="67" ht="13.8" customHeight="1" s="343">
      <c r="A67" s="388">
        <f>ROW()-22</f>
        <v/>
      </c>
      <c r="B67" s="536">
        <f>_xlfn.NORM.INV(RAND(),$B$6,$C$6)</f>
        <v/>
      </c>
      <c r="C67" s="536">
        <f>MIN(_xlfn.NORM.INV(RAND(),$B$7,$C$7),B67-0.005)</f>
        <v/>
      </c>
      <c r="D67" s="537">
        <f>_xlfn.NORM.INV(RAND(),$B$8,$C$8)</f>
        <v/>
      </c>
      <c r="E67" s="391">
        <f t="array" ref="E67">(SUMPRODUCT($B$13:$F$13*D67/(1+B67)^$B$14:$F$14)+($F$13*D67*(1+C67))/(B67-C67)/(1+B67)^$F$14-$B$15+$B$16)/$B$17</f>
        <v/>
      </c>
      <c r="F67" s="304" t="n"/>
      <c r="G67" s="304" t="n"/>
      <c r="H67" s="304" t="n"/>
      <c r="I67" s="304" t="n"/>
      <c r="J67" s="304" t="n"/>
      <c r="K67" s="304" t="n"/>
      <c r="L67" s="304" t="n"/>
      <c r="M67" s="304" t="n"/>
      <c r="N67" s="304" t="n"/>
      <c r="O67" s="304" t="n"/>
      <c r="P67" s="304" t="n"/>
      <c r="Q67" s="304" t="n"/>
    </row>
    <row r="68" ht="13.8" customHeight="1" s="343">
      <c r="A68" s="388">
        <f>ROW()-22</f>
        <v/>
      </c>
      <c r="B68" s="536">
        <f>_xlfn.NORM.INV(RAND(),$B$6,$C$6)</f>
        <v/>
      </c>
      <c r="C68" s="536">
        <f>MIN(_xlfn.NORM.INV(RAND(),$B$7,$C$7),B68-0.005)</f>
        <v/>
      </c>
      <c r="D68" s="537">
        <f>_xlfn.NORM.INV(RAND(),$B$8,$C$8)</f>
        <v/>
      </c>
      <c r="E68" s="391">
        <f t="array" ref="E68">(SUMPRODUCT($B$13:$F$13*D68/(1+B68)^$B$14:$F$14)+($F$13*D68*(1+C68))/(B68-C68)/(1+B68)^$F$14-$B$15+$B$16)/$B$17</f>
        <v/>
      </c>
      <c r="F68" s="304" t="n"/>
      <c r="G68" s="304" t="n"/>
      <c r="H68" s="304" t="n"/>
      <c r="I68" s="304" t="n"/>
      <c r="J68" s="304" t="n"/>
      <c r="K68" s="304" t="n"/>
      <c r="L68" s="304" t="n"/>
      <c r="M68" s="304" t="n"/>
      <c r="N68" s="304" t="n"/>
      <c r="O68" s="304" t="n"/>
      <c r="P68" s="304" t="n"/>
      <c r="Q68" s="304" t="n"/>
    </row>
    <row r="69" ht="13.8" customHeight="1" s="343">
      <c r="A69" s="388">
        <f>ROW()-22</f>
        <v/>
      </c>
      <c r="B69" s="536">
        <f>_xlfn.NORM.INV(RAND(),$B$6,$C$6)</f>
        <v/>
      </c>
      <c r="C69" s="536">
        <f>MIN(_xlfn.NORM.INV(RAND(),$B$7,$C$7),B69-0.005)</f>
        <v/>
      </c>
      <c r="D69" s="537">
        <f>_xlfn.NORM.INV(RAND(),$B$8,$C$8)</f>
        <v/>
      </c>
      <c r="E69" s="391">
        <f t="array" ref="E69">(SUMPRODUCT($B$13:$F$13*D69/(1+B69)^$B$14:$F$14)+($F$13*D69*(1+C69))/(B69-C69)/(1+B69)^$F$14-$B$15+$B$16)/$B$17</f>
        <v/>
      </c>
      <c r="F69" s="304" t="n"/>
      <c r="G69" s="304" t="n"/>
      <c r="H69" s="304" t="n"/>
      <c r="I69" s="304" t="n"/>
      <c r="J69" s="304" t="n"/>
      <c r="K69" s="304" t="n"/>
      <c r="L69" s="304" t="n"/>
      <c r="M69" s="304" t="n"/>
      <c r="N69" s="304" t="n"/>
      <c r="O69" s="304" t="n"/>
      <c r="P69" s="304" t="n"/>
      <c r="Q69" s="304" t="n"/>
    </row>
    <row r="70" ht="13.8" customHeight="1" s="343">
      <c r="A70" s="388">
        <f>ROW()-22</f>
        <v/>
      </c>
      <c r="B70" s="536">
        <f>_xlfn.NORM.INV(RAND(),$B$6,$C$6)</f>
        <v/>
      </c>
      <c r="C70" s="536">
        <f>MIN(_xlfn.NORM.INV(RAND(),$B$7,$C$7),B70-0.005)</f>
        <v/>
      </c>
      <c r="D70" s="537">
        <f>_xlfn.NORM.INV(RAND(),$B$8,$C$8)</f>
        <v/>
      </c>
      <c r="E70" s="391">
        <f t="array" ref="E70">(SUMPRODUCT($B$13:$F$13*D70/(1+B70)^$B$14:$F$14)+($F$13*D70*(1+C70))/(B70-C70)/(1+B70)^$F$14-$B$15+$B$16)/$B$17</f>
        <v/>
      </c>
      <c r="F70" s="304" t="n"/>
      <c r="G70" s="304" t="n"/>
      <c r="H70" s="304" t="n"/>
      <c r="I70" s="304" t="n"/>
      <c r="J70" s="304" t="n"/>
      <c r="K70" s="304" t="n"/>
      <c r="L70" s="304" t="n"/>
      <c r="M70" s="304" t="n"/>
      <c r="N70" s="304" t="n"/>
      <c r="O70" s="304" t="n"/>
      <c r="P70" s="304" t="n"/>
      <c r="Q70" s="304" t="n"/>
    </row>
    <row r="71" ht="13.8" customHeight="1" s="343">
      <c r="A71" s="388">
        <f>ROW()-22</f>
        <v/>
      </c>
      <c r="B71" s="536">
        <f>_xlfn.NORM.INV(RAND(),$B$6,$C$6)</f>
        <v/>
      </c>
      <c r="C71" s="536">
        <f>MIN(_xlfn.NORM.INV(RAND(),$B$7,$C$7),B71-0.005)</f>
        <v/>
      </c>
      <c r="D71" s="537">
        <f>_xlfn.NORM.INV(RAND(),$B$8,$C$8)</f>
        <v/>
      </c>
      <c r="E71" s="391">
        <f t="array" ref="E71">(SUMPRODUCT($B$13:$F$13*D71/(1+B71)^$B$14:$F$14)+($F$13*D71*(1+C71))/(B71-C71)/(1+B71)^$F$14-$B$15+$B$16)/$B$17</f>
        <v/>
      </c>
      <c r="F71" s="304" t="n"/>
      <c r="G71" s="304" t="n"/>
      <c r="H71" s="304" t="n"/>
      <c r="I71" s="304" t="n"/>
      <c r="J71" s="304" t="n"/>
      <c r="K71" s="304" t="n"/>
      <c r="L71" s="304" t="n"/>
      <c r="M71" s="304" t="n"/>
      <c r="N71" s="304" t="n"/>
      <c r="O71" s="304" t="n"/>
      <c r="P71" s="304" t="n"/>
      <c r="Q71" s="304" t="n"/>
    </row>
    <row r="72" ht="13.8" customHeight="1" s="343">
      <c r="A72" s="388">
        <f>ROW()-22</f>
        <v/>
      </c>
      <c r="B72" s="536">
        <f>_xlfn.NORM.INV(RAND(),$B$6,$C$6)</f>
        <v/>
      </c>
      <c r="C72" s="536">
        <f>MIN(_xlfn.NORM.INV(RAND(),$B$7,$C$7),B72-0.005)</f>
        <v/>
      </c>
      <c r="D72" s="537">
        <f>_xlfn.NORM.INV(RAND(),$B$8,$C$8)</f>
        <v/>
      </c>
      <c r="E72" s="391">
        <f t="array" ref="E72">(SUMPRODUCT($B$13:$F$13*D72/(1+B72)^$B$14:$F$14)+($F$13*D72*(1+C72))/(B72-C72)/(1+B72)^$F$14-$B$15+$B$16)/$B$17</f>
        <v/>
      </c>
      <c r="F72" s="304" t="n"/>
      <c r="G72" s="304" t="n"/>
      <c r="H72" s="304" t="n"/>
      <c r="I72" s="304" t="n"/>
      <c r="J72" s="304" t="n"/>
      <c r="K72" s="304" t="n"/>
      <c r="L72" s="304" t="n"/>
      <c r="M72" s="304" t="n"/>
      <c r="N72" s="304" t="n"/>
      <c r="O72" s="304" t="n"/>
      <c r="P72" s="304" t="n"/>
      <c r="Q72" s="304" t="n"/>
    </row>
    <row r="73" ht="13.8" customHeight="1" s="343">
      <c r="A73" s="388">
        <f>ROW()-22</f>
        <v/>
      </c>
      <c r="B73" s="536">
        <f>_xlfn.NORM.INV(RAND(),$B$6,$C$6)</f>
        <v/>
      </c>
      <c r="C73" s="536">
        <f>MIN(_xlfn.NORM.INV(RAND(),$B$7,$C$7),B73-0.005)</f>
        <v/>
      </c>
      <c r="D73" s="537">
        <f>_xlfn.NORM.INV(RAND(),$B$8,$C$8)</f>
        <v/>
      </c>
      <c r="E73" s="391">
        <f t="array" ref="E73">(SUMPRODUCT($B$13:$F$13*D73/(1+B73)^$B$14:$F$14)+($F$13*D73*(1+C73))/(B73-C73)/(1+B73)^$F$14-$B$15+$B$16)/$B$17</f>
        <v/>
      </c>
      <c r="F73" s="304" t="n"/>
      <c r="G73" s="304" t="n"/>
      <c r="H73" s="304" t="n"/>
      <c r="I73" s="304" t="n"/>
      <c r="J73" s="304" t="n"/>
      <c r="K73" s="304" t="n"/>
      <c r="L73" s="304" t="n"/>
      <c r="M73" s="304" t="n"/>
      <c r="N73" s="304" t="n"/>
      <c r="O73" s="304" t="n"/>
      <c r="P73" s="304" t="n"/>
      <c r="Q73" s="304" t="n"/>
    </row>
    <row r="74" ht="13.8" customHeight="1" s="343">
      <c r="A74" s="388">
        <f>ROW()-22</f>
        <v/>
      </c>
      <c r="B74" s="536">
        <f>_xlfn.NORM.INV(RAND(),$B$6,$C$6)</f>
        <v/>
      </c>
      <c r="C74" s="536">
        <f>MIN(_xlfn.NORM.INV(RAND(),$B$7,$C$7),B74-0.005)</f>
        <v/>
      </c>
      <c r="D74" s="537">
        <f>_xlfn.NORM.INV(RAND(),$B$8,$C$8)</f>
        <v/>
      </c>
      <c r="E74" s="391">
        <f t="array" ref="E74">(SUMPRODUCT($B$13:$F$13*D74/(1+B74)^$B$14:$F$14)+($F$13*D74*(1+C74))/(B74-C74)/(1+B74)^$F$14-$B$15+$B$16)/$B$17</f>
        <v/>
      </c>
      <c r="F74" s="304" t="n"/>
      <c r="G74" s="304" t="n"/>
      <c r="H74" s="304" t="n"/>
      <c r="I74" s="304" t="n"/>
      <c r="J74" s="304" t="n"/>
      <c r="K74" s="304" t="n"/>
      <c r="L74" s="304" t="n"/>
      <c r="M74" s="304" t="n"/>
      <c r="N74" s="304" t="n"/>
      <c r="O74" s="304" t="n"/>
      <c r="P74" s="304" t="n"/>
      <c r="Q74" s="304" t="n"/>
    </row>
    <row r="75" ht="13.8" customHeight="1" s="343">
      <c r="A75" s="388">
        <f>ROW()-22</f>
        <v/>
      </c>
      <c r="B75" s="536">
        <f>_xlfn.NORM.INV(RAND(),$B$6,$C$6)</f>
        <v/>
      </c>
      <c r="C75" s="536">
        <f>MIN(_xlfn.NORM.INV(RAND(),$B$7,$C$7),B75-0.005)</f>
        <v/>
      </c>
      <c r="D75" s="537">
        <f>_xlfn.NORM.INV(RAND(),$B$8,$C$8)</f>
        <v/>
      </c>
      <c r="E75" s="391">
        <f t="array" ref="E75">(SUMPRODUCT($B$13:$F$13*D75/(1+B75)^$B$14:$F$14)+($F$13*D75*(1+C75))/(B75-C75)/(1+B75)^$F$14-$B$15+$B$16)/$B$17</f>
        <v/>
      </c>
      <c r="F75" s="304" t="n"/>
      <c r="G75" s="304" t="n"/>
      <c r="H75" s="304" t="n"/>
      <c r="I75" s="304" t="n"/>
      <c r="J75" s="304" t="n"/>
      <c r="K75" s="304" t="n"/>
      <c r="L75" s="304" t="n"/>
      <c r="M75" s="304" t="n"/>
      <c r="N75" s="304" t="n"/>
      <c r="O75" s="304" t="n"/>
      <c r="P75" s="304" t="n"/>
      <c r="Q75" s="304" t="n"/>
    </row>
    <row r="76" ht="13.8" customHeight="1" s="343">
      <c r="A76" s="388">
        <f>ROW()-22</f>
        <v/>
      </c>
      <c r="B76" s="536">
        <f>_xlfn.NORM.INV(RAND(),$B$6,$C$6)</f>
        <v/>
      </c>
      <c r="C76" s="536">
        <f>MIN(_xlfn.NORM.INV(RAND(),$B$7,$C$7),B76-0.005)</f>
        <v/>
      </c>
      <c r="D76" s="537">
        <f>_xlfn.NORM.INV(RAND(),$B$8,$C$8)</f>
        <v/>
      </c>
      <c r="E76" s="391">
        <f t="array" ref="E76">(SUMPRODUCT($B$13:$F$13*D76/(1+B76)^$B$14:$F$14)+($F$13*D76*(1+C76))/(B76-C76)/(1+B76)^$F$14-$B$15+$B$16)/$B$17</f>
        <v/>
      </c>
      <c r="F76" s="304" t="n"/>
      <c r="G76" s="304" t="n"/>
      <c r="H76" s="304" t="n"/>
      <c r="I76" s="304" t="n"/>
      <c r="J76" s="304" t="n"/>
      <c r="K76" s="304" t="n"/>
      <c r="L76" s="304" t="n"/>
      <c r="M76" s="304" t="n"/>
      <c r="N76" s="304" t="n"/>
      <c r="O76" s="304" t="n"/>
      <c r="P76" s="304" t="n"/>
      <c r="Q76" s="304" t="n"/>
    </row>
    <row r="77" ht="13.8" customHeight="1" s="343">
      <c r="A77" s="388">
        <f>ROW()-22</f>
        <v/>
      </c>
      <c r="B77" s="536">
        <f>_xlfn.NORM.INV(RAND(),$B$6,$C$6)</f>
        <v/>
      </c>
      <c r="C77" s="536">
        <f>MIN(_xlfn.NORM.INV(RAND(),$B$7,$C$7),B77-0.005)</f>
        <v/>
      </c>
      <c r="D77" s="537">
        <f>_xlfn.NORM.INV(RAND(),$B$8,$C$8)</f>
        <v/>
      </c>
      <c r="E77" s="391">
        <f t="array" ref="E77">(SUMPRODUCT($B$13:$F$13*D77/(1+B77)^$B$14:$F$14)+($F$13*D77*(1+C77))/(B77-C77)/(1+B77)^$F$14-$B$15+$B$16)/$B$17</f>
        <v/>
      </c>
      <c r="F77" s="304" t="n"/>
      <c r="G77" s="304" t="n"/>
      <c r="H77" s="304" t="n"/>
      <c r="I77" s="304" t="n"/>
      <c r="J77" s="304" t="n"/>
      <c r="K77" s="304" t="n"/>
      <c r="L77" s="304" t="n"/>
      <c r="M77" s="304" t="n"/>
      <c r="N77" s="304" t="n"/>
      <c r="O77" s="304" t="n"/>
      <c r="P77" s="304" t="n"/>
      <c r="Q77" s="304" t="n"/>
    </row>
    <row r="78" ht="13.8" customHeight="1" s="343">
      <c r="A78" s="388">
        <f>ROW()-22</f>
        <v/>
      </c>
      <c r="B78" s="536">
        <f>_xlfn.NORM.INV(RAND(),$B$6,$C$6)</f>
        <v/>
      </c>
      <c r="C78" s="536">
        <f>MIN(_xlfn.NORM.INV(RAND(),$B$7,$C$7),B78-0.005)</f>
        <v/>
      </c>
      <c r="D78" s="537">
        <f>_xlfn.NORM.INV(RAND(),$B$8,$C$8)</f>
        <v/>
      </c>
      <c r="E78" s="391">
        <f t="array" ref="E78">(SUMPRODUCT($B$13:$F$13*D78/(1+B78)^$B$14:$F$14)+($F$13*D78*(1+C78))/(B78-C78)/(1+B78)^$F$14-$B$15+$B$16)/$B$17</f>
        <v/>
      </c>
      <c r="F78" s="304" t="n"/>
      <c r="G78" s="304" t="n"/>
      <c r="H78" s="304" t="n"/>
      <c r="I78" s="304" t="n"/>
      <c r="J78" s="304" t="n"/>
      <c r="K78" s="304" t="n"/>
      <c r="L78" s="304" t="n"/>
      <c r="M78" s="304" t="n"/>
      <c r="N78" s="304" t="n"/>
      <c r="O78" s="304" t="n"/>
      <c r="P78" s="304" t="n"/>
      <c r="Q78" s="304" t="n"/>
    </row>
    <row r="79" ht="13.8" customHeight="1" s="343">
      <c r="A79" s="388">
        <f>ROW()-22</f>
        <v/>
      </c>
      <c r="B79" s="536">
        <f>_xlfn.NORM.INV(RAND(),$B$6,$C$6)</f>
        <v/>
      </c>
      <c r="C79" s="536">
        <f>MIN(_xlfn.NORM.INV(RAND(),$B$7,$C$7),B79-0.005)</f>
        <v/>
      </c>
      <c r="D79" s="537">
        <f>_xlfn.NORM.INV(RAND(),$B$8,$C$8)</f>
        <v/>
      </c>
      <c r="E79" s="391">
        <f t="array" ref="E79">(SUMPRODUCT($B$13:$F$13*D79/(1+B79)^$B$14:$F$14)+($F$13*D79*(1+C79))/(B79-C79)/(1+B79)^$F$14-$B$15+$B$16)/$B$17</f>
        <v/>
      </c>
      <c r="F79" s="304" t="n"/>
      <c r="G79" s="304" t="n"/>
      <c r="H79" s="304" t="n"/>
      <c r="I79" s="304" t="n"/>
      <c r="J79" s="304" t="n"/>
      <c r="K79" s="304" t="n"/>
      <c r="L79" s="304" t="n"/>
      <c r="M79" s="304" t="n"/>
      <c r="N79" s="304" t="n"/>
      <c r="O79" s="304" t="n"/>
      <c r="P79" s="304" t="n"/>
      <c r="Q79" s="304" t="n"/>
    </row>
    <row r="80" ht="13.8" customHeight="1" s="343">
      <c r="A80" s="388">
        <f>ROW()-22</f>
        <v/>
      </c>
      <c r="B80" s="536">
        <f>_xlfn.NORM.INV(RAND(),$B$6,$C$6)</f>
        <v/>
      </c>
      <c r="C80" s="536">
        <f>MIN(_xlfn.NORM.INV(RAND(),$B$7,$C$7),B80-0.005)</f>
        <v/>
      </c>
      <c r="D80" s="537">
        <f>_xlfn.NORM.INV(RAND(),$B$8,$C$8)</f>
        <v/>
      </c>
      <c r="E80" s="391">
        <f t="array" ref="E80">(SUMPRODUCT($B$13:$F$13*D80/(1+B80)^$B$14:$F$14)+($F$13*D80*(1+C80))/(B80-C80)/(1+B80)^$F$14-$B$15+$B$16)/$B$17</f>
        <v/>
      </c>
      <c r="F80" s="304" t="n"/>
      <c r="G80" s="304" t="n"/>
      <c r="H80" s="304" t="n"/>
      <c r="I80" s="304" t="n"/>
      <c r="J80" s="304" t="n"/>
      <c r="K80" s="304" t="n"/>
      <c r="L80" s="304" t="n"/>
      <c r="M80" s="304" t="n"/>
      <c r="N80" s="304" t="n"/>
      <c r="O80" s="304" t="n"/>
      <c r="P80" s="304" t="n"/>
      <c r="Q80" s="304" t="n"/>
    </row>
    <row r="81" ht="13.8" customHeight="1" s="343">
      <c r="A81" s="388">
        <f>ROW()-22</f>
        <v/>
      </c>
      <c r="B81" s="536">
        <f>_xlfn.NORM.INV(RAND(),$B$6,$C$6)</f>
        <v/>
      </c>
      <c r="C81" s="536">
        <f>MIN(_xlfn.NORM.INV(RAND(),$B$7,$C$7),B81-0.005)</f>
        <v/>
      </c>
      <c r="D81" s="537">
        <f>_xlfn.NORM.INV(RAND(),$B$8,$C$8)</f>
        <v/>
      </c>
      <c r="E81" s="391">
        <f t="array" ref="E81">(SUMPRODUCT($B$13:$F$13*D81/(1+B81)^$B$14:$F$14)+($F$13*D81*(1+C81))/(B81-C81)/(1+B81)^$F$14-$B$15+$B$16)/$B$17</f>
        <v/>
      </c>
      <c r="F81" s="304" t="n"/>
      <c r="G81" s="304" t="n"/>
      <c r="H81" s="304" t="n"/>
      <c r="I81" s="304" t="n"/>
      <c r="J81" s="304" t="n"/>
      <c r="K81" s="304" t="n"/>
      <c r="L81" s="304" t="n"/>
      <c r="M81" s="304" t="n"/>
      <c r="N81" s="304" t="n"/>
      <c r="O81" s="304" t="n"/>
      <c r="P81" s="304" t="n"/>
      <c r="Q81" s="304" t="n"/>
    </row>
    <row r="82" ht="13.8" customHeight="1" s="343">
      <c r="A82" s="388">
        <f>ROW()-22</f>
        <v/>
      </c>
      <c r="B82" s="536">
        <f>_xlfn.NORM.INV(RAND(),$B$6,$C$6)</f>
        <v/>
      </c>
      <c r="C82" s="536">
        <f>MIN(_xlfn.NORM.INV(RAND(),$B$7,$C$7),B82-0.005)</f>
        <v/>
      </c>
      <c r="D82" s="537">
        <f>_xlfn.NORM.INV(RAND(),$B$8,$C$8)</f>
        <v/>
      </c>
      <c r="E82" s="391">
        <f t="array" ref="E82">(SUMPRODUCT($B$13:$F$13*D82/(1+B82)^$B$14:$F$14)+($F$13*D82*(1+C82))/(B82-C82)/(1+B82)^$F$14-$B$15+$B$16)/$B$17</f>
        <v/>
      </c>
      <c r="F82" s="304" t="n"/>
      <c r="G82" s="304" t="n"/>
      <c r="H82" s="304" t="n"/>
      <c r="I82" s="304" t="n"/>
      <c r="J82" s="304" t="n"/>
      <c r="K82" s="304" t="n"/>
      <c r="L82" s="304" t="n"/>
      <c r="M82" s="304" t="n"/>
      <c r="N82" s="304" t="n"/>
      <c r="O82" s="304" t="n"/>
      <c r="P82" s="304" t="n"/>
      <c r="Q82" s="304" t="n"/>
    </row>
    <row r="83" ht="13.8" customHeight="1" s="343">
      <c r="A83" s="388">
        <f>ROW()-22</f>
        <v/>
      </c>
      <c r="B83" s="536">
        <f>_xlfn.NORM.INV(RAND(),$B$6,$C$6)</f>
        <v/>
      </c>
      <c r="C83" s="536">
        <f>MIN(_xlfn.NORM.INV(RAND(),$B$7,$C$7),B83-0.005)</f>
        <v/>
      </c>
      <c r="D83" s="537">
        <f>_xlfn.NORM.INV(RAND(),$B$8,$C$8)</f>
        <v/>
      </c>
      <c r="E83" s="391">
        <f t="array" ref="E83">(SUMPRODUCT($B$13:$F$13*D83/(1+B83)^$B$14:$F$14)+($F$13*D83*(1+C83))/(B83-C83)/(1+B83)^$F$14-$B$15+$B$16)/$B$17</f>
        <v/>
      </c>
      <c r="F83" s="304" t="n"/>
      <c r="G83" s="304" t="n"/>
      <c r="H83" s="304" t="n"/>
      <c r="I83" s="304" t="n"/>
      <c r="J83" s="304" t="n"/>
      <c r="K83" s="304" t="n"/>
      <c r="L83" s="304" t="n"/>
      <c r="M83" s="304" t="n"/>
      <c r="N83" s="304" t="n"/>
      <c r="O83" s="304" t="n"/>
      <c r="P83" s="304" t="n"/>
      <c r="Q83" s="304" t="n"/>
    </row>
    <row r="84" ht="13.8" customHeight="1" s="343">
      <c r="A84" s="388">
        <f>ROW()-22</f>
        <v/>
      </c>
      <c r="B84" s="536">
        <f>_xlfn.NORM.INV(RAND(),$B$6,$C$6)</f>
        <v/>
      </c>
      <c r="C84" s="536">
        <f>MIN(_xlfn.NORM.INV(RAND(),$B$7,$C$7),B84-0.005)</f>
        <v/>
      </c>
      <c r="D84" s="537">
        <f>_xlfn.NORM.INV(RAND(),$B$8,$C$8)</f>
        <v/>
      </c>
      <c r="E84" s="391">
        <f t="array" ref="E84">(SUMPRODUCT($B$13:$F$13*D84/(1+B84)^$B$14:$F$14)+($F$13*D84*(1+C84))/(B84-C84)/(1+B84)^$F$14-$B$15+$B$16)/$B$17</f>
        <v/>
      </c>
      <c r="F84" s="304" t="n"/>
      <c r="G84" s="304" t="n"/>
      <c r="H84" s="304" t="n"/>
      <c r="I84" s="304" t="n"/>
      <c r="J84" s="304" t="n"/>
      <c r="K84" s="304" t="n"/>
      <c r="L84" s="304" t="n"/>
      <c r="M84" s="304" t="n"/>
      <c r="N84" s="304" t="n"/>
      <c r="O84" s="304" t="n"/>
      <c r="P84" s="304" t="n"/>
      <c r="Q84" s="304" t="n"/>
    </row>
    <row r="85" ht="13.8" customHeight="1" s="343">
      <c r="A85" s="388">
        <f>ROW()-22</f>
        <v/>
      </c>
      <c r="B85" s="536">
        <f>_xlfn.NORM.INV(RAND(),$B$6,$C$6)</f>
        <v/>
      </c>
      <c r="C85" s="536">
        <f>MIN(_xlfn.NORM.INV(RAND(),$B$7,$C$7),B85-0.005)</f>
        <v/>
      </c>
      <c r="D85" s="537">
        <f>_xlfn.NORM.INV(RAND(),$B$8,$C$8)</f>
        <v/>
      </c>
      <c r="E85" s="391">
        <f t="array" ref="E85">(SUMPRODUCT($B$13:$F$13*D85/(1+B85)^$B$14:$F$14)+($F$13*D85*(1+C85))/(B85-C85)/(1+B85)^$F$14-$B$15+$B$16)/$B$17</f>
        <v/>
      </c>
      <c r="F85" s="304" t="n"/>
      <c r="G85" s="304" t="n"/>
      <c r="H85" s="304" t="n"/>
      <c r="I85" s="304" t="n"/>
      <c r="J85" s="304" t="n"/>
      <c r="K85" s="304" t="n"/>
      <c r="L85" s="304" t="n"/>
      <c r="M85" s="304" t="n"/>
      <c r="N85" s="304" t="n"/>
      <c r="O85" s="304" t="n"/>
      <c r="P85" s="304" t="n"/>
      <c r="Q85" s="304" t="n"/>
    </row>
    <row r="86" ht="13.8" customHeight="1" s="343">
      <c r="A86" s="388">
        <f>ROW()-22</f>
        <v/>
      </c>
      <c r="B86" s="536">
        <f>_xlfn.NORM.INV(RAND(),$B$6,$C$6)</f>
        <v/>
      </c>
      <c r="C86" s="536">
        <f>MIN(_xlfn.NORM.INV(RAND(),$B$7,$C$7),B86-0.005)</f>
        <v/>
      </c>
      <c r="D86" s="537">
        <f>_xlfn.NORM.INV(RAND(),$B$8,$C$8)</f>
        <v/>
      </c>
      <c r="E86" s="391">
        <f t="array" ref="E86">(SUMPRODUCT($B$13:$F$13*D86/(1+B86)^$B$14:$F$14)+($F$13*D86*(1+C86))/(B86-C86)/(1+B86)^$F$14-$B$15+$B$16)/$B$17</f>
        <v/>
      </c>
      <c r="F86" s="304" t="n"/>
      <c r="G86" s="304" t="n"/>
      <c r="H86" s="304" t="n"/>
      <c r="I86" s="304" t="n"/>
      <c r="J86" s="304" t="n"/>
      <c r="K86" s="304" t="n"/>
      <c r="L86" s="304" t="n"/>
      <c r="M86" s="304" t="n"/>
      <c r="N86" s="304" t="n"/>
      <c r="O86" s="304" t="n"/>
      <c r="P86" s="304" t="n"/>
      <c r="Q86" s="304" t="n"/>
    </row>
    <row r="87" ht="13.8" customHeight="1" s="343">
      <c r="A87" s="388">
        <f>ROW()-22</f>
        <v/>
      </c>
      <c r="B87" s="536">
        <f>_xlfn.NORM.INV(RAND(),$B$6,$C$6)</f>
        <v/>
      </c>
      <c r="C87" s="536">
        <f>MIN(_xlfn.NORM.INV(RAND(),$B$7,$C$7),B87-0.005)</f>
        <v/>
      </c>
      <c r="D87" s="537">
        <f>_xlfn.NORM.INV(RAND(),$B$8,$C$8)</f>
        <v/>
      </c>
      <c r="E87" s="391">
        <f t="array" ref="E87">(SUMPRODUCT($B$13:$F$13*D87/(1+B87)^$B$14:$F$14)+($F$13*D87*(1+C87))/(B87-C87)/(1+B87)^$F$14-$B$15+$B$16)/$B$17</f>
        <v/>
      </c>
      <c r="F87" s="304" t="n"/>
      <c r="G87" s="304" t="n"/>
      <c r="H87" s="304" t="n"/>
      <c r="I87" s="304" t="n"/>
      <c r="J87" s="304" t="n"/>
      <c r="K87" s="304" t="n"/>
      <c r="L87" s="304" t="n"/>
      <c r="M87" s="304" t="n"/>
      <c r="N87" s="304" t="n"/>
      <c r="O87" s="304" t="n"/>
      <c r="P87" s="304" t="n"/>
      <c r="Q87" s="304" t="n"/>
    </row>
    <row r="88" ht="13.8" customHeight="1" s="343">
      <c r="A88" s="388">
        <f>ROW()-22</f>
        <v/>
      </c>
      <c r="B88" s="536">
        <f>_xlfn.NORM.INV(RAND(),$B$6,$C$6)</f>
        <v/>
      </c>
      <c r="C88" s="536">
        <f>MIN(_xlfn.NORM.INV(RAND(),$B$7,$C$7),B88-0.005)</f>
        <v/>
      </c>
      <c r="D88" s="537">
        <f>_xlfn.NORM.INV(RAND(),$B$8,$C$8)</f>
        <v/>
      </c>
      <c r="E88" s="391">
        <f t="array" ref="E88">(SUMPRODUCT($B$13:$F$13*D88/(1+B88)^$B$14:$F$14)+($F$13*D88*(1+C88))/(B88-C88)/(1+B88)^$F$14-$B$15+$B$16)/$B$17</f>
        <v/>
      </c>
      <c r="F88" s="304" t="n"/>
      <c r="G88" s="304" t="n"/>
      <c r="H88" s="304" t="n"/>
      <c r="I88" s="304" t="n"/>
      <c r="J88" s="304" t="n"/>
      <c r="K88" s="304" t="n"/>
      <c r="L88" s="304" t="n"/>
      <c r="M88" s="304" t="n"/>
      <c r="N88" s="304" t="n"/>
      <c r="O88" s="304" t="n"/>
      <c r="P88" s="304" t="n"/>
      <c r="Q88" s="304" t="n"/>
    </row>
    <row r="89" ht="13.8" customHeight="1" s="343">
      <c r="A89" s="388">
        <f>ROW()-22</f>
        <v/>
      </c>
      <c r="B89" s="536">
        <f>_xlfn.NORM.INV(RAND(),$B$6,$C$6)</f>
        <v/>
      </c>
      <c r="C89" s="536">
        <f>MIN(_xlfn.NORM.INV(RAND(),$B$7,$C$7),B89-0.005)</f>
        <v/>
      </c>
      <c r="D89" s="537">
        <f>_xlfn.NORM.INV(RAND(),$B$8,$C$8)</f>
        <v/>
      </c>
      <c r="E89" s="391">
        <f t="array" ref="E89">(SUMPRODUCT($B$13:$F$13*D89/(1+B89)^$B$14:$F$14)+($F$13*D89*(1+C89))/(B89-C89)/(1+B89)^$F$14-$B$15+$B$16)/$B$17</f>
        <v/>
      </c>
      <c r="F89" s="304" t="n"/>
      <c r="G89" s="304" t="n"/>
      <c r="H89" s="304" t="n"/>
      <c r="I89" s="304" t="n"/>
      <c r="J89" s="304" t="n"/>
      <c r="K89" s="304" t="n"/>
      <c r="L89" s="304" t="n"/>
      <c r="M89" s="304" t="n"/>
      <c r="N89" s="304" t="n"/>
      <c r="O89" s="304" t="n"/>
      <c r="P89" s="304" t="n"/>
      <c r="Q89" s="304" t="n"/>
    </row>
    <row r="90" ht="13.8" customHeight="1" s="343">
      <c r="A90" s="388">
        <f>ROW()-22</f>
        <v/>
      </c>
      <c r="B90" s="536">
        <f>_xlfn.NORM.INV(RAND(),$B$6,$C$6)</f>
        <v/>
      </c>
      <c r="C90" s="536">
        <f>MIN(_xlfn.NORM.INV(RAND(),$B$7,$C$7),B90-0.005)</f>
        <v/>
      </c>
      <c r="D90" s="537">
        <f>_xlfn.NORM.INV(RAND(),$B$8,$C$8)</f>
        <v/>
      </c>
      <c r="E90" s="391">
        <f t="array" ref="E90">(SUMPRODUCT($B$13:$F$13*D90/(1+B90)^$B$14:$F$14)+($F$13*D90*(1+C90))/(B90-C90)/(1+B90)^$F$14-$B$15+$B$16)/$B$17</f>
        <v/>
      </c>
      <c r="F90" s="304" t="n"/>
      <c r="G90" s="304" t="n"/>
      <c r="H90" s="304" t="n"/>
      <c r="I90" s="304" t="n"/>
      <c r="J90" s="304" t="n"/>
      <c r="K90" s="304" t="n"/>
      <c r="L90" s="304" t="n"/>
      <c r="M90" s="304" t="n"/>
      <c r="N90" s="304" t="n"/>
      <c r="O90" s="304" t="n"/>
      <c r="P90" s="304" t="n"/>
      <c r="Q90" s="304" t="n"/>
    </row>
    <row r="91" ht="13.8" customHeight="1" s="343">
      <c r="A91" s="388">
        <f>ROW()-22</f>
        <v/>
      </c>
      <c r="B91" s="536">
        <f>_xlfn.NORM.INV(RAND(),$B$6,$C$6)</f>
        <v/>
      </c>
      <c r="C91" s="536">
        <f>MIN(_xlfn.NORM.INV(RAND(),$B$7,$C$7),B91-0.005)</f>
        <v/>
      </c>
      <c r="D91" s="537">
        <f>_xlfn.NORM.INV(RAND(),$B$8,$C$8)</f>
        <v/>
      </c>
      <c r="E91" s="391">
        <f t="array" ref="E91">(SUMPRODUCT($B$13:$F$13*D91/(1+B91)^$B$14:$F$14)+($F$13*D91*(1+C91))/(B91-C91)/(1+B91)^$F$14-$B$15+$B$16)/$B$17</f>
        <v/>
      </c>
      <c r="F91" s="304" t="n"/>
      <c r="G91" s="304" t="n"/>
      <c r="H91" s="304" t="n"/>
      <c r="I91" s="304" t="n"/>
      <c r="J91" s="304" t="n"/>
      <c r="K91" s="304" t="n"/>
      <c r="L91" s="304" t="n"/>
      <c r="M91" s="304" t="n"/>
      <c r="N91" s="304" t="n"/>
      <c r="O91" s="304" t="n"/>
      <c r="P91" s="304" t="n"/>
      <c r="Q91" s="304" t="n"/>
    </row>
    <row r="92" ht="13.8" customHeight="1" s="343">
      <c r="A92" s="388">
        <f>ROW()-22</f>
        <v/>
      </c>
      <c r="B92" s="536">
        <f>_xlfn.NORM.INV(RAND(),$B$6,$C$6)</f>
        <v/>
      </c>
      <c r="C92" s="536">
        <f>MIN(_xlfn.NORM.INV(RAND(),$B$7,$C$7),B92-0.005)</f>
        <v/>
      </c>
      <c r="D92" s="537">
        <f>_xlfn.NORM.INV(RAND(),$B$8,$C$8)</f>
        <v/>
      </c>
      <c r="E92" s="391">
        <f t="array" ref="E92">(SUMPRODUCT($B$13:$F$13*D92/(1+B92)^$B$14:$F$14)+($F$13*D92*(1+C92))/(B92-C92)/(1+B92)^$F$14-$B$15+$B$16)/$B$17</f>
        <v/>
      </c>
      <c r="F92" s="304" t="n"/>
      <c r="G92" s="304" t="n"/>
      <c r="H92" s="304" t="n"/>
      <c r="I92" s="304" t="n"/>
      <c r="J92" s="304" t="n"/>
      <c r="K92" s="304" t="n"/>
      <c r="L92" s="304" t="n"/>
      <c r="M92" s="304" t="n"/>
      <c r="N92" s="304" t="n"/>
      <c r="O92" s="304" t="n"/>
      <c r="P92" s="304" t="n"/>
      <c r="Q92" s="304" t="n"/>
    </row>
    <row r="93" ht="13.8" customHeight="1" s="343">
      <c r="A93" s="388">
        <f>ROW()-22</f>
        <v/>
      </c>
      <c r="B93" s="536">
        <f>_xlfn.NORM.INV(RAND(),$B$6,$C$6)</f>
        <v/>
      </c>
      <c r="C93" s="536">
        <f>MIN(_xlfn.NORM.INV(RAND(),$B$7,$C$7),B93-0.005)</f>
        <v/>
      </c>
      <c r="D93" s="537">
        <f>_xlfn.NORM.INV(RAND(),$B$8,$C$8)</f>
        <v/>
      </c>
      <c r="E93" s="391">
        <f t="array" ref="E93">(SUMPRODUCT($B$13:$F$13*D93/(1+B93)^$B$14:$F$14)+($F$13*D93*(1+C93))/(B93-C93)/(1+B93)^$F$14-$B$15+$B$16)/$B$17</f>
        <v/>
      </c>
      <c r="F93" s="304" t="n"/>
      <c r="G93" s="304" t="n"/>
      <c r="H93" s="304" t="n"/>
      <c r="I93" s="304" t="n"/>
      <c r="J93" s="304" t="n"/>
      <c r="K93" s="304" t="n"/>
      <c r="L93" s="304" t="n"/>
      <c r="M93" s="304" t="n"/>
      <c r="N93" s="304" t="n"/>
      <c r="O93" s="304" t="n"/>
      <c r="P93" s="304" t="n"/>
      <c r="Q93" s="304" t="n"/>
    </row>
    <row r="94" ht="13.8" customHeight="1" s="343">
      <c r="A94" s="388">
        <f>ROW()-22</f>
        <v/>
      </c>
      <c r="B94" s="536">
        <f>_xlfn.NORM.INV(RAND(),$B$6,$C$6)</f>
        <v/>
      </c>
      <c r="C94" s="536">
        <f>MIN(_xlfn.NORM.INV(RAND(),$B$7,$C$7),B94-0.005)</f>
        <v/>
      </c>
      <c r="D94" s="537">
        <f>_xlfn.NORM.INV(RAND(),$B$8,$C$8)</f>
        <v/>
      </c>
      <c r="E94" s="391">
        <f t="array" ref="E94">(SUMPRODUCT($B$13:$F$13*D94/(1+B94)^$B$14:$F$14)+($F$13*D94*(1+C94))/(B94-C94)/(1+B94)^$F$14-$B$15+$B$16)/$B$17</f>
        <v/>
      </c>
      <c r="F94" s="304" t="n"/>
      <c r="G94" s="304" t="n"/>
      <c r="H94" s="304" t="n"/>
      <c r="I94" s="304" t="n"/>
      <c r="J94" s="304" t="n"/>
      <c r="K94" s="304" t="n"/>
      <c r="L94" s="304" t="n"/>
      <c r="M94" s="304" t="n"/>
      <c r="N94" s="304" t="n"/>
      <c r="O94" s="304" t="n"/>
      <c r="P94" s="304" t="n"/>
      <c r="Q94" s="304" t="n"/>
    </row>
    <row r="95" ht="13.8" customHeight="1" s="343">
      <c r="A95" s="388">
        <f>ROW()-22</f>
        <v/>
      </c>
      <c r="B95" s="536">
        <f>_xlfn.NORM.INV(RAND(),$B$6,$C$6)</f>
        <v/>
      </c>
      <c r="C95" s="536">
        <f>MIN(_xlfn.NORM.INV(RAND(),$B$7,$C$7),B95-0.005)</f>
        <v/>
      </c>
      <c r="D95" s="537">
        <f>_xlfn.NORM.INV(RAND(),$B$8,$C$8)</f>
        <v/>
      </c>
      <c r="E95" s="391">
        <f t="array" ref="E95">(SUMPRODUCT($B$13:$F$13*D95/(1+B95)^$B$14:$F$14)+($F$13*D95*(1+C95))/(B95-C95)/(1+B95)^$F$14-$B$15+$B$16)/$B$17</f>
        <v/>
      </c>
      <c r="F95" s="304" t="n"/>
      <c r="G95" s="304" t="n"/>
      <c r="H95" s="304" t="n"/>
      <c r="I95" s="304" t="n"/>
      <c r="J95" s="304" t="n"/>
      <c r="K95" s="304" t="n"/>
      <c r="L95" s="304" t="n"/>
      <c r="M95" s="304" t="n"/>
      <c r="N95" s="304" t="n"/>
      <c r="O95" s="304" t="n"/>
      <c r="P95" s="304" t="n"/>
      <c r="Q95" s="304" t="n"/>
    </row>
    <row r="96" ht="13.8" customHeight="1" s="343">
      <c r="A96" s="388">
        <f>ROW()-22</f>
        <v/>
      </c>
      <c r="B96" s="536">
        <f>_xlfn.NORM.INV(RAND(),$B$6,$C$6)</f>
        <v/>
      </c>
      <c r="C96" s="536">
        <f>MIN(_xlfn.NORM.INV(RAND(),$B$7,$C$7),B96-0.005)</f>
        <v/>
      </c>
      <c r="D96" s="537">
        <f>_xlfn.NORM.INV(RAND(),$B$8,$C$8)</f>
        <v/>
      </c>
      <c r="E96" s="391">
        <f t="array" ref="E96">(SUMPRODUCT($B$13:$F$13*D96/(1+B96)^$B$14:$F$14)+($F$13*D96*(1+C96))/(B96-C96)/(1+B96)^$F$14-$B$15+$B$16)/$B$17</f>
        <v/>
      </c>
      <c r="F96" s="304" t="n"/>
      <c r="G96" s="304" t="n"/>
      <c r="H96" s="304" t="n"/>
      <c r="I96" s="304" t="n"/>
      <c r="J96" s="304" t="n"/>
      <c r="K96" s="304" t="n"/>
      <c r="L96" s="304" t="n"/>
      <c r="M96" s="304" t="n"/>
      <c r="N96" s="304" t="n"/>
      <c r="O96" s="304" t="n"/>
      <c r="P96" s="304" t="n"/>
      <c r="Q96" s="304" t="n"/>
    </row>
    <row r="97" ht="13.8" customHeight="1" s="343">
      <c r="A97" s="388">
        <f>ROW()-22</f>
        <v/>
      </c>
      <c r="B97" s="536">
        <f>_xlfn.NORM.INV(RAND(),$B$6,$C$6)</f>
        <v/>
      </c>
      <c r="C97" s="536">
        <f>MIN(_xlfn.NORM.INV(RAND(),$B$7,$C$7),B97-0.005)</f>
        <v/>
      </c>
      <c r="D97" s="537">
        <f>_xlfn.NORM.INV(RAND(),$B$8,$C$8)</f>
        <v/>
      </c>
      <c r="E97" s="391">
        <f t="array" ref="E97">(SUMPRODUCT($B$13:$F$13*D97/(1+B97)^$B$14:$F$14)+($F$13*D97*(1+C97))/(B97-C97)/(1+B97)^$F$14-$B$15+$B$16)/$B$17</f>
        <v/>
      </c>
      <c r="F97" s="304" t="n"/>
      <c r="G97" s="304" t="n"/>
      <c r="H97" s="304" t="n"/>
      <c r="I97" s="304" t="n"/>
      <c r="J97" s="304" t="n"/>
      <c r="K97" s="304" t="n"/>
      <c r="L97" s="304" t="n"/>
      <c r="M97" s="304" t="n"/>
      <c r="N97" s="304" t="n"/>
      <c r="O97" s="304" t="n"/>
      <c r="P97" s="304" t="n"/>
      <c r="Q97" s="304" t="n"/>
    </row>
    <row r="98" ht="13.8" customHeight="1" s="343">
      <c r="A98" s="388">
        <f>ROW()-22</f>
        <v/>
      </c>
      <c r="B98" s="536">
        <f>_xlfn.NORM.INV(RAND(),$B$6,$C$6)</f>
        <v/>
      </c>
      <c r="C98" s="536">
        <f>MIN(_xlfn.NORM.INV(RAND(),$B$7,$C$7),B98-0.005)</f>
        <v/>
      </c>
      <c r="D98" s="537">
        <f>_xlfn.NORM.INV(RAND(),$B$8,$C$8)</f>
        <v/>
      </c>
      <c r="E98" s="391">
        <f t="array" ref="E98">(SUMPRODUCT($B$13:$F$13*D98/(1+B98)^$B$14:$F$14)+($F$13*D98*(1+C98))/(B98-C98)/(1+B98)^$F$14-$B$15+$B$16)/$B$17</f>
        <v/>
      </c>
      <c r="F98" s="304" t="n"/>
      <c r="G98" s="304" t="n"/>
      <c r="H98" s="304" t="n"/>
      <c r="I98" s="304" t="n"/>
      <c r="J98" s="304" t="n"/>
      <c r="K98" s="304" t="n"/>
      <c r="L98" s="304" t="n"/>
      <c r="M98" s="304" t="n"/>
      <c r="N98" s="304" t="n"/>
      <c r="O98" s="304" t="n"/>
      <c r="P98" s="304" t="n"/>
      <c r="Q98" s="304" t="n"/>
    </row>
    <row r="99" ht="13.8" customHeight="1" s="343">
      <c r="A99" s="388">
        <f>ROW()-22</f>
        <v/>
      </c>
      <c r="B99" s="536">
        <f>_xlfn.NORM.INV(RAND(),$B$6,$C$6)</f>
        <v/>
      </c>
      <c r="C99" s="536">
        <f>MIN(_xlfn.NORM.INV(RAND(),$B$7,$C$7),B99-0.005)</f>
        <v/>
      </c>
      <c r="D99" s="537">
        <f>_xlfn.NORM.INV(RAND(),$B$8,$C$8)</f>
        <v/>
      </c>
      <c r="E99" s="391">
        <f t="array" ref="E99">(SUMPRODUCT($B$13:$F$13*D99/(1+B99)^$B$14:$F$14)+($F$13*D99*(1+C99))/(B99-C99)/(1+B99)^$F$14-$B$15+$B$16)/$B$17</f>
        <v/>
      </c>
      <c r="F99" s="304" t="n"/>
      <c r="G99" s="304" t="n"/>
      <c r="H99" s="304" t="n"/>
      <c r="I99" s="304" t="n"/>
      <c r="J99" s="304" t="n"/>
      <c r="K99" s="304" t="n"/>
      <c r="L99" s="304" t="n"/>
      <c r="M99" s="304" t="n"/>
      <c r="N99" s="304" t="n"/>
      <c r="O99" s="304" t="n"/>
      <c r="P99" s="304" t="n"/>
      <c r="Q99" s="304" t="n"/>
    </row>
    <row r="100" ht="13.8" customHeight="1" s="343">
      <c r="A100" s="388">
        <f>ROW()-22</f>
        <v/>
      </c>
      <c r="B100" s="536">
        <f>_xlfn.NORM.INV(RAND(),$B$6,$C$6)</f>
        <v/>
      </c>
      <c r="C100" s="536">
        <f>MIN(_xlfn.NORM.INV(RAND(),$B$7,$C$7),B100-0.005)</f>
        <v/>
      </c>
      <c r="D100" s="537">
        <f>_xlfn.NORM.INV(RAND(),$B$8,$C$8)</f>
        <v/>
      </c>
      <c r="E100" s="391">
        <f t="array" ref="E100">(SUMPRODUCT($B$13:$F$13*D100/(1+B100)^$B$14:$F$14)+($F$13*D100*(1+C100))/(B100-C100)/(1+B100)^$F$14-$B$15+$B$16)/$B$17</f>
        <v/>
      </c>
      <c r="F100" s="304" t="n"/>
      <c r="G100" s="304" t="n"/>
      <c r="H100" s="304" t="n"/>
      <c r="I100" s="304" t="n"/>
      <c r="J100" s="304" t="n"/>
      <c r="K100" s="304" t="n"/>
      <c r="L100" s="304" t="n"/>
      <c r="M100" s="304" t="n"/>
      <c r="N100" s="304" t="n"/>
      <c r="O100" s="304" t="n"/>
      <c r="P100" s="304" t="n"/>
      <c r="Q100" s="304" t="n"/>
    </row>
    <row r="101" ht="13.8" customHeight="1" s="343">
      <c r="A101" s="388">
        <f>ROW()-22</f>
        <v/>
      </c>
      <c r="B101" s="536">
        <f>_xlfn.NORM.INV(RAND(),$B$6,$C$6)</f>
        <v/>
      </c>
      <c r="C101" s="536">
        <f>MIN(_xlfn.NORM.INV(RAND(),$B$7,$C$7),B101-0.005)</f>
        <v/>
      </c>
      <c r="D101" s="537">
        <f>_xlfn.NORM.INV(RAND(),$B$8,$C$8)</f>
        <v/>
      </c>
      <c r="E101" s="391">
        <f t="array" ref="E101">(SUMPRODUCT($B$13:$F$13*D101/(1+B101)^$B$14:$F$14)+($F$13*D101*(1+C101))/(B101-C101)/(1+B101)^$F$14-$B$15+$B$16)/$B$17</f>
        <v/>
      </c>
      <c r="F101" s="304" t="n"/>
      <c r="G101" s="304" t="n"/>
      <c r="H101" s="304" t="n"/>
      <c r="I101" s="304" t="n"/>
      <c r="J101" s="304" t="n"/>
      <c r="K101" s="304" t="n"/>
      <c r="L101" s="304" t="n"/>
      <c r="M101" s="304" t="n"/>
      <c r="N101" s="304" t="n"/>
      <c r="O101" s="304" t="n"/>
      <c r="P101" s="304" t="n"/>
      <c r="Q101" s="304" t="n"/>
    </row>
    <row r="102" ht="13.8" customHeight="1" s="343">
      <c r="A102" s="388">
        <f>ROW()-22</f>
        <v/>
      </c>
      <c r="B102" s="536">
        <f>_xlfn.NORM.INV(RAND(),$B$6,$C$6)</f>
        <v/>
      </c>
      <c r="C102" s="536">
        <f>MIN(_xlfn.NORM.INV(RAND(),$B$7,$C$7),B102-0.005)</f>
        <v/>
      </c>
      <c r="D102" s="537">
        <f>_xlfn.NORM.INV(RAND(),$B$8,$C$8)</f>
        <v/>
      </c>
      <c r="E102" s="391">
        <f t="array" ref="E102">(SUMPRODUCT($B$13:$F$13*D102/(1+B102)^$B$14:$F$14)+($F$13*D102*(1+C102))/(B102-C102)/(1+B102)^$F$14-$B$15+$B$16)/$B$17</f>
        <v/>
      </c>
      <c r="F102" s="304" t="n"/>
      <c r="G102" s="304" t="n"/>
      <c r="H102" s="304" t="n"/>
      <c r="I102" s="304" t="n"/>
      <c r="J102" s="304" t="n"/>
      <c r="K102" s="304" t="n"/>
      <c r="L102" s="304" t="n"/>
      <c r="M102" s="304" t="n"/>
      <c r="N102" s="304" t="n"/>
      <c r="O102" s="304" t="n"/>
      <c r="P102" s="304" t="n"/>
      <c r="Q102" s="304" t="n"/>
    </row>
    <row r="103" ht="13.8" customHeight="1" s="343">
      <c r="A103" s="388">
        <f>ROW()-22</f>
        <v/>
      </c>
      <c r="B103" s="536">
        <f>_xlfn.NORM.INV(RAND(),$B$6,$C$6)</f>
        <v/>
      </c>
      <c r="C103" s="536">
        <f>MIN(_xlfn.NORM.INV(RAND(),$B$7,$C$7),B103-0.005)</f>
        <v/>
      </c>
      <c r="D103" s="537">
        <f>_xlfn.NORM.INV(RAND(),$B$8,$C$8)</f>
        <v/>
      </c>
      <c r="E103" s="391">
        <f t="array" ref="E103">(SUMPRODUCT($B$13:$F$13*D103/(1+B103)^$B$14:$F$14)+($F$13*D103*(1+C103))/(B103-C103)/(1+B103)^$F$14-$B$15+$B$16)/$B$17</f>
        <v/>
      </c>
      <c r="F103" s="304" t="n"/>
      <c r="G103" s="304" t="n"/>
      <c r="H103" s="304" t="n"/>
      <c r="I103" s="304" t="n"/>
      <c r="J103" s="304" t="n"/>
      <c r="K103" s="304" t="n"/>
      <c r="L103" s="304" t="n"/>
      <c r="M103" s="304" t="n"/>
      <c r="N103" s="304" t="n"/>
      <c r="O103" s="304" t="n"/>
      <c r="P103" s="304" t="n"/>
      <c r="Q103" s="304" t="n"/>
    </row>
    <row r="104" ht="13.8" customHeight="1" s="343">
      <c r="A104" s="388">
        <f>ROW()-22</f>
        <v/>
      </c>
      <c r="B104" s="536">
        <f>_xlfn.NORM.INV(RAND(),$B$6,$C$6)</f>
        <v/>
      </c>
      <c r="C104" s="536">
        <f>MIN(_xlfn.NORM.INV(RAND(),$B$7,$C$7),B104-0.005)</f>
        <v/>
      </c>
      <c r="D104" s="537">
        <f>_xlfn.NORM.INV(RAND(),$B$8,$C$8)</f>
        <v/>
      </c>
      <c r="E104" s="391">
        <f t="array" ref="E104">(SUMPRODUCT($B$13:$F$13*D104/(1+B104)^$B$14:$F$14)+($F$13*D104*(1+C104))/(B104-C104)/(1+B104)^$F$14-$B$15+$B$16)/$B$17</f>
        <v/>
      </c>
      <c r="F104" s="304" t="n"/>
      <c r="G104" s="304" t="n"/>
      <c r="H104" s="304" t="n"/>
      <c r="I104" s="304" t="n"/>
      <c r="J104" s="304" t="n"/>
      <c r="K104" s="304" t="n"/>
      <c r="L104" s="304" t="n"/>
      <c r="M104" s="304" t="n"/>
      <c r="N104" s="304" t="n"/>
      <c r="O104" s="304" t="n"/>
      <c r="P104" s="304" t="n"/>
      <c r="Q104" s="304" t="n"/>
    </row>
    <row r="105" ht="13.8" customHeight="1" s="343">
      <c r="A105" s="388">
        <f>ROW()-22</f>
        <v/>
      </c>
      <c r="B105" s="536">
        <f>_xlfn.NORM.INV(RAND(),$B$6,$C$6)</f>
        <v/>
      </c>
      <c r="C105" s="536">
        <f>MIN(_xlfn.NORM.INV(RAND(),$B$7,$C$7),B105-0.005)</f>
        <v/>
      </c>
      <c r="D105" s="537">
        <f>_xlfn.NORM.INV(RAND(),$B$8,$C$8)</f>
        <v/>
      </c>
      <c r="E105" s="391">
        <f t="array" ref="E105">(SUMPRODUCT($B$13:$F$13*D105/(1+B105)^$B$14:$F$14)+($F$13*D105*(1+C105))/(B105-C105)/(1+B105)^$F$14-$B$15+$B$16)/$B$17</f>
        <v/>
      </c>
      <c r="F105" s="304" t="n"/>
      <c r="G105" s="304" t="n"/>
      <c r="H105" s="304" t="n"/>
      <c r="I105" s="304" t="n"/>
      <c r="J105" s="304" t="n"/>
      <c r="K105" s="304" t="n"/>
      <c r="L105" s="304" t="n"/>
      <c r="M105" s="304" t="n"/>
      <c r="N105" s="304" t="n"/>
      <c r="O105" s="304" t="n"/>
      <c r="P105" s="304" t="n"/>
      <c r="Q105" s="304" t="n"/>
    </row>
    <row r="106" ht="13.8" customHeight="1" s="343">
      <c r="A106" s="388">
        <f>ROW()-22</f>
        <v/>
      </c>
      <c r="B106" s="536">
        <f>_xlfn.NORM.INV(RAND(),$B$6,$C$6)</f>
        <v/>
      </c>
      <c r="C106" s="536">
        <f>MIN(_xlfn.NORM.INV(RAND(),$B$7,$C$7),B106-0.005)</f>
        <v/>
      </c>
      <c r="D106" s="537">
        <f>_xlfn.NORM.INV(RAND(),$B$8,$C$8)</f>
        <v/>
      </c>
      <c r="E106" s="391">
        <f t="array" ref="E106">(SUMPRODUCT($B$13:$F$13*D106/(1+B106)^$B$14:$F$14)+($F$13*D106*(1+C106))/(B106-C106)/(1+B106)^$F$14-$B$15+$B$16)/$B$17</f>
        <v/>
      </c>
      <c r="F106" s="304" t="n"/>
      <c r="G106" s="304" t="n"/>
      <c r="H106" s="304" t="n"/>
      <c r="I106" s="304" t="n"/>
      <c r="J106" s="304" t="n"/>
      <c r="K106" s="304" t="n"/>
      <c r="L106" s="304" t="n"/>
      <c r="M106" s="304" t="n"/>
      <c r="N106" s="304" t="n"/>
      <c r="O106" s="304" t="n"/>
      <c r="P106" s="304" t="n"/>
      <c r="Q106" s="304" t="n"/>
    </row>
    <row r="107" ht="13.8" customHeight="1" s="343">
      <c r="A107" s="388">
        <f>ROW()-22</f>
        <v/>
      </c>
      <c r="B107" s="536">
        <f>_xlfn.NORM.INV(RAND(),$B$6,$C$6)</f>
        <v/>
      </c>
      <c r="C107" s="536">
        <f>MIN(_xlfn.NORM.INV(RAND(),$B$7,$C$7),B107-0.005)</f>
        <v/>
      </c>
      <c r="D107" s="537">
        <f>_xlfn.NORM.INV(RAND(),$B$8,$C$8)</f>
        <v/>
      </c>
      <c r="E107" s="391">
        <f t="array" ref="E107">(SUMPRODUCT($B$13:$F$13*D107/(1+B107)^$B$14:$F$14)+($F$13*D107*(1+C107))/(B107-C107)/(1+B107)^$F$14-$B$15+$B$16)/$B$17</f>
        <v/>
      </c>
      <c r="F107" s="304" t="n"/>
      <c r="G107" s="304" t="n"/>
      <c r="H107" s="304" t="n"/>
      <c r="I107" s="304" t="n"/>
      <c r="J107" s="304" t="n"/>
      <c r="K107" s="304" t="n"/>
      <c r="L107" s="304" t="n"/>
      <c r="M107" s="304" t="n"/>
      <c r="N107" s="304" t="n"/>
      <c r="O107" s="304" t="n"/>
      <c r="P107" s="304" t="n"/>
      <c r="Q107" s="304" t="n"/>
    </row>
    <row r="108" ht="13.8" customHeight="1" s="343">
      <c r="A108" s="388">
        <f>ROW()-22</f>
        <v/>
      </c>
      <c r="B108" s="536">
        <f>_xlfn.NORM.INV(RAND(),$B$6,$C$6)</f>
        <v/>
      </c>
      <c r="C108" s="536">
        <f>MIN(_xlfn.NORM.INV(RAND(),$B$7,$C$7),B108-0.005)</f>
        <v/>
      </c>
      <c r="D108" s="537">
        <f>_xlfn.NORM.INV(RAND(),$B$8,$C$8)</f>
        <v/>
      </c>
      <c r="E108" s="391">
        <f t="array" ref="E108">(SUMPRODUCT($B$13:$F$13*D108/(1+B108)^$B$14:$F$14)+($F$13*D108*(1+C108))/(B108-C108)/(1+B108)^$F$14-$B$15+$B$16)/$B$17</f>
        <v/>
      </c>
      <c r="F108" s="304" t="n"/>
      <c r="G108" s="304" t="n"/>
      <c r="H108" s="304" t="n"/>
      <c r="I108" s="304" t="n"/>
      <c r="J108" s="304" t="n"/>
      <c r="K108" s="304" t="n"/>
      <c r="L108" s="304" t="n"/>
      <c r="M108" s="304" t="n"/>
      <c r="N108" s="304" t="n"/>
      <c r="O108" s="304" t="n"/>
      <c r="P108" s="304" t="n"/>
      <c r="Q108" s="304" t="n"/>
    </row>
    <row r="109" ht="13.8" customHeight="1" s="343">
      <c r="A109" s="388">
        <f>ROW()-22</f>
        <v/>
      </c>
      <c r="B109" s="536">
        <f>_xlfn.NORM.INV(RAND(),$B$6,$C$6)</f>
        <v/>
      </c>
      <c r="C109" s="536">
        <f>MIN(_xlfn.NORM.INV(RAND(),$B$7,$C$7),B109-0.005)</f>
        <v/>
      </c>
      <c r="D109" s="537">
        <f>_xlfn.NORM.INV(RAND(),$B$8,$C$8)</f>
        <v/>
      </c>
      <c r="E109" s="391">
        <f t="array" ref="E109">(SUMPRODUCT($B$13:$F$13*D109/(1+B109)^$B$14:$F$14)+($F$13*D109*(1+C109))/(B109-C109)/(1+B109)^$F$14-$B$15+$B$16)/$B$17</f>
        <v/>
      </c>
      <c r="F109" s="304" t="n"/>
      <c r="G109" s="304" t="n"/>
      <c r="H109" s="304" t="n"/>
      <c r="I109" s="304" t="n"/>
      <c r="J109" s="304" t="n"/>
      <c r="K109" s="304" t="n"/>
      <c r="L109" s="304" t="n"/>
      <c r="M109" s="304" t="n"/>
      <c r="N109" s="304" t="n"/>
      <c r="O109" s="304" t="n"/>
      <c r="P109" s="304" t="n"/>
      <c r="Q109" s="304" t="n"/>
    </row>
    <row r="110" ht="13.8" customHeight="1" s="343">
      <c r="A110" s="388">
        <f>ROW()-22</f>
        <v/>
      </c>
      <c r="B110" s="536">
        <f>_xlfn.NORM.INV(RAND(),$B$6,$C$6)</f>
        <v/>
      </c>
      <c r="C110" s="536">
        <f>MIN(_xlfn.NORM.INV(RAND(),$B$7,$C$7),B110-0.005)</f>
        <v/>
      </c>
      <c r="D110" s="537">
        <f>_xlfn.NORM.INV(RAND(),$B$8,$C$8)</f>
        <v/>
      </c>
      <c r="E110" s="391">
        <f t="array" ref="E110">(SUMPRODUCT($B$13:$F$13*D110/(1+B110)^$B$14:$F$14)+($F$13*D110*(1+C110))/(B110-C110)/(1+B110)^$F$14-$B$15+$B$16)/$B$17</f>
        <v/>
      </c>
      <c r="F110" s="304" t="n"/>
      <c r="G110" s="304" t="n"/>
      <c r="H110" s="304" t="n"/>
      <c r="I110" s="304" t="n"/>
      <c r="J110" s="304" t="n"/>
      <c r="K110" s="304" t="n"/>
      <c r="L110" s="304" t="n"/>
      <c r="M110" s="304" t="n"/>
      <c r="N110" s="304" t="n"/>
      <c r="O110" s="304" t="n"/>
      <c r="P110" s="304" t="n"/>
      <c r="Q110" s="304" t="n"/>
    </row>
    <row r="111" ht="13.8" customHeight="1" s="343">
      <c r="A111" s="388">
        <f>ROW()-22</f>
        <v/>
      </c>
      <c r="B111" s="536">
        <f>_xlfn.NORM.INV(RAND(),$B$6,$C$6)</f>
        <v/>
      </c>
      <c r="C111" s="536">
        <f>MIN(_xlfn.NORM.INV(RAND(),$B$7,$C$7),B111-0.005)</f>
        <v/>
      </c>
      <c r="D111" s="537">
        <f>_xlfn.NORM.INV(RAND(),$B$8,$C$8)</f>
        <v/>
      </c>
      <c r="E111" s="391">
        <f t="array" ref="E111">(SUMPRODUCT($B$13:$F$13*D111/(1+B111)^$B$14:$F$14)+($F$13*D111*(1+C111))/(B111-C111)/(1+B111)^$F$14-$B$15+$B$16)/$B$17</f>
        <v/>
      </c>
      <c r="F111" s="304" t="n"/>
      <c r="G111" s="304" t="n"/>
      <c r="H111" s="304" t="n"/>
      <c r="I111" s="304" t="n"/>
      <c r="J111" s="304" t="n"/>
      <c r="K111" s="304" t="n"/>
      <c r="L111" s="304" t="n"/>
      <c r="M111" s="304" t="n"/>
      <c r="N111" s="304" t="n"/>
      <c r="O111" s="304" t="n"/>
      <c r="P111" s="304" t="n"/>
      <c r="Q111" s="304" t="n"/>
    </row>
    <row r="112" ht="13.8" customHeight="1" s="343">
      <c r="A112" s="388">
        <f>ROW()-22</f>
        <v/>
      </c>
      <c r="B112" s="536">
        <f>_xlfn.NORM.INV(RAND(),$B$6,$C$6)</f>
        <v/>
      </c>
      <c r="C112" s="536">
        <f>MIN(_xlfn.NORM.INV(RAND(),$B$7,$C$7),B112-0.005)</f>
        <v/>
      </c>
      <c r="D112" s="537">
        <f>_xlfn.NORM.INV(RAND(),$B$8,$C$8)</f>
        <v/>
      </c>
      <c r="E112" s="391">
        <f t="array" ref="E112">(SUMPRODUCT($B$13:$F$13*D112/(1+B112)^$B$14:$F$14)+($F$13*D112*(1+C112))/(B112-C112)/(1+B112)^$F$14-$B$15+$B$16)/$B$17</f>
        <v/>
      </c>
      <c r="F112" s="304" t="n"/>
      <c r="G112" s="304" t="n"/>
      <c r="H112" s="304" t="n"/>
      <c r="I112" s="304" t="n"/>
      <c r="J112" s="304" t="n"/>
      <c r="K112" s="304" t="n"/>
      <c r="L112" s="304" t="n"/>
      <c r="M112" s="304" t="n"/>
      <c r="N112" s="304" t="n"/>
      <c r="O112" s="304" t="n"/>
      <c r="P112" s="304" t="n"/>
      <c r="Q112" s="304" t="n"/>
    </row>
    <row r="113" ht="13.8" customHeight="1" s="343">
      <c r="A113" s="388">
        <f>ROW()-22</f>
        <v/>
      </c>
      <c r="B113" s="536">
        <f>_xlfn.NORM.INV(RAND(),$B$6,$C$6)</f>
        <v/>
      </c>
      <c r="C113" s="536">
        <f>MIN(_xlfn.NORM.INV(RAND(),$B$7,$C$7),B113-0.005)</f>
        <v/>
      </c>
      <c r="D113" s="537">
        <f>_xlfn.NORM.INV(RAND(),$B$8,$C$8)</f>
        <v/>
      </c>
      <c r="E113" s="391">
        <f t="array" ref="E113">(SUMPRODUCT($B$13:$F$13*D113/(1+B113)^$B$14:$F$14)+($F$13*D113*(1+C113))/(B113-C113)/(1+B113)^$F$14-$B$15+$B$16)/$B$17</f>
        <v/>
      </c>
      <c r="F113" s="304" t="n"/>
      <c r="G113" s="304" t="n"/>
      <c r="H113" s="304" t="n"/>
      <c r="I113" s="304" t="n"/>
      <c r="J113" s="304" t="n"/>
      <c r="K113" s="304" t="n"/>
      <c r="L113" s="304" t="n"/>
      <c r="M113" s="304" t="n"/>
      <c r="N113" s="304" t="n"/>
      <c r="O113" s="304" t="n"/>
      <c r="P113" s="304" t="n"/>
      <c r="Q113" s="304" t="n"/>
    </row>
    <row r="114" ht="13.8" customHeight="1" s="343">
      <c r="A114" s="388">
        <f>ROW()-22</f>
        <v/>
      </c>
      <c r="B114" s="536">
        <f>_xlfn.NORM.INV(RAND(),$B$6,$C$6)</f>
        <v/>
      </c>
      <c r="C114" s="536">
        <f>MIN(_xlfn.NORM.INV(RAND(),$B$7,$C$7),B114-0.005)</f>
        <v/>
      </c>
      <c r="D114" s="537">
        <f>_xlfn.NORM.INV(RAND(),$B$8,$C$8)</f>
        <v/>
      </c>
      <c r="E114" s="391">
        <f t="array" ref="E114">(SUMPRODUCT($B$13:$F$13*D114/(1+B114)^$B$14:$F$14)+($F$13*D114*(1+C114))/(B114-C114)/(1+B114)^$F$14-$B$15+$B$16)/$B$17</f>
        <v/>
      </c>
      <c r="F114" s="304" t="n"/>
      <c r="G114" s="304" t="n"/>
      <c r="H114" s="304" t="n"/>
      <c r="I114" s="304" t="n"/>
      <c r="J114" s="304" t="n"/>
      <c r="K114" s="304" t="n"/>
      <c r="L114" s="304" t="n"/>
      <c r="M114" s="304" t="n"/>
      <c r="N114" s="304" t="n"/>
      <c r="O114" s="304" t="n"/>
      <c r="P114" s="304" t="n"/>
      <c r="Q114" s="304" t="n"/>
    </row>
    <row r="115" ht="13.8" customHeight="1" s="343">
      <c r="A115" s="388">
        <f>ROW()-22</f>
        <v/>
      </c>
      <c r="B115" s="536">
        <f>_xlfn.NORM.INV(RAND(),$B$6,$C$6)</f>
        <v/>
      </c>
      <c r="C115" s="536">
        <f>MIN(_xlfn.NORM.INV(RAND(),$B$7,$C$7),B115-0.005)</f>
        <v/>
      </c>
      <c r="D115" s="537">
        <f>_xlfn.NORM.INV(RAND(),$B$8,$C$8)</f>
        <v/>
      </c>
      <c r="E115" s="391">
        <f t="array" ref="E115">(SUMPRODUCT($B$13:$F$13*D115/(1+B115)^$B$14:$F$14)+($F$13*D115*(1+C115))/(B115-C115)/(1+B115)^$F$14-$B$15+$B$16)/$B$17</f>
        <v/>
      </c>
      <c r="F115" s="304" t="n"/>
      <c r="G115" s="304" t="n"/>
      <c r="H115" s="304" t="n"/>
      <c r="I115" s="304" t="n"/>
      <c r="J115" s="304" t="n"/>
      <c r="K115" s="304" t="n"/>
      <c r="L115" s="304" t="n"/>
      <c r="M115" s="304" t="n"/>
      <c r="N115" s="304" t="n"/>
      <c r="O115" s="304" t="n"/>
      <c r="P115" s="304" t="n"/>
      <c r="Q115" s="304" t="n"/>
    </row>
    <row r="116" ht="13.8" customHeight="1" s="343">
      <c r="A116" s="388">
        <f>ROW()-22</f>
        <v/>
      </c>
      <c r="B116" s="536">
        <f>_xlfn.NORM.INV(RAND(),$B$6,$C$6)</f>
        <v/>
      </c>
      <c r="C116" s="536">
        <f>MIN(_xlfn.NORM.INV(RAND(),$B$7,$C$7),B116-0.005)</f>
        <v/>
      </c>
      <c r="D116" s="537">
        <f>_xlfn.NORM.INV(RAND(),$B$8,$C$8)</f>
        <v/>
      </c>
      <c r="E116" s="391">
        <f t="array" ref="E116">(SUMPRODUCT($B$13:$F$13*D116/(1+B116)^$B$14:$F$14)+($F$13*D116*(1+C116))/(B116-C116)/(1+B116)^$F$14-$B$15+$B$16)/$B$17</f>
        <v/>
      </c>
      <c r="F116" s="304" t="n"/>
      <c r="G116" s="304" t="n"/>
      <c r="H116" s="304" t="n"/>
      <c r="I116" s="304" t="n"/>
      <c r="J116" s="304" t="n"/>
      <c r="K116" s="304" t="n"/>
      <c r="L116" s="304" t="n"/>
      <c r="M116" s="304" t="n"/>
      <c r="N116" s="304" t="n"/>
      <c r="O116" s="304" t="n"/>
      <c r="P116" s="304" t="n"/>
      <c r="Q116" s="304" t="n"/>
    </row>
    <row r="117" ht="13.8" customHeight="1" s="343">
      <c r="A117" s="388">
        <f>ROW()-22</f>
        <v/>
      </c>
      <c r="B117" s="536">
        <f>_xlfn.NORM.INV(RAND(),$B$6,$C$6)</f>
        <v/>
      </c>
      <c r="C117" s="536">
        <f>MIN(_xlfn.NORM.INV(RAND(),$B$7,$C$7),B117-0.005)</f>
        <v/>
      </c>
      <c r="D117" s="537">
        <f>_xlfn.NORM.INV(RAND(),$B$8,$C$8)</f>
        <v/>
      </c>
      <c r="E117" s="391">
        <f t="array" ref="E117">(SUMPRODUCT($B$13:$F$13*D117/(1+B117)^$B$14:$F$14)+($F$13*D117*(1+C117))/(B117-C117)/(1+B117)^$F$14-$B$15+$B$16)/$B$17</f>
        <v/>
      </c>
      <c r="F117" s="304" t="n"/>
      <c r="G117" s="304" t="n"/>
      <c r="H117" s="304" t="n"/>
      <c r="I117" s="304" t="n"/>
      <c r="J117" s="304" t="n"/>
      <c r="K117" s="304" t="n"/>
      <c r="L117" s="304" t="n"/>
      <c r="M117" s="304" t="n"/>
      <c r="N117" s="304" t="n"/>
      <c r="O117" s="304" t="n"/>
      <c r="P117" s="304" t="n"/>
      <c r="Q117" s="304" t="n"/>
    </row>
    <row r="118" ht="13.8" customHeight="1" s="343">
      <c r="A118" s="388">
        <f>ROW()-22</f>
        <v/>
      </c>
      <c r="B118" s="536">
        <f>_xlfn.NORM.INV(RAND(),$B$6,$C$6)</f>
        <v/>
      </c>
      <c r="C118" s="536">
        <f>MIN(_xlfn.NORM.INV(RAND(),$B$7,$C$7),B118-0.005)</f>
        <v/>
      </c>
      <c r="D118" s="537">
        <f>_xlfn.NORM.INV(RAND(),$B$8,$C$8)</f>
        <v/>
      </c>
      <c r="E118" s="391">
        <f t="array" ref="E118">(SUMPRODUCT($B$13:$F$13*D118/(1+B118)^$B$14:$F$14)+($F$13*D118*(1+C118))/(B118-C118)/(1+B118)^$F$14-$B$15+$B$16)/$B$17</f>
        <v/>
      </c>
      <c r="F118" s="304" t="n"/>
      <c r="G118" s="304" t="n"/>
      <c r="H118" s="304" t="n"/>
      <c r="I118" s="304" t="n"/>
      <c r="J118" s="304" t="n"/>
      <c r="K118" s="304" t="n"/>
      <c r="L118" s="304" t="n"/>
      <c r="M118" s="304" t="n"/>
      <c r="N118" s="304" t="n"/>
      <c r="O118" s="304" t="n"/>
      <c r="P118" s="304" t="n"/>
      <c r="Q118" s="304" t="n"/>
    </row>
    <row r="119" ht="13.8" customHeight="1" s="343">
      <c r="A119" s="388">
        <f>ROW()-22</f>
        <v/>
      </c>
      <c r="B119" s="536">
        <f>_xlfn.NORM.INV(RAND(),$B$6,$C$6)</f>
        <v/>
      </c>
      <c r="C119" s="536">
        <f>MIN(_xlfn.NORM.INV(RAND(),$B$7,$C$7),B119-0.005)</f>
        <v/>
      </c>
      <c r="D119" s="537">
        <f>_xlfn.NORM.INV(RAND(),$B$8,$C$8)</f>
        <v/>
      </c>
      <c r="E119" s="391">
        <f t="array" ref="E119">(SUMPRODUCT($B$13:$F$13*D119/(1+B119)^$B$14:$F$14)+($F$13*D119*(1+C119))/(B119-C119)/(1+B119)^$F$14-$B$15+$B$16)/$B$17</f>
        <v/>
      </c>
      <c r="F119" s="304" t="n"/>
      <c r="G119" s="304" t="n"/>
      <c r="H119" s="304" t="n"/>
      <c r="I119" s="304" t="n"/>
      <c r="J119" s="304" t="n"/>
      <c r="K119" s="304" t="n"/>
      <c r="L119" s="304" t="n"/>
      <c r="M119" s="304" t="n"/>
      <c r="N119" s="304" t="n"/>
      <c r="O119" s="304" t="n"/>
      <c r="P119" s="304" t="n"/>
      <c r="Q119" s="304" t="n"/>
    </row>
    <row r="120" ht="13.8" customHeight="1" s="343">
      <c r="A120" s="388">
        <f>ROW()-22</f>
        <v/>
      </c>
      <c r="B120" s="536">
        <f>_xlfn.NORM.INV(RAND(),$B$6,$C$6)</f>
        <v/>
      </c>
      <c r="C120" s="536">
        <f>MIN(_xlfn.NORM.INV(RAND(),$B$7,$C$7),B120-0.005)</f>
        <v/>
      </c>
      <c r="D120" s="537">
        <f>_xlfn.NORM.INV(RAND(),$B$8,$C$8)</f>
        <v/>
      </c>
      <c r="E120" s="391">
        <f t="array" ref="E120">(SUMPRODUCT($B$13:$F$13*D120/(1+B120)^$B$14:$F$14)+($F$13*D120*(1+C120))/(B120-C120)/(1+B120)^$F$14-$B$15+$B$16)/$B$17</f>
        <v/>
      </c>
      <c r="F120" s="304" t="n"/>
      <c r="G120" s="304" t="n"/>
      <c r="H120" s="304" t="n"/>
      <c r="I120" s="304" t="n"/>
      <c r="J120" s="304" t="n"/>
      <c r="K120" s="304" t="n"/>
      <c r="L120" s="304" t="n"/>
      <c r="M120" s="304" t="n"/>
      <c r="N120" s="304" t="n"/>
      <c r="O120" s="304" t="n"/>
      <c r="P120" s="304" t="n"/>
      <c r="Q120" s="304" t="n"/>
    </row>
    <row r="121" ht="13.8" customHeight="1" s="343">
      <c r="A121" s="388">
        <f>ROW()-22</f>
        <v/>
      </c>
      <c r="B121" s="536">
        <f>_xlfn.NORM.INV(RAND(),$B$6,$C$6)</f>
        <v/>
      </c>
      <c r="C121" s="536">
        <f>MIN(_xlfn.NORM.INV(RAND(),$B$7,$C$7),B121-0.005)</f>
        <v/>
      </c>
      <c r="D121" s="537">
        <f>_xlfn.NORM.INV(RAND(),$B$8,$C$8)</f>
        <v/>
      </c>
      <c r="E121" s="391">
        <f t="array" ref="E121">(SUMPRODUCT($B$13:$F$13*D121/(1+B121)^$B$14:$F$14)+($F$13*D121*(1+C121))/(B121-C121)/(1+B121)^$F$14-$B$15+$B$16)/$B$17</f>
        <v/>
      </c>
      <c r="F121" s="304" t="n"/>
      <c r="G121" s="304" t="n"/>
      <c r="H121" s="304" t="n"/>
      <c r="I121" s="304" t="n"/>
      <c r="J121" s="304" t="n"/>
      <c r="K121" s="304" t="n"/>
      <c r="L121" s="304" t="n"/>
      <c r="M121" s="304" t="n"/>
      <c r="N121" s="304" t="n"/>
      <c r="O121" s="304" t="n"/>
      <c r="P121" s="304" t="n"/>
      <c r="Q121" s="304" t="n"/>
    </row>
    <row r="122" ht="13.8" customHeight="1" s="343">
      <c r="A122" s="388">
        <f>ROW()-22</f>
        <v/>
      </c>
      <c r="B122" s="536">
        <f>_xlfn.NORM.INV(RAND(),$B$6,$C$6)</f>
        <v/>
      </c>
      <c r="C122" s="536">
        <f>MIN(_xlfn.NORM.INV(RAND(),$B$7,$C$7),B122-0.005)</f>
        <v/>
      </c>
      <c r="D122" s="537">
        <f>_xlfn.NORM.INV(RAND(),$B$8,$C$8)</f>
        <v/>
      </c>
      <c r="E122" s="391">
        <f t="array" ref="E122">(SUMPRODUCT($B$13:$F$13*D122/(1+B122)^$B$14:$F$14)+($F$13*D122*(1+C122))/(B122-C122)/(1+B122)^$F$14-$B$15+$B$16)/$B$17</f>
        <v/>
      </c>
      <c r="F122" s="304" t="n"/>
      <c r="G122" s="304" t="n"/>
      <c r="H122" s="304" t="n"/>
      <c r="I122" s="304" t="n"/>
      <c r="J122" s="304" t="n"/>
      <c r="K122" s="304" t="n"/>
      <c r="L122" s="304" t="n"/>
      <c r="M122" s="304" t="n"/>
      <c r="N122" s="304" t="n"/>
      <c r="O122" s="304" t="n"/>
      <c r="P122" s="304" t="n"/>
      <c r="Q122" s="304" t="n"/>
    </row>
    <row r="123" ht="13.8" customHeight="1" s="343">
      <c r="A123" s="388">
        <f>ROW()-22</f>
        <v/>
      </c>
      <c r="B123" s="536">
        <f>_xlfn.NORM.INV(RAND(),$B$6,$C$6)</f>
        <v/>
      </c>
      <c r="C123" s="536">
        <f>MIN(_xlfn.NORM.INV(RAND(),$B$7,$C$7),B123-0.005)</f>
        <v/>
      </c>
      <c r="D123" s="537">
        <f>_xlfn.NORM.INV(RAND(),$B$8,$C$8)</f>
        <v/>
      </c>
      <c r="E123" s="391">
        <f t="array" ref="E123">(SUMPRODUCT($B$13:$F$13*D123/(1+B123)^$B$14:$F$14)+($F$13*D123*(1+C123))/(B123-C123)/(1+B123)^$F$14-$B$15+$B$16)/$B$17</f>
        <v/>
      </c>
      <c r="F123" s="304" t="n"/>
      <c r="G123" s="304" t="n"/>
      <c r="H123" s="304" t="n"/>
      <c r="I123" s="304" t="n"/>
      <c r="J123" s="304" t="n"/>
      <c r="K123" s="304" t="n"/>
      <c r="L123" s="304" t="n"/>
      <c r="M123" s="304" t="n"/>
      <c r="N123" s="304" t="n"/>
      <c r="O123" s="304" t="n"/>
      <c r="P123" s="304" t="n"/>
      <c r="Q123" s="304" t="n"/>
    </row>
    <row r="124" ht="13.8" customHeight="1" s="343">
      <c r="A124" s="388">
        <f>ROW()-22</f>
        <v/>
      </c>
      <c r="B124" s="536">
        <f>_xlfn.NORM.INV(RAND(),$B$6,$C$6)</f>
        <v/>
      </c>
      <c r="C124" s="536">
        <f>MIN(_xlfn.NORM.INV(RAND(),$B$7,$C$7),B124-0.005)</f>
        <v/>
      </c>
      <c r="D124" s="537">
        <f>_xlfn.NORM.INV(RAND(),$B$8,$C$8)</f>
        <v/>
      </c>
      <c r="E124" s="391">
        <f t="array" ref="E124">(SUMPRODUCT($B$13:$F$13*D124/(1+B124)^$B$14:$F$14)+($F$13*D124*(1+C124))/(B124-C124)/(1+B124)^$F$14-$B$15+$B$16)/$B$17</f>
        <v/>
      </c>
      <c r="F124" s="304" t="n"/>
      <c r="G124" s="304" t="n"/>
      <c r="H124" s="304" t="n"/>
      <c r="I124" s="304" t="n"/>
      <c r="J124" s="304" t="n"/>
      <c r="K124" s="304" t="n"/>
      <c r="L124" s="304" t="n"/>
      <c r="M124" s="304" t="n"/>
      <c r="N124" s="304" t="n"/>
      <c r="O124" s="304" t="n"/>
      <c r="P124" s="304" t="n"/>
      <c r="Q124" s="304" t="n"/>
    </row>
    <row r="125" ht="13.8" customHeight="1" s="343">
      <c r="A125" s="388">
        <f>ROW()-22</f>
        <v/>
      </c>
      <c r="B125" s="536">
        <f>_xlfn.NORM.INV(RAND(),$B$6,$C$6)</f>
        <v/>
      </c>
      <c r="C125" s="536">
        <f>MIN(_xlfn.NORM.INV(RAND(),$B$7,$C$7),B125-0.005)</f>
        <v/>
      </c>
      <c r="D125" s="537">
        <f>_xlfn.NORM.INV(RAND(),$B$8,$C$8)</f>
        <v/>
      </c>
      <c r="E125" s="391">
        <f t="array" ref="E125">(SUMPRODUCT($B$13:$F$13*D125/(1+B125)^$B$14:$F$14)+($F$13*D125*(1+C125))/(B125-C125)/(1+B125)^$F$14-$B$15+$B$16)/$B$17</f>
        <v/>
      </c>
      <c r="F125" s="304" t="n"/>
      <c r="G125" s="304" t="n"/>
      <c r="H125" s="304" t="n"/>
      <c r="I125" s="304" t="n"/>
      <c r="J125" s="304" t="n"/>
      <c r="K125" s="304" t="n"/>
      <c r="L125" s="304" t="n"/>
      <c r="M125" s="304" t="n"/>
      <c r="N125" s="304" t="n"/>
      <c r="O125" s="304" t="n"/>
      <c r="P125" s="304" t="n"/>
      <c r="Q125" s="304" t="n"/>
    </row>
    <row r="126" ht="13.8" customHeight="1" s="343">
      <c r="A126" s="388">
        <f>ROW()-22</f>
        <v/>
      </c>
      <c r="B126" s="536">
        <f>_xlfn.NORM.INV(RAND(),$B$6,$C$6)</f>
        <v/>
      </c>
      <c r="C126" s="536">
        <f>MIN(_xlfn.NORM.INV(RAND(),$B$7,$C$7),B126-0.005)</f>
        <v/>
      </c>
      <c r="D126" s="537">
        <f>_xlfn.NORM.INV(RAND(),$B$8,$C$8)</f>
        <v/>
      </c>
      <c r="E126" s="391">
        <f t="array" ref="E126">(SUMPRODUCT($B$13:$F$13*D126/(1+B126)^$B$14:$F$14)+($F$13*D126*(1+C126))/(B126-C126)/(1+B126)^$F$14-$B$15+$B$16)/$B$17</f>
        <v/>
      </c>
      <c r="F126" s="304" t="n"/>
      <c r="G126" s="304" t="n"/>
      <c r="H126" s="304" t="n"/>
      <c r="I126" s="304" t="n"/>
      <c r="J126" s="304" t="n"/>
      <c r="K126" s="304" t="n"/>
      <c r="L126" s="304" t="n"/>
      <c r="M126" s="304" t="n"/>
      <c r="N126" s="304" t="n"/>
      <c r="O126" s="304" t="n"/>
      <c r="P126" s="304" t="n"/>
      <c r="Q126" s="304" t="n"/>
    </row>
    <row r="127" ht="13.8" customHeight="1" s="343">
      <c r="A127" s="388">
        <f>ROW()-22</f>
        <v/>
      </c>
      <c r="B127" s="536">
        <f>_xlfn.NORM.INV(RAND(),$B$6,$C$6)</f>
        <v/>
      </c>
      <c r="C127" s="536">
        <f>MIN(_xlfn.NORM.INV(RAND(),$B$7,$C$7),B127-0.005)</f>
        <v/>
      </c>
      <c r="D127" s="537">
        <f>_xlfn.NORM.INV(RAND(),$B$8,$C$8)</f>
        <v/>
      </c>
      <c r="E127" s="391">
        <f t="array" ref="E127">(SUMPRODUCT($B$13:$F$13*D127/(1+B127)^$B$14:$F$14)+($F$13*D127*(1+C127))/(B127-C127)/(1+B127)^$F$14-$B$15+$B$16)/$B$17</f>
        <v/>
      </c>
      <c r="F127" s="304" t="n"/>
      <c r="G127" s="304" t="n"/>
      <c r="H127" s="304" t="n"/>
      <c r="I127" s="304" t="n"/>
      <c r="J127" s="304" t="n"/>
      <c r="K127" s="304" t="n"/>
      <c r="L127" s="304" t="n"/>
      <c r="M127" s="304" t="n"/>
      <c r="N127" s="304" t="n"/>
      <c r="O127" s="304" t="n"/>
      <c r="P127" s="304" t="n"/>
      <c r="Q127" s="304" t="n"/>
    </row>
    <row r="128" ht="13.8" customHeight="1" s="343">
      <c r="A128" s="388">
        <f>ROW()-22</f>
        <v/>
      </c>
      <c r="B128" s="536">
        <f>_xlfn.NORM.INV(RAND(),$B$6,$C$6)</f>
        <v/>
      </c>
      <c r="C128" s="536">
        <f>MIN(_xlfn.NORM.INV(RAND(),$B$7,$C$7),B128-0.005)</f>
        <v/>
      </c>
      <c r="D128" s="537">
        <f>_xlfn.NORM.INV(RAND(),$B$8,$C$8)</f>
        <v/>
      </c>
      <c r="E128" s="391">
        <f t="array" ref="E128">(SUMPRODUCT($B$13:$F$13*D128/(1+B128)^$B$14:$F$14)+($F$13*D128*(1+C128))/(B128-C128)/(1+B128)^$F$14-$B$15+$B$16)/$B$17</f>
        <v/>
      </c>
      <c r="F128" s="304" t="n"/>
      <c r="G128" s="304" t="n"/>
      <c r="H128" s="304" t="n"/>
      <c r="I128" s="304" t="n"/>
      <c r="J128" s="304" t="n"/>
      <c r="K128" s="304" t="n"/>
      <c r="L128" s="304" t="n"/>
      <c r="M128" s="304" t="n"/>
      <c r="N128" s="304" t="n"/>
      <c r="O128" s="304" t="n"/>
      <c r="P128" s="304" t="n"/>
      <c r="Q128" s="304" t="n"/>
    </row>
    <row r="129" ht="13.8" customHeight="1" s="343">
      <c r="A129" s="388">
        <f>ROW()-22</f>
        <v/>
      </c>
      <c r="B129" s="536">
        <f>_xlfn.NORM.INV(RAND(),$B$6,$C$6)</f>
        <v/>
      </c>
      <c r="C129" s="536">
        <f>MIN(_xlfn.NORM.INV(RAND(),$B$7,$C$7),B129-0.005)</f>
        <v/>
      </c>
      <c r="D129" s="537">
        <f>_xlfn.NORM.INV(RAND(),$B$8,$C$8)</f>
        <v/>
      </c>
      <c r="E129" s="391">
        <f t="array" ref="E129">(SUMPRODUCT($B$13:$F$13*D129/(1+B129)^$B$14:$F$14)+($F$13*D129*(1+C129))/(B129-C129)/(1+B129)^$F$14-$B$15+$B$16)/$B$17</f>
        <v/>
      </c>
      <c r="F129" s="304" t="n"/>
      <c r="G129" s="304" t="n"/>
      <c r="H129" s="304" t="n"/>
      <c r="I129" s="304" t="n"/>
      <c r="J129" s="304" t="n"/>
      <c r="K129" s="304" t="n"/>
      <c r="L129" s="304" t="n"/>
      <c r="M129" s="304" t="n"/>
      <c r="N129" s="304" t="n"/>
      <c r="O129" s="304" t="n"/>
      <c r="P129" s="304" t="n"/>
      <c r="Q129" s="304" t="n"/>
    </row>
    <row r="130" ht="13.8" customHeight="1" s="343">
      <c r="A130" s="388">
        <f>ROW()-22</f>
        <v/>
      </c>
      <c r="B130" s="536">
        <f>_xlfn.NORM.INV(RAND(),$B$6,$C$6)</f>
        <v/>
      </c>
      <c r="C130" s="536">
        <f>MIN(_xlfn.NORM.INV(RAND(),$B$7,$C$7),B130-0.005)</f>
        <v/>
      </c>
      <c r="D130" s="537">
        <f>_xlfn.NORM.INV(RAND(),$B$8,$C$8)</f>
        <v/>
      </c>
      <c r="E130" s="391">
        <f t="array" ref="E130">(SUMPRODUCT($B$13:$F$13*D130/(1+B130)^$B$14:$F$14)+($F$13*D130*(1+C130))/(B130-C130)/(1+B130)^$F$14-$B$15+$B$16)/$B$17</f>
        <v/>
      </c>
      <c r="F130" s="304" t="n"/>
      <c r="G130" s="304" t="n"/>
      <c r="H130" s="304" t="n"/>
      <c r="I130" s="304" t="n"/>
      <c r="J130" s="304" t="n"/>
      <c r="K130" s="304" t="n"/>
      <c r="L130" s="304" t="n"/>
      <c r="M130" s="304" t="n"/>
      <c r="N130" s="304" t="n"/>
      <c r="O130" s="304" t="n"/>
      <c r="P130" s="304" t="n"/>
      <c r="Q130" s="304" t="n"/>
    </row>
    <row r="131" ht="13.8" customHeight="1" s="343">
      <c r="A131" s="388">
        <f>ROW()-22</f>
        <v/>
      </c>
      <c r="B131" s="536">
        <f>_xlfn.NORM.INV(RAND(),$B$6,$C$6)</f>
        <v/>
      </c>
      <c r="C131" s="536">
        <f>MIN(_xlfn.NORM.INV(RAND(),$B$7,$C$7),B131-0.005)</f>
        <v/>
      </c>
      <c r="D131" s="537">
        <f>_xlfn.NORM.INV(RAND(),$B$8,$C$8)</f>
        <v/>
      </c>
      <c r="E131" s="391">
        <f t="array" ref="E131">(SUMPRODUCT($B$13:$F$13*D131/(1+B131)^$B$14:$F$14)+($F$13*D131*(1+C131))/(B131-C131)/(1+B131)^$F$14-$B$15+$B$16)/$B$17</f>
        <v/>
      </c>
      <c r="F131" s="304" t="n"/>
      <c r="G131" s="304" t="n"/>
      <c r="H131" s="304" t="n"/>
      <c r="I131" s="304" t="n"/>
      <c r="J131" s="304" t="n"/>
      <c r="K131" s="304" t="n"/>
      <c r="L131" s="304" t="n"/>
      <c r="M131" s="304" t="n"/>
      <c r="N131" s="304" t="n"/>
      <c r="O131" s="304" t="n"/>
      <c r="P131" s="304" t="n"/>
      <c r="Q131" s="304" t="n"/>
    </row>
    <row r="132" ht="13.8" customHeight="1" s="343">
      <c r="A132" s="388">
        <f>ROW()-22</f>
        <v/>
      </c>
      <c r="B132" s="536">
        <f>_xlfn.NORM.INV(RAND(),$B$6,$C$6)</f>
        <v/>
      </c>
      <c r="C132" s="536">
        <f>MIN(_xlfn.NORM.INV(RAND(),$B$7,$C$7),B132-0.005)</f>
        <v/>
      </c>
      <c r="D132" s="537">
        <f>_xlfn.NORM.INV(RAND(),$B$8,$C$8)</f>
        <v/>
      </c>
      <c r="E132" s="391">
        <f t="array" ref="E132">(SUMPRODUCT($B$13:$F$13*D132/(1+B132)^$B$14:$F$14)+($F$13*D132*(1+C132))/(B132-C132)/(1+B132)^$F$14-$B$15+$B$16)/$B$17</f>
        <v/>
      </c>
      <c r="F132" s="304" t="n"/>
      <c r="G132" s="304" t="n"/>
      <c r="H132" s="304" t="n"/>
      <c r="I132" s="304" t="n"/>
      <c r="J132" s="304" t="n"/>
      <c r="K132" s="304" t="n"/>
      <c r="L132" s="304" t="n"/>
      <c r="M132" s="304" t="n"/>
      <c r="N132" s="304" t="n"/>
      <c r="O132" s="304" t="n"/>
      <c r="P132" s="304" t="n"/>
      <c r="Q132" s="304" t="n"/>
    </row>
    <row r="133" ht="13.8" customHeight="1" s="343">
      <c r="A133" s="388">
        <f>ROW()-22</f>
        <v/>
      </c>
      <c r="B133" s="536">
        <f>_xlfn.NORM.INV(RAND(),$B$6,$C$6)</f>
        <v/>
      </c>
      <c r="C133" s="536">
        <f>MIN(_xlfn.NORM.INV(RAND(),$B$7,$C$7),B133-0.005)</f>
        <v/>
      </c>
      <c r="D133" s="537">
        <f>_xlfn.NORM.INV(RAND(),$B$8,$C$8)</f>
        <v/>
      </c>
      <c r="E133" s="391">
        <f t="array" ref="E133">(SUMPRODUCT($B$13:$F$13*D133/(1+B133)^$B$14:$F$14)+($F$13*D133*(1+C133))/(B133-C133)/(1+B133)^$F$14-$B$15+$B$16)/$B$17</f>
        <v/>
      </c>
      <c r="F133" s="304" t="n"/>
      <c r="G133" s="304" t="n"/>
      <c r="H133" s="304" t="n"/>
      <c r="I133" s="304" t="n"/>
      <c r="J133" s="304" t="n"/>
      <c r="K133" s="304" t="n"/>
      <c r="L133" s="304" t="n"/>
      <c r="M133" s="304" t="n"/>
      <c r="N133" s="304" t="n"/>
      <c r="O133" s="304" t="n"/>
      <c r="P133" s="304" t="n"/>
      <c r="Q133" s="304" t="n"/>
    </row>
    <row r="134" ht="13.8" customHeight="1" s="343">
      <c r="A134" s="388">
        <f>ROW()-22</f>
        <v/>
      </c>
      <c r="B134" s="536">
        <f>_xlfn.NORM.INV(RAND(),$B$6,$C$6)</f>
        <v/>
      </c>
      <c r="C134" s="536">
        <f>MIN(_xlfn.NORM.INV(RAND(),$B$7,$C$7),B134-0.005)</f>
        <v/>
      </c>
      <c r="D134" s="537">
        <f>_xlfn.NORM.INV(RAND(),$B$8,$C$8)</f>
        <v/>
      </c>
      <c r="E134" s="391">
        <f t="array" ref="E134">(SUMPRODUCT($B$13:$F$13*D134/(1+B134)^$B$14:$F$14)+($F$13*D134*(1+C134))/(B134-C134)/(1+B134)^$F$14-$B$15+$B$16)/$B$17</f>
        <v/>
      </c>
      <c r="F134" s="304" t="n"/>
      <c r="G134" s="304" t="n"/>
      <c r="H134" s="304" t="n"/>
      <c r="I134" s="304" t="n"/>
      <c r="J134" s="304" t="n"/>
      <c r="K134" s="304" t="n"/>
      <c r="L134" s="304" t="n"/>
      <c r="M134" s="304" t="n"/>
      <c r="N134" s="304" t="n"/>
      <c r="O134" s="304" t="n"/>
      <c r="P134" s="304" t="n"/>
      <c r="Q134" s="304" t="n"/>
    </row>
    <row r="135" ht="13.8" customHeight="1" s="343">
      <c r="A135" s="388">
        <f>ROW()-22</f>
        <v/>
      </c>
      <c r="B135" s="536">
        <f>_xlfn.NORM.INV(RAND(),$B$6,$C$6)</f>
        <v/>
      </c>
      <c r="C135" s="536">
        <f>MIN(_xlfn.NORM.INV(RAND(),$B$7,$C$7),B135-0.005)</f>
        <v/>
      </c>
      <c r="D135" s="537">
        <f>_xlfn.NORM.INV(RAND(),$B$8,$C$8)</f>
        <v/>
      </c>
      <c r="E135" s="391">
        <f t="array" ref="E135">(SUMPRODUCT($B$13:$F$13*D135/(1+B135)^$B$14:$F$14)+($F$13*D135*(1+C135))/(B135-C135)/(1+B135)^$F$14-$B$15+$B$16)/$B$17</f>
        <v/>
      </c>
      <c r="F135" s="304" t="n"/>
      <c r="G135" s="304" t="n"/>
      <c r="H135" s="304" t="n"/>
      <c r="I135" s="304" t="n"/>
      <c r="J135" s="304" t="n"/>
      <c r="K135" s="304" t="n"/>
      <c r="L135" s="304" t="n"/>
      <c r="M135" s="304" t="n"/>
      <c r="N135" s="304" t="n"/>
      <c r="O135" s="304" t="n"/>
      <c r="P135" s="304" t="n"/>
      <c r="Q135" s="304" t="n"/>
    </row>
    <row r="136" ht="13.8" customHeight="1" s="343">
      <c r="A136" s="388">
        <f>ROW()-22</f>
        <v/>
      </c>
      <c r="B136" s="536">
        <f>_xlfn.NORM.INV(RAND(),$B$6,$C$6)</f>
        <v/>
      </c>
      <c r="C136" s="536">
        <f>MIN(_xlfn.NORM.INV(RAND(),$B$7,$C$7),B136-0.005)</f>
        <v/>
      </c>
      <c r="D136" s="537">
        <f>_xlfn.NORM.INV(RAND(),$B$8,$C$8)</f>
        <v/>
      </c>
      <c r="E136" s="391">
        <f t="array" ref="E136">(SUMPRODUCT($B$13:$F$13*D136/(1+B136)^$B$14:$F$14)+($F$13*D136*(1+C136))/(B136-C136)/(1+B136)^$F$14-$B$15+$B$16)/$B$17</f>
        <v/>
      </c>
      <c r="F136" s="304" t="n"/>
      <c r="G136" s="304" t="n"/>
      <c r="H136" s="304" t="n"/>
      <c r="I136" s="304" t="n"/>
      <c r="J136" s="304" t="n"/>
      <c r="K136" s="304" t="n"/>
      <c r="L136" s="304" t="n"/>
      <c r="M136" s="304" t="n"/>
      <c r="N136" s="304" t="n"/>
      <c r="O136" s="304" t="n"/>
      <c r="P136" s="304" t="n"/>
      <c r="Q136" s="304" t="n"/>
    </row>
    <row r="137" ht="13.8" customHeight="1" s="343">
      <c r="A137" s="388">
        <f>ROW()-22</f>
        <v/>
      </c>
      <c r="B137" s="536">
        <f>_xlfn.NORM.INV(RAND(),$B$6,$C$6)</f>
        <v/>
      </c>
      <c r="C137" s="536">
        <f>MIN(_xlfn.NORM.INV(RAND(),$B$7,$C$7),B137-0.005)</f>
        <v/>
      </c>
      <c r="D137" s="537">
        <f>_xlfn.NORM.INV(RAND(),$B$8,$C$8)</f>
        <v/>
      </c>
      <c r="E137" s="391">
        <f t="array" ref="E137">(SUMPRODUCT($B$13:$F$13*D137/(1+B137)^$B$14:$F$14)+($F$13*D137*(1+C137))/(B137-C137)/(1+B137)^$F$14-$B$15+$B$16)/$B$17</f>
        <v/>
      </c>
      <c r="F137" s="304" t="n"/>
      <c r="G137" s="304" t="n"/>
      <c r="H137" s="304" t="n"/>
      <c r="I137" s="304" t="n"/>
      <c r="J137" s="304" t="n"/>
      <c r="K137" s="304" t="n"/>
      <c r="L137" s="304" t="n"/>
      <c r="M137" s="304" t="n"/>
      <c r="N137" s="304" t="n"/>
      <c r="O137" s="304" t="n"/>
      <c r="P137" s="304" t="n"/>
      <c r="Q137" s="304" t="n"/>
    </row>
    <row r="138" ht="13.8" customHeight="1" s="343">
      <c r="A138" s="388">
        <f>ROW()-22</f>
        <v/>
      </c>
      <c r="B138" s="536">
        <f>_xlfn.NORM.INV(RAND(),$B$6,$C$6)</f>
        <v/>
      </c>
      <c r="C138" s="536">
        <f>MIN(_xlfn.NORM.INV(RAND(),$B$7,$C$7),B138-0.005)</f>
        <v/>
      </c>
      <c r="D138" s="537">
        <f>_xlfn.NORM.INV(RAND(),$B$8,$C$8)</f>
        <v/>
      </c>
      <c r="E138" s="391">
        <f t="array" ref="E138">(SUMPRODUCT($B$13:$F$13*D138/(1+B138)^$B$14:$F$14)+($F$13*D138*(1+C138))/(B138-C138)/(1+B138)^$F$14-$B$15+$B$16)/$B$17</f>
        <v/>
      </c>
      <c r="F138" s="304" t="n"/>
      <c r="G138" s="304" t="n"/>
      <c r="H138" s="304" t="n"/>
      <c r="I138" s="304" t="n"/>
      <c r="J138" s="304" t="n"/>
      <c r="K138" s="304" t="n"/>
      <c r="L138" s="304" t="n"/>
      <c r="M138" s="304" t="n"/>
      <c r="N138" s="304" t="n"/>
      <c r="O138" s="304" t="n"/>
      <c r="P138" s="304" t="n"/>
      <c r="Q138" s="304" t="n"/>
    </row>
    <row r="139" ht="13.8" customHeight="1" s="343">
      <c r="A139" s="388">
        <f>ROW()-22</f>
        <v/>
      </c>
      <c r="B139" s="536">
        <f>_xlfn.NORM.INV(RAND(),$B$6,$C$6)</f>
        <v/>
      </c>
      <c r="C139" s="536">
        <f>MIN(_xlfn.NORM.INV(RAND(),$B$7,$C$7),B139-0.005)</f>
        <v/>
      </c>
      <c r="D139" s="537">
        <f>_xlfn.NORM.INV(RAND(),$B$8,$C$8)</f>
        <v/>
      </c>
      <c r="E139" s="391">
        <f t="array" ref="E139">(SUMPRODUCT($B$13:$F$13*D139/(1+B139)^$B$14:$F$14)+($F$13*D139*(1+C139))/(B139-C139)/(1+B139)^$F$14-$B$15+$B$16)/$B$17</f>
        <v/>
      </c>
      <c r="F139" s="304" t="n"/>
      <c r="G139" s="304" t="n"/>
      <c r="H139" s="304" t="n"/>
      <c r="I139" s="304" t="n"/>
      <c r="J139" s="304" t="n"/>
      <c r="K139" s="304" t="n"/>
      <c r="L139" s="304" t="n"/>
      <c r="M139" s="304" t="n"/>
      <c r="N139" s="304" t="n"/>
      <c r="O139" s="304" t="n"/>
      <c r="P139" s="304" t="n"/>
      <c r="Q139" s="304" t="n"/>
    </row>
    <row r="140" ht="13.8" customHeight="1" s="343">
      <c r="A140" s="388">
        <f>ROW()-22</f>
        <v/>
      </c>
      <c r="B140" s="536">
        <f>_xlfn.NORM.INV(RAND(),$B$6,$C$6)</f>
        <v/>
      </c>
      <c r="C140" s="536">
        <f>MIN(_xlfn.NORM.INV(RAND(),$B$7,$C$7),B140-0.005)</f>
        <v/>
      </c>
      <c r="D140" s="537">
        <f>_xlfn.NORM.INV(RAND(),$B$8,$C$8)</f>
        <v/>
      </c>
      <c r="E140" s="391">
        <f t="array" ref="E140">(SUMPRODUCT($B$13:$F$13*D140/(1+B140)^$B$14:$F$14)+($F$13*D140*(1+C140))/(B140-C140)/(1+B140)^$F$14-$B$15+$B$16)/$B$17</f>
        <v/>
      </c>
      <c r="F140" s="304" t="n"/>
      <c r="G140" s="304" t="n"/>
      <c r="H140" s="304" t="n"/>
      <c r="I140" s="304" t="n"/>
      <c r="J140" s="304" t="n"/>
      <c r="K140" s="304" t="n"/>
      <c r="L140" s="304" t="n"/>
      <c r="M140" s="304" t="n"/>
      <c r="N140" s="304" t="n"/>
      <c r="O140" s="304" t="n"/>
      <c r="P140" s="304" t="n"/>
      <c r="Q140" s="304" t="n"/>
    </row>
    <row r="141" ht="13.8" customHeight="1" s="343">
      <c r="A141" s="388">
        <f>ROW()-22</f>
        <v/>
      </c>
      <c r="B141" s="536">
        <f>_xlfn.NORM.INV(RAND(),$B$6,$C$6)</f>
        <v/>
      </c>
      <c r="C141" s="536">
        <f>MIN(_xlfn.NORM.INV(RAND(),$B$7,$C$7),B141-0.005)</f>
        <v/>
      </c>
      <c r="D141" s="537">
        <f>_xlfn.NORM.INV(RAND(),$B$8,$C$8)</f>
        <v/>
      </c>
      <c r="E141" s="391">
        <f t="array" ref="E141">(SUMPRODUCT($B$13:$F$13*D141/(1+B141)^$B$14:$F$14)+($F$13*D141*(1+C141))/(B141-C141)/(1+B141)^$F$14-$B$15+$B$16)/$B$17</f>
        <v/>
      </c>
      <c r="F141" s="304" t="n"/>
      <c r="G141" s="304" t="n"/>
      <c r="H141" s="304" t="n"/>
      <c r="I141" s="304" t="n"/>
      <c r="J141" s="304" t="n"/>
      <c r="K141" s="304" t="n"/>
      <c r="L141" s="304" t="n"/>
      <c r="M141" s="304" t="n"/>
      <c r="N141" s="304" t="n"/>
      <c r="O141" s="304" t="n"/>
      <c r="P141" s="304" t="n"/>
      <c r="Q141" s="304" t="n"/>
    </row>
    <row r="142" ht="13.8" customHeight="1" s="343">
      <c r="A142" s="388">
        <f>ROW()-22</f>
        <v/>
      </c>
      <c r="B142" s="536">
        <f>_xlfn.NORM.INV(RAND(),$B$6,$C$6)</f>
        <v/>
      </c>
      <c r="C142" s="536">
        <f>MIN(_xlfn.NORM.INV(RAND(),$B$7,$C$7),B142-0.005)</f>
        <v/>
      </c>
      <c r="D142" s="537">
        <f>_xlfn.NORM.INV(RAND(),$B$8,$C$8)</f>
        <v/>
      </c>
      <c r="E142" s="391">
        <f t="array" ref="E142">(SUMPRODUCT($B$13:$F$13*D142/(1+B142)^$B$14:$F$14)+($F$13*D142*(1+C142))/(B142-C142)/(1+B142)^$F$14-$B$15+$B$16)/$B$17</f>
        <v/>
      </c>
      <c r="F142" s="304" t="n"/>
      <c r="G142" s="304" t="n"/>
      <c r="H142" s="304" t="n"/>
      <c r="I142" s="304" t="n"/>
      <c r="J142" s="304" t="n"/>
      <c r="K142" s="304" t="n"/>
      <c r="L142" s="304" t="n"/>
      <c r="M142" s="304" t="n"/>
      <c r="N142" s="304" t="n"/>
      <c r="O142" s="304" t="n"/>
      <c r="P142" s="304" t="n"/>
      <c r="Q142" s="304" t="n"/>
    </row>
    <row r="143" ht="13.8" customHeight="1" s="343">
      <c r="A143" s="388">
        <f>ROW()-22</f>
        <v/>
      </c>
      <c r="B143" s="536">
        <f>_xlfn.NORM.INV(RAND(),$B$6,$C$6)</f>
        <v/>
      </c>
      <c r="C143" s="536">
        <f>MIN(_xlfn.NORM.INV(RAND(),$B$7,$C$7),B143-0.005)</f>
        <v/>
      </c>
      <c r="D143" s="537">
        <f>_xlfn.NORM.INV(RAND(),$B$8,$C$8)</f>
        <v/>
      </c>
      <c r="E143" s="391">
        <f t="array" ref="E143">(SUMPRODUCT($B$13:$F$13*D143/(1+B143)^$B$14:$F$14)+($F$13*D143*(1+C143))/(B143-C143)/(1+B143)^$F$14-$B$15+$B$16)/$B$17</f>
        <v/>
      </c>
      <c r="F143" s="304" t="n"/>
      <c r="G143" s="304" t="n"/>
      <c r="H143" s="304" t="n"/>
      <c r="I143" s="304" t="n"/>
      <c r="J143" s="304" t="n"/>
      <c r="K143" s="304" t="n"/>
      <c r="L143" s="304" t="n"/>
      <c r="M143" s="304" t="n"/>
      <c r="N143" s="304" t="n"/>
      <c r="O143" s="304" t="n"/>
      <c r="P143" s="304" t="n"/>
      <c r="Q143" s="304" t="n"/>
    </row>
    <row r="144" ht="13.8" customHeight="1" s="343">
      <c r="A144" s="388">
        <f>ROW()-22</f>
        <v/>
      </c>
      <c r="B144" s="536">
        <f>_xlfn.NORM.INV(RAND(),$B$6,$C$6)</f>
        <v/>
      </c>
      <c r="C144" s="536">
        <f>MIN(_xlfn.NORM.INV(RAND(),$B$7,$C$7),B144-0.005)</f>
        <v/>
      </c>
      <c r="D144" s="537">
        <f>_xlfn.NORM.INV(RAND(),$B$8,$C$8)</f>
        <v/>
      </c>
      <c r="E144" s="391">
        <f t="array" ref="E144">(SUMPRODUCT($B$13:$F$13*D144/(1+B144)^$B$14:$F$14)+($F$13*D144*(1+C144))/(B144-C144)/(1+B144)^$F$14-$B$15+$B$16)/$B$17</f>
        <v/>
      </c>
      <c r="F144" s="304" t="n"/>
      <c r="G144" s="304" t="n"/>
      <c r="H144" s="304" t="n"/>
      <c r="I144" s="304" t="n"/>
      <c r="J144" s="304" t="n"/>
      <c r="K144" s="304" t="n"/>
      <c r="L144" s="304" t="n"/>
      <c r="M144" s="304" t="n"/>
      <c r="N144" s="304" t="n"/>
      <c r="O144" s="304" t="n"/>
      <c r="P144" s="304" t="n"/>
      <c r="Q144" s="304" t="n"/>
    </row>
    <row r="145" ht="13.8" customHeight="1" s="343">
      <c r="A145" s="388">
        <f>ROW()-22</f>
        <v/>
      </c>
      <c r="B145" s="536">
        <f>_xlfn.NORM.INV(RAND(),$B$6,$C$6)</f>
        <v/>
      </c>
      <c r="C145" s="536">
        <f>MIN(_xlfn.NORM.INV(RAND(),$B$7,$C$7),B145-0.005)</f>
        <v/>
      </c>
      <c r="D145" s="537">
        <f>_xlfn.NORM.INV(RAND(),$B$8,$C$8)</f>
        <v/>
      </c>
      <c r="E145" s="391">
        <f t="array" ref="E145">(SUMPRODUCT($B$13:$F$13*D145/(1+B145)^$B$14:$F$14)+($F$13*D145*(1+C145))/(B145-C145)/(1+B145)^$F$14-$B$15+$B$16)/$B$17</f>
        <v/>
      </c>
      <c r="F145" s="304" t="n"/>
      <c r="G145" s="304" t="n"/>
      <c r="H145" s="304" t="n"/>
      <c r="I145" s="304" t="n"/>
      <c r="J145" s="304" t="n"/>
      <c r="K145" s="304" t="n"/>
      <c r="L145" s="304" t="n"/>
      <c r="M145" s="304" t="n"/>
      <c r="N145" s="304" t="n"/>
      <c r="O145" s="304" t="n"/>
      <c r="P145" s="304" t="n"/>
      <c r="Q145" s="304" t="n"/>
    </row>
    <row r="146" ht="13.8" customHeight="1" s="343">
      <c r="A146" s="388">
        <f>ROW()-22</f>
        <v/>
      </c>
      <c r="B146" s="536">
        <f>_xlfn.NORM.INV(RAND(),$B$6,$C$6)</f>
        <v/>
      </c>
      <c r="C146" s="536">
        <f>MIN(_xlfn.NORM.INV(RAND(),$B$7,$C$7),B146-0.005)</f>
        <v/>
      </c>
      <c r="D146" s="537">
        <f>_xlfn.NORM.INV(RAND(),$B$8,$C$8)</f>
        <v/>
      </c>
      <c r="E146" s="391">
        <f t="array" ref="E146">(SUMPRODUCT($B$13:$F$13*D146/(1+B146)^$B$14:$F$14)+($F$13*D146*(1+C146))/(B146-C146)/(1+B146)^$F$14-$B$15+$B$16)/$B$17</f>
        <v/>
      </c>
      <c r="F146" s="304" t="n"/>
      <c r="G146" s="304" t="n"/>
      <c r="H146" s="304" t="n"/>
      <c r="I146" s="304" t="n"/>
      <c r="J146" s="304" t="n"/>
      <c r="K146" s="304" t="n"/>
      <c r="L146" s="304" t="n"/>
      <c r="M146" s="304" t="n"/>
      <c r="N146" s="304" t="n"/>
      <c r="O146" s="304" t="n"/>
      <c r="P146" s="304" t="n"/>
      <c r="Q146" s="304" t="n"/>
    </row>
    <row r="147" ht="13.8" customHeight="1" s="343">
      <c r="A147" s="388">
        <f>ROW()-22</f>
        <v/>
      </c>
      <c r="B147" s="536">
        <f>_xlfn.NORM.INV(RAND(),$B$6,$C$6)</f>
        <v/>
      </c>
      <c r="C147" s="536">
        <f>MIN(_xlfn.NORM.INV(RAND(),$B$7,$C$7),B147-0.005)</f>
        <v/>
      </c>
      <c r="D147" s="537">
        <f>_xlfn.NORM.INV(RAND(),$B$8,$C$8)</f>
        <v/>
      </c>
      <c r="E147" s="391">
        <f t="array" ref="E147">(SUMPRODUCT($B$13:$F$13*D147/(1+B147)^$B$14:$F$14)+($F$13*D147*(1+C147))/(B147-C147)/(1+B147)^$F$14-$B$15+$B$16)/$B$17</f>
        <v/>
      </c>
      <c r="F147" s="304" t="n"/>
      <c r="G147" s="304" t="n"/>
      <c r="H147" s="304" t="n"/>
      <c r="I147" s="304" t="n"/>
      <c r="J147" s="304" t="n"/>
      <c r="K147" s="304" t="n"/>
      <c r="L147" s="304" t="n"/>
      <c r="M147" s="304" t="n"/>
      <c r="N147" s="304" t="n"/>
      <c r="O147" s="304" t="n"/>
      <c r="P147" s="304" t="n"/>
      <c r="Q147" s="304" t="n"/>
    </row>
    <row r="148" ht="13.8" customHeight="1" s="343">
      <c r="A148" s="388">
        <f>ROW()-22</f>
        <v/>
      </c>
      <c r="B148" s="536">
        <f>_xlfn.NORM.INV(RAND(),$B$6,$C$6)</f>
        <v/>
      </c>
      <c r="C148" s="536">
        <f>MIN(_xlfn.NORM.INV(RAND(),$B$7,$C$7),B148-0.005)</f>
        <v/>
      </c>
      <c r="D148" s="537">
        <f>_xlfn.NORM.INV(RAND(),$B$8,$C$8)</f>
        <v/>
      </c>
      <c r="E148" s="391">
        <f t="array" ref="E148">(SUMPRODUCT($B$13:$F$13*D148/(1+B148)^$B$14:$F$14)+($F$13*D148*(1+C148))/(B148-C148)/(1+B148)^$F$14-$B$15+$B$16)/$B$17</f>
        <v/>
      </c>
      <c r="F148" s="304" t="n"/>
      <c r="G148" s="304" t="n"/>
      <c r="H148" s="304" t="n"/>
      <c r="I148" s="304" t="n"/>
      <c r="J148" s="304" t="n"/>
      <c r="K148" s="304" t="n"/>
      <c r="L148" s="304" t="n"/>
      <c r="M148" s="304" t="n"/>
      <c r="N148" s="304" t="n"/>
      <c r="O148" s="304" t="n"/>
      <c r="P148" s="304" t="n"/>
      <c r="Q148" s="304" t="n"/>
    </row>
    <row r="149" ht="13.8" customHeight="1" s="343">
      <c r="A149" s="388">
        <f>ROW()-22</f>
        <v/>
      </c>
      <c r="B149" s="536">
        <f>_xlfn.NORM.INV(RAND(),$B$6,$C$6)</f>
        <v/>
      </c>
      <c r="C149" s="536">
        <f>MIN(_xlfn.NORM.INV(RAND(),$B$7,$C$7),B149-0.005)</f>
        <v/>
      </c>
      <c r="D149" s="537">
        <f>_xlfn.NORM.INV(RAND(),$B$8,$C$8)</f>
        <v/>
      </c>
      <c r="E149" s="391">
        <f t="array" ref="E149">(SUMPRODUCT($B$13:$F$13*D149/(1+B149)^$B$14:$F$14)+($F$13*D149*(1+C149))/(B149-C149)/(1+B149)^$F$14-$B$15+$B$16)/$B$17</f>
        <v/>
      </c>
      <c r="F149" s="304" t="n"/>
      <c r="G149" s="304" t="n"/>
      <c r="H149" s="304" t="n"/>
      <c r="I149" s="304" t="n"/>
      <c r="J149" s="304" t="n"/>
      <c r="K149" s="304" t="n"/>
      <c r="L149" s="304" t="n"/>
      <c r="M149" s="304" t="n"/>
      <c r="N149" s="304" t="n"/>
      <c r="O149" s="304" t="n"/>
      <c r="P149" s="304" t="n"/>
      <c r="Q149" s="304" t="n"/>
    </row>
    <row r="150" ht="13.8" customHeight="1" s="343">
      <c r="A150" s="388">
        <f>ROW()-22</f>
        <v/>
      </c>
      <c r="B150" s="536">
        <f>_xlfn.NORM.INV(RAND(),$B$6,$C$6)</f>
        <v/>
      </c>
      <c r="C150" s="536">
        <f>MIN(_xlfn.NORM.INV(RAND(),$B$7,$C$7),B150-0.005)</f>
        <v/>
      </c>
      <c r="D150" s="537">
        <f>_xlfn.NORM.INV(RAND(),$B$8,$C$8)</f>
        <v/>
      </c>
      <c r="E150" s="391">
        <f t="array" ref="E150">(SUMPRODUCT($B$13:$F$13*D150/(1+B150)^$B$14:$F$14)+($F$13*D150*(1+C150))/(B150-C150)/(1+B150)^$F$14-$B$15+$B$16)/$B$17</f>
        <v/>
      </c>
      <c r="F150" s="304" t="n"/>
      <c r="G150" s="304" t="n"/>
      <c r="H150" s="304" t="n"/>
      <c r="I150" s="304" t="n"/>
      <c r="J150" s="304" t="n"/>
      <c r="K150" s="304" t="n"/>
      <c r="L150" s="304" t="n"/>
      <c r="M150" s="304" t="n"/>
      <c r="N150" s="304" t="n"/>
      <c r="O150" s="304" t="n"/>
      <c r="P150" s="304" t="n"/>
      <c r="Q150" s="304" t="n"/>
    </row>
    <row r="151" ht="13.8" customHeight="1" s="343">
      <c r="A151" s="388">
        <f>ROW()-22</f>
        <v/>
      </c>
      <c r="B151" s="536">
        <f>_xlfn.NORM.INV(RAND(),$B$6,$C$6)</f>
        <v/>
      </c>
      <c r="C151" s="536">
        <f>MIN(_xlfn.NORM.INV(RAND(),$B$7,$C$7),B151-0.005)</f>
        <v/>
      </c>
      <c r="D151" s="537">
        <f>_xlfn.NORM.INV(RAND(),$B$8,$C$8)</f>
        <v/>
      </c>
      <c r="E151" s="391">
        <f t="array" ref="E151">(SUMPRODUCT($B$13:$F$13*D151/(1+B151)^$B$14:$F$14)+($F$13*D151*(1+C151))/(B151-C151)/(1+B151)^$F$14-$B$15+$B$16)/$B$17</f>
        <v/>
      </c>
      <c r="F151" s="304" t="n"/>
      <c r="G151" s="304" t="n"/>
      <c r="H151" s="304" t="n"/>
      <c r="I151" s="304" t="n"/>
      <c r="J151" s="304" t="n"/>
      <c r="K151" s="304" t="n"/>
      <c r="L151" s="304" t="n"/>
      <c r="M151" s="304" t="n"/>
      <c r="N151" s="304" t="n"/>
      <c r="O151" s="304" t="n"/>
      <c r="P151" s="304" t="n"/>
      <c r="Q151" s="304" t="n"/>
    </row>
    <row r="152" ht="13.8" customHeight="1" s="343">
      <c r="A152" s="388">
        <f>ROW()-22</f>
        <v/>
      </c>
      <c r="B152" s="536">
        <f>_xlfn.NORM.INV(RAND(),$B$6,$C$6)</f>
        <v/>
      </c>
      <c r="C152" s="536">
        <f>MIN(_xlfn.NORM.INV(RAND(),$B$7,$C$7),B152-0.005)</f>
        <v/>
      </c>
      <c r="D152" s="537">
        <f>_xlfn.NORM.INV(RAND(),$B$8,$C$8)</f>
        <v/>
      </c>
      <c r="E152" s="391">
        <f t="array" ref="E152">(SUMPRODUCT($B$13:$F$13*D152/(1+B152)^$B$14:$F$14)+($F$13*D152*(1+C152))/(B152-C152)/(1+B152)^$F$14-$B$15+$B$16)/$B$17</f>
        <v/>
      </c>
      <c r="F152" s="304" t="n"/>
      <c r="G152" s="304" t="n"/>
      <c r="H152" s="304" t="n"/>
      <c r="I152" s="304" t="n"/>
      <c r="J152" s="304" t="n"/>
      <c r="K152" s="304" t="n"/>
      <c r="L152" s="304" t="n"/>
      <c r="M152" s="304" t="n"/>
      <c r="N152" s="304" t="n"/>
      <c r="O152" s="304" t="n"/>
      <c r="P152" s="304" t="n"/>
      <c r="Q152" s="304" t="n"/>
    </row>
    <row r="153" ht="13.8" customHeight="1" s="343">
      <c r="A153" s="388">
        <f>ROW()-22</f>
        <v/>
      </c>
      <c r="B153" s="536">
        <f>_xlfn.NORM.INV(RAND(),$B$6,$C$6)</f>
        <v/>
      </c>
      <c r="C153" s="536">
        <f>MIN(_xlfn.NORM.INV(RAND(),$B$7,$C$7),B153-0.005)</f>
        <v/>
      </c>
      <c r="D153" s="537">
        <f>_xlfn.NORM.INV(RAND(),$B$8,$C$8)</f>
        <v/>
      </c>
      <c r="E153" s="391">
        <f t="array" ref="E153">(SUMPRODUCT($B$13:$F$13*D153/(1+B153)^$B$14:$F$14)+($F$13*D153*(1+C153))/(B153-C153)/(1+B153)^$F$14-$B$15+$B$16)/$B$17</f>
        <v/>
      </c>
      <c r="F153" s="304" t="n"/>
      <c r="G153" s="304" t="n"/>
      <c r="H153" s="304" t="n"/>
      <c r="I153" s="304" t="n"/>
      <c r="J153" s="304" t="n"/>
      <c r="K153" s="304" t="n"/>
      <c r="L153" s="304" t="n"/>
      <c r="M153" s="304" t="n"/>
      <c r="N153" s="304" t="n"/>
      <c r="O153" s="304" t="n"/>
      <c r="P153" s="304" t="n"/>
      <c r="Q153" s="304" t="n"/>
    </row>
    <row r="154" ht="13.8" customHeight="1" s="343">
      <c r="A154" s="388">
        <f>ROW()-22</f>
        <v/>
      </c>
      <c r="B154" s="536">
        <f>_xlfn.NORM.INV(RAND(),$B$6,$C$6)</f>
        <v/>
      </c>
      <c r="C154" s="536">
        <f>MIN(_xlfn.NORM.INV(RAND(),$B$7,$C$7),B154-0.005)</f>
        <v/>
      </c>
      <c r="D154" s="537">
        <f>_xlfn.NORM.INV(RAND(),$B$8,$C$8)</f>
        <v/>
      </c>
      <c r="E154" s="391">
        <f t="array" ref="E154">(SUMPRODUCT($B$13:$F$13*D154/(1+B154)^$B$14:$F$14)+($F$13*D154*(1+C154))/(B154-C154)/(1+B154)^$F$14-$B$15+$B$16)/$B$17</f>
        <v/>
      </c>
      <c r="F154" s="304" t="n"/>
      <c r="G154" s="304" t="n"/>
      <c r="H154" s="304" t="n"/>
      <c r="I154" s="304" t="n"/>
      <c r="J154" s="304" t="n"/>
      <c r="K154" s="304" t="n"/>
      <c r="L154" s="304" t="n"/>
      <c r="M154" s="304" t="n"/>
      <c r="N154" s="304" t="n"/>
      <c r="O154" s="304" t="n"/>
      <c r="P154" s="304" t="n"/>
      <c r="Q154" s="304" t="n"/>
    </row>
    <row r="155" ht="13.8" customHeight="1" s="343">
      <c r="A155" s="388">
        <f>ROW()-22</f>
        <v/>
      </c>
      <c r="B155" s="536">
        <f>_xlfn.NORM.INV(RAND(),$B$6,$C$6)</f>
        <v/>
      </c>
      <c r="C155" s="536">
        <f>MIN(_xlfn.NORM.INV(RAND(),$B$7,$C$7),B155-0.005)</f>
        <v/>
      </c>
      <c r="D155" s="537">
        <f>_xlfn.NORM.INV(RAND(),$B$8,$C$8)</f>
        <v/>
      </c>
      <c r="E155" s="391">
        <f t="array" ref="E155">(SUMPRODUCT($B$13:$F$13*D155/(1+B155)^$B$14:$F$14)+($F$13*D155*(1+C155))/(B155-C155)/(1+B155)^$F$14-$B$15+$B$16)/$B$17</f>
        <v/>
      </c>
      <c r="F155" s="304" t="n"/>
      <c r="G155" s="304" t="n"/>
      <c r="H155" s="304" t="n"/>
      <c r="I155" s="304" t="n"/>
      <c r="J155" s="304" t="n"/>
      <c r="K155" s="304" t="n"/>
      <c r="L155" s="304" t="n"/>
      <c r="M155" s="304" t="n"/>
      <c r="N155" s="304" t="n"/>
      <c r="O155" s="304" t="n"/>
      <c r="P155" s="304" t="n"/>
      <c r="Q155" s="304" t="n"/>
    </row>
    <row r="156" ht="13.8" customHeight="1" s="343">
      <c r="A156" s="388">
        <f>ROW()-22</f>
        <v/>
      </c>
      <c r="B156" s="536">
        <f>_xlfn.NORM.INV(RAND(),$B$6,$C$6)</f>
        <v/>
      </c>
      <c r="C156" s="536">
        <f>MIN(_xlfn.NORM.INV(RAND(),$B$7,$C$7),B156-0.005)</f>
        <v/>
      </c>
      <c r="D156" s="537">
        <f>_xlfn.NORM.INV(RAND(),$B$8,$C$8)</f>
        <v/>
      </c>
      <c r="E156" s="391">
        <f t="array" ref="E156">(SUMPRODUCT($B$13:$F$13*D156/(1+B156)^$B$14:$F$14)+($F$13*D156*(1+C156))/(B156-C156)/(1+B156)^$F$14-$B$15+$B$16)/$B$17</f>
        <v/>
      </c>
      <c r="F156" s="304" t="n"/>
      <c r="G156" s="304" t="n"/>
      <c r="H156" s="304" t="n"/>
      <c r="I156" s="304" t="n"/>
      <c r="J156" s="304" t="n"/>
      <c r="K156" s="304" t="n"/>
      <c r="L156" s="304" t="n"/>
      <c r="M156" s="304" t="n"/>
      <c r="N156" s="304" t="n"/>
      <c r="O156" s="304" t="n"/>
      <c r="P156" s="304" t="n"/>
      <c r="Q156" s="304" t="n"/>
    </row>
    <row r="157" ht="13.8" customHeight="1" s="343">
      <c r="A157" s="388">
        <f>ROW()-22</f>
        <v/>
      </c>
      <c r="B157" s="536">
        <f>_xlfn.NORM.INV(RAND(),$B$6,$C$6)</f>
        <v/>
      </c>
      <c r="C157" s="536">
        <f>MIN(_xlfn.NORM.INV(RAND(),$B$7,$C$7),B157-0.005)</f>
        <v/>
      </c>
      <c r="D157" s="537">
        <f>_xlfn.NORM.INV(RAND(),$B$8,$C$8)</f>
        <v/>
      </c>
      <c r="E157" s="391">
        <f t="array" ref="E157">(SUMPRODUCT($B$13:$F$13*D157/(1+B157)^$B$14:$F$14)+($F$13*D157*(1+C157))/(B157-C157)/(1+B157)^$F$14-$B$15+$B$16)/$B$17</f>
        <v/>
      </c>
      <c r="F157" s="304" t="n"/>
      <c r="G157" s="304" t="n"/>
      <c r="H157" s="304" t="n"/>
      <c r="I157" s="304" t="n"/>
      <c r="J157" s="304" t="n"/>
      <c r="K157" s="304" t="n"/>
      <c r="L157" s="304" t="n"/>
      <c r="M157" s="304" t="n"/>
      <c r="N157" s="304" t="n"/>
      <c r="O157" s="304" t="n"/>
      <c r="P157" s="304" t="n"/>
      <c r="Q157" s="304" t="n"/>
    </row>
    <row r="158" ht="13.8" customHeight="1" s="343">
      <c r="A158" s="388">
        <f>ROW()-22</f>
        <v/>
      </c>
      <c r="B158" s="536">
        <f>_xlfn.NORM.INV(RAND(),$B$6,$C$6)</f>
        <v/>
      </c>
      <c r="C158" s="536">
        <f>MIN(_xlfn.NORM.INV(RAND(),$B$7,$C$7),B158-0.005)</f>
        <v/>
      </c>
      <c r="D158" s="537">
        <f>_xlfn.NORM.INV(RAND(),$B$8,$C$8)</f>
        <v/>
      </c>
      <c r="E158" s="391">
        <f t="array" ref="E158">(SUMPRODUCT($B$13:$F$13*D158/(1+B158)^$B$14:$F$14)+($F$13*D158*(1+C158))/(B158-C158)/(1+B158)^$F$14-$B$15+$B$16)/$B$17</f>
        <v/>
      </c>
      <c r="F158" s="304" t="n"/>
      <c r="G158" s="304" t="n"/>
      <c r="H158" s="304" t="n"/>
      <c r="I158" s="304" t="n"/>
      <c r="J158" s="304" t="n"/>
      <c r="K158" s="304" t="n"/>
      <c r="L158" s="304" t="n"/>
      <c r="M158" s="304" t="n"/>
      <c r="N158" s="304" t="n"/>
      <c r="O158" s="304" t="n"/>
      <c r="P158" s="304" t="n"/>
      <c r="Q158" s="304" t="n"/>
    </row>
    <row r="159" ht="13.8" customHeight="1" s="343">
      <c r="A159" s="388">
        <f>ROW()-22</f>
        <v/>
      </c>
      <c r="B159" s="536">
        <f>_xlfn.NORM.INV(RAND(),$B$6,$C$6)</f>
        <v/>
      </c>
      <c r="C159" s="536">
        <f>MIN(_xlfn.NORM.INV(RAND(),$B$7,$C$7),B159-0.005)</f>
        <v/>
      </c>
      <c r="D159" s="537">
        <f>_xlfn.NORM.INV(RAND(),$B$8,$C$8)</f>
        <v/>
      </c>
      <c r="E159" s="391">
        <f t="array" ref="E159">(SUMPRODUCT($B$13:$F$13*D159/(1+B159)^$B$14:$F$14)+($F$13*D159*(1+C159))/(B159-C159)/(1+B159)^$F$14-$B$15+$B$16)/$B$17</f>
        <v/>
      </c>
      <c r="F159" s="304" t="n"/>
      <c r="G159" s="304" t="n"/>
      <c r="H159" s="304" t="n"/>
      <c r="I159" s="304" t="n"/>
      <c r="J159" s="304" t="n"/>
      <c r="K159" s="304" t="n"/>
      <c r="L159" s="304" t="n"/>
      <c r="M159" s="304" t="n"/>
      <c r="N159" s="304" t="n"/>
      <c r="O159" s="304" t="n"/>
      <c r="P159" s="304" t="n"/>
      <c r="Q159" s="304" t="n"/>
    </row>
    <row r="160" ht="13.8" customHeight="1" s="343">
      <c r="A160" s="388">
        <f>ROW()-22</f>
        <v/>
      </c>
      <c r="B160" s="536">
        <f>_xlfn.NORM.INV(RAND(),$B$6,$C$6)</f>
        <v/>
      </c>
      <c r="C160" s="536">
        <f>MIN(_xlfn.NORM.INV(RAND(),$B$7,$C$7),B160-0.005)</f>
        <v/>
      </c>
      <c r="D160" s="537">
        <f>_xlfn.NORM.INV(RAND(),$B$8,$C$8)</f>
        <v/>
      </c>
      <c r="E160" s="391">
        <f t="array" ref="E160">(SUMPRODUCT($B$13:$F$13*D160/(1+B160)^$B$14:$F$14)+($F$13*D160*(1+C160))/(B160-C160)/(1+B160)^$F$14-$B$15+$B$16)/$B$17</f>
        <v/>
      </c>
      <c r="F160" s="304" t="n"/>
      <c r="G160" s="304" t="n"/>
      <c r="H160" s="304" t="n"/>
      <c r="I160" s="304" t="n"/>
      <c r="J160" s="304" t="n"/>
      <c r="K160" s="304" t="n"/>
      <c r="L160" s="304" t="n"/>
      <c r="M160" s="304" t="n"/>
      <c r="N160" s="304" t="n"/>
      <c r="O160" s="304" t="n"/>
      <c r="P160" s="304" t="n"/>
      <c r="Q160" s="304" t="n"/>
    </row>
    <row r="161" ht="13.8" customHeight="1" s="343">
      <c r="A161" s="388">
        <f>ROW()-22</f>
        <v/>
      </c>
      <c r="B161" s="536">
        <f>_xlfn.NORM.INV(RAND(),$B$6,$C$6)</f>
        <v/>
      </c>
      <c r="C161" s="536">
        <f>MIN(_xlfn.NORM.INV(RAND(),$B$7,$C$7),B161-0.005)</f>
        <v/>
      </c>
      <c r="D161" s="537">
        <f>_xlfn.NORM.INV(RAND(),$B$8,$C$8)</f>
        <v/>
      </c>
      <c r="E161" s="391">
        <f t="array" ref="E161">(SUMPRODUCT($B$13:$F$13*D161/(1+B161)^$B$14:$F$14)+($F$13*D161*(1+C161))/(B161-C161)/(1+B161)^$F$14-$B$15+$B$16)/$B$17</f>
        <v/>
      </c>
      <c r="F161" s="304" t="n"/>
      <c r="G161" s="304" t="n"/>
      <c r="H161" s="304" t="n"/>
      <c r="I161" s="304" t="n"/>
      <c r="J161" s="304" t="n"/>
      <c r="K161" s="304" t="n"/>
      <c r="L161" s="304" t="n"/>
      <c r="M161" s="304" t="n"/>
      <c r="N161" s="304" t="n"/>
      <c r="O161" s="304" t="n"/>
      <c r="P161" s="304" t="n"/>
      <c r="Q161" s="304" t="n"/>
    </row>
    <row r="162" ht="13.8" customHeight="1" s="343">
      <c r="A162" s="388">
        <f>ROW()-22</f>
        <v/>
      </c>
      <c r="B162" s="536">
        <f>_xlfn.NORM.INV(RAND(),$B$6,$C$6)</f>
        <v/>
      </c>
      <c r="C162" s="536">
        <f>MIN(_xlfn.NORM.INV(RAND(),$B$7,$C$7),B162-0.005)</f>
        <v/>
      </c>
      <c r="D162" s="537">
        <f>_xlfn.NORM.INV(RAND(),$B$8,$C$8)</f>
        <v/>
      </c>
      <c r="E162" s="391">
        <f t="array" ref="E162">(SUMPRODUCT($B$13:$F$13*D162/(1+B162)^$B$14:$F$14)+($F$13*D162*(1+C162))/(B162-C162)/(1+B162)^$F$14-$B$15+$B$16)/$B$17</f>
        <v/>
      </c>
      <c r="F162" s="304" t="n"/>
      <c r="G162" s="304" t="n"/>
      <c r="H162" s="304" t="n"/>
      <c r="I162" s="304" t="n"/>
      <c r="J162" s="304" t="n"/>
      <c r="K162" s="304" t="n"/>
      <c r="L162" s="304" t="n"/>
      <c r="M162" s="304" t="n"/>
      <c r="N162" s="304" t="n"/>
      <c r="O162" s="304" t="n"/>
      <c r="P162" s="304" t="n"/>
      <c r="Q162" s="304" t="n"/>
    </row>
    <row r="163" ht="13.8" customHeight="1" s="343">
      <c r="A163" s="388">
        <f>ROW()-22</f>
        <v/>
      </c>
      <c r="B163" s="536">
        <f>_xlfn.NORM.INV(RAND(),$B$6,$C$6)</f>
        <v/>
      </c>
      <c r="C163" s="536">
        <f>MIN(_xlfn.NORM.INV(RAND(),$B$7,$C$7),B163-0.005)</f>
        <v/>
      </c>
      <c r="D163" s="537">
        <f>_xlfn.NORM.INV(RAND(),$B$8,$C$8)</f>
        <v/>
      </c>
      <c r="E163" s="391">
        <f t="array" ref="E163">(SUMPRODUCT($B$13:$F$13*D163/(1+B163)^$B$14:$F$14)+($F$13*D163*(1+C163))/(B163-C163)/(1+B163)^$F$14-$B$15+$B$16)/$B$17</f>
        <v/>
      </c>
      <c r="F163" s="304" t="n"/>
      <c r="G163" s="304" t="n"/>
      <c r="H163" s="304" t="n"/>
      <c r="I163" s="304" t="n"/>
      <c r="J163" s="304" t="n"/>
      <c r="K163" s="304" t="n"/>
      <c r="L163" s="304" t="n"/>
      <c r="M163" s="304" t="n"/>
      <c r="N163" s="304" t="n"/>
      <c r="O163" s="304" t="n"/>
      <c r="P163" s="304" t="n"/>
      <c r="Q163" s="304" t="n"/>
    </row>
    <row r="164" ht="13.8" customHeight="1" s="343">
      <c r="A164" s="388">
        <f>ROW()-22</f>
        <v/>
      </c>
      <c r="B164" s="536">
        <f>_xlfn.NORM.INV(RAND(),$B$6,$C$6)</f>
        <v/>
      </c>
      <c r="C164" s="536">
        <f>MIN(_xlfn.NORM.INV(RAND(),$B$7,$C$7),B164-0.005)</f>
        <v/>
      </c>
      <c r="D164" s="537">
        <f>_xlfn.NORM.INV(RAND(),$B$8,$C$8)</f>
        <v/>
      </c>
      <c r="E164" s="391">
        <f t="array" ref="E164">(SUMPRODUCT($B$13:$F$13*D164/(1+B164)^$B$14:$F$14)+($F$13*D164*(1+C164))/(B164-C164)/(1+B164)^$F$14-$B$15+$B$16)/$B$17</f>
        <v/>
      </c>
      <c r="F164" s="304" t="n"/>
      <c r="G164" s="304" t="n"/>
      <c r="H164" s="304" t="n"/>
      <c r="I164" s="304" t="n"/>
      <c r="J164" s="304" t="n"/>
      <c r="K164" s="304" t="n"/>
      <c r="L164" s="304" t="n"/>
      <c r="M164" s="304" t="n"/>
      <c r="N164" s="304" t="n"/>
      <c r="O164" s="304" t="n"/>
      <c r="P164" s="304" t="n"/>
      <c r="Q164" s="304" t="n"/>
    </row>
    <row r="165" ht="13.8" customHeight="1" s="343">
      <c r="A165" s="388">
        <f>ROW()-22</f>
        <v/>
      </c>
      <c r="B165" s="536">
        <f>_xlfn.NORM.INV(RAND(),$B$6,$C$6)</f>
        <v/>
      </c>
      <c r="C165" s="536">
        <f>MIN(_xlfn.NORM.INV(RAND(),$B$7,$C$7),B165-0.005)</f>
        <v/>
      </c>
      <c r="D165" s="537">
        <f>_xlfn.NORM.INV(RAND(),$B$8,$C$8)</f>
        <v/>
      </c>
      <c r="E165" s="391">
        <f t="array" ref="E165">(SUMPRODUCT($B$13:$F$13*D165/(1+B165)^$B$14:$F$14)+($F$13*D165*(1+C165))/(B165-C165)/(1+B165)^$F$14-$B$15+$B$16)/$B$17</f>
        <v/>
      </c>
      <c r="F165" s="304" t="n"/>
      <c r="G165" s="304" t="n"/>
      <c r="H165" s="304" t="n"/>
      <c r="I165" s="304" t="n"/>
      <c r="J165" s="304" t="n"/>
      <c r="K165" s="304" t="n"/>
      <c r="L165" s="304" t="n"/>
      <c r="M165" s="304" t="n"/>
      <c r="N165" s="304" t="n"/>
      <c r="O165" s="304" t="n"/>
      <c r="P165" s="304" t="n"/>
      <c r="Q165" s="304" t="n"/>
    </row>
    <row r="166" ht="13.8" customHeight="1" s="343">
      <c r="A166" s="388">
        <f>ROW()-22</f>
        <v/>
      </c>
      <c r="B166" s="536">
        <f>_xlfn.NORM.INV(RAND(),$B$6,$C$6)</f>
        <v/>
      </c>
      <c r="C166" s="536">
        <f>MIN(_xlfn.NORM.INV(RAND(),$B$7,$C$7),B166-0.005)</f>
        <v/>
      </c>
      <c r="D166" s="537">
        <f>_xlfn.NORM.INV(RAND(),$B$8,$C$8)</f>
        <v/>
      </c>
      <c r="E166" s="391">
        <f t="array" ref="E166">(SUMPRODUCT($B$13:$F$13*D166/(1+B166)^$B$14:$F$14)+($F$13*D166*(1+C166))/(B166-C166)/(1+B166)^$F$14-$B$15+$B$16)/$B$17</f>
        <v/>
      </c>
      <c r="F166" s="304" t="n"/>
      <c r="G166" s="304" t="n"/>
      <c r="H166" s="304" t="n"/>
      <c r="I166" s="304" t="n"/>
      <c r="J166" s="304" t="n"/>
      <c r="K166" s="304" t="n"/>
      <c r="L166" s="304" t="n"/>
      <c r="M166" s="304" t="n"/>
      <c r="N166" s="304" t="n"/>
      <c r="O166" s="304" t="n"/>
      <c r="P166" s="304" t="n"/>
      <c r="Q166" s="304" t="n"/>
    </row>
    <row r="167" ht="13.8" customHeight="1" s="343">
      <c r="A167" s="388">
        <f>ROW()-22</f>
        <v/>
      </c>
      <c r="B167" s="536">
        <f>_xlfn.NORM.INV(RAND(),$B$6,$C$6)</f>
        <v/>
      </c>
      <c r="C167" s="536">
        <f>MIN(_xlfn.NORM.INV(RAND(),$B$7,$C$7),B167-0.005)</f>
        <v/>
      </c>
      <c r="D167" s="537">
        <f>_xlfn.NORM.INV(RAND(),$B$8,$C$8)</f>
        <v/>
      </c>
      <c r="E167" s="391">
        <f t="array" ref="E167">(SUMPRODUCT($B$13:$F$13*D167/(1+B167)^$B$14:$F$14)+($F$13*D167*(1+C167))/(B167-C167)/(1+B167)^$F$14-$B$15+$B$16)/$B$17</f>
        <v/>
      </c>
      <c r="F167" s="304" t="n"/>
      <c r="G167" s="304" t="n"/>
      <c r="H167" s="304" t="n"/>
      <c r="I167" s="304" t="n"/>
      <c r="J167" s="304" t="n"/>
      <c r="K167" s="304" t="n"/>
      <c r="L167" s="304" t="n"/>
      <c r="M167" s="304" t="n"/>
      <c r="N167" s="304" t="n"/>
      <c r="O167" s="304" t="n"/>
      <c r="P167" s="304" t="n"/>
      <c r="Q167" s="304" t="n"/>
    </row>
    <row r="168" ht="13.8" customHeight="1" s="343">
      <c r="A168" s="388">
        <f>ROW()-22</f>
        <v/>
      </c>
      <c r="B168" s="536">
        <f>_xlfn.NORM.INV(RAND(),$B$6,$C$6)</f>
        <v/>
      </c>
      <c r="C168" s="536">
        <f>MIN(_xlfn.NORM.INV(RAND(),$B$7,$C$7),B168-0.005)</f>
        <v/>
      </c>
      <c r="D168" s="537">
        <f>_xlfn.NORM.INV(RAND(),$B$8,$C$8)</f>
        <v/>
      </c>
      <c r="E168" s="391">
        <f t="array" ref="E168">(SUMPRODUCT($B$13:$F$13*D168/(1+B168)^$B$14:$F$14)+($F$13*D168*(1+C168))/(B168-C168)/(1+B168)^$F$14-$B$15+$B$16)/$B$17</f>
        <v/>
      </c>
      <c r="F168" s="304" t="n"/>
      <c r="G168" s="304" t="n"/>
      <c r="H168" s="304" t="n"/>
      <c r="I168" s="304" t="n"/>
      <c r="J168" s="304" t="n"/>
      <c r="K168" s="304" t="n"/>
      <c r="L168" s="304" t="n"/>
      <c r="M168" s="304" t="n"/>
      <c r="N168" s="304" t="n"/>
      <c r="O168" s="304" t="n"/>
      <c r="P168" s="304" t="n"/>
      <c r="Q168" s="304" t="n"/>
    </row>
    <row r="169" ht="13.8" customHeight="1" s="343">
      <c r="A169" s="388">
        <f>ROW()-22</f>
        <v/>
      </c>
      <c r="B169" s="536">
        <f>_xlfn.NORM.INV(RAND(),$B$6,$C$6)</f>
        <v/>
      </c>
      <c r="C169" s="536">
        <f>MIN(_xlfn.NORM.INV(RAND(),$B$7,$C$7),B169-0.005)</f>
        <v/>
      </c>
      <c r="D169" s="537">
        <f>_xlfn.NORM.INV(RAND(),$B$8,$C$8)</f>
        <v/>
      </c>
      <c r="E169" s="391">
        <f t="array" ref="E169">(SUMPRODUCT($B$13:$F$13*D169/(1+B169)^$B$14:$F$14)+($F$13*D169*(1+C169))/(B169-C169)/(1+B169)^$F$14-$B$15+$B$16)/$B$17</f>
        <v/>
      </c>
      <c r="F169" s="304" t="n"/>
      <c r="G169" s="304" t="n"/>
      <c r="H169" s="304" t="n"/>
      <c r="I169" s="304" t="n"/>
      <c r="J169" s="304" t="n"/>
      <c r="K169" s="304" t="n"/>
      <c r="L169" s="304" t="n"/>
      <c r="M169" s="304" t="n"/>
      <c r="N169" s="304" t="n"/>
      <c r="O169" s="304" t="n"/>
      <c r="P169" s="304" t="n"/>
      <c r="Q169" s="304" t="n"/>
    </row>
    <row r="170" ht="13.8" customHeight="1" s="343">
      <c r="A170" s="388">
        <f>ROW()-22</f>
        <v/>
      </c>
      <c r="B170" s="536">
        <f>_xlfn.NORM.INV(RAND(),$B$6,$C$6)</f>
        <v/>
      </c>
      <c r="C170" s="536">
        <f>MIN(_xlfn.NORM.INV(RAND(),$B$7,$C$7),B170-0.005)</f>
        <v/>
      </c>
      <c r="D170" s="537">
        <f>_xlfn.NORM.INV(RAND(),$B$8,$C$8)</f>
        <v/>
      </c>
      <c r="E170" s="391">
        <f t="array" ref="E170">(SUMPRODUCT($B$13:$F$13*D170/(1+B170)^$B$14:$F$14)+($F$13*D170*(1+C170))/(B170-C170)/(1+B170)^$F$14-$B$15+$B$16)/$B$17</f>
        <v/>
      </c>
      <c r="F170" s="304" t="n"/>
      <c r="G170" s="304" t="n"/>
      <c r="H170" s="304" t="n"/>
      <c r="I170" s="304" t="n"/>
      <c r="J170" s="304" t="n"/>
      <c r="K170" s="304" t="n"/>
      <c r="L170" s="304" t="n"/>
      <c r="M170" s="304" t="n"/>
      <c r="N170" s="304" t="n"/>
      <c r="O170" s="304" t="n"/>
      <c r="P170" s="304" t="n"/>
      <c r="Q170" s="304" t="n"/>
    </row>
    <row r="171" ht="13.8" customHeight="1" s="343">
      <c r="A171" s="388">
        <f>ROW()-22</f>
        <v/>
      </c>
      <c r="B171" s="536">
        <f>_xlfn.NORM.INV(RAND(),$B$6,$C$6)</f>
        <v/>
      </c>
      <c r="C171" s="536">
        <f>MIN(_xlfn.NORM.INV(RAND(),$B$7,$C$7),B171-0.005)</f>
        <v/>
      </c>
      <c r="D171" s="537">
        <f>_xlfn.NORM.INV(RAND(),$B$8,$C$8)</f>
        <v/>
      </c>
      <c r="E171" s="391">
        <f t="array" ref="E171">(SUMPRODUCT($B$13:$F$13*D171/(1+B171)^$B$14:$F$14)+($F$13*D171*(1+C171))/(B171-C171)/(1+B171)^$F$14-$B$15+$B$16)/$B$17</f>
        <v/>
      </c>
      <c r="F171" s="304" t="n"/>
      <c r="G171" s="304" t="n"/>
      <c r="H171" s="304" t="n"/>
      <c r="I171" s="304" t="n"/>
      <c r="J171" s="304" t="n"/>
      <c r="K171" s="304" t="n"/>
      <c r="L171" s="304" t="n"/>
      <c r="M171" s="304" t="n"/>
      <c r="N171" s="304" t="n"/>
      <c r="O171" s="304" t="n"/>
      <c r="P171" s="304" t="n"/>
      <c r="Q171" s="304" t="n"/>
    </row>
    <row r="172" ht="13.8" customHeight="1" s="343">
      <c r="A172" s="388">
        <f>ROW()-22</f>
        <v/>
      </c>
      <c r="B172" s="536">
        <f>_xlfn.NORM.INV(RAND(),$B$6,$C$6)</f>
        <v/>
      </c>
      <c r="C172" s="536">
        <f>MIN(_xlfn.NORM.INV(RAND(),$B$7,$C$7),B172-0.005)</f>
        <v/>
      </c>
      <c r="D172" s="537">
        <f>_xlfn.NORM.INV(RAND(),$B$8,$C$8)</f>
        <v/>
      </c>
      <c r="E172" s="391">
        <f t="array" ref="E172">(SUMPRODUCT($B$13:$F$13*D172/(1+B172)^$B$14:$F$14)+($F$13*D172*(1+C172))/(B172-C172)/(1+B172)^$F$14-$B$15+$B$16)/$B$17</f>
        <v/>
      </c>
      <c r="F172" s="304" t="n"/>
      <c r="G172" s="304" t="n"/>
      <c r="H172" s="304" t="n"/>
      <c r="I172" s="304" t="n"/>
      <c r="J172" s="304" t="n"/>
      <c r="K172" s="304" t="n"/>
      <c r="L172" s="304" t="n"/>
      <c r="M172" s="304" t="n"/>
      <c r="N172" s="304" t="n"/>
      <c r="O172" s="304" t="n"/>
      <c r="P172" s="304" t="n"/>
      <c r="Q172" s="304" t="n"/>
    </row>
    <row r="173" ht="13.8" customHeight="1" s="343">
      <c r="A173" s="388">
        <f>ROW()-22</f>
        <v/>
      </c>
      <c r="B173" s="536">
        <f>_xlfn.NORM.INV(RAND(),$B$6,$C$6)</f>
        <v/>
      </c>
      <c r="C173" s="536">
        <f>MIN(_xlfn.NORM.INV(RAND(),$B$7,$C$7),B173-0.005)</f>
        <v/>
      </c>
      <c r="D173" s="537">
        <f>_xlfn.NORM.INV(RAND(),$B$8,$C$8)</f>
        <v/>
      </c>
      <c r="E173" s="391">
        <f t="array" ref="E173">(SUMPRODUCT($B$13:$F$13*D173/(1+B173)^$B$14:$F$14)+($F$13*D173*(1+C173))/(B173-C173)/(1+B173)^$F$14-$B$15+$B$16)/$B$17</f>
        <v/>
      </c>
      <c r="F173" s="304" t="n"/>
      <c r="G173" s="304" t="n"/>
      <c r="H173" s="304" t="n"/>
      <c r="I173" s="304" t="n"/>
      <c r="J173" s="304" t="n"/>
      <c r="K173" s="304" t="n"/>
      <c r="L173" s="304" t="n"/>
      <c r="M173" s="304" t="n"/>
      <c r="N173" s="304" t="n"/>
      <c r="O173" s="304" t="n"/>
      <c r="P173" s="304" t="n"/>
      <c r="Q173" s="304" t="n"/>
    </row>
    <row r="174" ht="13.8" customHeight="1" s="343">
      <c r="A174" s="388">
        <f>ROW()-22</f>
        <v/>
      </c>
      <c r="B174" s="536">
        <f>_xlfn.NORM.INV(RAND(),$B$6,$C$6)</f>
        <v/>
      </c>
      <c r="C174" s="536">
        <f>MIN(_xlfn.NORM.INV(RAND(),$B$7,$C$7),B174-0.005)</f>
        <v/>
      </c>
      <c r="D174" s="537">
        <f>_xlfn.NORM.INV(RAND(),$B$8,$C$8)</f>
        <v/>
      </c>
      <c r="E174" s="391">
        <f t="array" ref="E174">(SUMPRODUCT($B$13:$F$13*D174/(1+B174)^$B$14:$F$14)+($F$13*D174*(1+C174))/(B174-C174)/(1+B174)^$F$14-$B$15+$B$16)/$B$17</f>
        <v/>
      </c>
      <c r="F174" s="304" t="n"/>
      <c r="G174" s="304" t="n"/>
      <c r="H174" s="304" t="n"/>
      <c r="I174" s="304" t="n"/>
      <c r="J174" s="304" t="n"/>
      <c r="K174" s="304" t="n"/>
      <c r="L174" s="304" t="n"/>
      <c r="M174" s="304" t="n"/>
      <c r="N174" s="304" t="n"/>
      <c r="O174" s="304" t="n"/>
      <c r="P174" s="304" t="n"/>
      <c r="Q174" s="304" t="n"/>
    </row>
    <row r="175" ht="13.8" customHeight="1" s="343">
      <c r="A175" s="388">
        <f>ROW()-22</f>
        <v/>
      </c>
      <c r="B175" s="536">
        <f>_xlfn.NORM.INV(RAND(),$B$6,$C$6)</f>
        <v/>
      </c>
      <c r="C175" s="536">
        <f>MIN(_xlfn.NORM.INV(RAND(),$B$7,$C$7),B175-0.005)</f>
        <v/>
      </c>
      <c r="D175" s="537">
        <f>_xlfn.NORM.INV(RAND(),$B$8,$C$8)</f>
        <v/>
      </c>
      <c r="E175" s="391">
        <f t="array" ref="E175">(SUMPRODUCT($B$13:$F$13*D175/(1+B175)^$B$14:$F$14)+($F$13*D175*(1+C175))/(B175-C175)/(1+B175)^$F$14-$B$15+$B$16)/$B$17</f>
        <v/>
      </c>
      <c r="F175" s="304" t="n"/>
      <c r="G175" s="304" t="n"/>
      <c r="H175" s="304" t="n"/>
      <c r="I175" s="304" t="n"/>
      <c r="J175" s="304" t="n"/>
      <c r="K175" s="304" t="n"/>
      <c r="L175" s="304" t="n"/>
      <c r="M175" s="304" t="n"/>
      <c r="N175" s="304" t="n"/>
      <c r="O175" s="304" t="n"/>
      <c r="P175" s="304" t="n"/>
      <c r="Q175" s="304" t="n"/>
    </row>
    <row r="176" ht="13.8" customHeight="1" s="343">
      <c r="A176" s="388">
        <f>ROW()-22</f>
        <v/>
      </c>
      <c r="B176" s="536">
        <f>_xlfn.NORM.INV(RAND(),$B$6,$C$6)</f>
        <v/>
      </c>
      <c r="C176" s="536">
        <f>MIN(_xlfn.NORM.INV(RAND(),$B$7,$C$7),B176-0.005)</f>
        <v/>
      </c>
      <c r="D176" s="537">
        <f>_xlfn.NORM.INV(RAND(),$B$8,$C$8)</f>
        <v/>
      </c>
      <c r="E176" s="391">
        <f t="array" ref="E176">(SUMPRODUCT($B$13:$F$13*D176/(1+B176)^$B$14:$F$14)+($F$13*D176*(1+C176))/(B176-C176)/(1+B176)^$F$14-$B$15+$B$16)/$B$17</f>
        <v/>
      </c>
      <c r="F176" s="304" t="n"/>
      <c r="G176" s="304" t="n"/>
      <c r="H176" s="304" t="n"/>
      <c r="I176" s="304" t="n"/>
      <c r="J176" s="304" t="n"/>
      <c r="K176" s="304" t="n"/>
      <c r="L176" s="304" t="n"/>
      <c r="M176" s="304" t="n"/>
      <c r="N176" s="304" t="n"/>
      <c r="O176" s="304" t="n"/>
      <c r="P176" s="304" t="n"/>
      <c r="Q176" s="304" t="n"/>
    </row>
    <row r="177" ht="13.8" customHeight="1" s="343">
      <c r="A177" s="388">
        <f>ROW()-22</f>
        <v/>
      </c>
      <c r="B177" s="536">
        <f>_xlfn.NORM.INV(RAND(),$B$6,$C$6)</f>
        <v/>
      </c>
      <c r="C177" s="536">
        <f>MIN(_xlfn.NORM.INV(RAND(),$B$7,$C$7),B177-0.005)</f>
        <v/>
      </c>
      <c r="D177" s="537">
        <f>_xlfn.NORM.INV(RAND(),$B$8,$C$8)</f>
        <v/>
      </c>
      <c r="E177" s="391">
        <f t="array" ref="E177">(SUMPRODUCT($B$13:$F$13*D177/(1+B177)^$B$14:$F$14)+($F$13*D177*(1+C177))/(B177-C177)/(1+B177)^$F$14-$B$15+$B$16)/$B$17</f>
        <v/>
      </c>
      <c r="F177" s="304" t="n"/>
      <c r="G177" s="304" t="n"/>
      <c r="H177" s="304" t="n"/>
      <c r="I177" s="304" t="n"/>
      <c r="J177" s="304" t="n"/>
      <c r="K177" s="304" t="n"/>
      <c r="L177" s="304" t="n"/>
      <c r="M177" s="304" t="n"/>
      <c r="N177" s="304" t="n"/>
      <c r="O177" s="304" t="n"/>
      <c r="P177" s="304" t="n"/>
      <c r="Q177" s="304" t="n"/>
    </row>
    <row r="178" ht="13.8" customHeight="1" s="343">
      <c r="A178" s="388">
        <f>ROW()-22</f>
        <v/>
      </c>
      <c r="B178" s="536">
        <f>_xlfn.NORM.INV(RAND(),$B$6,$C$6)</f>
        <v/>
      </c>
      <c r="C178" s="536">
        <f>MIN(_xlfn.NORM.INV(RAND(),$B$7,$C$7),B178-0.005)</f>
        <v/>
      </c>
      <c r="D178" s="537">
        <f>_xlfn.NORM.INV(RAND(),$B$8,$C$8)</f>
        <v/>
      </c>
      <c r="E178" s="391">
        <f t="array" ref="E178">(SUMPRODUCT($B$13:$F$13*D178/(1+B178)^$B$14:$F$14)+($F$13*D178*(1+C178))/(B178-C178)/(1+B178)^$F$14-$B$15+$B$16)/$B$17</f>
        <v/>
      </c>
      <c r="F178" s="304" t="n"/>
      <c r="G178" s="304" t="n"/>
      <c r="H178" s="304" t="n"/>
      <c r="I178" s="304" t="n"/>
      <c r="J178" s="304" t="n"/>
      <c r="K178" s="304" t="n"/>
      <c r="L178" s="304" t="n"/>
      <c r="M178" s="304" t="n"/>
      <c r="N178" s="304" t="n"/>
      <c r="O178" s="304" t="n"/>
      <c r="P178" s="304" t="n"/>
      <c r="Q178" s="304" t="n"/>
    </row>
    <row r="179" ht="13.8" customHeight="1" s="343">
      <c r="A179" s="388">
        <f>ROW()-22</f>
        <v/>
      </c>
      <c r="B179" s="536">
        <f>_xlfn.NORM.INV(RAND(),$B$6,$C$6)</f>
        <v/>
      </c>
      <c r="C179" s="536">
        <f>MIN(_xlfn.NORM.INV(RAND(),$B$7,$C$7),B179-0.005)</f>
        <v/>
      </c>
      <c r="D179" s="537">
        <f>_xlfn.NORM.INV(RAND(),$B$8,$C$8)</f>
        <v/>
      </c>
      <c r="E179" s="391">
        <f t="array" ref="E179">(SUMPRODUCT($B$13:$F$13*D179/(1+B179)^$B$14:$F$14)+($F$13*D179*(1+C179))/(B179-C179)/(1+B179)^$F$14-$B$15+$B$16)/$B$17</f>
        <v/>
      </c>
      <c r="F179" s="304" t="n"/>
      <c r="G179" s="304" t="n"/>
      <c r="H179" s="304" t="n"/>
      <c r="I179" s="304" t="n"/>
      <c r="J179" s="304" t="n"/>
      <c r="K179" s="304" t="n"/>
      <c r="L179" s="304" t="n"/>
      <c r="M179" s="304" t="n"/>
      <c r="N179" s="304" t="n"/>
      <c r="O179" s="304" t="n"/>
      <c r="P179" s="304" t="n"/>
      <c r="Q179" s="304" t="n"/>
    </row>
    <row r="180" ht="13.8" customHeight="1" s="343">
      <c r="A180" s="388">
        <f>ROW()-22</f>
        <v/>
      </c>
      <c r="B180" s="536">
        <f>_xlfn.NORM.INV(RAND(),$B$6,$C$6)</f>
        <v/>
      </c>
      <c r="C180" s="536">
        <f>MIN(_xlfn.NORM.INV(RAND(),$B$7,$C$7),B180-0.005)</f>
        <v/>
      </c>
      <c r="D180" s="537">
        <f>_xlfn.NORM.INV(RAND(),$B$8,$C$8)</f>
        <v/>
      </c>
      <c r="E180" s="391">
        <f t="array" ref="E180">(SUMPRODUCT($B$13:$F$13*D180/(1+B180)^$B$14:$F$14)+($F$13*D180*(1+C180))/(B180-C180)/(1+B180)^$F$14-$B$15+$B$16)/$B$17</f>
        <v/>
      </c>
      <c r="F180" s="304" t="n"/>
      <c r="G180" s="304" t="n"/>
      <c r="H180" s="304" t="n"/>
      <c r="I180" s="304" t="n"/>
      <c r="J180" s="304" t="n"/>
      <c r="K180" s="304" t="n"/>
      <c r="L180" s="304" t="n"/>
      <c r="M180" s="304" t="n"/>
      <c r="N180" s="304" t="n"/>
      <c r="O180" s="304" t="n"/>
      <c r="P180" s="304" t="n"/>
      <c r="Q180" s="304" t="n"/>
    </row>
    <row r="181" ht="13.8" customHeight="1" s="343">
      <c r="A181" s="388">
        <f>ROW()-22</f>
        <v/>
      </c>
      <c r="B181" s="536">
        <f>_xlfn.NORM.INV(RAND(),$B$6,$C$6)</f>
        <v/>
      </c>
      <c r="C181" s="536">
        <f>MIN(_xlfn.NORM.INV(RAND(),$B$7,$C$7),B181-0.005)</f>
        <v/>
      </c>
      <c r="D181" s="537">
        <f>_xlfn.NORM.INV(RAND(),$B$8,$C$8)</f>
        <v/>
      </c>
      <c r="E181" s="391">
        <f t="array" ref="E181">(SUMPRODUCT($B$13:$F$13*D181/(1+B181)^$B$14:$F$14)+($F$13*D181*(1+C181))/(B181-C181)/(1+B181)^$F$14-$B$15+$B$16)/$B$17</f>
        <v/>
      </c>
      <c r="F181" s="304" t="n"/>
      <c r="G181" s="304" t="n"/>
      <c r="H181" s="304" t="n"/>
      <c r="I181" s="304" t="n"/>
      <c r="J181" s="304" t="n"/>
      <c r="K181" s="304" t="n"/>
      <c r="L181" s="304" t="n"/>
      <c r="M181" s="304" t="n"/>
      <c r="N181" s="304" t="n"/>
      <c r="O181" s="304" t="n"/>
      <c r="P181" s="304" t="n"/>
      <c r="Q181" s="304" t="n"/>
    </row>
    <row r="182" ht="13.8" customHeight="1" s="343">
      <c r="A182" s="388">
        <f>ROW()-22</f>
        <v/>
      </c>
      <c r="B182" s="536">
        <f>_xlfn.NORM.INV(RAND(),$B$6,$C$6)</f>
        <v/>
      </c>
      <c r="C182" s="536">
        <f>MIN(_xlfn.NORM.INV(RAND(),$B$7,$C$7),B182-0.005)</f>
        <v/>
      </c>
      <c r="D182" s="537">
        <f>_xlfn.NORM.INV(RAND(),$B$8,$C$8)</f>
        <v/>
      </c>
      <c r="E182" s="391">
        <f t="array" ref="E182">(SUMPRODUCT($B$13:$F$13*D182/(1+B182)^$B$14:$F$14)+($F$13*D182*(1+C182))/(B182-C182)/(1+B182)^$F$14-$B$15+$B$16)/$B$17</f>
        <v/>
      </c>
      <c r="F182" s="304" t="n"/>
      <c r="G182" s="304" t="n"/>
      <c r="H182" s="304" t="n"/>
      <c r="I182" s="304" t="n"/>
      <c r="J182" s="304" t="n"/>
      <c r="K182" s="304" t="n"/>
      <c r="L182" s="304" t="n"/>
      <c r="M182" s="304" t="n"/>
      <c r="N182" s="304" t="n"/>
      <c r="O182" s="304" t="n"/>
      <c r="P182" s="304" t="n"/>
      <c r="Q182" s="304" t="n"/>
    </row>
    <row r="183" ht="13.8" customHeight="1" s="343">
      <c r="A183" s="388">
        <f>ROW()-22</f>
        <v/>
      </c>
      <c r="B183" s="536">
        <f>_xlfn.NORM.INV(RAND(),$B$6,$C$6)</f>
        <v/>
      </c>
      <c r="C183" s="536">
        <f>MIN(_xlfn.NORM.INV(RAND(),$B$7,$C$7),B183-0.005)</f>
        <v/>
      </c>
      <c r="D183" s="537">
        <f>_xlfn.NORM.INV(RAND(),$B$8,$C$8)</f>
        <v/>
      </c>
      <c r="E183" s="391">
        <f t="array" ref="E183">(SUMPRODUCT($B$13:$F$13*D183/(1+B183)^$B$14:$F$14)+($F$13*D183*(1+C183))/(B183-C183)/(1+B183)^$F$14-$B$15+$B$16)/$B$17</f>
        <v/>
      </c>
      <c r="F183" s="304" t="n"/>
      <c r="G183" s="304" t="n"/>
      <c r="H183" s="304" t="n"/>
      <c r="I183" s="304" t="n"/>
      <c r="J183" s="304" t="n"/>
      <c r="K183" s="304" t="n"/>
      <c r="L183" s="304" t="n"/>
      <c r="M183" s="304" t="n"/>
      <c r="N183" s="304" t="n"/>
      <c r="O183" s="304" t="n"/>
      <c r="P183" s="304" t="n"/>
      <c r="Q183" s="304" t="n"/>
    </row>
    <row r="184" ht="13.8" customHeight="1" s="343">
      <c r="A184" s="388">
        <f>ROW()-22</f>
        <v/>
      </c>
      <c r="B184" s="536">
        <f>_xlfn.NORM.INV(RAND(),$B$6,$C$6)</f>
        <v/>
      </c>
      <c r="C184" s="536">
        <f>MIN(_xlfn.NORM.INV(RAND(),$B$7,$C$7),B184-0.005)</f>
        <v/>
      </c>
      <c r="D184" s="537">
        <f>_xlfn.NORM.INV(RAND(),$B$8,$C$8)</f>
        <v/>
      </c>
      <c r="E184" s="391">
        <f t="array" ref="E184">(SUMPRODUCT($B$13:$F$13*D184/(1+B184)^$B$14:$F$14)+($F$13*D184*(1+C184))/(B184-C184)/(1+B184)^$F$14-$B$15+$B$16)/$B$17</f>
        <v/>
      </c>
      <c r="F184" s="304" t="n"/>
      <c r="G184" s="304" t="n"/>
      <c r="H184" s="304" t="n"/>
      <c r="I184" s="304" t="n"/>
      <c r="J184" s="304" t="n"/>
      <c r="K184" s="304" t="n"/>
      <c r="L184" s="304" t="n"/>
      <c r="M184" s="304" t="n"/>
      <c r="N184" s="304" t="n"/>
      <c r="O184" s="304" t="n"/>
      <c r="P184" s="304" t="n"/>
      <c r="Q184" s="304" t="n"/>
    </row>
    <row r="185" ht="13.8" customHeight="1" s="343">
      <c r="A185" s="388">
        <f>ROW()-22</f>
        <v/>
      </c>
      <c r="B185" s="536">
        <f>_xlfn.NORM.INV(RAND(),$B$6,$C$6)</f>
        <v/>
      </c>
      <c r="C185" s="536">
        <f>MIN(_xlfn.NORM.INV(RAND(),$B$7,$C$7),B185-0.005)</f>
        <v/>
      </c>
      <c r="D185" s="537">
        <f>_xlfn.NORM.INV(RAND(),$B$8,$C$8)</f>
        <v/>
      </c>
      <c r="E185" s="391">
        <f t="array" ref="E185">(SUMPRODUCT($B$13:$F$13*D185/(1+B185)^$B$14:$F$14)+($F$13*D185*(1+C185))/(B185-C185)/(1+B185)^$F$14-$B$15+$B$16)/$B$17</f>
        <v/>
      </c>
      <c r="F185" s="304" t="n"/>
      <c r="G185" s="304" t="n"/>
      <c r="H185" s="304" t="n"/>
      <c r="I185" s="304" t="n"/>
      <c r="J185" s="304" t="n"/>
      <c r="K185" s="304" t="n"/>
      <c r="L185" s="304" t="n"/>
      <c r="M185" s="304" t="n"/>
      <c r="N185" s="304" t="n"/>
      <c r="O185" s="304" t="n"/>
      <c r="P185" s="304" t="n"/>
      <c r="Q185" s="304" t="n"/>
    </row>
    <row r="186" ht="13.8" customHeight="1" s="343">
      <c r="A186" s="388">
        <f>ROW()-22</f>
        <v/>
      </c>
      <c r="B186" s="536">
        <f>_xlfn.NORM.INV(RAND(),$B$6,$C$6)</f>
        <v/>
      </c>
      <c r="C186" s="536">
        <f>MIN(_xlfn.NORM.INV(RAND(),$B$7,$C$7),B186-0.005)</f>
        <v/>
      </c>
      <c r="D186" s="537">
        <f>_xlfn.NORM.INV(RAND(),$B$8,$C$8)</f>
        <v/>
      </c>
      <c r="E186" s="391">
        <f t="array" ref="E186">(SUMPRODUCT($B$13:$F$13*D186/(1+B186)^$B$14:$F$14)+($F$13*D186*(1+C186))/(B186-C186)/(1+B186)^$F$14-$B$15+$B$16)/$B$17</f>
        <v/>
      </c>
      <c r="F186" s="304" t="n"/>
      <c r="G186" s="304" t="n"/>
      <c r="H186" s="304" t="n"/>
      <c r="I186" s="304" t="n"/>
      <c r="J186" s="304" t="n"/>
      <c r="K186" s="304" t="n"/>
      <c r="L186" s="304" t="n"/>
      <c r="M186" s="304" t="n"/>
      <c r="N186" s="304" t="n"/>
      <c r="O186" s="304" t="n"/>
      <c r="P186" s="304" t="n"/>
      <c r="Q186" s="304" t="n"/>
    </row>
    <row r="187" ht="13.8" customHeight="1" s="343">
      <c r="A187" s="388">
        <f>ROW()-22</f>
        <v/>
      </c>
      <c r="B187" s="536">
        <f>_xlfn.NORM.INV(RAND(),$B$6,$C$6)</f>
        <v/>
      </c>
      <c r="C187" s="536">
        <f>MIN(_xlfn.NORM.INV(RAND(),$B$7,$C$7),B187-0.005)</f>
        <v/>
      </c>
      <c r="D187" s="537">
        <f>_xlfn.NORM.INV(RAND(),$B$8,$C$8)</f>
        <v/>
      </c>
      <c r="E187" s="391">
        <f t="array" ref="E187">(SUMPRODUCT($B$13:$F$13*D187/(1+B187)^$B$14:$F$14)+($F$13*D187*(1+C187))/(B187-C187)/(1+B187)^$F$14-$B$15+$B$16)/$B$17</f>
        <v/>
      </c>
      <c r="F187" s="304" t="n"/>
      <c r="G187" s="304" t="n"/>
      <c r="H187" s="304" t="n"/>
      <c r="I187" s="304" t="n"/>
      <c r="J187" s="304" t="n"/>
      <c r="K187" s="304" t="n"/>
      <c r="L187" s="304" t="n"/>
      <c r="M187" s="304" t="n"/>
      <c r="N187" s="304" t="n"/>
      <c r="O187" s="304" t="n"/>
      <c r="P187" s="304" t="n"/>
      <c r="Q187" s="304" t="n"/>
    </row>
    <row r="188" ht="13.8" customHeight="1" s="343">
      <c r="A188" s="388">
        <f>ROW()-22</f>
        <v/>
      </c>
      <c r="B188" s="536">
        <f>_xlfn.NORM.INV(RAND(),$B$6,$C$6)</f>
        <v/>
      </c>
      <c r="C188" s="536">
        <f>MIN(_xlfn.NORM.INV(RAND(),$B$7,$C$7),B188-0.005)</f>
        <v/>
      </c>
      <c r="D188" s="537">
        <f>_xlfn.NORM.INV(RAND(),$B$8,$C$8)</f>
        <v/>
      </c>
      <c r="E188" s="391">
        <f t="array" ref="E188">(SUMPRODUCT($B$13:$F$13*D188/(1+B188)^$B$14:$F$14)+($F$13*D188*(1+C188))/(B188-C188)/(1+B188)^$F$14-$B$15+$B$16)/$B$17</f>
        <v/>
      </c>
      <c r="F188" s="304" t="n"/>
      <c r="G188" s="304" t="n"/>
      <c r="H188" s="304" t="n"/>
      <c r="I188" s="304" t="n"/>
      <c r="J188" s="304" t="n"/>
      <c r="K188" s="304" t="n"/>
      <c r="L188" s="304" t="n"/>
      <c r="M188" s="304" t="n"/>
      <c r="N188" s="304" t="n"/>
      <c r="O188" s="304" t="n"/>
      <c r="P188" s="304" t="n"/>
      <c r="Q188" s="304" t="n"/>
    </row>
    <row r="189" ht="13.8" customHeight="1" s="343">
      <c r="A189" s="388">
        <f>ROW()-22</f>
        <v/>
      </c>
      <c r="B189" s="536">
        <f>_xlfn.NORM.INV(RAND(),$B$6,$C$6)</f>
        <v/>
      </c>
      <c r="C189" s="536">
        <f>MIN(_xlfn.NORM.INV(RAND(),$B$7,$C$7),B189-0.005)</f>
        <v/>
      </c>
      <c r="D189" s="537">
        <f>_xlfn.NORM.INV(RAND(),$B$8,$C$8)</f>
        <v/>
      </c>
      <c r="E189" s="391">
        <f t="array" ref="E189">(SUMPRODUCT($B$13:$F$13*D189/(1+B189)^$B$14:$F$14)+($F$13*D189*(1+C189))/(B189-C189)/(1+B189)^$F$14-$B$15+$B$16)/$B$17</f>
        <v/>
      </c>
      <c r="F189" s="304" t="n"/>
      <c r="G189" s="304" t="n"/>
      <c r="H189" s="304" t="n"/>
      <c r="I189" s="304" t="n"/>
      <c r="J189" s="304" t="n"/>
      <c r="K189" s="304" t="n"/>
      <c r="L189" s="304" t="n"/>
      <c r="M189" s="304" t="n"/>
      <c r="N189" s="304" t="n"/>
      <c r="O189" s="304" t="n"/>
      <c r="P189" s="304" t="n"/>
      <c r="Q189" s="304" t="n"/>
    </row>
    <row r="190" ht="13.8" customHeight="1" s="343">
      <c r="A190" s="388">
        <f>ROW()-22</f>
        <v/>
      </c>
      <c r="B190" s="536">
        <f>_xlfn.NORM.INV(RAND(),$B$6,$C$6)</f>
        <v/>
      </c>
      <c r="C190" s="536">
        <f>MIN(_xlfn.NORM.INV(RAND(),$B$7,$C$7),B190-0.005)</f>
        <v/>
      </c>
      <c r="D190" s="537">
        <f>_xlfn.NORM.INV(RAND(),$B$8,$C$8)</f>
        <v/>
      </c>
      <c r="E190" s="391">
        <f t="array" ref="E190">(SUMPRODUCT($B$13:$F$13*D190/(1+B190)^$B$14:$F$14)+($F$13*D190*(1+C190))/(B190-C190)/(1+B190)^$F$14-$B$15+$B$16)/$B$17</f>
        <v/>
      </c>
      <c r="F190" s="304" t="n"/>
      <c r="G190" s="304" t="n"/>
      <c r="H190" s="304" t="n"/>
      <c r="I190" s="304" t="n"/>
      <c r="J190" s="304" t="n"/>
      <c r="K190" s="304" t="n"/>
      <c r="L190" s="304" t="n"/>
      <c r="M190" s="304" t="n"/>
      <c r="N190" s="304" t="n"/>
      <c r="O190" s="304" t="n"/>
      <c r="P190" s="304" t="n"/>
      <c r="Q190" s="304" t="n"/>
    </row>
    <row r="191" ht="13.8" customHeight="1" s="343">
      <c r="A191" s="388">
        <f>ROW()-22</f>
        <v/>
      </c>
      <c r="B191" s="536">
        <f>_xlfn.NORM.INV(RAND(),$B$6,$C$6)</f>
        <v/>
      </c>
      <c r="C191" s="536">
        <f>MIN(_xlfn.NORM.INV(RAND(),$B$7,$C$7),B191-0.005)</f>
        <v/>
      </c>
      <c r="D191" s="537">
        <f>_xlfn.NORM.INV(RAND(),$B$8,$C$8)</f>
        <v/>
      </c>
      <c r="E191" s="391">
        <f t="array" ref="E191">(SUMPRODUCT($B$13:$F$13*D191/(1+B191)^$B$14:$F$14)+($F$13*D191*(1+C191))/(B191-C191)/(1+B191)^$F$14-$B$15+$B$16)/$B$17</f>
        <v/>
      </c>
      <c r="F191" s="304" t="n"/>
      <c r="G191" s="304" t="n"/>
      <c r="H191" s="304" t="n"/>
      <c r="I191" s="304" t="n"/>
      <c r="J191" s="304" t="n"/>
      <c r="K191" s="304" t="n"/>
      <c r="L191" s="304" t="n"/>
      <c r="M191" s="304" t="n"/>
      <c r="N191" s="304" t="n"/>
      <c r="O191" s="304" t="n"/>
      <c r="P191" s="304" t="n"/>
      <c r="Q191" s="304" t="n"/>
    </row>
    <row r="192" ht="13.8" customHeight="1" s="343">
      <c r="A192" s="388">
        <f>ROW()-22</f>
        <v/>
      </c>
      <c r="B192" s="536">
        <f>_xlfn.NORM.INV(RAND(),$B$6,$C$6)</f>
        <v/>
      </c>
      <c r="C192" s="536">
        <f>MIN(_xlfn.NORM.INV(RAND(),$B$7,$C$7),B192-0.005)</f>
        <v/>
      </c>
      <c r="D192" s="537">
        <f>_xlfn.NORM.INV(RAND(),$B$8,$C$8)</f>
        <v/>
      </c>
      <c r="E192" s="391">
        <f t="array" ref="E192">(SUMPRODUCT($B$13:$F$13*D192/(1+B192)^$B$14:$F$14)+($F$13*D192*(1+C192))/(B192-C192)/(1+B192)^$F$14-$B$15+$B$16)/$B$17</f>
        <v/>
      </c>
      <c r="F192" s="304" t="n"/>
      <c r="G192" s="304" t="n"/>
      <c r="H192" s="304" t="n"/>
      <c r="I192" s="304" t="n"/>
      <c r="J192" s="304" t="n"/>
      <c r="K192" s="304" t="n"/>
      <c r="L192" s="304" t="n"/>
      <c r="M192" s="304" t="n"/>
      <c r="N192" s="304" t="n"/>
      <c r="O192" s="304" t="n"/>
      <c r="P192" s="304" t="n"/>
      <c r="Q192" s="304" t="n"/>
    </row>
    <row r="193" ht="13.8" customHeight="1" s="343">
      <c r="A193" s="388">
        <f>ROW()-22</f>
        <v/>
      </c>
      <c r="B193" s="536">
        <f>_xlfn.NORM.INV(RAND(),$B$6,$C$6)</f>
        <v/>
      </c>
      <c r="C193" s="536">
        <f>MIN(_xlfn.NORM.INV(RAND(),$B$7,$C$7),B193-0.005)</f>
        <v/>
      </c>
      <c r="D193" s="537">
        <f>_xlfn.NORM.INV(RAND(),$B$8,$C$8)</f>
        <v/>
      </c>
      <c r="E193" s="391">
        <f t="array" ref="E193">(SUMPRODUCT($B$13:$F$13*D193/(1+B193)^$B$14:$F$14)+($F$13*D193*(1+C193))/(B193-C193)/(1+B193)^$F$14-$B$15+$B$16)/$B$17</f>
        <v/>
      </c>
      <c r="F193" s="304" t="n"/>
      <c r="G193" s="304" t="n"/>
      <c r="H193" s="304" t="n"/>
      <c r="I193" s="304" t="n"/>
      <c r="J193" s="304" t="n"/>
      <c r="K193" s="304" t="n"/>
      <c r="L193" s="304" t="n"/>
      <c r="M193" s="304" t="n"/>
      <c r="N193" s="304" t="n"/>
      <c r="O193" s="304" t="n"/>
      <c r="P193" s="304" t="n"/>
      <c r="Q193" s="304" t="n"/>
    </row>
    <row r="194" ht="13.8" customHeight="1" s="343">
      <c r="A194" s="388">
        <f>ROW()-22</f>
        <v/>
      </c>
      <c r="B194" s="536">
        <f>_xlfn.NORM.INV(RAND(),$B$6,$C$6)</f>
        <v/>
      </c>
      <c r="C194" s="536">
        <f>MIN(_xlfn.NORM.INV(RAND(),$B$7,$C$7),B194-0.005)</f>
        <v/>
      </c>
      <c r="D194" s="537">
        <f>_xlfn.NORM.INV(RAND(),$B$8,$C$8)</f>
        <v/>
      </c>
      <c r="E194" s="391">
        <f t="array" ref="E194">(SUMPRODUCT($B$13:$F$13*D194/(1+B194)^$B$14:$F$14)+($F$13*D194*(1+C194))/(B194-C194)/(1+B194)^$F$14-$B$15+$B$16)/$B$17</f>
        <v/>
      </c>
      <c r="F194" s="304" t="n"/>
      <c r="G194" s="304" t="n"/>
      <c r="H194" s="304" t="n"/>
      <c r="I194" s="304" t="n"/>
      <c r="J194" s="304" t="n"/>
      <c r="K194" s="304" t="n"/>
      <c r="L194" s="304" t="n"/>
      <c r="M194" s="304" t="n"/>
      <c r="N194" s="304" t="n"/>
      <c r="O194" s="304" t="n"/>
      <c r="P194" s="304" t="n"/>
      <c r="Q194" s="304" t="n"/>
    </row>
    <row r="195" ht="13.8" customHeight="1" s="343">
      <c r="A195" s="388">
        <f>ROW()-22</f>
        <v/>
      </c>
      <c r="B195" s="536">
        <f>_xlfn.NORM.INV(RAND(),$B$6,$C$6)</f>
        <v/>
      </c>
      <c r="C195" s="536">
        <f>MIN(_xlfn.NORM.INV(RAND(),$B$7,$C$7),B195-0.005)</f>
        <v/>
      </c>
      <c r="D195" s="537">
        <f>_xlfn.NORM.INV(RAND(),$B$8,$C$8)</f>
        <v/>
      </c>
      <c r="E195" s="391">
        <f t="array" ref="E195">(SUMPRODUCT($B$13:$F$13*D195/(1+B195)^$B$14:$F$14)+($F$13*D195*(1+C195))/(B195-C195)/(1+B195)^$F$14-$B$15+$B$16)/$B$17</f>
        <v/>
      </c>
      <c r="F195" s="304" t="n"/>
      <c r="G195" s="304" t="n"/>
      <c r="H195" s="304" t="n"/>
      <c r="I195" s="304" t="n"/>
      <c r="J195" s="304" t="n"/>
      <c r="K195" s="304" t="n"/>
      <c r="L195" s="304" t="n"/>
      <c r="M195" s="304" t="n"/>
      <c r="N195" s="304" t="n"/>
      <c r="O195" s="304" t="n"/>
      <c r="P195" s="304" t="n"/>
      <c r="Q195" s="304" t="n"/>
    </row>
    <row r="196" ht="13.8" customHeight="1" s="343">
      <c r="A196" s="388">
        <f>ROW()-22</f>
        <v/>
      </c>
      <c r="B196" s="536">
        <f>_xlfn.NORM.INV(RAND(),$B$6,$C$6)</f>
        <v/>
      </c>
      <c r="C196" s="536">
        <f>MIN(_xlfn.NORM.INV(RAND(),$B$7,$C$7),B196-0.005)</f>
        <v/>
      </c>
      <c r="D196" s="537">
        <f>_xlfn.NORM.INV(RAND(),$B$8,$C$8)</f>
        <v/>
      </c>
      <c r="E196" s="391">
        <f t="array" ref="E196">(SUMPRODUCT($B$13:$F$13*D196/(1+B196)^$B$14:$F$14)+($F$13*D196*(1+C196))/(B196-C196)/(1+B196)^$F$14-$B$15+$B$16)/$B$17</f>
        <v/>
      </c>
      <c r="F196" s="304" t="n"/>
      <c r="G196" s="304" t="n"/>
      <c r="H196" s="304" t="n"/>
      <c r="I196" s="304" t="n"/>
      <c r="J196" s="304" t="n"/>
      <c r="K196" s="304" t="n"/>
      <c r="L196" s="304" t="n"/>
      <c r="M196" s="304" t="n"/>
      <c r="N196" s="304" t="n"/>
      <c r="O196" s="304" t="n"/>
      <c r="P196" s="304" t="n"/>
      <c r="Q196" s="304" t="n"/>
    </row>
    <row r="197" ht="13.8" customHeight="1" s="343">
      <c r="A197" s="388">
        <f>ROW()-22</f>
        <v/>
      </c>
      <c r="B197" s="536">
        <f>_xlfn.NORM.INV(RAND(),$B$6,$C$6)</f>
        <v/>
      </c>
      <c r="C197" s="536">
        <f>MIN(_xlfn.NORM.INV(RAND(),$B$7,$C$7),B197-0.005)</f>
        <v/>
      </c>
      <c r="D197" s="537">
        <f>_xlfn.NORM.INV(RAND(),$B$8,$C$8)</f>
        <v/>
      </c>
      <c r="E197" s="391">
        <f t="array" ref="E197">(SUMPRODUCT($B$13:$F$13*D197/(1+B197)^$B$14:$F$14)+($F$13*D197*(1+C197))/(B197-C197)/(1+B197)^$F$14-$B$15+$B$16)/$B$17</f>
        <v/>
      </c>
      <c r="F197" s="304" t="n"/>
      <c r="G197" s="304" t="n"/>
      <c r="H197" s="304" t="n"/>
      <c r="I197" s="304" t="n"/>
      <c r="J197" s="304" t="n"/>
      <c r="K197" s="304" t="n"/>
      <c r="L197" s="304" t="n"/>
      <c r="M197" s="304" t="n"/>
      <c r="N197" s="304" t="n"/>
      <c r="O197" s="304" t="n"/>
      <c r="P197" s="304" t="n"/>
      <c r="Q197" s="304" t="n"/>
    </row>
    <row r="198" ht="13.8" customHeight="1" s="343">
      <c r="A198" s="388">
        <f>ROW()-22</f>
        <v/>
      </c>
      <c r="B198" s="536">
        <f>_xlfn.NORM.INV(RAND(),$B$6,$C$6)</f>
        <v/>
      </c>
      <c r="C198" s="536">
        <f>MIN(_xlfn.NORM.INV(RAND(),$B$7,$C$7),B198-0.005)</f>
        <v/>
      </c>
      <c r="D198" s="537">
        <f>_xlfn.NORM.INV(RAND(),$B$8,$C$8)</f>
        <v/>
      </c>
      <c r="E198" s="391">
        <f t="array" ref="E198">(SUMPRODUCT($B$13:$F$13*D198/(1+B198)^$B$14:$F$14)+($F$13*D198*(1+C198))/(B198-C198)/(1+B198)^$F$14-$B$15+$B$16)/$B$17</f>
        <v/>
      </c>
      <c r="F198" s="304" t="n"/>
      <c r="G198" s="304" t="n"/>
      <c r="H198" s="304" t="n"/>
      <c r="I198" s="304" t="n"/>
      <c r="J198" s="304" t="n"/>
      <c r="K198" s="304" t="n"/>
      <c r="L198" s="304" t="n"/>
      <c r="M198" s="304" t="n"/>
      <c r="N198" s="304" t="n"/>
      <c r="O198" s="304" t="n"/>
      <c r="P198" s="304" t="n"/>
      <c r="Q198" s="304" t="n"/>
    </row>
    <row r="199" ht="13.8" customHeight="1" s="343">
      <c r="A199" s="388">
        <f>ROW()-22</f>
        <v/>
      </c>
      <c r="B199" s="536">
        <f>_xlfn.NORM.INV(RAND(),$B$6,$C$6)</f>
        <v/>
      </c>
      <c r="C199" s="536">
        <f>MIN(_xlfn.NORM.INV(RAND(),$B$7,$C$7),B199-0.005)</f>
        <v/>
      </c>
      <c r="D199" s="537">
        <f>_xlfn.NORM.INV(RAND(),$B$8,$C$8)</f>
        <v/>
      </c>
      <c r="E199" s="391">
        <f t="array" ref="E199">(SUMPRODUCT($B$13:$F$13*D199/(1+B199)^$B$14:$F$14)+($F$13*D199*(1+C199))/(B199-C199)/(1+B199)^$F$14-$B$15+$B$16)/$B$17</f>
        <v/>
      </c>
      <c r="F199" s="304" t="n"/>
      <c r="G199" s="304" t="n"/>
      <c r="H199" s="304" t="n"/>
      <c r="I199" s="304" t="n"/>
      <c r="J199" s="304" t="n"/>
      <c r="K199" s="304" t="n"/>
      <c r="L199" s="304" t="n"/>
      <c r="M199" s="304" t="n"/>
      <c r="N199" s="304" t="n"/>
      <c r="O199" s="304" t="n"/>
      <c r="P199" s="304" t="n"/>
      <c r="Q199" s="304" t="n"/>
    </row>
    <row r="200" ht="13.8" customHeight="1" s="343">
      <c r="A200" s="388">
        <f>ROW()-22</f>
        <v/>
      </c>
      <c r="B200" s="536">
        <f>_xlfn.NORM.INV(RAND(),$B$6,$C$6)</f>
        <v/>
      </c>
      <c r="C200" s="536">
        <f>MIN(_xlfn.NORM.INV(RAND(),$B$7,$C$7),B200-0.005)</f>
        <v/>
      </c>
      <c r="D200" s="537">
        <f>_xlfn.NORM.INV(RAND(),$B$8,$C$8)</f>
        <v/>
      </c>
      <c r="E200" s="391">
        <f t="array" ref="E200">(SUMPRODUCT($B$13:$F$13*D200/(1+B200)^$B$14:$F$14)+($F$13*D200*(1+C200))/(B200-C200)/(1+B200)^$F$14-$B$15+$B$16)/$B$17</f>
        <v/>
      </c>
      <c r="F200" s="304" t="n"/>
      <c r="G200" s="304" t="n"/>
      <c r="H200" s="304" t="n"/>
      <c r="I200" s="304" t="n"/>
      <c r="J200" s="304" t="n"/>
      <c r="K200" s="304" t="n"/>
      <c r="L200" s="304" t="n"/>
      <c r="M200" s="304" t="n"/>
      <c r="N200" s="304" t="n"/>
      <c r="O200" s="304" t="n"/>
      <c r="P200" s="304" t="n"/>
      <c r="Q200" s="304" t="n"/>
    </row>
    <row r="201" ht="13.8" customHeight="1" s="343">
      <c r="A201" s="388">
        <f>ROW()-22</f>
        <v/>
      </c>
      <c r="B201" s="536">
        <f>_xlfn.NORM.INV(RAND(),$B$6,$C$6)</f>
        <v/>
      </c>
      <c r="C201" s="536">
        <f>MIN(_xlfn.NORM.INV(RAND(),$B$7,$C$7),B201-0.005)</f>
        <v/>
      </c>
      <c r="D201" s="537">
        <f>_xlfn.NORM.INV(RAND(),$B$8,$C$8)</f>
        <v/>
      </c>
      <c r="E201" s="391">
        <f t="array" ref="E201">(SUMPRODUCT($B$13:$F$13*D201/(1+B201)^$B$14:$F$14)+($F$13*D201*(1+C201))/(B201-C201)/(1+B201)^$F$14-$B$15+$B$16)/$B$17</f>
        <v/>
      </c>
      <c r="F201" s="304" t="n"/>
      <c r="G201" s="304" t="n"/>
      <c r="H201" s="304" t="n"/>
      <c r="I201" s="304" t="n"/>
      <c r="J201" s="304" t="n"/>
      <c r="K201" s="304" t="n"/>
      <c r="L201" s="304" t="n"/>
      <c r="M201" s="304" t="n"/>
      <c r="N201" s="304" t="n"/>
      <c r="O201" s="304" t="n"/>
      <c r="P201" s="304" t="n"/>
      <c r="Q201" s="304" t="n"/>
    </row>
    <row r="202" ht="13.8" customHeight="1" s="343">
      <c r="A202" s="388">
        <f>ROW()-22</f>
        <v/>
      </c>
      <c r="B202" s="536">
        <f>_xlfn.NORM.INV(RAND(),$B$6,$C$6)</f>
        <v/>
      </c>
      <c r="C202" s="536">
        <f>MIN(_xlfn.NORM.INV(RAND(),$B$7,$C$7),B202-0.005)</f>
        <v/>
      </c>
      <c r="D202" s="537">
        <f>_xlfn.NORM.INV(RAND(),$B$8,$C$8)</f>
        <v/>
      </c>
      <c r="E202" s="391">
        <f t="array" ref="E202">(SUMPRODUCT($B$13:$F$13*D202/(1+B202)^$B$14:$F$14)+($F$13*D202*(1+C202))/(B202-C202)/(1+B202)^$F$14-$B$15+$B$16)/$B$17</f>
        <v/>
      </c>
      <c r="F202" s="304" t="n"/>
      <c r="G202" s="304" t="n"/>
      <c r="H202" s="304" t="n"/>
      <c r="I202" s="304" t="n"/>
      <c r="J202" s="304" t="n"/>
      <c r="K202" s="304" t="n"/>
      <c r="L202" s="304" t="n"/>
      <c r="M202" s="304" t="n"/>
      <c r="N202" s="304" t="n"/>
      <c r="O202" s="304" t="n"/>
      <c r="P202" s="304" t="n"/>
      <c r="Q202" s="304" t="n"/>
    </row>
    <row r="203" ht="13.8" customHeight="1" s="343">
      <c r="A203" s="388">
        <f>ROW()-22</f>
        <v/>
      </c>
      <c r="B203" s="536">
        <f>_xlfn.NORM.INV(RAND(),$B$6,$C$6)</f>
        <v/>
      </c>
      <c r="C203" s="536">
        <f>MIN(_xlfn.NORM.INV(RAND(),$B$7,$C$7),B203-0.005)</f>
        <v/>
      </c>
      <c r="D203" s="537">
        <f>_xlfn.NORM.INV(RAND(),$B$8,$C$8)</f>
        <v/>
      </c>
      <c r="E203" s="391">
        <f t="array" ref="E203">(SUMPRODUCT($B$13:$F$13*D203/(1+B203)^$B$14:$F$14)+($F$13*D203*(1+C203))/(B203-C203)/(1+B203)^$F$14-$B$15+$B$16)/$B$17</f>
        <v/>
      </c>
      <c r="F203" s="304" t="n"/>
      <c r="G203" s="304" t="n"/>
      <c r="H203" s="304" t="n"/>
      <c r="I203" s="304" t="n"/>
      <c r="J203" s="304" t="n"/>
      <c r="K203" s="304" t="n"/>
      <c r="L203" s="304" t="n"/>
      <c r="M203" s="304" t="n"/>
      <c r="N203" s="304" t="n"/>
      <c r="O203" s="304" t="n"/>
      <c r="P203" s="304" t="n"/>
      <c r="Q203" s="304" t="n"/>
    </row>
    <row r="204" ht="13.8" customHeight="1" s="343">
      <c r="A204" s="388">
        <f>ROW()-22</f>
        <v/>
      </c>
      <c r="B204" s="536">
        <f>_xlfn.NORM.INV(RAND(),$B$6,$C$6)</f>
        <v/>
      </c>
      <c r="C204" s="536">
        <f>MIN(_xlfn.NORM.INV(RAND(),$B$7,$C$7),B204-0.005)</f>
        <v/>
      </c>
      <c r="D204" s="537">
        <f>_xlfn.NORM.INV(RAND(),$B$8,$C$8)</f>
        <v/>
      </c>
      <c r="E204" s="391">
        <f t="array" ref="E204">(SUMPRODUCT($B$13:$F$13*D204/(1+B204)^$B$14:$F$14)+($F$13*D204*(1+C204))/(B204-C204)/(1+B204)^$F$14-$B$15+$B$16)/$B$17</f>
        <v/>
      </c>
      <c r="F204" s="304" t="n"/>
      <c r="G204" s="304" t="n"/>
      <c r="H204" s="304" t="n"/>
      <c r="I204" s="304" t="n"/>
      <c r="J204" s="304" t="n"/>
      <c r="K204" s="304" t="n"/>
      <c r="L204" s="304" t="n"/>
      <c r="M204" s="304" t="n"/>
      <c r="N204" s="304" t="n"/>
      <c r="O204" s="304" t="n"/>
      <c r="P204" s="304" t="n"/>
      <c r="Q204" s="304" t="n"/>
    </row>
    <row r="205" ht="13.8" customHeight="1" s="343">
      <c r="A205" s="388">
        <f>ROW()-22</f>
        <v/>
      </c>
      <c r="B205" s="536">
        <f>_xlfn.NORM.INV(RAND(),$B$6,$C$6)</f>
        <v/>
      </c>
      <c r="C205" s="536">
        <f>MIN(_xlfn.NORM.INV(RAND(),$B$7,$C$7),B205-0.005)</f>
        <v/>
      </c>
      <c r="D205" s="537">
        <f>_xlfn.NORM.INV(RAND(),$B$8,$C$8)</f>
        <v/>
      </c>
      <c r="E205" s="391">
        <f t="array" ref="E205">(SUMPRODUCT($B$13:$F$13*D205/(1+B205)^$B$14:$F$14)+($F$13*D205*(1+C205))/(B205-C205)/(1+B205)^$F$14-$B$15+$B$16)/$B$17</f>
        <v/>
      </c>
      <c r="F205" s="304" t="n"/>
      <c r="G205" s="304" t="n"/>
      <c r="H205" s="304" t="n"/>
      <c r="I205" s="304" t="n"/>
      <c r="J205" s="304" t="n"/>
      <c r="K205" s="304" t="n"/>
      <c r="L205" s="304" t="n"/>
      <c r="M205" s="304" t="n"/>
      <c r="N205" s="304" t="n"/>
      <c r="O205" s="304" t="n"/>
      <c r="P205" s="304" t="n"/>
      <c r="Q205" s="304" t="n"/>
    </row>
    <row r="206" ht="13.8" customHeight="1" s="343">
      <c r="A206" s="388">
        <f>ROW()-22</f>
        <v/>
      </c>
      <c r="B206" s="536">
        <f>_xlfn.NORM.INV(RAND(),$B$6,$C$6)</f>
        <v/>
      </c>
      <c r="C206" s="536">
        <f>MIN(_xlfn.NORM.INV(RAND(),$B$7,$C$7),B206-0.005)</f>
        <v/>
      </c>
      <c r="D206" s="537">
        <f>_xlfn.NORM.INV(RAND(),$B$8,$C$8)</f>
        <v/>
      </c>
      <c r="E206" s="391">
        <f t="array" ref="E206">(SUMPRODUCT($B$13:$F$13*D206/(1+B206)^$B$14:$F$14)+($F$13*D206*(1+C206))/(B206-C206)/(1+B206)^$F$14-$B$15+$B$16)/$B$17</f>
        <v/>
      </c>
      <c r="F206" s="304" t="n"/>
      <c r="G206" s="304" t="n"/>
      <c r="H206" s="304" t="n"/>
      <c r="I206" s="304" t="n"/>
      <c r="J206" s="304" t="n"/>
      <c r="K206" s="304" t="n"/>
      <c r="L206" s="304" t="n"/>
      <c r="M206" s="304" t="n"/>
      <c r="N206" s="304" t="n"/>
      <c r="O206" s="304" t="n"/>
      <c r="P206" s="304" t="n"/>
      <c r="Q206" s="304" t="n"/>
    </row>
    <row r="207" ht="13.8" customHeight="1" s="343">
      <c r="A207" s="388">
        <f>ROW()-22</f>
        <v/>
      </c>
      <c r="B207" s="536">
        <f>_xlfn.NORM.INV(RAND(),$B$6,$C$6)</f>
        <v/>
      </c>
      <c r="C207" s="536">
        <f>MIN(_xlfn.NORM.INV(RAND(),$B$7,$C$7),B207-0.005)</f>
        <v/>
      </c>
      <c r="D207" s="537">
        <f>_xlfn.NORM.INV(RAND(),$B$8,$C$8)</f>
        <v/>
      </c>
      <c r="E207" s="391">
        <f t="array" ref="E207">(SUMPRODUCT($B$13:$F$13*D207/(1+B207)^$B$14:$F$14)+($F$13*D207*(1+C207))/(B207-C207)/(1+B207)^$F$14-$B$15+$B$16)/$B$17</f>
        <v/>
      </c>
      <c r="F207" s="304" t="n"/>
      <c r="G207" s="304" t="n"/>
      <c r="H207" s="304" t="n"/>
      <c r="I207" s="304" t="n"/>
      <c r="J207" s="304" t="n"/>
      <c r="K207" s="304" t="n"/>
      <c r="L207" s="304" t="n"/>
      <c r="M207" s="304" t="n"/>
      <c r="N207" s="304" t="n"/>
      <c r="O207" s="304" t="n"/>
      <c r="P207" s="304" t="n"/>
      <c r="Q207" s="304" t="n"/>
    </row>
    <row r="208" ht="13.8" customHeight="1" s="343">
      <c r="A208" s="388">
        <f>ROW()-22</f>
        <v/>
      </c>
      <c r="B208" s="536">
        <f>_xlfn.NORM.INV(RAND(),$B$6,$C$6)</f>
        <v/>
      </c>
      <c r="C208" s="536">
        <f>MIN(_xlfn.NORM.INV(RAND(),$B$7,$C$7),B208-0.005)</f>
        <v/>
      </c>
      <c r="D208" s="537">
        <f>_xlfn.NORM.INV(RAND(),$B$8,$C$8)</f>
        <v/>
      </c>
      <c r="E208" s="391">
        <f t="array" ref="E208">(SUMPRODUCT($B$13:$F$13*D208/(1+B208)^$B$14:$F$14)+($F$13*D208*(1+C208))/(B208-C208)/(1+B208)^$F$14-$B$15+$B$16)/$B$17</f>
        <v/>
      </c>
      <c r="F208" s="304" t="n"/>
      <c r="G208" s="304" t="n"/>
      <c r="H208" s="304" t="n"/>
      <c r="I208" s="304" t="n"/>
      <c r="J208" s="304" t="n"/>
      <c r="K208" s="304" t="n"/>
      <c r="L208" s="304" t="n"/>
      <c r="M208" s="304" t="n"/>
      <c r="N208" s="304" t="n"/>
      <c r="O208" s="304" t="n"/>
      <c r="P208" s="304" t="n"/>
      <c r="Q208" s="304" t="n"/>
    </row>
    <row r="209" ht="13.8" customHeight="1" s="343">
      <c r="A209" s="388">
        <f>ROW()-22</f>
        <v/>
      </c>
      <c r="B209" s="536">
        <f>_xlfn.NORM.INV(RAND(),$B$6,$C$6)</f>
        <v/>
      </c>
      <c r="C209" s="536">
        <f>MIN(_xlfn.NORM.INV(RAND(),$B$7,$C$7),B209-0.005)</f>
        <v/>
      </c>
      <c r="D209" s="537">
        <f>_xlfn.NORM.INV(RAND(),$B$8,$C$8)</f>
        <v/>
      </c>
      <c r="E209" s="391">
        <f t="array" ref="E209">(SUMPRODUCT($B$13:$F$13*D209/(1+B209)^$B$14:$F$14)+($F$13*D209*(1+C209))/(B209-C209)/(1+B209)^$F$14-$B$15+$B$16)/$B$17</f>
        <v/>
      </c>
      <c r="F209" s="304" t="n"/>
      <c r="G209" s="304" t="n"/>
      <c r="H209" s="304" t="n"/>
      <c r="I209" s="304" t="n"/>
      <c r="J209" s="304" t="n"/>
      <c r="K209" s="304" t="n"/>
      <c r="L209" s="304" t="n"/>
      <c r="M209" s="304" t="n"/>
      <c r="N209" s="304" t="n"/>
      <c r="O209" s="304" t="n"/>
      <c r="P209" s="304" t="n"/>
      <c r="Q209" s="304" t="n"/>
    </row>
    <row r="210" ht="13.8" customHeight="1" s="343">
      <c r="A210" s="388">
        <f>ROW()-22</f>
        <v/>
      </c>
      <c r="B210" s="536">
        <f>_xlfn.NORM.INV(RAND(),$B$6,$C$6)</f>
        <v/>
      </c>
      <c r="C210" s="536">
        <f>MIN(_xlfn.NORM.INV(RAND(),$B$7,$C$7),B210-0.005)</f>
        <v/>
      </c>
      <c r="D210" s="537">
        <f>_xlfn.NORM.INV(RAND(),$B$8,$C$8)</f>
        <v/>
      </c>
      <c r="E210" s="391">
        <f t="array" ref="E210">(SUMPRODUCT($B$13:$F$13*D210/(1+B210)^$B$14:$F$14)+($F$13*D210*(1+C210))/(B210-C210)/(1+B210)^$F$14-$B$15+$B$16)/$B$17</f>
        <v/>
      </c>
      <c r="F210" s="304" t="n"/>
      <c r="G210" s="304" t="n"/>
      <c r="H210" s="304" t="n"/>
      <c r="I210" s="304" t="n"/>
      <c r="J210" s="304" t="n"/>
      <c r="K210" s="304" t="n"/>
      <c r="L210" s="304" t="n"/>
      <c r="M210" s="304" t="n"/>
      <c r="N210" s="304" t="n"/>
      <c r="O210" s="304" t="n"/>
      <c r="P210" s="304" t="n"/>
      <c r="Q210" s="304" t="n"/>
    </row>
    <row r="211" ht="13.8" customHeight="1" s="343">
      <c r="A211" s="388">
        <f>ROW()-22</f>
        <v/>
      </c>
      <c r="B211" s="536">
        <f>_xlfn.NORM.INV(RAND(),$B$6,$C$6)</f>
        <v/>
      </c>
      <c r="C211" s="536">
        <f>MIN(_xlfn.NORM.INV(RAND(),$B$7,$C$7),B211-0.005)</f>
        <v/>
      </c>
      <c r="D211" s="537">
        <f>_xlfn.NORM.INV(RAND(),$B$8,$C$8)</f>
        <v/>
      </c>
      <c r="E211" s="391">
        <f t="array" ref="E211">(SUMPRODUCT($B$13:$F$13*D211/(1+B211)^$B$14:$F$14)+($F$13*D211*(1+C211))/(B211-C211)/(1+B211)^$F$14-$B$15+$B$16)/$B$17</f>
        <v/>
      </c>
      <c r="F211" s="304" t="n"/>
      <c r="G211" s="304" t="n"/>
      <c r="H211" s="304" t="n"/>
      <c r="I211" s="304" t="n"/>
      <c r="J211" s="304" t="n"/>
      <c r="K211" s="304" t="n"/>
      <c r="L211" s="304" t="n"/>
      <c r="M211" s="304" t="n"/>
      <c r="N211" s="304" t="n"/>
      <c r="O211" s="304" t="n"/>
      <c r="P211" s="304" t="n"/>
      <c r="Q211" s="304" t="n"/>
    </row>
    <row r="212" ht="13.8" customHeight="1" s="343">
      <c r="A212" s="388">
        <f>ROW()-22</f>
        <v/>
      </c>
      <c r="B212" s="536">
        <f>_xlfn.NORM.INV(RAND(),$B$6,$C$6)</f>
        <v/>
      </c>
      <c r="C212" s="536">
        <f>MIN(_xlfn.NORM.INV(RAND(),$B$7,$C$7),B212-0.005)</f>
        <v/>
      </c>
      <c r="D212" s="537">
        <f>_xlfn.NORM.INV(RAND(),$B$8,$C$8)</f>
        <v/>
      </c>
      <c r="E212" s="391">
        <f t="array" ref="E212">(SUMPRODUCT($B$13:$F$13*D212/(1+B212)^$B$14:$F$14)+($F$13*D212*(1+C212))/(B212-C212)/(1+B212)^$F$14-$B$15+$B$16)/$B$17</f>
        <v/>
      </c>
      <c r="F212" s="304" t="n"/>
      <c r="G212" s="304" t="n"/>
      <c r="H212" s="304" t="n"/>
      <c r="I212" s="304" t="n"/>
      <c r="J212" s="304" t="n"/>
      <c r="K212" s="304" t="n"/>
      <c r="L212" s="304" t="n"/>
      <c r="M212" s="304" t="n"/>
      <c r="N212" s="304" t="n"/>
      <c r="O212" s="304" t="n"/>
      <c r="P212" s="304" t="n"/>
      <c r="Q212" s="304" t="n"/>
    </row>
    <row r="213" ht="13.8" customHeight="1" s="343">
      <c r="A213" s="388">
        <f>ROW()-22</f>
        <v/>
      </c>
      <c r="B213" s="536">
        <f>_xlfn.NORM.INV(RAND(),$B$6,$C$6)</f>
        <v/>
      </c>
      <c r="C213" s="536">
        <f>MIN(_xlfn.NORM.INV(RAND(),$B$7,$C$7),B213-0.005)</f>
        <v/>
      </c>
      <c r="D213" s="537">
        <f>_xlfn.NORM.INV(RAND(),$B$8,$C$8)</f>
        <v/>
      </c>
      <c r="E213" s="391">
        <f t="array" ref="E213">(SUMPRODUCT($B$13:$F$13*D213/(1+B213)^$B$14:$F$14)+($F$13*D213*(1+C213))/(B213-C213)/(1+B213)^$F$14-$B$15+$B$16)/$B$17</f>
        <v/>
      </c>
      <c r="F213" s="304" t="n"/>
      <c r="G213" s="304" t="n"/>
      <c r="H213" s="304" t="n"/>
      <c r="I213" s="304" t="n"/>
      <c r="J213" s="304" t="n"/>
      <c r="K213" s="304" t="n"/>
      <c r="L213" s="304" t="n"/>
      <c r="M213" s="304" t="n"/>
      <c r="N213" s="304" t="n"/>
      <c r="O213" s="304" t="n"/>
      <c r="P213" s="304" t="n"/>
      <c r="Q213" s="304" t="n"/>
    </row>
    <row r="214" ht="13.8" customHeight="1" s="343">
      <c r="A214" s="388">
        <f>ROW()-22</f>
        <v/>
      </c>
      <c r="B214" s="536">
        <f>_xlfn.NORM.INV(RAND(),$B$6,$C$6)</f>
        <v/>
      </c>
      <c r="C214" s="536">
        <f>MIN(_xlfn.NORM.INV(RAND(),$B$7,$C$7),B214-0.005)</f>
        <v/>
      </c>
      <c r="D214" s="537">
        <f>_xlfn.NORM.INV(RAND(),$B$8,$C$8)</f>
        <v/>
      </c>
      <c r="E214" s="391">
        <f t="array" ref="E214">(SUMPRODUCT($B$13:$F$13*D214/(1+B214)^$B$14:$F$14)+($F$13*D214*(1+C214))/(B214-C214)/(1+B214)^$F$14-$B$15+$B$16)/$B$17</f>
        <v/>
      </c>
      <c r="F214" s="304" t="n"/>
      <c r="G214" s="304" t="n"/>
      <c r="H214" s="304" t="n"/>
      <c r="I214" s="304" t="n"/>
      <c r="J214" s="304" t="n"/>
      <c r="K214" s="304" t="n"/>
      <c r="L214" s="304" t="n"/>
      <c r="M214" s="304" t="n"/>
      <c r="N214" s="304" t="n"/>
      <c r="O214" s="304" t="n"/>
      <c r="P214" s="304" t="n"/>
      <c r="Q214" s="304" t="n"/>
    </row>
    <row r="215" ht="13.8" customHeight="1" s="343">
      <c r="A215" s="388">
        <f>ROW()-22</f>
        <v/>
      </c>
      <c r="B215" s="536">
        <f>_xlfn.NORM.INV(RAND(),$B$6,$C$6)</f>
        <v/>
      </c>
      <c r="C215" s="536">
        <f>MIN(_xlfn.NORM.INV(RAND(),$B$7,$C$7),B215-0.005)</f>
        <v/>
      </c>
      <c r="D215" s="537">
        <f>_xlfn.NORM.INV(RAND(),$B$8,$C$8)</f>
        <v/>
      </c>
      <c r="E215" s="391">
        <f t="array" ref="E215">(SUMPRODUCT($B$13:$F$13*D215/(1+B215)^$B$14:$F$14)+($F$13*D215*(1+C215))/(B215-C215)/(1+B215)^$F$14-$B$15+$B$16)/$B$17</f>
        <v/>
      </c>
      <c r="F215" s="304" t="n"/>
      <c r="G215" s="304" t="n"/>
      <c r="H215" s="304" t="n"/>
      <c r="I215" s="304" t="n"/>
      <c r="J215" s="304" t="n"/>
      <c r="K215" s="304" t="n"/>
      <c r="L215" s="304" t="n"/>
      <c r="M215" s="304" t="n"/>
      <c r="N215" s="304" t="n"/>
      <c r="O215" s="304" t="n"/>
      <c r="P215" s="304" t="n"/>
      <c r="Q215" s="304" t="n"/>
    </row>
    <row r="216" ht="13.8" customHeight="1" s="343">
      <c r="A216" s="388">
        <f>ROW()-22</f>
        <v/>
      </c>
      <c r="B216" s="536">
        <f>_xlfn.NORM.INV(RAND(),$B$6,$C$6)</f>
        <v/>
      </c>
      <c r="C216" s="536">
        <f>MIN(_xlfn.NORM.INV(RAND(),$B$7,$C$7),B216-0.005)</f>
        <v/>
      </c>
      <c r="D216" s="537">
        <f>_xlfn.NORM.INV(RAND(),$B$8,$C$8)</f>
        <v/>
      </c>
      <c r="E216" s="391">
        <f t="array" ref="E216">(SUMPRODUCT($B$13:$F$13*D216/(1+B216)^$B$14:$F$14)+($F$13*D216*(1+C216))/(B216-C216)/(1+B216)^$F$14-$B$15+$B$16)/$B$17</f>
        <v/>
      </c>
      <c r="F216" s="304" t="n"/>
      <c r="G216" s="304" t="n"/>
      <c r="H216" s="304" t="n"/>
      <c r="I216" s="304" t="n"/>
      <c r="J216" s="304" t="n"/>
      <c r="K216" s="304" t="n"/>
      <c r="L216" s="304" t="n"/>
      <c r="M216" s="304" t="n"/>
      <c r="N216" s="304" t="n"/>
      <c r="O216" s="304" t="n"/>
      <c r="P216" s="304" t="n"/>
      <c r="Q216" s="304" t="n"/>
    </row>
    <row r="217" ht="13.8" customHeight="1" s="343">
      <c r="A217" s="388">
        <f>ROW()-22</f>
        <v/>
      </c>
      <c r="B217" s="536">
        <f>_xlfn.NORM.INV(RAND(),$B$6,$C$6)</f>
        <v/>
      </c>
      <c r="C217" s="536">
        <f>MIN(_xlfn.NORM.INV(RAND(),$B$7,$C$7),B217-0.005)</f>
        <v/>
      </c>
      <c r="D217" s="537">
        <f>_xlfn.NORM.INV(RAND(),$B$8,$C$8)</f>
        <v/>
      </c>
      <c r="E217" s="391">
        <f t="array" ref="E217">(SUMPRODUCT($B$13:$F$13*D217/(1+B217)^$B$14:$F$14)+($F$13*D217*(1+C217))/(B217-C217)/(1+B217)^$F$14-$B$15+$B$16)/$B$17</f>
        <v/>
      </c>
      <c r="F217" s="304" t="n"/>
      <c r="G217" s="304" t="n"/>
      <c r="H217" s="304" t="n"/>
      <c r="I217" s="304" t="n"/>
      <c r="J217" s="304" t="n"/>
      <c r="K217" s="304" t="n"/>
      <c r="L217" s="304" t="n"/>
      <c r="M217" s="304" t="n"/>
      <c r="N217" s="304" t="n"/>
      <c r="O217" s="304" t="n"/>
      <c r="P217" s="304" t="n"/>
      <c r="Q217" s="304" t="n"/>
    </row>
    <row r="218" ht="13.8" customHeight="1" s="343">
      <c r="A218" s="388">
        <f>ROW()-22</f>
        <v/>
      </c>
      <c r="B218" s="536">
        <f>_xlfn.NORM.INV(RAND(),$B$6,$C$6)</f>
        <v/>
      </c>
      <c r="C218" s="536">
        <f>MIN(_xlfn.NORM.INV(RAND(),$B$7,$C$7),B218-0.005)</f>
        <v/>
      </c>
      <c r="D218" s="537">
        <f>_xlfn.NORM.INV(RAND(),$B$8,$C$8)</f>
        <v/>
      </c>
      <c r="E218" s="391">
        <f t="array" ref="E218">(SUMPRODUCT($B$13:$F$13*D218/(1+B218)^$B$14:$F$14)+($F$13*D218*(1+C218))/(B218-C218)/(1+B218)^$F$14-$B$15+$B$16)/$B$17</f>
        <v/>
      </c>
      <c r="F218" s="304" t="n"/>
      <c r="G218" s="304" t="n"/>
      <c r="H218" s="304" t="n"/>
      <c r="I218" s="304" t="n"/>
      <c r="J218" s="304" t="n"/>
      <c r="K218" s="304" t="n"/>
      <c r="L218" s="304" t="n"/>
      <c r="M218" s="304" t="n"/>
      <c r="N218" s="304" t="n"/>
      <c r="O218" s="304" t="n"/>
      <c r="P218" s="304" t="n"/>
      <c r="Q218" s="304" t="n"/>
    </row>
    <row r="219" ht="13.8" customHeight="1" s="343">
      <c r="A219" s="388">
        <f>ROW()-22</f>
        <v/>
      </c>
      <c r="B219" s="536">
        <f>_xlfn.NORM.INV(RAND(),$B$6,$C$6)</f>
        <v/>
      </c>
      <c r="C219" s="536">
        <f>MIN(_xlfn.NORM.INV(RAND(),$B$7,$C$7),B219-0.005)</f>
        <v/>
      </c>
      <c r="D219" s="537">
        <f>_xlfn.NORM.INV(RAND(),$B$8,$C$8)</f>
        <v/>
      </c>
      <c r="E219" s="391">
        <f t="array" ref="E219">(SUMPRODUCT($B$13:$F$13*D219/(1+B219)^$B$14:$F$14)+($F$13*D219*(1+C219))/(B219-C219)/(1+B219)^$F$14-$B$15+$B$16)/$B$17</f>
        <v/>
      </c>
      <c r="F219" s="304" t="n"/>
      <c r="G219" s="304" t="n"/>
      <c r="H219" s="304" t="n"/>
      <c r="I219" s="304" t="n"/>
      <c r="J219" s="304" t="n"/>
      <c r="K219" s="304" t="n"/>
      <c r="L219" s="304" t="n"/>
      <c r="M219" s="304" t="n"/>
      <c r="N219" s="304" t="n"/>
      <c r="O219" s="304" t="n"/>
      <c r="P219" s="304" t="n"/>
      <c r="Q219" s="304" t="n"/>
    </row>
    <row r="220" ht="13.8" customHeight="1" s="343">
      <c r="A220" s="388">
        <f>ROW()-22</f>
        <v/>
      </c>
      <c r="B220" s="536">
        <f>_xlfn.NORM.INV(RAND(),$B$6,$C$6)</f>
        <v/>
      </c>
      <c r="C220" s="536">
        <f>MIN(_xlfn.NORM.INV(RAND(),$B$7,$C$7),B220-0.005)</f>
        <v/>
      </c>
      <c r="D220" s="537">
        <f>_xlfn.NORM.INV(RAND(),$B$8,$C$8)</f>
        <v/>
      </c>
      <c r="E220" s="391">
        <f t="array" ref="E220">(SUMPRODUCT($B$13:$F$13*D220/(1+B220)^$B$14:$F$14)+($F$13*D220*(1+C220))/(B220-C220)/(1+B220)^$F$14-$B$15+$B$16)/$B$17</f>
        <v/>
      </c>
      <c r="F220" s="304" t="n"/>
      <c r="G220" s="304" t="n"/>
      <c r="H220" s="304" t="n"/>
      <c r="I220" s="304" t="n"/>
      <c r="J220" s="304" t="n"/>
      <c r="K220" s="304" t="n"/>
      <c r="L220" s="304" t="n"/>
      <c r="M220" s="304" t="n"/>
      <c r="N220" s="304" t="n"/>
      <c r="O220" s="304" t="n"/>
      <c r="P220" s="304" t="n"/>
      <c r="Q220" s="304" t="n"/>
    </row>
    <row r="221" ht="13.8" customHeight="1" s="343">
      <c r="A221" s="388">
        <f>ROW()-22</f>
        <v/>
      </c>
      <c r="B221" s="536">
        <f>_xlfn.NORM.INV(RAND(),$B$6,$C$6)</f>
        <v/>
      </c>
      <c r="C221" s="536">
        <f>MIN(_xlfn.NORM.INV(RAND(),$B$7,$C$7),B221-0.005)</f>
        <v/>
      </c>
      <c r="D221" s="537">
        <f>_xlfn.NORM.INV(RAND(),$B$8,$C$8)</f>
        <v/>
      </c>
      <c r="E221" s="391">
        <f t="array" ref="E221">(SUMPRODUCT($B$13:$F$13*D221/(1+B221)^$B$14:$F$14)+($F$13*D221*(1+C221))/(B221-C221)/(1+B221)^$F$14-$B$15+$B$16)/$B$17</f>
        <v/>
      </c>
      <c r="F221" s="304" t="n"/>
      <c r="G221" s="304" t="n"/>
      <c r="H221" s="304" t="n"/>
      <c r="I221" s="304" t="n"/>
      <c r="J221" s="304" t="n"/>
      <c r="K221" s="304" t="n"/>
      <c r="L221" s="304" t="n"/>
      <c r="M221" s="304" t="n"/>
      <c r="N221" s="304" t="n"/>
      <c r="O221" s="304" t="n"/>
      <c r="P221" s="304" t="n"/>
      <c r="Q221" s="304" t="n"/>
    </row>
    <row r="222" ht="13.8" customHeight="1" s="343">
      <c r="A222" s="388">
        <f>ROW()-22</f>
        <v/>
      </c>
      <c r="B222" s="536">
        <f>_xlfn.NORM.INV(RAND(),$B$6,$C$6)</f>
        <v/>
      </c>
      <c r="C222" s="536">
        <f>MIN(_xlfn.NORM.INV(RAND(),$B$7,$C$7),B222-0.005)</f>
        <v/>
      </c>
      <c r="D222" s="537">
        <f>_xlfn.NORM.INV(RAND(),$B$8,$C$8)</f>
        <v/>
      </c>
      <c r="E222" s="391">
        <f t="array" ref="E222">(SUMPRODUCT($B$13:$F$13*D222/(1+B222)^$B$14:$F$14)+($F$13*D222*(1+C222))/(B222-C222)/(1+B222)^$F$14-$B$15+$B$16)/$B$17</f>
        <v/>
      </c>
      <c r="F222" s="304" t="n"/>
      <c r="G222" s="304" t="n"/>
      <c r="H222" s="304" t="n"/>
      <c r="I222" s="304" t="n"/>
      <c r="J222" s="304" t="n"/>
      <c r="K222" s="304" t="n"/>
      <c r="L222" s="304" t="n"/>
      <c r="M222" s="304" t="n"/>
      <c r="N222" s="304" t="n"/>
      <c r="O222" s="304" t="n"/>
      <c r="P222" s="304" t="n"/>
      <c r="Q222" s="304" t="n"/>
    </row>
    <row r="223" ht="13.8" customHeight="1" s="343">
      <c r="A223" s="388">
        <f>ROW()-22</f>
        <v/>
      </c>
      <c r="B223" s="536">
        <f>_xlfn.NORM.INV(RAND(),$B$6,$C$6)</f>
        <v/>
      </c>
      <c r="C223" s="536">
        <f>MIN(_xlfn.NORM.INV(RAND(),$B$7,$C$7),B223-0.005)</f>
        <v/>
      </c>
      <c r="D223" s="537">
        <f>_xlfn.NORM.INV(RAND(),$B$8,$C$8)</f>
        <v/>
      </c>
      <c r="E223" s="391">
        <f t="array" ref="E223">(SUMPRODUCT($B$13:$F$13*D223/(1+B223)^$B$14:$F$14)+($F$13*D223*(1+C223))/(B223-C223)/(1+B223)^$F$14-$B$15+$B$16)/$B$17</f>
        <v/>
      </c>
      <c r="F223" s="304" t="n"/>
      <c r="G223" s="304" t="n"/>
      <c r="H223" s="304" t="n"/>
      <c r="I223" s="304" t="n"/>
      <c r="J223" s="304" t="n"/>
      <c r="K223" s="304" t="n"/>
      <c r="L223" s="304" t="n"/>
      <c r="M223" s="304" t="n"/>
      <c r="N223" s="304" t="n"/>
      <c r="O223" s="304" t="n"/>
      <c r="P223" s="304" t="n"/>
      <c r="Q223" s="304" t="n"/>
    </row>
    <row r="224" ht="13.8" customHeight="1" s="343">
      <c r="A224" s="388">
        <f>ROW()-22</f>
        <v/>
      </c>
      <c r="B224" s="536">
        <f>_xlfn.NORM.INV(RAND(),$B$6,$C$6)</f>
        <v/>
      </c>
      <c r="C224" s="536">
        <f>MIN(_xlfn.NORM.INV(RAND(),$B$7,$C$7),B224-0.005)</f>
        <v/>
      </c>
      <c r="D224" s="537">
        <f>_xlfn.NORM.INV(RAND(),$B$8,$C$8)</f>
        <v/>
      </c>
      <c r="E224" s="391">
        <f t="array" ref="E224">(SUMPRODUCT($B$13:$F$13*D224/(1+B224)^$B$14:$F$14)+($F$13*D224*(1+C224))/(B224-C224)/(1+B224)^$F$14-$B$15+$B$16)/$B$17</f>
        <v/>
      </c>
      <c r="F224" s="304" t="n"/>
      <c r="G224" s="304" t="n"/>
      <c r="H224" s="304" t="n"/>
      <c r="I224" s="304" t="n"/>
      <c r="J224" s="304" t="n"/>
      <c r="K224" s="304" t="n"/>
      <c r="L224" s="304" t="n"/>
      <c r="M224" s="304" t="n"/>
      <c r="N224" s="304" t="n"/>
      <c r="O224" s="304" t="n"/>
      <c r="P224" s="304" t="n"/>
      <c r="Q224" s="304" t="n"/>
    </row>
    <row r="225" ht="13.8" customHeight="1" s="343">
      <c r="A225" s="388">
        <f>ROW()-22</f>
        <v/>
      </c>
      <c r="B225" s="536">
        <f>_xlfn.NORM.INV(RAND(),$B$6,$C$6)</f>
        <v/>
      </c>
      <c r="C225" s="536">
        <f>MIN(_xlfn.NORM.INV(RAND(),$B$7,$C$7),B225-0.005)</f>
        <v/>
      </c>
      <c r="D225" s="537">
        <f>_xlfn.NORM.INV(RAND(),$B$8,$C$8)</f>
        <v/>
      </c>
      <c r="E225" s="391">
        <f t="array" ref="E225">(SUMPRODUCT($B$13:$F$13*D225/(1+B225)^$B$14:$F$14)+($F$13*D225*(1+C225))/(B225-C225)/(1+B225)^$F$14-$B$15+$B$16)/$B$17</f>
        <v/>
      </c>
      <c r="F225" s="304" t="n"/>
      <c r="G225" s="304" t="n"/>
      <c r="H225" s="304" t="n"/>
      <c r="I225" s="304" t="n"/>
      <c r="J225" s="304" t="n"/>
      <c r="K225" s="304" t="n"/>
      <c r="L225" s="304" t="n"/>
      <c r="M225" s="304" t="n"/>
      <c r="N225" s="304" t="n"/>
      <c r="O225" s="304" t="n"/>
      <c r="P225" s="304" t="n"/>
      <c r="Q225" s="304" t="n"/>
    </row>
    <row r="226" ht="13.8" customHeight="1" s="343">
      <c r="A226" s="388">
        <f>ROW()-22</f>
        <v/>
      </c>
      <c r="B226" s="536">
        <f>_xlfn.NORM.INV(RAND(),$B$6,$C$6)</f>
        <v/>
      </c>
      <c r="C226" s="536">
        <f>MIN(_xlfn.NORM.INV(RAND(),$B$7,$C$7),B226-0.005)</f>
        <v/>
      </c>
      <c r="D226" s="537">
        <f>_xlfn.NORM.INV(RAND(),$B$8,$C$8)</f>
        <v/>
      </c>
      <c r="E226" s="391">
        <f t="array" ref="E226">(SUMPRODUCT($B$13:$F$13*D226/(1+B226)^$B$14:$F$14)+($F$13*D226*(1+C226))/(B226-C226)/(1+B226)^$F$14-$B$15+$B$16)/$B$17</f>
        <v/>
      </c>
      <c r="F226" s="304" t="n"/>
      <c r="G226" s="304" t="n"/>
      <c r="H226" s="304" t="n"/>
      <c r="I226" s="304" t="n"/>
      <c r="J226" s="304" t="n"/>
      <c r="K226" s="304" t="n"/>
      <c r="L226" s="304" t="n"/>
      <c r="M226" s="304" t="n"/>
      <c r="N226" s="304" t="n"/>
      <c r="O226" s="304" t="n"/>
      <c r="P226" s="304" t="n"/>
      <c r="Q226" s="304" t="n"/>
    </row>
    <row r="227" ht="13.8" customHeight="1" s="343">
      <c r="A227" s="388">
        <f>ROW()-22</f>
        <v/>
      </c>
      <c r="B227" s="536">
        <f>_xlfn.NORM.INV(RAND(),$B$6,$C$6)</f>
        <v/>
      </c>
      <c r="C227" s="536">
        <f>MIN(_xlfn.NORM.INV(RAND(),$B$7,$C$7),B227-0.005)</f>
        <v/>
      </c>
      <c r="D227" s="537">
        <f>_xlfn.NORM.INV(RAND(),$B$8,$C$8)</f>
        <v/>
      </c>
      <c r="E227" s="391">
        <f t="array" ref="E227">(SUMPRODUCT($B$13:$F$13*D227/(1+B227)^$B$14:$F$14)+($F$13*D227*(1+C227))/(B227-C227)/(1+B227)^$F$14-$B$15+$B$16)/$B$17</f>
        <v/>
      </c>
      <c r="F227" s="304" t="n"/>
      <c r="G227" s="304" t="n"/>
      <c r="H227" s="304" t="n"/>
      <c r="I227" s="304" t="n"/>
      <c r="J227" s="304" t="n"/>
      <c r="K227" s="304" t="n"/>
      <c r="L227" s="304" t="n"/>
      <c r="M227" s="304" t="n"/>
      <c r="N227" s="304" t="n"/>
      <c r="O227" s="304" t="n"/>
      <c r="P227" s="304" t="n"/>
      <c r="Q227" s="304" t="n"/>
    </row>
    <row r="228" ht="13.8" customHeight="1" s="343">
      <c r="A228" s="388">
        <f>ROW()-22</f>
        <v/>
      </c>
      <c r="B228" s="536">
        <f>_xlfn.NORM.INV(RAND(),$B$6,$C$6)</f>
        <v/>
      </c>
      <c r="C228" s="536">
        <f>MIN(_xlfn.NORM.INV(RAND(),$B$7,$C$7),B228-0.005)</f>
        <v/>
      </c>
      <c r="D228" s="537">
        <f>_xlfn.NORM.INV(RAND(),$B$8,$C$8)</f>
        <v/>
      </c>
      <c r="E228" s="391">
        <f t="array" ref="E228">(SUMPRODUCT($B$13:$F$13*D228/(1+B228)^$B$14:$F$14)+($F$13*D228*(1+C228))/(B228-C228)/(1+B228)^$F$14-$B$15+$B$16)/$B$17</f>
        <v/>
      </c>
      <c r="F228" s="304" t="n"/>
      <c r="G228" s="304" t="n"/>
      <c r="H228" s="304" t="n"/>
      <c r="I228" s="304" t="n"/>
      <c r="J228" s="304" t="n"/>
      <c r="K228" s="304" t="n"/>
      <c r="L228" s="304" t="n"/>
      <c r="M228" s="304" t="n"/>
      <c r="N228" s="304" t="n"/>
      <c r="O228" s="304" t="n"/>
      <c r="P228" s="304" t="n"/>
      <c r="Q228" s="304" t="n"/>
    </row>
    <row r="229" ht="13.8" customHeight="1" s="343">
      <c r="A229" s="388">
        <f>ROW()-22</f>
        <v/>
      </c>
      <c r="B229" s="536">
        <f>_xlfn.NORM.INV(RAND(),$B$6,$C$6)</f>
        <v/>
      </c>
      <c r="C229" s="536">
        <f>MIN(_xlfn.NORM.INV(RAND(),$B$7,$C$7),B229-0.005)</f>
        <v/>
      </c>
      <c r="D229" s="537">
        <f>_xlfn.NORM.INV(RAND(),$B$8,$C$8)</f>
        <v/>
      </c>
      <c r="E229" s="391">
        <f t="array" ref="E229">(SUMPRODUCT($B$13:$F$13*D229/(1+B229)^$B$14:$F$14)+($F$13*D229*(1+C229))/(B229-C229)/(1+B229)^$F$14-$B$15+$B$16)/$B$17</f>
        <v/>
      </c>
      <c r="F229" s="304" t="n"/>
      <c r="G229" s="304" t="n"/>
      <c r="H229" s="304" t="n"/>
      <c r="I229" s="304" t="n"/>
      <c r="J229" s="304" t="n"/>
      <c r="K229" s="304" t="n"/>
      <c r="L229" s="304" t="n"/>
      <c r="M229" s="304" t="n"/>
      <c r="N229" s="304" t="n"/>
      <c r="O229" s="304" t="n"/>
      <c r="P229" s="304" t="n"/>
      <c r="Q229" s="304" t="n"/>
    </row>
    <row r="230" ht="13.8" customHeight="1" s="343">
      <c r="A230" s="388">
        <f>ROW()-22</f>
        <v/>
      </c>
      <c r="B230" s="536">
        <f>_xlfn.NORM.INV(RAND(),$B$6,$C$6)</f>
        <v/>
      </c>
      <c r="C230" s="536">
        <f>MIN(_xlfn.NORM.INV(RAND(),$B$7,$C$7),B230-0.005)</f>
        <v/>
      </c>
      <c r="D230" s="537">
        <f>_xlfn.NORM.INV(RAND(),$B$8,$C$8)</f>
        <v/>
      </c>
      <c r="E230" s="391">
        <f t="array" ref="E230">(SUMPRODUCT($B$13:$F$13*D230/(1+B230)^$B$14:$F$14)+($F$13*D230*(1+C230))/(B230-C230)/(1+B230)^$F$14-$B$15+$B$16)/$B$17</f>
        <v/>
      </c>
      <c r="F230" s="304" t="n"/>
      <c r="G230" s="304" t="n"/>
      <c r="H230" s="304" t="n"/>
      <c r="I230" s="304" t="n"/>
      <c r="J230" s="304" t="n"/>
      <c r="K230" s="304" t="n"/>
      <c r="L230" s="304" t="n"/>
      <c r="M230" s="304" t="n"/>
      <c r="N230" s="304" t="n"/>
      <c r="O230" s="304" t="n"/>
      <c r="P230" s="304" t="n"/>
      <c r="Q230" s="304" t="n"/>
    </row>
    <row r="231" ht="13.8" customHeight="1" s="343">
      <c r="A231" s="388">
        <f>ROW()-22</f>
        <v/>
      </c>
      <c r="B231" s="536">
        <f>_xlfn.NORM.INV(RAND(),$B$6,$C$6)</f>
        <v/>
      </c>
      <c r="C231" s="536">
        <f>MIN(_xlfn.NORM.INV(RAND(),$B$7,$C$7),B231-0.005)</f>
        <v/>
      </c>
      <c r="D231" s="537">
        <f>_xlfn.NORM.INV(RAND(),$B$8,$C$8)</f>
        <v/>
      </c>
      <c r="E231" s="391">
        <f t="array" ref="E231">(SUMPRODUCT($B$13:$F$13*D231/(1+B231)^$B$14:$F$14)+($F$13*D231*(1+C231))/(B231-C231)/(1+B231)^$F$14-$B$15+$B$16)/$B$17</f>
        <v/>
      </c>
      <c r="F231" s="304" t="n"/>
      <c r="G231" s="304" t="n"/>
      <c r="H231" s="304" t="n"/>
      <c r="I231" s="304" t="n"/>
      <c r="J231" s="304" t="n"/>
      <c r="K231" s="304" t="n"/>
      <c r="L231" s="304" t="n"/>
      <c r="M231" s="304" t="n"/>
      <c r="N231" s="304" t="n"/>
      <c r="O231" s="304" t="n"/>
      <c r="P231" s="304" t="n"/>
      <c r="Q231" s="304" t="n"/>
    </row>
    <row r="232" ht="13.8" customHeight="1" s="343">
      <c r="A232" s="388">
        <f>ROW()-22</f>
        <v/>
      </c>
      <c r="B232" s="536">
        <f>_xlfn.NORM.INV(RAND(),$B$6,$C$6)</f>
        <v/>
      </c>
      <c r="C232" s="536">
        <f>MIN(_xlfn.NORM.INV(RAND(),$B$7,$C$7),B232-0.005)</f>
        <v/>
      </c>
      <c r="D232" s="537">
        <f>_xlfn.NORM.INV(RAND(),$B$8,$C$8)</f>
        <v/>
      </c>
      <c r="E232" s="391">
        <f t="array" ref="E232">(SUMPRODUCT($B$13:$F$13*D232/(1+B232)^$B$14:$F$14)+($F$13*D232*(1+C232))/(B232-C232)/(1+B232)^$F$14-$B$15+$B$16)/$B$17</f>
        <v/>
      </c>
      <c r="F232" s="304" t="n"/>
      <c r="G232" s="304" t="n"/>
      <c r="H232" s="304" t="n"/>
      <c r="I232" s="304" t="n"/>
      <c r="J232" s="304" t="n"/>
      <c r="K232" s="304" t="n"/>
      <c r="L232" s="304" t="n"/>
      <c r="M232" s="304" t="n"/>
      <c r="N232" s="304" t="n"/>
      <c r="O232" s="304" t="n"/>
      <c r="P232" s="304" t="n"/>
      <c r="Q232" s="304" t="n"/>
    </row>
    <row r="233" ht="13.8" customHeight="1" s="343">
      <c r="A233" s="388">
        <f>ROW()-22</f>
        <v/>
      </c>
      <c r="B233" s="536">
        <f>_xlfn.NORM.INV(RAND(),$B$6,$C$6)</f>
        <v/>
      </c>
      <c r="C233" s="536">
        <f>MIN(_xlfn.NORM.INV(RAND(),$B$7,$C$7),B233-0.005)</f>
        <v/>
      </c>
      <c r="D233" s="537">
        <f>_xlfn.NORM.INV(RAND(),$B$8,$C$8)</f>
        <v/>
      </c>
      <c r="E233" s="391">
        <f t="array" ref="E233">(SUMPRODUCT($B$13:$F$13*D233/(1+B233)^$B$14:$F$14)+($F$13*D233*(1+C233))/(B233-C233)/(1+B233)^$F$14-$B$15+$B$16)/$B$17</f>
        <v/>
      </c>
      <c r="F233" s="304" t="n"/>
      <c r="G233" s="304" t="n"/>
      <c r="H233" s="304" t="n"/>
      <c r="I233" s="304" t="n"/>
      <c r="J233" s="304" t="n"/>
      <c r="K233" s="304" t="n"/>
      <c r="L233" s="304" t="n"/>
      <c r="M233" s="304" t="n"/>
      <c r="N233" s="304" t="n"/>
      <c r="O233" s="304" t="n"/>
      <c r="P233" s="304" t="n"/>
      <c r="Q233" s="304" t="n"/>
    </row>
    <row r="234" ht="13.8" customHeight="1" s="343">
      <c r="A234" s="388">
        <f>ROW()-22</f>
        <v/>
      </c>
      <c r="B234" s="536">
        <f>_xlfn.NORM.INV(RAND(),$B$6,$C$6)</f>
        <v/>
      </c>
      <c r="C234" s="536">
        <f>MIN(_xlfn.NORM.INV(RAND(),$B$7,$C$7),B234-0.005)</f>
        <v/>
      </c>
      <c r="D234" s="537">
        <f>_xlfn.NORM.INV(RAND(),$B$8,$C$8)</f>
        <v/>
      </c>
      <c r="E234" s="391">
        <f t="array" ref="E234">(SUMPRODUCT($B$13:$F$13*D234/(1+B234)^$B$14:$F$14)+($F$13*D234*(1+C234))/(B234-C234)/(1+B234)^$F$14-$B$15+$B$16)/$B$17</f>
        <v/>
      </c>
      <c r="F234" s="304" t="n"/>
      <c r="G234" s="304" t="n"/>
      <c r="H234" s="304" t="n"/>
      <c r="I234" s="304" t="n"/>
      <c r="J234" s="304" t="n"/>
      <c r="K234" s="304" t="n"/>
      <c r="L234" s="304" t="n"/>
      <c r="M234" s="304" t="n"/>
      <c r="N234" s="304" t="n"/>
      <c r="O234" s="304" t="n"/>
      <c r="P234" s="304" t="n"/>
      <c r="Q234" s="304" t="n"/>
    </row>
    <row r="235" ht="13.8" customHeight="1" s="343">
      <c r="A235" s="388">
        <f>ROW()-22</f>
        <v/>
      </c>
      <c r="B235" s="536">
        <f>_xlfn.NORM.INV(RAND(),$B$6,$C$6)</f>
        <v/>
      </c>
      <c r="C235" s="536">
        <f>MIN(_xlfn.NORM.INV(RAND(),$B$7,$C$7),B235-0.005)</f>
        <v/>
      </c>
      <c r="D235" s="537">
        <f>_xlfn.NORM.INV(RAND(),$B$8,$C$8)</f>
        <v/>
      </c>
      <c r="E235" s="391">
        <f t="array" ref="E235">(SUMPRODUCT($B$13:$F$13*D235/(1+B235)^$B$14:$F$14)+($F$13*D235*(1+C235))/(B235-C235)/(1+B235)^$F$14-$B$15+$B$16)/$B$17</f>
        <v/>
      </c>
      <c r="F235" s="304" t="n"/>
      <c r="G235" s="304" t="n"/>
      <c r="H235" s="304" t="n"/>
      <c r="I235" s="304" t="n"/>
      <c r="J235" s="304" t="n"/>
      <c r="K235" s="304" t="n"/>
      <c r="L235" s="304" t="n"/>
      <c r="M235" s="304" t="n"/>
      <c r="N235" s="304" t="n"/>
      <c r="O235" s="304" t="n"/>
      <c r="P235" s="304" t="n"/>
      <c r="Q235" s="304" t="n"/>
    </row>
    <row r="236" ht="13.8" customHeight="1" s="343">
      <c r="A236" s="388">
        <f>ROW()-22</f>
        <v/>
      </c>
      <c r="B236" s="536">
        <f>_xlfn.NORM.INV(RAND(),$B$6,$C$6)</f>
        <v/>
      </c>
      <c r="C236" s="536">
        <f>MIN(_xlfn.NORM.INV(RAND(),$B$7,$C$7),B236-0.005)</f>
        <v/>
      </c>
      <c r="D236" s="537">
        <f>_xlfn.NORM.INV(RAND(),$B$8,$C$8)</f>
        <v/>
      </c>
      <c r="E236" s="391">
        <f t="array" ref="E236">(SUMPRODUCT($B$13:$F$13*D236/(1+B236)^$B$14:$F$14)+($F$13*D236*(1+C236))/(B236-C236)/(1+B236)^$F$14-$B$15+$B$16)/$B$17</f>
        <v/>
      </c>
      <c r="F236" s="304" t="n"/>
      <c r="G236" s="304" t="n"/>
      <c r="H236" s="304" t="n"/>
      <c r="I236" s="304" t="n"/>
      <c r="J236" s="304" t="n"/>
      <c r="K236" s="304" t="n"/>
      <c r="L236" s="304" t="n"/>
      <c r="M236" s="304" t="n"/>
      <c r="N236" s="304" t="n"/>
      <c r="O236" s="304" t="n"/>
      <c r="P236" s="304" t="n"/>
      <c r="Q236" s="304" t="n"/>
    </row>
    <row r="237" ht="13.8" customHeight="1" s="343">
      <c r="A237" s="388">
        <f>ROW()-22</f>
        <v/>
      </c>
      <c r="B237" s="536">
        <f>_xlfn.NORM.INV(RAND(),$B$6,$C$6)</f>
        <v/>
      </c>
      <c r="C237" s="536">
        <f>MIN(_xlfn.NORM.INV(RAND(),$B$7,$C$7),B237-0.005)</f>
        <v/>
      </c>
      <c r="D237" s="537">
        <f>_xlfn.NORM.INV(RAND(),$B$8,$C$8)</f>
        <v/>
      </c>
      <c r="E237" s="391">
        <f t="array" ref="E237">(SUMPRODUCT($B$13:$F$13*D237/(1+B237)^$B$14:$F$14)+($F$13*D237*(1+C237))/(B237-C237)/(1+B237)^$F$14-$B$15+$B$16)/$B$17</f>
        <v/>
      </c>
      <c r="F237" s="304" t="n"/>
      <c r="G237" s="304" t="n"/>
      <c r="H237" s="304" t="n"/>
      <c r="I237" s="304" t="n"/>
      <c r="J237" s="304" t="n"/>
      <c r="K237" s="304" t="n"/>
      <c r="L237" s="304" t="n"/>
      <c r="M237" s="304" t="n"/>
      <c r="N237" s="304" t="n"/>
      <c r="O237" s="304" t="n"/>
      <c r="P237" s="304" t="n"/>
      <c r="Q237" s="304" t="n"/>
    </row>
    <row r="238" ht="13.8" customHeight="1" s="343">
      <c r="A238" s="388">
        <f>ROW()-22</f>
        <v/>
      </c>
      <c r="B238" s="536">
        <f>_xlfn.NORM.INV(RAND(),$B$6,$C$6)</f>
        <v/>
      </c>
      <c r="C238" s="536">
        <f>MIN(_xlfn.NORM.INV(RAND(),$B$7,$C$7),B238-0.005)</f>
        <v/>
      </c>
      <c r="D238" s="537">
        <f>_xlfn.NORM.INV(RAND(),$B$8,$C$8)</f>
        <v/>
      </c>
      <c r="E238" s="391">
        <f t="array" ref="E238">(SUMPRODUCT($B$13:$F$13*D238/(1+B238)^$B$14:$F$14)+($F$13*D238*(1+C238))/(B238-C238)/(1+B238)^$F$14-$B$15+$B$16)/$B$17</f>
        <v/>
      </c>
      <c r="F238" s="304" t="n"/>
      <c r="G238" s="304" t="n"/>
      <c r="H238" s="304" t="n"/>
      <c r="I238" s="304" t="n"/>
      <c r="J238" s="304" t="n"/>
      <c r="K238" s="304" t="n"/>
      <c r="L238" s="304" t="n"/>
      <c r="M238" s="304" t="n"/>
      <c r="N238" s="304" t="n"/>
      <c r="O238" s="304" t="n"/>
      <c r="P238" s="304" t="n"/>
      <c r="Q238" s="304" t="n"/>
    </row>
    <row r="239" ht="13.8" customHeight="1" s="343">
      <c r="A239" s="388">
        <f>ROW()-22</f>
        <v/>
      </c>
      <c r="B239" s="536">
        <f>_xlfn.NORM.INV(RAND(),$B$6,$C$6)</f>
        <v/>
      </c>
      <c r="C239" s="536">
        <f>MIN(_xlfn.NORM.INV(RAND(),$B$7,$C$7),B239-0.005)</f>
        <v/>
      </c>
      <c r="D239" s="537">
        <f>_xlfn.NORM.INV(RAND(),$B$8,$C$8)</f>
        <v/>
      </c>
      <c r="E239" s="391">
        <f t="array" ref="E239">(SUMPRODUCT($B$13:$F$13*D239/(1+B239)^$B$14:$F$14)+($F$13*D239*(1+C239))/(B239-C239)/(1+B239)^$F$14-$B$15+$B$16)/$B$17</f>
        <v/>
      </c>
      <c r="F239" s="304" t="n"/>
      <c r="G239" s="304" t="n"/>
      <c r="H239" s="304" t="n"/>
      <c r="I239" s="304" t="n"/>
      <c r="J239" s="304" t="n"/>
      <c r="K239" s="304" t="n"/>
      <c r="L239" s="304" t="n"/>
      <c r="M239" s="304" t="n"/>
      <c r="N239" s="304" t="n"/>
      <c r="O239" s="304" t="n"/>
      <c r="P239" s="304" t="n"/>
      <c r="Q239" s="304" t="n"/>
    </row>
    <row r="240" ht="13.8" customHeight="1" s="343">
      <c r="A240" s="388">
        <f>ROW()-22</f>
        <v/>
      </c>
      <c r="B240" s="536">
        <f>_xlfn.NORM.INV(RAND(),$B$6,$C$6)</f>
        <v/>
      </c>
      <c r="C240" s="536">
        <f>MIN(_xlfn.NORM.INV(RAND(),$B$7,$C$7),B240-0.005)</f>
        <v/>
      </c>
      <c r="D240" s="537">
        <f>_xlfn.NORM.INV(RAND(),$B$8,$C$8)</f>
        <v/>
      </c>
      <c r="E240" s="391">
        <f t="array" ref="E240">(SUMPRODUCT($B$13:$F$13*D240/(1+B240)^$B$14:$F$14)+($F$13*D240*(1+C240))/(B240-C240)/(1+B240)^$F$14-$B$15+$B$16)/$B$17</f>
        <v/>
      </c>
      <c r="F240" s="304" t="n"/>
      <c r="G240" s="304" t="n"/>
      <c r="H240" s="304" t="n"/>
      <c r="I240" s="304" t="n"/>
      <c r="J240" s="304" t="n"/>
      <c r="K240" s="304" t="n"/>
      <c r="L240" s="304" t="n"/>
      <c r="M240" s="304" t="n"/>
      <c r="N240" s="304" t="n"/>
      <c r="O240" s="304" t="n"/>
      <c r="P240" s="304" t="n"/>
      <c r="Q240" s="304" t="n"/>
    </row>
    <row r="241" ht="13.8" customHeight="1" s="343">
      <c r="A241" s="388">
        <f>ROW()-22</f>
        <v/>
      </c>
      <c r="B241" s="536">
        <f>_xlfn.NORM.INV(RAND(),$B$6,$C$6)</f>
        <v/>
      </c>
      <c r="C241" s="536">
        <f>MIN(_xlfn.NORM.INV(RAND(),$B$7,$C$7),B241-0.005)</f>
        <v/>
      </c>
      <c r="D241" s="537">
        <f>_xlfn.NORM.INV(RAND(),$B$8,$C$8)</f>
        <v/>
      </c>
      <c r="E241" s="391">
        <f t="array" ref="E241">(SUMPRODUCT($B$13:$F$13*D241/(1+B241)^$B$14:$F$14)+($F$13*D241*(1+C241))/(B241-C241)/(1+B241)^$F$14-$B$15+$B$16)/$B$17</f>
        <v/>
      </c>
      <c r="F241" s="304" t="n"/>
      <c r="G241" s="304" t="n"/>
      <c r="H241" s="304" t="n"/>
      <c r="I241" s="304" t="n"/>
      <c r="J241" s="304" t="n"/>
      <c r="K241" s="304" t="n"/>
      <c r="L241" s="304" t="n"/>
      <c r="M241" s="304" t="n"/>
      <c r="N241" s="304" t="n"/>
      <c r="O241" s="304" t="n"/>
      <c r="P241" s="304" t="n"/>
      <c r="Q241" s="304" t="n"/>
    </row>
    <row r="242" ht="13.8" customHeight="1" s="343">
      <c r="A242" s="388">
        <f>ROW()-22</f>
        <v/>
      </c>
      <c r="B242" s="536">
        <f>_xlfn.NORM.INV(RAND(),$B$6,$C$6)</f>
        <v/>
      </c>
      <c r="C242" s="536">
        <f>MIN(_xlfn.NORM.INV(RAND(),$B$7,$C$7),B242-0.005)</f>
        <v/>
      </c>
      <c r="D242" s="537">
        <f>_xlfn.NORM.INV(RAND(),$B$8,$C$8)</f>
        <v/>
      </c>
      <c r="E242" s="391">
        <f t="array" ref="E242">(SUMPRODUCT($B$13:$F$13*D242/(1+B242)^$B$14:$F$14)+($F$13*D242*(1+C242))/(B242-C242)/(1+B242)^$F$14-$B$15+$B$16)/$B$17</f>
        <v/>
      </c>
      <c r="F242" s="304" t="n"/>
      <c r="G242" s="304" t="n"/>
      <c r="H242" s="304" t="n"/>
      <c r="I242" s="304" t="n"/>
      <c r="J242" s="304" t="n"/>
      <c r="K242" s="304" t="n"/>
      <c r="L242" s="304" t="n"/>
      <c r="M242" s="304" t="n"/>
      <c r="N242" s="304" t="n"/>
      <c r="O242" s="304" t="n"/>
      <c r="P242" s="304" t="n"/>
      <c r="Q242" s="304" t="n"/>
    </row>
    <row r="243" ht="13.8" customHeight="1" s="343">
      <c r="A243" s="388">
        <f>ROW()-22</f>
        <v/>
      </c>
      <c r="B243" s="536">
        <f>_xlfn.NORM.INV(RAND(),$B$6,$C$6)</f>
        <v/>
      </c>
      <c r="C243" s="536">
        <f>MIN(_xlfn.NORM.INV(RAND(),$B$7,$C$7),B243-0.005)</f>
        <v/>
      </c>
      <c r="D243" s="537">
        <f>_xlfn.NORM.INV(RAND(),$B$8,$C$8)</f>
        <v/>
      </c>
      <c r="E243" s="391">
        <f t="array" ref="E243">(SUMPRODUCT($B$13:$F$13*D243/(1+B243)^$B$14:$F$14)+($F$13*D243*(1+C243))/(B243-C243)/(1+B243)^$F$14-$B$15+$B$16)/$B$17</f>
        <v/>
      </c>
      <c r="F243" s="304" t="n"/>
      <c r="G243" s="304" t="n"/>
      <c r="H243" s="304" t="n"/>
      <c r="I243" s="304" t="n"/>
      <c r="J243" s="304" t="n"/>
      <c r="K243" s="304" t="n"/>
      <c r="L243" s="304" t="n"/>
      <c r="M243" s="304" t="n"/>
      <c r="N243" s="304" t="n"/>
      <c r="O243" s="304" t="n"/>
      <c r="P243" s="304" t="n"/>
      <c r="Q243" s="304" t="n"/>
    </row>
    <row r="244" ht="13.8" customHeight="1" s="343">
      <c r="A244" s="388">
        <f>ROW()-22</f>
        <v/>
      </c>
      <c r="B244" s="536">
        <f>_xlfn.NORM.INV(RAND(),$B$6,$C$6)</f>
        <v/>
      </c>
      <c r="C244" s="536">
        <f>MIN(_xlfn.NORM.INV(RAND(),$B$7,$C$7),B244-0.005)</f>
        <v/>
      </c>
      <c r="D244" s="537">
        <f>_xlfn.NORM.INV(RAND(),$B$8,$C$8)</f>
        <v/>
      </c>
      <c r="E244" s="391">
        <f t="array" ref="E244">(SUMPRODUCT($B$13:$F$13*D244/(1+B244)^$B$14:$F$14)+($F$13*D244*(1+C244))/(B244-C244)/(1+B244)^$F$14-$B$15+$B$16)/$B$17</f>
        <v/>
      </c>
      <c r="F244" s="304" t="n"/>
      <c r="G244" s="304" t="n"/>
      <c r="H244" s="304" t="n"/>
      <c r="I244" s="304" t="n"/>
      <c r="J244" s="304" t="n"/>
      <c r="K244" s="304" t="n"/>
      <c r="L244" s="304" t="n"/>
      <c r="M244" s="304" t="n"/>
      <c r="N244" s="304" t="n"/>
      <c r="O244" s="304" t="n"/>
      <c r="P244" s="304" t="n"/>
      <c r="Q244" s="304" t="n"/>
    </row>
    <row r="245" ht="13.8" customHeight="1" s="343">
      <c r="A245" s="388">
        <f>ROW()-22</f>
        <v/>
      </c>
      <c r="B245" s="536">
        <f>_xlfn.NORM.INV(RAND(),$B$6,$C$6)</f>
        <v/>
      </c>
      <c r="C245" s="536">
        <f>MIN(_xlfn.NORM.INV(RAND(),$B$7,$C$7),B245-0.005)</f>
        <v/>
      </c>
      <c r="D245" s="537">
        <f>_xlfn.NORM.INV(RAND(),$B$8,$C$8)</f>
        <v/>
      </c>
      <c r="E245" s="391">
        <f t="array" ref="E245">(SUMPRODUCT($B$13:$F$13*D245/(1+B245)^$B$14:$F$14)+($F$13*D245*(1+C245))/(B245-C245)/(1+B245)^$F$14-$B$15+$B$16)/$B$17</f>
        <v/>
      </c>
      <c r="F245" s="304" t="n"/>
      <c r="G245" s="304" t="n"/>
      <c r="H245" s="304" t="n"/>
      <c r="I245" s="304" t="n"/>
      <c r="J245" s="304" t="n"/>
      <c r="K245" s="304" t="n"/>
      <c r="L245" s="304" t="n"/>
      <c r="M245" s="304" t="n"/>
      <c r="N245" s="304" t="n"/>
      <c r="O245" s="304" t="n"/>
      <c r="P245" s="304" t="n"/>
      <c r="Q245" s="304" t="n"/>
    </row>
    <row r="246" ht="13.8" customHeight="1" s="343">
      <c r="A246" s="388">
        <f>ROW()-22</f>
        <v/>
      </c>
      <c r="B246" s="536">
        <f>_xlfn.NORM.INV(RAND(),$B$6,$C$6)</f>
        <v/>
      </c>
      <c r="C246" s="536">
        <f>MIN(_xlfn.NORM.INV(RAND(),$B$7,$C$7),B246-0.005)</f>
        <v/>
      </c>
      <c r="D246" s="537">
        <f>_xlfn.NORM.INV(RAND(),$B$8,$C$8)</f>
        <v/>
      </c>
      <c r="E246" s="391">
        <f t="array" ref="E246">(SUMPRODUCT($B$13:$F$13*D246/(1+B246)^$B$14:$F$14)+($F$13*D246*(1+C246))/(B246-C246)/(1+B246)^$F$14-$B$15+$B$16)/$B$17</f>
        <v/>
      </c>
      <c r="F246" s="304" t="n"/>
      <c r="G246" s="304" t="n"/>
      <c r="H246" s="304" t="n"/>
      <c r="I246" s="304" t="n"/>
      <c r="J246" s="304" t="n"/>
      <c r="K246" s="304" t="n"/>
      <c r="L246" s="304" t="n"/>
      <c r="M246" s="304" t="n"/>
      <c r="N246" s="304" t="n"/>
      <c r="O246" s="304" t="n"/>
      <c r="P246" s="304" t="n"/>
      <c r="Q246" s="304" t="n"/>
    </row>
    <row r="247" ht="13.8" customHeight="1" s="343">
      <c r="A247" s="388">
        <f>ROW()-22</f>
        <v/>
      </c>
      <c r="B247" s="536">
        <f>_xlfn.NORM.INV(RAND(),$B$6,$C$6)</f>
        <v/>
      </c>
      <c r="C247" s="536">
        <f>MIN(_xlfn.NORM.INV(RAND(),$B$7,$C$7),B247-0.005)</f>
        <v/>
      </c>
      <c r="D247" s="537">
        <f>_xlfn.NORM.INV(RAND(),$B$8,$C$8)</f>
        <v/>
      </c>
      <c r="E247" s="391">
        <f t="array" ref="E247">(SUMPRODUCT($B$13:$F$13*D247/(1+B247)^$B$14:$F$14)+($F$13*D247*(1+C247))/(B247-C247)/(1+B247)^$F$14-$B$15+$B$16)/$B$17</f>
        <v/>
      </c>
      <c r="F247" s="304" t="n"/>
      <c r="G247" s="304" t="n"/>
      <c r="H247" s="304" t="n"/>
      <c r="I247" s="304" t="n"/>
      <c r="J247" s="304" t="n"/>
      <c r="K247" s="304" t="n"/>
      <c r="L247" s="304" t="n"/>
      <c r="M247" s="304" t="n"/>
      <c r="N247" s="304" t="n"/>
      <c r="O247" s="304" t="n"/>
      <c r="P247" s="304" t="n"/>
      <c r="Q247" s="304" t="n"/>
    </row>
    <row r="248" ht="13.8" customHeight="1" s="343">
      <c r="A248" s="388">
        <f>ROW()-22</f>
        <v/>
      </c>
      <c r="B248" s="536">
        <f>_xlfn.NORM.INV(RAND(),$B$6,$C$6)</f>
        <v/>
      </c>
      <c r="C248" s="536">
        <f>MIN(_xlfn.NORM.INV(RAND(),$B$7,$C$7),B248-0.005)</f>
        <v/>
      </c>
      <c r="D248" s="537">
        <f>_xlfn.NORM.INV(RAND(),$B$8,$C$8)</f>
        <v/>
      </c>
      <c r="E248" s="391">
        <f t="array" ref="E248">(SUMPRODUCT($B$13:$F$13*D248/(1+B248)^$B$14:$F$14)+($F$13*D248*(1+C248))/(B248-C248)/(1+B248)^$F$14-$B$15+$B$16)/$B$17</f>
        <v/>
      </c>
      <c r="F248" s="304" t="n"/>
      <c r="G248" s="304" t="n"/>
      <c r="H248" s="304" t="n"/>
      <c r="I248" s="304" t="n"/>
      <c r="J248" s="304" t="n"/>
      <c r="K248" s="304" t="n"/>
      <c r="L248" s="304" t="n"/>
      <c r="M248" s="304" t="n"/>
      <c r="N248" s="304" t="n"/>
      <c r="O248" s="304" t="n"/>
      <c r="P248" s="304" t="n"/>
      <c r="Q248" s="304" t="n"/>
    </row>
    <row r="249" ht="13.8" customHeight="1" s="343">
      <c r="A249" s="388">
        <f>ROW()-22</f>
        <v/>
      </c>
      <c r="B249" s="536">
        <f>_xlfn.NORM.INV(RAND(),$B$6,$C$6)</f>
        <v/>
      </c>
      <c r="C249" s="536">
        <f>MIN(_xlfn.NORM.INV(RAND(),$B$7,$C$7),B249-0.005)</f>
        <v/>
      </c>
      <c r="D249" s="537">
        <f>_xlfn.NORM.INV(RAND(),$B$8,$C$8)</f>
        <v/>
      </c>
      <c r="E249" s="391">
        <f t="array" ref="E249">(SUMPRODUCT($B$13:$F$13*D249/(1+B249)^$B$14:$F$14)+($F$13*D249*(1+C249))/(B249-C249)/(1+B249)^$F$14-$B$15+$B$16)/$B$17</f>
        <v/>
      </c>
      <c r="F249" s="304" t="n"/>
      <c r="G249" s="304" t="n"/>
      <c r="H249" s="304" t="n"/>
      <c r="I249" s="304" t="n"/>
      <c r="J249" s="304" t="n"/>
      <c r="K249" s="304" t="n"/>
      <c r="L249" s="304" t="n"/>
      <c r="M249" s="304" t="n"/>
      <c r="N249" s="304" t="n"/>
      <c r="O249" s="304" t="n"/>
      <c r="P249" s="304" t="n"/>
      <c r="Q249" s="304" t="n"/>
    </row>
    <row r="250" ht="13.8" customHeight="1" s="343">
      <c r="A250" s="388">
        <f>ROW()-22</f>
        <v/>
      </c>
      <c r="B250" s="536">
        <f>_xlfn.NORM.INV(RAND(),$B$6,$C$6)</f>
        <v/>
      </c>
      <c r="C250" s="536">
        <f>MIN(_xlfn.NORM.INV(RAND(),$B$7,$C$7),B250-0.005)</f>
        <v/>
      </c>
      <c r="D250" s="537">
        <f>_xlfn.NORM.INV(RAND(),$B$8,$C$8)</f>
        <v/>
      </c>
      <c r="E250" s="391">
        <f t="array" ref="E250">(SUMPRODUCT($B$13:$F$13*D250/(1+B250)^$B$14:$F$14)+($F$13*D250*(1+C250))/(B250-C250)/(1+B250)^$F$14-$B$15+$B$16)/$B$17</f>
        <v/>
      </c>
      <c r="F250" s="304" t="n"/>
      <c r="G250" s="304" t="n"/>
      <c r="H250" s="304" t="n"/>
      <c r="I250" s="304" t="n"/>
      <c r="J250" s="304" t="n"/>
      <c r="K250" s="304" t="n"/>
      <c r="L250" s="304" t="n"/>
      <c r="M250" s="304" t="n"/>
      <c r="N250" s="304" t="n"/>
      <c r="O250" s="304" t="n"/>
      <c r="P250" s="304" t="n"/>
      <c r="Q250" s="304" t="n"/>
    </row>
    <row r="251" ht="13.8" customHeight="1" s="343">
      <c r="A251" s="388">
        <f>ROW()-22</f>
        <v/>
      </c>
      <c r="B251" s="536">
        <f>_xlfn.NORM.INV(RAND(),$B$6,$C$6)</f>
        <v/>
      </c>
      <c r="C251" s="536">
        <f>MIN(_xlfn.NORM.INV(RAND(),$B$7,$C$7),B251-0.005)</f>
        <v/>
      </c>
      <c r="D251" s="537">
        <f>_xlfn.NORM.INV(RAND(),$B$8,$C$8)</f>
        <v/>
      </c>
      <c r="E251" s="391">
        <f t="array" ref="E251">(SUMPRODUCT($B$13:$F$13*D251/(1+B251)^$B$14:$F$14)+($F$13*D251*(1+C251))/(B251-C251)/(1+B251)^$F$14-$B$15+$B$16)/$B$17</f>
        <v/>
      </c>
      <c r="F251" s="304" t="n"/>
      <c r="G251" s="304" t="n"/>
      <c r="H251" s="304" t="n"/>
      <c r="I251" s="304" t="n"/>
      <c r="J251" s="304" t="n"/>
      <c r="K251" s="304" t="n"/>
      <c r="L251" s="304" t="n"/>
      <c r="M251" s="304" t="n"/>
      <c r="N251" s="304" t="n"/>
      <c r="O251" s="304" t="n"/>
      <c r="P251" s="304" t="n"/>
      <c r="Q251" s="304" t="n"/>
    </row>
    <row r="252" ht="13.8" customHeight="1" s="343">
      <c r="A252" s="388">
        <f>ROW()-22</f>
        <v/>
      </c>
      <c r="B252" s="536">
        <f>_xlfn.NORM.INV(RAND(),$B$6,$C$6)</f>
        <v/>
      </c>
      <c r="C252" s="536">
        <f>MIN(_xlfn.NORM.INV(RAND(),$B$7,$C$7),B252-0.005)</f>
        <v/>
      </c>
      <c r="D252" s="537">
        <f>_xlfn.NORM.INV(RAND(),$B$8,$C$8)</f>
        <v/>
      </c>
      <c r="E252" s="391">
        <f t="array" ref="E252">(SUMPRODUCT($B$13:$F$13*D252/(1+B252)^$B$14:$F$14)+($F$13*D252*(1+C252))/(B252-C252)/(1+B252)^$F$14-$B$15+$B$16)/$B$17</f>
        <v/>
      </c>
      <c r="F252" s="304" t="n"/>
      <c r="G252" s="304" t="n"/>
      <c r="H252" s="304" t="n"/>
      <c r="I252" s="304" t="n"/>
      <c r="J252" s="304" t="n"/>
      <c r="K252" s="304" t="n"/>
      <c r="L252" s="304" t="n"/>
      <c r="M252" s="304" t="n"/>
      <c r="N252" s="304" t="n"/>
      <c r="O252" s="304" t="n"/>
      <c r="P252" s="304" t="n"/>
      <c r="Q252" s="304" t="n"/>
    </row>
    <row r="253" ht="13.8" customHeight="1" s="343">
      <c r="A253" s="388">
        <f>ROW()-22</f>
        <v/>
      </c>
      <c r="B253" s="536">
        <f>_xlfn.NORM.INV(RAND(),$B$6,$C$6)</f>
        <v/>
      </c>
      <c r="C253" s="536">
        <f>MIN(_xlfn.NORM.INV(RAND(),$B$7,$C$7),B253-0.005)</f>
        <v/>
      </c>
      <c r="D253" s="537">
        <f>_xlfn.NORM.INV(RAND(),$B$8,$C$8)</f>
        <v/>
      </c>
      <c r="E253" s="391">
        <f t="array" ref="E253">(SUMPRODUCT($B$13:$F$13*D253/(1+B253)^$B$14:$F$14)+($F$13*D253*(1+C253))/(B253-C253)/(1+B253)^$F$14-$B$15+$B$16)/$B$17</f>
        <v/>
      </c>
      <c r="F253" s="304" t="n"/>
      <c r="G253" s="304" t="n"/>
      <c r="H253" s="304" t="n"/>
      <c r="I253" s="304" t="n"/>
      <c r="J253" s="304" t="n"/>
      <c r="K253" s="304" t="n"/>
      <c r="L253" s="304" t="n"/>
      <c r="M253" s="304" t="n"/>
      <c r="N253" s="304" t="n"/>
      <c r="O253" s="304" t="n"/>
      <c r="P253" s="304" t="n"/>
      <c r="Q253" s="304" t="n"/>
    </row>
    <row r="254" ht="13.8" customHeight="1" s="343">
      <c r="A254" s="388">
        <f>ROW()-22</f>
        <v/>
      </c>
      <c r="B254" s="536">
        <f>_xlfn.NORM.INV(RAND(),$B$6,$C$6)</f>
        <v/>
      </c>
      <c r="C254" s="536">
        <f>MIN(_xlfn.NORM.INV(RAND(),$B$7,$C$7),B254-0.005)</f>
        <v/>
      </c>
      <c r="D254" s="537">
        <f>_xlfn.NORM.INV(RAND(),$B$8,$C$8)</f>
        <v/>
      </c>
      <c r="E254" s="391">
        <f t="array" ref="E254">(SUMPRODUCT($B$13:$F$13*D254/(1+B254)^$B$14:$F$14)+($F$13*D254*(1+C254))/(B254-C254)/(1+B254)^$F$14-$B$15+$B$16)/$B$17</f>
        <v/>
      </c>
      <c r="F254" s="304" t="n"/>
      <c r="G254" s="304" t="n"/>
      <c r="H254" s="304" t="n"/>
      <c r="I254" s="304" t="n"/>
      <c r="J254" s="304" t="n"/>
      <c r="K254" s="304" t="n"/>
      <c r="L254" s="304" t="n"/>
      <c r="M254" s="304" t="n"/>
      <c r="N254" s="304" t="n"/>
      <c r="O254" s="304" t="n"/>
      <c r="P254" s="304" t="n"/>
      <c r="Q254" s="304" t="n"/>
    </row>
    <row r="255" ht="13.8" customHeight="1" s="343">
      <c r="A255" s="388">
        <f>ROW()-22</f>
        <v/>
      </c>
      <c r="B255" s="536">
        <f>_xlfn.NORM.INV(RAND(),$B$6,$C$6)</f>
        <v/>
      </c>
      <c r="C255" s="536">
        <f>MIN(_xlfn.NORM.INV(RAND(),$B$7,$C$7),B255-0.005)</f>
        <v/>
      </c>
      <c r="D255" s="537">
        <f>_xlfn.NORM.INV(RAND(),$B$8,$C$8)</f>
        <v/>
      </c>
      <c r="E255" s="391">
        <f t="array" ref="E255">(SUMPRODUCT($B$13:$F$13*D255/(1+B255)^$B$14:$F$14)+($F$13*D255*(1+C255))/(B255-C255)/(1+B255)^$F$14-$B$15+$B$16)/$B$17</f>
        <v/>
      </c>
      <c r="F255" s="304" t="n"/>
      <c r="G255" s="304" t="n"/>
      <c r="H255" s="304" t="n"/>
      <c r="I255" s="304" t="n"/>
      <c r="J255" s="304" t="n"/>
      <c r="K255" s="304" t="n"/>
      <c r="L255" s="304" t="n"/>
      <c r="M255" s="304" t="n"/>
      <c r="N255" s="304" t="n"/>
      <c r="O255" s="304" t="n"/>
      <c r="P255" s="304" t="n"/>
      <c r="Q255" s="304" t="n"/>
    </row>
    <row r="256" ht="13.8" customHeight="1" s="343">
      <c r="A256" s="388">
        <f>ROW()-22</f>
        <v/>
      </c>
      <c r="B256" s="536">
        <f>_xlfn.NORM.INV(RAND(),$B$6,$C$6)</f>
        <v/>
      </c>
      <c r="C256" s="536">
        <f>MIN(_xlfn.NORM.INV(RAND(),$B$7,$C$7),B256-0.005)</f>
        <v/>
      </c>
      <c r="D256" s="537">
        <f>_xlfn.NORM.INV(RAND(),$B$8,$C$8)</f>
        <v/>
      </c>
      <c r="E256" s="391">
        <f t="array" ref="E256">(SUMPRODUCT($B$13:$F$13*D256/(1+B256)^$B$14:$F$14)+($F$13*D256*(1+C256))/(B256-C256)/(1+B256)^$F$14-$B$15+$B$16)/$B$17</f>
        <v/>
      </c>
      <c r="F256" s="304" t="n"/>
      <c r="G256" s="304" t="n"/>
      <c r="H256" s="304" t="n"/>
      <c r="I256" s="304" t="n"/>
      <c r="J256" s="304" t="n"/>
      <c r="K256" s="304" t="n"/>
      <c r="L256" s="304" t="n"/>
      <c r="M256" s="304" t="n"/>
      <c r="N256" s="304" t="n"/>
      <c r="O256" s="304" t="n"/>
      <c r="P256" s="304" t="n"/>
      <c r="Q256" s="304" t="n"/>
    </row>
    <row r="257" ht="13.8" customHeight="1" s="343">
      <c r="A257" s="388">
        <f>ROW()-22</f>
        <v/>
      </c>
      <c r="B257" s="536">
        <f>_xlfn.NORM.INV(RAND(),$B$6,$C$6)</f>
        <v/>
      </c>
      <c r="C257" s="536">
        <f>MIN(_xlfn.NORM.INV(RAND(),$B$7,$C$7),B257-0.005)</f>
        <v/>
      </c>
      <c r="D257" s="537">
        <f>_xlfn.NORM.INV(RAND(),$B$8,$C$8)</f>
        <v/>
      </c>
      <c r="E257" s="391">
        <f t="array" ref="E257">(SUMPRODUCT($B$13:$F$13*D257/(1+B257)^$B$14:$F$14)+($F$13*D257*(1+C257))/(B257-C257)/(1+B257)^$F$14-$B$15+$B$16)/$B$17</f>
        <v/>
      </c>
      <c r="F257" s="304" t="n"/>
      <c r="G257" s="304" t="n"/>
      <c r="H257" s="304" t="n"/>
      <c r="I257" s="304" t="n"/>
      <c r="J257" s="304" t="n"/>
      <c r="K257" s="304" t="n"/>
      <c r="L257" s="304" t="n"/>
      <c r="M257" s="304" t="n"/>
      <c r="N257" s="304" t="n"/>
      <c r="O257" s="304" t="n"/>
      <c r="P257" s="304" t="n"/>
      <c r="Q257" s="304" t="n"/>
    </row>
    <row r="258" ht="13.8" customHeight="1" s="343">
      <c r="A258" s="388">
        <f>ROW()-22</f>
        <v/>
      </c>
      <c r="B258" s="536">
        <f>_xlfn.NORM.INV(RAND(),$B$6,$C$6)</f>
        <v/>
      </c>
      <c r="C258" s="536">
        <f>MIN(_xlfn.NORM.INV(RAND(),$B$7,$C$7),B258-0.005)</f>
        <v/>
      </c>
      <c r="D258" s="537">
        <f>_xlfn.NORM.INV(RAND(),$B$8,$C$8)</f>
        <v/>
      </c>
      <c r="E258" s="391">
        <f t="array" ref="E258">(SUMPRODUCT($B$13:$F$13*D258/(1+B258)^$B$14:$F$14)+($F$13*D258*(1+C258))/(B258-C258)/(1+B258)^$F$14-$B$15+$B$16)/$B$17</f>
        <v/>
      </c>
      <c r="F258" s="304" t="n"/>
      <c r="G258" s="304" t="n"/>
      <c r="H258" s="304" t="n"/>
      <c r="I258" s="304" t="n"/>
      <c r="J258" s="304" t="n"/>
      <c r="K258" s="304" t="n"/>
      <c r="L258" s="304" t="n"/>
      <c r="M258" s="304" t="n"/>
      <c r="N258" s="304" t="n"/>
      <c r="O258" s="304" t="n"/>
      <c r="P258" s="304" t="n"/>
      <c r="Q258" s="304" t="n"/>
    </row>
    <row r="259" ht="13.8" customHeight="1" s="343">
      <c r="A259" s="388">
        <f>ROW()-22</f>
        <v/>
      </c>
      <c r="B259" s="536">
        <f>_xlfn.NORM.INV(RAND(),$B$6,$C$6)</f>
        <v/>
      </c>
      <c r="C259" s="536">
        <f>MIN(_xlfn.NORM.INV(RAND(),$B$7,$C$7),B259-0.005)</f>
        <v/>
      </c>
      <c r="D259" s="537">
        <f>_xlfn.NORM.INV(RAND(),$B$8,$C$8)</f>
        <v/>
      </c>
      <c r="E259" s="391">
        <f t="array" ref="E259">(SUMPRODUCT($B$13:$F$13*D259/(1+B259)^$B$14:$F$14)+($F$13*D259*(1+C259))/(B259-C259)/(1+B259)^$F$14-$B$15+$B$16)/$B$17</f>
        <v/>
      </c>
      <c r="F259" s="304" t="n"/>
      <c r="G259" s="304" t="n"/>
      <c r="H259" s="304" t="n"/>
      <c r="I259" s="304" t="n"/>
      <c r="J259" s="304" t="n"/>
      <c r="K259" s="304" t="n"/>
      <c r="L259" s="304" t="n"/>
      <c r="M259" s="304" t="n"/>
      <c r="N259" s="304" t="n"/>
      <c r="O259" s="304" t="n"/>
      <c r="P259" s="304" t="n"/>
      <c r="Q259" s="304" t="n"/>
    </row>
    <row r="260" ht="13.8" customHeight="1" s="343">
      <c r="A260" s="388">
        <f>ROW()-22</f>
        <v/>
      </c>
      <c r="B260" s="536">
        <f>_xlfn.NORM.INV(RAND(),$B$6,$C$6)</f>
        <v/>
      </c>
      <c r="C260" s="536">
        <f>MIN(_xlfn.NORM.INV(RAND(),$B$7,$C$7),B260-0.005)</f>
        <v/>
      </c>
      <c r="D260" s="537">
        <f>_xlfn.NORM.INV(RAND(),$B$8,$C$8)</f>
        <v/>
      </c>
      <c r="E260" s="391">
        <f t="array" ref="E260">(SUMPRODUCT($B$13:$F$13*D260/(1+B260)^$B$14:$F$14)+($F$13*D260*(1+C260))/(B260-C260)/(1+B260)^$F$14-$B$15+$B$16)/$B$17</f>
        <v/>
      </c>
      <c r="F260" s="304" t="n"/>
      <c r="G260" s="304" t="n"/>
      <c r="H260" s="304" t="n"/>
      <c r="I260" s="304" t="n"/>
      <c r="J260" s="304" t="n"/>
      <c r="K260" s="304" t="n"/>
      <c r="L260" s="304" t="n"/>
      <c r="M260" s="304" t="n"/>
      <c r="N260" s="304" t="n"/>
      <c r="O260" s="304" t="n"/>
      <c r="P260" s="304" t="n"/>
      <c r="Q260" s="304" t="n"/>
    </row>
    <row r="261" ht="13.8" customHeight="1" s="343">
      <c r="A261" s="388">
        <f>ROW()-22</f>
        <v/>
      </c>
      <c r="B261" s="536">
        <f>_xlfn.NORM.INV(RAND(),$B$6,$C$6)</f>
        <v/>
      </c>
      <c r="C261" s="536">
        <f>MIN(_xlfn.NORM.INV(RAND(),$B$7,$C$7),B261-0.005)</f>
        <v/>
      </c>
      <c r="D261" s="537">
        <f>_xlfn.NORM.INV(RAND(),$B$8,$C$8)</f>
        <v/>
      </c>
      <c r="E261" s="391">
        <f t="array" ref="E261">(SUMPRODUCT($B$13:$F$13*D261/(1+B261)^$B$14:$F$14)+($F$13*D261*(1+C261))/(B261-C261)/(1+B261)^$F$14-$B$15+$B$16)/$B$17</f>
        <v/>
      </c>
      <c r="F261" s="304" t="n"/>
      <c r="G261" s="304" t="n"/>
      <c r="H261" s="304" t="n"/>
      <c r="I261" s="304" t="n"/>
      <c r="J261" s="304" t="n"/>
      <c r="K261" s="304" t="n"/>
      <c r="L261" s="304" t="n"/>
      <c r="M261" s="304" t="n"/>
      <c r="N261" s="304" t="n"/>
      <c r="O261" s="304" t="n"/>
      <c r="P261" s="304" t="n"/>
      <c r="Q261" s="304" t="n"/>
    </row>
    <row r="262" ht="13.8" customHeight="1" s="343">
      <c r="A262" s="388">
        <f>ROW()-22</f>
        <v/>
      </c>
      <c r="B262" s="536">
        <f>_xlfn.NORM.INV(RAND(),$B$6,$C$6)</f>
        <v/>
      </c>
      <c r="C262" s="536">
        <f>MIN(_xlfn.NORM.INV(RAND(),$B$7,$C$7),B262-0.005)</f>
        <v/>
      </c>
      <c r="D262" s="537">
        <f>_xlfn.NORM.INV(RAND(),$B$8,$C$8)</f>
        <v/>
      </c>
      <c r="E262" s="391">
        <f t="array" ref="E262">(SUMPRODUCT($B$13:$F$13*D262/(1+B262)^$B$14:$F$14)+($F$13*D262*(1+C262))/(B262-C262)/(1+B262)^$F$14-$B$15+$B$16)/$B$17</f>
        <v/>
      </c>
      <c r="F262" s="304" t="n"/>
      <c r="G262" s="304" t="n"/>
      <c r="H262" s="304" t="n"/>
      <c r="I262" s="304" t="n"/>
      <c r="J262" s="304" t="n"/>
      <c r="K262" s="304" t="n"/>
      <c r="L262" s="304" t="n"/>
      <c r="M262" s="304" t="n"/>
      <c r="N262" s="304" t="n"/>
      <c r="O262" s="304" t="n"/>
      <c r="P262" s="304" t="n"/>
      <c r="Q262" s="304" t="n"/>
    </row>
    <row r="263" ht="13.8" customHeight="1" s="343">
      <c r="A263" s="388">
        <f>ROW()-22</f>
        <v/>
      </c>
      <c r="B263" s="536">
        <f>_xlfn.NORM.INV(RAND(),$B$6,$C$6)</f>
        <v/>
      </c>
      <c r="C263" s="536">
        <f>MIN(_xlfn.NORM.INV(RAND(),$B$7,$C$7),B263-0.005)</f>
        <v/>
      </c>
      <c r="D263" s="537">
        <f>_xlfn.NORM.INV(RAND(),$B$8,$C$8)</f>
        <v/>
      </c>
      <c r="E263" s="391">
        <f t="array" ref="E263">(SUMPRODUCT($B$13:$F$13*D263/(1+B263)^$B$14:$F$14)+($F$13*D263*(1+C263))/(B263-C263)/(1+B263)^$F$14-$B$15+$B$16)/$B$17</f>
        <v/>
      </c>
      <c r="F263" s="304" t="n"/>
      <c r="G263" s="304" t="n"/>
      <c r="H263" s="304" t="n"/>
      <c r="I263" s="304" t="n"/>
      <c r="J263" s="304" t="n"/>
      <c r="K263" s="304" t="n"/>
      <c r="L263" s="304" t="n"/>
      <c r="M263" s="304" t="n"/>
      <c r="N263" s="304" t="n"/>
      <c r="O263" s="304" t="n"/>
      <c r="P263" s="304" t="n"/>
      <c r="Q263" s="304" t="n"/>
    </row>
    <row r="264" ht="13.8" customHeight="1" s="343">
      <c r="A264" s="388">
        <f>ROW()-22</f>
        <v/>
      </c>
      <c r="B264" s="536">
        <f>_xlfn.NORM.INV(RAND(),$B$6,$C$6)</f>
        <v/>
      </c>
      <c r="C264" s="536">
        <f>MIN(_xlfn.NORM.INV(RAND(),$B$7,$C$7),B264-0.005)</f>
        <v/>
      </c>
      <c r="D264" s="537">
        <f>_xlfn.NORM.INV(RAND(),$B$8,$C$8)</f>
        <v/>
      </c>
      <c r="E264" s="391">
        <f t="array" ref="E264">(SUMPRODUCT($B$13:$F$13*D264/(1+B264)^$B$14:$F$14)+($F$13*D264*(1+C264))/(B264-C264)/(1+B264)^$F$14-$B$15+$B$16)/$B$17</f>
        <v/>
      </c>
      <c r="F264" s="304" t="n"/>
      <c r="G264" s="304" t="n"/>
      <c r="H264" s="304" t="n"/>
      <c r="I264" s="304" t="n"/>
      <c r="J264" s="304" t="n"/>
      <c r="K264" s="304" t="n"/>
      <c r="L264" s="304" t="n"/>
      <c r="M264" s="304" t="n"/>
      <c r="N264" s="304" t="n"/>
      <c r="O264" s="304" t="n"/>
      <c r="P264" s="304" t="n"/>
      <c r="Q264" s="304" t="n"/>
    </row>
    <row r="265" ht="13.8" customHeight="1" s="343">
      <c r="A265" s="388">
        <f>ROW()-22</f>
        <v/>
      </c>
      <c r="B265" s="536">
        <f>_xlfn.NORM.INV(RAND(),$B$6,$C$6)</f>
        <v/>
      </c>
      <c r="C265" s="536">
        <f>MIN(_xlfn.NORM.INV(RAND(),$B$7,$C$7),B265-0.005)</f>
        <v/>
      </c>
      <c r="D265" s="537">
        <f>_xlfn.NORM.INV(RAND(),$B$8,$C$8)</f>
        <v/>
      </c>
      <c r="E265" s="391">
        <f t="array" ref="E265">(SUMPRODUCT($B$13:$F$13*D265/(1+B265)^$B$14:$F$14)+($F$13*D265*(1+C265))/(B265-C265)/(1+B265)^$F$14-$B$15+$B$16)/$B$17</f>
        <v/>
      </c>
      <c r="F265" s="304" t="n"/>
      <c r="G265" s="304" t="n"/>
      <c r="H265" s="304" t="n"/>
      <c r="I265" s="304" t="n"/>
      <c r="J265" s="304" t="n"/>
      <c r="K265" s="304" t="n"/>
      <c r="L265" s="304" t="n"/>
      <c r="M265" s="304" t="n"/>
      <c r="N265" s="304" t="n"/>
      <c r="O265" s="304" t="n"/>
      <c r="P265" s="304" t="n"/>
      <c r="Q265" s="304" t="n"/>
    </row>
    <row r="266" ht="13.8" customHeight="1" s="343">
      <c r="A266" s="388">
        <f>ROW()-22</f>
        <v/>
      </c>
      <c r="B266" s="536">
        <f>_xlfn.NORM.INV(RAND(),$B$6,$C$6)</f>
        <v/>
      </c>
      <c r="C266" s="536">
        <f>MIN(_xlfn.NORM.INV(RAND(),$B$7,$C$7),B266-0.005)</f>
        <v/>
      </c>
      <c r="D266" s="537">
        <f>_xlfn.NORM.INV(RAND(),$B$8,$C$8)</f>
        <v/>
      </c>
      <c r="E266" s="391">
        <f t="array" ref="E266">(SUMPRODUCT($B$13:$F$13*D266/(1+B266)^$B$14:$F$14)+($F$13*D266*(1+C266))/(B266-C266)/(1+B266)^$F$14-$B$15+$B$16)/$B$17</f>
        <v/>
      </c>
      <c r="F266" s="304" t="n"/>
      <c r="G266" s="304" t="n"/>
      <c r="H266" s="304" t="n"/>
      <c r="I266" s="304" t="n"/>
      <c r="J266" s="304" t="n"/>
      <c r="K266" s="304" t="n"/>
      <c r="L266" s="304" t="n"/>
      <c r="M266" s="304" t="n"/>
      <c r="N266" s="304" t="n"/>
      <c r="O266" s="304" t="n"/>
      <c r="P266" s="304" t="n"/>
      <c r="Q266" s="304" t="n"/>
    </row>
    <row r="267" ht="13.8" customHeight="1" s="343">
      <c r="A267" s="388">
        <f>ROW()-22</f>
        <v/>
      </c>
      <c r="B267" s="536">
        <f>_xlfn.NORM.INV(RAND(),$B$6,$C$6)</f>
        <v/>
      </c>
      <c r="C267" s="536">
        <f>MIN(_xlfn.NORM.INV(RAND(),$B$7,$C$7),B267-0.005)</f>
        <v/>
      </c>
      <c r="D267" s="537">
        <f>_xlfn.NORM.INV(RAND(),$B$8,$C$8)</f>
        <v/>
      </c>
      <c r="E267" s="391">
        <f t="array" ref="E267">(SUMPRODUCT($B$13:$F$13*D267/(1+B267)^$B$14:$F$14)+($F$13*D267*(1+C267))/(B267-C267)/(1+B267)^$F$14-$B$15+$B$16)/$B$17</f>
        <v/>
      </c>
      <c r="F267" s="304" t="n"/>
      <c r="G267" s="304" t="n"/>
      <c r="H267" s="304" t="n"/>
      <c r="I267" s="304" t="n"/>
      <c r="J267" s="304" t="n"/>
      <c r="K267" s="304" t="n"/>
      <c r="L267" s="304" t="n"/>
      <c r="M267" s="304" t="n"/>
      <c r="N267" s="304" t="n"/>
      <c r="O267" s="304" t="n"/>
      <c r="P267" s="304" t="n"/>
      <c r="Q267" s="304" t="n"/>
    </row>
    <row r="268" ht="13.8" customHeight="1" s="343">
      <c r="A268" s="388">
        <f>ROW()-22</f>
        <v/>
      </c>
      <c r="B268" s="536">
        <f>_xlfn.NORM.INV(RAND(),$B$6,$C$6)</f>
        <v/>
      </c>
      <c r="C268" s="536">
        <f>MIN(_xlfn.NORM.INV(RAND(),$B$7,$C$7),B268-0.005)</f>
        <v/>
      </c>
      <c r="D268" s="537">
        <f>_xlfn.NORM.INV(RAND(),$B$8,$C$8)</f>
        <v/>
      </c>
      <c r="E268" s="391">
        <f t="array" ref="E268">(SUMPRODUCT($B$13:$F$13*D268/(1+B268)^$B$14:$F$14)+($F$13*D268*(1+C268))/(B268-C268)/(1+B268)^$F$14-$B$15+$B$16)/$B$17</f>
        <v/>
      </c>
      <c r="F268" s="304" t="n"/>
      <c r="G268" s="304" t="n"/>
      <c r="H268" s="304" t="n"/>
      <c r="I268" s="304" t="n"/>
      <c r="J268" s="304" t="n"/>
      <c r="K268" s="304" t="n"/>
      <c r="L268" s="304" t="n"/>
      <c r="M268" s="304" t="n"/>
      <c r="N268" s="304" t="n"/>
      <c r="O268" s="304" t="n"/>
      <c r="P268" s="304" t="n"/>
      <c r="Q268" s="304" t="n"/>
    </row>
    <row r="269" ht="13.8" customHeight="1" s="343">
      <c r="A269" s="388">
        <f>ROW()-22</f>
        <v/>
      </c>
      <c r="B269" s="536">
        <f>_xlfn.NORM.INV(RAND(),$B$6,$C$6)</f>
        <v/>
      </c>
      <c r="C269" s="536">
        <f>MIN(_xlfn.NORM.INV(RAND(),$B$7,$C$7),B269-0.005)</f>
        <v/>
      </c>
      <c r="D269" s="537">
        <f>_xlfn.NORM.INV(RAND(),$B$8,$C$8)</f>
        <v/>
      </c>
      <c r="E269" s="391">
        <f t="array" ref="E269">(SUMPRODUCT($B$13:$F$13*D269/(1+B269)^$B$14:$F$14)+($F$13*D269*(1+C269))/(B269-C269)/(1+B269)^$F$14-$B$15+$B$16)/$B$17</f>
        <v/>
      </c>
      <c r="F269" s="304" t="n"/>
      <c r="G269" s="304" t="n"/>
      <c r="H269" s="304" t="n"/>
      <c r="I269" s="304" t="n"/>
      <c r="J269" s="304" t="n"/>
      <c r="K269" s="304" t="n"/>
      <c r="L269" s="304" t="n"/>
      <c r="M269" s="304" t="n"/>
      <c r="N269" s="304" t="n"/>
      <c r="O269" s="304" t="n"/>
      <c r="P269" s="304" t="n"/>
      <c r="Q269" s="304" t="n"/>
    </row>
    <row r="270" ht="13.8" customHeight="1" s="343">
      <c r="A270" s="388">
        <f>ROW()-22</f>
        <v/>
      </c>
      <c r="B270" s="536">
        <f>_xlfn.NORM.INV(RAND(),$B$6,$C$6)</f>
        <v/>
      </c>
      <c r="C270" s="536">
        <f>MIN(_xlfn.NORM.INV(RAND(),$B$7,$C$7),B270-0.005)</f>
        <v/>
      </c>
      <c r="D270" s="537">
        <f>_xlfn.NORM.INV(RAND(),$B$8,$C$8)</f>
        <v/>
      </c>
      <c r="E270" s="391">
        <f t="array" ref="E270">(SUMPRODUCT($B$13:$F$13*D270/(1+B270)^$B$14:$F$14)+($F$13*D270*(1+C270))/(B270-C270)/(1+B270)^$F$14-$B$15+$B$16)/$B$17</f>
        <v/>
      </c>
      <c r="F270" s="304" t="n"/>
      <c r="G270" s="304" t="n"/>
      <c r="H270" s="304" t="n"/>
      <c r="I270" s="304" t="n"/>
      <c r="J270" s="304" t="n"/>
      <c r="K270" s="304" t="n"/>
      <c r="L270" s="304" t="n"/>
      <c r="M270" s="304" t="n"/>
      <c r="N270" s="304" t="n"/>
      <c r="O270" s="304" t="n"/>
      <c r="P270" s="304" t="n"/>
      <c r="Q270" s="304" t="n"/>
    </row>
    <row r="271" ht="13.8" customHeight="1" s="343">
      <c r="A271" s="388">
        <f>ROW()-22</f>
        <v/>
      </c>
      <c r="B271" s="536">
        <f>_xlfn.NORM.INV(RAND(),$B$6,$C$6)</f>
        <v/>
      </c>
      <c r="C271" s="536">
        <f>MIN(_xlfn.NORM.INV(RAND(),$B$7,$C$7),B271-0.005)</f>
        <v/>
      </c>
      <c r="D271" s="537">
        <f>_xlfn.NORM.INV(RAND(),$B$8,$C$8)</f>
        <v/>
      </c>
      <c r="E271" s="391">
        <f t="array" ref="E271">(SUMPRODUCT($B$13:$F$13*D271/(1+B271)^$B$14:$F$14)+($F$13*D271*(1+C271))/(B271-C271)/(1+B271)^$F$14-$B$15+$B$16)/$B$17</f>
        <v/>
      </c>
      <c r="F271" s="304" t="n"/>
      <c r="G271" s="304" t="n"/>
      <c r="H271" s="304" t="n"/>
      <c r="I271" s="304" t="n"/>
      <c r="J271" s="304" t="n"/>
      <c r="K271" s="304" t="n"/>
      <c r="L271" s="304" t="n"/>
      <c r="M271" s="304" t="n"/>
      <c r="N271" s="304" t="n"/>
      <c r="O271" s="304" t="n"/>
      <c r="P271" s="304" t="n"/>
      <c r="Q271" s="304" t="n"/>
    </row>
    <row r="272" ht="13.8" customHeight="1" s="343">
      <c r="A272" s="388">
        <f>ROW()-22</f>
        <v/>
      </c>
      <c r="B272" s="536">
        <f>_xlfn.NORM.INV(RAND(),$B$6,$C$6)</f>
        <v/>
      </c>
      <c r="C272" s="536">
        <f>MIN(_xlfn.NORM.INV(RAND(),$B$7,$C$7),B272-0.005)</f>
        <v/>
      </c>
      <c r="D272" s="537">
        <f>_xlfn.NORM.INV(RAND(),$B$8,$C$8)</f>
        <v/>
      </c>
      <c r="E272" s="391">
        <f t="array" ref="E272">(SUMPRODUCT($B$13:$F$13*D272/(1+B272)^$B$14:$F$14)+($F$13*D272*(1+C272))/(B272-C272)/(1+B272)^$F$14-$B$15+$B$16)/$B$17</f>
        <v/>
      </c>
      <c r="F272" s="304" t="n"/>
      <c r="G272" s="304" t="n"/>
      <c r="H272" s="304" t="n"/>
      <c r="I272" s="304" t="n"/>
      <c r="J272" s="304" t="n"/>
      <c r="K272" s="304" t="n"/>
      <c r="L272" s="304" t="n"/>
      <c r="M272" s="304" t="n"/>
      <c r="N272" s="304" t="n"/>
      <c r="O272" s="304" t="n"/>
      <c r="P272" s="304" t="n"/>
      <c r="Q272" s="304" t="n"/>
    </row>
    <row r="273" ht="13.8" customHeight="1" s="343">
      <c r="A273" s="388">
        <f>ROW()-22</f>
        <v/>
      </c>
      <c r="B273" s="536">
        <f>_xlfn.NORM.INV(RAND(),$B$6,$C$6)</f>
        <v/>
      </c>
      <c r="C273" s="536">
        <f>MIN(_xlfn.NORM.INV(RAND(),$B$7,$C$7),B273-0.005)</f>
        <v/>
      </c>
      <c r="D273" s="537">
        <f>_xlfn.NORM.INV(RAND(),$B$8,$C$8)</f>
        <v/>
      </c>
      <c r="E273" s="391">
        <f t="array" ref="E273">(SUMPRODUCT($B$13:$F$13*D273/(1+B273)^$B$14:$F$14)+($F$13*D273*(1+C273))/(B273-C273)/(1+B273)^$F$14-$B$15+$B$16)/$B$17</f>
        <v/>
      </c>
      <c r="F273" s="304" t="n"/>
      <c r="G273" s="304" t="n"/>
      <c r="H273" s="304" t="n"/>
      <c r="I273" s="304" t="n"/>
      <c r="J273" s="304" t="n"/>
      <c r="K273" s="304" t="n"/>
      <c r="L273" s="304" t="n"/>
      <c r="M273" s="304" t="n"/>
      <c r="N273" s="304" t="n"/>
      <c r="O273" s="304" t="n"/>
      <c r="P273" s="304" t="n"/>
      <c r="Q273" s="304" t="n"/>
    </row>
    <row r="274" ht="13.8" customHeight="1" s="343">
      <c r="A274" s="388">
        <f>ROW()-22</f>
        <v/>
      </c>
      <c r="B274" s="536">
        <f>_xlfn.NORM.INV(RAND(),$B$6,$C$6)</f>
        <v/>
      </c>
      <c r="C274" s="536">
        <f>MIN(_xlfn.NORM.INV(RAND(),$B$7,$C$7),B274-0.005)</f>
        <v/>
      </c>
      <c r="D274" s="537">
        <f>_xlfn.NORM.INV(RAND(),$B$8,$C$8)</f>
        <v/>
      </c>
      <c r="E274" s="391">
        <f t="array" ref="E274">(SUMPRODUCT($B$13:$F$13*D274/(1+B274)^$B$14:$F$14)+($F$13*D274*(1+C274))/(B274-C274)/(1+B274)^$F$14-$B$15+$B$16)/$B$17</f>
        <v/>
      </c>
      <c r="F274" s="304" t="n"/>
      <c r="G274" s="304" t="n"/>
      <c r="H274" s="304" t="n"/>
      <c r="I274" s="304" t="n"/>
      <c r="J274" s="304" t="n"/>
      <c r="K274" s="304" t="n"/>
      <c r="L274" s="304" t="n"/>
      <c r="M274" s="304" t="n"/>
      <c r="N274" s="304" t="n"/>
      <c r="O274" s="304" t="n"/>
      <c r="P274" s="304" t="n"/>
      <c r="Q274" s="304" t="n"/>
    </row>
    <row r="275" ht="13.8" customHeight="1" s="343">
      <c r="A275" s="388">
        <f>ROW()-22</f>
        <v/>
      </c>
      <c r="B275" s="536">
        <f>_xlfn.NORM.INV(RAND(),$B$6,$C$6)</f>
        <v/>
      </c>
      <c r="C275" s="536">
        <f>MIN(_xlfn.NORM.INV(RAND(),$B$7,$C$7),B275-0.005)</f>
        <v/>
      </c>
      <c r="D275" s="537">
        <f>_xlfn.NORM.INV(RAND(),$B$8,$C$8)</f>
        <v/>
      </c>
      <c r="E275" s="391">
        <f t="array" ref="E275">(SUMPRODUCT($B$13:$F$13*D275/(1+B275)^$B$14:$F$14)+($F$13*D275*(1+C275))/(B275-C275)/(1+B275)^$F$14-$B$15+$B$16)/$B$17</f>
        <v/>
      </c>
      <c r="F275" s="304" t="n"/>
      <c r="G275" s="304" t="n"/>
      <c r="H275" s="304" t="n"/>
      <c r="I275" s="304" t="n"/>
      <c r="J275" s="304" t="n"/>
      <c r="K275" s="304" t="n"/>
      <c r="L275" s="304" t="n"/>
      <c r="M275" s="304" t="n"/>
      <c r="N275" s="304" t="n"/>
      <c r="O275" s="304" t="n"/>
      <c r="P275" s="304" t="n"/>
      <c r="Q275" s="304" t="n"/>
    </row>
    <row r="276" ht="13.8" customHeight="1" s="343">
      <c r="A276" s="388">
        <f>ROW()-22</f>
        <v/>
      </c>
      <c r="B276" s="536">
        <f>_xlfn.NORM.INV(RAND(),$B$6,$C$6)</f>
        <v/>
      </c>
      <c r="C276" s="536">
        <f>MIN(_xlfn.NORM.INV(RAND(),$B$7,$C$7),B276-0.005)</f>
        <v/>
      </c>
      <c r="D276" s="537">
        <f>_xlfn.NORM.INV(RAND(),$B$8,$C$8)</f>
        <v/>
      </c>
      <c r="E276" s="391">
        <f t="array" ref="E276">(SUMPRODUCT($B$13:$F$13*D276/(1+B276)^$B$14:$F$14)+($F$13*D276*(1+C276))/(B276-C276)/(1+B276)^$F$14-$B$15+$B$16)/$B$17</f>
        <v/>
      </c>
      <c r="F276" s="304" t="n"/>
      <c r="G276" s="304" t="n"/>
      <c r="H276" s="304" t="n"/>
      <c r="I276" s="304" t="n"/>
      <c r="J276" s="304" t="n"/>
      <c r="K276" s="304" t="n"/>
      <c r="L276" s="304" t="n"/>
      <c r="M276" s="304" t="n"/>
      <c r="N276" s="304" t="n"/>
      <c r="O276" s="304" t="n"/>
      <c r="P276" s="304" t="n"/>
      <c r="Q276" s="304" t="n"/>
    </row>
    <row r="277" ht="13.8" customHeight="1" s="343">
      <c r="A277" s="388">
        <f>ROW()-22</f>
        <v/>
      </c>
      <c r="B277" s="536">
        <f>_xlfn.NORM.INV(RAND(),$B$6,$C$6)</f>
        <v/>
      </c>
      <c r="C277" s="536">
        <f>MIN(_xlfn.NORM.INV(RAND(),$B$7,$C$7),B277-0.005)</f>
        <v/>
      </c>
      <c r="D277" s="537">
        <f>_xlfn.NORM.INV(RAND(),$B$8,$C$8)</f>
        <v/>
      </c>
      <c r="E277" s="391">
        <f t="array" ref="E277">(SUMPRODUCT($B$13:$F$13*D277/(1+B277)^$B$14:$F$14)+($F$13*D277*(1+C277))/(B277-C277)/(1+B277)^$F$14-$B$15+$B$16)/$B$17</f>
        <v/>
      </c>
      <c r="F277" s="304" t="n"/>
      <c r="G277" s="304" t="n"/>
      <c r="H277" s="304" t="n"/>
      <c r="I277" s="304" t="n"/>
      <c r="J277" s="304" t="n"/>
      <c r="K277" s="304" t="n"/>
      <c r="L277" s="304" t="n"/>
      <c r="M277" s="304" t="n"/>
      <c r="N277" s="304" t="n"/>
      <c r="O277" s="304" t="n"/>
      <c r="P277" s="304" t="n"/>
      <c r="Q277" s="304" t="n"/>
    </row>
    <row r="278" ht="13.8" customHeight="1" s="343">
      <c r="A278" s="388">
        <f>ROW()-22</f>
        <v/>
      </c>
      <c r="B278" s="536">
        <f>_xlfn.NORM.INV(RAND(),$B$6,$C$6)</f>
        <v/>
      </c>
      <c r="C278" s="536">
        <f>MIN(_xlfn.NORM.INV(RAND(),$B$7,$C$7),B278-0.005)</f>
        <v/>
      </c>
      <c r="D278" s="537">
        <f>_xlfn.NORM.INV(RAND(),$B$8,$C$8)</f>
        <v/>
      </c>
      <c r="E278" s="391">
        <f t="array" ref="E278">(SUMPRODUCT($B$13:$F$13*D278/(1+B278)^$B$14:$F$14)+($F$13*D278*(1+C278))/(B278-C278)/(1+B278)^$F$14-$B$15+$B$16)/$B$17</f>
        <v/>
      </c>
      <c r="F278" s="304" t="n"/>
      <c r="G278" s="304" t="n"/>
      <c r="H278" s="304" t="n"/>
      <c r="I278" s="304" t="n"/>
      <c r="J278" s="304" t="n"/>
      <c r="K278" s="304" t="n"/>
      <c r="L278" s="304" t="n"/>
      <c r="M278" s="304" t="n"/>
      <c r="N278" s="304" t="n"/>
      <c r="O278" s="304" t="n"/>
      <c r="P278" s="304" t="n"/>
      <c r="Q278" s="304" t="n"/>
    </row>
    <row r="279" ht="13.8" customHeight="1" s="343">
      <c r="A279" s="388">
        <f>ROW()-22</f>
        <v/>
      </c>
      <c r="B279" s="536">
        <f>_xlfn.NORM.INV(RAND(),$B$6,$C$6)</f>
        <v/>
      </c>
      <c r="C279" s="536">
        <f>MIN(_xlfn.NORM.INV(RAND(),$B$7,$C$7),B279-0.005)</f>
        <v/>
      </c>
      <c r="D279" s="537">
        <f>_xlfn.NORM.INV(RAND(),$B$8,$C$8)</f>
        <v/>
      </c>
      <c r="E279" s="391">
        <f t="array" ref="E279">(SUMPRODUCT($B$13:$F$13*D279/(1+B279)^$B$14:$F$14)+($F$13*D279*(1+C279))/(B279-C279)/(1+B279)^$F$14-$B$15+$B$16)/$B$17</f>
        <v/>
      </c>
      <c r="F279" s="304" t="n"/>
      <c r="G279" s="304" t="n"/>
      <c r="H279" s="304" t="n"/>
      <c r="I279" s="304" t="n"/>
      <c r="J279" s="304" t="n"/>
      <c r="K279" s="304" t="n"/>
      <c r="L279" s="304" t="n"/>
      <c r="M279" s="304" t="n"/>
      <c r="N279" s="304" t="n"/>
      <c r="O279" s="304" t="n"/>
      <c r="P279" s="304" t="n"/>
      <c r="Q279" s="304" t="n"/>
    </row>
    <row r="280" ht="13.8" customHeight="1" s="343">
      <c r="A280" s="388">
        <f>ROW()-22</f>
        <v/>
      </c>
      <c r="B280" s="536">
        <f>_xlfn.NORM.INV(RAND(),$B$6,$C$6)</f>
        <v/>
      </c>
      <c r="C280" s="536">
        <f>MIN(_xlfn.NORM.INV(RAND(),$B$7,$C$7),B280-0.005)</f>
        <v/>
      </c>
      <c r="D280" s="537">
        <f>_xlfn.NORM.INV(RAND(),$B$8,$C$8)</f>
        <v/>
      </c>
      <c r="E280" s="391">
        <f t="array" ref="E280">(SUMPRODUCT($B$13:$F$13*D280/(1+B280)^$B$14:$F$14)+($F$13*D280*(1+C280))/(B280-C280)/(1+B280)^$F$14-$B$15+$B$16)/$B$17</f>
        <v/>
      </c>
      <c r="F280" s="304" t="n"/>
      <c r="G280" s="304" t="n"/>
      <c r="H280" s="304" t="n"/>
      <c r="I280" s="304" t="n"/>
      <c r="J280" s="304" t="n"/>
      <c r="K280" s="304" t="n"/>
      <c r="L280" s="304" t="n"/>
      <c r="M280" s="304" t="n"/>
      <c r="N280" s="304" t="n"/>
      <c r="O280" s="304" t="n"/>
      <c r="P280" s="304" t="n"/>
      <c r="Q280" s="304" t="n"/>
    </row>
    <row r="281" ht="13.8" customHeight="1" s="343">
      <c r="A281" s="388">
        <f>ROW()-22</f>
        <v/>
      </c>
      <c r="B281" s="536">
        <f>_xlfn.NORM.INV(RAND(),$B$6,$C$6)</f>
        <v/>
      </c>
      <c r="C281" s="536">
        <f>MIN(_xlfn.NORM.INV(RAND(),$B$7,$C$7),B281-0.005)</f>
        <v/>
      </c>
      <c r="D281" s="537">
        <f>_xlfn.NORM.INV(RAND(),$B$8,$C$8)</f>
        <v/>
      </c>
      <c r="E281" s="391">
        <f t="array" ref="E281">(SUMPRODUCT($B$13:$F$13*D281/(1+B281)^$B$14:$F$14)+($F$13*D281*(1+C281))/(B281-C281)/(1+B281)^$F$14-$B$15+$B$16)/$B$17</f>
        <v/>
      </c>
      <c r="F281" s="304" t="n"/>
      <c r="G281" s="304" t="n"/>
      <c r="H281" s="304" t="n"/>
      <c r="I281" s="304" t="n"/>
      <c r="J281" s="304" t="n"/>
      <c r="K281" s="304" t="n"/>
      <c r="L281" s="304" t="n"/>
      <c r="M281" s="304" t="n"/>
      <c r="N281" s="304" t="n"/>
      <c r="O281" s="304" t="n"/>
      <c r="P281" s="304" t="n"/>
      <c r="Q281" s="304" t="n"/>
    </row>
    <row r="282" ht="13.8" customHeight="1" s="343">
      <c r="A282" s="388">
        <f>ROW()-22</f>
        <v/>
      </c>
      <c r="B282" s="536">
        <f>_xlfn.NORM.INV(RAND(),$B$6,$C$6)</f>
        <v/>
      </c>
      <c r="C282" s="536">
        <f>MIN(_xlfn.NORM.INV(RAND(),$B$7,$C$7),B282-0.005)</f>
        <v/>
      </c>
      <c r="D282" s="537">
        <f>_xlfn.NORM.INV(RAND(),$B$8,$C$8)</f>
        <v/>
      </c>
      <c r="E282" s="391">
        <f t="array" ref="E282">(SUMPRODUCT($B$13:$F$13*D282/(1+B282)^$B$14:$F$14)+($F$13*D282*(1+C282))/(B282-C282)/(1+B282)^$F$14-$B$15+$B$16)/$B$17</f>
        <v/>
      </c>
      <c r="F282" s="304" t="n"/>
      <c r="G282" s="304" t="n"/>
      <c r="H282" s="304" t="n"/>
      <c r="I282" s="304" t="n"/>
      <c r="J282" s="304" t="n"/>
      <c r="K282" s="304" t="n"/>
      <c r="L282" s="304" t="n"/>
      <c r="M282" s="304" t="n"/>
      <c r="N282" s="304" t="n"/>
      <c r="O282" s="304" t="n"/>
      <c r="P282" s="304" t="n"/>
      <c r="Q282" s="304" t="n"/>
    </row>
    <row r="283" ht="13.8" customHeight="1" s="343">
      <c r="A283" s="388">
        <f>ROW()-22</f>
        <v/>
      </c>
      <c r="B283" s="536">
        <f>_xlfn.NORM.INV(RAND(),$B$6,$C$6)</f>
        <v/>
      </c>
      <c r="C283" s="536">
        <f>MIN(_xlfn.NORM.INV(RAND(),$B$7,$C$7),B283-0.005)</f>
        <v/>
      </c>
      <c r="D283" s="537">
        <f>_xlfn.NORM.INV(RAND(),$B$8,$C$8)</f>
        <v/>
      </c>
      <c r="E283" s="391">
        <f t="array" ref="E283">(SUMPRODUCT($B$13:$F$13*D283/(1+B283)^$B$14:$F$14)+($F$13*D283*(1+C283))/(B283-C283)/(1+B283)^$F$14-$B$15+$B$16)/$B$17</f>
        <v/>
      </c>
      <c r="F283" s="304" t="n"/>
      <c r="G283" s="304" t="n"/>
      <c r="H283" s="304" t="n"/>
      <c r="I283" s="304" t="n"/>
      <c r="J283" s="304" t="n"/>
      <c r="K283" s="304" t="n"/>
      <c r="L283" s="304" t="n"/>
      <c r="M283" s="304" t="n"/>
      <c r="N283" s="304" t="n"/>
      <c r="O283" s="304" t="n"/>
      <c r="P283" s="304" t="n"/>
      <c r="Q283" s="304" t="n"/>
    </row>
    <row r="284" ht="13.8" customHeight="1" s="343">
      <c r="A284" s="388">
        <f>ROW()-22</f>
        <v/>
      </c>
      <c r="B284" s="536">
        <f>_xlfn.NORM.INV(RAND(),$B$6,$C$6)</f>
        <v/>
      </c>
      <c r="C284" s="536">
        <f>MIN(_xlfn.NORM.INV(RAND(),$B$7,$C$7),B284-0.005)</f>
        <v/>
      </c>
      <c r="D284" s="537">
        <f>_xlfn.NORM.INV(RAND(),$B$8,$C$8)</f>
        <v/>
      </c>
      <c r="E284" s="391">
        <f t="array" ref="E284">(SUMPRODUCT($B$13:$F$13*D284/(1+B284)^$B$14:$F$14)+($F$13*D284*(1+C284))/(B284-C284)/(1+B284)^$F$14-$B$15+$B$16)/$B$17</f>
        <v/>
      </c>
      <c r="F284" s="304" t="n"/>
      <c r="G284" s="304" t="n"/>
      <c r="H284" s="304" t="n"/>
      <c r="I284" s="304" t="n"/>
      <c r="J284" s="304" t="n"/>
      <c r="K284" s="304" t="n"/>
      <c r="L284" s="304" t="n"/>
      <c r="M284" s="304" t="n"/>
      <c r="N284" s="304" t="n"/>
      <c r="O284" s="304" t="n"/>
      <c r="P284" s="304" t="n"/>
      <c r="Q284" s="304" t="n"/>
    </row>
    <row r="285" ht="13.8" customHeight="1" s="343">
      <c r="A285" s="388">
        <f>ROW()-22</f>
        <v/>
      </c>
      <c r="B285" s="536">
        <f>_xlfn.NORM.INV(RAND(),$B$6,$C$6)</f>
        <v/>
      </c>
      <c r="C285" s="536">
        <f>MIN(_xlfn.NORM.INV(RAND(),$B$7,$C$7),B285-0.005)</f>
        <v/>
      </c>
      <c r="D285" s="537">
        <f>_xlfn.NORM.INV(RAND(),$B$8,$C$8)</f>
        <v/>
      </c>
      <c r="E285" s="391">
        <f t="array" ref="E285">(SUMPRODUCT($B$13:$F$13*D285/(1+B285)^$B$14:$F$14)+($F$13*D285*(1+C285))/(B285-C285)/(1+B285)^$F$14-$B$15+$B$16)/$B$17</f>
        <v/>
      </c>
      <c r="F285" s="304" t="n"/>
      <c r="G285" s="304" t="n"/>
      <c r="H285" s="304" t="n"/>
      <c r="I285" s="304" t="n"/>
      <c r="J285" s="304" t="n"/>
      <c r="K285" s="304" t="n"/>
      <c r="L285" s="304" t="n"/>
      <c r="M285" s="304" t="n"/>
      <c r="N285" s="304" t="n"/>
      <c r="O285" s="304" t="n"/>
      <c r="P285" s="304" t="n"/>
      <c r="Q285" s="304" t="n"/>
    </row>
    <row r="286" ht="13.8" customHeight="1" s="343">
      <c r="A286" s="388">
        <f>ROW()-22</f>
        <v/>
      </c>
      <c r="B286" s="536">
        <f>_xlfn.NORM.INV(RAND(),$B$6,$C$6)</f>
        <v/>
      </c>
      <c r="C286" s="536">
        <f>MIN(_xlfn.NORM.INV(RAND(),$B$7,$C$7),B286-0.005)</f>
        <v/>
      </c>
      <c r="D286" s="537">
        <f>_xlfn.NORM.INV(RAND(),$B$8,$C$8)</f>
        <v/>
      </c>
      <c r="E286" s="391">
        <f t="array" ref="E286">(SUMPRODUCT($B$13:$F$13*D286/(1+B286)^$B$14:$F$14)+($F$13*D286*(1+C286))/(B286-C286)/(1+B286)^$F$14-$B$15+$B$16)/$B$17</f>
        <v/>
      </c>
      <c r="F286" s="304" t="n"/>
      <c r="G286" s="304" t="n"/>
      <c r="H286" s="304" t="n"/>
      <c r="I286" s="304" t="n"/>
      <c r="J286" s="304" t="n"/>
      <c r="K286" s="304" t="n"/>
      <c r="L286" s="304" t="n"/>
      <c r="M286" s="304" t="n"/>
      <c r="N286" s="304" t="n"/>
      <c r="O286" s="304" t="n"/>
      <c r="P286" s="304" t="n"/>
      <c r="Q286" s="304" t="n"/>
    </row>
    <row r="287" ht="13.8" customHeight="1" s="343">
      <c r="A287" s="388">
        <f>ROW()-22</f>
        <v/>
      </c>
      <c r="B287" s="536">
        <f>_xlfn.NORM.INV(RAND(),$B$6,$C$6)</f>
        <v/>
      </c>
      <c r="C287" s="536">
        <f>MIN(_xlfn.NORM.INV(RAND(),$B$7,$C$7),B287-0.005)</f>
        <v/>
      </c>
      <c r="D287" s="537">
        <f>_xlfn.NORM.INV(RAND(),$B$8,$C$8)</f>
        <v/>
      </c>
      <c r="E287" s="391">
        <f t="array" ref="E287">(SUMPRODUCT($B$13:$F$13*D287/(1+B287)^$B$14:$F$14)+($F$13*D287*(1+C287))/(B287-C287)/(1+B287)^$F$14-$B$15+$B$16)/$B$17</f>
        <v/>
      </c>
      <c r="F287" s="304" t="n"/>
      <c r="G287" s="304" t="n"/>
      <c r="H287" s="304" t="n"/>
      <c r="I287" s="304" t="n"/>
      <c r="J287" s="304" t="n"/>
      <c r="K287" s="304" t="n"/>
      <c r="L287" s="304" t="n"/>
      <c r="M287" s="304" t="n"/>
      <c r="N287" s="304" t="n"/>
      <c r="O287" s="304" t="n"/>
      <c r="P287" s="304" t="n"/>
      <c r="Q287" s="304" t="n"/>
    </row>
    <row r="288" ht="13.8" customHeight="1" s="343">
      <c r="A288" s="388">
        <f>ROW()-22</f>
        <v/>
      </c>
      <c r="B288" s="536">
        <f>_xlfn.NORM.INV(RAND(),$B$6,$C$6)</f>
        <v/>
      </c>
      <c r="C288" s="536">
        <f>MIN(_xlfn.NORM.INV(RAND(),$B$7,$C$7),B288-0.005)</f>
        <v/>
      </c>
      <c r="D288" s="537">
        <f>_xlfn.NORM.INV(RAND(),$B$8,$C$8)</f>
        <v/>
      </c>
      <c r="E288" s="391">
        <f t="array" ref="E288">(SUMPRODUCT($B$13:$F$13*D288/(1+B288)^$B$14:$F$14)+($F$13*D288*(1+C288))/(B288-C288)/(1+B288)^$F$14-$B$15+$B$16)/$B$17</f>
        <v/>
      </c>
      <c r="F288" s="304" t="n"/>
      <c r="G288" s="304" t="n"/>
      <c r="H288" s="304" t="n"/>
      <c r="I288" s="304" t="n"/>
      <c r="J288" s="304" t="n"/>
      <c r="K288" s="304" t="n"/>
      <c r="L288" s="304" t="n"/>
      <c r="M288" s="304" t="n"/>
      <c r="N288" s="304" t="n"/>
      <c r="O288" s="304" t="n"/>
      <c r="P288" s="304" t="n"/>
      <c r="Q288" s="304" t="n"/>
    </row>
    <row r="289" ht="13.8" customHeight="1" s="343">
      <c r="A289" s="388">
        <f>ROW()-22</f>
        <v/>
      </c>
      <c r="B289" s="536">
        <f>_xlfn.NORM.INV(RAND(),$B$6,$C$6)</f>
        <v/>
      </c>
      <c r="C289" s="536">
        <f>MIN(_xlfn.NORM.INV(RAND(),$B$7,$C$7),B289-0.005)</f>
        <v/>
      </c>
      <c r="D289" s="537">
        <f>_xlfn.NORM.INV(RAND(),$B$8,$C$8)</f>
        <v/>
      </c>
      <c r="E289" s="391">
        <f t="array" ref="E289">(SUMPRODUCT($B$13:$F$13*D289/(1+B289)^$B$14:$F$14)+($F$13*D289*(1+C289))/(B289-C289)/(1+B289)^$F$14-$B$15+$B$16)/$B$17</f>
        <v/>
      </c>
      <c r="F289" s="304" t="n"/>
      <c r="G289" s="304" t="n"/>
      <c r="H289" s="304" t="n"/>
      <c r="I289" s="304" t="n"/>
      <c r="J289" s="304" t="n"/>
      <c r="K289" s="304" t="n"/>
      <c r="L289" s="304" t="n"/>
      <c r="M289" s="304" t="n"/>
      <c r="N289" s="304" t="n"/>
      <c r="O289" s="304" t="n"/>
      <c r="P289" s="304" t="n"/>
      <c r="Q289" s="304" t="n"/>
    </row>
    <row r="290" ht="13.8" customHeight="1" s="343">
      <c r="A290" s="388">
        <f>ROW()-22</f>
        <v/>
      </c>
      <c r="B290" s="536">
        <f>_xlfn.NORM.INV(RAND(),$B$6,$C$6)</f>
        <v/>
      </c>
      <c r="C290" s="536">
        <f>MIN(_xlfn.NORM.INV(RAND(),$B$7,$C$7),B290-0.005)</f>
        <v/>
      </c>
      <c r="D290" s="537">
        <f>_xlfn.NORM.INV(RAND(),$B$8,$C$8)</f>
        <v/>
      </c>
      <c r="E290" s="391">
        <f t="array" ref="E290">(SUMPRODUCT($B$13:$F$13*D290/(1+B290)^$B$14:$F$14)+($F$13*D290*(1+C290))/(B290-C290)/(1+B290)^$F$14-$B$15+$B$16)/$B$17</f>
        <v/>
      </c>
      <c r="F290" s="304" t="n"/>
      <c r="G290" s="304" t="n"/>
      <c r="H290" s="304" t="n"/>
      <c r="I290" s="304" t="n"/>
      <c r="J290" s="304" t="n"/>
      <c r="K290" s="304" t="n"/>
      <c r="L290" s="304" t="n"/>
      <c r="M290" s="304" t="n"/>
      <c r="N290" s="304" t="n"/>
      <c r="O290" s="304" t="n"/>
      <c r="P290" s="304" t="n"/>
      <c r="Q290" s="304" t="n"/>
    </row>
    <row r="291" ht="13.8" customHeight="1" s="343">
      <c r="A291" s="388">
        <f>ROW()-22</f>
        <v/>
      </c>
      <c r="B291" s="536">
        <f>_xlfn.NORM.INV(RAND(),$B$6,$C$6)</f>
        <v/>
      </c>
      <c r="C291" s="536">
        <f>MIN(_xlfn.NORM.INV(RAND(),$B$7,$C$7),B291-0.005)</f>
        <v/>
      </c>
      <c r="D291" s="537">
        <f>_xlfn.NORM.INV(RAND(),$B$8,$C$8)</f>
        <v/>
      </c>
      <c r="E291" s="391">
        <f t="array" ref="E291">(SUMPRODUCT($B$13:$F$13*D291/(1+B291)^$B$14:$F$14)+($F$13*D291*(1+C291))/(B291-C291)/(1+B291)^$F$14-$B$15+$B$16)/$B$17</f>
        <v/>
      </c>
      <c r="F291" s="304" t="n"/>
      <c r="G291" s="304" t="n"/>
      <c r="H291" s="304" t="n"/>
      <c r="I291" s="304" t="n"/>
      <c r="J291" s="304" t="n"/>
      <c r="K291" s="304" t="n"/>
      <c r="L291" s="304" t="n"/>
      <c r="M291" s="304" t="n"/>
      <c r="N291" s="304" t="n"/>
      <c r="O291" s="304" t="n"/>
      <c r="P291" s="304" t="n"/>
      <c r="Q291" s="304" t="n"/>
    </row>
    <row r="292" ht="13.8" customHeight="1" s="343">
      <c r="A292" s="388">
        <f>ROW()-22</f>
        <v/>
      </c>
      <c r="B292" s="536">
        <f>_xlfn.NORM.INV(RAND(),$B$6,$C$6)</f>
        <v/>
      </c>
      <c r="C292" s="536">
        <f>MIN(_xlfn.NORM.INV(RAND(),$B$7,$C$7),B292-0.005)</f>
        <v/>
      </c>
      <c r="D292" s="537">
        <f>_xlfn.NORM.INV(RAND(),$B$8,$C$8)</f>
        <v/>
      </c>
      <c r="E292" s="391">
        <f t="array" ref="E292">(SUMPRODUCT($B$13:$F$13*D292/(1+B292)^$B$14:$F$14)+($F$13*D292*(1+C292))/(B292-C292)/(1+B292)^$F$14-$B$15+$B$16)/$B$17</f>
        <v/>
      </c>
      <c r="F292" s="304" t="n"/>
      <c r="G292" s="304" t="n"/>
      <c r="H292" s="304" t="n"/>
      <c r="I292" s="304" t="n"/>
      <c r="J292" s="304" t="n"/>
      <c r="K292" s="304" t="n"/>
      <c r="L292" s="304" t="n"/>
      <c r="M292" s="304" t="n"/>
      <c r="N292" s="304" t="n"/>
      <c r="O292" s="304" t="n"/>
      <c r="P292" s="304" t="n"/>
      <c r="Q292" s="304" t="n"/>
    </row>
    <row r="293" ht="13.8" customHeight="1" s="343">
      <c r="A293" s="388">
        <f>ROW()-22</f>
        <v/>
      </c>
      <c r="B293" s="536">
        <f>_xlfn.NORM.INV(RAND(),$B$6,$C$6)</f>
        <v/>
      </c>
      <c r="C293" s="536">
        <f>MIN(_xlfn.NORM.INV(RAND(),$B$7,$C$7),B293-0.005)</f>
        <v/>
      </c>
      <c r="D293" s="537">
        <f>_xlfn.NORM.INV(RAND(),$B$8,$C$8)</f>
        <v/>
      </c>
      <c r="E293" s="391">
        <f t="array" ref="E293">(SUMPRODUCT($B$13:$F$13*D293/(1+B293)^$B$14:$F$14)+($F$13*D293*(1+C293))/(B293-C293)/(1+B293)^$F$14-$B$15+$B$16)/$B$17</f>
        <v/>
      </c>
      <c r="F293" s="304" t="n"/>
      <c r="G293" s="304" t="n"/>
      <c r="H293" s="304" t="n"/>
      <c r="I293" s="304" t="n"/>
      <c r="J293" s="304" t="n"/>
      <c r="K293" s="304" t="n"/>
      <c r="L293" s="304" t="n"/>
      <c r="M293" s="304" t="n"/>
      <c r="N293" s="304" t="n"/>
      <c r="O293" s="304" t="n"/>
      <c r="P293" s="304" t="n"/>
      <c r="Q293" s="304" t="n"/>
    </row>
    <row r="294" ht="13.8" customHeight="1" s="343">
      <c r="A294" s="388">
        <f>ROW()-22</f>
        <v/>
      </c>
      <c r="B294" s="536">
        <f>_xlfn.NORM.INV(RAND(),$B$6,$C$6)</f>
        <v/>
      </c>
      <c r="C294" s="536">
        <f>MIN(_xlfn.NORM.INV(RAND(),$B$7,$C$7),B294-0.005)</f>
        <v/>
      </c>
      <c r="D294" s="537">
        <f>_xlfn.NORM.INV(RAND(),$B$8,$C$8)</f>
        <v/>
      </c>
      <c r="E294" s="391">
        <f t="array" ref="E294">(SUMPRODUCT($B$13:$F$13*D294/(1+B294)^$B$14:$F$14)+($F$13*D294*(1+C294))/(B294-C294)/(1+B294)^$F$14-$B$15+$B$16)/$B$17</f>
        <v/>
      </c>
      <c r="F294" s="304" t="n"/>
      <c r="G294" s="304" t="n"/>
      <c r="H294" s="304" t="n"/>
      <c r="I294" s="304" t="n"/>
      <c r="J294" s="304" t="n"/>
      <c r="K294" s="304" t="n"/>
      <c r="L294" s="304" t="n"/>
      <c r="M294" s="304" t="n"/>
      <c r="N294" s="304" t="n"/>
      <c r="O294" s="304" t="n"/>
      <c r="P294" s="304" t="n"/>
      <c r="Q294" s="304" t="n"/>
    </row>
    <row r="295" ht="13.8" customHeight="1" s="343">
      <c r="A295" s="388">
        <f>ROW()-22</f>
        <v/>
      </c>
      <c r="B295" s="536">
        <f>_xlfn.NORM.INV(RAND(),$B$6,$C$6)</f>
        <v/>
      </c>
      <c r="C295" s="536">
        <f>MIN(_xlfn.NORM.INV(RAND(),$B$7,$C$7),B295-0.005)</f>
        <v/>
      </c>
      <c r="D295" s="537">
        <f>_xlfn.NORM.INV(RAND(),$B$8,$C$8)</f>
        <v/>
      </c>
      <c r="E295" s="391">
        <f t="array" ref="E295">(SUMPRODUCT($B$13:$F$13*D295/(1+B295)^$B$14:$F$14)+($F$13*D295*(1+C295))/(B295-C295)/(1+B295)^$F$14-$B$15+$B$16)/$B$17</f>
        <v/>
      </c>
      <c r="F295" s="304" t="n"/>
      <c r="G295" s="304" t="n"/>
      <c r="H295" s="304" t="n"/>
      <c r="I295" s="304" t="n"/>
      <c r="J295" s="304" t="n"/>
      <c r="K295" s="304" t="n"/>
      <c r="L295" s="304" t="n"/>
      <c r="M295" s="304" t="n"/>
      <c r="N295" s="304" t="n"/>
      <c r="O295" s="304" t="n"/>
      <c r="P295" s="304" t="n"/>
      <c r="Q295" s="304" t="n"/>
    </row>
    <row r="296" ht="13.8" customHeight="1" s="343">
      <c r="A296" s="388">
        <f>ROW()-22</f>
        <v/>
      </c>
      <c r="B296" s="536">
        <f>_xlfn.NORM.INV(RAND(),$B$6,$C$6)</f>
        <v/>
      </c>
      <c r="C296" s="536">
        <f>MIN(_xlfn.NORM.INV(RAND(),$B$7,$C$7),B296-0.005)</f>
        <v/>
      </c>
      <c r="D296" s="537">
        <f>_xlfn.NORM.INV(RAND(),$B$8,$C$8)</f>
        <v/>
      </c>
      <c r="E296" s="391">
        <f t="array" ref="E296">(SUMPRODUCT($B$13:$F$13*D296/(1+B296)^$B$14:$F$14)+($F$13*D296*(1+C296))/(B296-C296)/(1+B296)^$F$14-$B$15+$B$16)/$B$17</f>
        <v/>
      </c>
      <c r="F296" s="304" t="n"/>
      <c r="G296" s="304" t="n"/>
      <c r="H296" s="304" t="n"/>
      <c r="I296" s="304" t="n"/>
      <c r="J296" s="304" t="n"/>
      <c r="K296" s="304" t="n"/>
      <c r="L296" s="304" t="n"/>
      <c r="M296" s="304" t="n"/>
      <c r="N296" s="304" t="n"/>
      <c r="O296" s="304" t="n"/>
      <c r="P296" s="304" t="n"/>
      <c r="Q296" s="304" t="n"/>
    </row>
    <row r="297" ht="13.8" customHeight="1" s="343">
      <c r="A297" s="388">
        <f>ROW()-22</f>
        <v/>
      </c>
      <c r="B297" s="536">
        <f>_xlfn.NORM.INV(RAND(),$B$6,$C$6)</f>
        <v/>
      </c>
      <c r="C297" s="536">
        <f>MIN(_xlfn.NORM.INV(RAND(),$B$7,$C$7),B297-0.005)</f>
        <v/>
      </c>
      <c r="D297" s="537">
        <f>_xlfn.NORM.INV(RAND(),$B$8,$C$8)</f>
        <v/>
      </c>
      <c r="E297" s="391">
        <f t="array" ref="E297">(SUMPRODUCT($B$13:$F$13*D297/(1+B297)^$B$14:$F$14)+($F$13*D297*(1+C297))/(B297-C297)/(1+B297)^$F$14-$B$15+$B$16)/$B$17</f>
        <v/>
      </c>
      <c r="F297" s="304" t="n"/>
      <c r="G297" s="304" t="n"/>
      <c r="H297" s="304" t="n"/>
      <c r="I297" s="304" t="n"/>
      <c r="J297" s="304" t="n"/>
      <c r="K297" s="304" t="n"/>
      <c r="L297" s="304" t="n"/>
      <c r="M297" s="304" t="n"/>
      <c r="N297" s="304" t="n"/>
      <c r="O297" s="304" t="n"/>
      <c r="P297" s="304" t="n"/>
      <c r="Q297" s="304" t="n"/>
    </row>
    <row r="298" ht="13.8" customHeight="1" s="343">
      <c r="A298" s="388">
        <f>ROW()-22</f>
        <v/>
      </c>
      <c r="B298" s="536">
        <f>_xlfn.NORM.INV(RAND(),$B$6,$C$6)</f>
        <v/>
      </c>
      <c r="C298" s="536">
        <f>MIN(_xlfn.NORM.INV(RAND(),$B$7,$C$7),B298-0.005)</f>
        <v/>
      </c>
      <c r="D298" s="537">
        <f>_xlfn.NORM.INV(RAND(),$B$8,$C$8)</f>
        <v/>
      </c>
      <c r="E298" s="391">
        <f t="array" ref="E298">(SUMPRODUCT($B$13:$F$13*D298/(1+B298)^$B$14:$F$14)+($F$13*D298*(1+C298))/(B298-C298)/(1+B298)^$F$14-$B$15+$B$16)/$B$17</f>
        <v/>
      </c>
      <c r="F298" s="304" t="n"/>
      <c r="G298" s="304" t="n"/>
      <c r="H298" s="304" t="n"/>
      <c r="I298" s="304" t="n"/>
      <c r="J298" s="304" t="n"/>
      <c r="K298" s="304" t="n"/>
      <c r="L298" s="304" t="n"/>
      <c r="M298" s="304" t="n"/>
      <c r="N298" s="304" t="n"/>
      <c r="O298" s="304" t="n"/>
      <c r="P298" s="304" t="n"/>
      <c r="Q298" s="304" t="n"/>
    </row>
    <row r="299" ht="13.8" customHeight="1" s="343">
      <c r="A299" s="388">
        <f>ROW()-22</f>
        <v/>
      </c>
      <c r="B299" s="536">
        <f>_xlfn.NORM.INV(RAND(),$B$6,$C$6)</f>
        <v/>
      </c>
      <c r="C299" s="536">
        <f>MIN(_xlfn.NORM.INV(RAND(),$B$7,$C$7),B299-0.005)</f>
        <v/>
      </c>
      <c r="D299" s="537">
        <f>_xlfn.NORM.INV(RAND(),$B$8,$C$8)</f>
        <v/>
      </c>
      <c r="E299" s="391">
        <f t="array" ref="E299">(SUMPRODUCT($B$13:$F$13*D299/(1+B299)^$B$14:$F$14)+($F$13*D299*(1+C299))/(B299-C299)/(1+B299)^$F$14-$B$15+$B$16)/$B$17</f>
        <v/>
      </c>
      <c r="F299" s="304" t="n"/>
      <c r="G299" s="304" t="n"/>
      <c r="H299" s="304" t="n"/>
      <c r="I299" s="304" t="n"/>
      <c r="J299" s="304" t="n"/>
      <c r="K299" s="304" t="n"/>
      <c r="L299" s="304" t="n"/>
      <c r="M299" s="304" t="n"/>
      <c r="N299" s="304" t="n"/>
      <c r="O299" s="304" t="n"/>
      <c r="P299" s="304" t="n"/>
      <c r="Q299" s="304" t="n"/>
    </row>
    <row r="300" ht="13.8" customHeight="1" s="343">
      <c r="A300" s="388">
        <f>ROW()-22</f>
        <v/>
      </c>
      <c r="B300" s="536">
        <f>_xlfn.NORM.INV(RAND(),$B$6,$C$6)</f>
        <v/>
      </c>
      <c r="C300" s="536">
        <f>MIN(_xlfn.NORM.INV(RAND(),$B$7,$C$7),B300-0.005)</f>
        <v/>
      </c>
      <c r="D300" s="537">
        <f>_xlfn.NORM.INV(RAND(),$B$8,$C$8)</f>
        <v/>
      </c>
      <c r="E300" s="391">
        <f t="array" ref="E300">(SUMPRODUCT($B$13:$F$13*D300/(1+B300)^$B$14:$F$14)+($F$13*D300*(1+C300))/(B300-C300)/(1+B300)^$F$14-$B$15+$B$16)/$B$17</f>
        <v/>
      </c>
      <c r="F300" s="304" t="n"/>
      <c r="G300" s="304" t="n"/>
      <c r="H300" s="304" t="n"/>
      <c r="I300" s="304" t="n"/>
      <c r="J300" s="304" t="n"/>
      <c r="K300" s="304" t="n"/>
      <c r="L300" s="304" t="n"/>
      <c r="M300" s="304" t="n"/>
      <c r="N300" s="304" t="n"/>
      <c r="O300" s="304" t="n"/>
      <c r="P300" s="304" t="n"/>
      <c r="Q300" s="304" t="n"/>
    </row>
    <row r="301" ht="13.8" customHeight="1" s="343">
      <c r="A301" s="388">
        <f>ROW()-22</f>
        <v/>
      </c>
      <c r="B301" s="536">
        <f>_xlfn.NORM.INV(RAND(),$B$6,$C$6)</f>
        <v/>
      </c>
      <c r="C301" s="536">
        <f>MIN(_xlfn.NORM.INV(RAND(),$B$7,$C$7),B301-0.005)</f>
        <v/>
      </c>
      <c r="D301" s="537">
        <f>_xlfn.NORM.INV(RAND(),$B$8,$C$8)</f>
        <v/>
      </c>
      <c r="E301" s="391">
        <f t="array" ref="E301">(SUMPRODUCT($B$13:$F$13*D301/(1+B301)^$B$14:$F$14)+($F$13*D301*(1+C301))/(B301-C301)/(1+B301)^$F$14-$B$15+$B$16)/$B$17</f>
        <v/>
      </c>
      <c r="F301" s="304" t="n"/>
      <c r="G301" s="304" t="n"/>
      <c r="H301" s="304" t="n"/>
      <c r="I301" s="304" t="n"/>
      <c r="J301" s="304" t="n"/>
      <c r="K301" s="304" t="n"/>
      <c r="L301" s="304" t="n"/>
      <c r="M301" s="304" t="n"/>
      <c r="N301" s="304" t="n"/>
      <c r="O301" s="304" t="n"/>
      <c r="P301" s="304" t="n"/>
      <c r="Q301" s="304" t="n"/>
    </row>
    <row r="302" ht="13.8" customHeight="1" s="343">
      <c r="A302" s="388">
        <f>ROW()-22</f>
        <v/>
      </c>
      <c r="B302" s="536">
        <f>_xlfn.NORM.INV(RAND(),$B$6,$C$6)</f>
        <v/>
      </c>
      <c r="C302" s="536">
        <f>MIN(_xlfn.NORM.INV(RAND(),$B$7,$C$7),B302-0.005)</f>
        <v/>
      </c>
      <c r="D302" s="537">
        <f>_xlfn.NORM.INV(RAND(),$B$8,$C$8)</f>
        <v/>
      </c>
      <c r="E302" s="391">
        <f t="array" ref="E302">(SUMPRODUCT($B$13:$F$13*D302/(1+B302)^$B$14:$F$14)+($F$13*D302*(1+C302))/(B302-C302)/(1+B302)^$F$14-$B$15+$B$16)/$B$17</f>
        <v/>
      </c>
      <c r="F302" s="304" t="n"/>
      <c r="G302" s="304" t="n"/>
      <c r="H302" s="304" t="n"/>
      <c r="I302" s="304" t="n"/>
      <c r="J302" s="304" t="n"/>
      <c r="K302" s="304" t="n"/>
      <c r="L302" s="304" t="n"/>
      <c r="M302" s="304" t="n"/>
      <c r="N302" s="304" t="n"/>
      <c r="O302" s="304" t="n"/>
      <c r="P302" s="304" t="n"/>
      <c r="Q302" s="304" t="n"/>
    </row>
    <row r="303" ht="13.8" customHeight="1" s="343">
      <c r="A303" s="388">
        <f>ROW()-22</f>
        <v/>
      </c>
      <c r="B303" s="536">
        <f>_xlfn.NORM.INV(RAND(),$B$6,$C$6)</f>
        <v/>
      </c>
      <c r="C303" s="536">
        <f>MIN(_xlfn.NORM.INV(RAND(),$B$7,$C$7),B303-0.005)</f>
        <v/>
      </c>
      <c r="D303" s="537">
        <f>_xlfn.NORM.INV(RAND(),$B$8,$C$8)</f>
        <v/>
      </c>
      <c r="E303" s="391">
        <f t="array" ref="E303">(SUMPRODUCT($B$13:$F$13*D303/(1+B303)^$B$14:$F$14)+($F$13*D303*(1+C303))/(B303-C303)/(1+B303)^$F$14-$B$15+$B$16)/$B$17</f>
        <v/>
      </c>
      <c r="F303" s="304" t="n"/>
      <c r="G303" s="304" t="n"/>
      <c r="H303" s="304" t="n"/>
      <c r="I303" s="304" t="n"/>
      <c r="J303" s="304" t="n"/>
      <c r="K303" s="304" t="n"/>
      <c r="L303" s="304" t="n"/>
      <c r="M303" s="304" t="n"/>
      <c r="N303" s="304" t="n"/>
      <c r="O303" s="304" t="n"/>
      <c r="P303" s="304" t="n"/>
      <c r="Q303" s="304" t="n"/>
    </row>
    <row r="304" ht="13.8" customHeight="1" s="343">
      <c r="A304" s="388">
        <f>ROW()-22</f>
        <v/>
      </c>
      <c r="B304" s="536">
        <f>_xlfn.NORM.INV(RAND(),$B$6,$C$6)</f>
        <v/>
      </c>
      <c r="C304" s="536">
        <f>MIN(_xlfn.NORM.INV(RAND(),$B$7,$C$7),B304-0.005)</f>
        <v/>
      </c>
      <c r="D304" s="537">
        <f>_xlfn.NORM.INV(RAND(),$B$8,$C$8)</f>
        <v/>
      </c>
      <c r="E304" s="391">
        <f t="array" ref="E304">(SUMPRODUCT($B$13:$F$13*D304/(1+B304)^$B$14:$F$14)+($F$13*D304*(1+C304))/(B304-C304)/(1+B304)^$F$14-$B$15+$B$16)/$B$17</f>
        <v/>
      </c>
      <c r="F304" s="304" t="n"/>
      <c r="G304" s="304" t="n"/>
      <c r="H304" s="304" t="n"/>
      <c r="I304" s="304" t="n"/>
      <c r="J304" s="304" t="n"/>
      <c r="K304" s="304" t="n"/>
      <c r="L304" s="304" t="n"/>
      <c r="M304" s="304" t="n"/>
      <c r="N304" s="304" t="n"/>
      <c r="O304" s="304" t="n"/>
      <c r="P304" s="304" t="n"/>
      <c r="Q304" s="304" t="n"/>
    </row>
    <row r="305" ht="13.8" customHeight="1" s="343">
      <c r="A305" s="388">
        <f>ROW()-22</f>
        <v/>
      </c>
      <c r="B305" s="536">
        <f>_xlfn.NORM.INV(RAND(),$B$6,$C$6)</f>
        <v/>
      </c>
      <c r="C305" s="536">
        <f>MIN(_xlfn.NORM.INV(RAND(),$B$7,$C$7),B305-0.005)</f>
        <v/>
      </c>
      <c r="D305" s="537">
        <f>_xlfn.NORM.INV(RAND(),$B$8,$C$8)</f>
        <v/>
      </c>
      <c r="E305" s="391">
        <f t="array" ref="E305">(SUMPRODUCT($B$13:$F$13*D305/(1+B305)^$B$14:$F$14)+($F$13*D305*(1+C305))/(B305-C305)/(1+B305)^$F$14-$B$15+$B$16)/$B$17</f>
        <v/>
      </c>
      <c r="F305" s="304" t="n"/>
      <c r="G305" s="304" t="n"/>
      <c r="H305" s="304" t="n"/>
      <c r="I305" s="304" t="n"/>
      <c r="J305" s="304" t="n"/>
      <c r="K305" s="304" t="n"/>
      <c r="L305" s="304" t="n"/>
      <c r="M305" s="304" t="n"/>
      <c r="N305" s="304" t="n"/>
      <c r="O305" s="304" t="n"/>
      <c r="P305" s="304" t="n"/>
      <c r="Q305" s="304" t="n"/>
    </row>
    <row r="306" ht="13.8" customHeight="1" s="343">
      <c r="A306" s="388">
        <f>ROW()-22</f>
        <v/>
      </c>
      <c r="B306" s="536">
        <f>_xlfn.NORM.INV(RAND(),$B$6,$C$6)</f>
        <v/>
      </c>
      <c r="C306" s="536">
        <f>MIN(_xlfn.NORM.INV(RAND(),$B$7,$C$7),B306-0.005)</f>
        <v/>
      </c>
      <c r="D306" s="537">
        <f>_xlfn.NORM.INV(RAND(),$B$8,$C$8)</f>
        <v/>
      </c>
      <c r="E306" s="391">
        <f t="array" ref="E306">(SUMPRODUCT($B$13:$F$13*D306/(1+B306)^$B$14:$F$14)+($F$13*D306*(1+C306))/(B306-C306)/(1+B306)^$F$14-$B$15+$B$16)/$B$17</f>
        <v/>
      </c>
      <c r="F306" s="304" t="n"/>
      <c r="G306" s="304" t="n"/>
      <c r="H306" s="304" t="n"/>
      <c r="I306" s="304" t="n"/>
      <c r="J306" s="304" t="n"/>
      <c r="K306" s="304" t="n"/>
      <c r="L306" s="304" t="n"/>
      <c r="M306" s="304" t="n"/>
      <c r="N306" s="304" t="n"/>
      <c r="O306" s="304" t="n"/>
      <c r="P306" s="304" t="n"/>
      <c r="Q306" s="304" t="n"/>
    </row>
    <row r="307" ht="13.8" customHeight="1" s="343">
      <c r="A307" s="388">
        <f>ROW()-22</f>
        <v/>
      </c>
      <c r="B307" s="536">
        <f>_xlfn.NORM.INV(RAND(),$B$6,$C$6)</f>
        <v/>
      </c>
      <c r="C307" s="536">
        <f>MIN(_xlfn.NORM.INV(RAND(),$B$7,$C$7),B307-0.005)</f>
        <v/>
      </c>
      <c r="D307" s="537">
        <f>_xlfn.NORM.INV(RAND(),$B$8,$C$8)</f>
        <v/>
      </c>
      <c r="E307" s="391">
        <f t="array" ref="E307">(SUMPRODUCT($B$13:$F$13*D307/(1+B307)^$B$14:$F$14)+($F$13*D307*(1+C307))/(B307-C307)/(1+B307)^$F$14-$B$15+$B$16)/$B$17</f>
        <v/>
      </c>
      <c r="F307" s="304" t="n"/>
      <c r="G307" s="304" t="n"/>
      <c r="H307" s="304" t="n"/>
      <c r="I307" s="304" t="n"/>
      <c r="J307" s="304" t="n"/>
      <c r="K307" s="304" t="n"/>
      <c r="L307" s="304" t="n"/>
      <c r="M307" s="304" t="n"/>
      <c r="N307" s="304" t="n"/>
      <c r="O307" s="304" t="n"/>
      <c r="P307" s="304" t="n"/>
      <c r="Q307" s="304" t="n"/>
    </row>
    <row r="308" ht="13.8" customHeight="1" s="343">
      <c r="A308" s="388">
        <f>ROW()-22</f>
        <v/>
      </c>
      <c r="B308" s="536">
        <f>_xlfn.NORM.INV(RAND(),$B$6,$C$6)</f>
        <v/>
      </c>
      <c r="C308" s="536">
        <f>MIN(_xlfn.NORM.INV(RAND(),$B$7,$C$7),B308-0.005)</f>
        <v/>
      </c>
      <c r="D308" s="537">
        <f>_xlfn.NORM.INV(RAND(),$B$8,$C$8)</f>
        <v/>
      </c>
      <c r="E308" s="391">
        <f t="array" ref="E308">(SUMPRODUCT($B$13:$F$13*D308/(1+B308)^$B$14:$F$14)+($F$13*D308*(1+C308))/(B308-C308)/(1+B308)^$F$14-$B$15+$B$16)/$B$17</f>
        <v/>
      </c>
      <c r="F308" s="304" t="n"/>
      <c r="G308" s="304" t="n"/>
      <c r="H308" s="304" t="n"/>
      <c r="I308" s="304" t="n"/>
      <c r="J308" s="304" t="n"/>
      <c r="K308" s="304" t="n"/>
      <c r="L308" s="304" t="n"/>
      <c r="M308" s="304" t="n"/>
      <c r="N308" s="304" t="n"/>
      <c r="O308" s="304" t="n"/>
      <c r="P308" s="304" t="n"/>
      <c r="Q308" s="304" t="n"/>
    </row>
    <row r="309" ht="13.8" customHeight="1" s="343">
      <c r="A309" s="388">
        <f>ROW()-22</f>
        <v/>
      </c>
      <c r="B309" s="536">
        <f>_xlfn.NORM.INV(RAND(),$B$6,$C$6)</f>
        <v/>
      </c>
      <c r="C309" s="536">
        <f>MIN(_xlfn.NORM.INV(RAND(),$B$7,$C$7),B309-0.005)</f>
        <v/>
      </c>
      <c r="D309" s="537">
        <f>_xlfn.NORM.INV(RAND(),$B$8,$C$8)</f>
        <v/>
      </c>
      <c r="E309" s="391">
        <f t="array" ref="E309">(SUMPRODUCT($B$13:$F$13*D309/(1+B309)^$B$14:$F$14)+($F$13*D309*(1+C309))/(B309-C309)/(1+B309)^$F$14-$B$15+$B$16)/$B$17</f>
        <v/>
      </c>
      <c r="F309" s="304" t="n"/>
      <c r="G309" s="304" t="n"/>
      <c r="H309" s="304" t="n"/>
      <c r="I309" s="304" t="n"/>
      <c r="J309" s="304" t="n"/>
      <c r="K309" s="304" t="n"/>
      <c r="L309" s="304" t="n"/>
      <c r="M309" s="304" t="n"/>
      <c r="N309" s="304" t="n"/>
      <c r="O309" s="304" t="n"/>
      <c r="P309" s="304" t="n"/>
      <c r="Q309" s="304" t="n"/>
    </row>
    <row r="310" ht="13.8" customHeight="1" s="343">
      <c r="A310" s="388">
        <f>ROW()-22</f>
        <v/>
      </c>
      <c r="B310" s="536">
        <f>_xlfn.NORM.INV(RAND(),$B$6,$C$6)</f>
        <v/>
      </c>
      <c r="C310" s="536">
        <f>MIN(_xlfn.NORM.INV(RAND(),$B$7,$C$7),B310-0.005)</f>
        <v/>
      </c>
      <c r="D310" s="537">
        <f>_xlfn.NORM.INV(RAND(),$B$8,$C$8)</f>
        <v/>
      </c>
      <c r="E310" s="391">
        <f t="array" ref="E310">(SUMPRODUCT($B$13:$F$13*D310/(1+B310)^$B$14:$F$14)+($F$13*D310*(1+C310))/(B310-C310)/(1+B310)^$F$14-$B$15+$B$16)/$B$17</f>
        <v/>
      </c>
      <c r="F310" s="304" t="n"/>
      <c r="G310" s="304" t="n"/>
      <c r="H310" s="304" t="n"/>
      <c r="I310" s="304" t="n"/>
      <c r="J310" s="304" t="n"/>
      <c r="K310" s="304" t="n"/>
      <c r="L310" s="304" t="n"/>
      <c r="M310" s="304" t="n"/>
      <c r="N310" s="304" t="n"/>
      <c r="O310" s="304" t="n"/>
      <c r="P310" s="304" t="n"/>
      <c r="Q310" s="304" t="n"/>
    </row>
    <row r="311" ht="13.8" customHeight="1" s="343">
      <c r="A311" s="388">
        <f>ROW()-22</f>
        <v/>
      </c>
      <c r="B311" s="536">
        <f>_xlfn.NORM.INV(RAND(),$B$6,$C$6)</f>
        <v/>
      </c>
      <c r="C311" s="536">
        <f>MIN(_xlfn.NORM.INV(RAND(),$B$7,$C$7),B311-0.005)</f>
        <v/>
      </c>
      <c r="D311" s="537">
        <f>_xlfn.NORM.INV(RAND(),$B$8,$C$8)</f>
        <v/>
      </c>
      <c r="E311" s="391">
        <f t="array" ref="E311">(SUMPRODUCT($B$13:$F$13*D311/(1+B311)^$B$14:$F$14)+($F$13*D311*(1+C311))/(B311-C311)/(1+B311)^$F$14-$B$15+$B$16)/$B$17</f>
        <v/>
      </c>
      <c r="F311" s="304" t="n"/>
      <c r="G311" s="304" t="n"/>
      <c r="H311" s="304" t="n"/>
      <c r="I311" s="304" t="n"/>
      <c r="J311" s="304" t="n"/>
      <c r="K311" s="304" t="n"/>
      <c r="L311" s="304" t="n"/>
      <c r="M311" s="304" t="n"/>
      <c r="N311" s="304" t="n"/>
      <c r="O311" s="304" t="n"/>
      <c r="P311" s="304" t="n"/>
      <c r="Q311" s="304" t="n"/>
    </row>
    <row r="312" ht="13.8" customHeight="1" s="343">
      <c r="A312" s="388">
        <f>ROW()-22</f>
        <v/>
      </c>
      <c r="B312" s="536">
        <f>_xlfn.NORM.INV(RAND(),$B$6,$C$6)</f>
        <v/>
      </c>
      <c r="C312" s="536">
        <f>MIN(_xlfn.NORM.INV(RAND(),$B$7,$C$7),B312-0.005)</f>
        <v/>
      </c>
      <c r="D312" s="537">
        <f>_xlfn.NORM.INV(RAND(),$B$8,$C$8)</f>
        <v/>
      </c>
      <c r="E312" s="391">
        <f t="array" ref="E312">(SUMPRODUCT($B$13:$F$13*D312/(1+B312)^$B$14:$F$14)+($F$13*D312*(1+C312))/(B312-C312)/(1+B312)^$F$14-$B$15+$B$16)/$B$17</f>
        <v/>
      </c>
      <c r="F312" s="304" t="n"/>
      <c r="G312" s="304" t="n"/>
      <c r="H312" s="304" t="n"/>
      <c r="I312" s="304" t="n"/>
      <c r="J312" s="304" t="n"/>
      <c r="K312" s="304" t="n"/>
      <c r="L312" s="304" t="n"/>
      <c r="M312" s="304" t="n"/>
      <c r="N312" s="304" t="n"/>
      <c r="O312" s="304" t="n"/>
      <c r="P312" s="304" t="n"/>
      <c r="Q312" s="304" t="n"/>
    </row>
    <row r="313" ht="13.8" customHeight="1" s="343">
      <c r="A313" s="388">
        <f>ROW()-22</f>
        <v/>
      </c>
      <c r="B313" s="536">
        <f>_xlfn.NORM.INV(RAND(),$B$6,$C$6)</f>
        <v/>
      </c>
      <c r="C313" s="536">
        <f>MIN(_xlfn.NORM.INV(RAND(),$B$7,$C$7),B313-0.005)</f>
        <v/>
      </c>
      <c r="D313" s="537">
        <f>_xlfn.NORM.INV(RAND(),$B$8,$C$8)</f>
        <v/>
      </c>
      <c r="E313" s="391">
        <f t="array" ref="E313">(SUMPRODUCT($B$13:$F$13*D313/(1+B313)^$B$14:$F$14)+($F$13*D313*(1+C313))/(B313-C313)/(1+B313)^$F$14-$B$15+$B$16)/$B$17</f>
        <v/>
      </c>
      <c r="F313" s="304" t="n"/>
      <c r="G313" s="304" t="n"/>
      <c r="H313" s="304" t="n"/>
      <c r="I313" s="304" t="n"/>
      <c r="J313" s="304" t="n"/>
      <c r="K313" s="304" t="n"/>
      <c r="L313" s="304" t="n"/>
      <c r="M313" s="304" t="n"/>
      <c r="N313" s="304" t="n"/>
      <c r="O313" s="304" t="n"/>
      <c r="P313" s="304" t="n"/>
      <c r="Q313" s="304" t="n"/>
    </row>
    <row r="314" ht="13.8" customHeight="1" s="343">
      <c r="A314" s="388">
        <f>ROW()-22</f>
        <v/>
      </c>
      <c r="B314" s="536">
        <f>_xlfn.NORM.INV(RAND(),$B$6,$C$6)</f>
        <v/>
      </c>
      <c r="C314" s="536">
        <f>MIN(_xlfn.NORM.INV(RAND(),$B$7,$C$7),B314-0.005)</f>
        <v/>
      </c>
      <c r="D314" s="537">
        <f>_xlfn.NORM.INV(RAND(),$B$8,$C$8)</f>
        <v/>
      </c>
      <c r="E314" s="391">
        <f t="array" ref="E314">(SUMPRODUCT($B$13:$F$13*D314/(1+B314)^$B$14:$F$14)+($F$13*D314*(1+C314))/(B314-C314)/(1+B314)^$F$14-$B$15+$B$16)/$B$17</f>
        <v/>
      </c>
      <c r="F314" s="304" t="n"/>
      <c r="G314" s="304" t="n"/>
      <c r="H314" s="304" t="n"/>
      <c r="I314" s="304" t="n"/>
      <c r="J314" s="304" t="n"/>
      <c r="K314" s="304" t="n"/>
      <c r="L314" s="304" t="n"/>
      <c r="M314" s="304" t="n"/>
      <c r="N314" s="304" t="n"/>
      <c r="O314" s="304" t="n"/>
      <c r="P314" s="304" t="n"/>
      <c r="Q314" s="304" t="n"/>
    </row>
    <row r="315" ht="13.8" customHeight="1" s="343">
      <c r="A315" s="388">
        <f>ROW()-22</f>
        <v/>
      </c>
      <c r="B315" s="536">
        <f>_xlfn.NORM.INV(RAND(),$B$6,$C$6)</f>
        <v/>
      </c>
      <c r="C315" s="536">
        <f>MIN(_xlfn.NORM.INV(RAND(),$B$7,$C$7),B315-0.005)</f>
        <v/>
      </c>
      <c r="D315" s="537">
        <f>_xlfn.NORM.INV(RAND(),$B$8,$C$8)</f>
        <v/>
      </c>
      <c r="E315" s="391">
        <f t="array" ref="E315">(SUMPRODUCT($B$13:$F$13*D315/(1+B315)^$B$14:$F$14)+($F$13*D315*(1+C315))/(B315-C315)/(1+B315)^$F$14-$B$15+$B$16)/$B$17</f>
        <v/>
      </c>
      <c r="F315" s="304" t="n"/>
      <c r="G315" s="304" t="n"/>
      <c r="H315" s="304" t="n"/>
      <c r="I315" s="304" t="n"/>
      <c r="J315" s="304" t="n"/>
      <c r="K315" s="304" t="n"/>
      <c r="L315" s="304" t="n"/>
      <c r="M315" s="304" t="n"/>
      <c r="N315" s="304" t="n"/>
      <c r="O315" s="304" t="n"/>
      <c r="P315" s="304" t="n"/>
      <c r="Q315" s="304" t="n"/>
    </row>
    <row r="316" ht="13.8" customHeight="1" s="343">
      <c r="A316" s="388">
        <f>ROW()-22</f>
        <v/>
      </c>
      <c r="B316" s="536">
        <f>_xlfn.NORM.INV(RAND(),$B$6,$C$6)</f>
        <v/>
      </c>
      <c r="C316" s="536">
        <f>MIN(_xlfn.NORM.INV(RAND(),$B$7,$C$7),B316-0.005)</f>
        <v/>
      </c>
      <c r="D316" s="537">
        <f>_xlfn.NORM.INV(RAND(),$B$8,$C$8)</f>
        <v/>
      </c>
      <c r="E316" s="391">
        <f t="array" ref="E316">(SUMPRODUCT($B$13:$F$13*D316/(1+B316)^$B$14:$F$14)+($F$13*D316*(1+C316))/(B316-C316)/(1+B316)^$F$14-$B$15+$B$16)/$B$17</f>
        <v/>
      </c>
      <c r="F316" s="304" t="n"/>
      <c r="G316" s="304" t="n"/>
      <c r="H316" s="304" t="n"/>
      <c r="I316" s="304" t="n"/>
      <c r="J316" s="304" t="n"/>
      <c r="K316" s="304" t="n"/>
      <c r="L316" s="304" t="n"/>
      <c r="M316" s="304" t="n"/>
      <c r="N316" s="304" t="n"/>
      <c r="O316" s="304" t="n"/>
      <c r="P316" s="304" t="n"/>
      <c r="Q316" s="304" t="n"/>
    </row>
    <row r="317" ht="13.8" customHeight="1" s="343">
      <c r="A317" s="388">
        <f>ROW()-22</f>
        <v/>
      </c>
      <c r="B317" s="536">
        <f>_xlfn.NORM.INV(RAND(),$B$6,$C$6)</f>
        <v/>
      </c>
      <c r="C317" s="536">
        <f>MIN(_xlfn.NORM.INV(RAND(),$B$7,$C$7),B317-0.005)</f>
        <v/>
      </c>
      <c r="D317" s="537">
        <f>_xlfn.NORM.INV(RAND(),$B$8,$C$8)</f>
        <v/>
      </c>
      <c r="E317" s="391">
        <f t="array" ref="E317">(SUMPRODUCT($B$13:$F$13*D317/(1+B317)^$B$14:$F$14)+($F$13*D317*(1+C317))/(B317-C317)/(1+B317)^$F$14-$B$15+$B$16)/$B$17</f>
        <v/>
      </c>
      <c r="F317" s="304" t="n"/>
      <c r="G317" s="304" t="n"/>
      <c r="H317" s="304" t="n"/>
      <c r="I317" s="304" t="n"/>
      <c r="J317" s="304" t="n"/>
      <c r="K317" s="304" t="n"/>
      <c r="L317" s="304" t="n"/>
      <c r="M317" s="304" t="n"/>
      <c r="N317" s="304" t="n"/>
      <c r="O317" s="304" t="n"/>
      <c r="P317" s="304" t="n"/>
      <c r="Q317" s="304" t="n"/>
    </row>
    <row r="318" ht="13.8" customHeight="1" s="343">
      <c r="A318" s="388">
        <f>ROW()-22</f>
        <v/>
      </c>
      <c r="B318" s="536">
        <f>_xlfn.NORM.INV(RAND(),$B$6,$C$6)</f>
        <v/>
      </c>
      <c r="C318" s="536">
        <f>MIN(_xlfn.NORM.INV(RAND(),$B$7,$C$7),B318-0.005)</f>
        <v/>
      </c>
      <c r="D318" s="537">
        <f>_xlfn.NORM.INV(RAND(),$B$8,$C$8)</f>
        <v/>
      </c>
      <c r="E318" s="391">
        <f t="array" ref="E318">(SUMPRODUCT($B$13:$F$13*D318/(1+B318)^$B$14:$F$14)+($F$13*D318*(1+C318))/(B318-C318)/(1+B318)^$F$14-$B$15+$B$16)/$B$17</f>
        <v/>
      </c>
      <c r="F318" s="304" t="n"/>
      <c r="G318" s="304" t="n"/>
      <c r="H318" s="304" t="n"/>
      <c r="I318" s="304" t="n"/>
      <c r="J318" s="304" t="n"/>
      <c r="K318" s="304" t="n"/>
      <c r="L318" s="304" t="n"/>
      <c r="M318" s="304" t="n"/>
      <c r="N318" s="304" t="n"/>
      <c r="O318" s="304" t="n"/>
      <c r="P318" s="304" t="n"/>
      <c r="Q318" s="304" t="n"/>
    </row>
    <row r="319" ht="13.8" customHeight="1" s="343">
      <c r="A319" s="388">
        <f>ROW()-22</f>
        <v/>
      </c>
      <c r="B319" s="536">
        <f>_xlfn.NORM.INV(RAND(),$B$6,$C$6)</f>
        <v/>
      </c>
      <c r="C319" s="536">
        <f>MIN(_xlfn.NORM.INV(RAND(),$B$7,$C$7),B319-0.005)</f>
        <v/>
      </c>
      <c r="D319" s="537">
        <f>_xlfn.NORM.INV(RAND(),$B$8,$C$8)</f>
        <v/>
      </c>
      <c r="E319" s="391">
        <f t="array" ref="E319">(SUMPRODUCT($B$13:$F$13*D319/(1+B319)^$B$14:$F$14)+($F$13*D319*(1+C319))/(B319-C319)/(1+B319)^$F$14-$B$15+$B$16)/$B$17</f>
        <v/>
      </c>
      <c r="F319" s="304" t="n"/>
      <c r="G319" s="304" t="n"/>
      <c r="H319" s="304" t="n"/>
      <c r="I319" s="304" t="n"/>
      <c r="J319" s="304" t="n"/>
      <c r="K319" s="304" t="n"/>
      <c r="L319" s="304" t="n"/>
      <c r="M319" s="304" t="n"/>
      <c r="N319" s="304" t="n"/>
      <c r="O319" s="304" t="n"/>
      <c r="P319" s="304" t="n"/>
      <c r="Q319" s="304" t="n"/>
    </row>
    <row r="320" ht="13.8" customHeight="1" s="343">
      <c r="A320" s="388">
        <f>ROW()-22</f>
        <v/>
      </c>
      <c r="B320" s="536">
        <f>_xlfn.NORM.INV(RAND(),$B$6,$C$6)</f>
        <v/>
      </c>
      <c r="C320" s="536">
        <f>MIN(_xlfn.NORM.INV(RAND(),$B$7,$C$7),B320-0.005)</f>
        <v/>
      </c>
      <c r="D320" s="537">
        <f>_xlfn.NORM.INV(RAND(),$B$8,$C$8)</f>
        <v/>
      </c>
      <c r="E320" s="391">
        <f t="array" ref="E320">(SUMPRODUCT($B$13:$F$13*D320/(1+B320)^$B$14:$F$14)+($F$13*D320*(1+C320))/(B320-C320)/(1+B320)^$F$14-$B$15+$B$16)/$B$17</f>
        <v/>
      </c>
      <c r="F320" s="304" t="n"/>
      <c r="G320" s="304" t="n"/>
      <c r="H320" s="304" t="n"/>
      <c r="I320" s="304" t="n"/>
      <c r="J320" s="304" t="n"/>
      <c r="K320" s="304" t="n"/>
      <c r="L320" s="304" t="n"/>
      <c r="M320" s="304" t="n"/>
      <c r="N320" s="304" t="n"/>
      <c r="O320" s="304" t="n"/>
      <c r="P320" s="304" t="n"/>
      <c r="Q320" s="304" t="n"/>
    </row>
    <row r="321" ht="13.8" customHeight="1" s="343">
      <c r="A321" s="388">
        <f>ROW()-22</f>
        <v/>
      </c>
      <c r="B321" s="536">
        <f>_xlfn.NORM.INV(RAND(),$B$6,$C$6)</f>
        <v/>
      </c>
      <c r="C321" s="536">
        <f>MIN(_xlfn.NORM.INV(RAND(),$B$7,$C$7),B321-0.005)</f>
        <v/>
      </c>
      <c r="D321" s="537">
        <f>_xlfn.NORM.INV(RAND(),$B$8,$C$8)</f>
        <v/>
      </c>
      <c r="E321" s="391">
        <f t="array" ref="E321">(SUMPRODUCT($B$13:$F$13*D321/(1+B321)^$B$14:$F$14)+($F$13*D321*(1+C321))/(B321-C321)/(1+B321)^$F$14-$B$15+$B$16)/$B$17</f>
        <v/>
      </c>
      <c r="F321" s="304" t="n"/>
      <c r="G321" s="304" t="n"/>
      <c r="H321" s="304" t="n"/>
      <c r="I321" s="304" t="n"/>
      <c r="J321" s="304" t="n"/>
      <c r="K321" s="304" t="n"/>
      <c r="L321" s="304" t="n"/>
      <c r="M321" s="304" t="n"/>
      <c r="N321" s="304" t="n"/>
      <c r="O321" s="304" t="n"/>
      <c r="P321" s="304" t="n"/>
      <c r="Q321" s="304" t="n"/>
    </row>
    <row r="322" ht="13.8" customHeight="1" s="343">
      <c r="A322" s="388">
        <f>ROW()-22</f>
        <v/>
      </c>
      <c r="B322" s="536">
        <f>_xlfn.NORM.INV(RAND(),$B$6,$C$6)</f>
        <v/>
      </c>
      <c r="C322" s="536">
        <f>MIN(_xlfn.NORM.INV(RAND(),$B$7,$C$7),B322-0.005)</f>
        <v/>
      </c>
      <c r="D322" s="537">
        <f>_xlfn.NORM.INV(RAND(),$B$8,$C$8)</f>
        <v/>
      </c>
      <c r="E322" s="391">
        <f t="array" ref="E322">(SUMPRODUCT($B$13:$F$13*D322/(1+B322)^$B$14:$F$14)+($F$13*D322*(1+C322))/(B322-C322)/(1+B322)^$F$14-$B$15+$B$16)/$B$17</f>
        <v/>
      </c>
      <c r="F322" s="304" t="n"/>
      <c r="G322" s="304" t="n"/>
      <c r="H322" s="304" t="n"/>
      <c r="I322" s="304" t="n"/>
      <c r="J322" s="304" t="n"/>
      <c r="K322" s="304" t="n"/>
      <c r="L322" s="304" t="n"/>
      <c r="M322" s="304" t="n"/>
      <c r="N322" s="304" t="n"/>
      <c r="O322" s="304" t="n"/>
      <c r="P322" s="304" t="n"/>
      <c r="Q322" s="304" t="n"/>
    </row>
    <row r="323" ht="13.8" customHeight="1" s="343">
      <c r="A323" s="388">
        <f>ROW()-22</f>
        <v/>
      </c>
      <c r="B323" s="536">
        <f>_xlfn.NORM.INV(RAND(),$B$6,$C$6)</f>
        <v/>
      </c>
      <c r="C323" s="536">
        <f>MIN(_xlfn.NORM.INV(RAND(),$B$7,$C$7),B323-0.005)</f>
        <v/>
      </c>
      <c r="D323" s="537">
        <f>_xlfn.NORM.INV(RAND(),$B$8,$C$8)</f>
        <v/>
      </c>
      <c r="E323" s="391">
        <f t="array" ref="E323">(SUMPRODUCT($B$13:$F$13*D323/(1+B323)^$B$14:$F$14)+($F$13*D323*(1+C323))/(B323-C323)/(1+B323)^$F$14-$B$15+$B$16)/$B$17</f>
        <v/>
      </c>
      <c r="F323" s="304" t="n"/>
      <c r="G323" s="304" t="n"/>
      <c r="H323" s="304" t="n"/>
      <c r="I323" s="304" t="n"/>
      <c r="J323" s="304" t="n"/>
      <c r="K323" s="304" t="n"/>
      <c r="L323" s="304" t="n"/>
      <c r="M323" s="304" t="n"/>
      <c r="N323" s="304" t="n"/>
      <c r="O323" s="304" t="n"/>
      <c r="P323" s="304" t="n"/>
      <c r="Q323" s="304" t="n"/>
    </row>
    <row r="324" ht="13.8" customHeight="1" s="343">
      <c r="A324" s="388">
        <f>ROW()-22</f>
        <v/>
      </c>
      <c r="B324" s="536">
        <f>_xlfn.NORM.INV(RAND(),$B$6,$C$6)</f>
        <v/>
      </c>
      <c r="C324" s="536">
        <f>MIN(_xlfn.NORM.INV(RAND(),$B$7,$C$7),B324-0.005)</f>
        <v/>
      </c>
      <c r="D324" s="537">
        <f>_xlfn.NORM.INV(RAND(),$B$8,$C$8)</f>
        <v/>
      </c>
      <c r="E324" s="391">
        <f t="array" ref="E324">(SUMPRODUCT($B$13:$F$13*D324/(1+B324)^$B$14:$F$14)+($F$13*D324*(1+C324))/(B324-C324)/(1+B324)^$F$14-$B$15+$B$16)/$B$17</f>
        <v/>
      </c>
      <c r="F324" s="304" t="n"/>
      <c r="G324" s="304" t="n"/>
      <c r="H324" s="304" t="n"/>
      <c r="I324" s="304" t="n"/>
      <c r="J324" s="304" t="n"/>
      <c r="K324" s="304" t="n"/>
      <c r="L324" s="304" t="n"/>
      <c r="M324" s="304" t="n"/>
      <c r="N324" s="304" t="n"/>
      <c r="O324" s="304" t="n"/>
      <c r="P324" s="304" t="n"/>
      <c r="Q324" s="304" t="n"/>
    </row>
    <row r="325" ht="13.8" customHeight="1" s="343">
      <c r="A325" s="388">
        <f>ROW()-22</f>
        <v/>
      </c>
      <c r="B325" s="536">
        <f>_xlfn.NORM.INV(RAND(),$B$6,$C$6)</f>
        <v/>
      </c>
      <c r="C325" s="536">
        <f>MIN(_xlfn.NORM.INV(RAND(),$B$7,$C$7),B325-0.005)</f>
        <v/>
      </c>
      <c r="D325" s="537">
        <f>_xlfn.NORM.INV(RAND(),$B$8,$C$8)</f>
        <v/>
      </c>
      <c r="E325" s="391">
        <f t="array" ref="E325">(SUMPRODUCT($B$13:$F$13*D325/(1+B325)^$B$14:$F$14)+($F$13*D325*(1+C325))/(B325-C325)/(1+B325)^$F$14-$B$15+$B$16)/$B$17</f>
        <v/>
      </c>
      <c r="F325" s="304" t="n"/>
      <c r="G325" s="304" t="n"/>
      <c r="H325" s="304" t="n"/>
      <c r="I325" s="304" t="n"/>
      <c r="J325" s="304" t="n"/>
      <c r="K325" s="304" t="n"/>
      <c r="L325" s="304" t="n"/>
      <c r="M325" s="304" t="n"/>
      <c r="N325" s="304" t="n"/>
      <c r="O325" s="304" t="n"/>
      <c r="P325" s="304" t="n"/>
      <c r="Q325" s="304" t="n"/>
    </row>
    <row r="326" ht="13.8" customHeight="1" s="343">
      <c r="A326" s="388">
        <f>ROW()-22</f>
        <v/>
      </c>
      <c r="B326" s="536">
        <f>_xlfn.NORM.INV(RAND(),$B$6,$C$6)</f>
        <v/>
      </c>
      <c r="C326" s="536">
        <f>MIN(_xlfn.NORM.INV(RAND(),$B$7,$C$7),B326-0.005)</f>
        <v/>
      </c>
      <c r="D326" s="537">
        <f>_xlfn.NORM.INV(RAND(),$B$8,$C$8)</f>
        <v/>
      </c>
      <c r="E326" s="391">
        <f t="array" ref="E326">(SUMPRODUCT($B$13:$F$13*D326/(1+B326)^$B$14:$F$14)+($F$13*D326*(1+C326))/(B326-C326)/(1+B326)^$F$14-$B$15+$B$16)/$B$17</f>
        <v/>
      </c>
      <c r="F326" s="304" t="n"/>
      <c r="G326" s="304" t="n"/>
      <c r="H326" s="304" t="n"/>
      <c r="I326" s="304" t="n"/>
      <c r="J326" s="304" t="n"/>
      <c r="K326" s="304" t="n"/>
      <c r="L326" s="304" t="n"/>
      <c r="M326" s="304" t="n"/>
      <c r="N326" s="304" t="n"/>
      <c r="O326" s="304" t="n"/>
      <c r="P326" s="304" t="n"/>
      <c r="Q326" s="304" t="n"/>
    </row>
    <row r="327" ht="13.8" customHeight="1" s="343">
      <c r="A327" s="388">
        <f>ROW()-22</f>
        <v/>
      </c>
      <c r="B327" s="536">
        <f>_xlfn.NORM.INV(RAND(),$B$6,$C$6)</f>
        <v/>
      </c>
      <c r="C327" s="536">
        <f>MIN(_xlfn.NORM.INV(RAND(),$B$7,$C$7),B327-0.005)</f>
        <v/>
      </c>
      <c r="D327" s="537">
        <f>_xlfn.NORM.INV(RAND(),$B$8,$C$8)</f>
        <v/>
      </c>
      <c r="E327" s="391">
        <f t="array" ref="E327">(SUMPRODUCT($B$13:$F$13*D327/(1+B327)^$B$14:$F$14)+($F$13*D327*(1+C327))/(B327-C327)/(1+B327)^$F$14-$B$15+$B$16)/$B$17</f>
        <v/>
      </c>
      <c r="F327" s="304" t="n"/>
      <c r="G327" s="304" t="n"/>
      <c r="H327" s="304" t="n"/>
      <c r="I327" s="304" t="n"/>
      <c r="J327" s="304" t="n"/>
      <c r="K327" s="304" t="n"/>
      <c r="L327" s="304" t="n"/>
      <c r="M327" s="304" t="n"/>
      <c r="N327" s="304" t="n"/>
      <c r="O327" s="304" t="n"/>
      <c r="P327" s="304" t="n"/>
      <c r="Q327" s="304" t="n"/>
    </row>
    <row r="328" ht="13.8" customHeight="1" s="343">
      <c r="A328" s="388">
        <f>ROW()-22</f>
        <v/>
      </c>
      <c r="B328" s="536">
        <f>_xlfn.NORM.INV(RAND(),$B$6,$C$6)</f>
        <v/>
      </c>
      <c r="C328" s="536">
        <f>MIN(_xlfn.NORM.INV(RAND(),$B$7,$C$7),B328-0.005)</f>
        <v/>
      </c>
      <c r="D328" s="537">
        <f>_xlfn.NORM.INV(RAND(),$B$8,$C$8)</f>
        <v/>
      </c>
      <c r="E328" s="391">
        <f t="array" ref="E328">(SUMPRODUCT($B$13:$F$13*D328/(1+B328)^$B$14:$F$14)+($F$13*D328*(1+C328))/(B328-C328)/(1+B328)^$F$14-$B$15+$B$16)/$B$17</f>
        <v/>
      </c>
      <c r="F328" s="304" t="n"/>
      <c r="G328" s="304" t="n"/>
      <c r="H328" s="304" t="n"/>
      <c r="I328" s="304" t="n"/>
      <c r="J328" s="304" t="n"/>
      <c r="K328" s="304" t="n"/>
      <c r="L328" s="304" t="n"/>
      <c r="M328" s="304" t="n"/>
      <c r="N328" s="304" t="n"/>
      <c r="O328" s="304" t="n"/>
      <c r="P328" s="304" t="n"/>
      <c r="Q328" s="304" t="n"/>
    </row>
    <row r="329" ht="13.8" customHeight="1" s="343">
      <c r="A329" s="388">
        <f>ROW()-22</f>
        <v/>
      </c>
      <c r="B329" s="536">
        <f>_xlfn.NORM.INV(RAND(),$B$6,$C$6)</f>
        <v/>
      </c>
      <c r="C329" s="536">
        <f>MIN(_xlfn.NORM.INV(RAND(),$B$7,$C$7),B329-0.005)</f>
        <v/>
      </c>
      <c r="D329" s="537">
        <f>_xlfn.NORM.INV(RAND(),$B$8,$C$8)</f>
        <v/>
      </c>
      <c r="E329" s="391">
        <f t="array" ref="E329">(SUMPRODUCT($B$13:$F$13*D329/(1+B329)^$B$14:$F$14)+($F$13*D329*(1+C329))/(B329-C329)/(1+B329)^$F$14-$B$15+$B$16)/$B$17</f>
        <v/>
      </c>
      <c r="F329" s="304" t="n"/>
      <c r="G329" s="304" t="n"/>
      <c r="H329" s="304" t="n"/>
      <c r="I329" s="304" t="n"/>
      <c r="J329" s="304" t="n"/>
      <c r="K329" s="304" t="n"/>
      <c r="L329" s="304" t="n"/>
      <c r="M329" s="304" t="n"/>
      <c r="N329" s="304" t="n"/>
      <c r="O329" s="304" t="n"/>
      <c r="P329" s="304" t="n"/>
      <c r="Q329" s="304" t="n"/>
    </row>
    <row r="330" ht="13.8" customHeight="1" s="343">
      <c r="A330" s="388">
        <f>ROW()-22</f>
        <v/>
      </c>
      <c r="B330" s="536">
        <f>_xlfn.NORM.INV(RAND(),$B$6,$C$6)</f>
        <v/>
      </c>
      <c r="C330" s="536">
        <f>MIN(_xlfn.NORM.INV(RAND(),$B$7,$C$7),B330-0.005)</f>
        <v/>
      </c>
      <c r="D330" s="537">
        <f>_xlfn.NORM.INV(RAND(),$B$8,$C$8)</f>
        <v/>
      </c>
      <c r="E330" s="391">
        <f t="array" ref="E330">(SUMPRODUCT($B$13:$F$13*D330/(1+B330)^$B$14:$F$14)+($F$13*D330*(1+C330))/(B330-C330)/(1+B330)^$F$14-$B$15+$B$16)/$B$17</f>
        <v/>
      </c>
      <c r="F330" s="304" t="n"/>
      <c r="G330" s="304" t="n"/>
      <c r="H330" s="304" t="n"/>
      <c r="I330" s="304" t="n"/>
      <c r="J330" s="304" t="n"/>
      <c r="K330" s="304" t="n"/>
      <c r="L330" s="304" t="n"/>
      <c r="M330" s="304" t="n"/>
      <c r="N330" s="304" t="n"/>
      <c r="O330" s="304" t="n"/>
      <c r="P330" s="304" t="n"/>
      <c r="Q330" s="304" t="n"/>
    </row>
    <row r="331" ht="13.8" customHeight="1" s="343">
      <c r="A331" s="388">
        <f>ROW()-22</f>
        <v/>
      </c>
      <c r="B331" s="536">
        <f>_xlfn.NORM.INV(RAND(),$B$6,$C$6)</f>
        <v/>
      </c>
      <c r="C331" s="536">
        <f>MIN(_xlfn.NORM.INV(RAND(),$B$7,$C$7),B331-0.005)</f>
        <v/>
      </c>
      <c r="D331" s="537">
        <f>_xlfn.NORM.INV(RAND(),$B$8,$C$8)</f>
        <v/>
      </c>
      <c r="E331" s="391">
        <f t="array" ref="E331">(SUMPRODUCT($B$13:$F$13*D331/(1+B331)^$B$14:$F$14)+($F$13*D331*(1+C331))/(B331-C331)/(1+B331)^$F$14-$B$15+$B$16)/$B$17</f>
        <v/>
      </c>
      <c r="F331" s="304" t="n"/>
      <c r="G331" s="304" t="n"/>
      <c r="H331" s="304" t="n"/>
      <c r="I331" s="304" t="n"/>
      <c r="J331" s="304" t="n"/>
      <c r="K331" s="304" t="n"/>
      <c r="L331" s="304" t="n"/>
      <c r="M331" s="304" t="n"/>
      <c r="N331" s="304" t="n"/>
      <c r="O331" s="304" t="n"/>
      <c r="P331" s="304" t="n"/>
      <c r="Q331" s="304" t="n"/>
    </row>
    <row r="332" ht="13.8" customHeight="1" s="343">
      <c r="A332" s="388">
        <f>ROW()-22</f>
        <v/>
      </c>
      <c r="B332" s="536">
        <f>_xlfn.NORM.INV(RAND(),$B$6,$C$6)</f>
        <v/>
      </c>
      <c r="C332" s="536">
        <f>MIN(_xlfn.NORM.INV(RAND(),$B$7,$C$7),B332-0.005)</f>
        <v/>
      </c>
      <c r="D332" s="537">
        <f>_xlfn.NORM.INV(RAND(),$B$8,$C$8)</f>
        <v/>
      </c>
      <c r="E332" s="391">
        <f t="array" ref="E332">(SUMPRODUCT($B$13:$F$13*D332/(1+B332)^$B$14:$F$14)+($F$13*D332*(1+C332))/(B332-C332)/(1+B332)^$F$14-$B$15+$B$16)/$B$17</f>
        <v/>
      </c>
      <c r="F332" s="304" t="n"/>
      <c r="G332" s="304" t="n"/>
      <c r="H332" s="304" t="n"/>
      <c r="I332" s="304" t="n"/>
      <c r="J332" s="304" t="n"/>
      <c r="K332" s="304" t="n"/>
      <c r="L332" s="304" t="n"/>
      <c r="M332" s="304" t="n"/>
      <c r="N332" s="304" t="n"/>
      <c r="O332" s="304" t="n"/>
      <c r="P332" s="304" t="n"/>
      <c r="Q332" s="304" t="n"/>
    </row>
    <row r="333" ht="13.8" customHeight="1" s="343">
      <c r="A333" s="388">
        <f>ROW()-22</f>
        <v/>
      </c>
      <c r="B333" s="536">
        <f>_xlfn.NORM.INV(RAND(),$B$6,$C$6)</f>
        <v/>
      </c>
      <c r="C333" s="536">
        <f>MIN(_xlfn.NORM.INV(RAND(),$B$7,$C$7),B333-0.005)</f>
        <v/>
      </c>
      <c r="D333" s="537">
        <f>_xlfn.NORM.INV(RAND(),$B$8,$C$8)</f>
        <v/>
      </c>
      <c r="E333" s="391">
        <f t="array" ref="E333">(SUMPRODUCT($B$13:$F$13*D333/(1+B333)^$B$14:$F$14)+($F$13*D333*(1+C333))/(B333-C333)/(1+B333)^$F$14-$B$15+$B$16)/$B$17</f>
        <v/>
      </c>
      <c r="F333" s="304" t="n"/>
      <c r="G333" s="304" t="n"/>
      <c r="H333" s="304" t="n"/>
      <c r="I333" s="304" t="n"/>
      <c r="J333" s="304" t="n"/>
      <c r="K333" s="304" t="n"/>
      <c r="L333" s="304" t="n"/>
      <c r="M333" s="304" t="n"/>
      <c r="N333" s="304" t="n"/>
      <c r="O333" s="304" t="n"/>
      <c r="P333" s="304" t="n"/>
      <c r="Q333" s="304" t="n"/>
    </row>
    <row r="334" ht="13.8" customHeight="1" s="343">
      <c r="A334" s="388">
        <f>ROW()-22</f>
        <v/>
      </c>
      <c r="B334" s="536">
        <f>_xlfn.NORM.INV(RAND(),$B$6,$C$6)</f>
        <v/>
      </c>
      <c r="C334" s="536">
        <f>MIN(_xlfn.NORM.INV(RAND(),$B$7,$C$7),B334-0.005)</f>
        <v/>
      </c>
      <c r="D334" s="537">
        <f>_xlfn.NORM.INV(RAND(),$B$8,$C$8)</f>
        <v/>
      </c>
      <c r="E334" s="391">
        <f t="array" ref="E334">(SUMPRODUCT($B$13:$F$13*D334/(1+B334)^$B$14:$F$14)+($F$13*D334*(1+C334))/(B334-C334)/(1+B334)^$F$14-$B$15+$B$16)/$B$17</f>
        <v/>
      </c>
      <c r="F334" s="304" t="n"/>
      <c r="G334" s="304" t="n"/>
      <c r="H334" s="304" t="n"/>
      <c r="I334" s="304" t="n"/>
      <c r="J334" s="304" t="n"/>
      <c r="K334" s="304" t="n"/>
      <c r="L334" s="304" t="n"/>
      <c r="M334" s="304" t="n"/>
      <c r="N334" s="304" t="n"/>
      <c r="O334" s="304" t="n"/>
      <c r="P334" s="304" t="n"/>
      <c r="Q334" s="304" t="n"/>
    </row>
    <row r="335" ht="13.8" customHeight="1" s="343">
      <c r="A335" s="388">
        <f>ROW()-22</f>
        <v/>
      </c>
      <c r="B335" s="536">
        <f>_xlfn.NORM.INV(RAND(),$B$6,$C$6)</f>
        <v/>
      </c>
      <c r="C335" s="536">
        <f>MIN(_xlfn.NORM.INV(RAND(),$B$7,$C$7),B335-0.005)</f>
        <v/>
      </c>
      <c r="D335" s="537">
        <f>_xlfn.NORM.INV(RAND(),$B$8,$C$8)</f>
        <v/>
      </c>
      <c r="E335" s="391">
        <f t="array" ref="E335">(SUMPRODUCT($B$13:$F$13*D335/(1+B335)^$B$14:$F$14)+($F$13*D335*(1+C335))/(B335-C335)/(1+B335)^$F$14-$B$15+$B$16)/$B$17</f>
        <v/>
      </c>
      <c r="F335" s="304" t="n"/>
      <c r="G335" s="304" t="n"/>
      <c r="H335" s="304" t="n"/>
      <c r="I335" s="304" t="n"/>
      <c r="J335" s="304" t="n"/>
      <c r="K335" s="304" t="n"/>
      <c r="L335" s="304" t="n"/>
      <c r="M335" s="304" t="n"/>
      <c r="N335" s="304" t="n"/>
      <c r="O335" s="304" t="n"/>
      <c r="P335" s="304" t="n"/>
      <c r="Q335" s="304" t="n"/>
    </row>
    <row r="336" ht="13.8" customHeight="1" s="343">
      <c r="A336" s="388">
        <f>ROW()-22</f>
        <v/>
      </c>
      <c r="B336" s="536">
        <f>_xlfn.NORM.INV(RAND(),$B$6,$C$6)</f>
        <v/>
      </c>
      <c r="C336" s="536">
        <f>MIN(_xlfn.NORM.INV(RAND(),$B$7,$C$7),B336-0.005)</f>
        <v/>
      </c>
      <c r="D336" s="537">
        <f>_xlfn.NORM.INV(RAND(),$B$8,$C$8)</f>
        <v/>
      </c>
      <c r="E336" s="391">
        <f t="array" ref="E336">(SUMPRODUCT($B$13:$F$13*D336/(1+B336)^$B$14:$F$14)+($F$13*D336*(1+C336))/(B336-C336)/(1+B336)^$F$14-$B$15+$B$16)/$B$17</f>
        <v/>
      </c>
      <c r="F336" s="304" t="n"/>
      <c r="G336" s="304" t="n"/>
      <c r="H336" s="304" t="n"/>
      <c r="I336" s="304" t="n"/>
      <c r="J336" s="304" t="n"/>
      <c r="K336" s="304" t="n"/>
      <c r="L336" s="304" t="n"/>
      <c r="M336" s="304" t="n"/>
      <c r="N336" s="304" t="n"/>
      <c r="O336" s="304" t="n"/>
      <c r="P336" s="304" t="n"/>
      <c r="Q336" s="304" t="n"/>
    </row>
    <row r="337" ht="13.8" customHeight="1" s="343">
      <c r="A337" s="388">
        <f>ROW()-22</f>
        <v/>
      </c>
      <c r="B337" s="536">
        <f>_xlfn.NORM.INV(RAND(),$B$6,$C$6)</f>
        <v/>
      </c>
      <c r="C337" s="536">
        <f>MIN(_xlfn.NORM.INV(RAND(),$B$7,$C$7),B337-0.005)</f>
        <v/>
      </c>
      <c r="D337" s="537">
        <f>_xlfn.NORM.INV(RAND(),$B$8,$C$8)</f>
        <v/>
      </c>
      <c r="E337" s="391">
        <f t="array" ref="E337">(SUMPRODUCT($B$13:$F$13*D337/(1+B337)^$B$14:$F$14)+($F$13*D337*(1+C337))/(B337-C337)/(1+B337)^$F$14-$B$15+$B$16)/$B$17</f>
        <v/>
      </c>
      <c r="F337" s="304" t="n"/>
      <c r="G337" s="304" t="n"/>
      <c r="H337" s="304" t="n"/>
      <c r="I337" s="304" t="n"/>
      <c r="J337" s="304" t="n"/>
      <c r="K337" s="304" t="n"/>
      <c r="L337" s="304" t="n"/>
      <c r="M337" s="304" t="n"/>
      <c r="N337" s="304" t="n"/>
      <c r="O337" s="304" t="n"/>
      <c r="P337" s="304" t="n"/>
      <c r="Q337" s="304" t="n"/>
    </row>
    <row r="338" ht="13.8" customHeight="1" s="343">
      <c r="A338" s="388">
        <f>ROW()-22</f>
        <v/>
      </c>
      <c r="B338" s="536">
        <f>_xlfn.NORM.INV(RAND(),$B$6,$C$6)</f>
        <v/>
      </c>
      <c r="C338" s="536">
        <f>MIN(_xlfn.NORM.INV(RAND(),$B$7,$C$7),B338-0.005)</f>
        <v/>
      </c>
      <c r="D338" s="537">
        <f>_xlfn.NORM.INV(RAND(),$B$8,$C$8)</f>
        <v/>
      </c>
      <c r="E338" s="391">
        <f t="array" ref="E338">(SUMPRODUCT($B$13:$F$13*D338/(1+B338)^$B$14:$F$14)+($F$13*D338*(1+C338))/(B338-C338)/(1+B338)^$F$14-$B$15+$B$16)/$B$17</f>
        <v/>
      </c>
      <c r="F338" s="304" t="n"/>
      <c r="G338" s="304" t="n"/>
      <c r="H338" s="304" t="n"/>
      <c r="I338" s="304" t="n"/>
      <c r="J338" s="304" t="n"/>
      <c r="K338" s="304" t="n"/>
      <c r="L338" s="304" t="n"/>
      <c r="M338" s="304" t="n"/>
      <c r="N338" s="304" t="n"/>
      <c r="O338" s="304" t="n"/>
      <c r="P338" s="304" t="n"/>
      <c r="Q338" s="304" t="n"/>
    </row>
    <row r="339" ht="13.8" customHeight="1" s="343">
      <c r="A339" s="388">
        <f>ROW()-22</f>
        <v/>
      </c>
      <c r="B339" s="536">
        <f>_xlfn.NORM.INV(RAND(),$B$6,$C$6)</f>
        <v/>
      </c>
      <c r="C339" s="536">
        <f>MIN(_xlfn.NORM.INV(RAND(),$B$7,$C$7),B339-0.005)</f>
        <v/>
      </c>
      <c r="D339" s="537">
        <f>_xlfn.NORM.INV(RAND(),$B$8,$C$8)</f>
        <v/>
      </c>
      <c r="E339" s="391">
        <f t="array" ref="E339">(SUMPRODUCT($B$13:$F$13*D339/(1+B339)^$B$14:$F$14)+($F$13*D339*(1+C339))/(B339-C339)/(1+B339)^$F$14-$B$15+$B$16)/$B$17</f>
        <v/>
      </c>
      <c r="F339" s="304" t="n"/>
      <c r="G339" s="304" t="n"/>
      <c r="H339" s="304" t="n"/>
      <c r="I339" s="304" t="n"/>
      <c r="J339" s="304" t="n"/>
      <c r="K339" s="304" t="n"/>
      <c r="L339" s="304" t="n"/>
      <c r="M339" s="304" t="n"/>
      <c r="N339" s="304" t="n"/>
      <c r="O339" s="304" t="n"/>
      <c r="P339" s="304" t="n"/>
      <c r="Q339" s="304" t="n"/>
    </row>
    <row r="340" ht="13.8" customHeight="1" s="343">
      <c r="A340" s="388">
        <f>ROW()-22</f>
        <v/>
      </c>
      <c r="B340" s="536">
        <f>_xlfn.NORM.INV(RAND(),$B$6,$C$6)</f>
        <v/>
      </c>
      <c r="C340" s="536">
        <f>MIN(_xlfn.NORM.INV(RAND(),$B$7,$C$7),B340-0.005)</f>
        <v/>
      </c>
      <c r="D340" s="537">
        <f>_xlfn.NORM.INV(RAND(),$B$8,$C$8)</f>
        <v/>
      </c>
      <c r="E340" s="391">
        <f t="array" ref="E340">(SUMPRODUCT($B$13:$F$13*D340/(1+B340)^$B$14:$F$14)+($F$13*D340*(1+C340))/(B340-C340)/(1+B340)^$F$14-$B$15+$B$16)/$B$17</f>
        <v/>
      </c>
      <c r="F340" s="304" t="n"/>
      <c r="G340" s="304" t="n"/>
      <c r="H340" s="304" t="n"/>
      <c r="I340" s="304" t="n"/>
      <c r="J340" s="304" t="n"/>
      <c r="K340" s="304" t="n"/>
      <c r="L340" s="304" t="n"/>
      <c r="M340" s="304" t="n"/>
      <c r="N340" s="304" t="n"/>
      <c r="O340" s="304" t="n"/>
      <c r="P340" s="304" t="n"/>
      <c r="Q340" s="304" t="n"/>
    </row>
    <row r="341" ht="13.8" customHeight="1" s="343">
      <c r="A341" s="388">
        <f>ROW()-22</f>
        <v/>
      </c>
      <c r="B341" s="536">
        <f>_xlfn.NORM.INV(RAND(),$B$6,$C$6)</f>
        <v/>
      </c>
      <c r="C341" s="536">
        <f>MIN(_xlfn.NORM.INV(RAND(),$B$7,$C$7),B341-0.005)</f>
        <v/>
      </c>
      <c r="D341" s="537">
        <f>_xlfn.NORM.INV(RAND(),$B$8,$C$8)</f>
        <v/>
      </c>
      <c r="E341" s="391">
        <f t="array" ref="E341">(SUMPRODUCT($B$13:$F$13*D341/(1+B341)^$B$14:$F$14)+($F$13*D341*(1+C341))/(B341-C341)/(1+B341)^$F$14-$B$15+$B$16)/$B$17</f>
        <v/>
      </c>
      <c r="F341" s="304" t="n"/>
      <c r="G341" s="304" t="n"/>
      <c r="H341" s="304" t="n"/>
      <c r="I341" s="304" t="n"/>
      <c r="J341" s="304" t="n"/>
      <c r="K341" s="304" t="n"/>
      <c r="L341" s="304" t="n"/>
      <c r="M341" s="304" t="n"/>
      <c r="N341" s="304" t="n"/>
      <c r="O341" s="304" t="n"/>
      <c r="P341" s="304" t="n"/>
      <c r="Q341" s="304" t="n"/>
    </row>
    <row r="342" ht="13.8" customHeight="1" s="343">
      <c r="A342" s="388">
        <f>ROW()-22</f>
        <v/>
      </c>
      <c r="B342" s="536">
        <f>_xlfn.NORM.INV(RAND(),$B$6,$C$6)</f>
        <v/>
      </c>
      <c r="C342" s="536">
        <f>MIN(_xlfn.NORM.INV(RAND(),$B$7,$C$7),B342-0.005)</f>
        <v/>
      </c>
      <c r="D342" s="537">
        <f>_xlfn.NORM.INV(RAND(),$B$8,$C$8)</f>
        <v/>
      </c>
      <c r="E342" s="391">
        <f t="array" ref="E342">(SUMPRODUCT($B$13:$F$13*D342/(1+B342)^$B$14:$F$14)+($F$13*D342*(1+C342))/(B342-C342)/(1+B342)^$F$14-$B$15+$B$16)/$B$17</f>
        <v/>
      </c>
      <c r="F342" s="304" t="n"/>
      <c r="G342" s="304" t="n"/>
      <c r="H342" s="304" t="n"/>
      <c r="I342" s="304" t="n"/>
      <c r="J342" s="304" t="n"/>
      <c r="K342" s="304" t="n"/>
      <c r="L342" s="304" t="n"/>
      <c r="M342" s="304" t="n"/>
      <c r="N342" s="304" t="n"/>
      <c r="O342" s="304" t="n"/>
      <c r="P342" s="304" t="n"/>
      <c r="Q342" s="304" t="n"/>
    </row>
    <row r="343" ht="13.8" customHeight="1" s="343">
      <c r="A343" s="388">
        <f>ROW()-22</f>
        <v/>
      </c>
      <c r="B343" s="536">
        <f>_xlfn.NORM.INV(RAND(),$B$6,$C$6)</f>
        <v/>
      </c>
      <c r="C343" s="536">
        <f>MIN(_xlfn.NORM.INV(RAND(),$B$7,$C$7),B343-0.005)</f>
        <v/>
      </c>
      <c r="D343" s="537">
        <f>_xlfn.NORM.INV(RAND(),$B$8,$C$8)</f>
        <v/>
      </c>
      <c r="E343" s="391">
        <f t="array" ref="E343">(SUMPRODUCT($B$13:$F$13*D343/(1+B343)^$B$14:$F$14)+($F$13*D343*(1+C343))/(B343-C343)/(1+B343)^$F$14-$B$15+$B$16)/$B$17</f>
        <v/>
      </c>
      <c r="F343" s="304" t="n"/>
      <c r="G343" s="304" t="n"/>
      <c r="H343" s="304" t="n"/>
      <c r="I343" s="304" t="n"/>
      <c r="J343" s="304" t="n"/>
      <c r="K343" s="304" t="n"/>
      <c r="L343" s="304" t="n"/>
      <c r="M343" s="304" t="n"/>
      <c r="N343" s="304" t="n"/>
      <c r="O343" s="304" t="n"/>
      <c r="P343" s="304" t="n"/>
      <c r="Q343" s="304" t="n"/>
    </row>
    <row r="344" ht="13.8" customHeight="1" s="343">
      <c r="A344" s="388">
        <f>ROW()-22</f>
        <v/>
      </c>
      <c r="B344" s="536">
        <f>_xlfn.NORM.INV(RAND(),$B$6,$C$6)</f>
        <v/>
      </c>
      <c r="C344" s="536">
        <f>MIN(_xlfn.NORM.INV(RAND(),$B$7,$C$7),B344-0.005)</f>
        <v/>
      </c>
      <c r="D344" s="537">
        <f>_xlfn.NORM.INV(RAND(),$B$8,$C$8)</f>
        <v/>
      </c>
      <c r="E344" s="391">
        <f t="array" ref="E344">(SUMPRODUCT($B$13:$F$13*D344/(1+B344)^$B$14:$F$14)+($F$13*D344*(1+C344))/(B344-C344)/(1+B344)^$F$14-$B$15+$B$16)/$B$17</f>
        <v/>
      </c>
      <c r="F344" s="304" t="n"/>
      <c r="G344" s="304" t="n"/>
      <c r="H344" s="304" t="n"/>
      <c r="I344" s="304" t="n"/>
      <c r="J344" s="304" t="n"/>
      <c r="K344" s="304" t="n"/>
      <c r="L344" s="304" t="n"/>
      <c r="M344" s="304" t="n"/>
      <c r="N344" s="304" t="n"/>
      <c r="O344" s="304" t="n"/>
      <c r="P344" s="304" t="n"/>
      <c r="Q344" s="304" t="n"/>
    </row>
    <row r="345" ht="13.8" customHeight="1" s="343">
      <c r="A345" s="388">
        <f>ROW()-22</f>
        <v/>
      </c>
      <c r="B345" s="536">
        <f>_xlfn.NORM.INV(RAND(),$B$6,$C$6)</f>
        <v/>
      </c>
      <c r="C345" s="536">
        <f>MIN(_xlfn.NORM.INV(RAND(),$B$7,$C$7),B345-0.005)</f>
        <v/>
      </c>
      <c r="D345" s="537">
        <f>_xlfn.NORM.INV(RAND(),$B$8,$C$8)</f>
        <v/>
      </c>
      <c r="E345" s="391">
        <f t="array" ref="E345">(SUMPRODUCT($B$13:$F$13*D345/(1+B345)^$B$14:$F$14)+($F$13*D345*(1+C345))/(B345-C345)/(1+B345)^$F$14-$B$15+$B$16)/$B$17</f>
        <v/>
      </c>
      <c r="F345" s="304" t="n"/>
      <c r="G345" s="304" t="n"/>
      <c r="H345" s="304" t="n"/>
      <c r="I345" s="304" t="n"/>
      <c r="J345" s="304" t="n"/>
      <c r="K345" s="304" t="n"/>
      <c r="L345" s="304" t="n"/>
      <c r="M345" s="304" t="n"/>
      <c r="N345" s="304" t="n"/>
      <c r="O345" s="304" t="n"/>
      <c r="P345" s="304" t="n"/>
      <c r="Q345" s="304" t="n"/>
    </row>
    <row r="346" ht="13.8" customHeight="1" s="343">
      <c r="A346" s="388">
        <f>ROW()-22</f>
        <v/>
      </c>
      <c r="B346" s="536">
        <f>_xlfn.NORM.INV(RAND(),$B$6,$C$6)</f>
        <v/>
      </c>
      <c r="C346" s="536">
        <f>MIN(_xlfn.NORM.INV(RAND(),$B$7,$C$7),B346-0.005)</f>
        <v/>
      </c>
      <c r="D346" s="537">
        <f>_xlfn.NORM.INV(RAND(),$B$8,$C$8)</f>
        <v/>
      </c>
      <c r="E346" s="391">
        <f t="array" ref="E346">(SUMPRODUCT($B$13:$F$13*D346/(1+B346)^$B$14:$F$14)+($F$13*D346*(1+C346))/(B346-C346)/(1+B346)^$F$14-$B$15+$B$16)/$B$17</f>
        <v/>
      </c>
      <c r="F346" s="304" t="n"/>
      <c r="G346" s="304" t="n"/>
      <c r="H346" s="304" t="n"/>
      <c r="I346" s="304" t="n"/>
      <c r="J346" s="304" t="n"/>
      <c r="K346" s="304" t="n"/>
      <c r="L346" s="304" t="n"/>
      <c r="M346" s="304" t="n"/>
      <c r="N346" s="304" t="n"/>
      <c r="O346" s="304" t="n"/>
      <c r="P346" s="304" t="n"/>
      <c r="Q346" s="304" t="n"/>
    </row>
    <row r="347" ht="13.8" customHeight="1" s="343">
      <c r="A347" s="388">
        <f>ROW()-22</f>
        <v/>
      </c>
      <c r="B347" s="536">
        <f>_xlfn.NORM.INV(RAND(),$B$6,$C$6)</f>
        <v/>
      </c>
      <c r="C347" s="536">
        <f>MIN(_xlfn.NORM.INV(RAND(),$B$7,$C$7),B347-0.005)</f>
        <v/>
      </c>
      <c r="D347" s="537">
        <f>_xlfn.NORM.INV(RAND(),$B$8,$C$8)</f>
        <v/>
      </c>
      <c r="E347" s="391">
        <f t="array" ref="E347">(SUMPRODUCT($B$13:$F$13*D347/(1+B347)^$B$14:$F$14)+($F$13*D347*(1+C347))/(B347-C347)/(1+B347)^$F$14-$B$15+$B$16)/$B$17</f>
        <v/>
      </c>
      <c r="F347" s="304" t="n"/>
      <c r="G347" s="304" t="n"/>
      <c r="H347" s="304" t="n"/>
      <c r="I347" s="304" t="n"/>
      <c r="J347" s="304" t="n"/>
      <c r="K347" s="304" t="n"/>
      <c r="L347" s="304" t="n"/>
      <c r="M347" s="304" t="n"/>
      <c r="N347" s="304" t="n"/>
      <c r="O347" s="304" t="n"/>
      <c r="P347" s="304" t="n"/>
      <c r="Q347" s="304" t="n"/>
    </row>
    <row r="348" ht="13.8" customHeight="1" s="343">
      <c r="A348" s="388">
        <f>ROW()-22</f>
        <v/>
      </c>
      <c r="B348" s="536">
        <f>_xlfn.NORM.INV(RAND(),$B$6,$C$6)</f>
        <v/>
      </c>
      <c r="C348" s="536">
        <f>MIN(_xlfn.NORM.INV(RAND(),$B$7,$C$7),B348-0.005)</f>
        <v/>
      </c>
      <c r="D348" s="537">
        <f>_xlfn.NORM.INV(RAND(),$B$8,$C$8)</f>
        <v/>
      </c>
      <c r="E348" s="391">
        <f t="array" ref="E348">(SUMPRODUCT($B$13:$F$13*D348/(1+B348)^$B$14:$F$14)+($F$13*D348*(1+C348))/(B348-C348)/(1+B348)^$F$14-$B$15+$B$16)/$B$17</f>
        <v/>
      </c>
      <c r="F348" s="304" t="n"/>
      <c r="G348" s="304" t="n"/>
      <c r="H348" s="304" t="n"/>
      <c r="I348" s="304" t="n"/>
      <c r="J348" s="304" t="n"/>
      <c r="K348" s="304" t="n"/>
      <c r="L348" s="304" t="n"/>
      <c r="M348" s="304" t="n"/>
      <c r="N348" s="304" t="n"/>
      <c r="O348" s="304" t="n"/>
      <c r="P348" s="304" t="n"/>
      <c r="Q348" s="304" t="n"/>
    </row>
    <row r="349" ht="13.8" customHeight="1" s="343">
      <c r="A349" s="388">
        <f>ROW()-22</f>
        <v/>
      </c>
      <c r="B349" s="536">
        <f>_xlfn.NORM.INV(RAND(),$B$6,$C$6)</f>
        <v/>
      </c>
      <c r="C349" s="536">
        <f>MIN(_xlfn.NORM.INV(RAND(),$B$7,$C$7),B349-0.005)</f>
        <v/>
      </c>
      <c r="D349" s="537">
        <f>_xlfn.NORM.INV(RAND(),$B$8,$C$8)</f>
        <v/>
      </c>
      <c r="E349" s="391">
        <f t="array" ref="E349">(SUMPRODUCT($B$13:$F$13*D349/(1+B349)^$B$14:$F$14)+($F$13*D349*(1+C349))/(B349-C349)/(1+B349)^$F$14-$B$15+$B$16)/$B$17</f>
        <v/>
      </c>
      <c r="F349" s="304" t="n"/>
      <c r="G349" s="304" t="n"/>
      <c r="H349" s="304" t="n"/>
      <c r="I349" s="304" t="n"/>
      <c r="J349" s="304" t="n"/>
      <c r="K349" s="304" t="n"/>
      <c r="L349" s="304" t="n"/>
      <c r="M349" s="304" t="n"/>
      <c r="N349" s="304" t="n"/>
      <c r="O349" s="304" t="n"/>
      <c r="P349" s="304" t="n"/>
      <c r="Q349" s="304" t="n"/>
    </row>
    <row r="350" ht="13.8" customHeight="1" s="343">
      <c r="A350" s="388">
        <f>ROW()-22</f>
        <v/>
      </c>
      <c r="B350" s="536">
        <f>_xlfn.NORM.INV(RAND(),$B$6,$C$6)</f>
        <v/>
      </c>
      <c r="C350" s="536">
        <f>MIN(_xlfn.NORM.INV(RAND(),$B$7,$C$7),B350-0.005)</f>
        <v/>
      </c>
      <c r="D350" s="537">
        <f>_xlfn.NORM.INV(RAND(),$B$8,$C$8)</f>
        <v/>
      </c>
      <c r="E350" s="391">
        <f t="array" ref="E350">(SUMPRODUCT($B$13:$F$13*D350/(1+B350)^$B$14:$F$14)+($F$13*D350*(1+C350))/(B350-C350)/(1+B350)^$F$14-$B$15+$B$16)/$B$17</f>
        <v/>
      </c>
      <c r="F350" s="304" t="n"/>
      <c r="G350" s="304" t="n"/>
      <c r="H350" s="304" t="n"/>
      <c r="I350" s="304" t="n"/>
      <c r="J350" s="304" t="n"/>
      <c r="K350" s="304" t="n"/>
      <c r="L350" s="304" t="n"/>
      <c r="M350" s="304" t="n"/>
      <c r="N350" s="304" t="n"/>
      <c r="O350" s="304" t="n"/>
      <c r="P350" s="304" t="n"/>
      <c r="Q350" s="304" t="n"/>
    </row>
    <row r="351" ht="13.8" customHeight="1" s="343">
      <c r="A351" s="388">
        <f>ROW()-22</f>
        <v/>
      </c>
      <c r="B351" s="536">
        <f>_xlfn.NORM.INV(RAND(),$B$6,$C$6)</f>
        <v/>
      </c>
      <c r="C351" s="536">
        <f>MIN(_xlfn.NORM.INV(RAND(),$B$7,$C$7),B351-0.005)</f>
        <v/>
      </c>
      <c r="D351" s="537">
        <f>_xlfn.NORM.INV(RAND(),$B$8,$C$8)</f>
        <v/>
      </c>
      <c r="E351" s="391">
        <f t="array" ref="E351">(SUMPRODUCT($B$13:$F$13*D351/(1+B351)^$B$14:$F$14)+($F$13*D351*(1+C351))/(B351-C351)/(1+B351)^$F$14-$B$15+$B$16)/$B$17</f>
        <v/>
      </c>
      <c r="F351" s="304" t="n"/>
      <c r="G351" s="304" t="n"/>
      <c r="H351" s="304" t="n"/>
      <c r="I351" s="304" t="n"/>
      <c r="J351" s="304" t="n"/>
      <c r="K351" s="304" t="n"/>
      <c r="L351" s="304" t="n"/>
      <c r="M351" s="304" t="n"/>
      <c r="N351" s="304" t="n"/>
      <c r="O351" s="304" t="n"/>
      <c r="P351" s="304" t="n"/>
      <c r="Q351" s="304" t="n"/>
    </row>
    <row r="352" ht="13.8" customHeight="1" s="343">
      <c r="A352" s="388">
        <f>ROW()-22</f>
        <v/>
      </c>
      <c r="B352" s="536">
        <f>_xlfn.NORM.INV(RAND(),$B$6,$C$6)</f>
        <v/>
      </c>
      <c r="C352" s="536">
        <f>MIN(_xlfn.NORM.INV(RAND(),$B$7,$C$7),B352-0.005)</f>
        <v/>
      </c>
      <c r="D352" s="537">
        <f>_xlfn.NORM.INV(RAND(),$B$8,$C$8)</f>
        <v/>
      </c>
      <c r="E352" s="391">
        <f t="array" ref="E352">(SUMPRODUCT($B$13:$F$13*D352/(1+B352)^$B$14:$F$14)+($F$13*D352*(1+C352))/(B352-C352)/(1+B352)^$F$14-$B$15+$B$16)/$B$17</f>
        <v/>
      </c>
      <c r="F352" s="304" t="n"/>
      <c r="G352" s="304" t="n"/>
      <c r="H352" s="304" t="n"/>
      <c r="I352" s="304" t="n"/>
      <c r="J352" s="304" t="n"/>
      <c r="K352" s="304" t="n"/>
      <c r="L352" s="304" t="n"/>
      <c r="M352" s="304" t="n"/>
      <c r="N352" s="304" t="n"/>
      <c r="O352" s="304" t="n"/>
      <c r="P352" s="304" t="n"/>
      <c r="Q352" s="304" t="n"/>
    </row>
    <row r="353" ht="13.8" customHeight="1" s="343">
      <c r="A353" s="388">
        <f>ROW()-22</f>
        <v/>
      </c>
      <c r="B353" s="536">
        <f>_xlfn.NORM.INV(RAND(),$B$6,$C$6)</f>
        <v/>
      </c>
      <c r="C353" s="536">
        <f>MIN(_xlfn.NORM.INV(RAND(),$B$7,$C$7),B353-0.005)</f>
        <v/>
      </c>
      <c r="D353" s="537">
        <f>_xlfn.NORM.INV(RAND(),$B$8,$C$8)</f>
        <v/>
      </c>
      <c r="E353" s="391">
        <f t="array" ref="E353">(SUMPRODUCT($B$13:$F$13*D353/(1+B353)^$B$14:$F$14)+($F$13*D353*(1+C353))/(B353-C353)/(1+B353)^$F$14-$B$15+$B$16)/$B$17</f>
        <v/>
      </c>
      <c r="F353" s="304" t="n"/>
      <c r="G353" s="304" t="n"/>
      <c r="H353" s="304" t="n"/>
      <c r="I353" s="304" t="n"/>
      <c r="J353" s="304" t="n"/>
      <c r="K353" s="304" t="n"/>
      <c r="L353" s="304" t="n"/>
      <c r="M353" s="304" t="n"/>
      <c r="N353" s="304" t="n"/>
      <c r="O353" s="304" t="n"/>
      <c r="P353" s="304" t="n"/>
      <c r="Q353" s="304" t="n"/>
    </row>
    <row r="354" ht="13.8" customHeight="1" s="343">
      <c r="A354" s="388">
        <f>ROW()-22</f>
        <v/>
      </c>
      <c r="B354" s="536">
        <f>_xlfn.NORM.INV(RAND(),$B$6,$C$6)</f>
        <v/>
      </c>
      <c r="C354" s="536">
        <f>MIN(_xlfn.NORM.INV(RAND(),$B$7,$C$7),B354-0.005)</f>
        <v/>
      </c>
      <c r="D354" s="537">
        <f>_xlfn.NORM.INV(RAND(),$B$8,$C$8)</f>
        <v/>
      </c>
      <c r="E354" s="391">
        <f t="array" ref="E354">(SUMPRODUCT($B$13:$F$13*D354/(1+B354)^$B$14:$F$14)+($F$13*D354*(1+C354))/(B354-C354)/(1+B354)^$F$14-$B$15+$B$16)/$B$17</f>
        <v/>
      </c>
      <c r="F354" s="304" t="n"/>
      <c r="G354" s="304" t="n"/>
      <c r="H354" s="304" t="n"/>
      <c r="I354" s="304" t="n"/>
      <c r="J354" s="304" t="n"/>
      <c r="K354" s="304" t="n"/>
      <c r="L354" s="304" t="n"/>
      <c r="M354" s="304" t="n"/>
      <c r="N354" s="304" t="n"/>
      <c r="O354" s="304" t="n"/>
      <c r="P354" s="304" t="n"/>
      <c r="Q354" s="304" t="n"/>
    </row>
    <row r="355" ht="13.8" customHeight="1" s="343">
      <c r="A355" s="388">
        <f>ROW()-22</f>
        <v/>
      </c>
      <c r="B355" s="536">
        <f>_xlfn.NORM.INV(RAND(),$B$6,$C$6)</f>
        <v/>
      </c>
      <c r="C355" s="536">
        <f>MIN(_xlfn.NORM.INV(RAND(),$B$7,$C$7),B355-0.005)</f>
        <v/>
      </c>
      <c r="D355" s="537">
        <f>_xlfn.NORM.INV(RAND(),$B$8,$C$8)</f>
        <v/>
      </c>
      <c r="E355" s="391">
        <f t="array" ref="E355">(SUMPRODUCT($B$13:$F$13*D355/(1+B355)^$B$14:$F$14)+($F$13*D355*(1+C355))/(B355-C355)/(1+B355)^$F$14-$B$15+$B$16)/$B$17</f>
        <v/>
      </c>
      <c r="F355" s="304" t="n"/>
      <c r="G355" s="304" t="n"/>
      <c r="H355" s="304" t="n"/>
      <c r="I355" s="304" t="n"/>
      <c r="J355" s="304" t="n"/>
      <c r="K355" s="304" t="n"/>
      <c r="L355" s="304" t="n"/>
      <c r="M355" s="304" t="n"/>
      <c r="N355" s="304" t="n"/>
      <c r="O355" s="304" t="n"/>
      <c r="P355" s="304" t="n"/>
      <c r="Q355" s="304" t="n"/>
    </row>
    <row r="356" ht="13.8" customHeight="1" s="343">
      <c r="A356" s="388">
        <f>ROW()-22</f>
        <v/>
      </c>
      <c r="B356" s="536">
        <f>_xlfn.NORM.INV(RAND(),$B$6,$C$6)</f>
        <v/>
      </c>
      <c r="C356" s="536">
        <f>MIN(_xlfn.NORM.INV(RAND(),$B$7,$C$7),B356-0.005)</f>
        <v/>
      </c>
      <c r="D356" s="537">
        <f>_xlfn.NORM.INV(RAND(),$B$8,$C$8)</f>
        <v/>
      </c>
      <c r="E356" s="391">
        <f t="array" ref="E356">(SUMPRODUCT($B$13:$F$13*D356/(1+B356)^$B$14:$F$14)+($F$13*D356*(1+C356))/(B356-C356)/(1+B356)^$F$14-$B$15+$B$16)/$B$17</f>
        <v/>
      </c>
      <c r="F356" s="304" t="n"/>
      <c r="G356" s="304" t="n"/>
      <c r="H356" s="304" t="n"/>
      <c r="I356" s="304" t="n"/>
      <c r="J356" s="304" t="n"/>
      <c r="K356" s="304" t="n"/>
      <c r="L356" s="304" t="n"/>
      <c r="M356" s="304" t="n"/>
      <c r="N356" s="304" t="n"/>
      <c r="O356" s="304" t="n"/>
      <c r="P356" s="304" t="n"/>
      <c r="Q356" s="304" t="n"/>
    </row>
    <row r="357" ht="13.8" customHeight="1" s="343">
      <c r="A357" s="388">
        <f>ROW()-22</f>
        <v/>
      </c>
      <c r="B357" s="536">
        <f>_xlfn.NORM.INV(RAND(),$B$6,$C$6)</f>
        <v/>
      </c>
      <c r="C357" s="536">
        <f>MIN(_xlfn.NORM.INV(RAND(),$B$7,$C$7),B357-0.005)</f>
        <v/>
      </c>
      <c r="D357" s="537">
        <f>_xlfn.NORM.INV(RAND(),$B$8,$C$8)</f>
        <v/>
      </c>
      <c r="E357" s="391">
        <f t="array" ref="E357">(SUMPRODUCT($B$13:$F$13*D357/(1+B357)^$B$14:$F$14)+($F$13*D357*(1+C357))/(B357-C357)/(1+B357)^$F$14-$B$15+$B$16)/$B$17</f>
        <v/>
      </c>
      <c r="F357" s="304" t="n"/>
      <c r="G357" s="304" t="n"/>
      <c r="H357" s="304" t="n"/>
      <c r="I357" s="304" t="n"/>
      <c r="J357" s="304" t="n"/>
      <c r="K357" s="304" t="n"/>
      <c r="L357" s="304" t="n"/>
      <c r="M357" s="304" t="n"/>
      <c r="N357" s="304" t="n"/>
      <c r="O357" s="304" t="n"/>
      <c r="P357" s="304" t="n"/>
      <c r="Q357" s="304" t="n"/>
    </row>
    <row r="358" ht="13.8" customHeight="1" s="343">
      <c r="A358" s="388">
        <f>ROW()-22</f>
        <v/>
      </c>
      <c r="B358" s="536">
        <f>_xlfn.NORM.INV(RAND(),$B$6,$C$6)</f>
        <v/>
      </c>
      <c r="C358" s="536">
        <f>MIN(_xlfn.NORM.INV(RAND(),$B$7,$C$7),B358-0.005)</f>
        <v/>
      </c>
      <c r="D358" s="537">
        <f>_xlfn.NORM.INV(RAND(),$B$8,$C$8)</f>
        <v/>
      </c>
      <c r="E358" s="391">
        <f t="array" ref="E358">(SUMPRODUCT($B$13:$F$13*D358/(1+B358)^$B$14:$F$14)+($F$13*D358*(1+C358))/(B358-C358)/(1+B358)^$F$14-$B$15+$B$16)/$B$17</f>
        <v/>
      </c>
      <c r="F358" s="304" t="n"/>
      <c r="G358" s="304" t="n"/>
      <c r="H358" s="304" t="n"/>
      <c r="I358" s="304" t="n"/>
      <c r="J358" s="304" t="n"/>
      <c r="K358" s="304" t="n"/>
      <c r="L358" s="304" t="n"/>
      <c r="M358" s="304" t="n"/>
      <c r="N358" s="304" t="n"/>
      <c r="O358" s="304" t="n"/>
      <c r="P358" s="304" t="n"/>
      <c r="Q358" s="304" t="n"/>
    </row>
    <row r="359" ht="13.8" customHeight="1" s="343">
      <c r="A359" s="388">
        <f>ROW()-22</f>
        <v/>
      </c>
      <c r="B359" s="536">
        <f>_xlfn.NORM.INV(RAND(),$B$6,$C$6)</f>
        <v/>
      </c>
      <c r="C359" s="536">
        <f>MIN(_xlfn.NORM.INV(RAND(),$B$7,$C$7),B359-0.005)</f>
        <v/>
      </c>
      <c r="D359" s="537">
        <f>_xlfn.NORM.INV(RAND(),$B$8,$C$8)</f>
        <v/>
      </c>
      <c r="E359" s="391">
        <f t="array" ref="E359">(SUMPRODUCT($B$13:$F$13*D359/(1+B359)^$B$14:$F$14)+($F$13*D359*(1+C359))/(B359-C359)/(1+B359)^$F$14-$B$15+$B$16)/$B$17</f>
        <v/>
      </c>
      <c r="F359" s="304" t="n"/>
      <c r="G359" s="304" t="n"/>
      <c r="H359" s="304" t="n"/>
      <c r="I359" s="304" t="n"/>
      <c r="J359" s="304" t="n"/>
      <c r="K359" s="304" t="n"/>
      <c r="L359" s="304" t="n"/>
      <c r="M359" s="304" t="n"/>
      <c r="N359" s="304" t="n"/>
      <c r="O359" s="304" t="n"/>
      <c r="P359" s="304" t="n"/>
      <c r="Q359" s="304" t="n"/>
    </row>
    <row r="360" ht="13.8" customHeight="1" s="343">
      <c r="A360" s="388">
        <f>ROW()-22</f>
        <v/>
      </c>
      <c r="B360" s="536">
        <f>_xlfn.NORM.INV(RAND(),$B$6,$C$6)</f>
        <v/>
      </c>
      <c r="C360" s="536">
        <f>MIN(_xlfn.NORM.INV(RAND(),$B$7,$C$7),B360-0.005)</f>
        <v/>
      </c>
      <c r="D360" s="537">
        <f>_xlfn.NORM.INV(RAND(),$B$8,$C$8)</f>
        <v/>
      </c>
      <c r="E360" s="391">
        <f t="array" ref="E360">(SUMPRODUCT($B$13:$F$13*D360/(1+B360)^$B$14:$F$14)+($F$13*D360*(1+C360))/(B360-C360)/(1+B360)^$F$14-$B$15+$B$16)/$B$17</f>
        <v/>
      </c>
      <c r="F360" s="304" t="n"/>
      <c r="G360" s="304" t="n"/>
      <c r="H360" s="304" t="n"/>
      <c r="I360" s="304" t="n"/>
      <c r="J360" s="304" t="n"/>
      <c r="K360" s="304" t="n"/>
      <c r="L360" s="304" t="n"/>
      <c r="M360" s="304" t="n"/>
      <c r="N360" s="304" t="n"/>
      <c r="O360" s="304" t="n"/>
      <c r="P360" s="304" t="n"/>
      <c r="Q360" s="304" t="n"/>
    </row>
    <row r="361" ht="13.8" customHeight="1" s="343">
      <c r="A361" s="388">
        <f>ROW()-22</f>
        <v/>
      </c>
      <c r="B361" s="536">
        <f>_xlfn.NORM.INV(RAND(),$B$6,$C$6)</f>
        <v/>
      </c>
      <c r="C361" s="536">
        <f>MIN(_xlfn.NORM.INV(RAND(),$B$7,$C$7),B361-0.005)</f>
        <v/>
      </c>
      <c r="D361" s="537">
        <f>_xlfn.NORM.INV(RAND(),$B$8,$C$8)</f>
        <v/>
      </c>
      <c r="E361" s="391">
        <f t="array" ref="E361">(SUMPRODUCT($B$13:$F$13*D361/(1+B361)^$B$14:$F$14)+($F$13*D361*(1+C361))/(B361-C361)/(1+B361)^$F$14-$B$15+$B$16)/$B$17</f>
        <v/>
      </c>
      <c r="F361" s="304" t="n"/>
      <c r="G361" s="304" t="n"/>
      <c r="H361" s="304" t="n"/>
      <c r="I361" s="304" t="n"/>
      <c r="J361" s="304" t="n"/>
      <c r="K361" s="304" t="n"/>
      <c r="L361" s="304" t="n"/>
      <c r="M361" s="304" t="n"/>
      <c r="N361" s="304" t="n"/>
      <c r="O361" s="304" t="n"/>
      <c r="P361" s="304" t="n"/>
      <c r="Q361" s="304" t="n"/>
    </row>
    <row r="362" ht="13.8" customHeight="1" s="343">
      <c r="A362" s="388">
        <f>ROW()-22</f>
        <v/>
      </c>
      <c r="B362" s="536">
        <f>_xlfn.NORM.INV(RAND(),$B$6,$C$6)</f>
        <v/>
      </c>
      <c r="C362" s="536">
        <f>MIN(_xlfn.NORM.INV(RAND(),$B$7,$C$7),B362-0.005)</f>
        <v/>
      </c>
      <c r="D362" s="537">
        <f>_xlfn.NORM.INV(RAND(),$B$8,$C$8)</f>
        <v/>
      </c>
      <c r="E362" s="391">
        <f t="array" ref="E362">(SUMPRODUCT($B$13:$F$13*D362/(1+B362)^$B$14:$F$14)+($F$13*D362*(1+C362))/(B362-C362)/(1+B362)^$F$14-$B$15+$B$16)/$B$17</f>
        <v/>
      </c>
      <c r="F362" s="304" t="n"/>
      <c r="G362" s="304" t="n"/>
      <c r="H362" s="304" t="n"/>
      <c r="I362" s="304" t="n"/>
      <c r="J362" s="304" t="n"/>
      <c r="K362" s="304" t="n"/>
      <c r="L362" s="304" t="n"/>
      <c r="M362" s="304" t="n"/>
      <c r="N362" s="304" t="n"/>
      <c r="O362" s="304" t="n"/>
      <c r="P362" s="304" t="n"/>
      <c r="Q362" s="304" t="n"/>
    </row>
    <row r="363" ht="13.8" customHeight="1" s="343">
      <c r="A363" s="388">
        <f>ROW()-22</f>
        <v/>
      </c>
      <c r="B363" s="536">
        <f>_xlfn.NORM.INV(RAND(),$B$6,$C$6)</f>
        <v/>
      </c>
      <c r="C363" s="536">
        <f>MIN(_xlfn.NORM.INV(RAND(),$B$7,$C$7),B363-0.005)</f>
        <v/>
      </c>
      <c r="D363" s="537">
        <f>_xlfn.NORM.INV(RAND(),$B$8,$C$8)</f>
        <v/>
      </c>
      <c r="E363" s="391">
        <f t="array" ref="E363">(SUMPRODUCT($B$13:$F$13*D363/(1+B363)^$B$14:$F$14)+($F$13*D363*(1+C363))/(B363-C363)/(1+B363)^$F$14-$B$15+$B$16)/$B$17</f>
        <v/>
      </c>
      <c r="F363" s="304" t="n"/>
      <c r="G363" s="304" t="n"/>
      <c r="H363" s="304" t="n"/>
      <c r="I363" s="304" t="n"/>
      <c r="J363" s="304" t="n"/>
      <c r="K363" s="304" t="n"/>
      <c r="L363" s="304" t="n"/>
      <c r="M363" s="304" t="n"/>
      <c r="N363" s="304" t="n"/>
      <c r="O363" s="304" t="n"/>
      <c r="P363" s="304" t="n"/>
      <c r="Q363" s="304" t="n"/>
    </row>
    <row r="364" ht="13.8" customHeight="1" s="343">
      <c r="A364" s="388">
        <f>ROW()-22</f>
        <v/>
      </c>
      <c r="B364" s="536">
        <f>_xlfn.NORM.INV(RAND(),$B$6,$C$6)</f>
        <v/>
      </c>
      <c r="C364" s="536">
        <f>MIN(_xlfn.NORM.INV(RAND(),$B$7,$C$7),B364-0.005)</f>
        <v/>
      </c>
      <c r="D364" s="537">
        <f>_xlfn.NORM.INV(RAND(),$B$8,$C$8)</f>
        <v/>
      </c>
      <c r="E364" s="391">
        <f t="array" ref="E364">(SUMPRODUCT($B$13:$F$13*D364/(1+B364)^$B$14:$F$14)+($F$13*D364*(1+C364))/(B364-C364)/(1+B364)^$F$14-$B$15+$B$16)/$B$17</f>
        <v/>
      </c>
      <c r="F364" s="304" t="n"/>
      <c r="G364" s="304" t="n"/>
      <c r="H364" s="304" t="n"/>
      <c r="I364" s="304" t="n"/>
      <c r="J364" s="304" t="n"/>
      <c r="K364" s="304" t="n"/>
      <c r="L364" s="304" t="n"/>
      <c r="M364" s="304" t="n"/>
      <c r="N364" s="304" t="n"/>
      <c r="O364" s="304" t="n"/>
      <c r="P364" s="304" t="n"/>
      <c r="Q364" s="304" t="n"/>
    </row>
    <row r="365" ht="13.8" customHeight="1" s="343">
      <c r="A365" s="388">
        <f>ROW()-22</f>
        <v/>
      </c>
      <c r="B365" s="536">
        <f>_xlfn.NORM.INV(RAND(),$B$6,$C$6)</f>
        <v/>
      </c>
      <c r="C365" s="536">
        <f>MIN(_xlfn.NORM.INV(RAND(),$B$7,$C$7),B365-0.005)</f>
        <v/>
      </c>
      <c r="D365" s="537">
        <f>_xlfn.NORM.INV(RAND(),$B$8,$C$8)</f>
        <v/>
      </c>
      <c r="E365" s="391">
        <f t="array" ref="E365">(SUMPRODUCT($B$13:$F$13*D365/(1+B365)^$B$14:$F$14)+($F$13*D365*(1+C365))/(B365-C365)/(1+B365)^$F$14-$B$15+$B$16)/$B$17</f>
        <v/>
      </c>
      <c r="F365" s="304" t="n"/>
      <c r="G365" s="304" t="n"/>
      <c r="H365" s="304" t="n"/>
      <c r="I365" s="304" t="n"/>
      <c r="J365" s="304" t="n"/>
      <c r="K365" s="304" t="n"/>
      <c r="L365" s="304" t="n"/>
      <c r="M365" s="304" t="n"/>
      <c r="N365" s="304" t="n"/>
      <c r="O365" s="304" t="n"/>
      <c r="P365" s="304" t="n"/>
      <c r="Q365" s="304" t="n"/>
    </row>
    <row r="366" ht="13.8" customHeight="1" s="343">
      <c r="A366" s="388">
        <f>ROW()-22</f>
        <v/>
      </c>
      <c r="B366" s="536">
        <f>_xlfn.NORM.INV(RAND(),$B$6,$C$6)</f>
        <v/>
      </c>
      <c r="C366" s="536">
        <f>MIN(_xlfn.NORM.INV(RAND(),$B$7,$C$7),B366-0.005)</f>
        <v/>
      </c>
      <c r="D366" s="537">
        <f>_xlfn.NORM.INV(RAND(),$B$8,$C$8)</f>
        <v/>
      </c>
      <c r="E366" s="391">
        <f t="array" ref="E366">(SUMPRODUCT($B$13:$F$13*D366/(1+B366)^$B$14:$F$14)+($F$13*D366*(1+C366))/(B366-C366)/(1+B366)^$F$14-$B$15+$B$16)/$B$17</f>
        <v/>
      </c>
      <c r="F366" s="304" t="n"/>
      <c r="G366" s="304" t="n"/>
      <c r="H366" s="304" t="n"/>
      <c r="I366" s="304" t="n"/>
      <c r="J366" s="304" t="n"/>
      <c r="K366" s="304" t="n"/>
      <c r="L366" s="304" t="n"/>
      <c r="M366" s="304" t="n"/>
      <c r="N366" s="304" t="n"/>
      <c r="O366" s="304" t="n"/>
      <c r="P366" s="304" t="n"/>
      <c r="Q366" s="304" t="n"/>
    </row>
    <row r="367" ht="13.8" customHeight="1" s="343">
      <c r="A367" s="388">
        <f>ROW()-22</f>
        <v/>
      </c>
      <c r="B367" s="536">
        <f>_xlfn.NORM.INV(RAND(),$B$6,$C$6)</f>
        <v/>
      </c>
      <c r="C367" s="536">
        <f>MIN(_xlfn.NORM.INV(RAND(),$B$7,$C$7),B367-0.005)</f>
        <v/>
      </c>
      <c r="D367" s="537">
        <f>_xlfn.NORM.INV(RAND(),$B$8,$C$8)</f>
        <v/>
      </c>
      <c r="E367" s="391">
        <f t="array" ref="E367">(SUMPRODUCT($B$13:$F$13*D367/(1+B367)^$B$14:$F$14)+($F$13*D367*(1+C367))/(B367-C367)/(1+B367)^$F$14-$B$15+$B$16)/$B$17</f>
        <v/>
      </c>
      <c r="F367" s="304" t="n"/>
      <c r="G367" s="304" t="n"/>
      <c r="H367" s="304" t="n"/>
      <c r="I367" s="304" t="n"/>
      <c r="J367" s="304" t="n"/>
      <c r="K367" s="304" t="n"/>
      <c r="L367" s="304" t="n"/>
      <c r="M367" s="304" t="n"/>
      <c r="N367" s="304" t="n"/>
      <c r="O367" s="304" t="n"/>
      <c r="P367" s="304" t="n"/>
      <c r="Q367" s="304" t="n"/>
    </row>
    <row r="368" ht="13.8" customHeight="1" s="343">
      <c r="A368" s="388">
        <f>ROW()-22</f>
        <v/>
      </c>
      <c r="B368" s="536">
        <f>_xlfn.NORM.INV(RAND(),$B$6,$C$6)</f>
        <v/>
      </c>
      <c r="C368" s="536">
        <f>MIN(_xlfn.NORM.INV(RAND(),$B$7,$C$7),B368-0.005)</f>
        <v/>
      </c>
      <c r="D368" s="537">
        <f>_xlfn.NORM.INV(RAND(),$B$8,$C$8)</f>
        <v/>
      </c>
      <c r="E368" s="391">
        <f t="array" ref="E368">(SUMPRODUCT($B$13:$F$13*D368/(1+B368)^$B$14:$F$14)+($F$13*D368*(1+C368))/(B368-C368)/(1+B368)^$F$14-$B$15+$B$16)/$B$17</f>
        <v/>
      </c>
      <c r="F368" s="304" t="n"/>
      <c r="G368" s="304" t="n"/>
      <c r="H368" s="304" t="n"/>
      <c r="I368" s="304" t="n"/>
      <c r="J368" s="304" t="n"/>
      <c r="K368" s="304" t="n"/>
      <c r="L368" s="304" t="n"/>
      <c r="M368" s="304" t="n"/>
      <c r="N368" s="304" t="n"/>
      <c r="O368" s="304" t="n"/>
      <c r="P368" s="304" t="n"/>
      <c r="Q368" s="304" t="n"/>
    </row>
    <row r="369" ht="13.8" customHeight="1" s="343">
      <c r="A369" s="388">
        <f>ROW()-22</f>
        <v/>
      </c>
      <c r="B369" s="536">
        <f>_xlfn.NORM.INV(RAND(),$B$6,$C$6)</f>
        <v/>
      </c>
      <c r="C369" s="536">
        <f>MIN(_xlfn.NORM.INV(RAND(),$B$7,$C$7),B369-0.005)</f>
        <v/>
      </c>
      <c r="D369" s="537">
        <f>_xlfn.NORM.INV(RAND(),$B$8,$C$8)</f>
        <v/>
      </c>
      <c r="E369" s="391">
        <f t="array" ref="E369">(SUMPRODUCT($B$13:$F$13*D369/(1+B369)^$B$14:$F$14)+($F$13*D369*(1+C369))/(B369-C369)/(1+B369)^$F$14-$B$15+$B$16)/$B$17</f>
        <v/>
      </c>
      <c r="F369" s="304" t="n"/>
      <c r="G369" s="304" t="n"/>
      <c r="H369" s="304" t="n"/>
      <c r="I369" s="304" t="n"/>
      <c r="J369" s="304" t="n"/>
      <c r="K369" s="304" t="n"/>
      <c r="L369" s="304" t="n"/>
      <c r="M369" s="304" t="n"/>
      <c r="N369" s="304" t="n"/>
      <c r="O369" s="304" t="n"/>
      <c r="P369" s="304" t="n"/>
      <c r="Q369" s="304" t="n"/>
    </row>
    <row r="370" ht="13.8" customHeight="1" s="343">
      <c r="A370" s="388">
        <f>ROW()-22</f>
        <v/>
      </c>
      <c r="B370" s="536">
        <f>_xlfn.NORM.INV(RAND(),$B$6,$C$6)</f>
        <v/>
      </c>
      <c r="C370" s="536">
        <f>MIN(_xlfn.NORM.INV(RAND(),$B$7,$C$7),B370-0.005)</f>
        <v/>
      </c>
      <c r="D370" s="537">
        <f>_xlfn.NORM.INV(RAND(),$B$8,$C$8)</f>
        <v/>
      </c>
      <c r="E370" s="391">
        <f t="array" ref="E370">(SUMPRODUCT($B$13:$F$13*D370/(1+B370)^$B$14:$F$14)+($F$13*D370*(1+C370))/(B370-C370)/(1+B370)^$F$14-$B$15+$B$16)/$B$17</f>
        <v/>
      </c>
      <c r="F370" s="304" t="n"/>
      <c r="G370" s="304" t="n"/>
      <c r="H370" s="304" t="n"/>
      <c r="I370" s="304" t="n"/>
      <c r="J370" s="304" t="n"/>
      <c r="K370" s="304" t="n"/>
      <c r="L370" s="304" t="n"/>
      <c r="M370" s="304" t="n"/>
      <c r="N370" s="304" t="n"/>
      <c r="O370" s="304" t="n"/>
      <c r="P370" s="304" t="n"/>
      <c r="Q370" s="304" t="n"/>
    </row>
    <row r="371" ht="13.8" customHeight="1" s="343">
      <c r="A371" s="388">
        <f>ROW()-22</f>
        <v/>
      </c>
      <c r="B371" s="536">
        <f>_xlfn.NORM.INV(RAND(),$B$6,$C$6)</f>
        <v/>
      </c>
      <c r="C371" s="536">
        <f>MIN(_xlfn.NORM.INV(RAND(),$B$7,$C$7),B371-0.005)</f>
        <v/>
      </c>
      <c r="D371" s="537">
        <f>_xlfn.NORM.INV(RAND(),$B$8,$C$8)</f>
        <v/>
      </c>
      <c r="E371" s="391">
        <f t="array" ref="E371">(SUMPRODUCT($B$13:$F$13*D371/(1+B371)^$B$14:$F$14)+($F$13*D371*(1+C371))/(B371-C371)/(1+B371)^$F$14-$B$15+$B$16)/$B$17</f>
        <v/>
      </c>
      <c r="F371" s="304" t="n"/>
      <c r="G371" s="304" t="n"/>
      <c r="H371" s="304" t="n"/>
      <c r="I371" s="304" t="n"/>
      <c r="J371" s="304" t="n"/>
      <c r="K371" s="304" t="n"/>
      <c r="L371" s="304" t="n"/>
      <c r="M371" s="304" t="n"/>
      <c r="N371" s="304" t="n"/>
      <c r="O371" s="304" t="n"/>
      <c r="P371" s="304" t="n"/>
      <c r="Q371" s="304" t="n"/>
    </row>
    <row r="372" ht="13.8" customHeight="1" s="343">
      <c r="A372" s="388">
        <f>ROW()-22</f>
        <v/>
      </c>
      <c r="B372" s="536">
        <f>_xlfn.NORM.INV(RAND(),$B$6,$C$6)</f>
        <v/>
      </c>
      <c r="C372" s="536">
        <f>MIN(_xlfn.NORM.INV(RAND(),$B$7,$C$7),B372-0.005)</f>
        <v/>
      </c>
      <c r="D372" s="537">
        <f>_xlfn.NORM.INV(RAND(),$B$8,$C$8)</f>
        <v/>
      </c>
      <c r="E372" s="391">
        <f t="array" ref="E372">(SUMPRODUCT($B$13:$F$13*D372/(1+B372)^$B$14:$F$14)+($F$13*D372*(1+C372))/(B372-C372)/(1+B372)^$F$14-$B$15+$B$16)/$B$17</f>
        <v/>
      </c>
      <c r="F372" s="304" t="n"/>
      <c r="G372" s="304" t="n"/>
      <c r="H372" s="304" t="n"/>
      <c r="I372" s="304" t="n"/>
      <c r="J372" s="304" t="n"/>
      <c r="K372" s="304" t="n"/>
      <c r="L372" s="304" t="n"/>
      <c r="M372" s="304" t="n"/>
      <c r="N372" s="304" t="n"/>
      <c r="O372" s="304" t="n"/>
      <c r="P372" s="304" t="n"/>
      <c r="Q372" s="304" t="n"/>
    </row>
    <row r="373" ht="13.8" customHeight="1" s="343">
      <c r="A373" s="388">
        <f>ROW()-22</f>
        <v/>
      </c>
      <c r="B373" s="536">
        <f>_xlfn.NORM.INV(RAND(),$B$6,$C$6)</f>
        <v/>
      </c>
      <c r="C373" s="536">
        <f>MIN(_xlfn.NORM.INV(RAND(),$B$7,$C$7),B373-0.005)</f>
        <v/>
      </c>
      <c r="D373" s="537">
        <f>_xlfn.NORM.INV(RAND(),$B$8,$C$8)</f>
        <v/>
      </c>
      <c r="E373" s="391">
        <f t="array" ref="E373">(SUMPRODUCT($B$13:$F$13*D373/(1+B373)^$B$14:$F$14)+($F$13*D373*(1+C373))/(B373-C373)/(1+B373)^$F$14-$B$15+$B$16)/$B$17</f>
        <v/>
      </c>
      <c r="F373" s="304" t="n"/>
      <c r="G373" s="304" t="n"/>
      <c r="H373" s="304" t="n"/>
      <c r="I373" s="304" t="n"/>
      <c r="J373" s="304" t="n"/>
      <c r="K373" s="304" t="n"/>
      <c r="L373" s="304" t="n"/>
      <c r="M373" s="304" t="n"/>
      <c r="N373" s="304" t="n"/>
      <c r="O373" s="304" t="n"/>
      <c r="P373" s="304" t="n"/>
      <c r="Q373" s="304" t="n"/>
    </row>
    <row r="374" ht="13.8" customHeight="1" s="343">
      <c r="A374" s="388">
        <f>ROW()-22</f>
        <v/>
      </c>
      <c r="B374" s="536">
        <f>_xlfn.NORM.INV(RAND(),$B$6,$C$6)</f>
        <v/>
      </c>
      <c r="C374" s="536">
        <f>MIN(_xlfn.NORM.INV(RAND(),$B$7,$C$7),B374-0.005)</f>
        <v/>
      </c>
      <c r="D374" s="537">
        <f>_xlfn.NORM.INV(RAND(),$B$8,$C$8)</f>
        <v/>
      </c>
      <c r="E374" s="391">
        <f t="array" ref="E374">(SUMPRODUCT($B$13:$F$13*D374/(1+B374)^$B$14:$F$14)+($F$13*D374*(1+C374))/(B374-C374)/(1+B374)^$F$14-$B$15+$B$16)/$B$17</f>
        <v/>
      </c>
      <c r="F374" s="304" t="n"/>
      <c r="G374" s="304" t="n"/>
      <c r="H374" s="304" t="n"/>
      <c r="I374" s="304" t="n"/>
      <c r="J374" s="304" t="n"/>
      <c r="K374" s="304" t="n"/>
      <c r="L374" s="304" t="n"/>
      <c r="M374" s="304" t="n"/>
      <c r="N374" s="304" t="n"/>
      <c r="O374" s="304" t="n"/>
      <c r="P374" s="304" t="n"/>
      <c r="Q374" s="304" t="n"/>
    </row>
    <row r="375" ht="13.8" customHeight="1" s="343">
      <c r="A375" s="388">
        <f>ROW()-22</f>
        <v/>
      </c>
      <c r="B375" s="536">
        <f>_xlfn.NORM.INV(RAND(),$B$6,$C$6)</f>
        <v/>
      </c>
      <c r="C375" s="536">
        <f>MIN(_xlfn.NORM.INV(RAND(),$B$7,$C$7),B375-0.005)</f>
        <v/>
      </c>
      <c r="D375" s="537">
        <f>_xlfn.NORM.INV(RAND(),$B$8,$C$8)</f>
        <v/>
      </c>
      <c r="E375" s="391">
        <f t="array" ref="E375">(SUMPRODUCT($B$13:$F$13*D375/(1+B375)^$B$14:$F$14)+($F$13*D375*(1+C375))/(B375-C375)/(1+B375)^$F$14-$B$15+$B$16)/$B$17</f>
        <v/>
      </c>
      <c r="F375" s="304" t="n"/>
      <c r="G375" s="304" t="n"/>
      <c r="H375" s="304" t="n"/>
      <c r="I375" s="304" t="n"/>
      <c r="J375" s="304" t="n"/>
      <c r="K375" s="304" t="n"/>
      <c r="L375" s="304" t="n"/>
      <c r="M375" s="304" t="n"/>
      <c r="N375" s="304" t="n"/>
      <c r="O375" s="304" t="n"/>
      <c r="P375" s="304" t="n"/>
      <c r="Q375" s="304" t="n"/>
    </row>
    <row r="376" ht="13.8" customHeight="1" s="343">
      <c r="A376" s="388">
        <f>ROW()-22</f>
        <v/>
      </c>
      <c r="B376" s="536">
        <f>_xlfn.NORM.INV(RAND(),$B$6,$C$6)</f>
        <v/>
      </c>
      <c r="C376" s="536">
        <f>MIN(_xlfn.NORM.INV(RAND(),$B$7,$C$7),B376-0.005)</f>
        <v/>
      </c>
      <c r="D376" s="537">
        <f>_xlfn.NORM.INV(RAND(),$B$8,$C$8)</f>
        <v/>
      </c>
      <c r="E376" s="391">
        <f t="array" ref="E376">(SUMPRODUCT($B$13:$F$13*D376/(1+B376)^$B$14:$F$14)+($F$13*D376*(1+C376))/(B376-C376)/(1+B376)^$F$14-$B$15+$B$16)/$B$17</f>
        <v/>
      </c>
      <c r="F376" s="304" t="n"/>
      <c r="G376" s="304" t="n"/>
      <c r="H376" s="304" t="n"/>
      <c r="I376" s="304" t="n"/>
      <c r="J376" s="304" t="n"/>
      <c r="K376" s="304" t="n"/>
      <c r="L376" s="304" t="n"/>
      <c r="M376" s="304" t="n"/>
      <c r="N376" s="304" t="n"/>
      <c r="O376" s="304" t="n"/>
      <c r="P376" s="304" t="n"/>
      <c r="Q376" s="304" t="n"/>
    </row>
    <row r="377" ht="13.8" customHeight="1" s="343">
      <c r="A377" s="388">
        <f>ROW()-22</f>
        <v/>
      </c>
      <c r="B377" s="536">
        <f>_xlfn.NORM.INV(RAND(),$B$6,$C$6)</f>
        <v/>
      </c>
      <c r="C377" s="536">
        <f>MIN(_xlfn.NORM.INV(RAND(),$B$7,$C$7),B377-0.005)</f>
        <v/>
      </c>
      <c r="D377" s="537">
        <f>_xlfn.NORM.INV(RAND(),$B$8,$C$8)</f>
        <v/>
      </c>
      <c r="E377" s="391">
        <f t="array" ref="E377">(SUMPRODUCT($B$13:$F$13*D377/(1+B377)^$B$14:$F$14)+($F$13*D377*(1+C377))/(B377-C377)/(1+B377)^$F$14-$B$15+$B$16)/$B$17</f>
        <v/>
      </c>
      <c r="F377" s="304" t="n"/>
      <c r="G377" s="304" t="n"/>
      <c r="H377" s="304" t="n"/>
      <c r="I377" s="304" t="n"/>
      <c r="J377" s="304" t="n"/>
      <c r="K377" s="304" t="n"/>
      <c r="L377" s="304" t="n"/>
      <c r="M377" s="304" t="n"/>
      <c r="N377" s="304" t="n"/>
      <c r="O377" s="304" t="n"/>
      <c r="P377" s="304" t="n"/>
      <c r="Q377" s="304" t="n"/>
    </row>
    <row r="378" ht="13.8" customHeight="1" s="343">
      <c r="A378" s="388">
        <f>ROW()-22</f>
        <v/>
      </c>
      <c r="B378" s="536">
        <f>_xlfn.NORM.INV(RAND(),$B$6,$C$6)</f>
        <v/>
      </c>
      <c r="C378" s="536">
        <f>MIN(_xlfn.NORM.INV(RAND(),$B$7,$C$7),B378-0.005)</f>
        <v/>
      </c>
      <c r="D378" s="537">
        <f>_xlfn.NORM.INV(RAND(),$B$8,$C$8)</f>
        <v/>
      </c>
      <c r="E378" s="391">
        <f t="array" ref="E378">(SUMPRODUCT($B$13:$F$13*D378/(1+B378)^$B$14:$F$14)+($F$13*D378*(1+C378))/(B378-C378)/(1+B378)^$F$14-$B$15+$B$16)/$B$17</f>
        <v/>
      </c>
      <c r="F378" s="304" t="n"/>
      <c r="G378" s="304" t="n"/>
      <c r="H378" s="304" t="n"/>
      <c r="I378" s="304" t="n"/>
      <c r="J378" s="304" t="n"/>
      <c r="K378" s="304" t="n"/>
      <c r="L378" s="304" t="n"/>
      <c r="M378" s="304" t="n"/>
      <c r="N378" s="304" t="n"/>
      <c r="O378" s="304" t="n"/>
      <c r="P378" s="304" t="n"/>
      <c r="Q378" s="304" t="n"/>
    </row>
    <row r="379" ht="13.8" customHeight="1" s="343">
      <c r="A379" s="388">
        <f>ROW()-22</f>
        <v/>
      </c>
      <c r="B379" s="536">
        <f>_xlfn.NORM.INV(RAND(),$B$6,$C$6)</f>
        <v/>
      </c>
      <c r="C379" s="536">
        <f>MIN(_xlfn.NORM.INV(RAND(),$B$7,$C$7),B379-0.005)</f>
        <v/>
      </c>
      <c r="D379" s="537">
        <f>_xlfn.NORM.INV(RAND(),$B$8,$C$8)</f>
        <v/>
      </c>
      <c r="E379" s="391">
        <f t="array" ref="E379">(SUMPRODUCT($B$13:$F$13*D379/(1+B379)^$B$14:$F$14)+($F$13*D379*(1+C379))/(B379-C379)/(1+B379)^$F$14-$B$15+$B$16)/$B$17</f>
        <v/>
      </c>
      <c r="F379" s="304" t="n"/>
      <c r="G379" s="304" t="n"/>
      <c r="H379" s="304" t="n"/>
      <c r="I379" s="304" t="n"/>
      <c r="J379" s="304" t="n"/>
      <c r="K379" s="304" t="n"/>
      <c r="L379" s="304" t="n"/>
      <c r="M379" s="304" t="n"/>
      <c r="N379" s="304" t="n"/>
      <c r="O379" s="304" t="n"/>
      <c r="P379" s="304" t="n"/>
      <c r="Q379" s="304" t="n"/>
    </row>
    <row r="380" ht="13.8" customHeight="1" s="343">
      <c r="A380" s="388">
        <f>ROW()-22</f>
        <v/>
      </c>
      <c r="B380" s="536">
        <f>_xlfn.NORM.INV(RAND(),$B$6,$C$6)</f>
        <v/>
      </c>
      <c r="C380" s="536">
        <f>MIN(_xlfn.NORM.INV(RAND(),$B$7,$C$7),B380-0.005)</f>
        <v/>
      </c>
      <c r="D380" s="537">
        <f>_xlfn.NORM.INV(RAND(),$B$8,$C$8)</f>
        <v/>
      </c>
      <c r="E380" s="391">
        <f t="array" ref="E380">(SUMPRODUCT($B$13:$F$13*D380/(1+B380)^$B$14:$F$14)+($F$13*D380*(1+C380))/(B380-C380)/(1+B380)^$F$14-$B$15+$B$16)/$B$17</f>
        <v/>
      </c>
      <c r="F380" s="304" t="n"/>
      <c r="G380" s="304" t="n"/>
      <c r="H380" s="304" t="n"/>
      <c r="I380" s="304" t="n"/>
      <c r="J380" s="304" t="n"/>
      <c r="K380" s="304" t="n"/>
      <c r="L380" s="304" t="n"/>
      <c r="M380" s="304" t="n"/>
      <c r="N380" s="304" t="n"/>
      <c r="O380" s="304" t="n"/>
      <c r="P380" s="304" t="n"/>
      <c r="Q380" s="304" t="n"/>
    </row>
    <row r="381" ht="13.8" customHeight="1" s="343">
      <c r="A381" s="388">
        <f>ROW()-22</f>
        <v/>
      </c>
      <c r="B381" s="536">
        <f>_xlfn.NORM.INV(RAND(),$B$6,$C$6)</f>
        <v/>
      </c>
      <c r="C381" s="536">
        <f>MIN(_xlfn.NORM.INV(RAND(),$B$7,$C$7),B381-0.005)</f>
        <v/>
      </c>
      <c r="D381" s="537">
        <f>_xlfn.NORM.INV(RAND(),$B$8,$C$8)</f>
        <v/>
      </c>
      <c r="E381" s="391">
        <f t="array" ref="E381">(SUMPRODUCT($B$13:$F$13*D381/(1+B381)^$B$14:$F$14)+($F$13*D381*(1+C381))/(B381-C381)/(1+B381)^$F$14-$B$15+$B$16)/$B$17</f>
        <v/>
      </c>
      <c r="F381" s="304" t="n"/>
      <c r="G381" s="304" t="n"/>
      <c r="H381" s="304" t="n"/>
      <c r="I381" s="304" t="n"/>
      <c r="J381" s="304" t="n"/>
      <c r="K381" s="304" t="n"/>
      <c r="L381" s="304" t="n"/>
      <c r="M381" s="304" t="n"/>
      <c r="N381" s="304" t="n"/>
      <c r="O381" s="304" t="n"/>
      <c r="P381" s="304" t="n"/>
      <c r="Q381" s="304" t="n"/>
    </row>
    <row r="382" ht="13.8" customHeight="1" s="343">
      <c r="A382" s="388">
        <f>ROW()-22</f>
        <v/>
      </c>
      <c r="B382" s="536">
        <f>_xlfn.NORM.INV(RAND(),$B$6,$C$6)</f>
        <v/>
      </c>
      <c r="C382" s="536">
        <f>MIN(_xlfn.NORM.INV(RAND(),$B$7,$C$7),B382-0.005)</f>
        <v/>
      </c>
      <c r="D382" s="537">
        <f>_xlfn.NORM.INV(RAND(),$B$8,$C$8)</f>
        <v/>
      </c>
      <c r="E382" s="391">
        <f t="array" ref="E382">(SUMPRODUCT($B$13:$F$13*D382/(1+B382)^$B$14:$F$14)+($F$13*D382*(1+C382))/(B382-C382)/(1+B382)^$F$14-$B$15+$B$16)/$B$17</f>
        <v/>
      </c>
      <c r="F382" s="304" t="n"/>
      <c r="G382" s="304" t="n"/>
      <c r="H382" s="304" t="n"/>
      <c r="I382" s="304" t="n"/>
      <c r="J382" s="304" t="n"/>
      <c r="K382" s="304" t="n"/>
      <c r="L382" s="304" t="n"/>
      <c r="M382" s="304" t="n"/>
      <c r="N382" s="304" t="n"/>
      <c r="O382" s="304" t="n"/>
      <c r="P382" s="304" t="n"/>
      <c r="Q382" s="304" t="n"/>
    </row>
    <row r="383" ht="13.8" customHeight="1" s="343">
      <c r="A383" s="388">
        <f>ROW()-22</f>
        <v/>
      </c>
      <c r="B383" s="536">
        <f>_xlfn.NORM.INV(RAND(),$B$6,$C$6)</f>
        <v/>
      </c>
      <c r="C383" s="536">
        <f>MIN(_xlfn.NORM.INV(RAND(),$B$7,$C$7),B383-0.005)</f>
        <v/>
      </c>
      <c r="D383" s="537">
        <f>_xlfn.NORM.INV(RAND(),$B$8,$C$8)</f>
        <v/>
      </c>
      <c r="E383" s="391">
        <f t="array" ref="E383">(SUMPRODUCT($B$13:$F$13*D383/(1+B383)^$B$14:$F$14)+($F$13*D383*(1+C383))/(B383-C383)/(1+B383)^$F$14-$B$15+$B$16)/$B$17</f>
        <v/>
      </c>
      <c r="F383" s="304" t="n"/>
      <c r="G383" s="304" t="n"/>
      <c r="H383" s="304" t="n"/>
      <c r="I383" s="304" t="n"/>
      <c r="J383" s="304" t="n"/>
      <c r="K383" s="304" t="n"/>
      <c r="L383" s="304" t="n"/>
      <c r="M383" s="304" t="n"/>
      <c r="N383" s="304" t="n"/>
      <c r="O383" s="304" t="n"/>
      <c r="P383" s="304" t="n"/>
      <c r="Q383" s="304" t="n"/>
    </row>
    <row r="384" ht="13.8" customHeight="1" s="343">
      <c r="A384" s="388">
        <f>ROW()-22</f>
        <v/>
      </c>
      <c r="B384" s="536">
        <f>_xlfn.NORM.INV(RAND(),$B$6,$C$6)</f>
        <v/>
      </c>
      <c r="C384" s="536">
        <f>MIN(_xlfn.NORM.INV(RAND(),$B$7,$C$7),B384-0.005)</f>
        <v/>
      </c>
      <c r="D384" s="537">
        <f>_xlfn.NORM.INV(RAND(),$B$8,$C$8)</f>
        <v/>
      </c>
      <c r="E384" s="391">
        <f t="array" ref="E384">(SUMPRODUCT($B$13:$F$13*D384/(1+B384)^$B$14:$F$14)+($F$13*D384*(1+C384))/(B384-C384)/(1+B384)^$F$14-$B$15+$B$16)/$B$17</f>
        <v/>
      </c>
      <c r="F384" s="304" t="n"/>
      <c r="G384" s="304" t="n"/>
      <c r="H384" s="304" t="n"/>
      <c r="I384" s="304" t="n"/>
      <c r="J384" s="304" t="n"/>
      <c r="K384" s="304" t="n"/>
      <c r="L384" s="304" t="n"/>
      <c r="M384" s="304" t="n"/>
      <c r="N384" s="304" t="n"/>
      <c r="O384" s="304" t="n"/>
      <c r="P384" s="304" t="n"/>
      <c r="Q384" s="304" t="n"/>
    </row>
    <row r="385" ht="13.8" customHeight="1" s="343">
      <c r="A385" s="388">
        <f>ROW()-22</f>
        <v/>
      </c>
      <c r="B385" s="536">
        <f>_xlfn.NORM.INV(RAND(),$B$6,$C$6)</f>
        <v/>
      </c>
      <c r="C385" s="536">
        <f>MIN(_xlfn.NORM.INV(RAND(),$B$7,$C$7),B385-0.005)</f>
        <v/>
      </c>
      <c r="D385" s="537">
        <f>_xlfn.NORM.INV(RAND(),$B$8,$C$8)</f>
        <v/>
      </c>
      <c r="E385" s="391">
        <f t="array" ref="E385">(SUMPRODUCT($B$13:$F$13*D385/(1+B385)^$B$14:$F$14)+($F$13*D385*(1+C385))/(B385-C385)/(1+B385)^$F$14-$B$15+$B$16)/$B$17</f>
        <v/>
      </c>
      <c r="F385" s="304" t="n"/>
      <c r="G385" s="304" t="n"/>
      <c r="H385" s="304" t="n"/>
      <c r="I385" s="304" t="n"/>
      <c r="J385" s="304" t="n"/>
      <c r="K385" s="304" t="n"/>
      <c r="L385" s="304" t="n"/>
      <c r="M385" s="304" t="n"/>
      <c r="N385" s="304" t="n"/>
      <c r="O385" s="304" t="n"/>
      <c r="P385" s="304" t="n"/>
      <c r="Q385" s="304" t="n"/>
    </row>
    <row r="386" ht="13.8" customHeight="1" s="343">
      <c r="A386" s="388">
        <f>ROW()-22</f>
        <v/>
      </c>
      <c r="B386" s="536">
        <f>_xlfn.NORM.INV(RAND(),$B$6,$C$6)</f>
        <v/>
      </c>
      <c r="C386" s="536">
        <f>MIN(_xlfn.NORM.INV(RAND(),$B$7,$C$7),B386-0.005)</f>
        <v/>
      </c>
      <c r="D386" s="537">
        <f>_xlfn.NORM.INV(RAND(),$B$8,$C$8)</f>
        <v/>
      </c>
      <c r="E386" s="391">
        <f t="array" ref="E386">(SUMPRODUCT($B$13:$F$13*D386/(1+B386)^$B$14:$F$14)+($F$13*D386*(1+C386))/(B386-C386)/(1+B386)^$F$14-$B$15+$B$16)/$B$17</f>
        <v/>
      </c>
      <c r="F386" s="304" t="n"/>
      <c r="G386" s="304" t="n"/>
      <c r="H386" s="304" t="n"/>
      <c r="I386" s="304" t="n"/>
      <c r="J386" s="304" t="n"/>
      <c r="K386" s="304" t="n"/>
      <c r="L386" s="304" t="n"/>
      <c r="M386" s="304" t="n"/>
      <c r="N386" s="304" t="n"/>
      <c r="O386" s="304" t="n"/>
      <c r="P386" s="304" t="n"/>
      <c r="Q386" s="304" t="n"/>
    </row>
    <row r="387" ht="13.8" customHeight="1" s="343">
      <c r="A387" s="388">
        <f>ROW()-22</f>
        <v/>
      </c>
      <c r="B387" s="536">
        <f>_xlfn.NORM.INV(RAND(),$B$6,$C$6)</f>
        <v/>
      </c>
      <c r="C387" s="536">
        <f>MIN(_xlfn.NORM.INV(RAND(),$B$7,$C$7),B387-0.005)</f>
        <v/>
      </c>
      <c r="D387" s="537">
        <f>_xlfn.NORM.INV(RAND(),$B$8,$C$8)</f>
        <v/>
      </c>
      <c r="E387" s="391">
        <f t="array" ref="E387">(SUMPRODUCT($B$13:$F$13*D387/(1+B387)^$B$14:$F$14)+($F$13*D387*(1+C387))/(B387-C387)/(1+B387)^$F$14-$B$15+$B$16)/$B$17</f>
        <v/>
      </c>
      <c r="F387" s="304" t="n"/>
      <c r="G387" s="304" t="n"/>
      <c r="H387" s="304" t="n"/>
      <c r="I387" s="304" t="n"/>
      <c r="J387" s="304" t="n"/>
      <c r="K387" s="304" t="n"/>
      <c r="L387" s="304" t="n"/>
      <c r="M387" s="304" t="n"/>
      <c r="N387" s="304" t="n"/>
      <c r="O387" s="304" t="n"/>
      <c r="P387" s="304" t="n"/>
      <c r="Q387" s="304" t="n"/>
    </row>
    <row r="388" ht="13.8" customHeight="1" s="343">
      <c r="A388" s="388">
        <f>ROW()-22</f>
        <v/>
      </c>
      <c r="B388" s="536">
        <f>_xlfn.NORM.INV(RAND(),$B$6,$C$6)</f>
        <v/>
      </c>
      <c r="C388" s="536">
        <f>MIN(_xlfn.NORM.INV(RAND(),$B$7,$C$7),B388-0.005)</f>
        <v/>
      </c>
      <c r="D388" s="537">
        <f>_xlfn.NORM.INV(RAND(),$B$8,$C$8)</f>
        <v/>
      </c>
      <c r="E388" s="391">
        <f t="array" ref="E388">(SUMPRODUCT($B$13:$F$13*D388/(1+B388)^$B$14:$F$14)+($F$13*D388*(1+C388))/(B388-C388)/(1+B388)^$F$14-$B$15+$B$16)/$B$17</f>
        <v/>
      </c>
      <c r="F388" s="304" t="n"/>
      <c r="G388" s="304" t="n"/>
      <c r="H388" s="304" t="n"/>
      <c r="I388" s="304" t="n"/>
      <c r="J388" s="304" t="n"/>
      <c r="K388" s="304" t="n"/>
      <c r="L388" s="304" t="n"/>
      <c r="M388" s="304" t="n"/>
      <c r="N388" s="304" t="n"/>
      <c r="O388" s="304" t="n"/>
      <c r="P388" s="304" t="n"/>
      <c r="Q388" s="304" t="n"/>
    </row>
    <row r="389" ht="13.8" customHeight="1" s="343">
      <c r="A389" s="388">
        <f>ROW()-22</f>
        <v/>
      </c>
      <c r="B389" s="536">
        <f>_xlfn.NORM.INV(RAND(),$B$6,$C$6)</f>
        <v/>
      </c>
      <c r="C389" s="536">
        <f>MIN(_xlfn.NORM.INV(RAND(),$B$7,$C$7),B389-0.005)</f>
        <v/>
      </c>
      <c r="D389" s="537">
        <f>_xlfn.NORM.INV(RAND(),$B$8,$C$8)</f>
        <v/>
      </c>
      <c r="E389" s="391">
        <f t="array" ref="E389">(SUMPRODUCT($B$13:$F$13*D389/(1+B389)^$B$14:$F$14)+($F$13*D389*(1+C389))/(B389-C389)/(1+B389)^$F$14-$B$15+$B$16)/$B$17</f>
        <v/>
      </c>
      <c r="F389" s="304" t="n"/>
      <c r="G389" s="304" t="n"/>
      <c r="H389" s="304" t="n"/>
      <c r="I389" s="304" t="n"/>
      <c r="J389" s="304" t="n"/>
      <c r="K389" s="304" t="n"/>
      <c r="L389" s="304" t="n"/>
      <c r="M389" s="304" t="n"/>
      <c r="N389" s="304" t="n"/>
      <c r="O389" s="304" t="n"/>
      <c r="P389" s="304" t="n"/>
      <c r="Q389" s="304" t="n"/>
    </row>
    <row r="390" ht="13.8" customHeight="1" s="343">
      <c r="A390" s="388">
        <f>ROW()-22</f>
        <v/>
      </c>
      <c r="B390" s="536">
        <f>_xlfn.NORM.INV(RAND(),$B$6,$C$6)</f>
        <v/>
      </c>
      <c r="C390" s="536">
        <f>MIN(_xlfn.NORM.INV(RAND(),$B$7,$C$7),B390-0.005)</f>
        <v/>
      </c>
      <c r="D390" s="537">
        <f>_xlfn.NORM.INV(RAND(),$B$8,$C$8)</f>
        <v/>
      </c>
      <c r="E390" s="391">
        <f t="array" ref="E390">(SUMPRODUCT($B$13:$F$13*D390/(1+B390)^$B$14:$F$14)+($F$13*D390*(1+C390))/(B390-C390)/(1+B390)^$F$14-$B$15+$B$16)/$B$17</f>
        <v/>
      </c>
      <c r="F390" s="304" t="n"/>
      <c r="G390" s="304" t="n"/>
      <c r="H390" s="304" t="n"/>
      <c r="I390" s="304" t="n"/>
      <c r="J390" s="304" t="n"/>
      <c r="K390" s="304" t="n"/>
      <c r="L390" s="304" t="n"/>
      <c r="M390" s="304" t="n"/>
      <c r="N390" s="304" t="n"/>
      <c r="O390" s="304" t="n"/>
      <c r="P390" s="304" t="n"/>
      <c r="Q390" s="304" t="n"/>
    </row>
    <row r="391" ht="13.8" customHeight="1" s="343">
      <c r="A391" s="388">
        <f>ROW()-22</f>
        <v/>
      </c>
      <c r="B391" s="536">
        <f>_xlfn.NORM.INV(RAND(),$B$6,$C$6)</f>
        <v/>
      </c>
      <c r="C391" s="536">
        <f>MIN(_xlfn.NORM.INV(RAND(),$B$7,$C$7),B391-0.005)</f>
        <v/>
      </c>
      <c r="D391" s="537">
        <f>_xlfn.NORM.INV(RAND(),$B$8,$C$8)</f>
        <v/>
      </c>
      <c r="E391" s="391">
        <f t="array" ref="E391">(SUMPRODUCT($B$13:$F$13*D391/(1+B391)^$B$14:$F$14)+($F$13*D391*(1+C391))/(B391-C391)/(1+B391)^$F$14-$B$15+$B$16)/$B$17</f>
        <v/>
      </c>
      <c r="F391" s="304" t="n"/>
      <c r="G391" s="304" t="n"/>
      <c r="H391" s="304" t="n"/>
      <c r="I391" s="304" t="n"/>
      <c r="J391" s="304" t="n"/>
      <c r="K391" s="304" t="n"/>
      <c r="L391" s="304" t="n"/>
      <c r="M391" s="304" t="n"/>
      <c r="N391" s="304" t="n"/>
      <c r="O391" s="304" t="n"/>
      <c r="P391" s="304" t="n"/>
      <c r="Q391" s="304" t="n"/>
    </row>
    <row r="392" ht="13.8" customHeight="1" s="343">
      <c r="A392" s="388">
        <f>ROW()-22</f>
        <v/>
      </c>
      <c r="B392" s="536">
        <f>_xlfn.NORM.INV(RAND(),$B$6,$C$6)</f>
        <v/>
      </c>
      <c r="C392" s="536">
        <f>MIN(_xlfn.NORM.INV(RAND(),$B$7,$C$7),B392-0.005)</f>
        <v/>
      </c>
      <c r="D392" s="537">
        <f>_xlfn.NORM.INV(RAND(),$B$8,$C$8)</f>
        <v/>
      </c>
      <c r="E392" s="391">
        <f t="array" ref="E392">(SUMPRODUCT($B$13:$F$13*D392/(1+B392)^$B$14:$F$14)+($F$13*D392*(1+C392))/(B392-C392)/(1+B392)^$F$14-$B$15+$B$16)/$B$17</f>
        <v/>
      </c>
      <c r="F392" s="304" t="n"/>
      <c r="G392" s="304" t="n"/>
      <c r="H392" s="304" t="n"/>
      <c r="I392" s="304" t="n"/>
      <c r="J392" s="304" t="n"/>
      <c r="K392" s="304" t="n"/>
      <c r="L392" s="304" t="n"/>
      <c r="M392" s="304" t="n"/>
      <c r="N392" s="304" t="n"/>
      <c r="O392" s="304" t="n"/>
      <c r="P392" s="304" t="n"/>
      <c r="Q392" s="304" t="n"/>
    </row>
    <row r="393" ht="13.8" customHeight="1" s="343">
      <c r="A393" s="388">
        <f>ROW()-22</f>
        <v/>
      </c>
      <c r="B393" s="536">
        <f>_xlfn.NORM.INV(RAND(),$B$6,$C$6)</f>
        <v/>
      </c>
      <c r="C393" s="536">
        <f>MIN(_xlfn.NORM.INV(RAND(),$B$7,$C$7),B393-0.005)</f>
        <v/>
      </c>
      <c r="D393" s="537">
        <f>_xlfn.NORM.INV(RAND(),$B$8,$C$8)</f>
        <v/>
      </c>
      <c r="E393" s="391">
        <f t="array" ref="E393">(SUMPRODUCT($B$13:$F$13*D393/(1+B393)^$B$14:$F$14)+($F$13*D393*(1+C393))/(B393-C393)/(1+B393)^$F$14-$B$15+$B$16)/$B$17</f>
        <v/>
      </c>
      <c r="F393" s="304" t="n"/>
      <c r="G393" s="304" t="n"/>
      <c r="H393" s="304" t="n"/>
      <c r="I393" s="304" t="n"/>
      <c r="J393" s="304" t="n"/>
      <c r="K393" s="304" t="n"/>
      <c r="L393" s="304" t="n"/>
      <c r="M393" s="304" t="n"/>
      <c r="N393" s="304" t="n"/>
      <c r="O393" s="304" t="n"/>
      <c r="P393" s="304" t="n"/>
      <c r="Q393" s="304" t="n"/>
    </row>
    <row r="394" ht="13.8" customHeight="1" s="343">
      <c r="A394" s="388">
        <f>ROW()-22</f>
        <v/>
      </c>
      <c r="B394" s="536">
        <f>_xlfn.NORM.INV(RAND(),$B$6,$C$6)</f>
        <v/>
      </c>
      <c r="C394" s="536">
        <f>MIN(_xlfn.NORM.INV(RAND(),$B$7,$C$7),B394-0.005)</f>
        <v/>
      </c>
      <c r="D394" s="537">
        <f>_xlfn.NORM.INV(RAND(),$B$8,$C$8)</f>
        <v/>
      </c>
      <c r="E394" s="391">
        <f t="array" ref="E394">(SUMPRODUCT($B$13:$F$13*D394/(1+B394)^$B$14:$F$14)+($F$13*D394*(1+C394))/(B394-C394)/(1+B394)^$F$14-$B$15+$B$16)/$B$17</f>
        <v/>
      </c>
      <c r="F394" s="304" t="n"/>
      <c r="G394" s="304" t="n"/>
      <c r="H394" s="304" t="n"/>
      <c r="I394" s="304" t="n"/>
      <c r="J394" s="304" t="n"/>
      <c r="K394" s="304" t="n"/>
      <c r="L394" s="304" t="n"/>
      <c r="M394" s="304" t="n"/>
      <c r="N394" s="304" t="n"/>
      <c r="O394" s="304" t="n"/>
      <c r="P394" s="304" t="n"/>
      <c r="Q394" s="304" t="n"/>
    </row>
    <row r="395" ht="13.8" customHeight="1" s="343">
      <c r="A395" s="388">
        <f>ROW()-22</f>
        <v/>
      </c>
      <c r="B395" s="536">
        <f>_xlfn.NORM.INV(RAND(),$B$6,$C$6)</f>
        <v/>
      </c>
      <c r="C395" s="536">
        <f>MIN(_xlfn.NORM.INV(RAND(),$B$7,$C$7),B395-0.005)</f>
        <v/>
      </c>
      <c r="D395" s="537">
        <f>_xlfn.NORM.INV(RAND(),$B$8,$C$8)</f>
        <v/>
      </c>
      <c r="E395" s="391">
        <f t="array" ref="E395">(SUMPRODUCT($B$13:$F$13*D395/(1+B395)^$B$14:$F$14)+($F$13*D395*(1+C395))/(B395-C395)/(1+B395)^$F$14-$B$15+$B$16)/$B$17</f>
        <v/>
      </c>
      <c r="F395" s="304" t="n"/>
      <c r="G395" s="304" t="n"/>
      <c r="H395" s="304" t="n"/>
      <c r="I395" s="304" t="n"/>
      <c r="J395" s="304" t="n"/>
      <c r="K395" s="304" t="n"/>
      <c r="L395" s="304" t="n"/>
      <c r="M395" s="304" t="n"/>
      <c r="N395" s="304" t="n"/>
      <c r="O395" s="304" t="n"/>
      <c r="P395" s="304" t="n"/>
      <c r="Q395" s="304" t="n"/>
    </row>
    <row r="396" ht="13.8" customHeight="1" s="343">
      <c r="A396" s="388">
        <f>ROW()-22</f>
        <v/>
      </c>
      <c r="B396" s="536">
        <f>_xlfn.NORM.INV(RAND(),$B$6,$C$6)</f>
        <v/>
      </c>
      <c r="C396" s="536">
        <f>MIN(_xlfn.NORM.INV(RAND(),$B$7,$C$7),B396-0.005)</f>
        <v/>
      </c>
      <c r="D396" s="537">
        <f>_xlfn.NORM.INV(RAND(),$B$8,$C$8)</f>
        <v/>
      </c>
      <c r="E396" s="391">
        <f t="array" ref="E396">(SUMPRODUCT($B$13:$F$13*D396/(1+B396)^$B$14:$F$14)+($F$13*D396*(1+C396))/(B396-C396)/(1+B396)^$F$14-$B$15+$B$16)/$B$17</f>
        <v/>
      </c>
      <c r="F396" s="304" t="n"/>
      <c r="G396" s="304" t="n"/>
      <c r="H396" s="304" t="n"/>
      <c r="I396" s="304" t="n"/>
      <c r="J396" s="304" t="n"/>
      <c r="K396" s="304" t="n"/>
      <c r="L396" s="304" t="n"/>
      <c r="M396" s="304" t="n"/>
      <c r="N396" s="304" t="n"/>
      <c r="O396" s="304" t="n"/>
      <c r="P396" s="304" t="n"/>
      <c r="Q396" s="304" t="n"/>
    </row>
    <row r="397" ht="13.8" customHeight="1" s="343">
      <c r="A397" s="388">
        <f>ROW()-22</f>
        <v/>
      </c>
      <c r="B397" s="536">
        <f>_xlfn.NORM.INV(RAND(),$B$6,$C$6)</f>
        <v/>
      </c>
      <c r="C397" s="536">
        <f>MIN(_xlfn.NORM.INV(RAND(),$B$7,$C$7),B397-0.005)</f>
        <v/>
      </c>
      <c r="D397" s="537">
        <f>_xlfn.NORM.INV(RAND(),$B$8,$C$8)</f>
        <v/>
      </c>
      <c r="E397" s="391">
        <f t="array" ref="E397">(SUMPRODUCT($B$13:$F$13*D397/(1+B397)^$B$14:$F$14)+($F$13*D397*(1+C397))/(B397-C397)/(1+B397)^$F$14-$B$15+$B$16)/$B$17</f>
        <v/>
      </c>
      <c r="F397" s="304" t="n"/>
      <c r="G397" s="304" t="n"/>
      <c r="H397" s="304" t="n"/>
      <c r="I397" s="304" t="n"/>
      <c r="J397" s="304" t="n"/>
      <c r="K397" s="304" t="n"/>
      <c r="L397" s="304" t="n"/>
      <c r="M397" s="304" t="n"/>
      <c r="N397" s="304" t="n"/>
      <c r="O397" s="304" t="n"/>
      <c r="P397" s="304" t="n"/>
      <c r="Q397" s="304" t="n"/>
    </row>
    <row r="398" ht="13.8" customHeight="1" s="343">
      <c r="A398" s="388">
        <f>ROW()-22</f>
        <v/>
      </c>
      <c r="B398" s="536">
        <f>_xlfn.NORM.INV(RAND(),$B$6,$C$6)</f>
        <v/>
      </c>
      <c r="C398" s="536">
        <f>MIN(_xlfn.NORM.INV(RAND(),$B$7,$C$7),B398-0.005)</f>
        <v/>
      </c>
      <c r="D398" s="537">
        <f>_xlfn.NORM.INV(RAND(),$B$8,$C$8)</f>
        <v/>
      </c>
      <c r="E398" s="391">
        <f t="array" ref="E398">(SUMPRODUCT($B$13:$F$13*D398/(1+B398)^$B$14:$F$14)+($F$13*D398*(1+C398))/(B398-C398)/(1+B398)^$F$14-$B$15+$B$16)/$B$17</f>
        <v/>
      </c>
      <c r="F398" s="304" t="n"/>
      <c r="G398" s="304" t="n"/>
      <c r="H398" s="304" t="n"/>
      <c r="I398" s="304" t="n"/>
      <c r="J398" s="304" t="n"/>
      <c r="K398" s="304" t="n"/>
      <c r="L398" s="304" t="n"/>
      <c r="M398" s="304" t="n"/>
      <c r="N398" s="304" t="n"/>
      <c r="O398" s="304" t="n"/>
      <c r="P398" s="304" t="n"/>
      <c r="Q398" s="304" t="n"/>
    </row>
    <row r="399" ht="13.8" customHeight="1" s="343">
      <c r="A399" s="388">
        <f>ROW()-22</f>
        <v/>
      </c>
      <c r="B399" s="536">
        <f>_xlfn.NORM.INV(RAND(),$B$6,$C$6)</f>
        <v/>
      </c>
      <c r="C399" s="536">
        <f>MIN(_xlfn.NORM.INV(RAND(),$B$7,$C$7),B399-0.005)</f>
        <v/>
      </c>
      <c r="D399" s="537">
        <f>_xlfn.NORM.INV(RAND(),$B$8,$C$8)</f>
        <v/>
      </c>
      <c r="E399" s="391">
        <f t="array" ref="E399">(SUMPRODUCT($B$13:$F$13*D399/(1+B399)^$B$14:$F$14)+($F$13*D399*(1+C399))/(B399-C399)/(1+B399)^$F$14-$B$15+$B$16)/$B$17</f>
        <v/>
      </c>
      <c r="F399" s="304" t="n"/>
      <c r="G399" s="304" t="n"/>
      <c r="H399" s="304" t="n"/>
      <c r="I399" s="304" t="n"/>
      <c r="J399" s="304" t="n"/>
      <c r="K399" s="304" t="n"/>
      <c r="L399" s="304" t="n"/>
      <c r="M399" s="304" t="n"/>
      <c r="N399" s="304" t="n"/>
      <c r="O399" s="304" t="n"/>
      <c r="P399" s="304" t="n"/>
      <c r="Q399" s="304" t="n"/>
    </row>
    <row r="400" ht="13.8" customHeight="1" s="343">
      <c r="A400" s="388">
        <f>ROW()-22</f>
        <v/>
      </c>
      <c r="B400" s="536">
        <f>_xlfn.NORM.INV(RAND(),$B$6,$C$6)</f>
        <v/>
      </c>
      <c r="C400" s="536">
        <f>MIN(_xlfn.NORM.INV(RAND(),$B$7,$C$7),B400-0.005)</f>
        <v/>
      </c>
      <c r="D400" s="537">
        <f>_xlfn.NORM.INV(RAND(),$B$8,$C$8)</f>
        <v/>
      </c>
      <c r="E400" s="391">
        <f t="array" ref="E400">(SUMPRODUCT($B$13:$F$13*D400/(1+B400)^$B$14:$F$14)+($F$13*D400*(1+C400))/(B400-C400)/(1+B400)^$F$14-$B$15+$B$16)/$B$17</f>
        <v/>
      </c>
      <c r="F400" s="304" t="n"/>
      <c r="G400" s="304" t="n"/>
      <c r="H400" s="304" t="n"/>
      <c r="I400" s="304" t="n"/>
      <c r="J400" s="304" t="n"/>
      <c r="K400" s="304" t="n"/>
      <c r="L400" s="304" t="n"/>
      <c r="M400" s="304" t="n"/>
      <c r="N400" s="304" t="n"/>
      <c r="O400" s="304" t="n"/>
      <c r="P400" s="304" t="n"/>
      <c r="Q400" s="304" t="n"/>
    </row>
    <row r="401" ht="13.8" customHeight="1" s="343">
      <c r="A401" s="388">
        <f>ROW()-22</f>
        <v/>
      </c>
      <c r="B401" s="536">
        <f>_xlfn.NORM.INV(RAND(),$B$6,$C$6)</f>
        <v/>
      </c>
      <c r="C401" s="536">
        <f>MIN(_xlfn.NORM.INV(RAND(),$B$7,$C$7),B401-0.005)</f>
        <v/>
      </c>
      <c r="D401" s="537">
        <f>_xlfn.NORM.INV(RAND(),$B$8,$C$8)</f>
        <v/>
      </c>
      <c r="E401" s="391">
        <f t="array" ref="E401">(SUMPRODUCT($B$13:$F$13*D401/(1+B401)^$B$14:$F$14)+($F$13*D401*(1+C401))/(B401-C401)/(1+B401)^$F$14-$B$15+$B$16)/$B$17</f>
        <v/>
      </c>
      <c r="F401" s="304" t="n"/>
      <c r="G401" s="304" t="n"/>
      <c r="H401" s="304" t="n"/>
      <c r="I401" s="304" t="n"/>
      <c r="J401" s="304" t="n"/>
      <c r="K401" s="304" t="n"/>
      <c r="L401" s="304" t="n"/>
      <c r="M401" s="304" t="n"/>
      <c r="N401" s="304" t="n"/>
      <c r="O401" s="304" t="n"/>
      <c r="P401" s="304" t="n"/>
      <c r="Q401" s="304" t="n"/>
    </row>
    <row r="402" ht="13.8" customHeight="1" s="343">
      <c r="A402" s="388">
        <f>ROW()-22</f>
        <v/>
      </c>
      <c r="B402" s="536">
        <f>_xlfn.NORM.INV(RAND(),$B$6,$C$6)</f>
        <v/>
      </c>
      <c r="C402" s="536">
        <f>MIN(_xlfn.NORM.INV(RAND(),$B$7,$C$7),B402-0.005)</f>
        <v/>
      </c>
      <c r="D402" s="537">
        <f>_xlfn.NORM.INV(RAND(),$B$8,$C$8)</f>
        <v/>
      </c>
      <c r="E402" s="391">
        <f t="array" ref="E402">(SUMPRODUCT($B$13:$F$13*D402/(1+B402)^$B$14:$F$14)+($F$13*D402*(1+C402))/(B402-C402)/(1+B402)^$F$14-$B$15+$B$16)/$B$17</f>
        <v/>
      </c>
      <c r="F402" s="304" t="n"/>
      <c r="G402" s="304" t="n"/>
      <c r="H402" s="304" t="n"/>
      <c r="I402" s="304" t="n"/>
      <c r="J402" s="304" t="n"/>
      <c r="K402" s="304" t="n"/>
      <c r="L402" s="304" t="n"/>
      <c r="M402" s="304" t="n"/>
      <c r="N402" s="304" t="n"/>
      <c r="O402" s="304" t="n"/>
      <c r="P402" s="304" t="n"/>
      <c r="Q402" s="304" t="n"/>
    </row>
    <row r="403" ht="13.8" customHeight="1" s="343">
      <c r="A403" s="388">
        <f>ROW()-22</f>
        <v/>
      </c>
      <c r="B403" s="536">
        <f>_xlfn.NORM.INV(RAND(),$B$6,$C$6)</f>
        <v/>
      </c>
      <c r="C403" s="536">
        <f>MIN(_xlfn.NORM.INV(RAND(),$B$7,$C$7),B403-0.005)</f>
        <v/>
      </c>
      <c r="D403" s="537">
        <f>_xlfn.NORM.INV(RAND(),$B$8,$C$8)</f>
        <v/>
      </c>
      <c r="E403" s="391">
        <f t="array" ref="E403">(SUMPRODUCT($B$13:$F$13*D403/(1+B403)^$B$14:$F$14)+($F$13*D403*(1+C403))/(B403-C403)/(1+B403)^$F$14-$B$15+$B$16)/$B$17</f>
        <v/>
      </c>
      <c r="F403" s="304" t="n"/>
      <c r="G403" s="304" t="n"/>
      <c r="H403" s="304" t="n"/>
      <c r="I403" s="304" t="n"/>
      <c r="J403" s="304" t="n"/>
      <c r="K403" s="304" t="n"/>
      <c r="L403" s="304" t="n"/>
      <c r="M403" s="304" t="n"/>
      <c r="N403" s="304" t="n"/>
      <c r="O403" s="304" t="n"/>
      <c r="P403" s="304" t="n"/>
      <c r="Q403" s="304" t="n"/>
    </row>
    <row r="404" ht="13.8" customHeight="1" s="343">
      <c r="A404" s="388">
        <f>ROW()-22</f>
        <v/>
      </c>
      <c r="B404" s="536">
        <f>_xlfn.NORM.INV(RAND(),$B$6,$C$6)</f>
        <v/>
      </c>
      <c r="C404" s="536">
        <f>MIN(_xlfn.NORM.INV(RAND(),$B$7,$C$7),B404-0.005)</f>
        <v/>
      </c>
      <c r="D404" s="537">
        <f>_xlfn.NORM.INV(RAND(),$B$8,$C$8)</f>
        <v/>
      </c>
      <c r="E404" s="391">
        <f t="array" ref="E404">(SUMPRODUCT($B$13:$F$13*D404/(1+B404)^$B$14:$F$14)+($F$13*D404*(1+C404))/(B404-C404)/(1+B404)^$F$14-$B$15+$B$16)/$B$17</f>
        <v/>
      </c>
      <c r="F404" s="304" t="n"/>
      <c r="G404" s="304" t="n"/>
      <c r="H404" s="304" t="n"/>
      <c r="I404" s="304" t="n"/>
      <c r="J404" s="304" t="n"/>
      <c r="K404" s="304" t="n"/>
      <c r="L404" s="304" t="n"/>
      <c r="M404" s="304" t="n"/>
      <c r="N404" s="304" t="n"/>
      <c r="O404" s="304" t="n"/>
      <c r="P404" s="304" t="n"/>
      <c r="Q404" s="304" t="n"/>
    </row>
    <row r="405" ht="13.8" customHeight="1" s="343">
      <c r="A405" s="388">
        <f>ROW()-22</f>
        <v/>
      </c>
      <c r="B405" s="536">
        <f>_xlfn.NORM.INV(RAND(),$B$6,$C$6)</f>
        <v/>
      </c>
      <c r="C405" s="536">
        <f>MIN(_xlfn.NORM.INV(RAND(),$B$7,$C$7),B405-0.005)</f>
        <v/>
      </c>
      <c r="D405" s="537">
        <f>_xlfn.NORM.INV(RAND(),$B$8,$C$8)</f>
        <v/>
      </c>
      <c r="E405" s="391">
        <f t="array" ref="E405">(SUMPRODUCT($B$13:$F$13*D405/(1+B405)^$B$14:$F$14)+($F$13*D405*(1+C405))/(B405-C405)/(1+B405)^$F$14-$B$15+$B$16)/$B$17</f>
        <v/>
      </c>
      <c r="F405" s="304" t="n"/>
      <c r="G405" s="304" t="n"/>
      <c r="H405" s="304" t="n"/>
      <c r="I405" s="304" t="n"/>
      <c r="J405" s="304" t="n"/>
      <c r="K405" s="304" t="n"/>
      <c r="L405" s="304" t="n"/>
      <c r="M405" s="304" t="n"/>
      <c r="N405" s="304" t="n"/>
      <c r="O405" s="304" t="n"/>
      <c r="P405" s="304" t="n"/>
      <c r="Q405" s="304" t="n"/>
    </row>
    <row r="406" ht="13.8" customHeight="1" s="343">
      <c r="A406" s="388">
        <f>ROW()-22</f>
        <v/>
      </c>
      <c r="B406" s="536">
        <f>_xlfn.NORM.INV(RAND(),$B$6,$C$6)</f>
        <v/>
      </c>
      <c r="C406" s="536">
        <f>MIN(_xlfn.NORM.INV(RAND(),$B$7,$C$7),B406-0.005)</f>
        <v/>
      </c>
      <c r="D406" s="537">
        <f>_xlfn.NORM.INV(RAND(),$B$8,$C$8)</f>
        <v/>
      </c>
      <c r="E406" s="391">
        <f t="array" ref="E406">(SUMPRODUCT($B$13:$F$13*D406/(1+B406)^$B$14:$F$14)+($F$13*D406*(1+C406))/(B406-C406)/(1+B406)^$F$14-$B$15+$B$16)/$B$17</f>
        <v/>
      </c>
      <c r="F406" s="304" t="n"/>
      <c r="G406" s="304" t="n"/>
      <c r="H406" s="304" t="n"/>
      <c r="I406" s="304" t="n"/>
      <c r="J406" s="304" t="n"/>
      <c r="K406" s="304" t="n"/>
      <c r="L406" s="304" t="n"/>
      <c r="M406" s="304" t="n"/>
      <c r="N406" s="304" t="n"/>
      <c r="O406" s="304" t="n"/>
      <c r="P406" s="304" t="n"/>
      <c r="Q406" s="304" t="n"/>
    </row>
    <row r="407" ht="13.8" customHeight="1" s="343">
      <c r="A407" s="388">
        <f>ROW()-22</f>
        <v/>
      </c>
      <c r="B407" s="536">
        <f>_xlfn.NORM.INV(RAND(),$B$6,$C$6)</f>
        <v/>
      </c>
      <c r="C407" s="536">
        <f>MIN(_xlfn.NORM.INV(RAND(),$B$7,$C$7),B407-0.005)</f>
        <v/>
      </c>
      <c r="D407" s="537">
        <f>_xlfn.NORM.INV(RAND(),$B$8,$C$8)</f>
        <v/>
      </c>
      <c r="E407" s="391">
        <f t="array" ref="E407">(SUMPRODUCT($B$13:$F$13*D407/(1+B407)^$B$14:$F$14)+($F$13*D407*(1+C407))/(B407-C407)/(1+B407)^$F$14-$B$15+$B$16)/$B$17</f>
        <v/>
      </c>
      <c r="F407" s="304" t="n"/>
      <c r="G407" s="304" t="n"/>
      <c r="H407" s="304" t="n"/>
      <c r="I407" s="304" t="n"/>
      <c r="J407" s="304" t="n"/>
      <c r="K407" s="304" t="n"/>
      <c r="L407" s="304" t="n"/>
      <c r="M407" s="304" t="n"/>
      <c r="N407" s="304" t="n"/>
      <c r="O407" s="304" t="n"/>
      <c r="P407" s="304" t="n"/>
      <c r="Q407" s="304" t="n"/>
    </row>
    <row r="408" ht="13.8" customHeight="1" s="343">
      <c r="A408" s="388">
        <f>ROW()-22</f>
        <v/>
      </c>
      <c r="B408" s="536">
        <f>_xlfn.NORM.INV(RAND(),$B$6,$C$6)</f>
        <v/>
      </c>
      <c r="C408" s="536">
        <f>MIN(_xlfn.NORM.INV(RAND(),$B$7,$C$7),B408-0.005)</f>
        <v/>
      </c>
      <c r="D408" s="537">
        <f>_xlfn.NORM.INV(RAND(),$B$8,$C$8)</f>
        <v/>
      </c>
      <c r="E408" s="391">
        <f t="array" ref="E408">(SUMPRODUCT($B$13:$F$13*D408/(1+B408)^$B$14:$F$14)+($F$13*D408*(1+C408))/(B408-C408)/(1+B408)^$F$14-$B$15+$B$16)/$B$17</f>
        <v/>
      </c>
      <c r="F408" s="304" t="n"/>
      <c r="G408" s="304" t="n"/>
      <c r="H408" s="304" t="n"/>
      <c r="I408" s="304" t="n"/>
      <c r="J408" s="304" t="n"/>
      <c r="K408" s="304" t="n"/>
      <c r="L408" s="304" t="n"/>
      <c r="M408" s="304" t="n"/>
      <c r="N408" s="304" t="n"/>
      <c r="O408" s="304" t="n"/>
      <c r="P408" s="304" t="n"/>
      <c r="Q408" s="304" t="n"/>
    </row>
    <row r="409" ht="13.8" customHeight="1" s="343">
      <c r="A409" s="388">
        <f>ROW()-22</f>
        <v/>
      </c>
      <c r="B409" s="536">
        <f>_xlfn.NORM.INV(RAND(),$B$6,$C$6)</f>
        <v/>
      </c>
      <c r="C409" s="536">
        <f>MIN(_xlfn.NORM.INV(RAND(),$B$7,$C$7),B409-0.005)</f>
        <v/>
      </c>
      <c r="D409" s="537">
        <f>_xlfn.NORM.INV(RAND(),$B$8,$C$8)</f>
        <v/>
      </c>
      <c r="E409" s="391">
        <f t="array" ref="E409">(SUMPRODUCT($B$13:$F$13*D409/(1+B409)^$B$14:$F$14)+($F$13*D409*(1+C409))/(B409-C409)/(1+B409)^$F$14-$B$15+$B$16)/$B$17</f>
        <v/>
      </c>
      <c r="F409" s="304" t="n"/>
      <c r="G409" s="304" t="n"/>
      <c r="H409" s="304" t="n"/>
      <c r="I409" s="304" t="n"/>
      <c r="J409" s="304" t="n"/>
      <c r="K409" s="304" t="n"/>
      <c r="L409" s="304" t="n"/>
      <c r="M409" s="304" t="n"/>
      <c r="N409" s="304" t="n"/>
      <c r="O409" s="304" t="n"/>
      <c r="P409" s="304" t="n"/>
      <c r="Q409" s="304" t="n"/>
    </row>
    <row r="410" ht="13.8" customHeight="1" s="343">
      <c r="A410" s="388">
        <f>ROW()-22</f>
        <v/>
      </c>
      <c r="B410" s="536">
        <f>_xlfn.NORM.INV(RAND(),$B$6,$C$6)</f>
        <v/>
      </c>
      <c r="C410" s="536">
        <f>MIN(_xlfn.NORM.INV(RAND(),$B$7,$C$7),B410-0.005)</f>
        <v/>
      </c>
      <c r="D410" s="537">
        <f>_xlfn.NORM.INV(RAND(),$B$8,$C$8)</f>
        <v/>
      </c>
      <c r="E410" s="391">
        <f t="array" ref="E410">(SUMPRODUCT($B$13:$F$13*D410/(1+B410)^$B$14:$F$14)+($F$13*D410*(1+C410))/(B410-C410)/(1+B410)^$F$14-$B$15+$B$16)/$B$17</f>
        <v/>
      </c>
      <c r="F410" s="304" t="n"/>
      <c r="G410" s="304" t="n"/>
      <c r="H410" s="304" t="n"/>
      <c r="I410" s="304" t="n"/>
      <c r="J410" s="304" t="n"/>
      <c r="K410" s="304" t="n"/>
      <c r="L410" s="304" t="n"/>
      <c r="M410" s="304" t="n"/>
      <c r="N410" s="304" t="n"/>
      <c r="O410" s="304" t="n"/>
      <c r="P410" s="304" t="n"/>
      <c r="Q410" s="304" t="n"/>
    </row>
    <row r="411" ht="13.8" customHeight="1" s="343">
      <c r="A411" s="388">
        <f>ROW()-22</f>
        <v/>
      </c>
      <c r="B411" s="536">
        <f>_xlfn.NORM.INV(RAND(),$B$6,$C$6)</f>
        <v/>
      </c>
      <c r="C411" s="536">
        <f>MIN(_xlfn.NORM.INV(RAND(),$B$7,$C$7),B411-0.005)</f>
        <v/>
      </c>
      <c r="D411" s="537">
        <f>_xlfn.NORM.INV(RAND(),$B$8,$C$8)</f>
        <v/>
      </c>
      <c r="E411" s="391">
        <f t="array" ref="E411">(SUMPRODUCT($B$13:$F$13*D411/(1+B411)^$B$14:$F$14)+($F$13*D411*(1+C411))/(B411-C411)/(1+B411)^$F$14-$B$15+$B$16)/$B$17</f>
        <v/>
      </c>
      <c r="F411" s="304" t="n"/>
      <c r="G411" s="304" t="n"/>
      <c r="H411" s="304" t="n"/>
      <c r="I411" s="304" t="n"/>
      <c r="J411" s="304" t="n"/>
      <c r="K411" s="304" t="n"/>
      <c r="L411" s="304" t="n"/>
      <c r="M411" s="304" t="n"/>
      <c r="N411" s="304" t="n"/>
      <c r="O411" s="304" t="n"/>
      <c r="P411" s="304" t="n"/>
      <c r="Q411" s="304" t="n"/>
    </row>
    <row r="412" ht="13.8" customHeight="1" s="343">
      <c r="A412" s="388">
        <f>ROW()-22</f>
        <v/>
      </c>
      <c r="B412" s="536">
        <f>_xlfn.NORM.INV(RAND(),$B$6,$C$6)</f>
        <v/>
      </c>
      <c r="C412" s="536">
        <f>MIN(_xlfn.NORM.INV(RAND(),$B$7,$C$7),B412-0.005)</f>
        <v/>
      </c>
      <c r="D412" s="537">
        <f>_xlfn.NORM.INV(RAND(),$B$8,$C$8)</f>
        <v/>
      </c>
      <c r="E412" s="391">
        <f t="array" ref="E412">(SUMPRODUCT($B$13:$F$13*D412/(1+B412)^$B$14:$F$14)+($F$13*D412*(1+C412))/(B412-C412)/(1+B412)^$F$14-$B$15+$B$16)/$B$17</f>
        <v/>
      </c>
      <c r="F412" s="304" t="n"/>
      <c r="G412" s="304" t="n"/>
      <c r="H412" s="304" t="n"/>
      <c r="I412" s="304" t="n"/>
      <c r="J412" s="304" t="n"/>
      <c r="K412" s="304" t="n"/>
      <c r="L412" s="304" t="n"/>
      <c r="M412" s="304" t="n"/>
      <c r="N412" s="304" t="n"/>
      <c r="O412" s="304" t="n"/>
      <c r="P412" s="304" t="n"/>
      <c r="Q412" s="304" t="n"/>
    </row>
    <row r="413" ht="13.8" customHeight="1" s="343">
      <c r="A413" s="388">
        <f>ROW()-22</f>
        <v/>
      </c>
      <c r="B413" s="536">
        <f>_xlfn.NORM.INV(RAND(),$B$6,$C$6)</f>
        <v/>
      </c>
      <c r="C413" s="536">
        <f>MIN(_xlfn.NORM.INV(RAND(),$B$7,$C$7),B413-0.005)</f>
        <v/>
      </c>
      <c r="D413" s="537">
        <f>_xlfn.NORM.INV(RAND(),$B$8,$C$8)</f>
        <v/>
      </c>
      <c r="E413" s="391">
        <f t="array" ref="E413">(SUMPRODUCT($B$13:$F$13*D413/(1+B413)^$B$14:$F$14)+($F$13*D413*(1+C413))/(B413-C413)/(1+B413)^$F$14-$B$15+$B$16)/$B$17</f>
        <v/>
      </c>
      <c r="F413" s="304" t="n"/>
      <c r="G413" s="304" t="n"/>
      <c r="H413" s="304" t="n"/>
      <c r="I413" s="304" t="n"/>
      <c r="J413" s="304" t="n"/>
      <c r="K413" s="304" t="n"/>
      <c r="L413" s="304" t="n"/>
      <c r="M413" s="304" t="n"/>
      <c r="N413" s="304" t="n"/>
      <c r="O413" s="304" t="n"/>
      <c r="P413" s="304" t="n"/>
      <c r="Q413" s="304" t="n"/>
    </row>
    <row r="414" ht="13.8" customHeight="1" s="343">
      <c r="A414" s="388">
        <f>ROW()-22</f>
        <v/>
      </c>
      <c r="B414" s="536">
        <f>_xlfn.NORM.INV(RAND(),$B$6,$C$6)</f>
        <v/>
      </c>
      <c r="C414" s="536">
        <f>MIN(_xlfn.NORM.INV(RAND(),$B$7,$C$7),B414-0.005)</f>
        <v/>
      </c>
      <c r="D414" s="537">
        <f>_xlfn.NORM.INV(RAND(),$B$8,$C$8)</f>
        <v/>
      </c>
      <c r="E414" s="391">
        <f t="array" ref="E414">(SUMPRODUCT($B$13:$F$13*D414/(1+B414)^$B$14:$F$14)+($F$13*D414*(1+C414))/(B414-C414)/(1+B414)^$F$14-$B$15+$B$16)/$B$17</f>
        <v/>
      </c>
      <c r="F414" s="304" t="n"/>
      <c r="G414" s="304" t="n"/>
      <c r="H414" s="304" t="n"/>
      <c r="I414" s="304" t="n"/>
      <c r="J414" s="304" t="n"/>
      <c r="K414" s="304" t="n"/>
      <c r="L414" s="304" t="n"/>
      <c r="M414" s="304" t="n"/>
      <c r="N414" s="304" t="n"/>
      <c r="O414" s="304" t="n"/>
      <c r="P414" s="304" t="n"/>
      <c r="Q414" s="304" t="n"/>
    </row>
    <row r="415" ht="13.8" customHeight="1" s="343">
      <c r="A415" s="388">
        <f>ROW()-22</f>
        <v/>
      </c>
      <c r="B415" s="536">
        <f>_xlfn.NORM.INV(RAND(),$B$6,$C$6)</f>
        <v/>
      </c>
      <c r="C415" s="536">
        <f>MIN(_xlfn.NORM.INV(RAND(),$B$7,$C$7),B415-0.005)</f>
        <v/>
      </c>
      <c r="D415" s="537">
        <f>_xlfn.NORM.INV(RAND(),$B$8,$C$8)</f>
        <v/>
      </c>
      <c r="E415" s="391">
        <f t="array" ref="E415">(SUMPRODUCT($B$13:$F$13*D415/(1+B415)^$B$14:$F$14)+($F$13*D415*(1+C415))/(B415-C415)/(1+B415)^$F$14-$B$15+$B$16)/$B$17</f>
        <v/>
      </c>
      <c r="F415" s="304" t="n"/>
      <c r="G415" s="304" t="n"/>
      <c r="H415" s="304" t="n"/>
      <c r="I415" s="304" t="n"/>
      <c r="J415" s="304" t="n"/>
      <c r="K415" s="304" t="n"/>
      <c r="L415" s="304" t="n"/>
      <c r="M415" s="304" t="n"/>
      <c r="N415" s="304" t="n"/>
      <c r="O415" s="304" t="n"/>
      <c r="P415" s="304" t="n"/>
      <c r="Q415" s="304" t="n"/>
    </row>
    <row r="416" ht="13.8" customHeight="1" s="343">
      <c r="A416" s="388">
        <f>ROW()-22</f>
        <v/>
      </c>
      <c r="B416" s="536">
        <f>_xlfn.NORM.INV(RAND(),$B$6,$C$6)</f>
        <v/>
      </c>
      <c r="C416" s="536">
        <f>MIN(_xlfn.NORM.INV(RAND(),$B$7,$C$7),B416-0.005)</f>
        <v/>
      </c>
      <c r="D416" s="537">
        <f>_xlfn.NORM.INV(RAND(),$B$8,$C$8)</f>
        <v/>
      </c>
      <c r="E416" s="391">
        <f t="array" ref="E416">(SUMPRODUCT($B$13:$F$13*D416/(1+B416)^$B$14:$F$14)+($F$13*D416*(1+C416))/(B416-C416)/(1+B416)^$F$14-$B$15+$B$16)/$B$17</f>
        <v/>
      </c>
      <c r="F416" s="304" t="n"/>
      <c r="G416" s="304" t="n"/>
      <c r="H416" s="304" t="n"/>
      <c r="I416" s="304" t="n"/>
      <c r="J416" s="304" t="n"/>
      <c r="K416" s="304" t="n"/>
      <c r="L416" s="304" t="n"/>
      <c r="M416" s="304" t="n"/>
      <c r="N416" s="304" t="n"/>
      <c r="O416" s="304" t="n"/>
      <c r="P416" s="304" t="n"/>
      <c r="Q416" s="304" t="n"/>
    </row>
    <row r="417" ht="13.8" customHeight="1" s="343">
      <c r="A417" s="388">
        <f>ROW()-22</f>
        <v/>
      </c>
      <c r="B417" s="536">
        <f>_xlfn.NORM.INV(RAND(),$B$6,$C$6)</f>
        <v/>
      </c>
      <c r="C417" s="536">
        <f>MIN(_xlfn.NORM.INV(RAND(),$B$7,$C$7),B417-0.005)</f>
        <v/>
      </c>
      <c r="D417" s="537">
        <f>_xlfn.NORM.INV(RAND(),$B$8,$C$8)</f>
        <v/>
      </c>
      <c r="E417" s="391">
        <f t="array" ref="E417">(SUMPRODUCT($B$13:$F$13*D417/(1+B417)^$B$14:$F$14)+($F$13*D417*(1+C417))/(B417-C417)/(1+B417)^$F$14-$B$15+$B$16)/$B$17</f>
        <v/>
      </c>
      <c r="F417" s="304" t="n"/>
      <c r="G417" s="304" t="n"/>
      <c r="H417" s="304" t="n"/>
      <c r="I417" s="304" t="n"/>
      <c r="J417" s="304" t="n"/>
      <c r="K417" s="304" t="n"/>
      <c r="L417" s="304" t="n"/>
      <c r="M417" s="304" t="n"/>
      <c r="N417" s="304" t="n"/>
      <c r="O417" s="304" t="n"/>
      <c r="P417" s="304" t="n"/>
      <c r="Q417" s="304" t="n"/>
    </row>
    <row r="418" ht="13.8" customHeight="1" s="343">
      <c r="A418" s="388">
        <f>ROW()-22</f>
        <v/>
      </c>
      <c r="B418" s="536">
        <f>_xlfn.NORM.INV(RAND(),$B$6,$C$6)</f>
        <v/>
      </c>
      <c r="C418" s="536">
        <f>MIN(_xlfn.NORM.INV(RAND(),$B$7,$C$7),B418-0.005)</f>
        <v/>
      </c>
      <c r="D418" s="537">
        <f>_xlfn.NORM.INV(RAND(),$B$8,$C$8)</f>
        <v/>
      </c>
      <c r="E418" s="391">
        <f t="array" ref="E418">(SUMPRODUCT($B$13:$F$13*D418/(1+B418)^$B$14:$F$14)+($F$13*D418*(1+C418))/(B418-C418)/(1+B418)^$F$14-$B$15+$B$16)/$B$17</f>
        <v/>
      </c>
      <c r="F418" s="304" t="n"/>
      <c r="G418" s="304" t="n"/>
      <c r="H418" s="304" t="n"/>
      <c r="I418" s="304" t="n"/>
      <c r="J418" s="304" t="n"/>
      <c r="K418" s="304" t="n"/>
      <c r="L418" s="304" t="n"/>
      <c r="M418" s="304" t="n"/>
      <c r="N418" s="304" t="n"/>
      <c r="O418" s="304" t="n"/>
      <c r="P418" s="304" t="n"/>
      <c r="Q418" s="304" t="n"/>
    </row>
    <row r="419" ht="13.8" customHeight="1" s="343">
      <c r="A419" s="388">
        <f>ROW()-22</f>
        <v/>
      </c>
      <c r="B419" s="536">
        <f>_xlfn.NORM.INV(RAND(),$B$6,$C$6)</f>
        <v/>
      </c>
      <c r="C419" s="536">
        <f>MIN(_xlfn.NORM.INV(RAND(),$B$7,$C$7),B419-0.005)</f>
        <v/>
      </c>
      <c r="D419" s="537">
        <f>_xlfn.NORM.INV(RAND(),$B$8,$C$8)</f>
        <v/>
      </c>
      <c r="E419" s="391">
        <f t="array" ref="E419">(SUMPRODUCT($B$13:$F$13*D419/(1+B419)^$B$14:$F$14)+($F$13*D419*(1+C419))/(B419-C419)/(1+B419)^$F$14-$B$15+$B$16)/$B$17</f>
        <v/>
      </c>
      <c r="F419" s="304" t="n"/>
      <c r="G419" s="304" t="n"/>
      <c r="H419" s="304" t="n"/>
      <c r="I419" s="304" t="n"/>
      <c r="J419" s="304" t="n"/>
      <c r="K419" s="304" t="n"/>
      <c r="L419" s="304" t="n"/>
      <c r="M419" s="304" t="n"/>
      <c r="N419" s="304" t="n"/>
      <c r="O419" s="304" t="n"/>
      <c r="P419" s="304" t="n"/>
      <c r="Q419" s="304" t="n"/>
    </row>
    <row r="420" ht="13.8" customHeight="1" s="343">
      <c r="A420" s="388">
        <f>ROW()-22</f>
        <v/>
      </c>
      <c r="B420" s="536">
        <f>_xlfn.NORM.INV(RAND(),$B$6,$C$6)</f>
        <v/>
      </c>
      <c r="C420" s="536">
        <f>MIN(_xlfn.NORM.INV(RAND(),$B$7,$C$7),B420-0.005)</f>
        <v/>
      </c>
      <c r="D420" s="537">
        <f>_xlfn.NORM.INV(RAND(),$B$8,$C$8)</f>
        <v/>
      </c>
      <c r="E420" s="391">
        <f t="array" ref="E420">(SUMPRODUCT($B$13:$F$13*D420/(1+B420)^$B$14:$F$14)+($F$13*D420*(1+C420))/(B420-C420)/(1+B420)^$F$14-$B$15+$B$16)/$B$17</f>
        <v/>
      </c>
      <c r="F420" s="304" t="n"/>
      <c r="G420" s="304" t="n"/>
      <c r="H420" s="304" t="n"/>
      <c r="I420" s="304" t="n"/>
      <c r="J420" s="304" t="n"/>
      <c r="K420" s="304" t="n"/>
      <c r="L420" s="304" t="n"/>
      <c r="M420" s="304" t="n"/>
      <c r="N420" s="304" t="n"/>
      <c r="O420" s="304" t="n"/>
      <c r="P420" s="304" t="n"/>
      <c r="Q420" s="304" t="n"/>
    </row>
    <row r="421" ht="13.8" customHeight="1" s="343">
      <c r="A421" s="388">
        <f>ROW()-22</f>
        <v/>
      </c>
      <c r="B421" s="536">
        <f>_xlfn.NORM.INV(RAND(),$B$6,$C$6)</f>
        <v/>
      </c>
      <c r="C421" s="536">
        <f>MIN(_xlfn.NORM.INV(RAND(),$B$7,$C$7),B421-0.005)</f>
        <v/>
      </c>
      <c r="D421" s="537">
        <f>_xlfn.NORM.INV(RAND(),$B$8,$C$8)</f>
        <v/>
      </c>
      <c r="E421" s="391">
        <f t="array" ref="E421">(SUMPRODUCT($B$13:$F$13*D421/(1+B421)^$B$14:$F$14)+($F$13*D421*(1+C421))/(B421-C421)/(1+B421)^$F$14-$B$15+$B$16)/$B$17</f>
        <v/>
      </c>
      <c r="F421" s="304" t="n"/>
      <c r="G421" s="304" t="n"/>
      <c r="H421" s="304" t="n"/>
      <c r="I421" s="304" t="n"/>
      <c r="J421" s="304" t="n"/>
      <c r="K421" s="304" t="n"/>
      <c r="L421" s="304" t="n"/>
      <c r="M421" s="304" t="n"/>
      <c r="N421" s="304" t="n"/>
      <c r="O421" s="304" t="n"/>
      <c r="P421" s="304" t="n"/>
      <c r="Q421" s="304" t="n"/>
    </row>
    <row r="422" ht="13.8" customHeight="1" s="343">
      <c r="A422" s="388">
        <f>ROW()-22</f>
        <v/>
      </c>
      <c r="B422" s="536">
        <f>_xlfn.NORM.INV(RAND(),$B$6,$C$6)</f>
        <v/>
      </c>
      <c r="C422" s="536">
        <f>MIN(_xlfn.NORM.INV(RAND(),$B$7,$C$7),B422-0.005)</f>
        <v/>
      </c>
      <c r="D422" s="537">
        <f>_xlfn.NORM.INV(RAND(),$B$8,$C$8)</f>
        <v/>
      </c>
      <c r="E422" s="391">
        <f t="array" ref="E422">(SUMPRODUCT($B$13:$F$13*D422/(1+B422)^$B$14:$F$14)+($F$13*D422*(1+C422))/(B422-C422)/(1+B422)^$F$14-$B$15+$B$16)/$B$17</f>
        <v/>
      </c>
      <c r="F422" s="304" t="n"/>
      <c r="G422" s="304" t="n"/>
      <c r="H422" s="304" t="n"/>
      <c r="I422" s="304" t="n"/>
      <c r="J422" s="304" t="n"/>
      <c r="K422" s="304" t="n"/>
      <c r="L422" s="304" t="n"/>
      <c r="M422" s="304" t="n"/>
      <c r="N422" s="304" t="n"/>
      <c r="O422" s="304" t="n"/>
      <c r="P422" s="304" t="n"/>
      <c r="Q422" s="304" t="n"/>
    </row>
    <row r="423" ht="13.8" customHeight="1" s="343">
      <c r="A423" s="388">
        <f>ROW()-22</f>
        <v/>
      </c>
      <c r="B423" s="536">
        <f>_xlfn.NORM.INV(RAND(),$B$6,$C$6)</f>
        <v/>
      </c>
      <c r="C423" s="536">
        <f>MIN(_xlfn.NORM.INV(RAND(),$B$7,$C$7),B423-0.005)</f>
        <v/>
      </c>
      <c r="D423" s="537">
        <f>_xlfn.NORM.INV(RAND(),$B$8,$C$8)</f>
        <v/>
      </c>
      <c r="E423" s="391">
        <f t="array" ref="E423">(SUMPRODUCT($B$13:$F$13*D423/(1+B423)^$B$14:$F$14)+($F$13*D423*(1+C423))/(B423-C423)/(1+B423)^$F$14-$B$15+$B$16)/$B$17</f>
        <v/>
      </c>
      <c r="F423" s="304" t="n"/>
      <c r="G423" s="304" t="n"/>
      <c r="H423" s="304" t="n"/>
      <c r="I423" s="304" t="n"/>
      <c r="J423" s="304" t="n"/>
      <c r="K423" s="304" t="n"/>
      <c r="L423" s="304" t="n"/>
      <c r="M423" s="304" t="n"/>
      <c r="N423" s="304" t="n"/>
      <c r="O423" s="304" t="n"/>
      <c r="P423" s="304" t="n"/>
      <c r="Q423" s="304" t="n"/>
    </row>
    <row r="424" ht="13.8" customHeight="1" s="343">
      <c r="A424" s="388">
        <f>ROW()-22</f>
        <v/>
      </c>
      <c r="B424" s="536">
        <f>_xlfn.NORM.INV(RAND(),$B$6,$C$6)</f>
        <v/>
      </c>
      <c r="C424" s="536">
        <f>MIN(_xlfn.NORM.INV(RAND(),$B$7,$C$7),B424-0.005)</f>
        <v/>
      </c>
      <c r="D424" s="537">
        <f>_xlfn.NORM.INV(RAND(),$B$8,$C$8)</f>
        <v/>
      </c>
      <c r="E424" s="391">
        <f t="array" ref="E424">(SUMPRODUCT($B$13:$F$13*D424/(1+B424)^$B$14:$F$14)+($F$13*D424*(1+C424))/(B424-C424)/(1+B424)^$F$14-$B$15+$B$16)/$B$17</f>
        <v/>
      </c>
      <c r="F424" s="304" t="n"/>
      <c r="G424" s="304" t="n"/>
      <c r="H424" s="304" t="n"/>
      <c r="I424" s="304" t="n"/>
      <c r="J424" s="304" t="n"/>
      <c r="K424" s="304" t="n"/>
      <c r="L424" s="304" t="n"/>
      <c r="M424" s="304" t="n"/>
      <c r="N424" s="304" t="n"/>
      <c r="O424" s="304" t="n"/>
      <c r="P424" s="304" t="n"/>
      <c r="Q424" s="304" t="n"/>
    </row>
    <row r="425" ht="13.8" customHeight="1" s="343">
      <c r="A425" s="388">
        <f>ROW()-22</f>
        <v/>
      </c>
      <c r="B425" s="536">
        <f>_xlfn.NORM.INV(RAND(),$B$6,$C$6)</f>
        <v/>
      </c>
      <c r="C425" s="536">
        <f>MIN(_xlfn.NORM.INV(RAND(),$B$7,$C$7),B425-0.005)</f>
        <v/>
      </c>
      <c r="D425" s="537">
        <f>_xlfn.NORM.INV(RAND(),$B$8,$C$8)</f>
        <v/>
      </c>
      <c r="E425" s="391">
        <f t="array" ref="E425">(SUMPRODUCT($B$13:$F$13*D425/(1+B425)^$B$14:$F$14)+($F$13*D425*(1+C425))/(B425-C425)/(1+B425)^$F$14-$B$15+$B$16)/$B$17</f>
        <v/>
      </c>
      <c r="F425" s="304" t="n"/>
      <c r="G425" s="304" t="n"/>
      <c r="H425" s="304" t="n"/>
      <c r="I425" s="304" t="n"/>
      <c r="J425" s="304" t="n"/>
      <c r="K425" s="304" t="n"/>
      <c r="L425" s="304" t="n"/>
      <c r="M425" s="304" t="n"/>
      <c r="N425" s="304" t="n"/>
      <c r="O425" s="304" t="n"/>
      <c r="P425" s="304" t="n"/>
      <c r="Q425" s="304" t="n"/>
    </row>
    <row r="426" ht="13.8" customHeight="1" s="343">
      <c r="A426" s="388">
        <f>ROW()-22</f>
        <v/>
      </c>
      <c r="B426" s="536">
        <f>_xlfn.NORM.INV(RAND(),$B$6,$C$6)</f>
        <v/>
      </c>
      <c r="C426" s="536">
        <f>MIN(_xlfn.NORM.INV(RAND(),$B$7,$C$7),B426-0.005)</f>
        <v/>
      </c>
      <c r="D426" s="537">
        <f>_xlfn.NORM.INV(RAND(),$B$8,$C$8)</f>
        <v/>
      </c>
      <c r="E426" s="391">
        <f t="array" ref="E426">(SUMPRODUCT($B$13:$F$13*D426/(1+B426)^$B$14:$F$14)+($F$13*D426*(1+C426))/(B426-C426)/(1+B426)^$F$14-$B$15+$B$16)/$B$17</f>
        <v/>
      </c>
      <c r="F426" s="304" t="n"/>
      <c r="G426" s="304" t="n"/>
      <c r="H426" s="304" t="n"/>
      <c r="I426" s="304" t="n"/>
      <c r="J426" s="304" t="n"/>
      <c r="K426" s="304" t="n"/>
      <c r="L426" s="304" t="n"/>
      <c r="M426" s="304" t="n"/>
      <c r="N426" s="304" t="n"/>
      <c r="O426" s="304" t="n"/>
      <c r="P426" s="304" t="n"/>
      <c r="Q426" s="304" t="n"/>
    </row>
    <row r="427" ht="13.8" customHeight="1" s="343">
      <c r="A427" s="388">
        <f>ROW()-22</f>
        <v/>
      </c>
      <c r="B427" s="536">
        <f>_xlfn.NORM.INV(RAND(),$B$6,$C$6)</f>
        <v/>
      </c>
      <c r="C427" s="536">
        <f>MIN(_xlfn.NORM.INV(RAND(),$B$7,$C$7),B427-0.005)</f>
        <v/>
      </c>
      <c r="D427" s="537">
        <f>_xlfn.NORM.INV(RAND(),$B$8,$C$8)</f>
        <v/>
      </c>
      <c r="E427" s="391">
        <f t="array" ref="E427">(SUMPRODUCT($B$13:$F$13*D427/(1+B427)^$B$14:$F$14)+($F$13*D427*(1+C427))/(B427-C427)/(1+B427)^$F$14-$B$15+$B$16)/$B$17</f>
        <v/>
      </c>
      <c r="F427" s="304" t="n"/>
      <c r="G427" s="304" t="n"/>
      <c r="H427" s="304" t="n"/>
      <c r="I427" s="304" t="n"/>
      <c r="J427" s="304" t="n"/>
      <c r="K427" s="304" t="n"/>
      <c r="L427" s="304" t="n"/>
      <c r="M427" s="304" t="n"/>
      <c r="N427" s="304" t="n"/>
      <c r="O427" s="304" t="n"/>
      <c r="P427" s="304" t="n"/>
      <c r="Q427" s="304" t="n"/>
    </row>
    <row r="428" ht="13.8" customHeight="1" s="343">
      <c r="A428" s="388">
        <f>ROW()-22</f>
        <v/>
      </c>
      <c r="B428" s="536">
        <f>_xlfn.NORM.INV(RAND(),$B$6,$C$6)</f>
        <v/>
      </c>
      <c r="C428" s="536">
        <f>MIN(_xlfn.NORM.INV(RAND(),$B$7,$C$7),B428-0.005)</f>
        <v/>
      </c>
      <c r="D428" s="537">
        <f>_xlfn.NORM.INV(RAND(),$B$8,$C$8)</f>
        <v/>
      </c>
      <c r="E428" s="391">
        <f t="array" ref="E428">(SUMPRODUCT($B$13:$F$13*D428/(1+B428)^$B$14:$F$14)+($F$13*D428*(1+C428))/(B428-C428)/(1+B428)^$F$14-$B$15+$B$16)/$B$17</f>
        <v/>
      </c>
      <c r="F428" s="304" t="n"/>
      <c r="G428" s="304" t="n"/>
      <c r="H428" s="304" t="n"/>
      <c r="I428" s="304" t="n"/>
      <c r="J428" s="304" t="n"/>
      <c r="K428" s="304" t="n"/>
      <c r="L428" s="304" t="n"/>
      <c r="M428" s="304" t="n"/>
      <c r="N428" s="304" t="n"/>
      <c r="O428" s="304" t="n"/>
      <c r="P428" s="304" t="n"/>
      <c r="Q428" s="304" t="n"/>
    </row>
    <row r="429" ht="13.8" customHeight="1" s="343">
      <c r="A429" s="388">
        <f>ROW()-22</f>
        <v/>
      </c>
      <c r="B429" s="536">
        <f>_xlfn.NORM.INV(RAND(),$B$6,$C$6)</f>
        <v/>
      </c>
      <c r="C429" s="536">
        <f>MIN(_xlfn.NORM.INV(RAND(),$B$7,$C$7),B429-0.005)</f>
        <v/>
      </c>
      <c r="D429" s="537">
        <f>_xlfn.NORM.INV(RAND(),$B$8,$C$8)</f>
        <v/>
      </c>
      <c r="E429" s="391">
        <f t="array" ref="E429">(SUMPRODUCT($B$13:$F$13*D429/(1+B429)^$B$14:$F$14)+($F$13*D429*(1+C429))/(B429-C429)/(1+B429)^$F$14-$B$15+$B$16)/$B$17</f>
        <v/>
      </c>
      <c r="F429" s="304" t="n"/>
      <c r="G429" s="304" t="n"/>
      <c r="H429" s="304" t="n"/>
      <c r="I429" s="304" t="n"/>
      <c r="J429" s="304" t="n"/>
      <c r="K429" s="304" t="n"/>
      <c r="L429" s="304" t="n"/>
      <c r="M429" s="304" t="n"/>
      <c r="N429" s="304" t="n"/>
      <c r="O429" s="304" t="n"/>
      <c r="P429" s="304" t="n"/>
      <c r="Q429" s="304" t="n"/>
    </row>
    <row r="430" ht="13.8" customHeight="1" s="343">
      <c r="A430" s="388">
        <f>ROW()-22</f>
        <v/>
      </c>
      <c r="B430" s="536">
        <f>_xlfn.NORM.INV(RAND(),$B$6,$C$6)</f>
        <v/>
      </c>
      <c r="C430" s="536">
        <f>MIN(_xlfn.NORM.INV(RAND(),$B$7,$C$7),B430-0.005)</f>
        <v/>
      </c>
      <c r="D430" s="537">
        <f>_xlfn.NORM.INV(RAND(),$B$8,$C$8)</f>
        <v/>
      </c>
      <c r="E430" s="391">
        <f t="array" ref="E430">(SUMPRODUCT($B$13:$F$13*D430/(1+B430)^$B$14:$F$14)+($F$13*D430*(1+C430))/(B430-C430)/(1+B430)^$F$14-$B$15+$B$16)/$B$17</f>
        <v/>
      </c>
      <c r="F430" s="304" t="n"/>
      <c r="G430" s="304" t="n"/>
      <c r="H430" s="304" t="n"/>
      <c r="I430" s="304" t="n"/>
      <c r="J430" s="304" t="n"/>
      <c r="K430" s="304" t="n"/>
      <c r="L430" s="304" t="n"/>
      <c r="M430" s="304" t="n"/>
      <c r="N430" s="304" t="n"/>
      <c r="O430" s="304" t="n"/>
      <c r="P430" s="304" t="n"/>
      <c r="Q430" s="304" t="n"/>
    </row>
    <row r="431" ht="13.8" customHeight="1" s="343">
      <c r="A431" s="388">
        <f>ROW()-22</f>
        <v/>
      </c>
      <c r="B431" s="536">
        <f>_xlfn.NORM.INV(RAND(),$B$6,$C$6)</f>
        <v/>
      </c>
      <c r="C431" s="536">
        <f>MIN(_xlfn.NORM.INV(RAND(),$B$7,$C$7),B431-0.005)</f>
        <v/>
      </c>
      <c r="D431" s="537">
        <f>_xlfn.NORM.INV(RAND(),$B$8,$C$8)</f>
        <v/>
      </c>
      <c r="E431" s="391">
        <f t="array" ref="E431">(SUMPRODUCT($B$13:$F$13*D431/(1+B431)^$B$14:$F$14)+($F$13*D431*(1+C431))/(B431-C431)/(1+B431)^$F$14-$B$15+$B$16)/$B$17</f>
        <v/>
      </c>
      <c r="F431" s="304" t="n"/>
      <c r="G431" s="304" t="n"/>
      <c r="H431" s="304" t="n"/>
      <c r="I431" s="304" t="n"/>
      <c r="J431" s="304" t="n"/>
      <c r="K431" s="304" t="n"/>
      <c r="L431" s="304" t="n"/>
      <c r="M431" s="304" t="n"/>
      <c r="N431" s="304" t="n"/>
      <c r="O431" s="304" t="n"/>
      <c r="P431" s="304" t="n"/>
      <c r="Q431" s="304" t="n"/>
    </row>
    <row r="432" ht="13.8" customHeight="1" s="343">
      <c r="A432" s="388">
        <f>ROW()-22</f>
        <v/>
      </c>
      <c r="B432" s="536">
        <f>_xlfn.NORM.INV(RAND(),$B$6,$C$6)</f>
        <v/>
      </c>
      <c r="C432" s="536">
        <f>MIN(_xlfn.NORM.INV(RAND(),$B$7,$C$7),B432-0.005)</f>
        <v/>
      </c>
      <c r="D432" s="537">
        <f>_xlfn.NORM.INV(RAND(),$B$8,$C$8)</f>
        <v/>
      </c>
      <c r="E432" s="391">
        <f t="array" ref="E432">(SUMPRODUCT($B$13:$F$13*D432/(1+B432)^$B$14:$F$14)+($F$13*D432*(1+C432))/(B432-C432)/(1+B432)^$F$14-$B$15+$B$16)/$B$17</f>
        <v/>
      </c>
      <c r="F432" s="304" t="n"/>
      <c r="G432" s="304" t="n"/>
      <c r="H432" s="304" t="n"/>
      <c r="I432" s="304" t="n"/>
      <c r="J432" s="304" t="n"/>
      <c r="K432" s="304" t="n"/>
      <c r="L432" s="304" t="n"/>
      <c r="M432" s="304" t="n"/>
      <c r="N432" s="304" t="n"/>
      <c r="O432" s="304" t="n"/>
      <c r="P432" s="304" t="n"/>
      <c r="Q432" s="304" t="n"/>
    </row>
    <row r="433" ht="13.8" customHeight="1" s="343">
      <c r="A433" s="388">
        <f>ROW()-22</f>
        <v/>
      </c>
      <c r="B433" s="536">
        <f>_xlfn.NORM.INV(RAND(),$B$6,$C$6)</f>
        <v/>
      </c>
      <c r="C433" s="536">
        <f>MIN(_xlfn.NORM.INV(RAND(),$B$7,$C$7),B433-0.005)</f>
        <v/>
      </c>
      <c r="D433" s="537">
        <f>_xlfn.NORM.INV(RAND(),$B$8,$C$8)</f>
        <v/>
      </c>
      <c r="E433" s="391">
        <f t="array" ref="E433">(SUMPRODUCT($B$13:$F$13*D433/(1+B433)^$B$14:$F$14)+($F$13*D433*(1+C433))/(B433-C433)/(1+B433)^$F$14-$B$15+$B$16)/$B$17</f>
        <v/>
      </c>
      <c r="F433" s="304" t="n"/>
      <c r="G433" s="304" t="n"/>
      <c r="H433" s="304" t="n"/>
      <c r="I433" s="304" t="n"/>
      <c r="J433" s="304" t="n"/>
      <c r="K433" s="304" t="n"/>
      <c r="L433" s="304" t="n"/>
      <c r="M433" s="304" t="n"/>
      <c r="N433" s="304" t="n"/>
      <c r="O433" s="304" t="n"/>
      <c r="P433" s="304" t="n"/>
      <c r="Q433" s="304" t="n"/>
    </row>
    <row r="434" ht="13.8" customHeight="1" s="343">
      <c r="A434" s="388">
        <f>ROW()-22</f>
        <v/>
      </c>
      <c r="B434" s="536">
        <f>_xlfn.NORM.INV(RAND(),$B$6,$C$6)</f>
        <v/>
      </c>
      <c r="C434" s="536">
        <f>MIN(_xlfn.NORM.INV(RAND(),$B$7,$C$7),B434-0.005)</f>
        <v/>
      </c>
      <c r="D434" s="537">
        <f>_xlfn.NORM.INV(RAND(),$B$8,$C$8)</f>
        <v/>
      </c>
      <c r="E434" s="391">
        <f t="array" ref="E434">(SUMPRODUCT($B$13:$F$13*D434/(1+B434)^$B$14:$F$14)+($F$13*D434*(1+C434))/(B434-C434)/(1+B434)^$F$14-$B$15+$B$16)/$B$17</f>
        <v/>
      </c>
      <c r="F434" s="304" t="n"/>
      <c r="G434" s="304" t="n"/>
      <c r="H434" s="304" t="n"/>
      <c r="I434" s="304" t="n"/>
      <c r="J434" s="304" t="n"/>
      <c r="K434" s="304" t="n"/>
      <c r="L434" s="304" t="n"/>
      <c r="M434" s="304" t="n"/>
      <c r="N434" s="304" t="n"/>
      <c r="O434" s="304" t="n"/>
      <c r="P434" s="304" t="n"/>
      <c r="Q434" s="304" t="n"/>
    </row>
    <row r="435" ht="13.8" customHeight="1" s="343">
      <c r="A435" s="388">
        <f>ROW()-22</f>
        <v/>
      </c>
      <c r="B435" s="536">
        <f>_xlfn.NORM.INV(RAND(),$B$6,$C$6)</f>
        <v/>
      </c>
      <c r="C435" s="536">
        <f>MIN(_xlfn.NORM.INV(RAND(),$B$7,$C$7),B435-0.005)</f>
        <v/>
      </c>
      <c r="D435" s="537">
        <f>_xlfn.NORM.INV(RAND(),$B$8,$C$8)</f>
        <v/>
      </c>
      <c r="E435" s="391">
        <f t="array" ref="E435">(SUMPRODUCT($B$13:$F$13*D435/(1+B435)^$B$14:$F$14)+($F$13*D435*(1+C435))/(B435-C435)/(1+B435)^$F$14-$B$15+$B$16)/$B$17</f>
        <v/>
      </c>
      <c r="F435" s="304" t="n"/>
      <c r="G435" s="304" t="n"/>
      <c r="H435" s="304" t="n"/>
      <c r="I435" s="304" t="n"/>
      <c r="J435" s="304" t="n"/>
      <c r="K435" s="304" t="n"/>
      <c r="L435" s="304" t="n"/>
      <c r="M435" s="304" t="n"/>
      <c r="N435" s="304" t="n"/>
      <c r="O435" s="304" t="n"/>
      <c r="P435" s="304" t="n"/>
      <c r="Q435" s="304" t="n"/>
    </row>
    <row r="436" ht="13.8" customHeight="1" s="343">
      <c r="A436" s="388">
        <f>ROW()-22</f>
        <v/>
      </c>
      <c r="B436" s="536">
        <f>_xlfn.NORM.INV(RAND(),$B$6,$C$6)</f>
        <v/>
      </c>
      <c r="C436" s="536">
        <f>MIN(_xlfn.NORM.INV(RAND(),$B$7,$C$7),B436-0.005)</f>
        <v/>
      </c>
      <c r="D436" s="537">
        <f>_xlfn.NORM.INV(RAND(),$B$8,$C$8)</f>
        <v/>
      </c>
      <c r="E436" s="391">
        <f t="array" ref="E436">(SUMPRODUCT($B$13:$F$13*D436/(1+B436)^$B$14:$F$14)+($F$13*D436*(1+C436))/(B436-C436)/(1+B436)^$F$14-$B$15+$B$16)/$B$17</f>
        <v/>
      </c>
      <c r="F436" s="304" t="n"/>
      <c r="G436" s="304" t="n"/>
      <c r="H436" s="304" t="n"/>
      <c r="I436" s="304" t="n"/>
      <c r="J436" s="304" t="n"/>
      <c r="K436" s="304" t="n"/>
      <c r="L436" s="304" t="n"/>
      <c r="M436" s="304" t="n"/>
      <c r="N436" s="304" t="n"/>
      <c r="O436" s="304" t="n"/>
      <c r="P436" s="304" t="n"/>
      <c r="Q436" s="304" t="n"/>
    </row>
    <row r="437" ht="13.8" customHeight="1" s="343">
      <c r="A437" s="388">
        <f>ROW()-22</f>
        <v/>
      </c>
      <c r="B437" s="536">
        <f>_xlfn.NORM.INV(RAND(),$B$6,$C$6)</f>
        <v/>
      </c>
      <c r="C437" s="536">
        <f>MIN(_xlfn.NORM.INV(RAND(),$B$7,$C$7),B437-0.005)</f>
        <v/>
      </c>
      <c r="D437" s="537">
        <f>_xlfn.NORM.INV(RAND(),$B$8,$C$8)</f>
        <v/>
      </c>
      <c r="E437" s="391">
        <f t="array" ref="E437">(SUMPRODUCT($B$13:$F$13*D437/(1+B437)^$B$14:$F$14)+($F$13*D437*(1+C437))/(B437-C437)/(1+B437)^$F$14-$B$15+$B$16)/$B$17</f>
        <v/>
      </c>
      <c r="F437" s="304" t="n"/>
      <c r="G437" s="304" t="n"/>
      <c r="H437" s="304" t="n"/>
      <c r="I437" s="304" t="n"/>
      <c r="J437" s="304" t="n"/>
      <c r="K437" s="304" t="n"/>
      <c r="L437" s="304" t="n"/>
      <c r="M437" s="304" t="n"/>
      <c r="N437" s="304" t="n"/>
      <c r="O437" s="304" t="n"/>
      <c r="P437" s="304" t="n"/>
      <c r="Q437" s="304" t="n"/>
    </row>
    <row r="438" ht="13.8" customHeight="1" s="343">
      <c r="A438" s="388">
        <f>ROW()-22</f>
        <v/>
      </c>
      <c r="B438" s="536">
        <f>_xlfn.NORM.INV(RAND(),$B$6,$C$6)</f>
        <v/>
      </c>
      <c r="C438" s="536">
        <f>MIN(_xlfn.NORM.INV(RAND(),$B$7,$C$7),B438-0.005)</f>
        <v/>
      </c>
      <c r="D438" s="537">
        <f>_xlfn.NORM.INV(RAND(),$B$8,$C$8)</f>
        <v/>
      </c>
      <c r="E438" s="391">
        <f t="array" ref="E438">(SUMPRODUCT($B$13:$F$13*D438/(1+B438)^$B$14:$F$14)+($F$13*D438*(1+C438))/(B438-C438)/(1+B438)^$F$14-$B$15+$B$16)/$B$17</f>
        <v/>
      </c>
      <c r="F438" s="304" t="n"/>
      <c r="G438" s="304" t="n"/>
      <c r="H438" s="304" t="n"/>
      <c r="I438" s="304" t="n"/>
      <c r="J438" s="304" t="n"/>
      <c r="K438" s="304" t="n"/>
      <c r="L438" s="304" t="n"/>
      <c r="M438" s="304" t="n"/>
      <c r="N438" s="304" t="n"/>
      <c r="O438" s="304" t="n"/>
      <c r="P438" s="304" t="n"/>
      <c r="Q438" s="304" t="n"/>
    </row>
    <row r="439" ht="13.8" customHeight="1" s="343">
      <c r="A439" s="388">
        <f>ROW()-22</f>
        <v/>
      </c>
      <c r="B439" s="536">
        <f>_xlfn.NORM.INV(RAND(),$B$6,$C$6)</f>
        <v/>
      </c>
      <c r="C439" s="536">
        <f>MIN(_xlfn.NORM.INV(RAND(),$B$7,$C$7),B439-0.005)</f>
        <v/>
      </c>
      <c r="D439" s="537">
        <f>_xlfn.NORM.INV(RAND(),$B$8,$C$8)</f>
        <v/>
      </c>
      <c r="E439" s="391">
        <f t="array" ref="E439">(SUMPRODUCT($B$13:$F$13*D439/(1+B439)^$B$14:$F$14)+($F$13*D439*(1+C439))/(B439-C439)/(1+B439)^$F$14-$B$15+$B$16)/$B$17</f>
        <v/>
      </c>
      <c r="F439" s="304" t="n"/>
      <c r="G439" s="304" t="n"/>
      <c r="H439" s="304" t="n"/>
      <c r="I439" s="304" t="n"/>
      <c r="J439" s="304" t="n"/>
      <c r="K439" s="304" t="n"/>
      <c r="L439" s="304" t="n"/>
      <c r="M439" s="304" t="n"/>
      <c r="N439" s="304" t="n"/>
      <c r="O439" s="304" t="n"/>
      <c r="P439" s="304" t="n"/>
      <c r="Q439" s="304" t="n"/>
    </row>
    <row r="440" ht="13.8" customHeight="1" s="343">
      <c r="A440" s="388">
        <f>ROW()-22</f>
        <v/>
      </c>
      <c r="B440" s="536">
        <f>_xlfn.NORM.INV(RAND(),$B$6,$C$6)</f>
        <v/>
      </c>
      <c r="C440" s="536">
        <f>MIN(_xlfn.NORM.INV(RAND(),$B$7,$C$7),B440-0.005)</f>
        <v/>
      </c>
      <c r="D440" s="537">
        <f>_xlfn.NORM.INV(RAND(),$B$8,$C$8)</f>
        <v/>
      </c>
      <c r="E440" s="391">
        <f t="array" ref="E440">(SUMPRODUCT($B$13:$F$13*D440/(1+B440)^$B$14:$F$14)+($F$13*D440*(1+C440))/(B440-C440)/(1+B440)^$F$14-$B$15+$B$16)/$B$17</f>
        <v/>
      </c>
      <c r="F440" s="304" t="n"/>
      <c r="G440" s="304" t="n"/>
      <c r="H440" s="304" t="n"/>
      <c r="I440" s="304" t="n"/>
      <c r="J440" s="304" t="n"/>
      <c r="K440" s="304" t="n"/>
      <c r="L440" s="304" t="n"/>
      <c r="M440" s="304" t="n"/>
      <c r="N440" s="304" t="n"/>
      <c r="O440" s="304" t="n"/>
      <c r="P440" s="304" t="n"/>
      <c r="Q440" s="304" t="n"/>
    </row>
    <row r="441" ht="13.8" customHeight="1" s="343">
      <c r="A441" s="388">
        <f>ROW()-22</f>
        <v/>
      </c>
      <c r="B441" s="536">
        <f>_xlfn.NORM.INV(RAND(),$B$6,$C$6)</f>
        <v/>
      </c>
      <c r="C441" s="536">
        <f>MIN(_xlfn.NORM.INV(RAND(),$B$7,$C$7),B441-0.005)</f>
        <v/>
      </c>
      <c r="D441" s="537">
        <f>_xlfn.NORM.INV(RAND(),$B$8,$C$8)</f>
        <v/>
      </c>
      <c r="E441" s="391">
        <f t="array" ref="E441">(SUMPRODUCT($B$13:$F$13*D441/(1+B441)^$B$14:$F$14)+($F$13*D441*(1+C441))/(B441-C441)/(1+B441)^$F$14-$B$15+$B$16)/$B$17</f>
        <v/>
      </c>
      <c r="F441" s="304" t="n"/>
      <c r="G441" s="304" t="n"/>
      <c r="H441" s="304" t="n"/>
      <c r="I441" s="304" t="n"/>
      <c r="J441" s="304" t="n"/>
      <c r="K441" s="304" t="n"/>
      <c r="L441" s="304" t="n"/>
      <c r="M441" s="304" t="n"/>
      <c r="N441" s="304" t="n"/>
      <c r="O441" s="304" t="n"/>
      <c r="P441" s="304" t="n"/>
      <c r="Q441" s="304" t="n"/>
    </row>
    <row r="442" ht="13.8" customHeight="1" s="343">
      <c r="A442" s="388">
        <f>ROW()-22</f>
        <v/>
      </c>
      <c r="B442" s="536">
        <f>_xlfn.NORM.INV(RAND(),$B$6,$C$6)</f>
        <v/>
      </c>
      <c r="C442" s="536">
        <f>MIN(_xlfn.NORM.INV(RAND(),$B$7,$C$7),B442-0.005)</f>
        <v/>
      </c>
      <c r="D442" s="537">
        <f>_xlfn.NORM.INV(RAND(),$B$8,$C$8)</f>
        <v/>
      </c>
      <c r="E442" s="391">
        <f t="array" ref="E442">(SUMPRODUCT($B$13:$F$13*D442/(1+B442)^$B$14:$F$14)+($F$13*D442*(1+C442))/(B442-C442)/(1+B442)^$F$14-$B$15+$B$16)/$B$17</f>
        <v/>
      </c>
      <c r="F442" s="304" t="n"/>
      <c r="G442" s="304" t="n"/>
      <c r="H442" s="304" t="n"/>
      <c r="I442" s="304" t="n"/>
      <c r="J442" s="304" t="n"/>
      <c r="K442" s="304" t="n"/>
      <c r="L442" s="304" t="n"/>
      <c r="M442" s="304" t="n"/>
      <c r="N442" s="304" t="n"/>
      <c r="O442" s="304" t="n"/>
      <c r="P442" s="304" t="n"/>
      <c r="Q442" s="304" t="n"/>
    </row>
    <row r="443" ht="13.8" customHeight="1" s="343">
      <c r="A443" s="388">
        <f>ROW()-22</f>
        <v/>
      </c>
      <c r="B443" s="536">
        <f>_xlfn.NORM.INV(RAND(),$B$6,$C$6)</f>
        <v/>
      </c>
      <c r="C443" s="536">
        <f>MIN(_xlfn.NORM.INV(RAND(),$B$7,$C$7),B443-0.005)</f>
        <v/>
      </c>
      <c r="D443" s="537">
        <f>_xlfn.NORM.INV(RAND(),$B$8,$C$8)</f>
        <v/>
      </c>
      <c r="E443" s="391">
        <f t="array" ref="E443">(SUMPRODUCT($B$13:$F$13*D443/(1+B443)^$B$14:$F$14)+($F$13*D443*(1+C443))/(B443-C443)/(1+B443)^$F$14-$B$15+$B$16)/$B$17</f>
        <v/>
      </c>
      <c r="F443" s="304" t="n"/>
      <c r="G443" s="304" t="n"/>
      <c r="H443" s="304" t="n"/>
      <c r="I443" s="304" t="n"/>
      <c r="J443" s="304" t="n"/>
      <c r="K443" s="304" t="n"/>
      <c r="L443" s="304" t="n"/>
      <c r="M443" s="304" t="n"/>
      <c r="N443" s="304" t="n"/>
      <c r="O443" s="304" t="n"/>
      <c r="P443" s="304" t="n"/>
      <c r="Q443" s="304" t="n"/>
    </row>
    <row r="444" ht="13.8" customHeight="1" s="343">
      <c r="A444" s="388">
        <f>ROW()-22</f>
        <v/>
      </c>
      <c r="B444" s="536">
        <f>_xlfn.NORM.INV(RAND(),$B$6,$C$6)</f>
        <v/>
      </c>
      <c r="C444" s="536">
        <f>MIN(_xlfn.NORM.INV(RAND(),$B$7,$C$7),B444-0.005)</f>
        <v/>
      </c>
      <c r="D444" s="537">
        <f>_xlfn.NORM.INV(RAND(),$B$8,$C$8)</f>
        <v/>
      </c>
      <c r="E444" s="391">
        <f t="array" ref="E444">(SUMPRODUCT($B$13:$F$13*D444/(1+B444)^$B$14:$F$14)+($F$13*D444*(1+C444))/(B444-C444)/(1+B444)^$F$14-$B$15+$B$16)/$B$17</f>
        <v/>
      </c>
      <c r="F444" s="304" t="n"/>
      <c r="G444" s="304" t="n"/>
      <c r="H444" s="304" t="n"/>
      <c r="I444" s="304" t="n"/>
      <c r="J444" s="304" t="n"/>
      <c r="K444" s="304" t="n"/>
      <c r="L444" s="304" t="n"/>
      <c r="M444" s="304" t="n"/>
      <c r="N444" s="304" t="n"/>
      <c r="O444" s="304" t="n"/>
      <c r="P444" s="304" t="n"/>
      <c r="Q444" s="304" t="n"/>
    </row>
    <row r="445" ht="13.8" customHeight="1" s="343">
      <c r="A445" s="388">
        <f>ROW()-22</f>
        <v/>
      </c>
      <c r="B445" s="536">
        <f>_xlfn.NORM.INV(RAND(),$B$6,$C$6)</f>
        <v/>
      </c>
      <c r="C445" s="536">
        <f>MIN(_xlfn.NORM.INV(RAND(),$B$7,$C$7),B445-0.005)</f>
        <v/>
      </c>
      <c r="D445" s="537">
        <f>_xlfn.NORM.INV(RAND(),$B$8,$C$8)</f>
        <v/>
      </c>
      <c r="E445" s="391">
        <f t="array" ref="E445">(SUMPRODUCT($B$13:$F$13*D445/(1+B445)^$B$14:$F$14)+($F$13*D445*(1+C445))/(B445-C445)/(1+B445)^$F$14-$B$15+$B$16)/$B$17</f>
        <v/>
      </c>
      <c r="F445" s="304" t="n"/>
      <c r="G445" s="304" t="n"/>
      <c r="H445" s="304" t="n"/>
      <c r="I445" s="304" t="n"/>
      <c r="J445" s="304" t="n"/>
      <c r="K445" s="304" t="n"/>
      <c r="L445" s="304" t="n"/>
      <c r="M445" s="304" t="n"/>
      <c r="N445" s="304" t="n"/>
      <c r="O445" s="304" t="n"/>
      <c r="P445" s="304" t="n"/>
      <c r="Q445" s="304" t="n"/>
    </row>
    <row r="446" ht="13.8" customHeight="1" s="343">
      <c r="A446" s="388">
        <f>ROW()-22</f>
        <v/>
      </c>
      <c r="B446" s="536">
        <f>_xlfn.NORM.INV(RAND(),$B$6,$C$6)</f>
        <v/>
      </c>
      <c r="C446" s="536">
        <f>MIN(_xlfn.NORM.INV(RAND(),$B$7,$C$7),B446-0.005)</f>
        <v/>
      </c>
      <c r="D446" s="537">
        <f>_xlfn.NORM.INV(RAND(),$B$8,$C$8)</f>
        <v/>
      </c>
      <c r="E446" s="391">
        <f t="array" ref="E446">(SUMPRODUCT($B$13:$F$13*D446/(1+B446)^$B$14:$F$14)+($F$13*D446*(1+C446))/(B446-C446)/(1+B446)^$F$14-$B$15+$B$16)/$B$17</f>
        <v/>
      </c>
      <c r="F446" s="304" t="n"/>
      <c r="G446" s="304" t="n"/>
      <c r="H446" s="304" t="n"/>
      <c r="I446" s="304" t="n"/>
      <c r="J446" s="304" t="n"/>
      <c r="K446" s="304" t="n"/>
      <c r="L446" s="304" t="n"/>
      <c r="M446" s="304" t="n"/>
      <c r="N446" s="304" t="n"/>
      <c r="O446" s="304" t="n"/>
      <c r="P446" s="304" t="n"/>
      <c r="Q446" s="304" t="n"/>
    </row>
    <row r="447" ht="13.8" customHeight="1" s="343">
      <c r="A447" s="388">
        <f>ROW()-22</f>
        <v/>
      </c>
      <c r="B447" s="536">
        <f>_xlfn.NORM.INV(RAND(),$B$6,$C$6)</f>
        <v/>
      </c>
      <c r="C447" s="536">
        <f>MIN(_xlfn.NORM.INV(RAND(),$B$7,$C$7),B447-0.005)</f>
        <v/>
      </c>
      <c r="D447" s="537">
        <f>_xlfn.NORM.INV(RAND(),$B$8,$C$8)</f>
        <v/>
      </c>
      <c r="E447" s="391">
        <f t="array" ref="E447">(SUMPRODUCT($B$13:$F$13*D447/(1+B447)^$B$14:$F$14)+($F$13*D447*(1+C447))/(B447-C447)/(1+B447)^$F$14-$B$15+$B$16)/$B$17</f>
        <v/>
      </c>
      <c r="F447" s="304" t="n"/>
      <c r="G447" s="304" t="n"/>
      <c r="H447" s="304" t="n"/>
      <c r="I447" s="304" t="n"/>
      <c r="J447" s="304" t="n"/>
      <c r="K447" s="304" t="n"/>
      <c r="L447" s="304" t="n"/>
      <c r="M447" s="304" t="n"/>
      <c r="N447" s="304" t="n"/>
      <c r="O447" s="304" t="n"/>
      <c r="P447" s="304" t="n"/>
      <c r="Q447" s="304" t="n"/>
    </row>
    <row r="448" ht="13.8" customHeight="1" s="343">
      <c r="A448" s="388">
        <f>ROW()-22</f>
        <v/>
      </c>
      <c r="B448" s="536">
        <f>_xlfn.NORM.INV(RAND(),$B$6,$C$6)</f>
        <v/>
      </c>
      <c r="C448" s="536">
        <f>MIN(_xlfn.NORM.INV(RAND(),$B$7,$C$7),B448-0.005)</f>
        <v/>
      </c>
      <c r="D448" s="537">
        <f>_xlfn.NORM.INV(RAND(),$B$8,$C$8)</f>
        <v/>
      </c>
      <c r="E448" s="391">
        <f t="array" ref="E448">(SUMPRODUCT($B$13:$F$13*D448/(1+B448)^$B$14:$F$14)+($F$13*D448*(1+C448))/(B448-C448)/(1+B448)^$F$14-$B$15+$B$16)/$B$17</f>
        <v/>
      </c>
      <c r="F448" s="304" t="n"/>
      <c r="G448" s="304" t="n"/>
      <c r="H448" s="304" t="n"/>
      <c r="I448" s="304" t="n"/>
      <c r="J448" s="304" t="n"/>
      <c r="K448" s="304" t="n"/>
      <c r="L448" s="304" t="n"/>
      <c r="M448" s="304" t="n"/>
      <c r="N448" s="304" t="n"/>
      <c r="O448" s="304" t="n"/>
      <c r="P448" s="304" t="n"/>
      <c r="Q448" s="304" t="n"/>
    </row>
    <row r="449" ht="13.8" customHeight="1" s="343">
      <c r="A449" s="388">
        <f>ROW()-22</f>
        <v/>
      </c>
      <c r="B449" s="536">
        <f>_xlfn.NORM.INV(RAND(),$B$6,$C$6)</f>
        <v/>
      </c>
      <c r="C449" s="536">
        <f>MIN(_xlfn.NORM.INV(RAND(),$B$7,$C$7),B449-0.005)</f>
        <v/>
      </c>
      <c r="D449" s="537">
        <f>_xlfn.NORM.INV(RAND(),$B$8,$C$8)</f>
        <v/>
      </c>
      <c r="E449" s="391">
        <f t="array" ref="E449">(SUMPRODUCT($B$13:$F$13*D449/(1+B449)^$B$14:$F$14)+($F$13*D449*(1+C449))/(B449-C449)/(1+B449)^$F$14-$B$15+$B$16)/$B$17</f>
        <v/>
      </c>
      <c r="F449" s="304" t="n"/>
      <c r="G449" s="304" t="n"/>
      <c r="H449" s="304" t="n"/>
      <c r="I449" s="304" t="n"/>
      <c r="J449" s="304" t="n"/>
      <c r="K449" s="304" t="n"/>
      <c r="L449" s="304" t="n"/>
      <c r="M449" s="304" t="n"/>
      <c r="N449" s="304" t="n"/>
      <c r="O449" s="304" t="n"/>
      <c r="P449" s="304" t="n"/>
      <c r="Q449" s="304" t="n"/>
    </row>
    <row r="450" ht="13.8" customHeight="1" s="343">
      <c r="A450" s="388">
        <f>ROW()-22</f>
        <v/>
      </c>
      <c r="B450" s="536">
        <f>_xlfn.NORM.INV(RAND(),$B$6,$C$6)</f>
        <v/>
      </c>
      <c r="C450" s="536">
        <f>MIN(_xlfn.NORM.INV(RAND(),$B$7,$C$7),B450-0.005)</f>
        <v/>
      </c>
      <c r="D450" s="537">
        <f>_xlfn.NORM.INV(RAND(),$B$8,$C$8)</f>
        <v/>
      </c>
      <c r="E450" s="391">
        <f t="array" ref="E450">(SUMPRODUCT($B$13:$F$13*D450/(1+B450)^$B$14:$F$14)+($F$13*D450*(1+C450))/(B450-C450)/(1+B450)^$F$14-$B$15+$B$16)/$B$17</f>
        <v/>
      </c>
      <c r="F450" s="304" t="n"/>
      <c r="G450" s="304" t="n"/>
      <c r="H450" s="304" t="n"/>
      <c r="I450" s="304" t="n"/>
      <c r="J450" s="304" t="n"/>
      <c r="K450" s="304" t="n"/>
      <c r="L450" s="304" t="n"/>
      <c r="M450" s="304" t="n"/>
      <c r="N450" s="304" t="n"/>
      <c r="O450" s="304" t="n"/>
      <c r="P450" s="304" t="n"/>
      <c r="Q450" s="304" t="n"/>
    </row>
    <row r="451" ht="13.8" customHeight="1" s="343">
      <c r="A451" s="388">
        <f>ROW()-22</f>
        <v/>
      </c>
      <c r="B451" s="536">
        <f>_xlfn.NORM.INV(RAND(),$B$6,$C$6)</f>
        <v/>
      </c>
      <c r="C451" s="536">
        <f>MIN(_xlfn.NORM.INV(RAND(),$B$7,$C$7),B451-0.005)</f>
        <v/>
      </c>
      <c r="D451" s="537">
        <f>_xlfn.NORM.INV(RAND(),$B$8,$C$8)</f>
        <v/>
      </c>
      <c r="E451" s="391">
        <f t="array" ref="E451">(SUMPRODUCT($B$13:$F$13*D451/(1+B451)^$B$14:$F$14)+($F$13*D451*(1+C451))/(B451-C451)/(1+B451)^$F$14-$B$15+$B$16)/$B$17</f>
        <v/>
      </c>
      <c r="F451" s="304" t="n"/>
      <c r="G451" s="304" t="n"/>
      <c r="H451" s="304" t="n"/>
      <c r="I451" s="304" t="n"/>
      <c r="J451" s="304" t="n"/>
      <c r="K451" s="304" t="n"/>
      <c r="L451" s="304" t="n"/>
      <c r="M451" s="304" t="n"/>
      <c r="N451" s="304" t="n"/>
      <c r="O451" s="304" t="n"/>
      <c r="P451" s="304" t="n"/>
      <c r="Q451" s="304" t="n"/>
    </row>
    <row r="452" ht="13.8" customHeight="1" s="343">
      <c r="A452" s="388">
        <f>ROW()-22</f>
        <v/>
      </c>
      <c r="B452" s="536">
        <f>_xlfn.NORM.INV(RAND(),$B$6,$C$6)</f>
        <v/>
      </c>
      <c r="C452" s="536">
        <f>MIN(_xlfn.NORM.INV(RAND(),$B$7,$C$7),B452-0.005)</f>
        <v/>
      </c>
      <c r="D452" s="537">
        <f>_xlfn.NORM.INV(RAND(),$B$8,$C$8)</f>
        <v/>
      </c>
      <c r="E452" s="391">
        <f t="array" ref="E452">(SUMPRODUCT($B$13:$F$13*D452/(1+B452)^$B$14:$F$14)+($F$13*D452*(1+C452))/(B452-C452)/(1+B452)^$F$14-$B$15+$B$16)/$B$17</f>
        <v/>
      </c>
      <c r="F452" s="304" t="n"/>
      <c r="G452" s="304" t="n"/>
      <c r="H452" s="304" t="n"/>
      <c r="I452" s="304" t="n"/>
      <c r="J452" s="304" t="n"/>
      <c r="K452" s="304" t="n"/>
      <c r="L452" s="304" t="n"/>
      <c r="M452" s="304" t="n"/>
      <c r="N452" s="304" t="n"/>
      <c r="O452" s="304" t="n"/>
      <c r="P452" s="304" t="n"/>
      <c r="Q452" s="304" t="n"/>
    </row>
    <row r="453" ht="13.8" customHeight="1" s="343">
      <c r="A453" s="388">
        <f>ROW()-22</f>
        <v/>
      </c>
      <c r="B453" s="536">
        <f>_xlfn.NORM.INV(RAND(),$B$6,$C$6)</f>
        <v/>
      </c>
      <c r="C453" s="536">
        <f>MIN(_xlfn.NORM.INV(RAND(),$B$7,$C$7),B453-0.005)</f>
        <v/>
      </c>
      <c r="D453" s="537">
        <f>_xlfn.NORM.INV(RAND(),$B$8,$C$8)</f>
        <v/>
      </c>
      <c r="E453" s="391">
        <f t="array" ref="E453">(SUMPRODUCT($B$13:$F$13*D453/(1+B453)^$B$14:$F$14)+($F$13*D453*(1+C453))/(B453-C453)/(1+B453)^$F$14-$B$15+$B$16)/$B$17</f>
        <v/>
      </c>
      <c r="F453" s="304" t="n"/>
      <c r="G453" s="304" t="n"/>
      <c r="H453" s="304" t="n"/>
      <c r="I453" s="304" t="n"/>
      <c r="J453" s="304" t="n"/>
      <c r="K453" s="304" t="n"/>
      <c r="L453" s="304" t="n"/>
      <c r="M453" s="304" t="n"/>
      <c r="N453" s="304" t="n"/>
      <c r="O453" s="304" t="n"/>
      <c r="P453" s="304" t="n"/>
      <c r="Q453" s="304" t="n"/>
    </row>
    <row r="454" ht="13.8" customHeight="1" s="343">
      <c r="A454" s="388">
        <f>ROW()-22</f>
        <v/>
      </c>
      <c r="B454" s="536">
        <f>_xlfn.NORM.INV(RAND(),$B$6,$C$6)</f>
        <v/>
      </c>
      <c r="C454" s="536">
        <f>MIN(_xlfn.NORM.INV(RAND(),$B$7,$C$7),B454-0.005)</f>
        <v/>
      </c>
      <c r="D454" s="537">
        <f>_xlfn.NORM.INV(RAND(),$B$8,$C$8)</f>
        <v/>
      </c>
      <c r="E454" s="391">
        <f t="array" ref="E454">(SUMPRODUCT($B$13:$F$13*D454/(1+B454)^$B$14:$F$14)+($F$13*D454*(1+C454))/(B454-C454)/(1+B454)^$F$14-$B$15+$B$16)/$B$17</f>
        <v/>
      </c>
      <c r="F454" s="304" t="n"/>
      <c r="G454" s="304" t="n"/>
      <c r="H454" s="304" t="n"/>
      <c r="I454" s="304" t="n"/>
      <c r="J454" s="304" t="n"/>
      <c r="K454" s="304" t="n"/>
      <c r="L454" s="304" t="n"/>
      <c r="M454" s="304" t="n"/>
      <c r="N454" s="304" t="n"/>
      <c r="O454" s="304" t="n"/>
      <c r="P454" s="304" t="n"/>
      <c r="Q454" s="304" t="n"/>
    </row>
    <row r="455" ht="13.8" customHeight="1" s="343">
      <c r="A455" s="388">
        <f>ROW()-22</f>
        <v/>
      </c>
      <c r="B455" s="536">
        <f>_xlfn.NORM.INV(RAND(),$B$6,$C$6)</f>
        <v/>
      </c>
      <c r="C455" s="536">
        <f>MIN(_xlfn.NORM.INV(RAND(),$B$7,$C$7),B455-0.005)</f>
        <v/>
      </c>
      <c r="D455" s="537">
        <f>_xlfn.NORM.INV(RAND(),$B$8,$C$8)</f>
        <v/>
      </c>
      <c r="E455" s="391">
        <f t="array" ref="E455">(SUMPRODUCT($B$13:$F$13*D455/(1+B455)^$B$14:$F$14)+($F$13*D455*(1+C455))/(B455-C455)/(1+B455)^$F$14-$B$15+$B$16)/$B$17</f>
        <v/>
      </c>
      <c r="F455" s="304" t="n"/>
      <c r="G455" s="304" t="n"/>
      <c r="H455" s="304" t="n"/>
      <c r="I455" s="304" t="n"/>
      <c r="J455" s="304" t="n"/>
      <c r="K455" s="304" t="n"/>
      <c r="L455" s="304" t="n"/>
      <c r="M455" s="304" t="n"/>
      <c r="N455" s="304" t="n"/>
      <c r="O455" s="304" t="n"/>
      <c r="P455" s="304" t="n"/>
      <c r="Q455" s="304" t="n"/>
    </row>
    <row r="456" ht="13.8" customHeight="1" s="343">
      <c r="A456" s="388">
        <f>ROW()-22</f>
        <v/>
      </c>
      <c r="B456" s="536">
        <f>_xlfn.NORM.INV(RAND(),$B$6,$C$6)</f>
        <v/>
      </c>
      <c r="C456" s="536">
        <f>MIN(_xlfn.NORM.INV(RAND(),$B$7,$C$7),B456-0.005)</f>
        <v/>
      </c>
      <c r="D456" s="537">
        <f>_xlfn.NORM.INV(RAND(),$B$8,$C$8)</f>
        <v/>
      </c>
      <c r="E456" s="391">
        <f t="array" ref="E456">(SUMPRODUCT($B$13:$F$13*D456/(1+B456)^$B$14:$F$14)+($F$13*D456*(1+C456))/(B456-C456)/(1+B456)^$F$14-$B$15+$B$16)/$B$17</f>
        <v/>
      </c>
      <c r="F456" s="304" t="n"/>
      <c r="G456" s="304" t="n"/>
      <c r="H456" s="304" t="n"/>
      <c r="I456" s="304" t="n"/>
      <c r="J456" s="304" t="n"/>
      <c r="K456" s="304" t="n"/>
      <c r="L456" s="304" t="n"/>
      <c r="M456" s="304" t="n"/>
      <c r="N456" s="304" t="n"/>
      <c r="O456" s="304" t="n"/>
      <c r="P456" s="304" t="n"/>
      <c r="Q456" s="304" t="n"/>
    </row>
    <row r="457" ht="13.8" customHeight="1" s="343">
      <c r="A457" s="388">
        <f>ROW()-22</f>
        <v/>
      </c>
      <c r="B457" s="536">
        <f>_xlfn.NORM.INV(RAND(),$B$6,$C$6)</f>
        <v/>
      </c>
      <c r="C457" s="536">
        <f>MIN(_xlfn.NORM.INV(RAND(),$B$7,$C$7),B457-0.005)</f>
        <v/>
      </c>
      <c r="D457" s="537">
        <f>_xlfn.NORM.INV(RAND(),$B$8,$C$8)</f>
        <v/>
      </c>
      <c r="E457" s="391">
        <f t="array" ref="E457">(SUMPRODUCT($B$13:$F$13*D457/(1+B457)^$B$14:$F$14)+($F$13*D457*(1+C457))/(B457-C457)/(1+B457)^$F$14-$B$15+$B$16)/$B$17</f>
        <v/>
      </c>
      <c r="F457" s="304" t="n"/>
      <c r="G457" s="304" t="n"/>
      <c r="H457" s="304" t="n"/>
      <c r="I457" s="304" t="n"/>
      <c r="J457" s="304" t="n"/>
      <c r="K457" s="304" t="n"/>
      <c r="L457" s="304" t="n"/>
      <c r="M457" s="304" t="n"/>
      <c r="N457" s="304" t="n"/>
      <c r="O457" s="304" t="n"/>
      <c r="P457" s="304" t="n"/>
      <c r="Q457" s="304" t="n"/>
    </row>
    <row r="458" ht="13.8" customHeight="1" s="343">
      <c r="A458" s="388">
        <f>ROW()-22</f>
        <v/>
      </c>
      <c r="B458" s="536">
        <f>_xlfn.NORM.INV(RAND(),$B$6,$C$6)</f>
        <v/>
      </c>
      <c r="C458" s="536">
        <f>MIN(_xlfn.NORM.INV(RAND(),$B$7,$C$7),B458-0.005)</f>
        <v/>
      </c>
      <c r="D458" s="537">
        <f>_xlfn.NORM.INV(RAND(),$B$8,$C$8)</f>
        <v/>
      </c>
      <c r="E458" s="391">
        <f t="array" ref="E458">(SUMPRODUCT($B$13:$F$13*D458/(1+B458)^$B$14:$F$14)+($F$13*D458*(1+C458))/(B458-C458)/(1+B458)^$F$14-$B$15+$B$16)/$B$17</f>
        <v/>
      </c>
      <c r="F458" s="304" t="n"/>
      <c r="G458" s="304" t="n"/>
      <c r="H458" s="304" t="n"/>
      <c r="I458" s="304" t="n"/>
      <c r="J458" s="304" t="n"/>
      <c r="K458" s="304" t="n"/>
      <c r="L458" s="304" t="n"/>
      <c r="M458" s="304" t="n"/>
      <c r="N458" s="304" t="n"/>
      <c r="O458" s="304" t="n"/>
      <c r="P458" s="304" t="n"/>
      <c r="Q458" s="304" t="n"/>
    </row>
    <row r="459" ht="13.8" customHeight="1" s="343">
      <c r="A459" s="388">
        <f>ROW()-22</f>
        <v/>
      </c>
      <c r="B459" s="536">
        <f>_xlfn.NORM.INV(RAND(),$B$6,$C$6)</f>
        <v/>
      </c>
      <c r="C459" s="536">
        <f>MIN(_xlfn.NORM.INV(RAND(),$B$7,$C$7),B459-0.005)</f>
        <v/>
      </c>
      <c r="D459" s="537">
        <f>_xlfn.NORM.INV(RAND(),$B$8,$C$8)</f>
        <v/>
      </c>
      <c r="E459" s="391">
        <f t="array" ref="E459">(SUMPRODUCT($B$13:$F$13*D459/(1+B459)^$B$14:$F$14)+($F$13*D459*(1+C459))/(B459-C459)/(1+B459)^$F$14-$B$15+$B$16)/$B$17</f>
        <v/>
      </c>
      <c r="F459" s="304" t="n"/>
      <c r="G459" s="304" t="n"/>
      <c r="H459" s="304" t="n"/>
      <c r="I459" s="304" t="n"/>
      <c r="J459" s="304" t="n"/>
      <c r="K459" s="304" t="n"/>
      <c r="L459" s="304" t="n"/>
      <c r="M459" s="304" t="n"/>
      <c r="N459" s="304" t="n"/>
      <c r="O459" s="304" t="n"/>
      <c r="P459" s="304" t="n"/>
      <c r="Q459" s="304" t="n"/>
    </row>
    <row r="460" ht="13.8" customHeight="1" s="343">
      <c r="A460" s="388">
        <f>ROW()-22</f>
        <v/>
      </c>
      <c r="B460" s="536">
        <f>_xlfn.NORM.INV(RAND(),$B$6,$C$6)</f>
        <v/>
      </c>
      <c r="C460" s="536">
        <f>MIN(_xlfn.NORM.INV(RAND(),$B$7,$C$7),B460-0.005)</f>
        <v/>
      </c>
      <c r="D460" s="537">
        <f>_xlfn.NORM.INV(RAND(),$B$8,$C$8)</f>
        <v/>
      </c>
      <c r="E460" s="391">
        <f t="array" ref="E460">(SUMPRODUCT($B$13:$F$13*D460/(1+B460)^$B$14:$F$14)+($F$13*D460*(1+C460))/(B460-C460)/(1+B460)^$F$14-$B$15+$B$16)/$B$17</f>
        <v/>
      </c>
      <c r="F460" s="304" t="n"/>
      <c r="G460" s="304" t="n"/>
      <c r="H460" s="304" t="n"/>
      <c r="I460" s="304" t="n"/>
      <c r="J460" s="304" t="n"/>
      <c r="K460" s="304" t="n"/>
      <c r="L460" s="304" t="n"/>
      <c r="M460" s="304" t="n"/>
      <c r="N460" s="304" t="n"/>
      <c r="O460" s="304" t="n"/>
      <c r="P460" s="304" t="n"/>
      <c r="Q460" s="304" t="n"/>
    </row>
    <row r="461" ht="13.8" customHeight="1" s="343">
      <c r="A461" s="388">
        <f>ROW()-22</f>
        <v/>
      </c>
      <c r="B461" s="536">
        <f>_xlfn.NORM.INV(RAND(),$B$6,$C$6)</f>
        <v/>
      </c>
      <c r="C461" s="536">
        <f>MIN(_xlfn.NORM.INV(RAND(),$B$7,$C$7),B461-0.005)</f>
        <v/>
      </c>
      <c r="D461" s="537">
        <f>_xlfn.NORM.INV(RAND(),$B$8,$C$8)</f>
        <v/>
      </c>
      <c r="E461" s="391">
        <f t="array" ref="E461">(SUMPRODUCT($B$13:$F$13*D461/(1+B461)^$B$14:$F$14)+($F$13*D461*(1+C461))/(B461-C461)/(1+B461)^$F$14-$B$15+$B$16)/$B$17</f>
        <v/>
      </c>
      <c r="F461" s="304" t="n"/>
      <c r="G461" s="304" t="n"/>
      <c r="H461" s="304" t="n"/>
      <c r="I461" s="304" t="n"/>
      <c r="J461" s="304" t="n"/>
      <c r="K461" s="304" t="n"/>
      <c r="L461" s="304" t="n"/>
      <c r="M461" s="304" t="n"/>
      <c r="N461" s="304" t="n"/>
      <c r="O461" s="304" t="n"/>
      <c r="P461" s="304" t="n"/>
      <c r="Q461" s="304" t="n"/>
    </row>
    <row r="462" ht="13.8" customHeight="1" s="343">
      <c r="A462" s="388">
        <f>ROW()-22</f>
        <v/>
      </c>
      <c r="B462" s="536">
        <f>_xlfn.NORM.INV(RAND(),$B$6,$C$6)</f>
        <v/>
      </c>
      <c r="C462" s="536">
        <f>MIN(_xlfn.NORM.INV(RAND(),$B$7,$C$7),B462-0.005)</f>
        <v/>
      </c>
      <c r="D462" s="537">
        <f>_xlfn.NORM.INV(RAND(),$B$8,$C$8)</f>
        <v/>
      </c>
      <c r="E462" s="391">
        <f t="array" ref="E462">(SUMPRODUCT($B$13:$F$13*D462/(1+B462)^$B$14:$F$14)+($F$13*D462*(1+C462))/(B462-C462)/(1+B462)^$F$14-$B$15+$B$16)/$B$17</f>
        <v/>
      </c>
      <c r="F462" s="304" t="n"/>
      <c r="G462" s="304" t="n"/>
      <c r="H462" s="304" t="n"/>
      <c r="I462" s="304" t="n"/>
      <c r="J462" s="304" t="n"/>
      <c r="K462" s="304" t="n"/>
      <c r="L462" s="304" t="n"/>
      <c r="M462" s="304" t="n"/>
      <c r="N462" s="304" t="n"/>
      <c r="O462" s="304" t="n"/>
      <c r="P462" s="304" t="n"/>
      <c r="Q462" s="304" t="n"/>
    </row>
    <row r="463" ht="13.8" customHeight="1" s="343">
      <c r="A463" s="388">
        <f>ROW()-22</f>
        <v/>
      </c>
      <c r="B463" s="536">
        <f>_xlfn.NORM.INV(RAND(),$B$6,$C$6)</f>
        <v/>
      </c>
      <c r="C463" s="536">
        <f>MIN(_xlfn.NORM.INV(RAND(),$B$7,$C$7),B463-0.005)</f>
        <v/>
      </c>
      <c r="D463" s="537">
        <f>_xlfn.NORM.INV(RAND(),$B$8,$C$8)</f>
        <v/>
      </c>
      <c r="E463" s="391">
        <f t="array" ref="E463">(SUMPRODUCT($B$13:$F$13*D463/(1+B463)^$B$14:$F$14)+($F$13*D463*(1+C463))/(B463-C463)/(1+B463)^$F$14-$B$15+$B$16)/$B$17</f>
        <v/>
      </c>
      <c r="F463" s="304" t="n"/>
      <c r="G463" s="304" t="n"/>
      <c r="H463" s="304" t="n"/>
      <c r="I463" s="304" t="n"/>
      <c r="J463" s="304" t="n"/>
      <c r="K463" s="304" t="n"/>
      <c r="L463" s="304" t="n"/>
      <c r="M463" s="304" t="n"/>
      <c r="N463" s="304" t="n"/>
      <c r="O463" s="304" t="n"/>
      <c r="P463" s="304" t="n"/>
      <c r="Q463" s="304" t="n"/>
    </row>
    <row r="464" ht="13.8" customHeight="1" s="343">
      <c r="A464" s="388">
        <f>ROW()-22</f>
        <v/>
      </c>
      <c r="B464" s="536">
        <f>_xlfn.NORM.INV(RAND(),$B$6,$C$6)</f>
        <v/>
      </c>
      <c r="C464" s="536">
        <f>MIN(_xlfn.NORM.INV(RAND(),$B$7,$C$7),B464-0.005)</f>
        <v/>
      </c>
      <c r="D464" s="537">
        <f>_xlfn.NORM.INV(RAND(),$B$8,$C$8)</f>
        <v/>
      </c>
      <c r="E464" s="391">
        <f t="array" ref="E464">(SUMPRODUCT($B$13:$F$13*D464/(1+B464)^$B$14:$F$14)+($F$13*D464*(1+C464))/(B464-C464)/(1+B464)^$F$14-$B$15+$B$16)/$B$17</f>
        <v/>
      </c>
      <c r="F464" s="304" t="n"/>
      <c r="G464" s="304" t="n"/>
      <c r="H464" s="304" t="n"/>
      <c r="I464" s="304" t="n"/>
      <c r="J464" s="304" t="n"/>
      <c r="K464" s="304" t="n"/>
      <c r="L464" s="304" t="n"/>
      <c r="M464" s="304" t="n"/>
      <c r="N464" s="304" t="n"/>
      <c r="O464" s="304" t="n"/>
      <c r="P464" s="304" t="n"/>
      <c r="Q464" s="304" t="n"/>
    </row>
    <row r="465" ht="13.8" customHeight="1" s="343">
      <c r="A465" s="388">
        <f>ROW()-22</f>
        <v/>
      </c>
      <c r="B465" s="536">
        <f>_xlfn.NORM.INV(RAND(),$B$6,$C$6)</f>
        <v/>
      </c>
      <c r="C465" s="536">
        <f>MIN(_xlfn.NORM.INV(RAND(),$B$7,$C$7),B465-0.005)</f>
        <v/>
      </c>
      <c r="D465" s="537">
        <f>_xlfn.NORM.INV(RAND(),$B$8,$C$8)</f>
        <v/>
      </c>
      <c r="E465" s="391">
        <f t="array" ref="E465">(SUMPRODUCT($B$13:$F$13*D465/(1+B465)^$B$14:$F$14)+($F$13*D465*(1+C465))/(B465-C465)/(1+B465)^$F$14-$B$15+$B$16)/$B$17</f>
        <v/>
      </c>
      <c r="F465" s="304" t="n"/>
      <c r="G465" s="304" t="n"/>
      <c r="H465" s="304" t="n"/>
      <c r="I465" s="304" t="n"/>
      <c r="J465" s="304" t="n"/>
      <c r="K465" s="304" t="n"/>
      <c r="L465" s="304" t="n"/>
      <c r="M465" s="304" t="n"/>
      <c r="N465" s="304" t="n"/>
      <c r="O465" s="304" t="n"/>
      <c r="P465" s="304" t="n"/>
      <c r="Q465" s="304" t="n"/>
    </row>
    <row r="466" ht="13.8" customHeight="1" s="343">
      <c r="A466" s="388">
        <f>ROW()-22</f>
        <v/>
      </c>
      <c r="B466" s="536">
        <f>_xlfn.NORM.INV(RAND(),$B$6,$C$6)</f>
        <v/>
      </c>
      <c r="C466" s="536">
        <f>MIN(_xlfn.NORM.INV(RAND(),$B$7,$C$7),B466-0.005)</f>
        <v/>
      </c>
      <c r="D466" s="537">
        <f>_xlfn.NORM.INV(RAND(),$B$8,$C$8)</f>
        <v/>
      </c>
      <c r="E466" s="391">
        <f t="array" ref="E466">(SUMPRODUCT($B$13:$F$13*D466/(1+B466)^$B$14:$F$14)+($F$13*D466*(1+C466))/(B466-C466)/(1+B466)^$F$14-$B$15+$B$16)/$B$17</f>
        <v/>
      </c>
      <c r="F466" s="304" t="n"/>
      <c r="G466" s="304" t="n"/>
      <c r="H466" s="304" t="n"/>
      <c r="I466" s="304" t="n"/>
      <c r="J466" s="304" t="n"/>
      <c r="K466" s="304" t="n"/>
      <c r="L466" s="304" t="n"/>
      <c r="M466" s="304" t="n"/>
      <c r="N466" s="304" t="n"/>
      <c r="O466" s="304" t="n"/>
      <c r="P466" s="304" t="n"/>
      <c r="Q466" s="304" t="n"/>
    </row>
    <row r="467" ht="13.8" customHeight="1" s="343">
      <c r="A467" s="388">
        <f>ROW()-22</f>
        <v/>
      </c>
      <c r="B467" s="536">
        <f>_xlfn.NORM.INV(RAND(),$B$6,$C$6)</f>
        <v/>
      </c>
      <c r="C467" s="536">
        <f>MIN(_xlfn.NORM.INV(RAND(),$B$7,$C$7),B467-0.005)</f>
        <v/>
      </c>
      <c r="D467" s="537">
        <f>_xlfn.NORM.INV(RAND(),$B$8,$C$8)</f>
        <v/>
      </c>
      <c r="E467" s="391">
        <f t="array" ref="E467">(SUMPRODUCT($B$13:$F$13*D467/(1+B467)^$B$14:$F$14)+($F$13*D467*(1+C467))/(B467-C467)/(1+B467)^$F$14-$B$15+$B$16)/$B$17</f>
        <v/>
      </c>
      <c r="F467" s="304" t="n"/>
      <c r="G467" s="304" t="n"/>
      <c r="H467" s="304" t="n"/>
      <c r="I467" s="304" t="n"/>
      <c r="J467" s="304" t="n"/>
      <c r="K467" s="304" t="n"/>
      <c r="L467" s="304" t="n"/>
      <c r="M467" s="304" t="n"/>
      <c r="N467" s="304" t="n"/>
      <c r="O467" s="304" t="n"/>
      <c r="P467" s="304" t="n"/>
      <c r="Q467" s="304" t="n"/>
    </row>
    <row r="468" ht="13.8" customHeight="1" s="343">
      <c r="A468" s="388">
        <f>ROW()-22</f>
        <v/>
      </c>
      <c r="B468" s="536">
        <f>_xlfn.NORM.INV(RAND(),$B$6,$C$6)</f>
        <v/>
      </c>
      <c r="C468" s="536">
        <f>MIN(_xlfn.NORM.INV(RAND(),$B$7,$C$7),B468-0.005)</f>
        <v/>
      </c>
      <c r="D468" s="537">
        <f>_xlfn.NORM.INV(RAND(),$B$8,$C$8)</f>
        <v/>
      </c>
      <c r="E468" s="391">
        <f t="array" ref="E468">(SUMPRODUCT($B$13:$F$13*D468/(1+B468)^$B$14:$F$14)+($F$13*D468*(1+C468))/(B468-C468)/(1+B468)^$F$14-$B$15+$B$16)/$B$17</f>
        <v/>
      </c>
      <c r="F468" s="304" t="n"/>
      <c r="G468" s="304" t="n"/>
      <c r="H468" s="304" t="n"/>
      <c r="I468" s="304" t="n"/>
      <c r="J468" s="304" t="n"/>
      <c r="K468" s="304" t="n"/>
      <c r="L468" s="304" t="n"/>
      <c r="M468" s="304" t="n"/>
      <c r="N468" s="304" t="n"/>
      <c r="O468" s="304" t="n"/>
      <c r="P468" s="304" t="n"/>
      <c r="Q468" s="304" t="n"/>
    </row>
    <row r="469" ht="13.8" customHeight="1" s="343">
      <c r="A469" s="388">
        <f>ROW()-22</f>
        <v/>
      </c>
      <c r="B469" s="536">
        <f>_xlfn.NORM.INV(RAND(),$B$6,$C$6)</f>
        <v/>
      </c>
      <c r="C469" s="536">
        <f>MIN(_xlfn.NORM.INV(RAND(),$B$7,$C$7),B469-0.005)</f>
        <v/>
      </c>
      <c r="D469" s="537">
        <f>_xlfn.NORM.INV(RAND(),$B$8,$C$8)</f>
        <v/>
      </c>
      <c r="E469" s="391">
        <f t="array" ref="E469">(SUMPRODUCT($B$13:$F$13*D469/(1+B469)^$B$14:$F$14)+($F$13*D469*(1+C469))/(B469-C469)/(1+B469)^$F$14-$B$15+$B$16)/$B$17</f>
        <v/>
      </c>
      <c r="F469" s="304" t="n"/>
      <c r="G469" s="304" t="n"/>
      <c r="H469" s="304" t="n"/>
      <c r="I469" s="304" t="n"/>
      <c r="J469" s="304" t="n"/>
      <c r="K469" s="304" t="n"/>
      <c r="L469" s="304" t="n"/>
      <c r="M469" s="304" t="n"/>
      <c r="N469" s="304" t="n"/>
      <c r="O469" s="304" t="n"/>
      <c r="P469" s="304" t="n"/>
      <c r="Q469" s="304" t="n"/>
    </row>
    <row r="470" ht="13.8" customHeight="1" s="343">
      <c r="A470" s="388">
        <f>ROW()-22</f>
        <v/>
      </c>
      <c r="B470" s="536">
        <f>_xlfn.NORM.INV(RAND(),$B$6,$C$6)</f>
        <v/>
      </c>
      <c r="C470" s="536">
        <f>MIN(_xlfn.NORM.INV(RAND(),$B$7,$C$7),B470-0.005)</f>
        <v/>
      </c>
      <c r="D470" s="537">
        <f>_xlfn.NORM.INV(RAND(),$B$8,$C$8)</f>
        <v/>
      </c>
      <c r="E470" s="391">
        <f t="array" ref="E470">(SUMPRODUCT($B$13:$F$13*D470/(1+B470)^$B$14:$F$14)+($F$13*D470*(1+C470))/(B470-C470)/(1+B470)^$F$14-$B$15+$B$16)/$B$17</f>
        <v/>
      </c>
      <c r="F470" s="304" t="n"/>
      <c r="G470" s="304" t="n"/>
      <c r="H470" s="304" t="n"/>
      <c r="I470" s="304" t="n"/>
      <c r="J470" s="304" t="n"/>
      <c r="K470" s="304" t="n"/>
      <c r="L470" s="304" t="n"/>
      <c r="M470" s="304" t="n"/>
      <c r="N470" s="304" t="n"/>
      <c r="O470" s="304" t="n"/>
      <c r="P470" s="304" t="n"/>
      <c r="Q470" s="304" t="n"/>
    </row>
    <row r="471" ht="13.8" customHeight="1" s="343">
      <c r="A471" s="388">
        <f>ROW()-22</f>
        <v/>
      </c>
      <c r="B471" s="536">
        <f>_xlfn.NORM.INV(RAND(),$B$6,$C$6)</f>
        <v/>
      </c>
      <c r="C471" s="536">
        <f>MIN(_xlfn.NORM.INV(RAND(),$B$7,$C$7),B471-0.005)</f>
        <v/>
      </c>
      <c r="D471" s="537">
        <f>_xlfn.NORM.INV(RAND(),$B$8,$C$8)</f>
        <v/>
      </c>
      <c r="E471" s="391">
        <f t="array" ref="E471">(SUMPRODUCT($B$13:$F$13*D471/(1+B471)^$B$14:$F$14)+($F$13*D471*(1+C471))/(B471-C471)/(1+B471)^$F$14-$B$15+$B$16)/$B$17</f>
        <v/>
      </c>
      <c r="F471" s="304" t="n"/>
      <c r="G471" s="304" t="n"/>
      <c r="H471" s="304" t="n"/>
      <c r="I471" s="304" t="n"/>
      <c r="J471" s="304" t="n"/>
      <c r="K471" s="304" t="n"/>
      <c r="L471" s="304" t="n"/>
      <c r="M471" s="304" t="n"/>
      <c r="N471" s="304" t="n"/>
      <c r="O471" s="304" t="n"/>
      <c r="P471" s="304" t="n"/>
      <c r="Q471" s="304" t="n"/>
    </row>
    <row r="472" ht="13.8" customHeight="1" s="343">
      <c r="A472" s="388">
        <f>ROW()-22</f>
        <v/>
      </c>
      <c r="B472" s="536">
        <f>_xlfn.NORM.INV(RAND(),$B$6,$C$6)</f>
        <v/>
      </c>
      <c r="C472" s="536">
        <f>MIN(_xlfn.NORM.INV(RAND(),$B$7,$C$7),B472-0.005)</f>
        <v/>
      </c>
      <c r="D472" s="537">
        <f>_xlfn.NORM.INV(RAND(),$B$8,$C$8)</f>
        <v/>
      </c>
      <c r="E472" s="391">
        <f t="array" ref="E472">(SUMPRODUCT($B$13:$F$13*D472/(1+B472)^$B$14:$F$14)+($F$13*D472*(1+C472))/(B472-C472)/(1+B472)^$F$14-$B$15+$B$16)/$B$17</f>
        <v/>
      </c>
      <c r="F472" s="304" t="n"/>
      <c r="G472" s="304" t="n"/>
      <c r="H472" s="304" t="n"/>
      <c r="I472" s="304" t="n"/>
      <c r="J472" s="304" t="n"/>
      <c r="K472" s="304" t="n"/>
      <c r="L472" s="304" t="n"/>
      <c r="M472" s="304" t="n"/>
      <c r="N472" s="304" t="n"/>
      <c r="O472" s="304" t="n"/>
      <c r="P472" s="304" t="n"/>
      <c r="Q472" s="304" t="n"/>
    </row>
    <row r="473" ht="13.8" customHeight="1" s="343">
      <c r="A473" s="388">
        <f>ROW()-22</f>
        <v/>
      </c>
      <c r="B473" s="536">
        <f>_xlfn.NORM.INV(RAND(),$B$6,$C$6)</f>
        <v/>
      </c>
      <c r="C473" s="536">
        <f>MIN(_xlfn.NORM.INV(RAND(),$B$7,$C$7),B473-0.005)</f>
        <v/>
      </c>
      <c r="D473" s="537">
        <f>_xlfn.NORM.INV(RAND(),$B$8,$C$8)</f>
        <v/>
      </c>
      <c r="E473" s="391">
        <f t="array" ref="E473">(SUMPRODUCT($B$13:$F$13*D473/(1+B473)^$B$14:$F$14)+($F$13*D473*(1+C473))/(B473-C473)/(1+B473)^$F$14-$B$15+$B$16)/$B$17</f>
        <v/>
      </c>
      <c r="F473" s="304" t="n"/>
      <c r="G473" s="304" t="n"/>
      <c r="H473" s="304" t="n"/>
      <c r="I473" s="304" t="n"/>
      <c r="J473" s="304" t="n"/>
      <c r="K473" s="304" t="n"/>
      <c r="L473" s="304" t="n"/>
      <c r="M473" s="304" t="n"/>
      <c r="N473" s="304" t="n"/>
      <c r="O473" s="304" t="n"/>
      <c r="P473" s="304" t="n"/>
      <c r="Q473" s="304" t="n"/>
    </row>
    <row r="474" ht="13.8" customHeight="1" s="343">
      <c r="A474" s="388">
        <f>ROW()-22</f>
        <v/>
      </c>
      <c r="B474" s="536">
        <f>_xlfn.NORM.INV(RAND(),$B$6,$C$6)</f>
        <v/>
      </c>
      <c r="C474" s="536">
        <f>MIN(_xlfn.NORM.INV(RAND(),$B$7,$C$7),B474-0.005)</f>
        <v/>
      </c>
      <c r="D474" s="537">
        <f>_xlfn.NORM.INV(RAND(),$B$8,$C$8)</f>
        <v/>
      </c>
      <c r="E474" s="391">
        <f t="array" ref="E474">(SUMPRODUCT($B$13:$F$13*D474/(1+B474)^$B$14:$F$14)+($F$13*D474*(1+C474))/(B474-C474)/(1+B474)^$F$14-$B$15+$B$16)/$B$17</f>
        <v/>
      </c>
      <c r="F474" s="304" t="n"/>
      <c r="G474" s="304" t="n"/>
      <c r="H474" s="304" t="n"/>
      <c r="I474" s="304" t="n"/>
      <c r="J474" s="304" t="n"/>
      <c r="K474" s="304" t="n"/>
      <c r="L474" s="304" t="n"/>
      <c r="M474" s="304" t="n"/>
      <c r="N474" s="304" t="n"/>
      <c r="O474" s="304" t="n"/>
      <c r="P474" s="304" t="n"/>
      <c r="Q474" s="304" t="n"/>
    </row>
    <row r="475" ht="13.8" customHeight="1" s="343">
      <c r="A475" s="388">
        <f>ROW()-22</f>
        <v/>
      </c>
      <c r="B475" s="536">
        <f>_xlfn.NORM.INV(RAND(),$B$6,$C$6)</f>
        <v/>
      </c>
      <c r="C475" s="536">
        <f>MIN(_xlfn.NORM.INV(RAND(),$B$7,$C$7),B475-0.005)</f>
        <v/>
      </c>
      <c r="D475" s="537">
        <f>_xlfn.NORM.INV(RAND(),$B$8,$C$8)</f>
        <v/>
      </c>
      <c r="E475" s="391">
        <f t="array" ref="E475">(SUMPRODUCT($B$13:$F$13*D475/(1+B475)^$B$14:$F$14)+($F$13*D475*(1+C475))/(B475-C475)/(1+B475)^$F$14-$B$15+$B$16)/$B$17</f>
        <v/>
      </c>
      <c r="F475" s="304" t="n"/>
      <c r="G475" s="304" t="n"/>
      <c r="H475" s="304" t="n"/>
      <c r="I475" s="304" t="n"/>
      <c r="J475" s="304" t="n"/>
      <c r="K475" s="304" t="n"/>
      <c r="L475" s="304" t="n"/>
      <c r="M475" s="304" t="n"/>
      <c r="N475" s="304" t="n"/>
      <c r="O475" s="304" t="n"/>
      <c r="P475" s="304" t="n"/>
      <c r="Q475" s="304" t="n"/>
    </row>
    <row r="476" ht="13.8" customHeight="1" s="343">
      <c r="A476" s="388">
        <f>ROW()-22</f>
        <v/>
      </c>
      <c r="B476" s="536">
        <f>_xlfn.NORM.INV(RAND(),$B$6,$C$6)</f>
        <v/>
      </c>
      <c r="C476" s="536">
        <f>MIN(_xlfn.NORM.INV(RAND(),$B$7,$C$7),B476-0.005)</f>
        <v/>
      </c>
      <c r="D476" s="537">
        <f>_xlfn.NORM.INV(RAND(),$B$8,$C$8)</f>
        <v/>
      </c>
      <c r="E476" s="391">
        <f t="array" ref="E476">(SUMPRODUCT($B$13:$F$13*D476/(1+B476)^$B$14:$F$14)+($F$13*D476*(1+C476))/(B476-C476)/(1+B476)^$F$14-$B$15+$B$16)/$B$17</f>
        <v/>
      </c>
      <c r="F476" s="304" t="n"/>
      <c r="G476" s="304" t="n"/>
      <c r="H476" s="304" t="n"/>
      <c r="I476" s="304" t="n"/>
      <c r="J476" s="304" t="n"/>
      <c r="K476" s="304" t="n"/>
      <c r="L476" s="304" t="n"/>
      <c r="M476" s="304" t="n"/>
      <c r="N476" s="304" t="n"/>
      <c r="O476" s="304" t="n"/>
      <c r="P476" s="304" t="n"/>
      <c r="Q476" s="304" t="n"/>
    </row>
    <row r="477" ht="13.8" customHeight="1" s="343">
      <c r="A477" s="388">
        <f>ROW()-22</f>
        <v/>
      </c>
      <c r="B477" s="536">
        <f>_xlfn.NORM.INV(RAND(),$B$6,$C$6)</f>
        <v/>
      </c>
      <c r="C477" s="536">
        <f>MIN(_xlfn.NORM.INV(RAND(),$B$7,$C$7),B477-0.005)</f>
        <v/>
      </c>
      <c r="D477" s="537">
        <f>_xlfn.NORM.INV(RAND(),$B$8,$C$8)</f>
        <v/>
      </c>
      <c r="E477" s="391">
        <f t="array" ref="E477">(SUMPRODUCT($B$13:$F$13*D477/(1+B477)^$B$14:$F$14)+($F$13*D477*(1+C477))/(B477-C477)/(1+B477)^$F$14-$B$15+$B$16)/$B$17</f>
        <v/>
      </c>
      <c r="F477" s="304" t="n"/>
      <c r="G477" s="304" t="n"/>
      <c r="H477" s="304" t="n"/>
      <c r="I477" s="304" t="n"/>
      <c r="J477" s="304" t="n"/>
      <c r="K477" s="304" t="n"/>
      <c r="L477" s="304" t="n"/>
      <c r="M477" s="304" t="n"/>
      <c r="N477" s="304" t="n"/>
      <c r="O477" s="304" t="n"/>
      <c r="P477" s="304" t="n"/>
      <c r="Q477" s="304" t="n"/>
    </row>
    <row r="478" ht="13.8" customHeight="1" s="343">
      <c r="A478" s="388">
        <f>ROW()-22</f>
        <v/>
      </c>
      <c r="B478" s="536">
        <f>_xlfn.NORM.INV(RAND(),$B$6,$C$6)</f>
        <v/>
      </c>
      <c r="C478" s="536">
        <f>MIN(_xlfn.NORM.INV(RAND(),$B$7,$C$7),B478-0.005)</f>
        <v/>
      </c>
      <c r="D478" s="537">
        <f>_xlfn.NORM.INV(RAND(),$B$8,$C$8)</f>
        <v/>
      </c>
      <c r="E478" s="391">
        <f t="array" ref="E478">(SUMPRODUCT($B$13:$F$13*D478/(1+B478)^$B$14:$F$14)+($F$13*D478*(1+C478))/(B478-C478)/(1+B478)^$F$14-$B$15+$B$16)/$B$17</f>
        <v/>
      </c>
      <c r="F478" s="304" t="n"/>
      <c r="G478" s="304" t="n"/>
      <c r="H478" s="304" t="n"/>
      <c r="I478" s="304" t="n"/>
      <c r="J478" s="304" t="n"/>
      <c r="K478" s="304" t="n"/>
      <c r="L478" s="304" t="n"/>
      <c r="M478" s="304" t="n"/>
      <c r="N478" s="304" t="n"/>
      <c r="O478" s="304" t="n"/>
      <c r="P478" s="304" t="n"/>
      <c r="Q478" s="304" t="n"/>
    </row>
    <row r="479" ht="13.8" customHeight="1" s="343">
      <c r="A479" s="388">
        <f>ROW()-22</f>
        <v/>
      </c>
      <c r="B479" s="536">
        <f>_xlfn.NORM.INV(RAND(),$B$6,$C$6)</f>
        <v/>
      </c>
      <c r="C479" s="536">
        <f>MIN(_xlfn.NORM.INV(RAND(),$B$7,$C$7),B479-0.005)</f>
        <v/>
      </c>
      <c r="D479" s="537">
        <f>_xlfn.NORM.INV(RAND(),$B$8,$C$8)</f>
        <v/>
      </c>
      <c r="E479" s="391">
        <f t="array" ref="E479">(SUMPRODUCT($B$13:$F$13*D479/(1+B479)^$B$14:$F$14)+($F$13*D479*(1+C479))/(B479-C479)/(1+B479)^$F$14-$B$15+$B$16)/$B$17</f>
        <v/>
      </c>
      <c r="F479" s="304" t="n"/>
      <c r="G479" s="304" t="n"/>
      <c r="H479" s="304" t="n"/>
      <c r="I479" s="304" t="n"/>
      <c r="J479" s="304" t="n"/>
      <c r="K479" s="304" t="n"/>
      <c r="L479" s="304" t="n"/>
      <c r="M479" s="304" t="n"/>
      <c r="N479" s="304" t="n"/>
      <c r="O479" s="304" t="n"/>
      <c r="P479" s="304" t="n"/>
      <c r="Q479" s="304" t="n"/>
    </row>
    <row r="480" ht="13.8" customHeight="1" s="343">
      <c r="A480" s="388">
        <f>ROW()-22</f>
        <v/>
      </c>
      <c r="B480" s="536">
        <f>_xlfn.NORM.INV(RAND(),$B$6,$C$6)</f>
        <v/>
      </c>
      <c r="C480" s="536">
        <f>MIN(_xlfn.NORM.INV(RAND(),$B$7,$C$7),B480-0.005)</f>
        <v/>
      </c>
      <c r="D480" s="537">
        <f>_xlfn.NORM.INV(RAND(),$B$8,$C$8)</f>
        <v/>
      </c>
      <c r="E480" s="391">
        <f t="array" ref="E480">(SUMPRODUCT($B$13:$F$13*D480/(1+B480)^$B$14:$F$14)+($F$13*D480*(1+C480))/(B480-C480)/(1+B480)^$F$14-$B$15+$B$16)/$B$17</f>
        <v/>
      </c>
      <c r="F480" s="304" t="n"/>
      <c r="G480" s="304" t="n"/>
      <c r="H480" s="304" t="n"/>
      <c r="I480" s="304" t="n"/>
      <c r="J480" s="304" t="n"/>
      <c r="K480" s="304" t="n"/>
      <c r="L480" s="304" t="n"/>
      <c r="M480" s="304" t="n"/>
      <c r="N480" s="304" t="n"/>
      <c r="O480" s="304" t="n"/>
      <c r="P480" s="304" t="n"/>
      <c r="Q480" s="304" t="n"/>
    </row>
    <row r="481" ht="13.8" customHeight="1" s="343">
      <c r="A481" s="388">
        <f>ROW()-22</f>
        <v/>
      </c>
      <c r="B481" s="536">
        <f>_xlfn.NORM.INV(RAND(),$B$6,$C$6)</f>
        <v/>
      </c>
      <c r="C481" s="536">
        <f>MIN(_xlfn.NORM.INV(RAND(),$B$7,$C$7),B481-0.005)</f>
        <v/>
      </c>
      <c r="D481" s="537">
        <f>_xlfn.NORM.INV(RAND(),$B$8,$C$8)</f>
        <v/>
      </c>
      <c r="E481" s="391">
        <f t="array" ref="E481">(SUMPRODUCT($B$13:$F$13*D481/(1+B481)^$B$14:$F$14)+($F$13*D481*(1+C481))/(B481-C481)/(1+B481)^$F$14-$B$15+$B$16)/$B$17</f>
        <v/>
      </c>
      <c r="F481" s="304" t="n"/>
      <c r="G481" s="304" t="n"/>
      <c r="H481" s="304" t="n"/>
      <c r="I481" s="304" t="n"/>
      <c r="J481" s="304" t="n"/>
      <c r="K481" s="304" t="n"/>
      <c r="L481" s="304" t="n"/>
      <c r="M481" s="304" t="n"/>
      <c r="N481" s="304" t="n"/>
      <c r="O481" s="304" t="n"/>
      <c r="P481" s="304" t="n"/>
      <c r="Q481" s="304" t="n"/>
    </row>
    <row r="482" ht="13.8" customHeight="1" s="343">
      <c r="A482" s="388">
        <f>ROW()-22</f>
        <v/>
      </c>
      <c r="B482" s="536">
        <f>_xlfn.NORM.INV(RAND(),$B$6,$C$6)</f>
        <v/>
      </c>
      <c r="C482" s="536">
        <f>MIN(_xlfn.NORM.INV(RAND(),$B$7,$C$7),B482-0.005)</f>
        <v/>
      </c>
      <c r="D482" s="537">
        <f>_xlfn.NORM.INV(RAND(),$B$8,$C$8)</f>
        <v/>
      </c>
      <c r="E482" s="391">
        <f t="array" ref="E482">(SUMPRODUCT($B$13:$F$13*D482/(1+B482)^$B$14:$F$14)+($F$13*D482*(1+C482))/(B482-C482)/(1+B482)^$F$14-$B$15+$B$16)/$B$17</f>
        <v/>
      </c>
      <c r="F482" s="304" t="n"/>
      <c r="G482" s="304" t="n"/>
      <c r="H482" s="304" t="n"/>
      <c r="I482" s="304" t="n"/>
      <c r="J482" s="304" t="n"/>
      <c r="K482" s="304" t="n"/>
      <c r="L482" s="304" t="n"/>
      <c r="M482" s="304" t="n"/>
      <c r="N482" s="304" t="n"/>
      <c r="O482" s="304" t="n"/>
      <c r="P482" s="304" t="n"/>
      <c r="Q482" s="304" t="n"/>
    </row>
    <row r="483" ht="13.8" customHeight="1" s="343">
      <c r="A483" s="388">
        <f>ROW()-22</f>
        <v/>
      </c>
      <c r="B483" s="536">
        <f>_xlfn.NORM.INV(RAND(),$B$6,$C$6)</f>
        <v/>
      </c>
      <c r="C483" s="536">
        <f>MIN(_xlfn.NORM.INV(RAND(),$B$7,$C$7),B483-0.005)</f>
        <v/>
      </c>
      <c r="D483" s="537">
        <f>_xlfn.NORM.INV(RAND(),$B$8,$C$8)</f>
        <v/>
      </c>
      <c r="E483" s="391">
        <f t="array" ref="E483">(SUMPRODUCT($B$13:$F$13*D483/(1+B483)^$B$14:$F$14)+($F$13*D483*(1+C483))/(B483-C483)/(1+B483)^$F$14-$B$15+$B$16)/$B$17</f>
        <v/>
      </c>
      <c r="F483" s="304" t="n"/>
      <c r="G483" s="304" t="n"/>
      <c r="H483" s="304" t="n"/>
      <c r="I483" s="304" t="n"/>
      <c r="J483" s="304" t="n"/>
      <c r="K483" s="304" t="n"/>
      <c r="L483" s="304" t="n"/>
      <c r="M483" s="304" t="n"/>
      <c r="N483" s="304" t="n"/>
      <c r="O483" s="304" t="n"/>
      <c r="P483" s="304" t="n"/>
      <c r="Q483" s="304" t="n"/>
    </row>
    <row r="484" ht="13.8" customHeight="1" s="343">
      <c r="A484" s="388">
        <f>ROW()-22</f>
        <v/>
      </c>
      <c r="B484" s="536">
        <f>_xlfn.NORM.INV(RAND(),$B$6,$C$6)</f>
        <v/>
      </c>
      <c r="C484" s="536">
        <f>MIN(_xlfn.NORM.INV(RAND(),$B$7,$C$7),B484-0.005)</f>
        <v/>
      </c>
      <c r="D484" s="537">
        <f>_xlfn.NORM.INV(RAND(),$B$8,$C$8)</f>
        <v/>
      </c>
      <c r="E484" s="391">
        <f t="array" ref="E484">(SUMPRODUCT($B$13:$F$13*D484/(1+B484)^$B$14:$F$14)+($F$13*D484*(1+C484))/(B484-C484)/(1+B484)^$F$14-$B$15+$B$16)/$B$17</f>
        <v/>
      </c>
      <c r="F484" s="304" t="n"/>
      <c r="G484" s="304" t="n"/>
      <c r="H484" s="304" t="n"/>
      <c r="I484" s="304" t="n"/>
      <c r="J484" s="304" t="n"/>
      <c r="K484" s="304" t="n"/>
      <c r="L484" s="304" t="n"/>
      <c r="M484" s="304" t="n"/>
      <c r="N484" s="304" t="n"/>
      <c r="O484" s="304" t="n"/>
      <c r="P484" s="304" t="n"/>
      <c r="Q484" s="304" t="n"/>
    </row>
    <row r="485" ht="13.8" customHeight="1" s="343">
      <c r="A485" s="388">
        <f>ROW()-22</f>
        <v/>
      </c>
      <c r="B485" s="536">
        <f>_xlfn.NORM.INV(RAND(),$B$6,$C$6)</f>
        <v/>
      </c>
      <c r="C485" s="536">
        <f>MIN(_xlfn.NORM.INV(RAND(),$B$7,$C$7),B485-0.005)</f>
        <v/>
      </c>
      <c r="D485" s="537">
        <f>_xlfn.NORM.INV(RAND(),$B$8,$C$8)</f>
        <v/>
      </c>
      <c r="E485" s="391">
        <f t="array" ref="E485">(SUMPRODUCT($B$13:$F$13*D485/(1+B485)^$B$14:$F$14)+($F$13*D485*(1+C485))/(B485-C485)/(1+B485)^$F$14-$B$15+$B$16)/$B$17</f>
        <v/>
      </c>
      <c r="F485" s="304" t="n"/>
      <c r="G485" s="304" t="n"/>
      <c r="H485" s="304" t="n"/>
      <c r="I485" s="304" t="n"/>
      <c r="J485" s="304" t="n"/>
      <c r="K485" s="304" t="n"/>
      <c r="L485" s="304" t="n"/>
      <c r="M485" s="304" t="n"/>
      <c r="N485" s="304" t="n"/>
      <c r="O485" s="304" t="n"/>
      <c r="P485" s="304" t="n"/>
      <c r="Q485" s="304" t="n"/>
    </row>
    <row r="486" ht="13.8" customHeight="1" s="343">
      <c r="A486" s="388">
        <f>ROW()-22</f>
        <v/>
      </c>
      <c r="B486" s="536">
        <f>_xlfn.NORM.INV(RAND(),$B$6,$C$6)</f>
        <v/>
      </c>
      <c r="C486" s="536">
        <f>MIN(_xlfn.NORM.INV(RAND(),$B$7,$C$7),B486-0.005)</f>
        <v/>
      </c>
      <c r="D486" s="537">
        <f>_xlfn.NORM.INV(RAND(),$B$8,$C$8)</f>
        <v/>
      </c>
      <c r="E486" s="391">
        <f t="array" ref="E486">(SUMPRODUCT($B$13:$F$13*D486/(1+B486)^$B$14:$F$14)+($F$13*D486*(1+C486))/(B486-C486)/(1+B486)^$F$14-$B$15+$B$16)/$B$17</f>
        <v/>
      </c>
      <c r="F486" s="304" t="n"/>
      <c r="G486" s="304" t="n"/>
      <c r="H486" s="304" t="n"/>
      <c r="I486" s="304" t="n"/>
      <c r="J486" s="304" t="n"/>
      <c r="K486" s="304" t="n"/>
      <c r="L486" s="304" t="n"/>
      <c r="M486" s="304" t="n"/>
      <c r="N486" s="304" t="n"/>
      <c r="O486" s="304" t="n"/>
      <c r="P486" s="304" t="n"/>
      <c r="Q486" s="304" t="n"/>
    </row>
    <row r="487" ht="13.8" customHeight="1" s="343">
      <c r="A487" s="388">
        <f>ROW()-22</f>
        <v/>
      </c>
      <c r="B487" s="536">
        <f>_xlfn.NORM.INV(RAND(),$B$6,$C$6)</f>
        <v/>
      </c>
      <c r="C487" s="536">
        <f>MIN(_xlfn.NORM.INV(RAND(),$B$7,$C$7),B487-0.005)</f>
        <v/>
      </c>
      <c r="D487" s="537">
        <f>_xlfn.NORM.INV(RAND(),$B$8,$C$8)</f>
        <v/>
      </c>
      <c r="E487" s="391">
        <f t="array" ref="E487">(SUMPRODUCT($B$13:$F$13*D487/(1+B487)^$B$14:$F$14)+($F$13*D487*(1+C487))/(B487-C487)/(1+B487)^$F$14-$B$15+$B$16)/$B$17</f>
        <v/>
      </c>
      <c r="F487" s="304" t="n"/>
      <c r="G487" s="304" t="n"/>
      <c r="H487" s="304" t="n"/>
      <c r="I487" s="304" t="n"/>
      <c r="J487" s="304" t="n"/>
      <c r="K487" s="304" t="n"/>
      <c r="L487" s="304" t="n"/>
      <c r="M487" s="304" t="n"/>
      <c r="N487" s="304" t="n"/>
      <c r="O487" s="304" t="n"/>
      <c r="P487" s="304" t="n"/>
      <c r="Q487" s="304" t="n"/>
    </row>
    <row r="488" ht="13.8" customHeight="1" s="343">
      <c r="A488" s="388">
        <f>ROW()-22</f>
        <v/>
      </c>
      <c r="B488" s="536">
        <f>_xlfn.NORM.INV(RAND(),$B$6,$C$6)</f>
        <v/>
      </c>
      <c r="C488" s="536">
        <f>MIN(_xlfn.NORM.INV(RAND(),$B$7,$C$7),B488-0.005)</f>
        <v/>
      </c>
      <c r="D488" s="537">
        <f>_xlfn.NORM.INV(RAND(),$B$8,$C$8)</f>
        <v/>
      </c>
      <c r="E488" s="391">
        <f t="array" ref="E488">(SUMPRODUCT($B$13:$F$13*D488/(1+B488)^$B$14:$F$14)+($F$13*D488*(1+C488))/(B488-C488)/(1+B488)^$F$14-$B$15+$B$16)/$B$17</f>
        <v/>
      </c>
      <c r="F488" s="304" t="n"/>
      <c r="G488" s="304" t="n"/>
      <c r="H488" s="304" t="n"/>
      <c r="I488" s="304" t="n"/>
      <c r="J488" s="304" t="n"/>
      <c r="K488" s="304" t="n"/>
      <c r="L488" s="304" t="n"/>
      <c r="M488" s="304" t="n"/>
      <c r="N488" s="304" t="n"/>
      <c r="O488" s="304" t="n"/>
      <c r="P488" s="304" t="n"/>
      <c r="Q488" s="304" t="n"/>
    </row>
    <row r="489" ht="13.8" customHeight="1" s="343">
      <c r="A489" s="388">
        <f>ROW()-22</f>
        <v/>
      </c>
      <c r="B489" s="536">
        <f>_xlfn.NORM.INV(RAND(),$B$6,$C$6)</f>
        <v/>
      </c>
      <c r="C489" s="536">
        <f>MIN(_xlfn.NORM.INV(RAND(),$B$7,$C$7),B489-0.005)</f>
        <v/>
      </c>
      <c r="D489" s="537">
        <f>_xlfn.NORM.INV(RAND(),$B$8,$C$8)</f>
        <v/>
      </c>
      <c r="E489" s="391">
        <f t="array" ref="E489">(SUMPRODUCT($B$13:$F$13*D489/(1+B489)^$B$14:$F$14)+($F$13*D489*(1+C489))/(B489-C489)/(1+B489)^$F$14-$B$15+$B$16)/$B$17</f>
        <v/>
      </c>
      <c r="F489" s="304" t="n"/>
      <c r="G489" s="304" t="n"/>
      <c r="H489" s="304" t="n"/>
      <c r="I489" s="304" t="n"/>
      <c r="J489" s="304" t="n"/>
      <c r="K489" s="304" t="n"/>
      <c r="L489" s="304" t="n"/>
      <c r="M489" s="304" t="n"/>
      <c r="N489" s="304" t="n"/>
      <c r="O489" s="304" t="n"/>
      <c r="P489" s="304" t="n"/>
      <c r="Q489" s="304" t="n"/>
    </row>
    <row r="490" ht="13.8" customHeight="1" s="343">
      <c r="A490" s="388">
        <f>ROW()-22</f>
        <v/>
      </c>
      <c r="B490" s="536">
        <f>_xlfn.NORM.INV(RAND(),$B$6,$C$6)</f>
        <v/>
      </c>
      <c r="C490" s="536">
        <f>MIN(_xlfn.NORM.INV(RAND(),$B$7,$C$7),B490-0.005)</f>
        <v/>
      </c>
      <c r="D490" s="537">
        <f>_xlfn.NORM.INV(RAND(),$B$8,$C$8)</f>
        <v/>
      </c>
      <c r="E490" s="391">
        <f t="array" ref="E490">(SUMPRODUCT($B$13:$F$13*D490/(1+B490)^$B$14:$F$14)+($F$13*D490*(1+C490))/(B490-C490)/(1+B490)^$F$14-$B$15+$B$16)/$B$17</f>
        <v/>
      </c>
      <c r="F490" s="304" t="n"/>
      <c r="G490" s="304" t="n"/>
      <c r="H490" s="304" t="n"/>
      <c r="I490" s="304" t="n"/>
      <c r="J490" s="304" t="n"/>
      <c r="K490" s="304" t="n"/>
      <c r="L490" s="304" t="n"/>
      <c r="M490" s="304" t="n"/>
      <c r="N490" s="304" t="n"/>
      <c r="O490" s="304" t="n"/>
      <c r="P490" s="304" t="n"/>
      <c r="Q490" s="304" t="n"/>
    </row>
    <row r="491" ht="13.8" customHeight="1" s="343">
      <c r="A491" s="388">
        <f>ROW()-22</f>
        <v/>
      </c>
      <c r="B491" s="536">
        <f>_xlfn.NORM.INV(RAND(),$B$6,$C$6)</f>
        <v/>
      </c>
      <c r="C491" s="536">
        <f>MIN(_xlfn.NORM.INV(RAND(),$B$7,$C$7),B491-0.005)</f>
        <v/>
      </c>
      <c r="D491" s="537">
        <f>_xlfn.NORM.INV(RAND(),$B$8,$C$8)</f>
        <v/>
      </c>
      <c r="E491" s="391">
        <f t="array" ref="E491">(SUMPRODUCT($B$13:$F$13*D491/(1+B491)^$B$14:$F$14)+($F$13*D491*(1+C491))/(B491-C491)/(1+B491)^$F$14-$B$15+$B$16)/$B$17</f>
        <v/>
      </c>
      <c r="F491" s="304" t="n"/>
      <c r="G491" s="304" t="n"/>
      <c r="H491" s="304" t="n"/>
      <c r="I491" s="304" t="n"/>
      <c r="J491" s="304" t="n"/>
      <c r="K491" s="304" t="n"/>
      <c r="L491" s="304" t="n"/>
      <c r="M491" s="304" t="n"/>
      <c r="N491" s="304" t="n"/>
      <c r="O491" s="304" t="n"/>
      <c r="P491" s="304" t="n"/>
      <c r="Q491" s="304" t="n"/>
    </row>
    <row r="492" ht="13.8" customHeight="1" s="343">
      <c r="A492" s="388">
        <f>ROW()-22</f>
        <v/>
      </c>
      <c r="B492" s="536">
        <f>_xlfn.NORM.INV(RAND(),$B$6,$C$6)</f>
        <v/>
      </c>
      <c r="C492" s="536">
        <f>MIN(_xlfn.NORM.INV(RAND(),$B$7,$C$7),B492-0.005)</f>
        <v/>
      </c>
      <c r="D492" s="537">
        <f>_xlfn.NORM.INV(RAND(),$B$8,$C$8)</f>
        <v/>
      </c>
      <c r="E492" s="391">
        <f t="array" ref="E492">(SUMPRODUCT($B$13:$F$13*D492/(1+B492)^$B$14:$F$14)+($F$13*D492*(1+C492))/(B492-C492)/(1+B492)^$F$14-$B$15+$B$16)/$B$17</f>
        <v/>
      </c>
      <c r="F492" s="304" t="n"/>
      <c r="G492" s="304" t="n"/>
      <c r="H492" s="304" t="n"/>
      <c r="I492" s="304" t="n"/>
      <c r="J492" s="304" t="n"/>
      <c r="K492" s="304" t="n"/>
      <c r="L492" s="304" t="n"/>
      <c r="M492" s="304" t="n"/>
      <c r="N492" s="304" t="n"/>
      <c r="O492" s="304" t="n"/>
      <c r="P492" s="304" t="n"/>
      <c r="Q492" s="304" t="n"/>
    </row>
    <row r="493" ht="13.8" customHeight="1" s="343">
      <c r="A493" s="388">
        <f>ROW()-22</f>
        <v/>
      </c>
      <c r="B493" s="536">
        <f>_xlfn.NORM.INV(RAND(),$B$6,$C$6)</f>
        <v/>
      </c>
      <c r="C493" s="536">
        <f>MIN(_xlfn.NORM.INV(RAND(),$B$7,$C$7),B493-0.005)</f>
        <v/>
      </c>
      <c r="D493" s="537">
        <f>_xlfn.NORM.INV(RAND(),$B$8,$C$8)</f>
        <v/>
      </c>
      <c r="E493" s="391">
        <f t="array" ref="E493">(SUMPRODUCT($B$13:$F$13*D493/(1+B493)^$B$14:$F$14)+($F$13*D493*(1+C493))/(B493-C493)/(1+B493)^$F$14-$B$15+$B$16)/$B$17</f>
        <v/>
      </c>
      <c r="F493" s="304" t="n"/>
      <c r="G493" s="304" t="n"/>
      <c r="H493" s="304" t="n"/>
      <c r="I493" s="304" t="n"/>
      <c r="J493" s="304" t="n"/>
      <c r="K493" s="304" t="n"/>
      <c r="L493" s="304" t="n"/>
      <c r="M493" s="304" t="n"/>
      <c r="N493" s="304" t="n"/>
      <c r="O493" s="304" t="n"/>
      <c r="P493" s="304" t="n"/>
      <c r="Q493" s="304" t="n"/>
    </row>
    <row r="494" ht="13.8" customHeight="1" s="343">
      <c r="A494" s="388">
        <f>ROW()-22</f>
        <v/>
      </c>
      <c r="B494" s="536">
        <f>_xlfn.NORM.INV(RAND(),$B$6,$C$6)</f>
        <v/>
      </c>
      <c r="C494" s="536">
        <f>MIN(_xlfn.NORM.INV(RAND(),$B$7,$C$7),B494-0.005)</f>
        <v/>
      </c>
      <c r="D494" s="537">
        <f>_xlfn.NORM.INV(RAND(),$B$8,$C$8)</f>
        <v/>
      </c>
      <c r="E494" s="391">
        <f t="array" ref="E494">(SUMPRODUCT($B$13:$F$13*D494/(1+B494)^$B$14:$F$14)+($F$13*D494*(1+C494))/(B494-C494)/(1+B494)^$F$14-$B$15+$B$16)/$B$17</f>
        <v/>
      </c>
      <c r="F494" s="304" t="n"/>
      <c r="G494" s="304" t="n"/>
      <c r="H494" s="304" t="n"/>
      <c r="I494" s="304" t="n"/>
      <c r="J494" s="304" t="n"/>
      <c r="K494" s="304" t="n"/>
      <c r="L494" s="304" t="n"/>
      <c r="M494" s="304" t="n"/>
      <c r="N494" s="304" t="n"/>
      <c r="O494" s="304" t="n"/>
      <c r="P494" s="304" t="n"/>
      <c r="Q494" s="304" t="n"/>
    </row>
    <row r="495" ht="13.8" customHeight="1" s="343">
      <c r="A495" s="388">
        <f>ROW()-22</f>
        <v/>
      </c>
      <c r="B495" s="536">
        <f>_xlfn.NORM.INV(RAND(),$B$6,$C$6)</f>
        <v/>
      </c>
      <c r="C495" s="536">
        <f>MIN(_xlfn.NORM.INV(RAND(),$B$7,$C$7),B495-0.005)</f>
        <v/>
      </c>
      <c r="D495" s="537">
        <f>_xlfn.NORM.INV(RAND(),$B$8,$C$8)</f>
        <v/>
      </c>
      <c r="E495" s="391">
        <f t="array" ref="E495">(SUMPRODUCT($B$13:$F$13*D495/(1+B495)^$B$14:$F$14)+($F$13*D495*(1+C495))/(B495-C495)/(1+B495)^$F$14-$B$15+$B$16)/$B$17</f>
        <v/>
      </c>
      <c r="F495" s="304" t="n"/>
      <c r="G495" s="304" t="n"/>
      <c r="H495" s="304" t="n"/>
      <c r="I495" s="304" t="n"/>
      <c r="J495" s="304" t="n"/>
      <c r="K495" s="304" t="n"/>
      <c r="L495" s="304" t="n"/>
      <c r="M495" s="304" t="n"/>
      <c r="N495" s="304" t="n"/>
      <c r="O495" s="304" t="n"/>
      <c r="P495" s="304" t="n"/>
      <c r="Q495" s="304" t="n"/>
    </row>
    <row r="496" ht="13.8" customHeight="1" s="343">
      <c r="A496" s="388">
        <f>ROW()-22</f>
        <v/>
      </c>
      <c r="B496" s="536">
        <f>_xlfn.NORM.INV(RAND(),$B$6,$C$6)</f>
        <v/>
      </c>
      <c r="C496" s="536">
        <f>MIN(_xlfn.NORM.INV(RAND(),$B$7,$C$7),B496-0.005)</f>
        <v/>
      </c>
      <c r="D496" s="537">
        <f>_xlfn.NORM.INV(RAND(),$B$8,$C$8)</f>
        <v/>
      </c>
      <c r="E496" s="391">
        <f t="array" ref="E496">(SUMPRODUCT($B$13:$F$13*D496/(1+B496)^$B$14:$F$14)+($F$13*D496*(1+C496))/(B496-C496)/(1+B496)^$F$14-$B$15+$B$16)/$B$17</f>
        <v/>
      </c>
      <c r="F496" s="304" t="n"/>
      <c r="G496" s="304" t="n"/>
      <c r="H496" s="304" t="n"/>
      <c r="I496" s="304" t="n"/>
      <c r="J496" s="304" t="n"/>
      <c r="K496" s="304" t="n"/>
      <c r="L496" s="304" t="n"/>
      <c r="M496" s="304" t="n"/>
      <c r="N496" s="304" t="n"/>
      <c r="O496" s="304" t="n"/>
      <c r="P496" s="304" t="n"/>
      <c r="Q496" s="304" t="n"/>
    </row>
    <row r="497" ht="13.8" customHeight="1" s="343">
      <c r="A497" s="388">
        <f>ROW()-22</f>
        <v/>
      </c>
      <c r="B497" s="536">
        <f>_xlfn.NORM.INV(RAND(),$B$6,$C$6)</f>
        <v/>
      </c>
      <c r="C497" s="536">
        <f>MIN(_xlfn.NORM.INV(RAND(),$B$7,$C$7),B497-0.005)</f>
        <v/>
      </c>
      <c r="D497" s="537">
        <f>_xlfn.NORM.INV(RAND(),$B$8,$C$8)</f>
        <v/>
      </c>
      <c r="E497" s="391">
        <f t="array" ref="E497">(SUMPRODUCT($B$13:$F$13*D497/(1+B497)^$B$14:$F$14)+($F$13*D497*(1+C497))/(B497-C497)/(1+B497)^$F$14-$B$15+$B$16)/$B$17</f>
        <v/>
      </c>
      <c r="F497" s="304" t="n"/>
      <c r="G497" s="304" t="n"/>
      <c r="H497" s="304" t="n"/>
      <c r="I497" s="304" t="n"/>
      <c r="J497" s="304" t="n"/>
      <c r="K497" s="304" t="n"/>
      <c r="L497" s="304" t="n"/>
      <c r="M497" s="304" t="n"/>
      <c r="N497" s="304" t="n"/>
      <c r="O497" s="304" t="n"/>
      <c r="P497" s="304" t="n"/>
      <c r="Q497" s="304" t="n"/>
    </row>
    <row r="498" ht="13.8" customHeight="1" s="343">
      <c r="A498" s="388">
        <f>ROW()-22</f>
        <v/>
      </c>
      <c r="B498" s="536">
        <f>_xlfn.NORM.INV(RAND(),$B$6,$C$6)</f>
        <v/>
      </c>
      <c r="C498" s="536">
        <f>MIN(_xlfn.NORM.INV(RAND(),$B$7,$C$7),B498-0.005)</f>
        <v/>
      </c>
      <c r="D498" s="537">
        <f>_xlfn.NORM.INV(RAND(),$B$8,$C$8)</f>
        <v/>
      </c>
      <c r="E498" s="391">
        <f t="array" ref="E498">(SUMPRODUCT($B$13:$F$13*D498/(1+B498)^$B$14:$F$14)+($F$13*D498*(1+C498))/(B498-C498)/(1+B498)^$F$14-$B$15+$B$16)/$B$17</f>
        <v/>
      </c>
      <c r="F498" s="304" t="n"/>
      <c r="G498" s="304" t="n"/>
      <c r="H498" s="304" t="n"/>
      <c r="I498" s="304" t="n"/>
      <c r="J498" s="304" t="n"/>
      <c r="K498" s="304" t="n"/>
      <c r="L498" s="304" t="n"/>
      <c r="M498" s="304" t="n"/>
      <c r="N498" s="304" t="n"/>
      <c r="O498" s="304" t="n"/>
      <c r="P498" s="304" t="n"/>
      <c r="Q498" s="304" t="n"/>
    </row>
    <row r="499" ht="13.8" customHeight="1" s="343">
      <c r="A499" s="388">
        <f>ROW()-22</f>
        <v/>
      </c>
      <c r="B499" s="536">
        <f>_xlfn.NORM.INV(RAND(),$B$6,$C$6)</f>
        <v/>
      </c>
      <c r="C499" s="536">
        <f>MIN(_xlfn.NORM.INV(RAND(),$B$7,$C$7),B499-0.005)</f>
        <v/>
      </c>
      <c r="D499" s="537">
        <f>_xlfn.NORM.INV(RAND(),$B$8,$C$8)</f>
        <v/>
      </c>
      <c r="E499" s="391">
        <f t="array" ref="E499">(SUMPRODUCT($B$13:$F$13*D499/(1+B499)^$B$14:$F$14)+($F$13*D499*(1+C499))/(B499-C499)/(1+B499)^$F$14-$B$15+$B$16)/$B$17</f>
        <v/>
      </c>
      <c r="F499" s="304" t="n"/>
      <c r="G499" s="304" t="n"/>
      <c r="H499" s="304" t="n"/>
      <c r="I499" s="304" t="n"/>
      <c r="J499" s="304" t="n"/>
      <c r="K499" s="304" t="n"/>
      <c r="L499" s="304" t="n"/>
      <c r="M499" s="304" t="n"/>
      <c r="N499" s="304" t="n"/>
      <c r="O499" s="304" t="n"/>
      <c r="P499" s="304" t="n"/>
      <c r="Q499" s="304" t="n"/>
    </row>
    <row r="500" ht="13.8" customHeight="1" s="343">
      <c r="A500" s="388">
        <f>ROW()-22</f>
        <v/>
      </c>
      <c r="B500" s="536">
        <f>_xlfn.NORM.INV(RAND(),$B$6,$C$6)</f>
        <v/>
      </c>
      <c r="C500" s="536">
        <f>MIN(_xlfn.NORM.INV(RAND(),$B$7,$C$7),B500-0.005)</f>
        <v/>
      </c>
      <c r="D500" s="537">
        <f>_xlfn.NORM.INV(RAND(),$B$8,$C$8)</f>
        <v/>
      </c>
      <c r="E500" s="391">
        <f t="array" ref="E500">(SUMPRODUCT($B$13:$F$13*D500/(1+B500)^$B$14:$F$14)+($F$13*D500*(1+C500))/(B500-C500)/(1+B500)^$F$14-$B$15+$B$16)/$B$17</f>
        <v/>
      </c>
      <c r="F500" s="304" t="n"/>
      <c r="G500" s="304" t="n"/>
      <c r="H500" s="304" t="n"/>
      <c r="I500" s="304" t="n"/>
      <c r="J500" s="304" t="n"/>
      <c r="K500" s="304" t="n"/>
      <c r="L500" s="304" t="n"/>
      <c r="M500" s="304" t="n"/>
      <c r="N500" s="304" t="n"/>
      <c r="O500" s="304" t="n"/>
      <c r="P500" s="304" t="n"/>
      <c r="Q500" s="304" t="n"/>
    </row>
    <row r="501" ht="13.8" customHeight="1" s="343">
      <c r="A501" s="388">
        <f>ROW()-22</f>
        <v/>
      </c>
      <c r="B501" s="536">
        <f>_xlfn.NORM.INV(RAND(),$B$6,$C$6)</f>
        <v/>
      </c>
      <c r="C501" s="536">
        <f>MIN(_xlfn.NORM.INV(RAND(),$B$7,$C$7),B501-0.005)</f>
        <v/>
      </c>
      <c r="D501" s="537">
        <f>_xlfn.NORM.INV(RAND(),$B$8,$C$8)</f>
        <v/>
      </c>
      <c r="E501" s="391">
        <f t="array" ref="E501">(SUMPRODUCT($B$13:$F$13*D501/(1+B501)^$B$14:$F$14)+($F$13*D501*(1+C501))/(B501-C501)/(1+B501)^$F$14-$B$15+$B$16)/$B$17</f>
        <v/>
      </c>
      <c r="F501" s="304" t="n"/>
      <c r="G501" s="304" t="n"/>
      <c r="H501" s="304" t="n"/>
      <c r="I501" s="304" t="n"/>
      <c r="J501" s="304" t="n"/>
      <c r="K501" s="304" t="n"/>
      <c r="L501" s="304" t="n"/>
      <c r="M501" s="304" t="n"/>
      <c r="N501" s="304" t="n"/>
      <c r="O501" s="304" t="n"/>
      <c r="P501" s="304" t="n"/>
      <c r="Q501" s="304" t="n"/>
    </row>
    <row r="502" ht="13.8" customHeight="1" s="343">
      <c r="A502" s="388">
        <f>ROW()-22</f>
        <v/>
      </c>
      <c r="B502" s="536">
        <f>_xlfn.NORM.INV(RAND(),$B$6,$C$6)</f>
        <v/>
      </c>
      <c r="C502" s="536">
        <f>MIN(_xlfn.NORM.INV(RAND(),$B$7,$C$7),B502-0.005)</f>
        <v/>
      </c>
      <c r="D502" s="537">
        <f>_xlfn.NORM.INV(RAND(),$B$8,$C$8)</f>
        <v/>
      </c>
      <c r="E502" s="391">
        <f t="array" ref="E502">(SUMPRODUCT($B$13:$F$13*D502/(1+B502)^$B$14:$F$14)+($F$13*D502*(1+C502))/(B502-C502)/(1+B502)^$F$14-$B$15+$B$16)/$B$17</f>
        <v/>
      </c>
      <c r="F502" s="304" t="n"/>
      <c r="G502" s="304" t="n"/>
      <c r="H502" s="304" t="n"/>
      <c r="I502" s="304" t="n"/>
      <c r="J502" s="304" t="n"/>
      <c r="K502" s="304" t="n"/>
      <c r="L502" s="304" t="n"/>
      <c r="M502" s="304" t="n"/>
      <c r="N502" s="304" t="n"/>
      <c r="O502" s="304" t="n"/>
      <c r="P502" s="304" t="n"/>
      <c r="Q502" s="304" t="n"/>
    </row>
    <row r="503" ht="13.8" customHeight="1" s="343">
      <c r="A503" s="388">
        <f>ROW()-22</f>
        <v/>
      </c>
      <c r="B503" s="536">
        <f>_xlfn.NORM.INV(RAND(),$B$6,$C$6)</f>
        <v/>
      </c>
      <c r="C503" s="536">
        <f>MIN(_xlfn.NORM.INV(RAND(),$B$7,$C$7),B503-0.005)</f>
        <v/>
      </c>
      <c r="D503" s="537">
        <f>_xlfn.NORM.INV(RAND(),$B$8,$C$8)</f>
        <v/>
      </c>
      <c r="E503" s="391">
        <f t="array" ref="E503">(SUMPRODUCT($B$13:$F$13*D503/(1+B503)^$B$14:$F$14)+($F$13*D503*(1+C503))/(B503-C503)/(1+B503)^$F$14-$B$15+$B$16)/$B$17</f>
        <v/>
      </c>
      <c r="F503" s="304" t="n"/>
      <c r="G503" s="304" t="n"/>
      <c r="H503" s="304" t="n"/>
      <c r="I503" s="304" t="n"/>
      <c r="J503" s="304" t="n"/>
      <c r="K503" s="304" t="n"/>
      <c r="L503" s="304" t="n"/>
      <c r="M503" s="304" t="n"/>
      <c r="N503" s="304" t="n"/>
      <c r="O503" s="304" t="n"/>
      <c r="P503" s="304" t="n"/>
      <c r="Q503" s="304" t="n"/>
    </row>
    <row r="504" ht="13.8" customHeight="1" s="343">
      <c r="A504" s="388">
        <f>ROW()-22</f>
        <v/>
      </c>
      <c r="B504" s="536">
        <f>_xlfn.NORM.INV(RAND(),$B$6,$C$6)</f>
        <v/>
      </c>
      <c r="C504" s="536">
        <f>MIN(_xlfn.NORM.INV(RAND(),$B$7,$C$7),B504-0.005)</f>
        <v/>
      </c>
      <c r="D504" s="537">
        <f>_xlfn.NORM.INV(RAND(),$B$8,$C$8)</f>
        <v/>
      </c>
      <c r="E504" s="391">
        <f t="array" ref="E504">(SUMPRODUCT($B$13:$F$13*D504/(1+B504)^$B$14:$F$14)+($F$13*D504*(1+C504))/(B504-C504)/(1+B504)^$F$14-$B$15+$B$16)/$B$17</f>
        <v/>
      </c>
      <c r="F504" s="304" t="n"/>
      <c r="G504" s="304" t="n"/>
      <c r="H504" s="304" t="n"/>
      <c r="I504" s="304" t="n"/>
      <c r="J504" s="304" t="n"/>
      <c r="K504" s="304" t="n"/>
      <c r="L504" s="304" t="n"/>
      <c r="M504" s="304" t="n"/>
      <c r="N504" s="304" t="n"/>
      <c r="O504" s="304" t="n"/>
      <c r="P504" s="304" t="n"/>
      <c r="Q504" s="304" t="n"/>
    </row>
    <row r="505" ht="13.8" customHeight="1" s="343">
      <c r="A505" s="388">
        <f>ROW()-22</f>
        <v/>
      </c>
      <c r="B505" s="536">
        <f>_xlfn.NORM.INV(RAND(),$B$6,$C$6)</f>
        <v/>
      </c>
      <c r="C505" s="536">
        <f>MIN(_xlfn.NORM.INV(RAND(),$B$7,$C$7),B505-0.005)</f>
        <v/>
      </c>
      <c r="D505" s="537">
        <f>_xlfn.NORM.INV(RAND(),$B$8,$C$8)</f>
        <v/>
      </c>
      <c r="E505" s="391">
        <f t="array" ref="E505">(SUMPRODUCT($B$13:$F$13*D505/(1+B505)^$B$14:$F$14)+($F$13*D505*(1+C505))/(B505-C505)/(1+B505)^$F$14-$B$15+$B$16)/$B$17</f>
        <v/>
      </c>
      <c r="F505" s="304" t="n"/>
      <c r="G505" s="304" t="n"/>
      <c r="H505" s="304" t="n"/>
      <c r="I505" s="304" t="n"/>
      <c r="J505" s="304" t="n"/>
      <c r="K505" s="304" t="n"/>
      <c r="L505" s="304" t="n"/>
      <c r="M505" s="304" t="n"/>
      <c r="N505" s="304" t="n"/>
      <c r="O505" s="304" t="n"/>
      <c r="P505" s="304" t="n"/>
      <c r="Q505" s="304" t="n"/>
    </row>
    <row r="506" ht="13.8" customHeight="1" s="343">
      <c r="A506" s="388">
        <f>ROW()-22</f>
        <v/>
      </c>
      <c r="B506" s="536">
        <f>_xlfn.NORM.INV(RAND(),$B$6,$C$6)</f>
        <v/>
      </c>
      <c r="C506" s="536">
        <f>MIN(_xlfn.NORM.INV(RAND(),$B$7,$C$7),B506-0.005)</f>
        <v/>
      </c>
      <c r="D506" s="537">
        <f>_xlfn.NORM.INV(RAND(),$B$8,$C$8)</f>
        <v/>
      </c>
      <c r="E506" s="391">
        <f t="array" ref="E506">(SUMPRODUCT($B$13:$F$13*D506/(1+B506)^$B$14:$F$14)+($F$13*D506*(1+C506))/(B506-C506)/(1+B506)^$F$14-$B$15+$B$16)/$B$17</f>
        <v/>
      </c>
      <c r="F506" s="304" t="n"/>
      <c r="G506" s="304" t="n"/>
      <c r="H506" s="304" t="n"/>
      <c r="I506" s="304" t="n"/>
      <c r="J506" s="304" t="n"/>
      <c r="K506" s="304" t="n"/>
      <c r="L506" s="304" t="n"/>
      <c r="M506" s="304" t="n"/>
      <c r="N506" s="304" t="n"/>
      <c r="O506" s="304" t="n"/>
      <c r="P506" s="304" t="n"/>
      <c r="Q506" s="304" t="n"/>
    </row>
    <row r="507" ht="13.8" customHeight="1" s="343">
      <c r="A507" s="388">
        <f>ROW()-22</f>
        <v/>
      </c>
      <c r="B507" s="536">
        <f>_xlfn.NORM.INV(RAND(),$B$6,$C$6)</f>
        <v/>
      </c>
      <c r="C507" s="536">
        <f>MIN(_xlfn.NORM.INV(RAND(),$B$7,$C$7),B507-0.005)</f>
        <v/>
      </c>
      <c r="D507" s="537">
        <f>_xlfn.NORM.INV(RAND(),$B$8,$C$8)</f>
        <v/>
      </c>
      <c r="E507" s="391">
        <f t="array" ref="E507">(SUMPRODUCT($B$13:$F$13*D507/(1+B507)^$B$14:$F$14)+($F$13*D507*(1+C507))/(B507-C507)/(1+B507)^$F$14-$B$15+$B$16)/$B$17</f>
        <v/>
      </c>
      <c r="F507" s="304" t="n"/>
      <c r="G507" s="304" t="n"/>
      <c r="H507" s="304" t="n"/>
      <c r="I507" s="304" t="n"/>
      <c r="J507" s="304" t="n"/>
      <c r="K507" s="304" t="n"/>
      <c r="L507" s="304" t="n"/>
      <c r="M507" s="304" t="n"/>
      <c r="N507" s="304" t="n"/>
      <c r="O507" s="304" t="n"/>
      <c r="P507" s="304" t="n"/>
      <c r="Q507" s="304" t="n"/>
    </row>
    <row r="508" ht="13.8" customHeight="1" s="343">
      <c r="A508" s="388">
        <f>ROW()-22</f>
        <v/>
      </c>
      <c r="B508" s="536">
        <f>_xlfn.NORM.INV(RAND(),$B$6,$C$6)</f>
        <v/>
      </c>
      <c r="C508" s="536">
        <f>MIN(_xlfn.NORM.INV(RAND(),$B$7,$C$7),B508-0.005)</f>
        <v/>
      </c>
      <c r="D508" s="537">
        <f>_xlfn.NORM.INV(RAND(),$B$8,$C$8)</f>
        <v/>
      </c>
      <c r="E508" s="391">
        <f t="array" ref="E508">(SUMPRODUCT($B$13:$F$13*D508/(1+B508)^$B$14:$F$14)+($F$13*D508*(1+C508))/(B508-C508)/(1+B508)^$F$14-$B$15+$B$16)/$B$17</f>
        <v/>
      </c>
      <c r="F508" s="304" t="n"/>
      <c r="G508" s="304" t="n"/>
      <c r="H508" s="304" t="n"/>
      <c r="I508" s="304" t="n"/>
      <c r="J508" s="304" t="n"/>
      <c r="K508" s="304" t="n"/>
      <c r="L508" s="304" t="n"/>
      <c r="M508" s="304" t="n"/>
      <c r="N508" s="304" t="n"/>
      <c r="O508" s="304" t="n"/>
      <c r="P508" s="304" t="n"/>
      <c r="Q508" s="304" t="n"/>
    </row>
    <row r="509" ht="13.8" customHeight="1" s="343">
      <c r="A509" s="388">
        <f>ROW()-22</f>
        <v/>
      </c>
      <c r="B509" s="536">
        <f>_xlfn.NORM.INV(RAND(),$B$6,$C$6)</f>
        <v/>
      </c>
      <c r="C509" s="536">
        <f>MIN(_xlfn.NORM.INV(RAND(),$B$7,$C$7),B509-0.005)</f>
        <v/>
      </c>
      <c r="D509" s="537">
        <f>_xlfn.NORM.INV(RAND(),$B$8,$C$8)</f>
        <v/>
      </c>
      <c r="E509" s="391">
        <f t="array" ref="E509">(SUMPRODUCT($B$13:$F$13*D509/(1+B509)^$B$14:$F$14)+($F$13*D509*(1+C509))/(B509-C509)/(1+B509)^$F$14-$B$15+$B$16)/$B$17</f>
        <v/>
      </c>
      <c r="F509" s="304" t="n"/>
      <c r="G509" s="304" t="n"/>
      <c r="H509" s="304" t="n"/>
      <c r="I509" s="304" t="n"/>
      <c r="J509" s="304" t="n"/>
      <c r="K509" s="304" t="n"/>
      <c r="L509" s="304" t="n"/>
      <c r="M509" s="304" t="n"/>
      <c r="N509" s="304" t="n"/>
      <c r="O509" s="304" t="n"/>
      <c r="P509" s="304" t="n"/>
      <c r="Q509" s="304" t="n"/>
    </row>
    <row r="510" ht="13.8" customHeight="1" s="343">
      <c r="A510" s="388">
        <f>ROW()-22</f>
        <v/>
      </c>
      <c r="B510" s="536">
        <f>_xlfn.NORM.INV(RAND(),$B$6,$C$6)</f>
        <v/>
      </c>
      <c r="C510" s="536">
        <f>MIN(_xlfn.NORM.INV(RAND(),$B$7,$C$7),B510-0.005)</f>
        <v/>
      </c>
      <c r="D510" s="537">
        <f>_xlfn.NORM.INV(RAND(),$B$8,$C$8)</f>
        <v/>
      </c>
      <c r="E510" s="391">
        <f t="array" ref="E510">(SUMPRODUCT($B$13:$F$13*D510/(1+B510)^$B$14:$F$14)+($F$13*D510*(1+C510))/(B510-C510)/(1+B510)^$F$14-$B$15+$B$16)/$B$17</f>
        <v/>
      </c>
      <c r="F510" s="304" t="n"/>
      <c r="G510" s="304" t="n"/>
      <c r="H510" s="304" t="n"/>
      <c r="I510" s="304" t="n"/>
      <c r="J510" s="304" t="n"/>
      <c r="K510" s="304" t="n"/>
      <c r="L510" s="304" t="n"/>
      <c r="M510" s="304" t="n"/>
      <c r="N510" s="304" t="n"/>
      <c r="O510" s="304" t="n"/>
      <c r="P510" s="304" t="n"/>
      <c r="Q510" s="304" t="n"/>
    </row>
    <row r="511" ht="13.8" customHeight="1" s="343">
      <c r="A511" s="388">
        <f>ROW()-22</f>
        <v/>
      </c>
      <c r="B511" s="536">
        <f>_xlfn.NORM.INV(RAND(),$B$6,$C$6)</f>
        <v/>
      </c>
      <c r="C511" s="536">
        <f>MIN(_xlfn.NORM.INV(RAND(),$B$7,$C$7),B511-0.005)</f>
        <v/>
      </c>
      <c r="D511" s="537">
        <f>_xlfn.NORM.INV(RAND(),$B$8,$C$8)</f>
        <v/>
      </c>
      <c r="E511" s="391">
        <f t="array" ref="E511">(SUMPRODUCT($B$13:$F$13*D511/(1+B511)^$B$14:$F$14)+($F$13*D511*(1+C511))/(B511-C511)/(1+B511)^$F$14-$B$15+$B$16)/$B$17</f>
        <v/>
      </c>
      <c r="F511" s="304" t="n"/>
      <c r="G511" s="304" t="n"/>
      <c r="H511" s="304" t="n"/>
      <c r="I511" s="304" t="n"/>
      <c r="J511" s="304" t="n"/>
      <c r="K511" s="304" t="n"/>
      <c r="L511" s="304" t="n"/>
      <c r="M511" s="304" t="n"/>
      <c r="N511" s="304" t="n"/>
      <c r="O511" s="304" t="n"/>
      <c r="P511" s="304" t="n"/>
      <c r="Q511" s="304" t="n"/>
    </row>
    <row r="512" ht="13.8" customHeight="1" s="343">
      <c r="A512" s="388">
        <f>ROW()-22</f>
        <v/>
      </c>
      <c r="B512" s="536">
        <f>_xlfn.NORM.INV(RAND(),$B$6,$C$6)</f>
        <v/>
      </c>
      <c r="C512" s="536">
        <f>MIN(_xlfn.NORM.INV(RAND(),$B$7,$C$7),B512-0.005)</f>
        <v/>
      </c>
      <c r="D512" s="537">
        <f>_xlfn.NORM.INV(RAND(),$B$8,$C$8)</f>
        <v/>
      </c>
      <c r="E512" s="391">
        <f t="array" ref="E512">(SUMPRODUCT($B$13:$F$13*D512/(1+B512)^$B$14:$F$14)+($F$13*D512*(1+C512))/(B512-C512)/(1+B512)^$F$14-$B$15+$B$16)/$B$17</f>
        <v/>
      </c>
      <c r="F512" s="304" t="n"/>
      <c r="G512" s="304" t="n"/>
      <c r="H512" s="304" t="n"/>
      <c r="I512" s="304" t="n"/>
      <c r="J512" s="304" t="n"/>
      <c r="K512" s="304" t="n"/>
      <c r="L512" s="304" t="n"/>
      <c r="M512" s="304" t="n"/>
      <c r="N512" s="304" t="n"/>
      <c r="O512" s="304" t="n"/>
      <c r="P512" s="304" t="n"/>
      <c r="Q512" s="304" t="n"/>
    </row>
    <row r="513" ht="13.8" customHeight="1" s="343">
      <c r="A513" s="388">
        <f>ROW()-22</f>
        <v/>
      </c>
      <c r="B513" s="536">
        <f>_xlfn.NORM.INV(RAND(),$B$6,$C$6)</f>
        <v/>
      </c>
      <c r="C513" s="536">
        <f>MIN(_xlfn.NORM.INV(RAND(),$B$7,$C$7),B513-0.005)</f>
        <v/>
      </c>
      <c r="D513" s="537">
        <f>_xlfn.NORM.INV(RAND(),$B$8,$C$8)</f>
        <v/>
      </c>
      <c r="E513" s="391">
        <f t="array" ref="E513">(SUMPRODUCT($B$13:$F$13*D513/(1+B513)^$B$14:$F$14)+($F$13*D513*(1+C513))/(B513-C513)/(1+B513)^$F$14-$B$15+$B$16)/$B$17</f>
        <v/>
      </c>
      <c r="F513" s="304" t="n"/>
      <c r="G513" s="304" t="n"/>
      <c r="H513" s="304" t="n"/>
      <c r="I513" s="304" t="n"/>
      <c r="J513" s="304" t="n"/>
      <c r="K513" s="304" t="n"/>
      <c r="L513" s="304" t="n"/>
      <c r="M513" s="304" t="n"/>
      <c r="N513" s="304" t="n"/>
      <c r="O513" s="304" t="n"/>
      <c r="P513" s="304" t="n"/>
      <c r="Q513" s="304" t="n"/>
    </row>
    <row r="514" ht="13.8" customHeight="1" s="343">
      <c r="A514" s="388">
        <f>ROW()-22</f>
        <v/>
      </c>
      <c r="B514" s="536">
        <f>_xlfn.NORM.INV(RAND(),$B$6,$C$6)</f>
        <v/>
      </c>
      <c r="C514" s="536">
        <f>MIN(_xlfn.NORM.INV(RAND(),$B$7,$C$7),B514-0.005)</f>
        <v/>
      </c>
      <c r="D514" s="537">
        <f>_xlfn.NORM.INV(RAND(),$B$8,$C$8)</f>
        <v/>
      </c>
      <c r="E514" s="391">
        <f t="array" ref="E514">(SUMPRODUCT($B$13:$F$13*D514/(1+B514)^$B$14:$F$14)+($F$13*D514*(1+C514))/(B514-C514)/(1+B514)^$F$14-$B$15+$B$16)/$B$17</f>
        <v/>
      </c>
      <c r="F514" s="304" t="n"/>
      <c r="G514" s="304" t="n"/>
      <c r="H514" s="304" t="n"/>
      <c r="I514" s="304" t="n"/>
      <c r="J514" s="304" t="n"/>
      <c r="K514" s="304" t="n"/>
      <c r="L514" s="304" t="n"/>
      <c r="M514" s="304" t="n"/>
      <c r="N514" s="304" t="n"/>
      <c r="O514" s="304" t="n"/>
      <c r="P514" s="304" t="n"/>
      <c r="Q514" s="304" t="n"/>
    </row>
    <row r="515" ht="13.8" customHeight="1" s="343">
      <c r="A515" s="388">
        <f>ROW()-22</f>
        <v/>
      </c>
      <c r="B515" s="536">
        <f>_xlfn.NORM.INV(RAND(),$B$6,$C$6)</f>
        <v/>
      </c>
      <c r="C515" s="536">
        <f>MIN(_xlfn.NORM.INV(RAND(),$B$7,$C$7),B515-0.005)</f>
        <v/>
      </c>
      <c r="D515" s="537">
        <f>_xlfn.NORM.INV(RAND(),$B$8,$C$8)</f>
        <v/>
      </c>
      <c r="E515" s="391">
        <f t="array" ref="E515">(SUMPRODUCT($B$13:$F$13*D515/(1+B515)^$B$14:$F$14)+($F$13*D515*(1+C515))/(B515-C515)/(1+B515)^$F$14-$B$15+$B$16)/$B$17</f>
        <v/>
      </c>
      <c r="F515" s="304" t="n"/>
      <c r="G515" s="304" t="n"/>
      <c r="H515" s="304" t="n"/>
      <c r="I515" s="304" t="n"/>
      <c r="J515" s="304" t="n"/>
      <c r="K515" s="304" t="n"/>
      <c r="L515" s="304" t="n"/>
      <c r="M515" s="304" t="n"/>
      <c r="N515" s="304" t="n"/>
      <c r="O515" s="304" t="n"/>
      <c r="P515" s="304" t="n"/>
      <c r="Q515" s="304" t="n"/>
    </row>
    <row r="516" ht="13.8" customHeight="1" s="343">
      <c r="A516" s="388">
        <f>ROW()-22</f>
        <v/>
      </c>
      <c r="B516" s="536">
        <f>_xlfn.NORM.INV(RAND(),$B$6,$C$6)</f>
        <v/>
      </c>
      <c r="C516" s="536">
        <f>MIN(_xlfn.NORM.INV(RAND(),$B$7,$C$7),B516-0.005)</f>
        <v/>
      </c>
      <c r="D516" s="537">
        <f>_xlfn.NORM.INV(RAND(),$B$8,$C$8)</f>
        <v/>
      </c>
      <c r="E516" s="391">
        <f t="array" ref="E516">(SUMPRODUCT($B$13:$F$13*D516/(1+B516)^$B$14:$F$14)+($F$13*D516*(1+C516))/(B516-C516)/(1+B516)^$F$14-$B$15+$B$16)/$B$17</f>
        <v/>
      </c>
      <c r="F516" s="304" t="n"/>
      <c r="G516" s="304" t="n"/>
      <c r="H516" s="304" t="n"/>
      <c r="I516" s="304" t="n"/>
      <c r="J516" s="304" t="n"/>
      <c r="K516" s="304" t="n"/>
      <c r="L516" s="304" t="n"/>
      <c r="M516" s="304" t="n"/>
      <c r="N516" s="304" t="n"/>
      <c r="O516" s="304" t="n"/>
      <c r="P516" s="304" t="n"/>
      <c r="Q516" s="304" t="n"/>
    </row>
    <row r="517" ht="13.8" customHeight="1" s="343">
      <c r="A517" s="388">
        <f>ROW()-22</f>
        <v/>
      </c>
      <c r="B517" s="536">
        <f>_xlfn.NORM.INV(RAND(),$B$6,$C$6)</f>
        <v/>
      </c>
      <c r="C517" s="536">
        <f>MIN(_xlfn.NORM.INV(RAND(),$B$7,$C$7),B517-0.005)</f>
        <v/>
      </c>
      <c r="D517" s="537">
        <f>_xlfn.NORM.INV(RAND(),$B$8,$C$8)</f>
        <v/>
      </c>
      <c r="E517" s="391">
        <f t="array" ref="E517">(SUMPRODUCT($B$13:$F$13*D517/(1+B517)^$B$14:$F$14)+($F$13*D517*(1+C517))/(B517-C517)/(1+B517)^$F$14-$B$15+$B$16)/$B$17</f>
        <v/>
      </c>
      <c r="F517" s="304" t="n"/>
      <c r="G517" s="304" t="n"/>
      <c r="H517" s="304" t="n"/>
      <c r="I517" s="304" t="n"/>
      <c r="J517" s="304" t="n"/>
      <c r="K517" s="304" t="n"/>
      <c r="L517" s="304" t="n"/>
      <c r="M517" s="304" t="n"/>
      <c r="N517" s="304" t="n"/>
      <c r="O517" s="304" t="n"/>
      <c r="P517" s="304" t="n"/>
      <c r="Q517" s="304" t="n"/>
    </row>
    <row r="518" ht="13.8" customHeight="1" s="343">
      <c r="A518" s="388">
        <f>ROW()-22</f>
        <v/>
      </c>
      <c r="B518" s="536">
        <f>_xlfn.NORM.INV(RAND(),$B$6,$C$6)</f>
        <v/>
      </c>
      <c r="C518" s="536">
        <f>MIN(_xlfn.NORM.INV(RAND(),$B$7,$C$7),B518-0.005)</f>
        <v/>
      </c>
      <c r="D518" s="537">
        <f>_xlfn.NORM.INV(RAND(),$B$8,$C$8)</f>
        <v/>
      </c>
      <c r="E518" s="391">
        <f t="array" ref="E518">(SUMPRODUCT($B$13:$F$13*D518/(1+B518)^$B$14:$F$14)+($F$13*D518*(1+C518))/(B518-C518)/(1+B518)^$F$14-$B$15+$B$16)/$B$17</f>
        <v/>
      </c>
      <c r="F518" s="304" t="n"/>
      <c r="G518" s="304" t="n"/>
      <c r="H518" s="304" t="n"/>
      <c r="I518" s="304" t="n"/>
      <c r="J518" s="304" t="n"/>
      <c r="K518" s="304" t="n"/>
      <c r="L518" s="304" t="n"/>
      <c r="M518" s="304" t="n"/>
      <c r="N518" s="304" t="n"/>
      <c r="O518" s="304" t="n"/>
      <c r="P518" s="304" t="n"/>
      <c r="Q518" s="304" t="n"/>
    </row>
    <row r="519" ht="13.8" customHeight="1" s="343">
      <c r="A519" s="388">
        <f>ROW()-22</f>
        <v/>
      </c>
      <c r="B519" s="536">
        <f>_xlfn.NORM.INV(RAND(),$B$6,$C$6)</f>
        <v/>
      </c>
      <c r="C519" s="536">
        <f>MIN(_xlfn.NORM.INV(RAND(),$B$7,$C$7),B519-0.005)</f>
        <v/>
      </c>
      <c r="D519" s="537">
        <f>_xlfn.NORM.INV(RAND(),$B$8,$C$8)</f>
        <v/>
      </c>
      <c r="E519" s="391">
        <f t="array" ref="E519">(SUMPRODUCT($B$13:$F$13*D519/(1+B519)^$B$14:$F$14)+($F$13*D519*(1+C519))/(B519-C519)/(1+B519)^$F$14-$B$15+$B$16)/$B$17</f>
        <v/>
      </c>
      <c r="F519" s="304" t="n"/>
      <c r="G519" s="304" t="n"/>
      <c r="H519" s="304" t="n"/>
      <c r="I519" s="304" t="n"/>
      <c r="J519" s="304" t="n"/>
      <c r="K519" s="304" t="n"/>
      <c r="L519" s="304" t="n"/>
      <c r="M519" s="304" t="n"/>
      <c r="N519" s="304" t="n"/>
      <c r="O519" s="304" t="n"/>
      <c r="P519" s="304" t="n"/>
      <c r="Q519" s="304" t="n"/>
    </row>
    <row r="520" ht="13.8" customHeight="1" s="343">
      <c r="A520" s="388">
        <f>ROW()-22</f>
        <v/>
      </c>
      <c r="B520" s="536">
        <f>_xlfn.NORM.INV(RAND(),$B$6,$C$6)</f>
        <v/>
      </c>
      <c r="C520" s="536">
        <f>MIN(_xlfn.NORM.INV(RAND(),$B$7,$C$7),B520-0.005)</f>
        <v/>
      </c>
      <c r="D520" s="537">
        <f>_xlfn.NORM.INV(RAND(),$B$8,$C$8)</f>
        <v/>
      </c>
      <c r="E520" s="391">
        <f t="array" ref="E520">(SUMPRODUCT($B$13:$F$13*D520/(1+B520)^$B$14:$F$14)+($F$13*D520*(1+C520))/(B520-C520)/(1+B520)^$F$14-$B$15+$B$16)/$B$17</f>
        <v/>
      </c>
      <c r="F520" s="304" t="n"/>
      <c r="G520" s="304" t="n"/>
      <c r="H520" s="304" t="n"/>
      <c r="I520" s="304" t="n"/>
      <c r="J520" s="304" t="n"/>
      <c r="K520" s="304" t="n"/>
      <c r="L520" s="304" t="n"/>
      <c r="M520" s="304" t="n"/>
      <c r="N520" s="304" t="n"/>
      <c r="O520" s="304" t="n"/>
      <c r="P520" s="304" t="n"/>
      <c r="Q520" s="304" t="n"/>
    </row>
    <row r="521" ht="13.8" customHeight="1" s="343">
      <c r="A521" s="388">
        <f>ROW()-22</f>
        <v/>
      </c>
      <c r="B521" s="536">
        <f>_xlfn.NORM.INV(RAND(),$B$6,$C$6)</f>
        <v/>
      </c>
      <c r="C521" s="536">
        <f>MIN(_xlfn.NORM.INV(RAND(),$B$7,$C$7),B521-0.005)</f>
        <v/>
      </c>
      <c r="D521" s="537">
        <f>_xlfn.NORM.INV(RAND(),$B$8,$C$8)</f>
        <v/>
      </c>
      <c r="E521" s="391">
        <f t="array" ref="E521">(SUMPRODUCT($B$13:$F$13*D521/(1+B521)^$B$14:$F$14)+($F$13*D521*(1+C521))/(B521-C521)/(1+B521)^$F$14-$B$15+$B$16)/$B$17</f>
        <v/>
      </c>
      <c r="F521" s="304" t="n"/>
      <c r="G521" s="304" t="n"/>
      <c r="H521" s="304" t="n"/>
      <c r="I521" s="304" t="n"/>
      <c r="J521" s="304" t="n"/>
      <c r="K521" s="304" t="n"/>
      <c r="L521" s="304" t="n"/>
      <c r="M521" s="304" t="n"/>
      <c r="N521" s="304" t="n"/>
      <c r="O521" s="304" t="n"/>
      <c r="P521" s="304" t="n"/>
      <c r="Q521" s="304" t="n"/>
    </row>
    <row r="522" ht="13.8" customHeight="1" s="343">
      <c r="A522" s="388">
        <f>ROW()-22</f>
        <v/>
      </c>
      <c r="B522" s="536">
        <f>_xlfn.NORM.INV(RAND(),$B$6,$C$6)</f>
        <v/>
      </c>
      <c r="C522" s="536">
        <f>MIN(_xlfn.NORM.INV(RAND(),$B$7,$C$7),B522-0.005)</f>
        <v/>
      </c>
      <c r="D522" s="537">
        <f>_xlfn.NORM.INV(RAND(),$B$8,$C$8)</f>
        <v/>
      </c>
      <c r="E522" s="391">
        <f t="array" ref="E522">(SUMPRODUCT($B$13:$F$13*D522/(1+B522)^$B$14:$F$14)+($F$13*D522*(1+C522))/(B522-C522)/(1+B522)^$F$14-$B$15+$B$16)/$B$17</f>
        <v/>
      </c>
      <c r="F522" s="304" t="n"/>
      <c r="G522" s="304" t="n"/>
      <c r="H522" s="304" t="n"/>
      <c r="I522" s="304" t="n"/>
      <c r="J522" s="304" t="n"/>
      <c r="K522" s="304" t="n"/>
      <c r="L522" s="304" t="n"/>
      <c r="M522" s="304" t="n"/>
      <c r="N522" s="304" t="n"/>
      <c r="O522" s="304" t="n"/>
      <c r="P522" s="304" t="n"/>
      <c r="Q522" s="304" t="n"/>
    </row>
    <row r="523" ht="13.8" customHeight="1" s="343">
      <c r="A523" s="388">
        <f>ROW()-22</f>
        <v/>
      </c>
      <c r="B523" s="536">
        <f>_xlfn.NORM.INV(RAND(),$B$6,$C$6)</f>
        <v/>
      </c>
      <c r="C523" s="536">
        <f>MIN(_xlfn.NORM.INV(RAND(),$B$7,$C$7),B523-0.005)</f>
        <v/>
      </c>
      <c r="D523" s="537">
        <f>_xlfn.NORM.INV(RAND(),$B$8,$C$8)</f>
        <v/>
      </c>
      <c r="E523" s="391">
        <f t="array" ref="E523">(SUMPRODUCT($B$13:$F$13*D523/(1+B523)^$B$14:$F$14)+($F$13*D523*(1+C523))/(B523-C523)/(1+B523)^$F$14-$B$15+$B$16)/$B$17</f>
        <v/>
      </c>
      <c r="F523" s="304" t="n"/>
      <c r="G523" s="304" t="n"/>
      <c r="H523" s="304" t="n"/>
      <c r="I523" s="304" t="n"/>
      <c r="J523" s="304" t="n"/>
      <c r="K523" s="304" t="n"/>
      <c r="L523" s="304" t="n"/>
      <c r="M523" s="304" t="n"/>
      <c r="N523" s="304" t="n"/>
      <c r="O523" s="304" t="n"/>
      <c r="P523" s="304" t="n"/>
      <c r="Q523" s="304" t="n"/>
    </row>
    <row r="524" ht="13.8" customHeight="1" s="343">
      <c r="A524" s="388">
        <f>ROW()-22</f>
        <v/>
      </c>
      <c r="B524" s="536">
        <f>_xlfn.NORM.INV(RAND(),$B$6,$C$6)</f>
        <v/>
      </c>
      <c r="C524" s="536">
        <f>MIN(_xlfn.NORM.INV(RAND(),$B$7,$C$7),B524-0.005)</f>
        <v/>
      </c>
      <c r="D524" s="537">
        <f>_xlfn.NORM.INV(RAND(),$B$8,$C$8)</f>
        <v/>
      </c>
      <c r="E524" s="391">
        <f t="array" ref="E524">(SUMPRODUCT($B$13:$F$13*D524/(1+B524)^$B$14:$F$14)+($F$13*D524*(1+C524))/(B524-C524)/(1+B524)^$F$14-$B$15+$B$16)/$B$17</f>
        <v/>
      </c>
      <c r="F524" s="304" t="n"/>
      <c r="G524" s="304" t="n"/>
      <c r="H524" s="304" t="n"/>
      <c r="I524" s="304" t="n"/>
      <c r="J524" s="304" t="n"/>
      <c r="K524" s="304" t="n"/>
      <c r="L524" s="304" t="n"/>
      <c r="M524" s="304" t="n"/>
      <c r="N524" s="304" t="n"/>
      <c r="O524" s="304" t="n"/>
      <c r="P524" s="304" t="n"/>
      <c r="Q524" s="304" t="n"/>
    </row>
    <row r="525" ht="13.8" customHeight="1" s="343">
      <c r="A525" s="388">
        <f>ROW()-22</f>
        <v/>
      </c>
      <c r="B525" s="536">
        <f>_xlfn.NORM.INV(RAND(),$B$6,$C$6)</f>
        <v/>
      </c>
      <c r="C525" s="536">
        <f>MIN(_xlfn.NORM.INV(RAND(),$B$7,$C$7),B525-0.005)</f>
        <v/>
      </c>
      <c r="D525" s="537">
        <f>_xlfn.NORM.INV(RAND(),$B$8,$C$8)</f>
        <v/>
      </c>
      <c r="E525" s="391">
        <f t="array" ref="E525">(SUMPRODUCT($B$13:$F$13*D525/(1+B525)^$B$14:$F$14)+($F$13*D525*(1+C525))/(B525-C525)/(1+B525)^$F$14-$B$15+$B$16)/$B$17</f>
        <v/>
      </c>
      <c r="F525" s="304" t="n"/>
      <c r="G525" s="304" t="n"/>
      <c r="H525" s="304" t="n"/>
      <c r="I525" s="304" t="n"/>
      <c r="J525" s="304" t="n"/>
      <c r="K525" s="304" t="n"/>
      <c r="L525" s="304" t="n"/>
      <c r="M525" s="304" t="n"/>
      <c r="N525" s="304" t="n"/>
      <c r="O525" s="304" t="n"/>
      <c r="P525" s="304" t="n"/>
      <c r="Q525" s="304" t="n"/>
    </row>
    <row r="526" ht="13.8" customHeight="1" s="343">
      <c r="A526" s="388">
        <f>ROW()-22</f>
        <v/>
      </c>
      <c r="B526" s="536">
        <f>_xlfn.NORM.INV(RAND(),$B$6,$C$6)</f>
        <v/>
      </c>
      <c r="C526" s="536">
        <f>MIN(_xlfn.NORM.INV(RAND(),$B$7,$C$7),B526-0.005)</f>
        <v/>
      </c>
      <c r="D526" s="537">
        <f>_xlfn.NORM.INV(RAND(),$B$8,$C$8)</f>
        <v/>
      </c>
      <c r="E526" s="391">
        <f t="array" ref="E526">(SUMPRODUCT($B$13:$F$13*D526/(1+B526)^$B$14:$F$14)+($F$13*D526*(1+C526))/(B526-C526)/(1+B526)^$F$14-$B$15+$B$16)/$B$17</f>
        <v/>
      </c>
      <c r="F526" s="304" t="n"/>
      <c r="G526" s="304" t="n"/>
      <c r="H526" s="304" t="n"/>
      <c r="I526" s="304" t="n"/>
      <c r="J526" s="304" t="n"/>
      <c r="K526" s="304" t="n"/>
      <c r="L526" s="304" t="n"/>
      <c r="M526" s="304" t="n"/>
      <c r="N526" s="304" t="n"/>
      <c r="O526" s="304" t="n"/>
      <c r="P526" s="304" t="n"/>
      <c r="Q526" s="304" t="n"/>
    </row>
    <row r="527" ht="13.8" customHeight="1" s="343">
      <c r="A527" s="388">
        <f>ROW()-22</f>
        <v/>
      </c>
      <c r="B527" s="536">
        <f>_xlfn.NORM.INV(RAND(),$B$6,$C$6)</f>
        <v/>
      </c>
      <c r="C527" s="536">
        <f>MIN(_xlfn.NORM.INV(RAND(),$B$7,$C$7),B527-0.005)</f>
        <v/>
      </c>
      <c r="D527" s="537">
        <f>_xlfn.NORM.INV(RAND(),$B$8,$C$8)</f>
        <v/>
      </c>
      <c r="E527" s="391">
        <f t="array" ref="E527">(SUMPRODUCT($B$13:$F$13*D527/(1+B527)^$B$14:$F$14)+($F$13*D527*(1+C527))/(B527-C527)/(1+B527)^$F$14-$B$15+$B$16)/$B$17</f>
        <v/>
      </c>
      <c r="F527" s="304" t="n"/>
      <c r="G527" s="304" t="n"/>
      <c r="H527" s="304" t="n"/>
      <c r="I527" s="304" t="n"/>
      <c r="J527" s="304" t="n"/>
      <c r="K527" s="304" t="n"/>
      <c r="L527" s="304" t="n"/>
      <c r="M527" s="304" t="n"/>
      <c r="N527" s="304" t="n"/>
      <c r="O527" s="304" t="n"/>
      <c r="P527" s="304" t="n"/>
      <c r="Q527" s="304" t="n"/>
    </row>
    <row r="528" ht="13.8" customHeight="1" s="343">
      <c r="A528" s="388">
        <f>ROW()-22</f>
        <v/>
      </c>
      <c r="B528" s="536">
        <f>_xlfn.NORM.INV(RAND(),$B$6,$C$6)</f>
        <v/>
      </c>
      <c r="C528" s="536">
        <f>MIN(_xlfn.NORM.INV(RAND(),$B$7,$C$7),B528-0.005)</f>
        <v/>
      </c>
      <c r="D528" s="537">
        <f>_xlfn.NORM.INV(RAND(),$B$8,$C$8)</f>
        <v/>
      </c>
      <c r="E528" s="391">
        <f t="array" ref="E528">(SUMPRODUCT($B$13:$F$13*D528/(1+B528)^$B$14:$F$14)+($F$13*D528*(1+C528))/(B528-C528)/(1+B528)^$F$14-$B$15+$B$16)/$B$17</f>
        <v/>
      </c>
      <c r="F528" s="304" t="n"/>
      <c r="G528" s="304" t="n"/>
      <c r="H528" s="304" t="n"/>
      <c r="I528" s="304" t="n"/>
      <c r="J528" s="304" t="n"/>
      <c r="K528" s="304" t="n"/>
      <c r="L528" s="304" t="n"/>
      <c r="M528" s="304" t="n"/>
      <c r="N528" s="304" t="n"/>
      <c r="O528" s="304" t="n"/>
      <c r="P528" s="304" t="n"/>
      <c r="Q528" s="304" t="n"/>
    </row>
    <row r="529" ht="13.8" customHeight="1" s="343">
      <c r="A529" s="388">
        <f>ROW()-22</f>
        <v/>
      </c>
      <c r="B529" s="536">
        <f>_xlfn.NORM.INV(RAND(),$B$6,$C$6)</f>
        <v/>
      </c>
      <c r="C529" s="536">
        <f>MIN(_xlfn.NORM.INV(RAND(),$B$7,$C$7),B529-0.005)</f>
        <v/>
      </c>
      <c r="D529" s="537">
        <f>_xlfn.NORM.INV(RAND(),$B$8,$C$8)</f>
        <v/>
      </c>
      <c r="E529" s="391">
        <f t="array" ref="E529">(SUMPRODUCT($B$13:$F$13*D529/(1+B529)^$B$14:$F$14)+($F$13*D529*(1+C529))/(B529-C529)/(1+B529)^$F$14-$B$15+$B$16)/$B$17</f>
        <v/>
      </c>
      <c r="F529" s="304" t="n"/>
      <c r="G529" s="304" t="n"/>
      <c r="H529" s="304" t="n"/>
      <c r="I529" s="304" t="n"/>
      <c r="J529" s="304" t="n"/>
      <c r="K529" s="304" t="n"/>
      <c r="L529" s="304" t="n"/>
      <c r="M529" s="304" t="n"/>
      <c r="N529" s="304" t="n"/>
      <c r="O529" s="304" t="n"/>
      <c r="P529" s="304" t="n"/>
      <c r="Q529" s="304" t="n"/>
    </row>
    <row r="530" ht="13.8" customHeight="1" s="343">
      <c r="A530" s="388">
        <f>ROW()-22</f>
        <v/>
      </c>
      <c r="B530" s="536">
        <f>_xlfn.NORM.INV(RAND(),$B$6,$C$6)</f>
        <v/>
      </c>
      <c r="C530" s="536">
        <f>MIN(_xlfn.NORM.INV(RAND(),$B$7,$C$7),B530-0.005)</f>
        <v/>
      </c>
      <c r="D530" s="537">
        <f>_xlfn.NORM.INV(RAND(),$B$8,$C$8)</f>
        <v/>
      </c>
      <c r="E530" s="391">
        <f t="array" ref="E530">(SUMPRODUCT($B$13:$F$13*D530/(1+B530)^$B$14:$F$14)+($F$13*D530*(1+C530))/(B530-C530)/(1+B530)^$F$14-$B$15+$B$16)/$B$17</f>
        <v/>
      </c>
      <c r="F530" s="304" t="n"/>
      <c r="G530" s="304" t="n"/>
      <c r="H530" s="304" t="n"/>
      <c r="I530" s="304" t="n"/>
      <c r="J530" s="304" t="n"/>
      <c r="K530" s="304" t="n"/>
      <c r="L530" s="304" t="n"/>
      <c r="M530" s="304" t="n"/>
      <c r="N530" s="304" t="n"/>
      <c r="O530" s="304" t="n"/>
      <c r="P530" s="304" t="n"/>
      <c r="Q530" s="304" t="n"/>
    </row>
    <row r="531" ht="13.8" customHeight="1" s="343">
      <c r="A531" s="388">
        <f>ROW()-22</f>
        <v/>
      </c>
      <c r="B531" s="536">
        <f>_xlfn.NORM.INV(RAND(),$B$6,$C$6)</f>
        <v/>
      </c>
      <c r="C531" s="536">
        <f>MIN(_xlfn.NORM.INV(RAND(),$B$7,$C$7),B531-0.005)</f>
        <v/>
      </c>
      <c r="D531" s="537">
        <f>_xlfn.NORM.INV(RAND(),$B$8,$C$8)</f>
        <v/>
      </c>
      <c r="E531" s="391">
        <f t="array" ref="E531">(SUMPRODUCT($B$13:$F$13*D531/(1+B531)^$B$14:$F$14)+($F$13*D531*(1+C531))/(B531-C531)/(1+B531)^$F$14-$B$15+$B$16)/$B$17</f>
        <v/>
      </c>
      <c r="F531" s="304" t="n"/>
      <c r="G531" s="304" t="n"/>
      <c r="H531" s="304" t="n"/>
      <c r="I531" s="304" t="n"/>
      <c r="J531" s="304" t="n"/>
      <c r="K531" s="304" t="n"/>
      <c r="L531" s="304" t="n"/>
      <c r="M531" s="304" t="n"/>
      <c r="N531" s="304" t="n"/>
      <c r="O531" s="304" t="n"/>
      <c r="P531" s="304" t="n"/>
      <c r="Q531" s="304" t="n"/>
    </row>
    <row r="532" ht="13.8" customHeight="1" s="343">
      <c r="A532" s="388">
        <f>ROW()-22</f>
        <v/>
      </c>
      <c r="B532" s="536">
        <f>_xlfn.NORM.INV(RAND(),$B$6,$C$6)</f>
        <v/>
      </c>
      <c r="C532" s="536">
        <f>MIN(_xlfn.NORM.INV(RAND(),$B$7,$C$7),B532-0.005)</f>
        <v/>
      </c>
      <c r="D532" s="537">
        <f>_xlfn.NORM.INV(RAND(),$B$8,$C$8)</f>
        <v/>
      </c>
      <c r="E532" s="391">
        <f t="array" ref="E532">(SUMPRODUCT($B$13:$F$13*D532/(1+B532)^$B$14:$F$14)+($F$13*D532*(1+C532))/(B532-C532)/(1+B532)^$F$14-$B$15+$B$16)/$B$17</f>
        <v/>
      </c>
      <c r="F532" s="304" t="n"/>
      <c r="G532" s="304" t="n"/>
      <c r="H532" s="304" t="n"/>
      <c r="I532" s="304" t="n"/>
      <c r="J532" s="304" t="n"/>
      <c r="K532" s="304" t="n"/>
      <c r="L532" s="304" t="n"/>
      <c r="M532" s="304" t="n"/>
      <c r="N532" s="304" t="n"/>
      <c r="O532" s="304" t="n"/>
      <c r="P532" s="304" t="n"/>
      <c r="Q532" s="304" t="n"/>
    </row>
    <row r="533" ht="13.8" customHeight="1" s="343">
      <c r="A533" s="388">
        <f>ROW()-22</f>
        <v/>
      </c>
      <c r="B533" s="536">
        <f>_xlfn.NORM.INV(RAND(),$B$6,$C$6)</f>
        <v/>
      </c>
      <c r="C533" s="536">
        <f>MIN(_xlfn.NORM.INV(RAND(),$B$7,$C$7),B533-0.005)</f>
        <v/>
      </c>
      <c r="D533" s="537">
        <f>_xlfn.NORM.INV(RAND(),$B$8,$C$8)</f>
        <v/>
      </c>
      <c r="E533" s="391">
        <f t="array" ref="E533">(SUMPRODUCT($B$13:$F$13*D533/(1+B533)^$B$14:$F$14)+($F$13*D533*(1+C533))/(B533-C533)/(1+B533)^$F$14-$B$15+$B$16)/$B$17</f>
        <v/>
      </c>
      <c r="F533" s="304" t="n"/>
      <c r="G533" s="304" t="n"/>
      <c r="H533" s="304" t="n"/>
      <c r="I533" s="304" t="n"/>
      <c r="J533" s="304" t="n"/>
      <c r="K533" s="304" t="n"/>
      <c r="L533" s="304" t="n"/>
      <c r="M533" s="304" t="n"/>
      <c r="N533" s="304" t="n"/>
      <c r="O533" s="304" t="n"/>
      <c r="P533" s="304" t="n"/>
      <c r="Q533" s="304" t="n"/>
    </row>
    <row r="534" ht="13.8" customHeight="1" s="343">
      <c r="A534" s="388">
        <f>ROW()-22</f>
        <v/>
      </c>
      <c r="B534" s="536">
        <f>_xlfn.NORM.INV(RAND(),$B$6,$C$6)</f>
        <v/>
      </c>
      <c r="C534" s="536">
        <f>MIN(_xlfn.NORM.INV(RAND(),$B$7,$C$7),B534-0.005)</f>
        <v/>
      </c>
      <c r="D534" s="537">
        <f>_xlfn.NORM.INV(RAND(),$B$8,$C$8)</f>
        <v/>
      </c>
      <c r="E534" s="391">
        <f t="array" ref="E534">(SUMPRODUCT($B$13:$F$13*D534/(1+B534)^$B$14:$F$14)+($F$13*D534*(1+C534))/(B534-C534)/(1+B534)^$F$14-$B$15+$B$16)/$B$17</f>
        <v/>
      </c>
      <c r="F534" s="304" t="n"/>
      <c r="G534" s="304" t="n"/>
      <c r="H534" s="304" t="n"/>
      <c r="I534" s="304" t="n"/>
      <c r="J534" s="304" t="n"/>
      <c r="K534" s="304" t="n"/>
      <c r="L534" s="304" t="n"/>
      <c r="M534" s="304" t="n"/>
      <c r="N534" s="304" t="n"/>
      <c r="O534" s="304" t="n"/>
      <c r="P534" s="304" t="n"/>
      <c r="Q534" s="304" t="n"/>
    </row>
    <row r="535" ht="13.8" customHeight="1" s="343">
      <c r="A535" s="388">
        <f>ROW()-22</f>
        <v/>
      </c>
      <c r="B535" s="536">
        <f>_xlfn.NORM.INV(RAND(),$B$6,$C$6)</f>
        <v/>
      </c>
      <c r="C535" s="536">
        <f>MIN(_xlfn.NORM.INV(RAND(),$B$7,$C$7),B535-0.005)</f>
        <v/>
      </c>
      <c r="D535" s="537">
        <f>_xlfn.NORM.INV(RAND(),$B$8,$C$8)</f>
        <v/>
      </c>
      <c r="E535" s="391">
        <f t="array" ref="E535">(SUMPRODUCT($B$13:$F$13*D535/(1+B535)^$B$14:$F$14)+($F$13*D535*(1+C535))/(B535-C535)/(1+B535)^$F$14-$B$15+$B$16)/$B$17</f>
        <v/>
      </c>
      <c r="F535" s="304" t="n"/>
      <c r="G535" s="304" t="n"/>
      <c r="H535" s="304" t="n"/>
      <c r="I535" s="304" t="n"/>
      <c r="J535" s="304" t="n"/>
      <c r="K535" s="304" t="n"/>
      <c r="L535" s="304" t="n"/>
      <c r="M535" s="304" t="n"/>
      <c r="N535" s="304" t="n"/>
      <c r="O535" s="304" t="n"/>
      <c r="P535" s="304" t="n"/>
      <c r="Q535" s="304" t="n"/>
    </row>
    <row r="536" ht="13.8" customHeight="1" s="343">
      <c r="A536" s="388">
        <f>ROW()-22</f>
        <v/>
      </c>
      <c r="B536" s="536">
        <f>_xlfn.NORM.INV(RAND(),$B$6,$C$6)</f>
        <v/>
      </c>
      <c r="C536" s="536">
        <f>MIN(_xlfn.NORM.INV(RAND(),$B$7,$C$7),B536-0.005)</f>
        <v/>
      </c>
      <c r="D536" s="537">
        <f>_xlfn.NORM.INV(RAND(),$B$8,$C$8)</f>
        <v/>
      </c>
      <c r="E536" s="391">
        <f t="array" ref="E536">(SUMPRODUCT($B$13:$F$13*D536/(1+B536)^$B$14:$F$14)+($F$13*D536*(1+C536))/(B536-C536)/(1+B536)^$F$14-$B$15+$B$16)/$B$17</f>
        <v/>
      </c>
      <c r="F536" s="304" t="n"/>
      <c r="G536" s="304" t="n"/>
      <c r="H536" s="304" t="n"/>
      <c r="I536" s="304" t="n"/>
      <c r="J536" s="304" t="n"/>
      <c r="K536" s="304" t="n"/>
      <c r="L536" s="304" t="n"/>
      <c r="M536" s="304" t="n"/>
      <c r="N536" s="304" t="n"/>
      <c r="O536" s="304" t="n"/>
      <c r="P536" s="304" t="n"/>
      <c r="Q536" s="304" t="n"/>
    </row>
    <row r="537" ht="13.8" customHeight="1" s="343">
      <c r="A537" s="388">
        <f>ROW()-22</f>
        <v/>
      </c>
      <c r="B537" s="536">
        <f>_xlfn.NORM.INV(RAND(),$B$6,$C$6)</f>
        <v/>
      </c>
      <c r="C537" s="536">
        <f>MIN(_xlfn.NORM.INV(RAND(),$B$7,$C$7),B537-0.005)</f>
        <v/>
      </c>
      <c r="D537" s="537">
        <f>_xlfn.NORM.INV(RAND(),$B$8,$C$8)</f>
        <v/>
      </c>
      <c r="E537" s="391">
        <f t="array" ref="E537">(SUMPRODUCT($B$13:$F$13*D537/(1+B537)^$B$14:$F$14)+($F$13*D537*(1+C537))/(B537-C537)/(1+B537)^$F$14-$B$15+$B$16)/$B$17</f>
        <v/>
      </c>
      <c r="F537" s="304" t="n"/>
      <c r="G537" s="304" t="n"/>
      <c r="H537" s="304" t="n"/>
      <c r="I537" s="304" t="n"/>
      <c r="J537" s="304" t="n"/>
      <c r="K537" s="304" t="n"/>
      <c r="L537" s="304" t="n"/>
      <c r="M537" s="304" t="n"/>
      <c r="N537" s="304" t="n"/>
      <c r="O537" s="304" t="n"/>
      <c r="P537" s="304" t="n"/>
      <c r="Q537" s="304" t="n"/>
    </row>
    <row r="538" ht="13.8" customHeight="1" s="343">
      <c r="A538" s="388">
        <f>ROW()-22</f>
        <v/>
      </c>
      <c r="B538" s="536">
        <f>_xlfn.NORM.INV(RAND(),$B$6,$C$6)</f>
        <v/>
      </c>
      <c r="C538" s="536">
        <f>MIN(_xlfn.NORM.INV(RAND(),$B$7,$C$7),B538-0.005)</f>
        <v/>
      </c>
      <c r="D538" s="537">
        <f>_xlfn.NORM.INV(RAND(),$B$8,$C$8)</f>
        <v/>
      </c>
      <c r="E538" s="391">
        <f t="array" ref="E538">(SUMPRODUCT($B$13:$F$13*D538/(1+B538)^$B$14:$F$14)+($F$13*D538*(1+C538))/(B538-C538)/(1+B538)^$F$14-$B$15+$B$16)/$B$17</f>
        <v/>
      </c>
      <c r="F538" s="304" t="n"/>
      <c r="G538" s="304" t="n"/>
      <c r="H538" s="304" t="n"/>
      <c r="I538" s="304" t="n"/>
      <c r="J538" s="304" t="n"/>
      <c r="K538" s="304" t="n"/>
      <c r="L538" s="304" t="n"/>
      <c r="M538" s="304" t="n"/>
      <c r="N538" s="304" t="n"/>
      <c r="O538" s="304" t="n"/>
      <c r="P538" s="304" t="n"/>
      <c r="Q538" s="304" t="n"/>
    </row>
    <row r="539" ht="13.8" customHeight="1" s="343">
      <c r="A539" s="388">
        <f>ROW()-22</f>
        <v/>
      </c>
      <c r="B539" s="536">
        <f>_xlfn.NORM.INV(RAND(),$B$6,$C$6)</f>
        <v/>
      </c>
      <c r="C539" s="536">
        <f>MIN(_xlfn.NORM.INV(RAND(),$B$7,$C$7),B539-0.005)</f>
        <v/>
      </c>
      <c r="D539" s="537">
        <f>_xlfn.NORM.INV(RAND(),$B$8,$C$8)</f>
        <v/>
      </c>
      <c r="E539" s="391">
        <f t="array" ref="E539">(SUMPRODUCT($B$13:$F$13*D539/(1+B539)^$B$14:$F$14)+($F$13*D539*(1+C539))/(B539-C539)/(1+B539)^$F$14-$B$15+$B$16)/$B$17</f>
        <v/>
      </c>
      <c r="F539" s="304" t="n"/>
      <c r="G539" s="304" t="n"/>
      <c r="H539" s="304" t="n"/>
      <c r="I539" s="304" t="n"/>
      <c r="J539" s="304" t="n"/>
      <c r="K539" s="304" t="n"/>
      <c r="L539" s="304" t="n"/>
      <c r="M539" s="304" t="n"/>
      <c r="N539" s="304" t="n"/>
      <c r="O539" s="304" t="n"/>
      <c r="P539" s="304" t="n"/>
      <c r="Q539" s="304" t="n"/>
    </row>
    <row r="540" ht="13.8" customHeight="1" s="343">
      <c r="A540" s="388">
        <f>ROW()-22</f>
        <v/>
      </c>
      <c r="B540" s="536">
        <f>_xlfn.NORM.INV(RAND(),$B$6,$C$6)</f>
        <v/>
      </c>
      <c r="C540" s="536">
        <f>MIN(_xlfn.NORM.INV(RAND(),$B$7,$C$7),B540-0.005)</f>
        <v/>
      </c>
      <c r="D540" s="537">
        <f>_xlfn.NORM.INV(RAND(),$B$8,$C$8)</f>
        <v/>
      </c>
      <c r="E540" s="391">
        <f t="array" ref="E540">(SUMPRODUCT($B$13:$F$13*D540/(1+B540)^$B$14:$F$14)+($F$13*D540*(1+C540))/(B540-C540)/(1+B540)^$F$14-$B$15+$B$16)/$B$17</f>
        <v/>
      </c>
      <c r="F540" s="304" t="n"/>
      <c r="G540" s="304" t="n"/>
      <c r="H540" s="304" t="n"/>
      <c r="I540" s="304" t="n"/>
      <c r="J540" s="304" t="n"/>
      <c r="K540" s="304" t="n"/>
      <c r="L540" s="304" t="n"/>
      <c r="M540" s="304" t="n"/>
      <c r="N540" s="304" t="n"/>
      <c r="O540" s="304" t="n"/>
      <c r="P540" s="304" t="n"/>
      <c r="Q540" s="304" t="n"/>
    </row>
    <row r="541" ht="13.8" customHeight="1" s="343">
      <c r="A541" s="388">
        <f>ROW()-22</f>
        <v/>
      </c>
      <c r="B541" s="536">
        <f>_xlfn.NORM.INV(RAND(),$B$6,$C$6)</f>
        <v/>
      </c>
      <c r="C541" s="536">
        <f>MIN(_xlfn.NORM.INV(RAND(),$B$7,$C$7),B541-0.005)</f>
        <v/>
      </c>
      <c r="D541" s="537">
        <f>_xlfn.NORM.INV(RAND(),$B$8,$C$8)</f>
        <v/>
      </c>
      <c r="E541" s="391">
        <f t="array" ref="E541">(SUMPRODUCT($B$13:$F$13*D541/(1+B541)^$B$14:$F$14)+($F$13*D541*(1+C541))/(B541-C541)/(1+B541)^$F$14-$B$15+$B$16)/$B$17</f>
        <v/>
      </c>
      <c r="F541" s="304" t="n"/>
      <c r="G541" s="304" t="n"/>
      <c r="H541" s="304" t="n"/>
      <c r="I541" s="304" t="n"/>
      <c r="J541" s="304" t="n"/>
      <c r="K541" s="304" t="n"/>
      <c r="L541" s="304" t="n"/>
      <c r="M541" s="304" t="n"/>
      <c r="N541" s="304" t="n"/>
      <c r="O541" s="304" t="n"/>
      <c r="P541" s="304" t="n"/>
      <c r="Q541" s="304" t="n"/>
    </row>
    <row r="542" ht="13.8" customHeight="1" s="343">
      <c r="A542" s="388">
        <f>ROW()-22</f>
        <v/>
      </c>
      <c r="B542" s="536">
        <f>_xlfn.NORM.INV(RAND(),$B$6,$C$6)</f>
        <v/>
      </c>
      <c r="C542" s="536">
        <f>MIN(_xlfn.NORM.INV(RAND(),$B$7,$C$7),B542-0.005)</f>
        <v/>
      </c>
      <c r="D542" s="537">
        <f>_xlfn.NORM.INV(RAND(),$B$8,$C$8)</f>
        <v/>
      </c>
      <c r="E542" s="391">
        <f t="array" ref="E542">(SUMPRODUCT($B$13:$F$13*D542/(1+B542)^$B$14:$F$14)+($F$13*D542*(1+C542))/(B542-C542)/(1+B542)^$F$14-$B$15+$B$16)/$B$17</f>
        <v/>
      </c>
      <c r="F542" s="304" t="n"/>
      <c r="G542" s="304" t="n"/>
      <c r="H542" s="304" t="n"/>
      <c r="I542" s="304" t="n"/>
      <c r="J542" s="304" t="n"/>
      <c r="K542" s="304" t="n"/>
      <c r="L542" s="304" t="n"/>
      <c r="M542" s="304" t="n"/>
      <c r="N542" s="304" t="n"/>
      <c r="O542" s="304" t="n"/>
      <c r="P542" s="304" t="n"/>
      <c r="Q542" s="304" t="n"/>
    </row>
    <row r="543" ht="13.8" customHeight="1" s="343">
      <c r="A543" s="388">
        <f>ROW()-22</f>
        <v/>
      </c>
      <c r="B543" s="536">
        <f>_xlfn.NORM.INV(RAND(),$B$6,$C$6)</f>
        <v/>
      </c>
      <c r="C543" s="536">
        <f>MIN(_xlfn.NORM.INV(RAND(),$B$7,$C$7),B543-0.005)</f>
        <v/>
      </c>
      <c r="D543" s="537">
        <f>_xlfn.NORM.INV(RAND(),$B$8,$C$8)</f>
        <v/>
      </c>
      <c r="E543" s="391">
        <f t="array" ref="E543">(SUMPRODUCT($B$13:$F$13*D543/(1+B543)^$B$14:$F$14)+($F$13*D543*(1+C543))/(B543-C543)/(1+B543)^$F$14-$B$15+$B$16)/$B$17</f>
        <v/>
      </c>
      <c r="F543" s="304" t="n"/>
      <c r="G543" s="304" t="n"/>
      <c r="H543" s="304" t="n"/>
      <c r="I543" s="304" t="n"/>
      <c r="J543" s="304" t="n"/>
      <c r="K543" s="304" t="n"/>
      <c r="L543" s="304" t="n"/>
      <c r="M543" s="304" t="n"/>
      <c r="N543" s="304" t="n"/>
      <c r="O543" s="304" t="n"/>
      <c r="P543" s="304" t="n"/>
      <c r="Q543" s="304" t="n"/>
    </row>
    <row r="544" ht="13.8" customHeight="1" s="343">
      <c r="A544" s="388">
        <f>ROW()-22</f>
        <v/>
      </c>
      <c r="B544" s="536">
        <f>_xlfn.NORM.INV(RAND(),$B$6,$C$6)</f>
        <v/>
      </c>
      <c r="C544" s="536">
        <f>MIN(_xlfn.NORM.INV(RAND(),$B$7,$C$7),B544-0.005)</f>
        <v/>
      </c>
      <c r="D544" s="537">
        <f>_xlfn.NORM.INV(RAND(),$B$8,$C$8)</f>
        <v/>
      </c>
      <c r="E544" s="391">
        <f t="array" ref="E544">(SUMPRODUCT($B$13:$F$13*D544/(1+B544)^$B$14:$F$14)+($F$13*D544*(1+C544))/(B544-C544)/(1+B544)^$F$14-$B$15+$B$16)/$B$17</f>
        <v/>
      </c>
      <c r="F544" s="304" t="n"/>
      <c r="G544" s="304" t="n"/>
      <c r="H544" s="304" t="n"/>
      <c r="I544" s="304" t="n"/>
      <c r="J544" s="304" t="n"/>
      <c r="K544" s="304" t="n"/>
      <c r="L544" s="304" t="n"/>
      <c r="M544" s="304" t="n"/>
      <c r="N544" s="304" t="n"/>
      <c r="O544" s="304" t="n"/>
      <c r="P544" s="304" t="n"/>
      <c r="Q544" s="304" t="n"/>
    </row>
    <row r="545" ht="13.8" customHeight="1" s="343">
      <c r="A545" s="388">
        <f>ROW()-22</f>
        <v/>
      </c>
      <c r="B545" s="536">
        <f>_xlfn.NORM.INV(RAND(),$B$6,$C$6)</f>
        <v/>
      </c>
      <c r="C545" s="536">
        <f>MIN(_xlfn.NORM.INV(RAND(),$B$7,$C$7),B545-0.005)</f>
        <v/>
      </c>
      <c r="D545" s="537">
        <f>_xlfn.NORM.INV(RAND(),$B$8,$C$8)</f>
        <v/>
      </c>
      <c r="E545" s="391">
        <f t="array" ref="E545">(SUMPRODUCT($B$13:$F$13*D545/(1+B545)^$B$14:$F$14)+($F$13*D545*(1+C545))/(B545-C545)/(1+B545)^$F$14-$B$15+$B$16)/$B$17</f>
        <v/>
      </c>
      <c r="F545" s="304" t="n"/>
      <c r="G545" s="304" t="n"/>
      <c r="H545" s="304" t="n"/>
      <c r="I545" s="304" t="n"/>
      <c r="J545" s="304" t="n"/>
      <c r="K545" s="304" t="n"/>
      <c r="L545" s="304" t="n"/>
      <c r="M545" s="304" t="n"/>
      <c r="N545" s="304" t="n"/>
      <c r="O545" s="304" t="n"/>
      <c r="P545" s="304" t="n"/>
      <c r="Q545" s="304" t="n"/>
    </row>
    <row r="546" ht="13.8" customHeight="1" s="343">
      <c r="A546" s="388">
        <f>ROW()-22</f>
        <v/>
      </c>
      <c r="B546" s="536">
        <f>_xlfn.NORM.INV(RAND(),$B$6,$C$6)</f>
        <v/>
      </c>
      <c r="C546" s="536">
        <f>MIN(_xlfn.NORM.INV(RAND(),$B$7,$C$7),B546-0.005)</f>
        <v/>
      </c>
      <c r="D546" s="537">
        <f>_xlfn.NORM.INV(RAND(),$B$8,$C$8)</f>
        <v/>
      </c>
      <c r="E546" s="391">
        <f t="array" ref="E546">(SUMPRODUCT($B$13:$F$13*D546/(1+B546)^$B$14:$F$14)+($F$13*D546*(1+C546))/(B546-C546)/(1+B546)^$F$14-$B$15+$B$16)/$B$17</f>
        <v/>
      </c>
      <c r="F546" s="304" t="n"/>
      <c r="G546" s="304" t="n"/>
      <c r="H546" s="304" t="n"/>
      <c r="I546" s="304" t="n"/>
      <c r="J546" s="304" t="n"/>
      <c r="K546" s="304" t="n"/>
      <c r="L546" s="304" t="n"/>
      <c r="M546" s="304" t="n"/>
      <c r="N546" s="304" t="n"/>
      <c r="O546" s="304" t="n"/>
      <c r="P546" s="304" t="n"/>
      <c r="Q546" s="304" t="n"/>
    </row>
    <row r="547" ht="13.8" customHeight="1" s="343">
      <c r="A547" s="388">
        <f>ROW()-22</f>
        <v/>
      </c>
      <c r="B547" s="536">
        <f>_xlfn.NORM.INV(RAND(),$B$6,$C$6)</f>
        <v/>
      </c>
      <c r="C547" s="536">
        <f>MIN(_xlfn.NORM.INV(RAND(),$B$7,$C$7),B547-0.005)</f>
        <v/>
      </c>
      <c r="D547" s="537">
        <f>_xlfn.NORM.INV(RAND(),$B$8,$C$8)</f>
        <v/>
      </c>
      <c r="E547" s="391">
        <f t="array" ref="E547">(SUMPRODUCT($B$13:$F$13*D547/(1+B547)^$B$14:$F$14)+($F$13*D547*(1+C547))/(B547-C547)/(1+B547)^$F$14-$B$15+$B$16)/$B$17</f>
        <v/>
      </c>
      <c r="F547" s="304" t="n"/>
      <c r="G547" s="304" t="n"/>
      <c r="H547" s="304" t="n"/>
      <c r="I547" s="304" t="n"/>
      <c r="J547" s="304" t="n"/>
      <c r="K547" s="304" t="n"/>
      <c r="L547" s="304" t="n"/>
      <c r="M547" s="304" t="n"/>
      <c r="N547" s="304" t="n"/>
      <c r="O547" s="304" t="n"/>
      <c r="P547" s="304" t="n"/>
      <c r="Q547" s="304" t="n"/>
    </row>
    <row r="548" ht="13.8" customHeight="1" s="343">
      <c r="A548" s="388">
        <f>ROW()-22</f>
        <v/>
      </c>
      <c r="B548" s="536">
        <f>_xlfn.NORM.INV(RAND(),$B$6,$C$6)</f>
        <v/>
      </c>
      <c r="C548" s="536">
        <f>MIN(_xlfn.NORM.INV(RAND(),$B$7,$C$7),B548-0.005)</f>
        <v/>
      </c>
      <c r="D548" s="537">
        <f>_xlfn.NORM.INV(RAND(),$B$8,$C$8)</f>
        <v/>
      </c>
      <c r="E548" s="391">
        <f t="array" ref="E548">(SUMPRODUCT($B$13:$F$13*D548/(1+B548)^$B$14:$F$14)+($F$13*D548*(1+C548))/(B548-C548)/(1+B548)^$F$14-$B$15+$B$16)/$B$17</f>
        <v/>
      </c>
      <c r="F548" s="304" t="n"/>
      <c r="G548" s="304" t="n"/>
      <c r="H548" s="304" t="n"/>
      <c r="I548" s="304" t="n"/>
      <c r="J548" s="304" t="n"/>
      <c r="K548" s="304" t="n"/>
      <c r="L548" s="304" t="n"/>
      <c r="M548" s="304" t="n"/>
      <c r="N548" s="304" t="n"/>
      <c r="O548" s="304" t="n"/>
      <c r="P548" s="304" t="n"/>
      <c r="Q548" s="304" t="n"/>
    </row>
    <row r="549" ht="13.8" customHeight="1" s="343">
      <c r="A549" s="388">
        <f>ROW()-22</f>
        <v/>
      </c>
      <c r="B549" s="536">
        <f>_xlfn.NORM.INV(RAND(),$B$6,$C$6)</f>
        <v/>
      </c>
      <c r="C549" s="536">
        <f>MIN(_xlfn.NORM.INV(RAND(),$B$7,$C$7),B549-0.005)</f>
        <v/>
      </c>
      <c r="D549" s="537">
        <f>_xlfn.NORM.INV(RAND(),$B$8,$C$8)</f>
        <v/>
      </c>
      <c r="E549" s="391">
        <f t="array" ref="E549">(SUMPRODUCT($B$13:$F$13*D549/(1+B549)^$B$14:$F$14)+($F$13*D549*(1+C549))/(B549-C549)/(1+B549)^$F$14-$B$15+$B$16)/$B$17</f>
        <v/>
      </c>
      <c r="F549" s="304" t="n"/>
      <c r="G549" s="304" t="n"/>
      <c r="H549" s="304" t="n"/>
      <c r="I549" s="304" t="n"/>
      <c r="J549" s="304" t="n"/>
      <c r="K549" s="304" t="n"/>
      <c r="L549" s="304" t="n"/>
      <c r="M549" s="304" t="n"/>
      <c r="N549" s="304" t="n"/>
      <c r="O549" s="304" t="n"/>
      <c r="P549" s="304" t="n"/>
      <c r="Q549" s="304" t="n"/>
    </row>
    <row r="550" ht="13.8" customHeight="1" s="343">
      <c r="A550" s="388">
        <f>ROW()-22</f>
        <v/>
      </c>
      <c r="B550" s="536">
        <f>_xlfn.NORM.INV(RAND(),$B$6,$C$6)</f>
        <v/>
      </c>
      <c r="C550" s="536">
        <f>MIN(_xlfn.NORM.INV(RAND(),$B$7,$C$7),B550-0.005)</f>
        <v/>
      </c>
      <c r="D550" s="537">
        <f>_xlfn.NORM.INV(RAND(),$B$8,$C$8)</f>
        <v/>
      </c>
      <c r="E550" s="391">
        <f t="array" ref="E550">(SUMPRODUCT($B$13:$F$13*D550/(1+B550)^$B$14:$F$14)+($F$13*D550*(1+C550))/(B550-C550)/(1+B550)^$F$14-$B$15+$B$16)/$B$17</f>
        <v/>
      </c>
      <c r="F550" s="304" t="n"/>
      <c r="G550" s="304" t="n"/>
      <c r="H550" s="304" t="n"/>
      <c r="I550" s="304" t="n"/>
      <c r="J550" s="304" t="n"/>
      <c r="K550" s="304" t="n"/>
      <c r="L550" s="304" t="n"/>
      <c r="M550" s="304" t="n"/>
      <c r="N550" s="304" t="n"/>
      <c r="O550" s="304" t="n"/>
      <c r="P550" s="304" t="n"/>
      <c r="Q550" s="304" t="n"/>
    </row>
    <row r="551" ht="13.8" customHeight="1" s="343">
      <c r="A551" s="388">
        <f>ROW()-22</f>
        <v/>
      </c>
      <c r="B551" s="536">
        <f>_xlfn.NORM.INV(RAND(),$B$6,$C$6)</f>
        <v/>
      </c>
      <c r="C551" s="536">
        <f>MIN(_xlfn.NORM.INV(RAND(),$B$7,$C$7),B551-0.005)</f>
        <v/>
      </c>
      <c r="D551" s="537">
        <f>_xlfn.NORM.INV(RAND(),$B$8,$C$8)</f>
        <v/>
      </c>
      <c r="E551" s="391">
        <f t="array" ref="E551">(SUMPRODUCT($B$13:$F$13*D551/(1+B551)^$B$14:$F$14)+($F$13*D551*(1+C551))/(B551-C551)/(1+B551)^$F$14-$B$15+$B$16)/$B$17</f>
        <v/>
      </c>
      <c r="F551" s="304" t="n"/>
      <c r="G551" s="304" t="n"/>
      <c r="H551" s="304" t="n"/>
      <c r="I551" s="304" t="n"/>
      <c r="J551" s="304" t="n"/>
      <c r="K551" s="304" t="n"/>
      <c r="L551" s="304" t="n"/>
      <c r="M551" s="304" t="n"/>
      <c r="N551" s="304" t="n"/>
      <c r="O551" s="304" t="n"/>
      <c r="P551" s="304" t="n"/>
      <c r="Q551" s="304" t="n"/>
    </row>
    <row r="552" ht="13.8" customHeight="1" s="343">
      <c r="A552" s="388">
        <f>ROW()-22</f>
        <v/>
      </c>
      <c r="B552" s="536">
        <f>_xlfn.NORM.INV(RAND(),$B$6,$C$6)</f>
        <v/>
      </c>
      <c r="C552" s="536">
        <f>MIN(_xlfn.NORM.INV(RAND(),$B$7,$C$7),B552-0.005)</f>
        <v/>
      </c>
      <c r="D552" s="537">
        <f>_xlfn.NORM.INV(RAND(),$B$8,$C$8)</f>
        <v/>
      </c>
      <c r="E552" s="391">
        <f t="array" ref="E552">(SUMPRODUCT($B$13:$F$13*D552/(1+B552)^$B$14:$F$14)+($F$13*D552*(1+C552))/(B552-C552)/(1+B552)^$F$14-$B$15+$B$16)/$B$17</f>
        <v/>
      </c>
      <c r="F552" s="304" t="n"/>
      <c r="G552" s="304" t="n"/>
      <c r="H552" s="304" t="n"/>
      <c r="I552" s="304" t="n"/>
      <c r="J552" s="304" t="n"/>
      <c r="K552" s="304" t="n"/>
      <c r="L552" s="304" t="n"/>
      <c r="M552" s="304" t="n"/>
      <c r="N552" s="304" t="n"/>
      <c r="O552" s="304" t="n"/>
      <c r="P552" s="304" t="n"/>
      <c r="Q552" s="304" t="n"/>
    </row>
    <row r="553" ht="13.8" customHeight="1" s="343">
      <c r="A553" s="388">
        <f>ROW()-22</f>
        <v/>
      </c>
      <c r="B553" s="536">
        <f>_xlfn.NORM.INV(RAND(),$B$6,$C$6)</f>
        <v/>
      </c>
      <c r="C553" s="536">
        <f>MIN(_xlfn.NORM.INV(RAND(),$B$7,$C$7),B553-0.005)</f>
        <v/>
      </c>
      <c r="D553" s="537">
        <f>_xlfn.NORM.INV(RAND(),$B$8,$C$8)</f>
        <v/>
      </c>
      <c r="E553" s="391">
        <f t="array" ref="E553">(SUMPRODUCT($B$13:$F$13*D553/(1+B553)^$B$14:$F$14)+($F$13*D553*(1+C553))/(B553-C553)/(1+B553)^$F$14-$B$15+$B$16)/$B$17</f>
        <v/>
      </c>
      <c r="F553" s="304" t="n"/>
      <c r="G553" s="304" t="n"/>
      <c r="H553" s="304" t="n"/>
      <c r="I553" s="304" t="n"/>
      <c r="J553" s="304" t="n"/>
      <c r="K553" s="304" t="n"/>
      <c r="L553" s="304" t="n"/>
      <c r="M553" s="304" t="n"/>
      <c r="N553" s="304" t="n"/>
      <c r="O553" s="304" t="n"/>
      <c r="P553" s="304" t="n"/>
      <c r="Q553" s="304" t="n"/>
    </row>
    <row r="554" ht="13.8" customHeight="1" s="343">
      <c r="A554" s="388">
        <f>ROW()-22</f>
        <v/>
      </c>
      <c r="B554" s="536">
        <f>_xlfn.NORM.INV(RAND(),$B$6,$C$6)</f>
        <v/>
      </c>
      <c r="C554" s="536">
        <f>MIN(_xlfn.NORM.INV(RAND(),$B$7,$C$7),B554-0.005)</f>
        <v/>
      </c>
      <c r="D554" s="537">
        <f>_xlfn.NORM.INV(RAND(),$B$8,$C$8)</f>
        <v/>
      </c>
      <c r="E554" s="391">
        <f t="array" ref="E554">(SUMPRODUCT($B$13:$F$13*D554/(1+B554)^$B$14:$F$14)+($F$13*D554*(1+C554))/(B554-C554)/(1+B554)^$F$14-$B$15+$B$16)/$B$17</f>
        <v/>
      </c>
      <c r="F554" s="304" t="n"/>
      <c r="G554" s="304" t="n"/>
      <c r="H554" s="304" t="n"/>
      <c r="I554" s="304" t="n"/>
      <c r="J554" s="304" t="n"/>
      <c r="K554" s="304" t="n"/>
      <c r="L554" s="304" t="n"/>
      <c r="M554" s="304" t="n"/>
      <c r="N554" s="304" t="n"/>
      <c r="O554" s="304" t="n"/>
      <c r="P554" s="304" t="n"/>
      <c r="Q554" s="304" t="n"/>
    </row>
    <row r="555" ht="13.8" customHeight="1" s="343">
      <c r="A555" s="388">
        <f>ROW()-22</f>
        <v/>
      </c>
      <c r="B555" s="536">
        <f>_xlfn.NORM.INV(RAND(),$B$6,$C$6)</f>
        <v/>
      </c>
      <c r="C555" s="536">
        <f>MIN(_xlfn.NORM.INV(RAND(),$B$7,$C$7),B555-0.005)</f>
        <v/>
      </c>
      <c r="D555" s="537">
        <f>_xlfn.NORM.INV(RAND(),$B$8,$C$8)</f>
        <v/>
      </c>
      <c r="E555" s="391">
        <f t="array" ref="E555">(SUMPRODUCT($B$13:$F$13*D555/(1+B555)^$B$14:$F$14)+($F$13*D555*(1+C555))/(B555-C555)/(1+B555)^$F$14-$B$15+$B$16)/$B$17</f>
        <v/>
      </c>
      <c r="F555" s="304" t="n"/>
      <c r="G555" s="304" t="n"/>
      <c r="H555" s="304" t="n"/>
      <c r="I555" s="304" t="n"/>
      <c r="J555" s="304" t="n"/>
      <c r="K555" s="304" t="n"/>
      <c r="L555" s="304" t="n"/>
      <c r="M555" s="304" t="n"/>
      <c r="N555" s="304" t="n"/>
      <c r="O555" s="304" t="n"/>
      <c r="P555" s="304" t="n"/>
      <c r="Q555" s="304" t="n"/>
    </row>
    <row r="556" ht="13.8" customHeight="1" s="343">
      <c r="A556" s="388">
        <f>ROW()-22</f>
        <v/>
      </c>
      <c r="B556" s="536">
        <f>_xlfn.NORM.INV(RAND(),$B$6,$C$6)</f>
        <v/>
      </c>
      <c r="C556" s="536">
        <f>MIN(_xlfn.NORM.INV(RAND(),$B$7,$C$7),B556-0.005)</f>
        <v/>
      </c>
      <c r="D556" s="537">
        <f>_xlfn.NORM.INV(RAND(),$B$8,$C$8)</f>
        <v/>
      </c>
      <c r="E556" s="391">
        <f t="array" ref="E556">(SUMPRODUCT($B$13:$F$13*D556/(1+B556)^$B$14:$F$14)+($F$13*D556*(1+C556))/(B556-C556)/(1+B556)^$F$14-$B$15+$B$16)/$B$17</f>
        <v/>
      </c>
      <c r="F556" s="304" t="n"/>
      <c r="G556" s="304" t="n"/>
      <c r="H556" s="304" t="n"/>
      <c r="I556" s="304" t="n"/>
      <c r="J556" s="304" t="n"/>
      <c r="K556" s="304" t="n"/>
      <c r="L556" s="304" t="n"/>
      <c r="M556" s="304" t="n"/>
      <c r="N556" s="304" t="n"/>
      <c r="O556" s="304" t="n"/>
      <c r="P556" s="304" t="n"/>
      <c r="Q556" s="304" t="n"/>
    </row>
    <row r="557" ht="13.8" customHeight="1" s="343">
      <c r="A557" s="388">
        <f>ROW()-22</f>
        <v/>
      </c>
      <c r="B557" s="536">
        <f>_xlfn.NORM.INV(RAND(),$B$6,$C$6)</f>
        <v/>
      </c>
      <c r="C557" s="536">
        <f>MIN(_xlfn.NORM.INV(RAND(),$B$7,$C$7),B557-0.005)</f>
        <v/>
      </c>
      <c r="D557" s="537">
        <f>_xlfn.NORM.INV(RAND(),$B$8,$C$8)</f>
        <v/>
      </c>
      <c r="E557" s="391">
        <f t="array" ref="E557">(SUMPRODUCT($B$13:$F$13*D557/(1+B557)^$B$14:$F$14)+($F$13*D557*(1+C557))/(B557-C557)/(1+B557)^$F$14-$B$15+$B$16)/$B$17</f>
        <v/>
      </c>
      <c r="F557" s="304" t="n"/>
      <c r="G557" s="304" t="n"/>
      <c r="H557" s="304" t="n"/>
      <c r="I557" s="304" t="n"/>
      <c r="J557" s="304" t="n"/>
      <c r="K557" s="304" t="n"/>
      <c r="L557" s="304" t="n"/>
      <c r="M557" s="304" t="n"/>
      <c r="N557" s="304" t="n"/>
      <c r="O557" s="304" t="n"/>
      <c r="P557" s="304" t="n"/>
      <c r="Q557" s="304" t="n"/>
    </row>
    <row r="558" ht="13.8" customHeight="1" s="343">
      <c r="A558" s="388">
        <f>ROW()-22</f>
        <v/>
      </c>
      <c r="B558" s="536">
        <f>_xlfn.NORM.INV(RAND(),$B$6,$C$6)</f>
        <v/>
      </c>
      <c r="C558" s="536">
        <f>MIN(_xlfn.NORM.INV(RAND(),$B$7,$C$7),B558-0.005)</f>
        <v/>
      </c>
      <c r="D558" s="537">
        <f>_xlfn.NORM.INV(RAND(),$B$8,$C$8)</f>
        <v/>
      </c>
      <c r="E558" s="391">
        <f t="array" ref="E558">(SUMPRODUCT($B$13:$F$13*D558/(1+B558)^$B$14:$F$14)+($F$13*D558*(1+C558))/(B558-C558)/(1+B558)^$F$14-$B$15+$B$16)/$B$17</f>
        <v/>
      </c>
      <c r="F558" s="304" t="n"/>
      <c r="G558" s="304" t="n"/>
      <c r="H558" s="304" t="n"/>
      <c r="I558" s="304" t="n"/>
      <c r="J558" s="304" t="n"/>
      <c r="K558" s="304" t="n"/>
      <c r="L558" s="304" t="n"/>
      <c r="M558" s="304" t="n"/>
      <c r="N558" s="304" t="n"/>
      <c r="O558" s="304" t="n"/>
      <c r="P558" s="304" t="n"/>
      <c r="Q558" s="304" t="n"/>
    </row>
    <row r="559" ht="13.8" customHeight="1" s="343">
      <c r="A559" s="388">
        <f>ROW()-22</f>
        <v/>
      </c>
      <c r="B559" s="536">
        <f>_xlfn.NORM.INV(RAND(),$B$6,$C$6)</f>
        <v/>
      </c>
      <c r="C559" s="536">
        <f>MIN(_xlfn.NORM.INV(RAND(),$B$7,$C$7),B559-0.005)</f>
        <v/>
      </c>
      <c r="D559" s="537">
        <f>_xlfn.NORM.INV(RAND(),$B$8,$C$8)</f>
        <v/>
      </c>
      <c r="E559" s="391">
        <f t="array" ref="E559">(SUMPRODUCT($B$13:$F$13*D559/(1+B559)^$B$14:$F$14)+($F$13*D559*(1+C559))/(B559-C559)/(1+B559)^$F$14-$B$15+$B$16)/$B$17</f>
        <v/>
      </c>
      <c r="F559" s="304" t="n"/>
      <c r="G559" s="304" t="n"/>
      <c r="H559" s="304" t="n"/>
      <c r="I559" s="304" t="n"/>
      <c r="J559" s="304" t="n"/>
      <c r="K559" s="304" t="n"/>
      <c r="L559" s="304" t="n"/>
      <c r="M559" s="304" t="n"/>
      <c r="N559" s="304" t="n"/>
      <c r="O559" s="304" t="n"/>
      <c r="P559" s="304" t="n"/>
      <c r="Q559" s="304" t="n"/>
    </row>
    <row r="560" ht="13.8" customHeight="1" s="343">
      <c r="A560" s="388">
        <f>ROW()-22</f>
        <v/>
      </c>
      <c r="B560" s="536">
        <f>_xlfn.NORM.INV(RAND(),$B$6,$C$6)</f>
        <v/>
      </c>
      <c r="C560" s="536">
        <f>MIN(_xlfn.NORM.INV(RAND(),$B$7,$C$7),B560-0.005)</f>
        <v/>
      </c>
      <c r="D560" s="537">
        <f>_xlfn.NORM.INV(RAND(),$B$8,$C$8)</f>
        <v/>
      </c>
      <c r="E560" s="391">
        <f t="array" ref="E560">(SUMPRODUCT($B$13:$F$13*D560/(1+B560)^$B$14:$F$14)+($F$13*D560*(1+C560))/(B560-C560)/(1+B560)^$F$14-$B$15+$B$16)/$B$17</f>
        <v/>
      </c>
      <c r="F560" s="304" t="n"/>
      <c r="G560" s="304" t="n"/>
      <c r="H560" s="304" t="n"/>
      <c r="I560" s="304" t="n"/>
      <c r="J560" s="304" t="n"/>
      <c r="K560" s="304" t="n"/>
      <c r="L560" s="304" t="n"/>
      <c r="M560" s="304" t="n"/>
      <c r="N560" s="304" t="n"/>
      <c r="O560" s="304" t="n"/>
      <c r="P560" s="304" t="n"/>
      <c r="Q560" s="304" t="n"/>
    </row>
    <row r="561" ht="13.8" customHeight="1" s="343">
      <c r="A561" s="388">
        <f>ROW()-22</f>
        <v/>
      </c>
      <c r="B561" s="536">
        <f>_xlfn.NORM.INV(RAND(),$B$6,$C$6)</f>
        <v/>
      </c>
      <c r="C561" s="536">
        <f>MIN(_xlfn.NORM.INV(RAND(),$B$7,$C$7),B561-0.005)</f>
        <v/>
      </c>
      <c r="D561" s="537">
        <f>_xlfn.NORM.INV(RAND(),$B$8,$C$8)</f>
        <v/>
      </c>
      <c r="E561" s="391">
        <f t="array" ref="E561">(SUMPRODUCT($B$13:$F$13*D561/(1+B561)^$B$14:$F$14)+($F$13*D561*(1+C561))/(B561-C561)/(1+B561)^$F$14-$B$15+$B$16)/$B$17</f>
        <v/>
      </c>
      <c r="F561" s="304" t="n"/>
      <c r="G561" s="304" t="n"/>
      <c r="H561" s="304" t="n"/>
      <c r="I561" s="304" t="n"/>
      <c r="J561" s="304" t="n"/>
      <c r="K561" s="304" t="n"/>
      <c r="L561" s="304" t="n"/>
      <c r="M561" s="304" t="n"/>
      <c r="N561" s="304" t="n"/>
      <c r="O561" s="304" t="n"/>
      <c r="P561" s="304" t="n"/>
      <c r="Q561" s="304" t="n"/>
    </row>
    <row r="562" ht="13.8" customHeight="1" s="343">
      <c r="A562" s="388">
        <f>ROW()-22</f>
        <v/>
      </c>
      <c r="B562" s="536">
        <f>_xlfn.NORM.INV(RAND(),$B$6,$C$6)</f>
        <v/>
      </c>
      <c r="C562" s="536">
        <f>MIN(_xlfn.NORM.INV(RAND(),$B$7,$C$7),B562-0.005)</f>
        <v/>
      </c>
      <c r="D562" s="537">
        <f>_xlfn.NORM.INV(RAND(),$B$8,$C$8)</f>
        <v/>
      </c>
      <c r="E562" s="391">
        <f t="array" ref="E562">(SUMPRODUCT($B$13:$F$13*D562/(1+B562)^$B$14:$F$14)+($F$13*D562*(1+C562))/(B562-C562)/(1+B562)^$F$14-$B$15+$B$16)/$B$17</f>
        <v/>
      </c>
      <c r="F562" s="304" t="n"/>
      <c r="G562" s="304" t="n"/>
      <c r="H562" s="304" t="n"/>
      <c r="I562" s="304" t="n"/>
      <c r="J562" s="304" t="n"/>
      <c r="K562" s="304" t="n"/>
      <c r="L562" s="304" t="n"/>
      <c r="M562" s="304" t="n"/>
      <c r="N562" s="304" t="n"/>
      <c r="O562" s="304" t="n"/>
      <c r="P562" s="304" t="n"/>
      <c r="Q562" s="304" t="n"/>
    </row>
    <row r="563" ht="13.8" customHeight="1" s="343">
      <c r="A563" s="388">
        <f>ROW()-22</f>
        <v/>
      </c>
      <c r="B563" s="536">
        <f>_xlfn.NORM.INV(RAND(),$B$6,$C$6)</f>
        <v/>
      </c>
      <c r="C563" s="536">
        <f>MIN(_xlfn.NORM.INV(RAND(),$B$7,$C$7),B563-0.005)</f>
        <v/>
      </c>
      <c r="D563" s="537">
        <f>_xlfn.NORM.INV(RAND(),$B$8,$C$8)</f>
        <v/>
      </c>
      <c r="E563" s="391">
        <f t="array" ref="E563">(SUMPRODUCT($B$13:$F$13*D563/(1+B563)^$B$14:$F$14)+($F$13*D563*(1+C563))/(B563-C563)/(1+B563)^$F$14-$B$15+$B$16)/$B$17</f>
        <v/>
      </c>
      <c r="F563" s="304" t="n"/>
      <c r="G563" s="304" t="n"/>
      <c r="H563" s="304" t="n"/>
      <c r="I563" s="304" t="n"/>
      <c r="J563" s="304" t="n"/>
      <c r="K563" s="304" t="n"/>
      <c r="L563" s="304" t="n"/>
      <c r="M563" s="304" t="n"/>
      <c r="N563" s="304" t="n"/>
      <c r="O563" s="304" t="n"/>
      <c r="P563" s="304" t="n"/>
      <c r="Q563" s="304" t="n"/>
    </row>
    <row r="564" ht="13.8" customHeight="1" s="343">
      <c r="A564" s="388">
        <f>ROW()-22</f>
        <v/>
      </c>
      <c r="B564" s="536">
        <f>_xlfn.NORM.INV(RAND(),$B$6,$C$6)</f>
        <v/>
      </c>
      <c r="C564" s="536">
        <f>MIN(_xlfn.NORM.INV(RAND(),$B$7,$C$7),B564-0.005)</f>
        <v/>
      </c>
      <c r="D564" s="537">
        <f>_xlfn.NORM.INV(RAND(),$B$8,$C$8)</f>
        <v/>
      </c>
      <c r="E564" s="391">
        <f t="array" ref="E564">(SUMPRODUCT($B$13:$F$13*D564/(1+B564)^$B$14:$F$14)+($F$13*D564*(1+C564))/(B564-C564)/(1+B564)^$F$14-$B$15+$B$16)/$B$17</f>
        <v/>
      </c>
      <c r="F564" s="304" t="n"/>
      <c r="G564" s="304" t="n"/>
      <c r="H564" s="304" t="n"/>
      <c r="I564" s="304" t="n"/>
      <c r="J564" s="304" t="n"/>
      <c r="K564" s="304" t="n"/>
      <c r="L564" s="304" t="n"/>
      <c r="M564" s="304" t="n"/>
      <c r="N564" s="304" t="n"/>
      <c r="O564" s="304" t="n"/>
      <c r="P564" s="304" t="n"/>
      <c r="Q564" s="304" t="n"/>
    </row>
    <row r="565" ht="13.8" customHeight="1" s="343">
      <c r="A565" s="388">
        <f>ROW()-22</f>
        <v/>
      </c>
      <c r="B565" s="536">
        <f>_xlfn.NORM.INV(RAND(),$B$6,$C$6)</f>
        <v/>
      </c>
      <c r="C565" s="536">
        <f>MIN(_xlfn.NORM.INV(RAND(),$B$7,$C$7),B565-0.005)</f>
        <v/>
      </c>
      <c r="D565" s="537">
        <f>_xlfn.NORM.INV(RAND(),$B$8,$C$8)</f>
        <v/>
      </c>
      <c r="E565" s="391">
        <f t="array" ref="E565">(SUMPRODUCT($B$13:$F$13*D565/(1+B565)^$B$14:$F$14)+($F$13*D565*(1+C565))/(B565-C565)/(1+B565)^$F$14-$B$15+$B$16)/$B$17</f>
        <v/>
      </c>
      <c r="F565" s="304" t="n"/>
      <c r="G565" s="304" t="n"/>
      <c r="H565" s="304" t="n"/>
      <c r="I565" s="304" t="n"/>
      <c r="J565" s="304" t="n"/>
      <c r="K565" s="304" t="n"/>
      <c r="L565" s="304" t="n"/>
      <c r="M565" s="304" t="n"/>
      <c r="N565" s="304" t="n"/>
      <c r="O565" s="304" t="n"/>
      <c r="P565" s="304" t="n"/>
      <c r="Q565" s="304" t="n"/>
    </row>
    <row r="566" ht="13.8" customHeight="1" s="343">
      <c r="A566" s="388">
        <f>ROW()-22</f>
        <v/>
      </c>
      <c r="B566" s="536">
        <f>_xlfn.NORM.INV(RAND(),$B$6,$C$6)</f>
        <v/>
      </c>
      <c r="C566" s="536">
        <f>MIN(_xlfn.NORM.INV(RAND(),$B$7,$C$7),B566-0.005)</f>
        <v/>
      </c>
      <c r="D566" s="537">
        <f>_xlfn.NORM.INV(RAND(),$B$8,$C$8)</f>
        <v/>
      </c>
      <c r="E566" s="391">
        <f t="array" ref="E566">(SUMPRODUCT($B$13:$F$13*D566/(1+B566)^$B$14:$F$14)+($F$13*D566*(1+C566))/(B566-C566)/(1+B566)^$F$14-$B$15+$B$16)/$B$17</f>
        <v/>
      </c>
      <c r="F566" s="304" t="n"/>
      <c r="G566" s="304" t="n"/>
      <c r="H566" s="304" t="n"/>
      <c r="I566" s="304" t="n"/>
      <c r="J566" s="304" t="n"/>
      <c r="K566" s="304" t="n"/>
      <c r="L566" s="304" t="n"/>
      <c r="M566" s="304" t="n"/>
      <c r="N566" s="304" t="n"/>
      <c r="O566" s="304" t="n"/>
      <c r="P566" s="304" t="n"/>
      <c r="Q566" s="304" t="n"/>
    </row>
    <row r="567" ht="13.8" customHeight="1" s="343">
      <c r="A567" s="388">
        <f>ROW()-22</f>
        <v/>
      </c>
      <c r="B567" s="536">
        <f>_xlfn.NORM.INV(RAND(),$B$6,$C$6)</f>
        <v/>
      </c>
      <c r="C567" s="536">
        <f>MIN(_xlfn.NORM.INV(RAND(),$B$7,$C$7),B567-0.005)</f>
        <v/>
      </c>
      <c r="D567" s="537">
        <f>_xlfn.NORM.INV(RAND(),$B$8,$C$8)</f>
        <v/>
      </c>
      <c r="E567" s="391">
        <f t="array" ref="E567">(SUMPRODUCT($B$13:$F$13*D567/(1+B567)^$B$14:$F$14)+($F$13*D567*(1+C567))/(B567-C567)/(1+B567)^$F$14-$B$15+$B$16)/$B$17</f>
        <v/>
      </c>
      <c r="F567" s="304" t="n"/>
      <c r="G567" s="304" t="n"/>
      <c r="H567" s="304" t="n"/>
      <c r="I567" s="304" t="n"/>
      <c r="J567" s="304" t="n"/>
      <c r="K567" s="304" t="n"/>
      <c r="L567" s="304" t="n"/>
      <c r="M567" s="304" t="n"/>
      <c r="N567" s="304" t="n"/>
      <c r="O567" s="304" t="n"/>
      <c r="P567" s="304" t="n"/>
      <c r="Q567" s="304" t="n"/>
    </row>
    <row r="568" ht="13.8" customHeight="1" s="343">
      <c r="A568" s="388">
        <f>ROW()-22</f>
        <v/>
      </c>
      <c r="B568" s="536">
        <f>_xlfn.NORM.INV(RAND(),$B$6,$C$6)</f>
        <v/>
      </c>
      <c r="C568" s="536">
        <f>MIN(_xlfn.NORM.INV(RAND(),$B$7,$C$7),B568-0.005)</f>
        <v/>
      </c>
      <c r="D568" s="537">
        <f>_xlfn.NORM.INV(RAND(),$B$8,$C$8)</f>
        <v/>
      </c>
      <c r="E568" s="391">
        <f t="array" ref="E568">(SUMPRODUCT($B$13:$F$13*D568/(1+B568)^$B$14:$F$14)+($F$13*D568*(1+C568))/(B568-C568)/(1+B568)^$F$14-$B$15+$B$16)/$B$17</f>
        <v/>
      </c>
      <c r="F568" s="304" t="n"/>
      <c r="G568" s="304" t="n"/>
      <c r="H568" s="304" t="n"/>
      <c r="I568" s="304" t="n"/>
      <c r="J568" s="304" t="n"/>
      <c r="K568" s="304" t="n"/>
      <c r="L568" s="304" t="n"/>
      <c r="M568" s="304" t="n"/>
      <c r="N568" s="304" t="n"/>
      <c r="O568" s="304" t="n"/>
      <c r="P568" s="304" t="n"/>
      <c r="Q568" s="304" t="n"/>
    </row>
    <row r="569" ht="13.8" customHeight="1" s="343">
      <c r="A569" s="388">
        <f>ROW()-22</f>
        <v/>
      </c>
      <c r="B569" s="536">
        <f>_xlfn.NORM.INV(RAND(),$B$6,$C$6)</f>
        <v/>
      </c>
      <c r="C569" s="536">
        <f>MIN(_xlfn.NORM.INV(RAND(),$B$7,$C$7),B569-0.005)</f>
        <v/>
      </c>
      <c r="D569" s="537">
        <f>_xlfn.NORM.INV(RAND(),$B$8,$C$8)</f>
        <v/>
      </c>
      <c r="E569" s="391">
        <f t="array" ref="E569">(SUMPRODUCT($B$13:$F$13*D569/(1+B569)^$B$14:$F$14)+($F$13*D569*(1+C569))/(B569-C569)/(1+B569)^$F$14-$B$15+$B$16)/$B$17</f>
        <v/>
      </c>
      <c r="F569" s="304" t="n"/>
      <c r="G569" s="304" t="n"/>
      <c r="H569" s="304" t="n"/>
      <c r="I569" s="304" t="n"/>
      <c r="J569" s="304" t="n"/>
      <c r="K569" s="304" t="n"/>
      <c r="L569" s="304" t="n"/>
      <c r="M569" s="304" t="n"/>
      <c r="N569" s="304" t="n"/>
      <c r="O569" s="304" t="n"/>
      <c r="P569" s="304" t="n"/>
      <c r="Q569" s="304" t="n"/>
    </row>
    <row r="570" ht="13.8" customHeight="1" s="343">
      <c r="A570" s="388">
        <f>ROW()-22</f>
        <v/>
      </c>
      <c r="B570" s="536">
        <f>_xlfn.NORM.INV(RAND(),$B$6,$C$6)</f>
        <v/>
      </c>
      <c r="C570" s="536">
        <f>MIN(_xlfn.NORM.INV(RAND(),$B$7,$C$7),B570-0.005)</f>
        <v/>
      </c>
      <c r="D570" s="537">
        <f>_xlfn.NORM.INV(RAND(),$B$8,$C$8)</f>
        <v/>
      </c>
      <c r="E570" s="391">
        <f t="array" ref="E570">(SUMPRODUCT($B$13:$F$13*D570/(1+B570)^$B$14:$F$14)+($F$13*D570*(1+C570))/(B570-C570)/(1+B570)^$F$14-$B$15+$B$16)/$B$17</f>
        <v/>
      </c>
      <c r="F570" s="304" t="n"/>
      <c r="G570" s="304" t="n"/>
      <c r="H570" s="304" t="n"/>
      <c r="I570" s="304" t="n"/>
      <c r="J570" s="304" t="n"/>
      <c r="K570" s="304" t="n"/>
      <c r="L570" s="304" t="n"/>
      <c r="M570" s="304" t="n"/>
      <c r="N570" s="304" t="n"/>
      <c r="O570" s="304" t="n"/>
      <c r="P570" s="304" t="n"/>
      <c r="Q570" s="304" t="n"/>
    </row>
    <row r="571" ht="13.8" customHeight="1" s="343">
      <c r="A571" s="388">
        <f>ROW()-22</f>
        <v/>
      </c>
      <c r="B571" s="536">
        <f>_xlfn.NORM.INV(RAND(),$B$6,$C$6)</f>
        <v/>
      </c>
      <c r="C571" s="536">
        <f>MIN(_xlfn.NORM.INV(RAND(),$B$7,$C$7),B571-0.005)</f>
        <v/>
      </c>
      <c r="D571" s="537">
        <f>_xlfn.NORM.INV(RAND(),$B$8,$C$8)</f>
        <v/>
      </c>
      <c r="E571" s="391">
        <f t="array" ref="E571">(SUMPRODUCT($B$13:$F$13*D571/(1+B571)^$B$14:$F$14)+($F$13*D571*(1+C571))/(B571-C571)/(1+B571)^$F$14-$B$15+$B$16)/$B$17</f>
        <v/>
      </c>
      <c r="F571" s="304" t="n"/>
      <c r="G571" s="304" t="n"/>
      <c r="H571" s="304" t="n"/>
      <c r="I571" s="304" t="n"/>
      <c r="J571" s="304" t="n"/>
      <c r="K571" s="304" t="n"/>
      <c r="L571" s="304" t="n"/>
      <c r="M571" s="304" t="n"/>
      <c r="N571" s="304" t="n"/>
      <c r="O571" s="304" t="n"/>
      <c r="P571" s="304" t="n"/>
      <c r="Q571" s="304" t="n"/>
    </row>
    <row r="572" ht="13.8" customHeight="1" s="343">
      <c r="A572" s="388">
        <f>ROW()-22</f>
        <v/>
      </c>
      <c r="B572" s="536">
        <f>_xlfn.NORM.INV(RAND(),$B$6,$C$6)</f>
        <v/>
      </c>
      <c r="C572" s="536">
        <f>MIN(_xlfn.NORM.INV(RAND(),$B$7,$C$7),B572-0.005)</f>
        <v/>
      </c>
      <c r="D572" s="537">
        <f>_xlfn.NORM.INV(RAND(),$B$8,$C$8)</f>
        <v/>
      </c>
      <c r="E572" s="391">
        <f t="array" ref="E572">(SUMPRODUCT($B$13:$F$13*D572/(1+B572)^$B$14:$F$14)+($F$13*D572*(1+C572))/(B572-C572)/(1+B572)^$F$14-$B$15+$B$16)/$B$17</f>
        <v/>
      </c>
      <c r="F572" s="304" t="n"/>
      <c r="G572" s="304" t="n"/>
      <c r="H572" s="304" t="n"/>
      <c r="I572" s="304" t="n"/>
      <c r="J572" s="304" t="n"/>
      <c r="K572" s="304" t="n"/>
      <c r="L572" s="304" t="n"/>
      <c r="M572" s="304" t="n"/>
      <c r="N572" s="304" t="n"/>
      <c r="O572" s="304" t="n"/>
      <c r="P572" s="304" t="n"/>
      <c r="Q572" s="304" t="n"/>
    </row>
    <row r="573" ht="13.8" customHeight="1" s="343">
      <c r="A573" s="388">
        <f>ROW()-22</f>
        <v/>
      </c>
      <c r="B573" s="536">
        <f>_xlfn.NORM.INV(RAND(),$B$6,$C$6)</f>
        <v/>
      </c>
      <c r="C573" s="536">
        <f>MIN(_xlfn.NORM.INV(RAND(),$B$7,$C$7),B573-0.005)</f>
        <v/>
      </c>
      <c r="D573" s="537">
        <f>_xlfn.NORM.INV(RAND(),$B$8,$C$8)</f>
        <v/>
      </c>
      <c r="E573" s="391">
        <f t="array" ref="E573">(SUMPRODUCT($B$13:$F$13*D573/(1+B573)^$B$14:$F$14)+($F$13*D573*(1+C573))/(B573-C573)/(1+B573)^$F$14-$B$15+$B$16)/$B$17</f>
        <v/>
      </c>
      <c r="F573" s="304" t="n"/>
      <c r="G573" s="304" t="n"/>
      <c r="H573" s="304" t="n"/>
      <c r="I573" s="304" t="n"/>
      <c r="J573" s="304" t="n"/>
      <c r="K573" s="304" t="n"/>
      <c r="L573" s="304" t="n"/>
      <c r="M573" s="304" t="n"/>
      <c r="N573" s="304" t="n"/>
      <c r="O573" s="304" t="n"/>
      <c r="P573" s="304" t="n"/>
      <c r="Q573" s="304" t="n"/>
    </row>
    <row r="574" ht="13.8" customHeight="1" s="343">
      <c r="A574" s="388">
        <f>ROW()-22</f>
        <v/>
      </c>
      <c r="B574" s="536">
        <f>_xlfn.NORM.INV(RAND(),$B$6,$C$6)</f>
        <v/>
      </c>
      <c r="C574" s="536">
        <f>MIN(_xlfn.NORM.INV(RAND(),$B$7,$C$7),B574-0.005)</f>
        <v/>
      </c>
      <c r="D574" s="537">
        <f>_xlfn.NORM.INV(RAND(),$B$8,$C$8)</f>
        <v/>
      </c>
      <c r="E574" s="391">
        <f t="array" ref="E574">(SUMPRODUCT($B$13:$F$13*D574/(1+B574)^$B$14:$F$14)+($F$13*D574*(1+C574))/(B574-C574)/(1+B574)^$F$14-$B$15+$B$16)/$B$17</f>
        <v/>
      </c>
      <c r="F574" s="304" t="n"/>
      <c r="G574" s="304" t="n"/>
      <c r="H574" s="304" t="n"/>
      <c r="I574" s="304" t="n"/>
      <c r="J574" s="304" t="n"/>
      <c r="K574" s="304" t="n"/>
      <c r="L574" s="304" t="n"/>
      <c r="M574" s="304" t="n"/>
      <c r="N574" s="304" t="n"/>
      <c r="O574" s="304" t="n"/>
      <c r="P574" s="304" t="n"/>
      <c r="Q574" s="304" t="n"/>
    </row>
    <row r="575" ht="13.8" customHeight="1" s="343">
      <c r="A575" s="388">
        <f>ROW()-22</f>
        <v/>
      </c>
      <c r="B575" s="536">
        <f>_xlfn.NORM.INV(RAND(),$B$6,$C$6)</f>
        <v/>
      </c>
      <c r="C575" s="536">
        <f>MIN(_xlfn.NORM.INV(RAND(),$B$7,$C$7),B575-0.005)</f>
        <v/>
      </c>
      <c r="D575" s="537">
        <f>_xlfn.NORM.INV(RAND(),$B$8,$C$8)</f>
        <v/>
      </c>
      <c r="E575" s="391">
        <f t="array" ref="E575">(SUMPRODUCT($B$13:$F$13*D575/(1+B575)^$B$14:$F$14)+($F$13*D575*(1+C575))/(B575-C575)/(1+B575)^$F$14-$B$15+$B$16)/$B$17</f>
        <v/>
      </c>
      <c r="F575" s="304" t="n"/>
      <c r="G575" s="304" t="n"/>
      <c r="H575" s="304" t="n"/>
      <c r="I575" s="304" t="n"/>
      <c r="J575" s="304" t="n"/>
      <c r="K575" s="304" t="n"/>
      <c r="L575" s="304" t="n"/>
      <c r="M575" s="304" t="n"/>
      <c r="N575" s="304" t="n"/>
      <c r="O575" s="304" t="n"/>
      <c r="P575" s="304" t="n"/>
      <c r="Q575" s="304" t="n"/>
    </row>
    <row r="576" ht="13.8" customHeight="1" s="343">
      <c r="A576" s="388">
        <f>ROW()-22</f>
        <v/>
      </c>
      <c r="B576" s="536">
        <f>_xlfn.NORM.INV(RAND(),$B$6,$C$6)</f>
        <v/>
      </c>
      <c r="C576" s="536">
        <f>MIN(_xlfn.NORM.INV(RAND(),$B$7,$C$7),B576-0.005)</f>
        <v/>
      </c>
      <c r="D576" s="537">
        <f>_xlfn.NORM.INV(RAND(),$B$8,$C$8)</f>
        <v/>
      </c>
      <c r="E576" s="391">
        <f t="array" ref="E576">(SUMPRODUCT($B$13:$F$13*D576/(1+B576)^$B$14:$F$14)+($F$13*D576*(1+C576))/(B576-C576)/(1+B576)^$F$14-$B$15+$B$16)/$B$17</f>
        <v/>
      </c>
      <c r="F576" s="304" t="n"/>
      <c r="G576" s="304" t="n"/>
      <c r="H576" s="304" t="n"/>
      <c r="I576" s="304" t="n"/>
      <c r="J576" s="304" t="n"/>
      <c r="K576" s="304" t="n"/>
      <c r="L576" s="304" t="n"/>
      <c r="M576" s="304" t="n"/>
      <c r="N576" s="304" t="n"/>
      <c r="O576" s="304" t="n"/>
      <c r="P576" s="304" t="n"/>
      <c r="Q576" s="304" t="n"/>
    </row>
    <row r="577" ht="13.8" customHeight="1" s="343">
      <c r="A577" s="388">
        <f>ROW()-22</f>
        <v/>
      </c>
      <c r="B577" s="536">
        <f>_xlfn.NORM.INV(RAND(),$B$6,$C$6)</f>
        <v/>
      </c>
      <c r="C577" s="536">
        <f>MIN(_xlfn.NORM.INV(RAND(),$B$7,$C$7),B577-0.005)</f>
        <v/>
      </c>
      <c r="D577" s="537">
        <f>_xlfn.NORM.INV(RAND(),$B$8,$C$8)</f>
        <v/>
      </c>
      <c r="E577" s="391">
        <f t="array" ref="E577">(SUMPRODUCT($B$13:$F$13*D577/(1+B577)^$B$14:$F$14)+($F$13*D577*(1+C577))/(B577-C577)/(1+B577)^$F$14-$B$15+$B$16)/$B$17</f>
        <v/>
      </c>
      <c r="F577" s="304" t="n"/>
      <c r="G577" s="304" t="n"/>
      <c r="H577" s="304" t="n"/>
      <c r="I577" s="304" t="n"/>
      <c r="J577" s="304" t="n"/>
      <c r="K577" s="304" t="n"/>
      <c r="L577" s="304" t="n"/>
      <c r="M577" s="304" t="n"/>
      <c r="N577" s="304" t="n"/>
      <c r="O577" s="304" t="n"/>
      <c r="P577" s="304" t="n"/>
      <c r="Q577" s="304" t="n"/>
    </row>
    <row r="578" ht="13.8" customHeight="1" s="343">
      <c r="A578" s="388">
        <f>ROW()-22</f>
        <v/>
      </c>
      <c r="B578" s="536">
        <f>_xlfn.NORM.INV(RAND(),$B$6,$C$6)</f>
        <v/>
      </c>
      <c r="C578" s="536">
        <f>MIN(_xlfn.NORM.INV(RAND(),$B$7,$C$7),B578-0.005)</f>
        <v/>
      </c>
      <c r="D578" s="537">
        <f>_xlfn.NORM.INV(RAND(),$B$8,$C$8)</f>
        <v/>
      </c>
      <c r="E578" s="391">
        <f t="array" ref="E578">(SUMPRODUCT($B$13:$F$13*D578/(1+B578)^$B$14:$F$14)+($F$13*D578*(1+C578))/(B578-C578)/(1+B578)^$F$14-$B$15+$B$16)/$B$17</f>
        <v/>
      </c>
      <c r="F578" s="304" t="n"/>
      <c r="G578" s="304" t="n"/>
      <c r="H578" s="304" t="n"/>
      <c r="I578" s="304" t="n"/>
      <c r="J578" s="304" t="n"/>
      <c r="K578" s="304" t="n"/>
      <c r="L578" s="304" t="n"/>
      <c r="M578" s="304" t="n"/>
      <c r="N578" s="304" t="n"/>
      <c r="O578" s="304" t="n"/>
      <c r="P578" s="304" t="n"/>
      <c r="Q578" s="304" t="n"/>
    </row>
    <row r="579" ht="13.8" customHeight="1" s="343">
      <c r="A579" s="388">
        <f>ROW()-22</f>
        <v/>
      </c>
      <c r="B579" s="536">
        <f>_xlfn.NORM.INV(RAND(),$B$6,$C$6)</f>
        <v/>
      </c>
      <c r="C579" s="536">
        <f>MIN(_xlfn.NORM.INV(RAND(),$B$7,$C$7),B579-0.005)</f>
        <v/>
      </c>
      <c r="D579" s="537">
        <f>_xlfn.NORM.INV(RAND(),$B$8,$C$8)</f>
        <v/>
      </c>
      <c r="E579" s="391">
        <f t="array" ref="E579">(SUMPRODUCT($B$13:$F$13*D579/(1+B579)^$B$14:$F$14)+($F$13*D579*(1+C579))/(B579-C579)/(1+B579)^$F$14-$B$15+$B$16)/$B$17</f>
        <v/>
      </c>
      <c r="F579" s="304" t="n"/>
      <c r="G579" s="304" t="n"/>
      <c r="H579" s="304" t="n"/>
      <c r="I579" s="304" t="n"/>
      <c r="J579" s="304" t="n"/>
      <c r="K579" s="304" t="n"/>
      <c r="L579" s="304" t="n"/>
      <c r="M579" s="304" t="n"/>
      <c r="N579" s="304" t="n"/>
      <c r="O579" s="304" t="n"/>
      <c r="P579" s="304" t="n"/>
      <c r="Q579" s="304" t="n"/>
    </row>
    <row r="580" ht="13.8" customHeight="1" s="343">
      <c r="A580" s="388">
        <f>ROW()-22</f>
        <v/>
      </c>
      <c r="B580" s="536">
        <f>_xlfn.NORM.INV(RAND(),$B$6,$C$6)</f>
        <v/>
      </c>
      <c r="C580" s="536">
        <f>MIN(_xlfn.NORM.INV(RAND(),$B$7,$C$7),B580-0.005)</f>
        <v/>
      </c>
      <c r="D580" s="537">
        <f>_xlfn.NORM.INV(RAND(),$B$8,$C$8)</f>
        <v/>
      </c>
      <c r="E580" s="391">
        <f t="array" ref="E580">(SUMPRODUCT($B$13:$F$13*D580/(1+B580)^$B$14:$F$14)+($F$13*D580*(1+C580))/(B580-C580)/(1+B580)^$F$14-$B$15+$B$16)/$B$17</f>
        <v/>
      </c>
      <c r="F580" s="304" t="n"/>
      <c r="G580" s="304" t="n"/>
      <c r="H580" s="304" t="n"/>
      <c r="I580" s="304" t="n"/>
      <c r="J580" s="304" t="n"/>
      <c r="K580" s="304" t="n"/>
      <c r="L580" s="304" t="n"/>
      <c r="M580" s="304" t="n"/>
      <c r="N580" s="304" t="n"/>
      <c r="O580" s="304" t="n"/>
      <c r="P580" s="304" t="n"/>
      <c r="Q580" s="304" t="n"/>
    </row>
    <row r="581" ht="13.8" customHeight="1" s="343">
      <c r="A581" s="388">
        <f>ROW()-22</f>
        <v/>
      </c>
      <c r="B581" s="536">
        <f>_xlfn.NORM.INV(RAND(),$B$6,$C$6)</f>
        <v/>
      </c>
      <c r="C581" s="536">
        <f>MIN(_xlfn.NORM.INV(RAND(),$B$7,$C$7),B581-0.005)</f>
        <v/>
      </c>
      <c r="D581" s="537">
        <f>_xlfn.NORM.INV(RAND(),$B$8,$C$8)</f>
        <v/>
      </c>
      <c r="E581" s="391">
        <f t="array" ref="E581">(SUMPRODUCT($B$13:$F$13*D581/(1+B581)^$B$14:$F$14)+($F$13*D581*(1+C581))/(B581-C581)/(1+B581)^$F$14-$B$15+$B$16)/$B$17</f>
        <v/>
      </c>
      <c r="F581" s="304" t="n"/>
      <c r="G581" s="304" t="n"/>
      <c r="H581" s="304" t="n"/>
      <c r="I581" s="304" t="n"/>
      <c r="J581" s="304" t="n"/>
      <c r="K581" s="304" t="n"/>
      <c r="L581" s="304" t="n"/>
      <c r="M581" s="304" t="n"/>
      <c r="N581" s="304" t="n"/>
      <c r="O581" s="304" t="n"/>
      <c r="P581" s="304" t="n"/>
      <c r="Q581" s="304" t="n"/>
    </row>
    <row r="582" ht="13.8" customHeight="1" s="343">
      <c r="A582" s="388">
        <f>ROW()-22</f>
        <v/>
      </c>
      <c r="B582" s="536">
        <f>_xlfn.NORM.INV(RAND(),$B$6,$C$6)</f>
        <v/>
      </c>
      <c r="C582" s="536">
        <f>MIN(_xlfn.NORM.INV(RAND(),$B$7,$C$7),B582-0.005)</f>
        <v/>
      </c>
      <c r="D582" s="537">
        <f>_xlfn.NORM.INV(RAND(),$B$8,$C$8)</f>
        <v/>
      </c>
      <c r="E582" s="391">
        <f t="array" ref="E582">(SUMPRODUCT($B$13:$F$13*D582/(1+B582)^$B$14:$F$14)+($F$13*D582*(1+C582))/(B582-C582)/(1+B582)^$F$14-$B$15+$B$16)/$B$17</f>
        <v/>
      </c>
      <c r="F582" s="304" t="n"/>
      <c r="G582" s="304" t="n"/>
      <c r="H582" s="304" t="n"/>
      <c r="I582" s="304" t="n"/>
      <c r="J582" s="304" t="n"/>
      <c r="K582" s="304" t="n"/>
      <c r="L582" s="304" t="n"/>
      <c r="M582" s="304" t="n"/>
      <c r="N582" s="304" t="n"/>
      <c r="O582" s="304" t="n"/>
      <c r="P582" s="304" t="n"/>
      <c r="Q582" s="304" t="n"/>
    </row>
    <row r="583" ht="13.8" customHeight="1" s="343">
      <c r="A583" s="388">
        <f>ROW()-22</f>
        <v/>
      </c>
      <c r="B583" s="536">
        <f>_xlfn.NORM.INV(RAND(),$B$6,$C$6)</f>
        <v/>
      </c>
      <c r="C583" s="536">
        <f>MIN(_xlfn.NORM.INV(RAND(),$B$7,$C$7),B583-0.005)</f>
        <v/>
      </c>
      <c r="D583" s="537">
        <f>_xlfn.NORM.INV(RAND(),$B$8,$C$8)</f>
        <v/>
      </c>
      <c r="E583" s="391">
        <f t="array" ref="E583">(SUMPRODUCT($B$13:$F$13*D583/(1+B583)^$B$14:$F$14)+($F$13*D583*(1+C583))/(B583-C583)/(1+B583)^$F$14-$B$15+$B$16)/$B$17</f>
        <v/>
      </c>
      <c r="F583" s="304" t="n"/>
      <c r="G583" s="304" t="n"/>
      <c r="H583" s="304" t="n"/>
      <c r="I583" s="304" t="n"/>
      <c r="J583" s="304" t="n"/>
      <c r="K583" s="304" t="n"/>
      <c r="L583" s="304" t="n"/>
      <c r="M583" s="304" t="n"/>
      <c r="N583" s="304" t="n"/>
      <c r="O583" s="304" t="n"/>
      <c r="P583" s="304" t="n"/>
      <c r="Q583" s="304" t="n"/>
    </row>
    <row r="584" ht="13.8" customHeight="1" s="343">
      <c r="A584" s="388">
        <f>ROW()-22</f>
        <v/>
      </c>
      <c r="B584" s="536">
        <f>_xlfn.NORM.INV(RAND(),$B$6,$C$6)</f>
        <v/>
      </c>
      <c r="C584" s="536">
        <f>MIN(_xlfn.NORM.INV(RAND(),$B$7,$C$7),B584-0.005)</f>
        <v/>
      </c>
      <c r="D584" s="537">
        <f>_xlfn.NORM.INV(RAND(),$B$8,$C$8)</f>
        <v/>
      </c>
      <c r="E584" s="391">
        <f t="array" ref="E584">(SUMPRODUCT($B$13:$F$13*D584/(1+B584)^$B$14:$F$14)+($F$13*D584*(1+C584))/(B584-C584)/(1+B584)^$F$14-$B$15+$B$16)/$B$17</f>
        <v/>
      </c>
      <c r="F584" s="304" t="n"/>
      <c r="G584" s="304" t="n"/>
      <c r="H584" s="304" t="n"/>
      <c r="I584" s="304" t="n"/>
      <c r="J584" s="304" t="n"/>
      <c r="K584" s="304" t="n"/>
      <c r="L584" s="304" t="n"/>
      <c r="M584" s="304" t="n"/>
      <c r="N584" s="304" t="n"/>
      <c r="O584" s="304" t="n"/>
      <c r="P584" s="304" t="n"/>
      <c r="Q584" s="304" t="n"/>
    </row>
    <row r="585" ht="13.8" customHeight="1" s="343">
      <c r="A585" s="388">
        <f>ROW()-22</f>
        <v/>
      </c>
      <c r="B585" s="536">
        <f>_xlfn.NORM.INV(RAND(),$B$6,$C$6)</f>
        <v/>
      </c>
      <c r="C585" s="536">
        <f>MIN(_xlfn.NORM.INV(RAND(),$B$7,$C$7),B585-0.005)</f>
        <v/>
      </c>
      <c r="D585" s="537">
        <f>_xlfn.NORM.INV(RAND(),$B$8,$C$8)</f>
        <v/>
      </c>
      <c r="E585" s="391">
        <f t="array" ref="E585">(SUMPRODUCT($B$13:$F$13*D585/(1+B585)^$B$14:$F$14)+($F$13*D585*(1+C585))/(B585-C585)/(1+B585)^$F$14-$B$15+$B$16)/$B$17</f>
        <v/>
      </c>
      <c r="F585" s="304" t="n"/>
      <c r="G585" s="304" t="n"/>
      <c r="H585" s="304" t="n"/>
      <c r="I585" s="304" t="n"/>
      <c r="J585" s="304" t="n"/>
      <c r="K585" s="304" t="n"/>
      <c r="L585" s="304" t="n"/>
      <c r="M585" s="304" t="n"/>
      <c r="N585" s="304" t="n"/>
      <c r="O585" s="304" t="n"/>
      <c r="P585" s="304" t="n"/>
      <c r="Q585" s="304" t="n"/>
    </row>
    <row r="586" ht="13.8" customHeight="1" s="343">
      <c r="A586" s="388">
        <f>ROW()-22</f>
        <v/>
      </c>
      <c r="B586" s="536">
        <f>_xlfn.NORM.INV(RAND(),$B$6,$C$6)</f>
        <v/>
      </c>
      <c r="C586" s="536">
        <f>MIN(_xlfn.NORM.INV(RAND(),$B$7,$C$7),B586-0.005)</f>
        <v/>
      </c>
      <c r="D586" s="537">
        <f>_xlfn.NORM.INV(RAND(),$B$8,$C$8)</f>
        <v/>
      </c>
      <c r="E586" s="391">
        <f t="array" ref="E586">(SUMPRODUCT($B$13:$F$13*D586/(1+B586)^$B$14:$F$14)+($F$13*D586*(1+C586))/(B586-C586)/(1+B586)^$F$14-$B$15+$B$16)/$B$17</f>
        <v/>
      </c>
      <c r="F586" s="304" t="n"/>
      <c r="G586" s="304" t="n"/>
      <c r="H586" s="304" t="n"/>
      <c r="I586" s="304" t="n"/>
      <c r="J586" s="304" t="n"/>
      <c r="K586" s="304" t="n"/>
      <c r="L586" s="304" t="n"/>
      <c r="M586" s="304" t="n"/>
      <c r="N586" s="304" t="n"/>
      <c r="O586" s="304" t="n"/>
      <c r="P586" s="304" t="n"/>
      <c r="Q586" s="304" t="n"/>
    </row>
    <row r="587" ht="13.8" customHeight="1" s="343">
      <c r="A587" s="388">
        <f>ROW()-22</f>
        <v/>
      </c>
      <c r="B587" s="536">
        <f>_xlfn.NORM.INV(RAND(),$B$6,$C$6)</f>
        <v/>
      </c>
      <c r="C587" s="536">
        <f>MIN(_xlfn.NORM.INV(RAND(),$B$7,$C$7),B587-0.005)</f>
        <v/>
      </c>
      <c r="D587" s="537">
        <f>_xlfn.NORM.INV(RAND(),$B$8,$C$8)</f>
        <v/>
      </c>
      <c r="E587" s="391">
        <f t="array" ref="E587">(SUMPRODUCT($B$13:$F$13*D587/(1+B587)^$B$14:$F$14)+($F$13*D587*(1+C587))/(B587-C587)/(1+B587)^$F$14-$B$15+$B$16)/$B$17</f>
        <v/>
      </c>
      <c r="F587" s="304" t="n"/>
      <c r="G587" s="304" t="n"/>
      <c r="H587" s="304" t="n"/>
      <c r="I587" s="304" t="n"/>
      <c r="J587" s="304" t="n"/>
      <c r="K587" s="304" t="n"/>
      <c r="L587" s="304" t="n"/>
      <c r="M587" s="304" t="n"/>
      <c r="N587" s="304" t="n"/>
      <c r="O587" s="304" t="n"/>
      <c r="P587" s="304" t="n"/>
      <c r="Q587" s="304" t="n"/>
    </row>
    <row r="588" ht="13.8" customHeight="1" s="343">
      <c r="A588" s="388">
        <f>ROW()-22</f>
        <v/>
      </c>
      <c r="B588" s="536">
        <f>_xlfn.NORM.INV(RAND(),$B$6,$C$6)</f>
        <v/>
      </c>
      <c r="C588" s="536">
        <f>MIN(_xlfn.NORM.INV(RAND(),$B$7,$C$7),B588-0.005)</f>
        <v/>
      </c>
      <c r="D588" s="537">
        <f>_xlfn.NORM.INV(RAND(),$B$8,$C$8)</f>
        <v/>
      </c>
      <c r="E588" s="391">
        <f t="array" ref="E588">(SUMPRODUCT($B$13:$F$13*D588/(1+B588)^$B$14:$F$14)+($F$13*D588*(1+C588))/(B588-C588)/(1+B588)^$F$14-$B$15+$B$16)/$B$17</f>
        <v/>
      </c>
      <c r="F588" s="304" t="n"/>
      <c r="G588" s="304" t="n"/>
      <c r="H588" s="304" t="n"/>
      <c r="I588" s="304" t="n"/>
      <c r="J588" s="304" t="n"/>
      <c r="K588" s="304" t="n"/>
      <c r="L588" s="304" t="n"/>
      <c r="M588" s="304" t="n"/>
      <c r="N588" s="304" t="n"/>
      <c r="O588" s="304" t="n"/>
      <c r="P588" s="304" t="n"/>
      <c r="Q588" s="304" t="n"/>
    </row>
    <row r="589" ht="13.8" customHeight="1" s="343">
      <c r="A589" s="388">
        <f>ROW()-22</f>
        <v/>
      </c>
      <c r="B589" s="536">
        <f>_xlfn.NORM.INV(RAND(),$B$6,$C$6)</f>
        <v/>
      </c>
      <c r="C589" s="536">
        <f>MIN(_xlfn.NORM.INV(RAND(),$B$7,$C$7),B589-0.005)</f>
        <v/>
      </c>
      <c r="D589" s="537">
        <f>_xlfn.NORM.INV(RAND(),$B$8,$C$8)</f>
        <v/>
      </c>
      <c r="E589" s="391">
        <f t="array" ref="E589">(SUMPRODUCT($B$13:$F$13*D589/(1+B589)^$B$14:$F$14)+($F$13*D589*(1+C589))/(B589-C589)/(1+B589)^$F$14-$B$15+$B$16)/$B$17</f>
        <v/>
      </c>
      <c r="F589" s="304" t="n"/>
      <c r="G589" s="304" t="n"/>
      <c r="H589" s="304" t="n"/>
      <c r="I589" s="304" t="n"/>
      <c r="J589" s="304" t="n"/>
      <c r="K589" s="304" t="n"/>
      <c r="L589" s="304" t="n"/>
      <c r="M589" s="304" t="n"/>
      <c r="N589" s="304" t="n"/>
      <c r="O589" s="304" t="n"/>
      <c r="P589" s="304" t="n"/>
      <c r="Q589" s="304" t="n"/>
    </row>
    <row r="590" ht="13.8" customHeight="1" s="343">
      <c r="A590" s="388">
        <f>ROW()-22</f>
        <v/>
      </c>
      <c r="B590" s="536">
        <f>_xlfn.NORM.INV(RAND(),$B$6,$C$6)</f>
        <v/>
      </c>
      <c r="C590" s="536">
        <f>MIN(_xlfn.NORM.INV(RAND(),$B$7,$C$7),B590-0.005)</f>
        <v/>
      </c>
      <c r="D590" s="537">
        <f>_xlfn.NORM.INV(RAND(),$B$8,$C$8)</f>
        <v/>
      </c>
      <c r="E590" s="391">
        <f t="array" ref="E590">(SUMPRODUCT($B$13:$F$13*D590/(1+B590)^$B$14:$F$14)+($F$13*D590*(1+C590))/(B590-C590)/(1+B590)^$F$14-$B$15+$B$16)/$B$17</f>
        <v/>
      </c>
      <c r="F590" s="304" t="n"/>
      <c r="G590" s="304" t="n"/>
      <c r="H590" s="304" t="n"/>
      <c r="I590" s="304" t="n"/>
      <c r="J590" s="304" t="n"/>
      <c r="K590" s="304" t="n"/>
      <c r="L590" s="304" t="n"/>
      <c r="M590" s="304" t="n"/>
      <c r="N590" s="304" t="n"/>
      <c r="O590" s="304" t="n"/>
      <c r="P590" s="304" t="n"/>
      <c r="Q590" s="304" t="n"/>
    </row>
    <row r="591" ht="13.8" customHeight="1" s="343">
      <c r="A591" s="388">
        <f>ROW()-22</f>
        <v/>
      </c>
      <c r="B591" s="536">
        <f>_xlfn.NORM.INV(RAND(),$B$6,$C$6)</f>
        <v/>
      </c>
      <c r="C591" s="536">
        <f>MIN(_xlfn.NORM.INV(RAND(),$B$7,$C$7),B591-0.005)</f>
        <v/>
      </c>
      <c r="D591" s="537">
        <f>_xlfn.NORM.INV(RAND(),$B$8,$C$8)</f>
        <v/>
      </c>
      <c r="E591" s="391">
        <f t="array" ref="E591">(SUMPRODUCT($B$13:$F$13*D591/(1+B591)^$B$14:$F$14)+($F$13*D591*(1+C591))/(B591-C591)/(1+B591)^$F$14-$B$15+$B$16)/$B$17</f>
        <v/>
      </c>
      <c r="F591" s="304" t="n"/>
      <c r="G591" s="304" t="n"/>
      <c r="H591" s="304" t="n"/>
      <c r="I591" s="304" t="n"/>
      <c r="J591" s="304" t="n"/>
      <c r="K591" s="304" t="n"/>
      <c r="L591" s="304" t="n"/>
      <c r="M591" s="304" t="n"/>
      <c r="N591" s="304" t="n"/>
      <c r="O591" s="304" t="n"/>
      <c r="P591" s="304" t="n"/>
      <c r="Q591" s="304" t="n"/>
    </row>
    <row r="592" ht="13.8" customHeight="1" s="343">
      <c r="A592" s="388">
        <f>ROW()-22</f>
        <v/>
      </c>
      <c r="B592" s="536">
        <f>_xlfn.NORM.INV(RAND(),$B$6,$C$6)</f>
        <v/>
      </c>
      <c r="C592" s="536">
        <f>MIN(_xlfn.NORM.INV(RAND(),$B$7,$C$7),B592-0.005)</f>
        <v/>
      </c>
      <c r="D592" s="537">
        <f>_xlfn.NORM.INV(RAND(),$B$8,$C$8)</f>
        <v/>
      </c>
      <c r="E592" s="391">
        <f t="array" ref="E592">(SUMPRODUCT($B$13:$F$13*D592/(1+B592)^$B$14:$F$14)+($F$13*D592*(1+C592))/(B592-C592)/(1+B592)^$F$14-$B$15+$B$16)/$B$17</f>
        <v/>
      </c>
      <c r="F592" s="304" t="n"/>
      <c r="G592" s="304" t="n"/>
      <c r="H592" s="304" t="n"/>
      <c r="I592" s="304" t="n"/>
      <c r="J592" s="304" t="n"/>
      <c r="K592" s="304" t="n"/>
      <c r="L592" s="304" t="n"/>
      <c r="M592" s="304" t="n"/>
      <c r="N592" s="304" t="n"/>
      <c r="O592" s="304" t="n"/>
      <c r="P592" s="304" t="n"/>
      <c r="Q592" s="304" t="n"/>
    </row>
    <row r="593" ht="13.8" customHeight="1" s="343">
      <c r="A593" s="388">
        <f>ROW()-22</f>
        <v/>
      </c>
      <c r="B593" s="536">
        <f>_xlfn.NORM.INV(RAND(),$B$6,$C$6)</f>
        <v/>
      </c>
      <c r="C593" s="536">
        <f>MIN(_xlfn.NORM.INV(RAND(),$B$7,$C$7),B593-0.005)</f>
        <v/>
      </c>
      <c r="D593" s="537">
        <f>_xlfn.NORM.INV(RAND(),$B$8,$C$8)</f>
        <v/>
      </c>
      <c r="E593" s="391">
        <f t="array" ref="E593">(SUMPRODUCT($B$13:$F$13*D593/(1+B593)^$B$14:$F$14)+($F$13*D593*(1+C593))/(B593-C593)/(1+B593)^$F$14-$B$15+$B$16)/$B$17</f>
        <v/>
      </c>
      <c r="F593" s="304" t="n"/>
      <c r="G593" s="304" t="n"/>
      <c r="H593" s="304" t="n"/>
      <c r="I593" s="304" t="n"/>
      <c r="J593" s="304" t="n"/>
      <c r="K593" s="304" t="n"/>
      <c r="L593" s="304" t="n"/>
      <c r="M593" s="304" t="n"/>
      <c r="N593" s="304" t="n"/>
      <c r="O593" s="304" t="n"/>
      <c r="P593" s="304" t="n"/>
      <c r="Q593" s="304" t="n"/>
    </row>
    <row r="594" ht="13.8" customHeight="1" s="343">
      <c r="A594" s="388">
        <f>ROW()-22</f>
        <v/>
      </c>
      <c r="B594" s="536">
        <f>_xlfn.NORM.INV(RAND(),$B$6,$C$6)</f>
        <v/>
      </c>
      <c r="C594" s="536">
        <f>MIN(_xlfn.NORM.INV(RAND(),$B$7,$C$7),B594-0.005)</f>
        <v/>
      </c>
      <c r="D594" s="537">
        <f>_xlfn.NORM.INV(RAND(),$B$8,$C$8)</f>
        <v/>
      </c>
      <c r="E594" s="391">
        <f t="array" ref="E594">(SUMPRODUCT($B$13:$F$13*D594/(1+B594)^$B$14:$F$14)+($F$13*D594*(1+C594))/(B594-C594)/(1+B594)^$F$14-$B$15+$B$16)/$B$17</f>
        <v/>
      </c>
      <c r="F594" s="304" t="n"/>
      <c r="G594" s="304" t="n"/>
      <c r="H594" s="304" t="n"/>
      <c r="I594" s="304" t="n"/>
      <c r="J594" s="304" t="n"/>
      <c r="K594" s="304" t="n"/>
      <c r="L594" s="304" t="n"/>
      <c r="M594" s="304" t="n"/>
      <c r="N594" s="304" t="n"/>
      <c r="O594" s="304" t="n"/>
      <c r="P594" s="304" t="n"/>
      <c r="Q594" s="304" t="n"/>
    </row>
    <row r="595" ht="13.8" customHeight="1" s="343">
      <c r="A595" s="388">
        <f>ROW()-22</f>
        <v/>
      </c>
      <c r="B595" s="536">
        <f>_xlfn.NORM.INV(RAND(),$B$6,$C$6)</f>
        <v/>
      </c>
      <c r="C595" s="536">
        <f>MIN(_xlfn.NORM.INV(RAND(),$B$7,$C$7),B595-0.005)</f>
        <v/>
      </c>
      <c r="D595" s="537">
        <f>_xlfn.NORM.INV(RAND(),$B$8,$C$8)</f>
        <v/>
      </c>
      <c r="E595" s="391">
        <f t="array" ref="E595">(SUMPRODUCT($B$13:$F$13*D595/(1+B595)^$B$14:$F$14)+($F$13*D595*(1+C595))/(B595-C595)/(1+B595)^$F$14-$B$15+$B$16)/$B$17</f>
        <v/>
      </c>
      <c r="F595" s="304" t="n"/>
      <c r="G595" s="304" t="n"/>
      <c r="H595" s="304" t="n"/>
      <c r="I595" s="304" t="n"/>
      <c r="J595" s="304" t="n"/>
      <c r="K595" s="304" t="n"/>
      <c r="L595" s="304" t="n"/>
      <c r="M595" s="304" t="n"/>
      <c r="N595" s="304" t="n"/>
      <c r="O595" s="304" t="n"/>
      <c r="P595" s="304" t="n"/>
      <c r="Q595" s="304" t="n"/>
    </row>
    <row r="596" ht="13.8" customHeight="1" s="343">
      <c r="A596" s="388">
        <f>ROW()-22</f>
        <v/>
      </c>
      <c r="B596" s="536">
        <f>_xlfn.NORM.INV(RAND(),$B$6,$C$6)</f>
        <v/>
      </c>
      <c r="C596" s="536">
        <f>MIN(_xlfn.NORM.INV(RAND(),$B$7,$C$7),B596-0.005)</f>
        <v/>
      </c>
      <c r="D596" s="537">
        <f>_xlfn.NORM.INV(RAND(),$B$8,$C$8)</f>
        <v/>
      </c>
      <c r="E596" s="391">
        <f t="array" ref="E596">(SUMPRODUCT($B$13:$F$13*D596/(1+B596)^$B$14:$F$14)+($F$13*D596*(1+C596))/(B596-C596)/(1+B596)^$F$14-$B$15+$B$16)/$B$17</f>
        <v/>
      </c>
      <c r="F596" s="304" t="n"/>
      <c r="G596" s="304" t="n"/>
      <c r="H596" s="304" t="n"/>
      <c r="I596" s="304" t="n"/>
      <c r="J596" s="304" t="n"/>
      <c r="K596" s="304" t="n"/>
      <c r="L596" s="304" t="n"/>
      <c r="M596" s="304" t="n"/>
      <c r="N596" s="304" t="n"/>
      <c r="O596" s="304" t="n"/>
      <c r="P596" s="304" t="n"/>
      <c r="Q596" s="304" t="n"/>
    </row>
    <row r="597" ht="13.8" customHeight="1" s="343">
      <c r="A597" s="388">
        <f>ROW()-22</f>
        <v/>
      </c>
      <c r="B597" s="536">
        <f>_xlfn.NORM.INV(RAND(),$B$6,$C$6)</f>
        <v/>
      </c>
      <c r="C597" s="536">
        <f>MIN(_xlfn.NORM.INV(RAND(),$B$7,$C$7),B597-0.005)</f>
        <v/>
      </c>
      <c r="D597" s="537">
        <f>_xlfn.NORM.INV(RAND(),$B$8,$C$8)</f>
        <v/>
      </c>
      <c r="E597" s="391">
        <f t="array" ref="E597">(SUMPRODUCT($B$13:$F$13*D597/(1+B597)^$B$14:$F$14)+($F$13*D597*(1+C597))/(B597-C597)/(1+B597)^$F$14-$B$15+$B$16)/$B$17</f>
        <v/>
      </c>
      <c r="F597" s="304" t="n"/>
      <c r="G597" s="304" t="n"/>
      <c r="H597" s="304" t="n"/>
      <c r="I597" s="304" t="n"/>
      <c r="J597" s="304" t="n"/>
      <c r="K597" s="304" t="n"/>
      <c r="L597" s="304" t="n"/>
      <c r="M597" s="304" t="n"/>
      <c r="N597" s="304" t="n"/>
      <c r="O597" s="304" t="n"/>
      <c r="P597" s="304" t="n"/>
      <c r="Q597" s="304" t="n"/>
    </row>
    <row r="598" ht="13.8" customHeight="1" s="343">
      <c r="A598" s="388">
        <f>ROW()-22</f>
        <v/>
      </c>
      <c r="B598" s="536">
        <f>_xlfn.NORM.INV(RAND(),$B$6,$C$6)</f>
        <v/>
      </c>
      <c r="C598" s="536">
        <f>MIN(_xlfn.NORM.INV(RAND(),$B$7,$C$7),B598-0.005)</f>
        <v/>
      </c>
      <c r="D598" s="537">
        <f>_xlfn.NORM.INV(RAND(),$B$8,$C$8)</f>
        <v/>
      </c>
      <c r="E598" s="391">
        <f t="array" ref="E598">(SUMPRODUCT($B$13:$F$13*D598/(1+B598)^$B$14:$F$14)+($F$13*D598*(1+C598))/(B598-C598)/(1+B598)^$F$14-$B$15+$B$16)/$B$17</f>
        <v/>
      </c>
      <c r="F598" s="304" t="n"/>
      <c r="G598" s="304" t="n"/>
      <c r="H598" s="304" t="n"/>
      <c r="I598" s="304" t="n"/>
      <c r="J598" s="304" t="n"/>
      <c r="K598" s="304" t="n"/>
      <c r="L598" s="304" t="n"/>
      <c r="M598" s="304" t="n"/>
      <c r="N598" s="304" t="n"/>
      <c r="O598" s="304" t="n"/>
      <c r="P598" s="304" t="n"/>
      <c r="Q598" s="304" t="n"/>
    </row>
    <row r="599" ht="13.8" customHeight="1" s="343">
      <c r="A599" s="388">
        <f>ROW()-22</f>
        <v/>
      </c>
      <c r="B599" s="536">
        <f>_xlfn.NORM.INV(RAND(),$B$6,$C$6)</f>
        <v/>
      </c>
      <c r="C599" s="536">
        <f>MIN(_xlfn.NORM.INV(RAND(),$B$7,$C$7),B599-0.005)</f>
        <v/>
      </c>
      <c r="D599" s="537">
        <f>_xlfn.NORM.INV(RAND(),$B$8,$C$8)</f>
        <v/>
      </c>
      <c r="E599" s="391">
        <f t="array" ref="E599">(SUMPRODUCT($B$13:$F$13*D599/(1+B599)^$B$14:$F$14)+($F$13*D599*(1+C599))/(B599-C599)/(1+B599)^$F$14-$B$15+$B$16)/$B$17</f>
        <v/>
      </c>
      <c r="F599" s="304" t="n"/>
      <c r="G599" s="304" t="n"/>
      <c r="H599" s="304" t="n"/>
      <c r="I599" s="304" t="n"/>
      <c r="J599" s="304" t="n"/>
      <c r="K599" s="304" t="n"/>
      <c r="L599" s="304" t="n"/>
      <c r="M599" s="304" t="n"/>
      <c r="N599" s="304" t="n"/>
      <c r="O599" s="304" t="n"/>
      <c r="P599" s="304" t="n"/>
      <c r="Q599" s="304" t="n"/>
    </row>
    <row r="600" ht="13.8" customHeight="1" s="343">
      <c r="A600" s="388">
        <f>ROW()-22</f>
        <v/>
      </c>
      <c r="B600" s="536">
        <f>_xlfn.NORM.INV(RAND(),$B$6,$C$6)</f>
        <v/>
      </c>
      <c r="C600" s="536">
        <f>MIN(_xlfn.NORM.INV(RAND(),$B$7,$C$7),B600-0.005)</f>
        <v/>
      </c>
      <c r="D600" s="537">
        <f>_xlfn.NORM.INV(RAND(),$B$8,$C$8)</f>
        <v/>
      </c>
      <c r="E600" s="391">
        <f t="array" ref="E600">(SUMPRODUCT($B$13:$F$13*D600/(1+B600)^$B$14:$F$14)+($F$13*D600*(1+C600))/(B600-C600)/(1+B600)^$F$14-$B$15+$B$16)/$B$17</f>
        <v/>
      </c>
      <c r="F600" s="304" t="n"/>
      <c r="G600" s="304" t="n"/>
      <c r="H600" s="304" t="n"/>
      <c r="I600" s="304" t="n"/>
      <c r="J600" s="304" t="n"/>
      <c r="K600" s="304" t="n"/>
      <c r="L600" s="304" t="n"/>
      <c r="M600" s="304" t="n"/>
      <c r="N600" s="304" t="n"/>
      <c r="O600" s="304" t="n"/>
      <c r="P600" s="304" t="n"/>
      <c r="Q600" s="304" t="n"/>
    </row>
    <row r="601" ht="13.8" customHeight="1" s="343">
      <c r="A601" s="388">
        <f>ROW()-22</f>
        <v/>
      </c>
      <c r="B601" s="536">
        <f>_xlfn.NORM.INV(RAND(),$B$6,$C$6)</f>
        <v/>
      </c>
      <c r="C601" s="536">
        <f>MIN(_xlfn.NORM.INV(RAND(),$B$7,$C$7),B601-0.005)</f>
        <v/>
      </c>
      <c r="D601" s="537">
        <f>_xlfn.NORM.INV(RAND(),$B$8,$C$8)</f>
        <v/>
      </c>
      <c r="E601" s="391">
        <f t="array" ref="E601">(SUMPRODUCT($B$13:$F$13*D601/(1+B601)^$B$14:$F$14)+($F$13*D601*(1+C601))/(B601-C601)/(1+B601)^$F$14-$B$15+$B$16)/$B$17</f>
        <v/>
      </c>
      <c r="F601" s="304" t="n"/>
      <c r="G601" s="304" t="n"/>
      <c r="H601" s="304" t="n"/>
      <c r="I601" s="304" t="n"/>
      <c r="J601" s="304" t="n"/>
      <c r="K601" s="304" t="n"/>
      <c r="L601" s="304" t="n"/>
      <c r="M601" s="304" t="n"/>
      <c r="N601" s="304" t="n"/>
      <c r="O601" s="304" t="n"/>
      <c r="P601" s="304" t="n"/>
      <c r="Q601" s="304" t="n"/>
    </row>
    <row r="602" ht="13.8" customHeight="1" s="343">
      <c r="A602" s="388">
        <f>ROW()-22</f>
        <v/>
      </c>
      <c r="B602" s="536">
        <f>_xlfn.NORM.INV(RAND(),$B$6,$C$6)</f>
        <v/>
      </c>
      <c r="C602" s="536">
        <f>MIN(_xlfn.NORM.INV(RAND(),$B$7,$C$7),B602-0.005)</f>
        <v/>
      </c>
      <c r="D602" s="537">
        <f>_xlfn.NORM.INV(RAND(),$B$8,$C$8)</f>
        <v/>
      </c>
      <c r="E602" s="391">
        <f t="array" ref="E602">(SUMPRODUCT($B$13:$F$13*D602/(1+B602)^$B$14:$F$14)+($F$13*D602*(1+C602))/(B602-C602)/(1+B602)^$F$14-$B$15+$B$16)/$B$17</f>
        <v/>
      </c>
      <c r="F602" s="304" t="n"/>
      <c r="G602" s="304" t="n"/>
      <c r="H602" s="304" t="n"/>
      <c r="I602" s="304" t="n"/>
      <c r="J602" s="304" t="n"/>
      <c r="K602" s="304" t="n"/>
      <c r="L602" s="304" t="n"/>
      <c r="M602" s="304" t="n"/>
      <c r="N602" s="304" t="n"/>
      <c r="O602" s="304" t="n"/>
      <c r="P602" s="304" t="n"/>
      <c r="Q602" s="304" t="n"/>
    </row>
    <row r="603" ht="13.8" customHeight="1" s="343">
      <c r="A603" s="388">
        <f>ROW()-22</f>
        <v/>
      </c>
      <c r="B603" s="536">
        <f>_xlfn.NORM.INV(RAND(),$B$6,$C$6)</f>
        <v/>
      </c>
      <c r="C603" s="536">
        <f>MIN(_xlfn.NORM.INV(RAND(),$B$7,$C$7),B603-0.005)</f>
        <v/>
      </c>
      <c r="D603" s="537">
        <f>_xlfn.NORM.INV(RAND(),$B$8,$C$8)</f>
        <v/>
      </c>
      <c r="E603" s="391">
        <f t="array" ref="E603">(SUMPRODUCT($B$13:$F$13*D603/(1+B603)^$B$14:$F$14)+($F$13*D603*(1+C603))/(B603-C603)/(1+B603)^$F$14-$B$15+$B$16)/$B$17</f>
        <v/>
      </c>
      <c r="F603" s="304" t="n"/>
      <c r="G603" s="304" t="n"/>
      <c r="H603" s="304" t="n"/>
      <c r="I603" s="304" t="n"/>
      <c r="J603" s="304" t="n"/>
      <c r="K603" s="304" t="n"/>
      <c r="L603" s="304" t="n"/>
      <c r="M603" s="304" t="n"/>
      <c r="N603" s="304" t="n"/>
      <c r="O603" s="304" t="n"/>
      <c r="P603" s="304" t="n"/>
      <c r="Q603" s="304" t="n"/>
    </row>
    <row r="604" ht="13.8" customHeight="1" s="343">
      <c r="A604" s="388">
        <f>ROW()-22</f>
        <v/>
      </c>
      <c r="B604" s="536">
        <f>_xlfn.NORM.INV(RAND(),$B$6,$C$6)</f>
        <v/>
      </c>
      <c r="C604" s="536">
        <f>MIN(_xlfn.NORM.INV(RAND(),$B$7,$C$7),B604-0.005)</f>
        <v/>
      </c>
      <c r="D604" s="537">
        <f>_xlfn.NORM.INV(RAND(),$B$8,$C$8)</f>
        <v/>
      </c>
      <c r="E604" s="391">
        <f t="array" ref="E604">(SUMPRODUCT($B$13:$F$13*D604/(1+B604)^$B$14:$F$14)+($F$13*D604*(1+C604))/(B604-C604)/(1+B604)^$F$14-$B$15+$B$16)/$B$17</f>
        <v/>
      </c>
      <c r="F604" s="304" t="n"/>
      <c r="G604" s="304" t="n"/>
      <c r="H604" s="304" t="n"/>
      <c r="I604" s="304" t="n"/>
      <c r="J604" s="304" t="n"/>
      <c r="K604" s="304" t="n"/>
      <c r="L604" s="304" t="n"/>
      <c r="M604" s="304" t="n"/>
      <c r="N604" s="304" t="n"/>
      <c r="O604" s="304" t="n"/>
      <c r="P604" s="304" t="n"/>
      <c r="Q604" s="304" t="n"/>
    </row>
    <row r="605" ht="13.8" customHeight="1" s="343">
      <c r="A605" s="388">
        <f>ROW()-22</f>
        <v/>
      </c>
      <c r="B605" s="536">
        <f>_xlfn.NORM.INV(RAND(),$B$6,$C$6)</f>
        <v/>
      </c>
      <c r="C605" s="536">
        <f>MIN(_xlfn.NORM.INV(RAND(),$B$7,$C$7),B605-0.005)</f>
        <v/>
      </c>
      <c r="D605" s="537">
        <f>_xlfn.NORM.INV(RAND(),$B$8,$C$8)</f>
        <v/>
      </c>
      <c r="E605" s="391">
        <f t="array" ref="E605">(SUMPRODUCT($B$13:$F$13*D605/(1+B605)^$B$14:$F$14)+($F$13*D605*(1+C605))/(B605-C605)/(1+B605)^$F$14-$B$15+$B$16)/$B$17</f>
        <v/>
      </c>
      <c r="F605" s="304" t="n"/>
      <c r="G605" s="304" t="n"/>
      <c r="H605" s="304" t="n"/>
      <c r="I605" s="304" t="n"/>
      <c r="J605" s="304" t="n"/>
      <c r="K605" s="304" t="n"/>
      <c r="L605" s="304" t="n"/>
      <c r="M605" s="304" t="n"/>
      <c r="N605" s="304" t="n"/>
      <c r="O605" s="304" t="n"/>
      <c r="P605" s="304" t="n"/>
      <c r="Q605" s="304" t="n"/>
    </row>
    <row r="606" ht="13.8" customHeight="1" s="343">
      <c r="A606" s="388">
        <f>ROW()-22</f>
        <v/>
      </c>
      <c r="B606" s="536">
        <f>_xlfn.NORM.INV(RAND(),$B$6,$C$6)</f>
        <v/>
      </c>
      <c r="C606" s="536">
        <f>MIN(_xlfn.NORM.INV(RAND(),$B$7,$C$7),B606-0.005)</f>
        <v/>
      </c>
      <c r="D606" s="537">
        <f>_xlfn.NORM.INV(RAND(),$B$8,$C$8)</f>
        <v/>
      </c>
      <c r="E606" s="391">
        <f t="array" ref="E606">(SUMPRODUCT($B$13:$F$13*D606/(1+B606)^$B$14:$F$14)+($F$13*D606*(1+C606))/(B606-C606)/(1+B606)^$F$14-$B$15+$B$16)/$B$17</f>
        <v/>
      </c>
      <c r="F606" s="304" t="n"/>
      <c r="G606" s="304" t="n"/>
      <c r="H606" s="304" t="n"/>
      <c r="I606" s="304" t="n"/>
      <c r="J606" s="304" t="n"/>
      <c r="K606" s="304" t="n"/>
      <c r="L606" s="304" t="n"/>
      <c r="M606" s="304" t="n"/>
      <c r="N606" s="304" t="n"/>
      <c r="O606" s="304" t="n"/>
      <c r="P606" s="304" t="n"/>
      <c r="Q606" s="304" t="n"/>
    </row>
    <row r="607" ht="13.8" customHeight="1" s="343">
      <c r="A607" s="388">
        <f>ROW()-22</f>
        <v/>
      </c>
      <c r="B607" s="536">
        <f>_xlfn.NORM.INV(RAND(),$B$6,$C$6)</f>
        <v/>
      </c>
      <c r="C607" s="536">
        <f>MIN(_xlfn.NORM.INV(RAND(),$B$7,$C$7),B607-0.005)</f>
        <v/>
      </c>
      <c r="D607" s="537">
        <f>_xlfn.NORM.INV(RAND(),$B$8,$C$8)</f>
        <v/>
      </c>
      <c r="E607" s="391">
        <f t="array" ref="E607">(SUMPRODUCT($B$13:$F$13*D607/(1+B607)^$B$14:$F$14)+($F$13*D607*(1+C607))/(B607-C607)/(1+B607)^$F$14-$B$15+$B$16)/$B$17</f>
        <v/>
      </c>
      <c r="F607" s="304" t="n"/>
      <c r="G607" s="304" t="n"/>
      <c r="H607" s="304" t="n"/>
      <c r="I607" s="304" t="n"/>
      <c r="J607" s="304" t="n"/>
      <c r="K607" s="304" t="n"/>
      <c r="L607" s="304" t="n"/>
      <c r="M607" s="304" t="n"/>
      <c r="N607" s="304" t="n"/>
      <c r="O607" s="304" t="n"/>
      <c r="P607" s="304" t="n"/>
      <c r="Q607" s="304" t="n"/>
    </row>
    <row r="608" ht="13.8" customHeight="1" s="343">
      <c r="A608" s="388">
        <f>ROW()-22</f>
        <v/>
      </c>
      <c r="B608" s="536">
        <f>_xlfn.NORM.INV(RAND(),$B$6,$C$6)</f>
        <v/>
      </c>
      <c r="C608" s="536">
        <f>MIN(_xlfn.NORM.INV(RAND(),$B$7,$C$7),B608-0.005)</f>
        <v/>
      </c>
      <c r="D608" s="537">
        <f>_xlfn.NORM.INV(RAND(),$B$8,$C$8)</f>
        <v/>
      </c>
      <c r="E608" s="391">
        <f t="array" ref="E608">(SUMPRODUCT($B$13:$F$13*D608/(1+B608)^$B$14:$F$14)+($F$13*D608*(1+C608))/(B608-C608)/(1+B608)^$F$14-$B$15+$B$16)/$B$17</f>
        <v/>
      </c>
      <c r="F608" s="304" t="n"/>
      <c r="G608" s="304" t="n"/>
      <c r="H608" s="304" t="n"/>
      <c r="I608" s="304" t="n"/>
      <c r="J608" s="304" t="n"/>
      <c r="K608" s="304" t="n"/>
      <c r="L608" s="304" t="n"/>
      <c r="M608" s="304" t="n"/>
      <c r="N608" s="304" t="n"/>
      <c r="O608" s="304" t="n"/>
      <c r="P608" s="304" t="n"/>
      <c r="Q608" s="304" t="n"/>
    </row>
    <row r="609" ht="13.8" customHeight="1" s="343">
      <c r="A609" s="388">
        <f>ROW()-22</f>
        <v/>
      </c>
      <c r="B609" s="536">
        <f>_xlfn.NORM.INV(RAND(),$B$6,$C$6)</f>
        <v/>
      </c>
      <c r="C609" s="536">
        <f>MIN(_xlfn.NORM.INV(RAND(),$B$7,$C$7),B609-0.005)</f>
        <v/>
      </c>
      <c r="D609" s="537">
        <f>_xlfn.NORM.INV(RAND(),$B$8,$C$8)</f>
        <v/>
      </c>
      <c r="E609" s="391">
        <f t="array" ref="E609">(SUMPRODUCT($B$13:$F$13*D609/(1+B609)^$B$14:$F$14)+($F$13*D609*(1+C609))/(B609-C609)/(1+B609)^$F$14-$B$15+$B$16)/$B$17</f>
        <v/>
      </c>
      <c r="F609" s="304" t="n"/>
      <c r="G609" s="304" t="n"/>
      <c r="H609" s="304" t="n"/>
      <c r="I609" s="304" t="n"/>
      <c r="J609" s="304" t="n"/>
      <c r="K609" s="304" t="n"/>
      <c r="L609" s="304" t="n"/>
      <c r="M609" s="304" t="n"/>
      <c r="N609" s="304" t="n"/>
      <c r="O609" s="304" t="n"/>
      <c r="P609" s="304" t="n"/>
      <c r="Q609" s="304" t="n"/>
    </row>
    <row r="610" ht="13.8" customHeight="1" s="343">
      <c r="A610" s="388">
        <f>ROW()-22</f>
        <v/>
      </c>
      <c r="B610" s="536">
        <f>_xlfn.NORM.INV(RAND(),$B$6,$C$6)</f>
        <v/>
      </c>
      <c r="C610" s="536">
        <f>MIN(_xlfn.NORM.INV(RAND(),$B$7,$C$7),B610-0.005)</f>
        <v/>
      </c>
      <c r="D610" s="537">
        <f>_xlfn.NORM.INV(RAND(),$B$8,$C$8)</f>
        <v/>
      </c>
      <c r="E610" s="391">
        <f t="array" ref="E610">(SUMPRODUCT($B$13:$F$13*D610/(1+B610)^$B$14:$F$14)+($F$13*D610*(1+C610))/(B610-C610)/(1+B610)^$F$14-$B$15+$B$16)/$B$17</f>
        <v/>
      </c>
      <c r="F610" s="304" t="n"/>
      <c r="G610" s="304" t="n"/>
      <c r="H610" s="304" t="n"/>
      <c r="I610" s="304" t="n"/>
      <c r="J610" s="304" t="n"/>
      <c r="K610" s="304" t="n"/>
      <c r="L610" s="304" t="n"/>
      <c r="M610" s="304" t="n"/>
      <c r="N610" s="304" t="n"/>
      <c r="O610" s="304" t="n"/>
      <c r="P610" s="304" t="n"/>
      <c r="Q610" s="304" t="n"/>
    </row>
    <row r="611" ht="13.8" customHeight="1" s="343">
      <c r="A611" s="388">
        <f>ROW()-22</f>
        <v/>
      </c>
      <c r="B611" s="536">
        <f>_xlfn.NORM.INV(RAND(),$B$6,$C$6)</f>
        <v/>
      </c>
      <c r="C611" s="536">
        <f>MIN(_xlfn.NORM.INV(RAND(),$B$7,$C$7),B611-0.005)</f>
        <v/>
      </c>
      <c r="D611" s="537">
        <f>_xlfn.NORM.INV(RAND(),$B$8,$C$8)</f>
        <v/>
      </c>
      <c r="E611" s="391">
        <f t="array" ref="E611">(SUMPRODUCT($B$13:$F$13*D611/(1+B611)^$B$14:$F$14)+($F$13*D611*(1+C611))/(B611-C611)/(1+B611)^$F$14-$B$15+$B$16)/$B$17</f>
        <v/>
      </c>
      <c r="F611" s="304" t="n"/>
      <c r="G611" s="304" t="n"/>
      <c r="H611" s="304" t="n"/>
      <c r="I611" s="304" t="n"/>
      <c r="J611" s="304" t="n"/>
      <c r="K611" s="304" t="n"/>
      <c r="L611" s="304" t="n"/>
      <c r="M611" s="304" t="n"/>
      <c r="N611" s="304" t="n"/>
      <c r="O611" s="304" t="n"/>
      <c r="P611" s="304" t="n"/>
      <c r="Q611" s="304" t="n"/>
    </row>
    <row r="612" ht="13.8" customHeight="1" s="343">
      <c r="A612" s="388">
        <f>ROW()-22</f>
        <v/>
      </c>
      <c r="B612" s="536">
        <f>_xlfn.NORM.INV(RAND(),$B$6,$C$6)</f>
        <v/>
      </c>
      <c r="C612" s="536">
        <f>MIN(_xlfn.NORM.INV(RAND(),$B$7,$C$7),B612-0.005)</f>
        <v/>
      </c>
      <c r="D612" s="537">
        <f>_xlfn.NORM.INV(RAND(),$B$8,$C$8)</f>
        <v/>
      </c>
      <c r="E612" s="391">
        <f t="array" ref="E612">(SUMPRODUCT($B$13:$F$13*D612/(1+B612)^$B$14:$F$14)+($F$13*D612*(1+C612))/(B612-C612)/(1+B612)^$F$14-$B$15+$B$16)/$B$17</f>
        <v/>
      </c>
      <c r="F612" s="304" t="n"/>
      <c r="G612" s="304" t="n"/>
      <c r="H612" s="304" t="n"/>
      <c r="I612" s="304" t="n"/>
      <c r="J612" s="304" t="n"/>
      <c r="K612" s="304" t="n"/>
      <c r="L612" s="304" t="n"/>
      <c r="M612" s="304" t="n"/>
      <c r="N612" s="304" t="n"/>
      <c r="O612" s="304" t="n"/>
      <c r="P612" s="304" t="n"/>
      <c r="Q612" s="304" t="n"/>
    </row>
    <row r="613" ht="13.8" customHeight="1" s="343">
      <c r="A613" s="388">
        <f>ROW()-22</f>
        <v/>
      </c>
      <c r="B613" s="536">
        <f>_xlfn.NORM.INV(RAND(),$B$6,$C$6)</f>
        <v/>
      </c>
      <c r="C613" s="536">
        <f>MIN(_xlfn.NORM.INV(RAND(),$B$7,$C$7),B613-0.005)</f>
        <v/>
      </c>
      <c r="D613" s="537">
        <f>_xlfn.NORM.INV(RAND(),$B$8,$C$8)</f>
        <v/>
      </c>
      <c r="E613" s="391">
        <f t="array" ref="E613">(SUMPRODUCT($B$13:$F$13*D613/(1+B613)^$B$14:$F$14)+($F$13*D613*(1+C613))/(B613-C613)/(1+B613)^$F$14-$B$15+$B$16)/$B$17</f>
        <v/>
      </c>
      <c r="F613" s="304" t="n"/>
      <c r="G613" s="304" t="n"/>
      <c r="H613" s="304" t="n"/>
      <c r="I613" s="304" t="n"/>
      <c r="J613" s="304" t="n"/>
      <c r="K613" s="304" t="n"/>
      <c r="L613" s="304" t="n"/>
      <c r="M613" s="304" t="n"/>
      <c r="N613" s="304" t="n"/>
      <c r="O613" s="304" t="n"/>
      <c r="P613" s="304" t="n"/>
      <c r="Q613" s="304" t="n"/>
    </row>
    <row r="614" ht="13.8" customHeight="1" s="343">
      <c r="A614" s="388">
        <f>ROW()-22</f>
        <v/>
      </c>
      <c r="B614" s="536">
        <f>_xlfn.NORM.INV(RAND(),$B$6,$C$6)</f>
        <v/>
      </c>
      <c r="C614" s="536">
        <f>MIN(_xlfn.NORM.INV(RAND(),$B$7,$C$7),B614-0.005)</f>
        <v/>
      </c>
      <c r="D614" s="537">
        <f>_xlfn.NORM.INV(RAND(),$B$8,$C$8)</f>
        <v/>
      </c>
      <c r="E614" s="391">
        <f t="array" ref="E614">(SUMPRODUCT($B$13:$F$13*D614/(1+B614)^$B$14:$F$14)+($F$13*D614*(1+C614))/(B614-C614)/(1+B614)^$F$14-$B$15+$B$16)/$B$17</f>
        <v/>
      </c>
      <c r="F614" s="304" t="n"/>
      <c r="G614" s="304" t="n"/>
      <c r="H614" s="304" t="n"/>
      <c r="I614" s="304" t="n"/>
      <c r="J614" s="304" t="n"/>
      <c r="K614" s="304" t="n"/>
      <c r="L614" s="304" t="n"/>
      <c r="M614" s="304" t="n"/>
      <c r="N614" s="304" t="n"/>
      <c r="O614" s="304" t="n"/>
      <c r="P614" s="304" t="n"/>
      <c r="Q614" s="304" t="n"/>
    </row>
    <row r="615" ht="13.8" customHeight="1" s="343">
      <c r="A615" s="388">
        <f>ROW()-22</f>
        <v/>
      </c>
      <c r="B615" s="536">
        <f>_xlfn.NORM.INV(RAND(),$B$6,$C$6)</f>
        <v/>
      </c>
      <c r="C615" s="536">
        <f>MIN(_xlfn.NORM.INV(RAND(),$B$7,$C$7),B615-0.005)</f>
        <v/>
      </c>
      <c r="D615" s="537">
        <f>_xlfn.NORM.INV(RAND(),$B$8,$C$8)</f>
        <v/>
      </c>
      <c r="E615" s="391">
        <f t="array" ref="E615">(SUMPRODUCT($B$13:$F$13*D615/(1+B615)^$B$14:$F$14)+($F$13*D615*(1+C615))/(B615-C615)/(1+B615)^$F$14-$B$15+$B$16)/$B$17</f>
        <v/>
      </c>
      <c r="F615" s="304" t="n"/>
      <c r="G615" s="304" t="n"/>
      <c r="H615" s="304" t="n"/>
      <c r="I615" s="304" t="n"/>
      <c r="J615" s="304" t="n"/>
      <c r="K615" s="304" t="n"/>
      <c r="L615" s="304" t="n"/>
      <c r="M615" s="304" t="n"/>
      <c r="N615" s="304" t="n"/>
      <c r="O615" s="304" t="n"/>
      <c r="P615" s="304" t="n"/>
      <c r="Q615" s="304" t="n"/>
    </row>
    <row r="616" ht="13.8" customHeight="1" s="343">
      <c r="A616" s="388">
        <f>ROW()-22</f>
        <v/>
      </c>
      <c r="B616" s="536">
        <f>_xlfn.NORM.INV(RAND(),$B$6,$C$6)</f>
        <v/>
      </c>
      <c r="C616" s="536">
        <f>MIN(_xlfn.NORM.INV(RAND(),$B$7,$C$7),B616-0.005)</f>
        <v/>
      </c>
      <c r="D616" s="537">
        <f>_xlfn.NORM.INV(RAND(),$B$8,$C$8)</f>
        <v/>
      </c>
      <c r="E616" s="391">
        <f t="array" ref="E616">(SUMPRODUCT($B$13:$F$13*D616/(1+B616)^$B$14:$F$14)+($F$13*D616*(1+C616))/(B616-C616)/(1+B616)^$F$14-$B$15+$B$16)/$B$17</f>
        <v/>
      </c>
      <c r="F616" s="304" t="n"/>
      <c r="G616" s="304" t="n"/>
      <c r="H616" s="304" t="n"/>
      <c r="I616" s="304" t="n"/>
      <c r="J616" s="304" t="n"/>
      <c r="K616" s="304" t="n"/>
      <c r="L616" s="304" t="n"/>
      <c r="M616" s="304" t="n"/>
      <c r="N616" s="304" t="n"/>
      <c r="O616" s="304" t="n"/>
      <c r="P616" s="304" t="n"/>
      <c r="Q616" s="304" t="n"/>
    </row>
    <row r="617" ht="13.8" customHeight="1" s="343">
      <c r="A617" s="388">
        <f>ROW()-22</f>
        <v/>
      </c>
      <c r="B617" s="536">
        <f>_xlfn.NORM.INV(RAND(),$B$6,$C$6)</f>
        <v/>
      </c>
      <c r="C617" s="536">
        <f>MIN(_xlfn.NORM.INV(RAND(),$B$7,$C$7),B617-0.005)</f>
        <v/>
      </c>
      <c r="D617" s="537">
        <f>_xlfn.NORM.INV(RAND(),$B$8,$C$8)</f>
        <v/>
      </c>
      <c r="E617" s="391">
        <f t="array" ref="E617">(SUMPRODUCT($B$13:$F$13*D617/(1+B617)^$B$14:$F$14)+($F$13*D617*(1+C617))/(B617-C617)/(1+B617)^$F$14-$B$15+$B$16)/$B$17</f>
        <v/>
      </c>
      <c r="F617" s="304" t="n"/>
      <c r="G617" s="304" t="n"/>
      <c r="H617" s="304" t="n"/>
      <c r="I617" s="304" t="n"/>
      <c r="J617" s="304" t="n"/>
      <c r="K617" s="304" t="n"/>
      <c r="L617" s="304" t="n"/>
      <c r="M617" s="304" t="n"/>
      <c r="N617" s="304" t="n"/>
      <c r="O617" s="304" t="n"/>
      <c r="P617" s="304" t="n"/>
      <c r="Q617" s="304" t="n"/>
    </row>
    <row r="618" ht="13.8" customHeight="1" s="343">
      <c r="A618" s="388">
        <f>ROW()-22</f>
        <v/>
      </c>
      <c r="B618" s="536">
        <f>_xlfn.NORM.INV(RAND(),$B$6,$C$6)</f>
        <v/>
      </c>
      <c r="C618" s="536">
        <f>MIN(_xlfn.NORM.INV(RAND(),$B$7,$C$7),B618-0.005)</f>
        <v/>
      </c>
      <c r="D618" s="537">
        <f>_xlfn.NORM.INV(RAND(),$B$8,$C$8)</f>
        <v/>
      </c>
      <c r="E618" s="391">
        <f t="array" ref="E618">(SUMPRODUCT($B$13:$F$13*D618/(1+B618)^$B$14:$F$14)+($F$13*D618*(1+C618))/(B618-C618)/(1+B618)^$F$14-$B$15+$B$16)/$B$17</f>
        <v/>
      </c>
      <c r="F618" s="304" t="n"/>
      <c r="G618" s="304" t="n"/>
      <c r="H618" s="304" t="n"/>
      <c r="I618" s="304" t="n"/>
      <c r="J618" s="304" t="n"/>
      <c r="K618" s="304" t="n"/>
      <c r="L618" s="304" t="n"/>
      <c r="M618" s="304" t="n"/>
      <c r="N618" s="304" t="n"/>
      <c r="O618" s="304" t="n"/>
      <c r="P618" s="304" t="n"/>
      <c r="Q618" s="304" t="n"/>
    </row>
    <row r="619" ht="13.8" customHeight="1" s="343">
      <c r="A619" s="388">
        <f>ROW()-22</f>
        <v/>
      </c>
      <c r="B619" s="536">
        <f>_xlfn.NORM.INV(RAND(),$B$6,$C$6)</f>
        <v/>
      </c>
      <c r="C619" s="536">
        <f>MIN(_xlfn.NORM.INV(RAND(),$B$7,$C$7),B619-0.005)</f>
        <v/>
      </c>
      <c r="D619" s="537">
        <f>_xlfn.NORM.INV(RAND(),$B$8,$C$8)</f>
        <v/>
      </c>
      <c r="E619" s="391">
        <f t="array" ref="E619">(SUMPRODUCT($B$13:$F$13*D619/(1+B619)^$B$14:$F$14)+($F$13*D619*(1+C619))/(B619-C619)/(1+B619)^$F$14-$B$15+$B$16)/$B$17</f>
        <v/>
      </c>
      <c r="F619" s="304" t="n"/>
      <c r="G619" s="304" t="n"/>
      <c r="H619" s="304" t="n"/>
      <c r="I619" s="304" t="n"/>
      <c r="J619" s="304" t="n"/>
      <c r="K619" s="304" t="n"/>
      <c r="L619" s="304" t="n"/>
      <c r="M619" s="304" t="n"/>
      <c r="N619" s="304" t="n"/>
      <c r="O619" s="304" t="n"/>
      <c r="P619" s="304" t="n"/>
      <c r="Q619" s="304" t="n"/>
    </row>
    <row r="620" ht="13.8" customHeight="1" s="343">
      <c r="A620" s="388">
        <f>ROW()-22</f>
        <v/>
      </c>
      <c r="B620" s="536">
        <f>_xlfn.NORM.INV(RAND(),$B$6,$C$6)</f>
        <v/>
      </c>
      <c r="C620" s="536">
        <f>MIN(_xlfn.NORM.INV(RAND(),$B$7,$C$7),B620-0.005)</f>
        <v/>
      </c>
      <c r="D620" s="537">
        <f>_xlfn.NORM.INV(RAND(),$B$8,$C$8)</f>
        <v/>
      </c>
      <c r="E620" s="391">
        <f t="array" ref="E620">(SUMPRODUCT($B$13:$F$13*D620/(1+B620)^$B$14:$F$14)+($F$13*D620*(1+C620))/(B620-C620)/(1+B620)^$F$14-$B$15+$B$16)/$B$17</f>
        <v/>
      </c>
      <c r="F620" s="304" t="n"/>
      <c r="G620" s="304" t="n"/>
      <c r="H620" s="304" t="n"/>
      <c r="I620" s="304" t="n"/>
      <c r="J620" s="304" t="n"/>
      <c r="K620" s="304" t="n"/>
      <c r="L620" s="304" t="n"/>
      <c r="M620" s="304" t="n"/>
      <c r="N620" s="304" t="n"/>
      <c r="O620" s="304" t="n"/>
      <c r="P620" s="304" t="n"/>
      <c r="Q620" s="304" t="n"/>
    </row>
    <row r="621" ht="13.8" customHeight="1" s="343">
      <c r="A621" s="388">
        <f>ROW()-22</f>
        <v/>
      </c>
      <c r="B621" s="536">
        <f>_xlfn.NORM.INV(RAND(),$B$6,$C$6)</f>
        <v/>
      </c>
      <c r="C621" s="536">
        <f>MIN(_xlfn.NORM.INV(RAND(),$B$7,$C$7),B621-0.005)</f>
        <v/>
      </c>
      <c r="D621" s="537">
        <f>_xlfn.NORM.INV(RAND(),$B$8,$C$8)</f>
        <v/>
      </c>
      <c r="E621" s="391">
        <f t="array" ref="E621">(SUMPRODUCT($B$13:$F$13*D621/(1+B621)^$B$14:$F$14)+($F$13*D621*(1+C621))/(B621-C621)/(1+B621)^$F$14-$B$15+$B$16)/$B$17</f>
        <v/>
      </c>
      <c r="F621" s="304" t="n"/>
      <c r="G621" s="304" t="n"/>
      <c r="H621" s="304" t="n"/>
      <c r="I621" s="304" t="n"/>
      <c r="J621" s="304" t="n"/>
      <c r="K621" s="304" t="n"/>
      <c r="L621" s="304" t="n"/>
      <c r="M621" s="304" t="n"/>
      <c r="N621" s="304" t="n"/>
      <c r="O621" s="304" t="n"/>
      <c r="P621" s="304" t="n"/>
      <c r="Q621" s="304" t="n"/>
    </row>
    <row r="622" ht="13.8" customHeight="1" s="343">
      <c r="A622" s="388">
        <f>ROW()-22</f>
        <v/>
      </c>
      <c r="B622" s="536">
        <f>_xlfn.NORM.INV(RAND(),$B$6,$C$6)</f>
        <v/>
      </c>
      <c r="C622" s="536">
        <f>MIN(_xlfn.NORM.INV(RAND(),$B$7,$C$7),B622-0.005)</f>
        <v/>
      </c>
      <c r="D622" s="537">
        <f>_xlfn.NORM.INV(RAND(),$B$8,$C$8)</f>
        <v/>
      </c>
      <c r="E622" s="391">
        <f t="array" ref="E622">(SUMPRODUCT($B$13:$F$13*D622/(1+B622)^$B$14:$F$14)+($F$13*D622*(1+C622))/(B622-C622)/(1+B622)^$F$14-$B$15+$B$16)/$B$17</f>
        <v/>
      </c>
      <c r="F622" s="304" t="n"/>
      <c r="G622" s="304" t="n"/>
      <c r="H622" s="304" t="n"/>
      <c r="I622" s="304" t="n"/>
      <c r="J622" s="304" t="n"/>
      <c r="K622" s="304" t="n"/>
      <c r="L622" s="304" t="n"/>
      <c r="M622" s="304" t="n"/>
      <c r="N622" s="304" t="n"/>
      <c r="O622" s="304" t="n"/>
      <c r="P622" s="304" t="n"/>
      <c r="Q622" s="304" t="n"/>
    </row>
    <row r="623" ht="13.8" customHeight="1" s="343">
      <c r="A623" s="388">
        <f>ROW()-22</f>
        <v/>
      </c>
      <c r="B623" s="536">
        <f>_xlfn.NORM.INV(RAND(),$B$6,$C$6)</f>
        <v/>
      </c>
      <c r="C623" s="536">
        <f>MIN(_xlfn.NORM.INV(RAND(),$B$7,$C$7),B623-0.005)</f>
        <v/>
      </c>
      <c r="D623" s="537">
        <f>_xlfn.NORM.INV(RAND(),$B$8,$C$8)</f>
        <v/>
      </c>
      <c r="E623" s="391">
        <f t="array" ref="E623">(SUMPRODUCT($B$13:$F$13*D623/(1+B623)^$B$14:$F$14)+($F$13*D623*(1+C623))/(B623-C623)/(1+B623)^$F$14-$B$15+$B$16)/$B$17</f>
        <v/>
      </c>
      <c r="F623" s="304" t="n"/>
      <c r="G623" s="304" t="n"/>
      <c r="H623" s="304" t="n"/>
      <c r="I623" s="304" t="n"/>
      <c r="J623" s="304" t="n"/>
      <c r="K623" s="304" t="n"/>
      <c r="L623" s="304" t="n"/>
      <c r="M623" s="304" t="n"/>
      <c r="N623" s="304" t="n"/>
      <c r="O623" s="304" t="n"/>
      <c r="P623" s="304" t="n"/>
      <c r="Q623" s="304" t="n"/>
    </row>
    <row r="624" ht="13.8" customHeight="1" s="343">
      <c r="A624" s="388">
        <f>ROW()-22</f>
        <v/>
      </c>
      <c r="B624" s="536">
        <f>_xlfn.NORM.INV(RAND(),$B$6,$C$6)</f>
        <v/>
      </c>
      <c r="C624" s="536">
        <f>MIN(_xlfn.NORM.INV(RAND(),$B$7,$C$7),B624-0.005)</f>
        <v/>
      </c>
      <c r="D624" s="537">
        <f>_xlfn.NORM.INV(RAND(),$B$8,$C$8)</f>
        <v/>
      </c>
      <c r="E624" s="391">
        <f t="array" ref="E624">(SUMPRODUCT($B$13:$F$13*D624/(1+B624)^$B$14:$F$14)+($F$13*D624*(1+C624))/(B624-C624)/(1+B624)^$F$14-$B$15+$B$16)/$B$17</f>
        <v/>
      </c>
      <c r="F624" s="304" t="n"/>
      <c r="G624" s="304" t="n"/>
      <c r="H624" s="304" t="n"/>
      <c r="I624" s="304" t="n"/>
      <c r="J624" s="304" t="n"/>
      <c r="K624" s="304" t="n"/>
      <c r="L624" s="304" t="n"/>
      <c r="M624" s="304" t="n"/>
      <c r="N624" s="304" t="n"/>
      <c r="O624" s="304" t="n"/>
      <c r="P624" s="304" t="n"/>
      <c r="Q624" s="304" t="n"/>
    </row>
    <row r="625" ht="13.8" customHeight="1" s="343">
      <c r="A625" s="388">
        <f>ROW()-22</f>
        <v/>
      </c>
      <c r="B625" s="536">
        <f>_xlfn.NORM.INV(RAND(),$B$6,$C$6)</f>
        <v/>
      </c>
      <c r="C625" s="536">
        <f>MIN(_xlfn.NORM.INV(RAND(),$B$7,$C$7),B625-0.005)</f>
        <v/>
      </c>
      <c r="D625" s="537">
        <f>_xlfn.NORM.INV(RAND(),$B$8,$C$8)</f>
        <v/>
      </c>
      <c r="E625" s="391">
        <f t="array" ref="E625">(SUMPRODUCT($B$13:$F$13*D625/(1+B625)^$B$14:$F$14)+($F$13*D625*(1+C625))/(B625-C625)/(1+B625)^$F$14-$B$15+$B$16)/$B$17</f>
        <v/>
      </c>
      <c r="F625" s="304" t="n"/>
      <c r="G625" s="304" t="n"/>
      <c r="H625" s="304" t="n"/>
      <c r="I625" s="304" t="n"/>
      <c r="J625" s="304" t="n"/>
      <c r="K625" s="304" t="n"/>
      <c r="L625" s="304" t="n"/>
      <c r="M625" s="304" t="n"/>
      <c r="N625" s="304" t="n"/>
      <c r="O625" s="304" t="n"/>
      <c r="P625" s="304" t="n"/>
      <c r="Q625" s="304" t="n"/>
    </row>
    <row r="626" ht="13.8" customHeight="1" s="343">
      <c r="A626" s="388">
        <f>ROW()-22</f>
        <v/>
      </c>
      <c r="B626" s="536">
        <f>_xlfn.NORM.INV(RAND(),$B$6,$C$6)</f>
        <v/>
      </c>
      <c r="C626" s="536">
        <f>MIN(_xlfn.NORM.INV(RAND(),$B$7,$C$7),B626-0.005)</f>
        <v/>
      </c>
      <c r="D626" s="537">
        <f>_xlfn.NORM.INV(RAND(),$B$8,$C$8)</f>
        <v/>
      </c>
      <c r="E626" s="391">
        <f t="array" ref="E626">(SUMPRODUCT($B$13:$F$13*D626/(1+B626)^$B$14:$F$14)+($F$13*D626*(1+C626))/(B626-C626)/(1+B626)^$F$14-$B$15+$B$16)/$B$17</f>
        <v/>
      </c>
      <c r="F626" s="304" t="n"/>
      <c r="G626" s="304" t="n"/>
      <c r="H626" s="304" t="n"/>
      <c r="I626" s="304" t="n"/>
      <c r="J626" s="304" t="n"/>
      <c r="K626" s="304" t="n"/>
      <c r="L626" s="304" t="n"/>
      <c r="M626" s="304" t="n"/>
      <c r="N626" s="304" t="n"/>
      <c r="O626" s="304" t="n"/>
      <c r="P626" s="304" t="n"/>
      <c r="Q626" s="304" t="n"/>
    </row>
    <row r="627" ht="13.8" customHeight="1" s="343">
      <c r="A627" s="388">
        <f>ROW()-22</f>
        <v/>
      </c>
      <c r="B627" s="536">
        <f>_xlfn.NORM.INV(RAND(),$B$6,$C$6)</f>
        <v/>
      </c>
      <c r="C627" s="536">
        <f>MIN(_xlfn.NORM.INV(RAND(),$B$7,$C$7),B627-0.005)</f>
        <v/>
      </c>
      <c r="D627" s="537">
        <f>_xlfn.NORM.INV(RAND(),$B$8,$C$8)</f>
        <v/>
      </c>
      <c r="E627" s="391">
        <f t="array" ref="E627">(SUMPRODUCT($B$13:$F$13*D627/(1+B627)^$B$14:$F$14)+($F$13*D627*(1+C627))/(B627-C627)/(1+B627)^$F$14-$B$15+$B$16)/$B$17</f>
        <v/>
      </c>
      <c r="F627" s="304" t="n"/>
      <c r="G627" s="304" t="n"/>
      <c r="H627" s="304" t="n"/>
      <c r="I627" s="304" t="n"/>
      <c r="J627" s="304" t="n"/>
      <c r="K627" s="304" t="n"/>
      <c r="L627" s="304" t="n"/>
      <c r="M627" s="304" t="n"/>
      <c r="N627" s="304" t="n"/>
      <c r="O627" s="304" t="n"/>
      <c r="P627" s="304" t="n"/>
      <c r="Q627" s="304" t="n"/>
    </row>
    <row r="628" ht="13.8" customHeight="1" s="343">
      <c r="A628" s="388">
        <f>ROW()-22</f>
        <v/>
      </c>
      <c r="B628" s="536">
        <f>_xlfn.NORM.INV(RAND(),$B$6,$C$6)</f>
        <v/>
      </c>
      <c r="C628" s="536">
        <f>MIN(_xlfn.NORM.INV(RAND(),$B$7,$C$7),B628-0.005)</f>
        <v/>
      </c>
      <c r="D628" s="537">
        <f>_xlfn.NORM.INV(RAND(),$B$8,$C$8)</f>
        <v/>
      </c>
      <c r="E628" s="391">
        <f t="array" ref="E628">(SUMPRODUCT($B$13:$F$13*D628/(1+B628)^$B$14:$F$14)+($F$13*D628*(1+C628))/(B628-C628)/(1+B628)^$F$14-$B$15+$B$16)/$B$17</f>
        <v/>
      </c>
      <c r="F628" s="304" t="n"/>
      <c r="G628" s="304" t="n"/>
      <c r="H628" s="304" t="n"/>
      <c r="I628" s="304" t="n"/>
      <c r="J628" s="304" t="n"/>
      <c r="K628" s="304" t="n"/>
      <c r="L628" s="304" t="n"/>
      <c r="M628" s="304" t="n"/>
      <c r="N628" s="304" t="n"/>
      <c r="O628" s="304" t="n"/>
      <c r="P628" s="304" t="n"/>
      <c r="Q628" s="304" t="n"/>
    </row>
    <row r="629" ht="13.8" customHeight="1" s="343">
      <c r="A629" s="388">
        <f>ROW()-22</f>
        <v/>
      </c>
      <c r="B629" s="536">
        <f>_xlfn.NORM.INV(RAND(),$B$6,$C$6)</f>
        <v/>
      </c>
      <c r="C629" s="536">
        <f>MIN(_xlfn.NORM.INV(RAND(),$B$7,$C$7),B629-0.005)</f>
        <v/>
      </c>
      <c r="D629" s="537">
        <f>_xlfn.NORM.INV(RAND(),$B$8,$C$8)</f>
        <v/>
      </c>
      <c r="E629" s="391">
        <f t="array" ref="E629">(SUMPRODUCT($B$13:$F$13*D629/(1+B629)^$B$14:$F$14)+($F$13*D629*(1+C629))/(B629-C629)/(1+B629)^$F$14-$B$15+$B$16)/$B$17</f>
        <v/>
      </c>
      <c r="F629" s="304" t="n"/>
      <c r="G629" s="304" t="n"/>
      <c r="H629" s="304" t="n"/>
      <c r="I629" s="304" t="n"/>
      <c r="J629" s="304" t="n"/>
      <c r="K629" s="304" t="n"/>
      <c r="L629" s="304" t="n"/>
      <c r="M629" s="304" t="n"/>
      <c r="N629" s="304" t="n"/>
      <c r="O629" s="304" t="n"/>
      <c r="P629" s="304" t="n"/>
      <c r="Q629" s="304" t="n"/>
    </row>
    <row r="630" ht="13.8" customHeight="1" s="343">
      <c r="A630" s="388">
        <f>ROW()-22</f>
        <v/>
      </c>
      <c r="B630" s="536">
        <f>_xlfn.NORM.INV(RAND(),$B$6,$C$6)</f>
        <v/>
      </c>
      <c r="C630" s="536">
        <f>MIN(_xlfn.NORM.INV(RAND(),$B$7,$C$7),B630-0.005)</f>
        <v/>
      </c>
      <c r="D630" s="537">
        <f>_xlfn.NORM.INV(RAND(),$B$8,$C$8)</f>
        <v/>
      </c>
      <c r="E630" s="391">
        <f t="array" ref="E630">(SUMPRODUCT($B$13:$F$13*D630/(1+B630)^$B$14:$F$14)+($F$13*D630*(1+C630))/(B630-C630)/(1+B630)^$F$14-$B$15+$B$16)/$B$17</f>
        <v/>
      </c>
      <c r="F630" s="304" t="n"/>
      <c r="G630" s="304" t="n"/>
      <c r="H630" s="304" t="n"/>
      <c r="I630" s="304" t="n"/>
      <c r="J630" s="304" t="n"/>
      <c r="K630" s="304" t="n"/>
      <c r="L630" s="304" t="n"/>
      <c r="M630" s="304" t="n"/>
      <c r="N630" s="304" t="n"/>
      <c r="O630" s="304" t="n"/>
      <c r="P630" s="304" t="n"/>
      <c r="Q630" s="304" t="n"/>
    </row>
    <row r="631" ht="13.8" customHeight="1" s="343">
      <c r="A631" s="388">
        <f>ROW()-22</f>
        <v/>
      </c>
      <c r="B631" s="536">
        <f>_xlfn.NORM.INV(RAND(),$B$6,$C$6)</f>
        <v/>
      </c>
      <c r="C631" s="536">
        <f>MIN(_xlfn.NORM.INV(RAND(),$B$7,$C$7),B631-0.005)</f>
        <v/>
      </c>
      <c r="D631" s="537">
        <f>_xlfn.NORM.INV(RAND(),$B$8,$C$8)</f>
        <v/>
      </c>
      <c r="E631" s="391">
        <f t="array" ref="E631">(SUMPRODUCT($B$13:$F$13*D631/(1+B631)^$B$14:$F$14)+($F$13*D631*(1+C631))/(B631-C631)/(1+B631)^$F$14-$B$15+$B$16)/$B$17</f>
        <v/>
      </c>
      <c r="F631" s="304" t="n"/>
      <c r="G631" s="304" t="n"/>
      <c r="H631" s="304" t="n"/>
      <c r="I631" s="304" t="n"/>
      <c r="J631" s="304" t="n"/>
      <c r="K631" s="304" t="n"/>
      <c r="L631" s="304" t="n"/>
      <c r="M631" s="304" t="n"/>
      <c r="N631" s="304" t="n"/>
      <c r="O631" s="304" t="n"/>
      <c r="P631" s="304" t="n"/>
      <c r="Q631" s="304" t="n"/>
    </row>
    <row r="632" ht="13.8" customHeight="1" s="343">
      <c r="A632" s="388">
        <f>ROW()-22</f>
        <v/>
      </c>
      <c r="B632" s="536">
        <f>_xlfn.NORM.INV(RAND(),$B$6,$C$6)</f>
        <v/>
      </c>
      <c r="C632" s="536">
        <f>MIN(_xlfn.NORM.INV(RAND(),$B$7,$C$7),B632-0.005)</f>
        <v/>
      </c>
      <c r="D632" s="537">
        <f>_xlfn.NORM.INV(RAND(),$B$8,$C$8)</f>
        <v/>
      </c>
      <c r="E632" s="391">
        <f t="array" ref="E632">(SUMPRODUCT($B$13:$F$13*D632/(1+B632)^$B$14:$F$14)+($F$13*D632*(1+C632))/(B632-C632)/(1+B632)^$F$14-$B$15+$B$16)/$B$17</f>
        <v/>
      </c>
      <c r="F632" s="304" t="n"/>
      <c r="G632" s="304" t="n"/>
      <c r="H632" s="304" t="n"/>
      <c r="I632" s="304" t="n"/>
      <c r="J632" s="304" t="n"/>
      <c r="K632" s="304" t="n"/>
      <c r="L632" s="304" t="n"/>
      <c r="M632" s="304" t="n"/>
      <c r="N632" s="304" t="n"/>
      <c r="O632" s="304" t="n"/>
      <c r="P632" s="304" t="n"/>
      <c r="Q632" s="304" t="n"/>
    </row>
    <row r="633" ht="13.8" customHeight="1" s="343">
      <c r="A633" s="388">
        <f>ROW()-22</f>
        <v/>
      </c>
      <c r="B633" s="536">
        <f>_xlfn.NORM.INV(RAND(),$B$6,$C$6)</f>
        <v/>
      </c>
      <c r="C633" s="536">
        <f>MIN(_xlfn.NORM.INV(RAND(),$B$7,$C$7),B633-0.005)</f>
        <v/>
      </c>
      <c r="D633" s="537">
        <f>_xlfn.NORM.INV(RAND(),$B$8,$C$8)</f>
        <v/>
      </c>
      <c r="E633" s="391">
        <f t="array" ref="E633">(SUMPRODUCT($B$13:$F$13*D633/(1+B633)^$B$14:$F$14)+($F$13*D633*(1+C633))/(B633-C633)/(1+B633)^$F$14-$B$15+$B$16)/$B$17</f>
        <v/>
      </c>
      <c r="F633" s="304" t="n"/>
      <c r="G633" s="304" t="n"/>
      <c r="H633" s="304" t="n"/>
      <c r="I633" s="304" t="n"/>
      <c r="J633" s="304" t="n"/>
      <c r="K633" s="304" t="n"/>
      <c r="L633" s="304" t="n"/>
      <c r="M633" s="304" t="n"/>
      <c r="N633" s="304" t="n"/>
      <c r="O633" s="304" t="n"/>
      <c r="P633" s="304" t="n"/>
      <c r="Q633" s="304" t="n"/>
    </row>
    <row r="634" ht="13.8" customHeight="1" s="343">
      <c r="A634" s="388">
        <f>ROW()-22</f>
        <v/>
      </c>
      <c r="B634" s="536">
        <f>_xlfn.NORM.INV(RAND(),$B$6,$C$6)</f>
        <v/>
      </c>
      <c r="C634" s="536">
        <f>MIN(_xlfn.NORM.INV(RAND(),$B$7,$C$7),B634-0.005)</f>
        <v/>
      </c>
      <c r="D634" s="537">
        <f>_xlfn.NORM.INV(RAND(),$B$8,$C$8)</f>
        <v/>
      </c>
      <c r="E634" s="391">
        <f t="array" ref="E634">(SUMPRODUCT($B$13:$F$13*D634/(1+B634)^$B$14:$F$14)+($F$13*D634*(1+C634))/(B634-C634)/(1+B634)^$F$14-$B$15+$B$16)/$B$17</f>
        <v/>
      </c>
      <c r="F634" s="304" t="n"/>
      <c r="G634" s="304" t="n"/>
      <c r="H634" s="304" t="n"/>
      <c r="I634" s="304" t="n"/>
      <c r="J634" s="304" t="n"/>
      <c r="K634" s="304" t="n"/>
      <c r="L634" s="304" t="n"/>
      <c r="M634" s="304" t="n"/>
      <c r="N634" s="304" t="n"/>
      <c r="O634" s="304" t="n"/>
      <c r="P634" s="304" t="n"/>
      <c r="Q634" s="304" t="n"/>
    </row>
    <row r="635" ht="13.8" customHeight="1" s="343">
      <c r="A635" s="388">
        <f>ROW()-22</f>
        <v/>
      </c>
      <c r="B635" s="536">
        <f>_xlfn.NORM.INV(RAND(),$B$6,$C$6)</f>
        <v/>
      </c>
      <c r="C635" s="536">
        <f>MIN(_xlfn.NORM.INV(RAND(),$B$7,$C$7),B635-0.005)</f>
        <v/>
      </c>
      <c r="D635" s="537">
        <f>_xlfn.NORM.INV(RAND(),$B$8,$C$8)</f>
        <v/>
      </c>
      <c r="E635" s="391">
        <f t="array" ref="E635">(SUMPRODUCT($B$13:$F$13*D635/(1+B635)^$B$14:$F$14)+($F$13*D635*(1+C635))/(B635-C635)/(1+B635)^$F$14-$B$15+$B$16)/$B$17</f>
        <v/>
      </c>
      <c r="F635" s="304" t="n"/>
      <c r="G635" s="304" t="n"/>
      <c r="H635" s="304" t="n"/>
      <c r="I635" s="304" t="n"/>
      <c r="J635" s="304" t="n"/>
      <c r="K635" s="304" t="n"/>
      <c r="L635" s="304" t="n"/>
      <c r="M635" s="304" t="n"/>
      <c r="N635" s="304" t="n"/>
      <c r="O635" s="304" t="n"/>
      <c r="P635" s="304" t="n"/>
      <c r="Q635" s="304" t="n"/>
    </row>
    <row r="636" ht="13.8" customHeight="1" s="343">
      <c r="A636" s="388">
        <f>ROW()-22</f>
        <v/>
      </c>
      <c r="B636" s="536">
        <f>_xlfn.NORM.INV(RAND(),$B$6,$C$6)</f>
        <v/>
      </c>
      <c r="C636" s="536">
        <f>MIN(_xlfn.NORM.INV(RAND(),$B$7,$C$7),B636-0.005)</f>
        <v/>
      </c>
      <c r="D636" s="537">
        <f>_xlfn.NORM.INV(RAND(),$B$8,$C$8)</f>
        <v/>
      </c>
      <c r="E636" s="391">
        <f t="array" ref="E636">(SUMPRODUCT($B$13:$F$13*D636/(1+B636)^$B$14:$F$14)+($F$13*D636*(1+C636))/(B636-C636)/(1+B636)^$F$14-$B$15+$B$16)/$B$17</f>
        <v/>
      </c>
      <c r="F636" s="304" t="n"/>
      <c r="G636" s="304" t="n"/>
      <c r="H636" s="304" t="n"/>
      <c r="I636" s="304" t="n"/>
      <c r="J636" s="304" t="n"/>
      <c r="K636" s="304" t="n"/>
      <c r="L636" s="304" t="n"/>
      <c r="M636" s="304" t="n"/>
      <c r="N636" s="304" t="n"/>
      <c r="O636" s="304" t="n"/>
      <c r="P636" s="304" t="n"/>
      <c r="Q636" s="304" t="n"/>
    </row>
    <row r="637" ht="13.8" customHeight="1" s="343">
      <c r="A637" s="388">
        <f>ROW()-22</f>
        <v/>
      </c>
      <c r="B637" s="536">
        <f>_xlfn.NORM.INV(RAND(),$B$6,$C$6)</f>
        <v/>
      </c>
      <c r="C637" s="536">
        <f>MIN(_xlfn.NORM.INV(RAND(),$B$7,$C$7),B637-0.005)</f>
        <v/>
      </c>
      <c r="D637" s="537">
        <f>_xlfn.NORM.INV(RAND(),$B$8,$C$8)</f>
        <v/>
      </c>
      <c r="E637" s="391">
        <f t="array" ref="E637">(SUMPRODUCT($B$13:$F$13*D637/(1+B637)^$B$14:$F$14)+($F$13*D637*(1+C637))/(B637-C637)/(1+B637)^$F$14-$B$15+$B$16)/$B$17</f>
        <v/>
      </c>
      <c r="F637" s="304" t="n"/>
      <c r="G637" s="304" t="n"/>
      <c r="H637" s="304" t="n"/>
      <c r="I637" s="304" t="n"/>
      <c r="J637" s="304" t="n"/>
      <c r="K637" s="304" t="n"/>
      <c r="L637" s="304" t="n"/>
      <c r="M637" s="304" t="n"/>
      <c r="N637" s="304" t="n"/>
      <c r="O637" s="304" t="n"/>
      <c r="P637" s="304" t="n"/>
      <c r="Q637" s="304" t="n"/>
    </row>
    <row r="638" ht="13.8" customHeight="1" s="343">
      <c r="A638" s="388">
        <f>ROW()-22</f>
        <v/>
      </c>
      <c r="B638" s="536">
        <f>_xlfn.NORM.INV(RAND(),$B$6,$C$6)</f>
        <v/>
      </c>
      <c r="C638" s="536">
        <f>MIN(_xlfn.NORM.INV(RAND(),$B$7,$C$7),B638-0.005)</f>
        <v/>
      </c>
      <c r="D638" s="537">
        <f>_xlfn.NORM.INV(RAND(),$B$8,$C$8)</f>
        <v/>
      </c>
      <c r="E638" s="391">
        <f t="array" ref="E638">(SUMPRODUCT($B$13:$F$13*D638/(1+B638)^$B$14:$F$14)+($F$13*D638*(1+C638))/(B638-C638)/(1+B638)^$F$14-$B$15+$B$16)/$B$17</f>
        <v/>
      </c>
      <c r="F638" s="304" t="n"/>
      <c r="G638" s="304" t="n"/>
      <c r="H638" s="304" t="n"/>
      <c r="I638" s="304" t="n"/>
      <c r="J638" s="304" t="n"/>
      <c r="K638" s="304" t="n"/>
      <c r="L638" s="304" t="n"/>
      <c r="M638" s="304" t="n"/>
      <c r="N638" s="304" t="n"/>
      <c r="O638" s="304" t="n"/>
      <c r="P638" s="304" t="n"/>
      <c r="Q638" s="304" t="n"/>
    </row>
    <row r="639" ht="13.8" customHeight="1" s="343">
      <c r="A639" s="388">
        <f>ROW()-22</f>
        <v/>
      </c>
      <c r="B639" s="536">
        <f>_xlfn.NORM.INV(RAND(),$B$6,$C$6)</f>
        <v/>
      </c>
      <c r="C639" s="536">
        <f>MIN(_xlfn.NORM.INV(RAND(),$B$7,$C$7),B639-0.005)</f>
        <v/>
      </c>
      <c r="D639" s="537">
        <f>_xlfn.NORM.INV(RAND(),$B$8,$C$8)</f>
        <v/>
      </c>
      <c r="E639" s="391">
        <f t="array" ref="E639">(SUMPRODUCT($B$13:$F$13*D639/(1+B639)^$B$14:$F$14)+($F$13*D639*(1+C639))/(B639-C639)/(1+B639)^$F$14-$B$15+$B$16)/$B$17</f>
        <v/>
      </c>
      <c r="F639" s="304" t="n"/>
      <c r="G639" s="304" t="n"/>
      <c r="H639" s="304" t="n"/>
      <c r="I639" s="304" t="n"/>
      <c r="J639" s="304" t="n"/>
      <c r="K639" s="304" t="n"/>
      <c r="L639" s="304" t="n"/>
      <c r="M639" s="304" t="n"/>
      <c r="N639" s="304" t="n"/>
      <c r="O639" s="304" t="n"/>
      <c r="P639" s="304" t="n"/>
      <c r="Q639" s="304" t="n"/>
    </row>
    <row r="640" ht="13.8" customHeight="1" s="343">
      <c r="A640" s="388">
        <f>ROW()-22</f>
        <v/>
      </c>
      <c r="B640" s="536">
        <f>_xlfn.NORM.INV(RAND(),$B$6,$C$6)</f>
        <v/>
      </c>
      <c r="C640" s="536">
        <f>MIN(_xlfn.NORM.INV(RAND(),$B$7,$C$7),B640-0.005)</f>
        <v/>
      </c>
      <c r="D640" s="537">
        <f>_xlfn.NORM.INV(RAND(),$B$8,$C$8)</f>
        <v/>
      </c>
      <c r="E640" s="391">
        <f t="array" ref="E640">(SUMPRODUCT($B$13:$F$13*D640/(1+B640)^$B$14:$F$14)+($F$13*D640*(1+C640))/(B640-C640)/(1+B640)^$F$14-$B$15+$B$16)/$B$17</f>
        <v/>
      </c>
      <c r="F640" s="304" t="n"/>
      <c r="G640" s="304" t="n"/>
      <c r="H640" s="304" t="n"/>
      <c r="I640" s="304" t="n"/>
      <c r="J640" s="304" t="n"/>
      <c r="K640" s="304" t="n"/>
      <c r="L640" s="304" t="n"/>
      <c r="M640" s="304" t="n"/>
      <c r="N640" s="304" t="n"/>
      <c r="O640" s="304" t="n"/>
      <c r="P640" s="304" t="n"/>
      <c r="Q640" s="304" t="n"/>
    </row>
    <row r="641" ht="13.8" customHeight="1" s="343">
      <c r="A641" s="388">
        <f>ROW()-22</f>
        <v/>
      </c>
      <c r="B641" s="536">
        <f>_xlfn.NORM.INV(RAND(),$B$6,$C$6)</f>
        <v/>
      </c>
      <c r="C641" s="536">
        <f>MIN(_xlfn.NORM.INV(RAND(),$B$7,$C$7),B641-0.005)</f>
        <v/>
      </c>
      <c r="D641" s="537">
        <f>_xlfn.NORM.INV(RAND(),$B$8,$C$8)</f>
        <v/>
      </c>
      <c r="E641" s="391">
        <f t="array" ref="E641">(SUMPRODUCT($B$13:$F$13*D641/(1+B641)^$B$14:$F$14)+($F$13*D641*(1+C641))/(B641-C641)/(1+B641)^$F$14-$B$15+$B$16)/$B$17</f>
        <v/>
      </c>
      <c r="F641" s="304" t="n"/>
      <c r="G641" s="304" t="n"/>
      <c r="H641" s="304" t="n"/>
      <c r="I641" s="304" t="n"/>
      <c r="J641" s="304" t="n"/>
      <c r="K641" s="304" t="n"/>
      <c r="L641" s="304" t="n"/>
      <c r="M641" s="304" t="n"/>
      <c r="N641" s="304" t="n"/>
      <c r="O641" s="304" t="n"/>
      <c r="P641" s="304" t="n"/>
      <c r="Q641" s="304" t="n"/>
    </row>
    <row r="642" ht="13.8" customHeight="1" s="343">
      <c r="A642" s="388">
        <f>ROW()-22</f>
        <v/>
      </c>
      <c r="B642" s="536">
        <f>_xlfn.NORM.INV(RAND(),$B$6,$C$6)</f>
        <v/>
      </c>
      <c r="C642" s="536">
        <f>MIN(_xlfn.NORM.INV(RAND(),$B$7,$C$7),B642-0.005)</f>
        <v/>
      </c>
      <c r="D642" s="537">
        <f>_xlfn.NORM.INV(RAND(),$B$8,$C$8)</f>
        <v/>
      </c>
      <c r="E642" s="391">
        <f t="array" ref="E642">(SUMPRODUCT($B$13:$F$13*D642/(1+B642)^$B$14:$F$14)+($F$13*D642*(1+C642))/(B642-C642)/(1+B642)^$F$14-$B$15+$B$16)/$B$17</f>
        <v/>
      </c>
      <c r="F642" s="304" t="n"/>
      <c r="G642" s="304" t="n"/>
      <c r="H642" s="304" t="n"/>
      <c r="I642" s="304" t="n"/>
      <c r="J642" s="304" t="n"/>
      <c r="K642" s="304" t="n"/>
      <c r="L642" s="304" t="n"/>
      <c r="M642" s="304" t="n"/>
      <c r="N642" s="304" t="n"/>
      <c r="O642" s="304" t="n"/>
      <c r="P642" s="304" t="n"/>
      <c r="Q642" s="304" t="n"/>
    </row>
    <row r="643" ht="13.8" customHeight="1" s="343">
      <c r="A643" s="388">
        <f>ROW()-22</f>
        <v/>
      </c>
      <c r="B643" s="536">
        <f>_xlfn.NORM.INV(RAND(),$B$6,$C$6)</f>
        <v/>
      </c>
      <c r="C643" s="536">
        <f>MIN(_xlfn.NORM.INV(RAND(),$B$7,$C$7),B643-0.005)</f>
        <v/>
      </c>
      <c r="D643" s="537">
        <f>_xlfn.NORM.INV(RAND(),$B$8,$C$8)</f>
        <v/>
      </c>
      <c r="E643" s="391">
        <f t="array" ref="E643">(SUMPRODUCT($B$13:$F$13*D643/(1+B643)^$B$14:$F$14)+($F$13*D643*(1+C643))/(B643-C643)/(1+B643)^$F$14-$B$15+$B$16)/$B$17</f>
        <v/>
      </c>
      <c r="F643" s="304" t="n"/>
      <c r="G643" s="304" t="n"/>
      <c r="H643" s="304" t="n"/>
      <c r="I643" s="304" t="n"/>
      <c r="J643" s="304" t="n"/>
      <c r="K643" s="304" t="n"/>
      <c r="L643" s="304" t="n"/>
      <c r="M643" s="304" t="n"/>
      <c r="N643" s="304" t="n"/>
      <c r="O643" s="304" t="n"/>
      <c r="P643" s="304" t="n"/>
      <c r="Q643" s="304" t="n"/>
    </row>
    <row r="644" ht="13.8" customHeight="1" s="343">
      <c r="A644" s="388">
        <f>ROW()-22</f>
        <v/>
      </c>
      <c r="B644" s="536">
        <f>_xlfn.NORM.INV(RAND(),$B$6,$C$6)</f>
        <v/>
      </c>
      <c r="C644" s="536">
        <f>MIN(_xlfn.NORM.INV(RAND(),$B$7,$C$7),B644-0.005)</f>
        <v/>
      </c>
      <c r="D644" s="537">
        <f>_xlfn.NORM.INV(RAND(),$B$8,$C$8)</f>
        <v/>
      </c>
      <c r="E644" s="391">
        <f t="array" ref="E644">(SUMPRODUCT($B$13:$F$13*D644/(1+B644)^$B$14:$F$14)+($F$13*D644*(1+C644))/(B644-C644)/(1+B644)^$F$14-$B$15+$B$16)/$B$17</f>
        <v/>
      </c>
      <c r="F644" s="304" t="n"/>
      <c r="G644" s="304" t="n"/>
      <c r="H644" s="304" t="n"/>
      <c r="I644" s="304" t="n"/>
      <c r="J644" s="304" t="n"/>
      <c r="K644" s="304" t="n"/>
      <c r="L644" s="304" t="n"/>
      <c r="M644" s="304" t="n"/>
      <c r="N644" s="304" t="n"/>
      <c r="O644" s="304" t="n"/>
      <c r="P644" s="304" t="n"/>
      <c r="Q644" s="304" t="n"/>
    </row>
    <row r="645" ht="13.8" customHeight="1" s="343">
      <c r="A645" s="388">
        <f>ROW()-22</f>
        <v/>
      </c>
      <c r="B645" s="536">
        <f>_xlfn.NORM.INV(RAND(),$B$6,$C$6)</f>
        <v/>
      </c>
      <c r="C645" s="536">
        <f>MIN(_xlfn.NORM.INV(RAND(),$B$7,$C$7),B645-0.005)</f>
        <v/>
      </c>
      <c r="D645" s="537">
        <f>_xlfn.NORM.INV(RAND(),$B$8,$C$8)</f>
        <v/>
      </c>
      <c r="E645" s="391">
        <f t="array" ref="E645">(SUMPRODUCT($B$13:$F$13*D645/(1+B645)^$B$14:$F$14)+($F$13*D645*(1+C645))/(B645-C645)/(1+B645)^$F$14-$B$15+$B$16)/$B$17</f>
        <v/>
      </c>
      <c r="F645" s="304" t="n"/>
      <c r="G645" s="304" t="n"/>
      <c r="H645" s="304" t="n"/>
      <c r="I645" s="304" t="n"/>
      <c r="J645" s="304" t="n"/>
      <c r="K645" s="304" t="n"/>
      <c r="L645" s="304" t="n"/>
      <c r="M645" s="304" t="n"/>
      <c r="N645" s="304" t="n"/>
      <c r="O645" s="304" t="n"/>
      <c r="P645" s="304" t="n"/>
      <c r="Q645" s="304" t="n"/>
    </row>
    <row r="646" ht="13.8" customHeight="1" s="343">
      <c r="A646" s="388">
        <f>ROW()-22</f>
        <v/>
      </c>
      <c r="B646" s="536">
        <f>_xlfn.NORM.INV(RAND(),$B$6,$C$6)</f>
        <v/>
      </c>
      <c r="C646" s="536">
        <f>MIN(_xlfn.NORM.INV(RAND(),$B$7,$C$7),B646-0.005)</f>
        <v/>
      </c>
      <c r="D646" s="537">
        <f>_xlfn.NORM.INV(RAND(),$B$8,$C$8)</f>
        <v/>
      </c>
      <c r="E646" s="391">
        <f t="array" ref="E646">(SUMPRODUCT($B$13:$F$13*D646/(1+B646)^$B$14:$F$14)+($F$13*D646*(1+C646))/(B646-C646)/(1+B646)^$F$14-$B$15+$B$16)/$B$17</f>
        <v/>
      </c>
      <c r="F646" s="304" t="n"/>
      <c r="G646" s="304" t="n"/>
      <c r="H646" s="304" t="n"/>
      <c r="I646" s="304" t="n"/>
      <c r="J646" s="304" t="n"/>
      <c r="K646" s="304" t="n"/>
      <c r="L646" s="304" t="n"/>
      <c r="M646" s="304" t="n"/>
      <c r="N646" s="304" t="n"/>
      <c r="O646" s="304" t="n"/>
      <c r="P646" s="304" t="n"/>
      <c r="Q646" s="304" t="n"/>
    </row>
    <row r="647" ht="13.8" customHeight="1" s="343">
      <c r="A647" s="388">
        <f>ROW()-22</f>
        <v/>
      </c>
      <c r="B647" s="536">
        <f>_xlfn.NORM.INV(RAND(),$B$6,$C$6)</f>
        <v/>
      </c>
      <c r="C647" s="536">
        <f>MIN(_xlfn.NORM.INV(RAND(),$B$7,$C$7),B647-0.005)</f>
        <v/>
      </c>
      <c r="D647" s="537">
        <f>_xlfn.NORM.INV(RAND(),$B$8,$C$8)</f>
        <v/>
      </c>
      <c r="E647" s="391">
        <f t="array" ref="E647">(SUMPRODUCT($B$13:$F$13*D647/(1+B647)^$B$14:$F$14)+($F$13*D647*(1+C647))/(B647-C647)/(1+B647)^$F$14-$B$15+$B$16)/$B$17</f>
        <v/>
      </c>
      <c r="F647" s="304" t="n"/>
      <c r="G647" s="304" t="n"/>
      <c r="H647" s="304" t="n"/>
      <c r="I647" s="304" t="n"/>
      <c r="J647" s="304" t="n"/>
      <c r="K647" s="304" t="n"/>
      <c r="L647" s="304" t="n"/>
      <c r="M647" s="304" t="n"/>
      <c r="N647" s="304" t="n"/>
      <c r="O647" s="304" t="n"/>
      <c r="P647" s="304" t="n"/>
      <c r="Q647" s="304" t="n"/>
    </row>
    <row r="648" ht="13.8" customHeight="1" s="343">
      <c r="A648" s="388">
        <f>ROW()-22</f>
        <v/>
      </c>
      <c r="B648" s="536">
        <f>_xlfn.NORM.INV(RAND(),$B$6,$C$6)</f>
        <v/>
      </c>
      <c r="C648" s="536">
        <f>MIN(_xlfn.NORM.INV(RAND(),$B$7,$C$7),B648-0.005)</f>
        <v/>
      </c>
      <c r="D648" s="537">
        <f>_xlfn.NORM.INV(RAND(),$B$8,$C$8)</f>
        <v/>
      </c>
      <c r="E648" s="391">
        <f t="array" ref="E648">(SUMPRODUCT($B$13:$F$13*D648/(1+B648)^$B$14:$F$14)+($F$13*D648*(1+C648))/(B648-C648)/(1+B648)^$F$14-$B$15+$B$16)/$B$17</f>
        <v/>
      </c>
      <c r="F648" s="304" t="n"/>
      <c r="G648" s="304" t="n"/>
      <c r="H648" s="304" t="n"/>
      <c r="I648" s="304" t="n"/>
      <c r="J648" s="304" t="n"/>
      <c r="K648" s="304" t="n"/>
      <c r="L648" s="304" t="n"/>
      <c r="M648" s="304" t="n"/>
      <c r="N648" s="304" t="n"/>
      <c r="O648" s="304" t="n"/>
      <c r="P648" s="304" t="n"/>
      <c r="Q648" s="304" t="n"/>
    </row>
    <row r="649" ht="13.8" customHeight="1" s="343">
      <c r="A649" s="388">
        <f>ROW()-22</f>
        <v/>
      </c>
      <c r="B649" s="536">
        <f>_xlfn.NORM.INV(RAND(),$B$6,$C$6)</f>
        <v/>
      </c>
      <c r="C649" s="536">
        <f>MIN(_xlfn.NORM.INV(RAND(),$B$7,$C$7),B649-0.005)</f>
        <v/>
      </c>
      <c r="D649" s="537">
        <f>_xlfn.NORM.INV(RAND(),$B$8,$C$8)</f>
        <v/>
      </c>
      <c r="E649" s="391">
        <f t="array" ref="E649">(SUMPRODUCT($B$13:$F$13*D649/(1+B649)^$B$14:$F$14)+($F$13*D649*(1+C649))/(B649-C649)/(1+B649)^$F$14-$B$15+$B$16)/$B$17</f>
        <v/>
      </c>
      <c r="F649" s="304" t="n"/>
      <c r="G649" s="304" t="n"/>
      <c r="H649" s="304" t="n"/>
      <c r="I649" s="304" t="n"/>
      <c r="J649" s="304" t="n"/>
      <c r="K649" s="304" t="n"/>
      <c r="L649" s="304" t="n"/>
      <c r="M649" s="304" t="n"/>
      <c r="N649" s="304" t="n"/>
      <c r="O649" s="304" t="n"/>
      <c r="P649" s="304" t="n"/>
      <c r="Q649" s="304" t="n"/>
    </row>
    <row r="650" ht="13.8" customHeight="1" s="343">
      <c r="A650" s="388">
        <f>ROW()-22</f>
        <v/>
      </c>
      <c r="B650" s="536">
        <f>_xlfn.NORM.INV(RAND(),$B$6,$C$6)</f>
        <v/>
      </c>
      <c r="C650" s="536">
        <f>MIN(_xlfn.NORM.INV(RAND(),$B$7,$C$7),B650-0.005)</f>
        <v/>
      </c>
      <c r="D650" s="537">
        <f>_xlfn.NORM.INV(RAND(),$B$8,$C$8)</f>
        <v/>
      </c>
      <c r="E650" s="391">
        <f t="array" ref="E650">(SUMPRODUCT($B$13:$F$13*D650/(1+B650)^$B$14:$F$14)+($F$13*D650*(1+C650))/(B650-C650)/(1+B650)^$F$14-$B$15+$B$16)/$B$17</f>
        <v/>
      </c>
      <c r="F650" s="304" t="n"/>
      <c r="G650" s="304" t="n"/>
      <c r="H650" s="304" t="n"/>
      <c r="I650" s="304" t="n"/>
      <c r="J650" s="304" t="n"/>
      <c r="K650" s="304" t="n"/>
      <c r="L650" s="304" t="n"/>
      <c r="M650" s="304" t="n"/>
      <c r="N650" s="304" t="n"/>
      <c r="O650" s="304" t="n"/>
      <c r="P650" s="304" t="n"/>
      <c r="Q650" s="304" t="n"/>
    </row>
    <row r="651" ht="13.8" customHeight="1" s="343">
      <c r="A651" s="388">
        <f>ROW()-22</f>
        <v/>
      </c>
      <c r="B651" s="536">
        <f>_xlfn.NORM.INV(RAND(),$B$6,$C$6)</f>
        <v/>
      </c>
      <c r="C651" s="536">
        <f>MIN(_xlfn.NORM.INV(RAND(),$B$7,$C$7),B651-0.005)</f>
        <v/>
      </c>
      <c r="D651" s="537">
        <f>_xlfn.NORM.INV(RAND(),$B$8,$C$8)</f>
        <v/>
      </c>
      <c r="E651" s="391">
        <f t="array" ref="E651">(SUMPRODUCT($B$13:$F$13*D651/(1+B651)^$B$14:$F$14)+($F$13*D651*(1+C651))/(B651-C651)/(1+B651)^$F$14-$B$15+$B$16)/$B$17</f>
        <v/>
      </c>
      <c r="F651" s="304" t="n"/>
      <c r="G651" s="304" t="n"/>
      <c r="H651" s="304" t="n"/>
      <c r="I651" s="304" t="n"/>
      <c r="J651" s="304" t="n"/>
      <c r="K651" s="304" t="n"/>
      <c r="L651" s="304" t="n"/>
      <c r="M651" s="304" t="n"/>
      <c r="N651" s="304" t="n"/>
      <c r="O651" s="304" t="n"/>
      <c r="P651" s="304" t="n"/>
      <c r="Q651" s="304" t="n"/>
    </row>
    <row r="652" ht="13.8" customHeight="1" s="343">
      <c r="A652" s="388">
        <f>ROW()-22</f>
        <v/>
      </c>
      <c r="B652" s="536">
        <f>_xlfn.NORM.INV(RAND(),$B$6,$C$6)</f>
        <v/>
      </c>
      <c r="C652" s="536">
        <f>MIN(_xlfn.NORM.INV(RAND(),$B$7,$C$7),B652-0.005)</f>
        <v/>
      </c>
      <c r="D652" s="537">
        <f>_xlfn.NORM.INV(RAND(),$B$8,$C$8)</f>
        <v/>
      </c>
      <c r="E652" s="391">
        <f t="array" ref="E652">(SUMPRODUCT($B$13:$F$13*D652/(1+B652)^$B$14:$F$14)+($F$13*D652*(1+C652))/(B652-C652)/(1+B652)^$F$14-$B$15+$B$16)/$B$17</f>
        <v/>
      </c>
      <c r="F652" s="304" t="n"/>
      <c r="G652" s="304" t="n"/>
      <c r="H652" s="304" t="n"/>
      <c r="I652" s="304" t="n"/>
      <c r="J652" s="304" t="n"/>
      <c r="K652" s="304" t="n"/>
      <c r="L652" s="304" t="n"/>
      <c r="M652" s="304" t="n"/>
      <c r="N652" s="304" t="n"/>
      <c r="O652" s="304" t="n"/>
      <c r="P652" s="304" t="n"/>
      <c r="Q652" s="304" t="n"/>
    </row>
    <row r="653" ht="13.8" customHeight="1" s="343">
      <c r="A653" s="388">
        <f>ROW()-22</f>
        <v/>
      </c>
      <c r="B653" s="536">
        <f>_xlfn.NORM.INV(RAND(),$B$6,$C$6)</f>
        <v/>
      </c>
      <c r="C653" s="536">
        <f>MIN(_xlfn.NORM.INV(RAND(),$B$7,$C$7),B653-0.005)</f>
        <v/>
      </c>
      <c r="D653" s="537">
        <f>_xlfn.NORM.INV(RAND(),$B$8,$C$8)</f>
        <v/>
      </c>
      <c r="E653" s="391">
        <f t="array" ref="E653">(SUMPRODUCT($B$13:$F$13*D653/(1+B653)^$B$14:$F$14)+($F$13*D653*(1+C653))/(B653-C653)/(1+B653)^$F$14-$B$15+$B$16)/$B$17</f>
        <v/>
      </c>
      <c r="F653" s="304" t="n"/>
      <c r="G653" s="304" t="n"/>
      <c r="H653" s="304" t="n"/>
      <c r="I653" s="304" t="n"/>
      <c r="J653" s="304" t="n"/>
      <c r="K653" s="304" t="n"/>
      <c r="L653" s="304" t="n"/>
      <c r="M653" s="304" t="n"/>
      <c r="N653" s="304" t="n"/>
      <c r="O653" s="304" t="n"/>
      <c r="P653" s="304" t="n"/>
      <c r="Q653" s="304" t="n"/>
    </row>
    <row r="654" ht="13.8" customHeight="1" s="343">
      <c r="A654" s="388">
        <f>ROW()-22</f>
        <v/>
      </c>
      <c r="B654" s="536">
        <f>_xlfn.NORM.INV(RAND(),$B$6,$C$6)</f>
        <v/>
      </c>
      <c r="C654" s="536">
        <f>MIN(_xlfn.NORM.INV(RAND(),$B$7,$C$7),B654-0.005)</f>
        <v/>
      </c>
      <c r="D654" s="537">
        <f>_xlfn.NORM.INV(RAND(),$B$8,$C$8)</f>
        <v/>
      </c>
      <c r="E654" s="391">
        <f t="array" ref="E654">(SUMPRODUCT($B$13:$F$13*D654/(1+B654)^$B$14:$F$14)+($F$13*D654*(1+C654))/(B654-C654)/(1+B654)^$F$14-$B$15+$B$16)/$B$17</f>
        <v/>
      </c>
      <c r="F654" s="304" t="n"/>
      <c r="G654" s="304" t="n"/>
      <c r="H654" s="304" t="n"/>
      <c r="I654" s="304" t="n"/>
      <c r="J654" s="304" t="n"/>
      <c r="K654" s="304" t="n"/>
      <c r="L654" s="304" t="n"/>
      <c r="M654" s="304" t="n"/>
      <c r="N654" s="304" t="n"/>
      <c r="O654" s="304" t="n"/>
      <c r="P654" s="304" t="n"/>
      <c r="Q654" s="304" t="n"/>
    </row>
    <row r="655" ht="13.8" customHeight="1" s="343">
      <c r="A655" s="388">
        <f>ROW()-22</f>
        <v/>
      </c>
      <c r="B655" s="536">
        <f>_xlfn.NORM.INV(RAND(),$B$6,$C$6)</f>
        <v/>
      </c>
      <c r="C655" s="536">
        <f>MIN(_xlfn.NORM.INV(RAND(),$B$7,$C$7),B655-0.005)</f>
        <v/>
      </c>
      <c r="D655" s="537">
        <f>_xlfn.NORM.INV(RAND(),$B$8,$C$8)</f>
        <v/>
      </c>
      <c r="E655" s="391">
        <f t="array" ref="E655">(SUMPRODUCT($B$13:$F$13*D655/(1+B655)^$B$14:$F$14)+($F$13*D655*(1+C655))/(B655-C655)/(1+B655)^$F$14-$B$15+$B$16)/$B$17</f>
        <v/>
      </c>
      <c r="F655" s="304" t="n"/>
      <c r="G655" s="304" t="n"/>
      <c r="H655" s="304" t="n"/>
      <c r="I655" s="304" t="n"/>
      <c r="J655" s="304" t="n"/>
      <c r="K655" s="304" t="n"/>
      <c r="L655" s="304" t="n"/>
      <c r="M655" s="304" t="n"/>
      <c r="N655" s="304" t="n"/>
      <c r="O655" s="304" t="n"/>
      <c r="P655" s="304" t="n"/>
      <c r="Q655" s="304" t="n"/>
    </row>
    <row r="656" ht="13.8" customHeight="1" s="343">
      <c r="A656" s="388">
        <f>ROW()-22</f>
        <v/>
      </c>
      <c r="B656" s="536">
        <f>_xlfn.NORM.INV(RAND(),$B$6,$C$6)</f>
        <v/>
      </c>
      <c r="C656" s="536">
        <f>MIN(_xlfn.NORM.INV(RAND(),$B$7,$C$7),B656-0.005)</f>
        <v/>
      </c>
      <c r="D656" s="537">
        <f>_xlfn.NORM.INV(RAND(),$B$8,$C$8)</f>
        <v/>
      </c>
      <c r="E656" s="391">
        <f t="array" ref="E656">(SUMPRODUCT($B$13:$F$13*D656/(1+B656)^$B$14:$F$14)+($F$13*D656*(1+C656))/(B656-C656)/(1+B656)^$F$14-$B$15+$B$16)/$B$17</f>
        <v/>
      </c>
      <c r="F656" s="304" t="n"/>
      <c r="G656" s="304" t="n"/>
      <c r="H656" s="304" t="n"/>
      <c r="I656" s="304" t="n"/>
      <c r="J656" s="304" t="n"/>
      <c r="K656" s="304" t="n"/>
      <c r="L656" s="304" t="n"/>
      <c r="M656" s="304" t="n"/>
      <c r="N656" s="304" t="n"/>
      <c r="O656" s="304" t="n"/>
      <c r="P656" s="304" t="n"/>
      <c r="Q656" s="304" t="n"/>
    </row>
    <row r="657" ht="13.8" customHeight="1" s="343">
      <c r="A657" s="388">
        <f>ROW()-22</f>
        <v/>
      </c>
      <c r="B657" s="536">
        <f>_xlfn.NORM.INV(RAND(),$B$6,$C$6)</f>
        <v/>
      </c>
      <c r="C657" s="536">
        <f>MIN(_xlfn.NORM.INV(RAND(),$B$7,$C$7),B657-0.005)</f>
        <v/>
      </c>
      <c r="D657" s="537">
        <f>_xlfn.NORM.INV(RAND(),$B$8,$C$8)</f>
        <v/>
      </c>
      <c r="E657" s="391">
        <f t="array" ref="E657">(SUMPRODUCT($B$13:$F$13*D657/(1+B657)^$B$14:$F$14)+($F$13*D657*(1+C657))/(B657-C657)/(1+B657)^$F$14-$B$15+$B$16)/$B$17</f>
        <v/>
      </c>
      <c r="F657" s="304" t="n"/>
      <c r="G657" s="304" t="n"/>
      <c r="H657" s="304" t="n"/>
      <c r="I657" s="304" t="n"/>
      <c r="J657" s="304" t="n"/>
      <c r="K657" s="304" t="n"/>
      <c r="L657" s="304" t="n"/>
      <c r="M657" s="304" t="n"/>
      <c r="N657" s="304" t="n"/>
      <c r="O657" s="304" t="n"/>
      <c r="P657" s="304" t="n"/>
      <c r="Q657" s="304" t="n"/>
    </row>
    <row r="658" ht="13.8" customHeight="1" s="343">
      <c r="A658" s="388">
        <f>ROW()-22</f>
        <v/>
      </c>
      <c r="B658" s="536">
        <f>_xlfn.NORM.INV(RAND(),$B$6,$C$6)</f>
        <v/>
      </c>
      <c r="C658" s="536">
        <f>MIN(_xlfn.NORM.INV(RAND(),$B$7,$C$7),B658-0.005)</f>
        <v/>
      </c>
      <c r="D658" s="537">
        <f>_xlfn.NORM.INV(RAND(),$B$8,$C$8)</f>
        <v/>
      </c>
      <c r="E658" s="391">
        <f t="array" ref="E658">(SUMPRODUCT($B$13:$F$13*D658/(1+B658)^$B$14:$F$14)+($F$13*D658*(1+C658))/(B658-C658)/(1+B658)^$F$14-$B$15+$B$16)/$B$17</f>
        <v/>
      </c>
      <c r="F658" s="304" t="n"/>
      <c r="G658" s="304" t="n"/>
      <c r="H658" s="304" t="n"/>
      <c r="I658" s="304" t="n"/>
      <c r="J658" s="304" t="n"/>
      <c r="K658" s="304" t="n"/>
      <c r="L658" s="304" t="n"/>
      <c r="M658" s="304" t="n"/>
      <c r="N658" s="304" t="n"/>
      <c r="O658" s="304" t="n"/>
      <c r="P658" s="304" t="n"/>
      <c r="Q658" s="304" t="n"/>
    </row>
    <row r="659" ht="13.8" customHeight="1" s="343">
      <c r="A659" s="388">
        <f>ROW()-22</f>
        <v/>
      </c>
      <c r="B659" s="536">
        <f>_xlfn.NORM.INV(RAND(),$B$6,$C$6)</f>
        <v/>
      </c>
      <c r="C659" s="536">
        <f>MIN(_xlfn.NORM.INV(RAND(),$B$7,$C$7),B659-0.005)</f>
        <v/>
      </c>
      <c r="D659" s="537">
        <f>_xlfn.NORM.INV(RAND(),$B$8,$C$8)</f>
        <v/>
      </c>
      <c r="E659" s="391">
        <f t="array" ref="E659">(SUMPRODUCT($B$13:$F$13*D659/(1+B659)^$B$14:$F$14)+($F$13*D659*(1+C659))/(B659-C659)/(1+B659)^$F$14-$B$15+$B$16)/$B$17</f>
        <v/>
      </c>
      <c r="F659" s="304" t="n"/>
      <c r="G659" s="304" t="n"/>
      <c r="H659" s="304" t="n"/>
      <c r="I659" s="304" t="n"/>
      <c r="J659" s="304" t="n"/>
      <c r="K659" s="304" t="n"/>
      <c r="L659" s="304" t="n"/>
      <c r="M659" s="304" t="n"/>
      <c r="N659" s="304" t="n"/>
      <c r="O659" s="304" t="n"/>
      <c r="P659" s="304" t="n"/>
      <c r="Q659" s="304" t="n"/>
    </row>
    <row r="660" ht="13.8" customHeight="1" s="343">
      <c r="A660" s="388">
        <f>ROW()-22</f>
        <v/>
      </c>
      <c r="B660" s="536">
        <f>_xlfn.NORM.INV(RAND(),$B$6,$C$6)</f>
        <v/>
      </c>
      <c r="C660" s="536">
        <f>MIN(_xlfn.NORM.INV(RAND(),$B$7,$C$7),B660-0.005)</f>
        <v/>
      </c>
      <c r="D660" s="537">
        <f>_xlfn.NORM.INV(RAND(),$B$8,$C$8)</f>
        <v/>
      </c>
      <c r="E660" s="391">
        <f t="array" ref="E660">(SUMPRODUCT($B$13:$F$13*D660/(1+B660)^$B$14:$F$14)+($F$13*D660*(1+C660))/(B660-C660)/(1+B660)^$F$14-$B$15+$B$16)/$B$17</f>
        <v/>
      </c>
      <c r="F660" s="304" t="n"/>
      <c r="G660" s="304" t="n"/>
      <c r="H660" s="304" t="n"/>
      <c r="I660" s="304" t="n"/>
      <c r="J660" s="304" t="n"/>
      <c r="K660" s="304" t="n"/>
      <c r="L660" s="304" t="n"/>
      <c r="M660" s="304" t="n"/>
      <c r="N660" s="304" t="n"/>
      <c r="O660" s="304" t="n"/>
      <c r="P660" s="304" t="n"/>
      <c r="Q660" s="304" t="n"/>
    </row>
    <row r="661" ht="13.8" customHeight="1" s="343">
      <c r="A661" s="388">
        <f>ROW()-22</f>
        <v/>
      </c>
      <c r="B661" s="536">
        <f>_xlfn.NORM.INV(RAND(),$B$6,$C$6)</f>
        <v/>
      </c>
      <c r="C661" s="536">
        <f>MIN(_xlfn.NORM.INV(RAND(),$B$7,$C$7),B661-0.005)</f>
        <v/>
      </c>
      <c r="D661" s="537">
        <f>_xlfn.NORM.INV(RAND(),$B$8,$C$8)</f>
        <v/>
      </c>
      <c r="E661" s="391">
        <f t="array" ref="E661">(SUMPRODUCT($B$13:$F$13*D661/(1+B661)^$B$14:$F$14)+($F$13*D661*(1+C661))/(B661-C661)/(1+B661)^$F$14-$B$15+$B$16)/$B$17</f>
        <v/>
      </c>
      <c r="F661" s="304" t="n"/>
      <c r="G661" s="304" t="n"/>
      <c r="H661" s="304" t="n"/>
      <c r="I661" s="304" t="n"/>
      <c r="J661" s="304" t="n"/>
      <c r="K661" s="304" t="n"/>
      <c r="L661" s="304" t="n"/>
      <c r="M661" s="304" t="n"/>
      <c r="N661" s="304" t="n"/>
      <c r="O661" s="304" t="n"/>
      <c r="P661" s="304" t="n"/>
      <c r="Q661" s="304" t="n"/>
    </row>
    <row r="662" ht="13.8" customHeight="1" s="343">
      <c r="A662" s="388">
        <f>ROW()-22</f>
        <v/>
      </c>
      <c r="B662" s="536">
        <f>_xlfn.NORM.INV(RAND(),$B$6,$C$6)</f>
        <v/>
      </c>
      <c r="C662" s="536">
        <f>MIN(_xlfn.NORM.INV(RAND(),$B$7,$C$7),B662-0.005)</f>
        <v/>
      </c>
      <c r="D662" s="537">
        <f>_xlfn.NORM.INV(RAND(),$B$8,$C$8)</f>
        <v/>
      </c>
      <c r="E662" s="391">
        <f t="array" ref="E662">(SUMPRODUCT($B$13:$F$13*D662/(1+B662)^$B$14:$F$14)+($F$13*D662*(1+C662))/(B662-C662)/(1+B662)^$F$14-$B$15+$B$16)/$B$17</f>
        <v/>
      </c>
      <c r="F662" s="304" t="n"/>
      <c r="G662" s="304" t="n"/>
      <c r="H662" s="304" t="n"/>
      <c r="I662" s="304" t="n"/>
      <c r="J662" s="304" t="n"/>
      <c r="K662" s="304" t="n"/>
      <c r="L662" s="304" t="n"/>
      <c r="M662" s="304" t="n"/>
      <c r="N662" s="304" t="n"/>
      <c r="O662" s="304" t="n"/>
      <c r="P662" s="304" t="n"/>
      <c r="Q662" s="304" t="n"/>
    </row>
    <row r="663" ht="13.8" customHeight="1" s="343">
      <c r="A663" s="388">
        <f>ROW()-22</f>
        <v/>
      </c>
      <c r="B663" s="536">
        <f>_xlfn.NORM.INV(RAND(),$B$6,$C$6)</f>
        <v/>
      </c>
      <c r="C663" s="536">
        <f>MIN(_xlfn.NORM.INV(RAND(),$B$7,$C$7),B663-0.005)</f>
        <v/>
      </c>
      <c r="D663" s="537">
        <f>_xlfn.NORM.INV(RAND(),$B$8,$C$8)</f>
        <v/>
      </c>
      <c r="E663" s="391">
        <f t="array" ref="E663">(SUMPRODUCT($B$13:$F$13*D663/(1+B663)^$B$14:$F$14)+($F$13*D663*(1+C663))/(B663-C663)/(1+B663)^$F$14-$B$15+$B$16)/$B$17</f>
        <v/>
      </c>
      <c r="F663" s="304" t="n"/>
      <c r="G663" s="304" t="n"/>
      <c r="H663" s="304" t="n"/>
      <c r="I663" s="304" t="n"/>
      <c r="J663" s="304" t="n"/>
      <c r="K663" s="304" t="n"/>
      <c r="L663" s="304" t="n"/>
      <c r="M663" s="304" t="n"/>
      <c r="N663" s="304" t="n"/>
      <c r="O663" s="304" t="n"/>
      <c r="P663" s="304" t="n"/>
      <c r="Q663" s="304" t="n"/>
    </row>
    <row r="664" ht="13.8" customHeight="1" s="343">
      <c r="A664" s="388">
        <f>ROW()-22</f>
        <v/>
      </c>
      <c r="B664" s="536">
        <f>_xlfn.NORM.INV(RAND(),$B$6,$C$6)</f>
        <v/>
      </c>
      <c r="C664" s="536">
        <f>MIN(_xlfn.NORM.INV(RAND(),$B$7,$C$7),B664-0.005)</f>
        <v/>
      </c>
      <c r="D664" s="537">
        <f>_xlfn.NORM.INV(RAND(),$B$8,$C$8)</f>
        <v/>
      </c>
      <c r="E664" s="391">
        <f t="array" ref="E664">(SUMPRODUCT($B$13:$F$13*D664/(1+B664)^$B$14:$F$14)+($F$13*D664*(1+C664))/(B664-C664)/(1+B664)^$F$14-$B$15+$B$16)/$B$17</f>
        <v/>
      </c>
      <c r="F664" s="304" t="n"/>
      <c r="G664" s="304" t="n"/>
      <c r="H664" s="304" t="n"/>
      <c r="I664" s="304" t="n"/>
      <c r="J664" s="304" t="n"/>
      <c r="K664" s="304" t="n"/>
      <c r="L664" s="304" t="n"/>
      <c r="M664" s="304" t="n"/>
      <c r="N664" s="304" t="n"/>
      <c r="O664" s="304" t="n"/>
      <c r="P664" s="304" t="n"/>
      <c r="Q664" s="304" t="n"/>
    </row>
    <row r="665" ht="13.8" customHeight="1" s="343">
      <c r="A665" s="388">
        <f>ROW()-22</f>
        <v/>
      </c>
      <c r="B665" s="536">
        <f>_xlfn.NORM.INV(RAND(),$B$6,$C$6)</f>
        <v/>
      </c>
      <c r="C665" s="536">
        <f>MIN(_xlfn.NORM.INV(RAND(),$B$7,$C$7),B665-0.005)</f>
        <v/>
      </c>
      <c r="D665" s="537">
        <f>_xlfn.NORM.INV(RAND(),$B$8,$C$8)</f>
        <v/>
      </c>
      <c r="E665" s="391">
        <f t="array" ref="E665">(SUMPRODUCT($B$13:$F$13*D665/(1+B665)^$B$14:$F$14)+($F$13*D665*(1+C665))/(B665-C665)/(1+B665)^$F$14-$B$15+$B$16)/$B$17</f>
        <v/>
      </c>
      <c r="F665" s="304" t="n"/>
      <c r="G665" s="304" t="n"/>
      <c r="H665" s="304" t="n"/>
      <c r="I665" s="304" t="n"/>
      <c r="J665" s="304" t="n"/>
      <c r="K665" s="304" t="n"/>
      <c r="L665" s="304" t="n"/>
      <c r="M665" s="304" t="n"/>
      <c r="N665" s="304" t="n"/>
      <c r="O665" s="304" t="n"/>
      <c r="P665" s="304" t="n"/>
      <c r="Q665" s="304" t="n"/>
    </row>
    <row r="666" ht="13.8" customHeight="1" s="343">
      <c r="A666" s="388">
        <f>ROW()-22</f>
        <v/>
      </c>
      <c r="B666" s="536">
        <f>_xlfn.NORM.INV(RAND(),$B$6,$C$6)</f>
        <v/>
      </c>
      <c r="C666" s="536">
        <f>MIN(_xlfn.NORM.INV(RAND(),$B$7,$C$7),B666-0.005)</f>
        <v/>
      </c>
      <c r="D666" s="537">
        <f>_xlfn.NORM.INV(RAND(),$B$8,$C$8)</f>
        <v/>
      </c>
      <c r="E666" s="391">
        <f t="array" ref="E666">(SUMPRODUCT($B$13:$F$13*D666/(1+B666)^$B$14:$F$14)+($F$13*D666*(1+C666))/(B666-C666)/(1+B666)^$F$14-$B$15+$B$16)/$B$17</f>
        <v/>
      </c>
      <c r="F666" s="304" t="n"/>
      <c r="G666" s="304" t="n"/>
      <c r="H666" s="304" t="n"/>
      <c r="I666" s="304" t="n"/>
      <c r="J666" s="304" t="n"/>
      <c r="K666" s="304" t="n"/>
      <c r="L666" s="304" t="n"/>
      <c r="M666" s="304" t="n"/>
      <c r="N666" s="304" t="n"/>
      <c r="O666" s="304" t="n"/>
      <c r="P666" s="304" t="n"/>
      <c r="Q666" s="304" t="n"/>
    </row>
    <row r="667" ht="13.8" customHeight="1" s="343">
      <c r="A667" s="388">
        <f>ROW()-22</f>
        <v/>
      </c>
      <c r="B667" s="536">
        <f>_xlfn.NORM.INV(RAND(),$B$6,$C$6)</f>
        <v/>
      </c>
      <c r="C667" s="536">
        <f>MIN(_xlfn.NORM.INV(RAND(),$B$7,$C$7),B667-0.005)</f>
        <v/>
      </c>
      <c r="D667" s="537">
        <f>_xlfn.NORM.INV(RAND(),$B$8,$C$8)</f>
        <v/>
      </c>
      <c r="E667" s="391">
        <f t="array" ref="E667">(SUMPRODUCT($B$13:$F$13*D667/(1+B667)^$B$14:$F$14)+($F$13*D667*(1+C667))/(B667-C667)/(1+B667)^$F$14-$B$15+$B$16)/$B$17</f>
        <v/>
      </c>
      <c r="F667" s="304" t="n"/>
      <c r="G667" s="304" t="n"/>
      <c r="H667" s="304" t="n"/>
      <c r="I667" s="304" t="n"/>
      <c r="J667" s="304" t="n"/>
      <c r="K667" s="304" t="n"/>
      <c r="L667" s="304" t="n"/>
      <c r="M667" s="304" t="n"/>
      <c r="N667" s="304" t="n"/>
      <c r="O667" s="304" t="n"/>
      <c r="P667" s="304" t="n"/>
      <c r="Q667" s="304" t="n"/>
    </row>
    <row r="668" ht="13.8" customHeight="1" s="343">
      <c r="A668" s="388">
        <f>ROW()-22</f>
        <v/>
      </c>
      <c r="B668" s="536">
        <f>_xlfn.NORM.INV(RAND(),$B$6,$C$6)</f>
        <v/>
      </c>
      <c r="C668" s="536">
        <f>MIN(_xlfn.NORM.INV(RAND(),$B$7,$C$7),B668-0.005)</f>
        <v/>
      </c>
      <c r="D668" s="537">
        <f>_xlfn.NORM.INV(RAND(),$B$8,$C$8)</f>
        <v/>
      </c>
      <c r="E668" s="391">
        <f t="array" ref="E668">(SUMPRODUCT($B$13:$F$13*D668/(1+B668)^$B$14:$F$14)+($F$13*D668*(1+C668))/(B668-C668)/(1+B668)^$F$14-$B$15+$B$16)/$B$17</f>
        <v/>
      </c>
      <c r="F668" s="304" t="n"/>
      <c r="G668" s="304" t="n"/>
      <c r="H668" s="304" t="n"/>
      <c r="I668" s="304" t="n"/>
      <c r="J668" s="304" t="n"/>
      <c r="K668" s="304" t="n"/>
      <c r="L668" s="304" t="n"/>
      <c r="M668" s="304" t="n"/>
      <c r="N668" s="304" t="n"/>
      <c r="O668" s="304" t="n"/>
      <c r="P668" s="304" t="n"/>
      <c r="Q668" s="304" t="n"/>
    </row>
    <row r="669" ht="13.8" customHeight="1" s="343">
      <c r="A669" s="388">
        <f>ROW()-22</f>
        <v/>
      </c>
      <c r="B669" s="536">
        <f>_xlfn.NORM.INV(RAND(),$B$6,$C$6)</f>
        <v/>
      </c>
      <c r="C669" s="536">
        <f>MIN(_xlfn.NORM.INV(RAND(),$B$7,$C$7),B669-0.005)</f>
        <v/>
      </c>
      <c r="D669" s="537">
        <f>_xlfn.NORM.INV(RAND(),$B$8,$C$8)</f>
        <v/>
      </c>
      <c r="E669" s="391">
        <f t="array" ref="E669">(SUMPRODUCT($B$13:$F$13*D669/(1+B669)^$B$14:$F$14)+($F$13*D669*(1+C669))/(B669-C669)/(1+B669)^$F$14-$B$15+$B$16)/$B$17</f>
        <v/>
      </c>
      <c r="F669" s="304" t="n"/>
      <c r="G669" s="304" t="n"/>
      <c r="H669" s="304" t="n"/>
      <c r="I669" s="304" t="n"/>
      <c r="J669" s="304" t="n"/>
      <c r="K669" s="304" t="n"/>
      <c r="L669" s="304" t="n"/>
      <c r="M669" s="304" t="n"/>
      <c r="N669" s="304" t="n"/>
      <c r="O669" s="304" t="n"/>
      <c r="P669" s="304" t="n"/>
      <c r="Q669" s="304" t="n"/>
    </row>
    <row r="670" ht="13.8" customHeight="1" s="343">
      <c r="A670" s="388">
        <f>ROW()-22</f>
        <v/>
      </c>
      <c r="B670" s="536">
        <f>_xlfn.NORM.INV(RAND(),$B$6,$C$6)</f>
        <v/>
      </c>
      <c r="C670" s="536">
        <f>MIN(_xlfn.NORM.INV(RAND(),$B$7,$C$7),B670-0.005)</f>
        <v/>
      </c>
      <c r="D670" s="537">
        <f>_xlfn.NORM.INV(RAND(),$B$8,$C$8)</f>
        <v/>
      </c>
      <c r="E670" s="391">
        <f t="array" ref="E670">(SUMPRODUCT($B$13:$F$13*D670/(1+B670)^$B$14:$F$14)+($F$13*D670*(1+C670))/(B670-C670)/(1+B670)^$F$14-$B$15+$B$16)/$B$17</f>
        <v/>
      </c>
      <c r="F670" s="304" t="n"/>
      <c r="G670" s="304" t="n"/>
      <c r="H670" s="304" t="n"/>
      <c r="I670" s="304" t="n"/>
      <c r="J670" s="304" t="n"/>
      <c r="K670" s="304" t="n"/>
      <c r="L670" s="304" t="n"/>
      <c r="M670" s="304" t="n"/>
      <c r="N670" s="304" t="n"/>
      <c r="O670" s="304" t="n"/>
      <c r="P670" s="304" t="n"/>
      <c r="Q670" s="304" t="n"/>
    </row>
    <row r="671" ht="13.8" customHeight="1" s="343">
      <c r="A671" s="388">
        <f>ROW()-22</f>
        <v/>
      </c>
      <c r="B671" s="536">
        <f>_xlfn.NORM.INV(RAND(),$B$6,$C$6)</f>
        <v/>
      </c>
      <c r="C671" s="536">
        <f>MIN(_xlfn.NORM.INV(RAND(),$B$7,$C$7),B671-0.005)</f>
        <v/>
      </c>
      <c r="D671" s="537">
        <f>_xlfn.NORM.INV(RAND(),$B$8,$C$8)</f>
        <v/>
      </c>
      <c r="E671" s="391">
        <f t="array" ref="E671">(SUMPRODUCT($B$13:$F$13*D671/(1+B671)^$B$14:$F$14)+($F$13*D671*(1+C671))/(B671-C671)/(1+B671)^$F$14-$B$15+$B$16)/$B$17</f>
        <v/>
      </c>
      <c r="F671" s="304" t="n"/>
      <c r="G671" s="304" t="n"/>
      <c r="H671" s="304" t="n"/>
      <c r="I671" s="304" t="n"/>
      <c r="J671" s="304" t="n"/>
      <c r="K671" s="304" t="n"/>
      <c r="L671" s="304" t="n"/>
      <c r="M671" s="304" t="n"/>
      <c r="N671" s="304" t="n"/>
      <c r="O671" s="304" t="n"/>
      <c r="P671" s="304" t="n"/>
      <c r="Q671" s="304" t="n"/>
    </row>
    <row r="672" ht="13.8" customHeight="1" s="343">
      <c r="A672" s="388">
        <f>ROW()-22</f>
        <v/>
      </c>
      <c r="B672" s="536">
        <f>_xlfn.NORM.INV(RAND(),$B$6,$C$6)</f>
        <v/>
      </c>
      <c r="C672" s="536">
        <f>MIN(_xlfn.NORM.INV(RAND(),$B$7,$C$7),B672-0.005)</f>
        <v/>
      </c>
      <c r="D672" s="537">
        <f>_xlfn.NORM.INV(RAND(),$B$8,$C$8)</f>
        <v/>
      </c>
      <c r="E672" s="391">
        <f t="array" ref="E672">(SUMPRODUCT($B$13:$F$13*D672/(1+B672)^$B$14:$F$14)+($F$13*D672*(1+C672))/(B672-C672)/(1+B672)^$F$14-$B$15+$B$16)/$B$17</f>
        <v/>
      </c>
      <c r="F672" s="304" t="n"/>
      <c r="G672" s="304" t="n"/>
      <c r="H672" s="304" t="n"/>
      <c r="I672" s="304" t="n"/>
      <c r="J672" s="304" t="n"/>
      <c r="K672" s="304" t="n"/>
      <c r="L672" s="304" t="n"/>
      <c r="M672" s="304" t="n"/>
      <c r="N672" s="304" t="n"/>
      <c r="O672" s="304" t="n"/>
      <c r="P672" s="304" t="n"/>
      <c r="Q672" s="304" t="n"/>
    </row>
    <row r="673" ht="13.8" customHeight="1" s="343">
      <c r="A673" s="388">
        <f>ROW()-22</f>
        <v/>
      </c>
      <c r="B673" s="536">
        <f>_xlfn.NORM.INV(RAND(),$B$6,$C$6)</f>
        <v/>
      </c>
      <c r="C673" s="536">
        <f>MIN(_xlfn.NORM.INV(RAND(),$B$7,$C$7),B673-0.005)</f>
        <v/>
      </c>
      <c r="D673" s="537">
        <f>_xlfn.NORM.INV(RAND(),$B$8,$C$8)</f>
        <v/>
      </c>
      <c r="E673" s="391">
        <f t="array" ref="E673">(SUMPRODUCT($B$13:$F$13*D673/(1+B673)^$B$14:$F$14)+($F$13*D673*(1+C673))/(B673-C673)/(1+B673)^$F$14-$B$15+$B$16)/$B$17</f>
        <v/>
      </c>
      <c r="F673" s="304" t="n"/>
      <c r="G673" s="304" t="n"/>
      <c r="H673" s="304" t="n"/>
      <c r="I673" s="304" t="n"/>
      <c r="J673" s="304" t="n"/>
      <c r="K673" s="304" t="n"/>
      <c r="L673" s="304" t="n"/>
      <c r="M673" s="304" t="n"/>
      <c r="N673" s="304" t="n"/>
      <c r="O673" s="304" t="n"/>
      <c r="P673" s="304" t="n"/>
      <c r="Q673" s="304" t="n"/>
    </row>
    <row r="674" ht="13.8" customHeight="1" s="343">
      <c r="A674" s="388">
        <f>ROW()-22</f>
        <v/>
      </c>
      <c r="B674" s="536">
        <f>_xlfn.NORM.INV(RAND(),$B$6,$C$6)</f>
        <v/>
      </c>
      <c r="C674" s="536">
        <f>MIN(_xlfn.NORM.INV(RAND(),$B$7,$C$7),B674-0.005)</f>
        <v/>
      </c>
      <c r="D674" s="537">
        <f>_xlfn.NORM.INV(RAND(),$B$8,$C$8)</f>
        <v/>
      </c>
      <c r="E674" s="391">
        <f t="array" ref="E674">(SUMPRODUCT($B$13:$F$13*D674/(1+B674)^$B$14:$F$14)+($F$13*D674*(1+C674))/(B674-C674)/(1+B674)^$F$14-$B$15+$B$16)/$B$17</f>
        <v/>
      </c>
      <c r="F674" s="304" t="n"/>
      <c r="G674" s="304" t="n"/>
      <c r="H674" s="304" t="n"/>
      <c r="I674" s="304" t="n"/>
      <c r="J674" s="304" t="n"/>
      <c r="K674" s="304" t="n"/>
      <c r="L674" s="304" t="n"/>
      <c r="M674" s="304" t="n"/>
      <c r="N674" s="304" t="n"/>
      <c r="O674" s="304" t="n"/>
      <c r="P674" s="304" t="n"/>
      <c r="Q674" s="304" t="n"/>
    </row>
    <row r="675" ht="13.8" customHeight="1" s="343">
      <c r="A675" s="388">
        <f>ROW()-22</f>
        <v/>
      </c>
      <c r="B675" s="536">
        <f>_xlfn.NORM.INV(RAND(),$B$6,$C$6)</f>
        <v/>
      </c>
      <c r="C675" s="536">
        <f>MIN(_xlfn.NORM.INV(RAND(),$B$7,$C$7),B675-0.005)</f>
        <v/>
      </c>
      <c r="D675" s="537">
        <f>_xlfn.NORM.INV(RAND(),$B$8,$C$8)</f>
        <v/>
      </c>
      <c r="E675" s="391">
        <f t="array" ref="E675">(SUMPRODUCT($B$13:$F$13*D675/(1+B675)^$B$14:$F$14)+($F$13*D675*(1+C675))/(B675-C675)/(1+B675)^$F$14-$B$15+$B$16)/$B$17</f>
        <v/>
      </c>
      <c r="F675" s="304" t="n"/>
      <c r="G675" s="304" t="n"/>
      <c r="H675" s="304" t="n"/>
      <c r="I675" s="304" t="n"/>
      <c r="J675" s="304" t="n"/>
      <c r="K675" s="304" t="n"/>
      <c r="L675" s="304" t="n"/>
      <c r="M675" s="304" t="n"/>
      <c r="N675" s="304" t="n"/>
      <c r="O675" s="304" t="n"/>
      <c r="P675" s="304" t="n"/>
      <c r="Q675" s="304" t="n"/>
    </row>
    <row r="676" ht="13.8" customHeight="1" s="343">
      <c r="A676" s="388">
        <f>ROW()-22</f>
        <v/>
      </c>
      <c r="B676" s="536">
        <f>_xlfn.NORM.INV(RAND(),$B$6,$C$6)</f>
        <v/>
      </c>
      <c r="C676" s="536">
        <f>MIN(_xlfn.NORM.INV(RAND(),$B$7,$C$7),B676-0.005)</f>
        <v/>
      </c>
      <c r="D676" s="537">
        <f>_xlfn.NORM.INV(RAND(),$B$8,$C$8)</f>
        <v/>
      </c>
      <c r="E676" s="391">
        <f t="array" ref="E676">(SUMPRODUCT($B$13:$F$13*D676/(1+B676)^$B$14:$F$14)+($F$13*D676*(1+C676))/(B676-C676)/(1+B676)^$F$14-$B$15+$B$16)/$B$17</f>
        <v/>
      </c>
      <c r="F676" s="304" t="n"/>
      <c r="G676" s="304" t="n"/>
      <c r="H676" s="304" t="n"/>
      <c r="I676" s="304" t="n"/>
      <c r="J676" s="304" t="n"/>
      <c r="K676" s="304" t="n"/>
      <c r="L676" s="304" t="n"/>
      <c r="M676" s="304" t="n"/>
      <c r="N676" s="304" t="n"/>
      <c r="O676" s="304" t="n"/>
      <c r="P676" s="304" t="n"/>
      <c r="Q676" s="304" t="n"/>
    </row>
    <row r="677" ht="13.8" customHeight="1" s="343">
      <c r="A677" s="388">
        <f>ROW()-22</f>
        <v/>
      </c>
      <c r="B677" s="536">
        <f>_xlfn.NORM.INV(RAND(),$B$6,$C$6)</f>
        <v/>
      </c>
      <c r="C677" s="536">
        <f>MIN(_xlfn.NORM.INV(RAND(),$B$7,$C$7),B677-0.005)</f>
        <v/>
      </c>
      <c r="D677" s="537">
        <f>_xlfn.NORM.INV(RAND(),$B$8,$C$8)</f>
        <v/>
      </c>
      <c r="E677" s="391">
        <f t="array" ref="E677">(SUMPRODUCT($B$13:$F$13*D677/(1+B677)^$B$14:$F$14)+($F$13*D677*(1+C677))/(B677-C677)/(1+B677)^$F$14-$B$15+$B$16)/$B$17</f>
        <v/>
      </c>
      <c r="F677" s="304" t="n"/>
      <c r="G677" s="304" t="n"/>
      <c r="H677" s="304" t="n"/>
      <c r="I677" s="304" t="n"/>
      <c r="J677" s="304" t="n"/>
      <c r="K677" s="304" t="n"/>
      <c r="L677" s="304" t="n"/>
      <c r="M677" s="304" t="n"/>
      <c r="N677" s="304" t="n"/>
      <c r="O677" s="304" t="n"/>
      <c r="P677" s="304" t="n"/>
      <c r="Q677" s="304" t="n"/>
    </row>
    <row r="678" ht="13.8" customHeight="1" s="343">
      <c r="A678" s="388">
        <f>ROW()-22</f>
        <v/>
      </c>
      <c r="B678" s="536">
        <f>_xlfn.NORM.INV(RAND(),$B$6,$C$6)</f>
        <v/>
      </c>
      <c r="C678" s="536">
        <f>MIN(_xlfn.NORM.INV(RAND(),$B$7,$C$7),B678-0.005)</f>
        <v/>
      </c>
      <c r="D678" s="537">
        <f>_xlfn.NORM.INV(RAND(),$B$8,$C$8)</f>
        <v/>
      </c>
      <c r="E678" s="391">
        <f t="array" ref="E678">(SUMPRODUCT($B$13:$F$13*D678/(1+B678)^$B$14:$F$14)+($F$13*D678*(1+C678))/(B678-C678)/(1+B678)^$F$14-$B$15+$B$16)/$B$17</f>
        <v/>
      </c>
      <c r="F678" s="304" t="n"/>
      <c r="G678" s="304" t="n"/>
      <c r="H678" s="304" t="n"/>
      <c r="I678" s="304" t="n"/>
      <c r="J678" s="304" t="n"/>
      <c r="K678" s="304" t="n"/>
      <c r="L678" s="304" t="n"/>
      <c r="M678" s="304" t="n"/>
      <c r="N678" s="304" t="n"/>
      <c r="O678" s="304" t="n"/>
      <c r="P678" s="304" t="n"/>
      <c r="Q678" s="304" t="n"/>
    </row>
    <row r="679" ht="13.8" customHeight="1" s="343">
      <c r="A679" s="388">
        <f>ROW()-22</f>
        <v/>
      </c>
      <c r="B679" s="536">
        <f>_xlfn.NORM.INV(RAND(),$B$6,$C$6)</f>
        <v/>
      </c>
      <c r="C679" s="536">
        <f>MIN(_xlfn.NORM.INV(RAND(),$B$7,$C$7),B679-0.005)</f>
        <v/>
      </c>
      <c r="D679" s="537">
        <f>_xlfn.NORM.INV(RAND(),$B$8,$C$8)</f>
        <v/>
      </c>
      <c r="E679" s="391">
        <f t="array" ref="E679">(SUMPRODUCT($B$13:$F$13*D679/(1+B679)^$B$14:$F$14)+($F$13*D679*(1+C679))/(B679-C679)/(1+B679)^$F$14-$B$15+$B$16)/$B$17</f>
        <v/>
      </c>
      <c r="F679" s="304" t="n"/>
      <c r="G679" s="304" t="n"/>
      <c r="H679" s="304" t="n"/>
      <c r="I679" s="304" t="n"/>
      <c r="J679" s="304" t="n"/>
      <c r="K679" s="304" t="n"/>
      <c r="L679" s="304" t="n"/>
      <c r="M679" s="304" t="n"/>
      <c r="N679" s="304" t="n"/>
      <c r="O679" s="304" t="n"/>
      <c r="P679" s="304" t="n"/>
      <c r="Q679" s="304" t="n"/>
    </row>
    <row r="680" ht="13.8" customHeight="1" s="343">
      <c r="A680" s="388">
        <f>ROW()-22</f>
        <v/>
      </c>
      <c r="B680" s="536">
        <f>_xlfn.NORM.INV(RAND(),$B$6,$C$6)</f>
        <v/>
      </c>
      <c r="C680" s="536">
        <f>MIN(_xlfn.NORM.INV(RAND(),$B$7,$C$7),B680-0.005)</f>
        <v/>
      </c>
      <c r="D680" s="537">
        <f>_xlfn.NORM.INV(RAND(),$B$8,$C$8)</f>
        <v/>
      </c>
      <c r="E680" s="391">
        <f t="array" ref="E680">(SUMPRODUCT($B$13:$F$13*D680/(1+B680)^$B$14:$F$14)+($F$13*D680*(1+C680))/(B680-C680)/(1+B680)^$F$14-$B$15+$B$16)/$B$17</f>
        <v/>
      </c>
      <c r="F680" s="304" t="n"/>
      <c r="G680" s="304" t="n"/>
      <c r="H680" s="304" t="n"/>
      <c r="I680" s="304" t="n"/>
      <c r="J680" s="304" t="n"/>
      <c r="K680" s="304" t="n"/>
      <c r="L680" s="304" t="n"/>
      <c r="M680" s="304" t="n"/>
      <c r="N680" s="304" t="n"/>
      <c r="O680" s="304" t="n"/>
      <c r="P680" s="304" t="n"/>
      <c r="Q680" s="304" t="n"/>
    </row>
    <row r="681" ht="13.8" customHeight="1" s="343">
      <c r="A681" s="388">
        <f>ROW()-22</f>
        <v/>
      </c>
      <c r="B681" s="536">
        <f>_xlfn.NORM.INV(RAND(),$B$6,$C$6)</f>
        <v/>
      </c>
      <c r="C681" s="536">
        <f>MIN(_xlfn.NORM.INV(RAND(),$B$7,$C$7),B681-0.005)</f>
        <v/>
      </c>
      <c r="D681" s="537">
        <f>_xlfn.NORM.INV(RAND(),$B$8,$C$8)</f>
        <v/>
      </c>
      <c r="E681" s="391">
        <f t="array" ref="E681">(SUMPRODUCT($B$13:$F$13*D681/(1+B681)^$B$14:$F$14)+($F$13*D681*(1+C681))/(B681-C681)/(1+B681)^$F$14-$B$15+$B$16)/$B$17</f>
        <v/>
      </c>
      <c r="F681" s="304" t="n"/>
      <c r="G681" s="304" t="n"/>
      <c r="H681" s="304" t="n"/>
      <c r="I681" s="304" t="n"/>
      <c r="J681" s="304" t="n"/>
      <c r="K681" s="304" t="n"/>
      <c r="L681" s="304" t="n"/>
      <c r="M681" s="304" t="n"/>
      <c r="N681" s="304" t="n"/>
      <c r="O681" s="304" t="n"/>
      <c r="P681" s="304" t="n"/>
      <c r="Q681" s="304" t="n"/>
    </row>
    <row r="682" ht="13.8" customHeight="1" s="343">
      <c r="A682" s="388">
        <f>ROW()-22</f>
        <v/>
      </c>
      <c r="B682" s="536">
        <f>_xlfn.NORM.INV(RAND(),$B$6,$C$6)</f>
        <v/>
      </c>
      <c r="C682" s="536">
        <f>MIN(_xlfn.NORM.INV(RAND(),$B$7,$C$7),B682-0.005)</f>
        <v/>
      </c>
      <c r="D682" s="537">
        <f>_xlfn.NORM.INV(RAND(),$B$8,$C$8)</f>
        <v/>
      </c>
      <c r="E682" s="391">
        <f t="array" ref="E682">(SUMPRODUCT($B$13:$F$13*D682/(1+B682)^$B$14:$F$14)+($F$13*D682*(1+C682))/(B682-C682)/(1+B682)^$F$14-$B$15+$B$16)/$B$17</f>
        <v/>
      </c>
      <c r="F682" s="304" t="n"/>
      <c r="G682" s="304" t="n"/>
      <c r="H682" s="304" t="n"/>
      <c r="I682" s="304" t="n"/>
      <c r="J682" s="304" t="n"/>
      <c r="K682" s="304" t="n"/>
      <c r="L682" s="304" t="n"/>
      <c r="M682" s="304" t="n"/>
      <c r="N682" s="304" t="n"/>
      <c r="O682" s="304" t="n"/>
      <c r="P682" s="304" t="n"/>
      <c r="Q682" s="304" t="n"/>
    </row>
    <row r="683" ht="13.8" customHeight="1" s="343">
      <c r="A683" s="388">
        <f>ROW()-22</f>
        <v/>
      </c>
      <c r="B683" s="536">
        <f>_xlfn.NORM.INV(RAND(),$B$6,$C$6)</f>
        <v/>
      </c>
      <c r="C683" s="536">
        <f>MIN(_xlfn.NORM.INV(RAND(),$B$7,$C$7),B683-0.005)</f>
        <v/>
      </c>
      <c r="D683" s="537">
        <f>_xlfn.NORM.INV(RAND(),$B$8,$C$8)</f>
        <v/>
      </c>
      <c r="E683" s="391">
        <f t="array" ref="E683">(SUMPRODUCT($B$13:$F$13*D683/(1+B683)^$B$14:$F$14)+($F$13*D683*(1+C683))/(B683-C683)/(1+B683)^$F$14-$B$15+$B$16)/$B$17</f>
        <v/>
      </c>
      <c r="F683" s="304" t="n"/>
      <c r="G683" s="304" t="n"/>
      <c r="H683" s="304" t="n"/>
      <c r="I683" s="304" t="n"/>
      <c r="J683" s="304" t="n"/>
      <c r="K683" s="304" t="n"/>
      <c r="L683" s="304" t="n"/>
      <c r="M683" s="304" t="n"/>
      <c r="N683" s="304" t="n"/>
      <c r="O683" s="304" t="n"/>
      <c r="P683" s="304" t="n"/>
      <c r="Q683" s="304" t="n"/>
    </row>
    <row r="684" ht="13.8" customHeight="1" s="343">
      <c r="A684" s="388">
        <f>ROW()-22</f>
        <v/>
      </c>
      <c r="B684" s="536">
        <f>_xlfn.NORM.INV(RAND(),$B$6,$C$6)</f>
        <v/>
      </c>
      <c r="C684" s="536">
        <f>MIN(_xlfn.NORM.INV(RAND(),$B$7,$C$7),B684-0.005)</f>
        <v/>
      </c>
      <c r="D684" s="537">
        <f>_xlfn.NORM.INV(RAND(),$B$8,$C$8)</f>
        <v/>
      </c>
      <c r="E684" s="391">
        <f t="array" ref="E684">(SUMPRODUCT($B$13:$F$13*D684/(1+B684)^$B$14:$F$14)+($F$13*D684*(1+C684))/(B684-C684)/(1+B684)^$F$14-$B$15+$B$16)/$B$17</f>
        <v/>
      </c>
      <c r="F684" s="304" t="n"/>
      <c r="G684" s="304" t="n"/>
      <c r="H684" s="304" t="n"/>
      <c r="I684" s="304" t="n"/>
      <c r="J684" s="304" t="n"/>
      <c r="K684" s="304" t="n"/>
      <c r="L684" s="304" t="n"/>
      <c r="M684" s="304" t="n"/>
      <c r="N684" s="304" t="n"/>
      <c r="O684" s="304" t="n"/>
      <c r="P684" s="304" t="n"/>
      <c r="Q684" s="304" t="n"/>
    </row>
    <row r="685" ht="13.8" customHeight="1" s="343">
      <c r="A685" s="388">
        <f>ROW()-22</f>
        <v/>
      </c>
      <c r="B685" s="536">
        <f>_xlfn.NORM.INV(RAND(),$B$6,$C$6)</f>
        <v/>
      </c>
      <c r="C685" s="536">
        <f>MIN(_xlfn.NORM.INV(RAND(),$B$7,$C$7),B685-0.005)</f>
        <v/>
      </c>
      <c r="D685" s="537">
        <f>_xlfn.NORM.INV(RAND(),$B$8,$C$8)</f>
        <v/>
      </c>
      <c r="E685" s="391">
        <f t="array" ref="E685">(SUMPRODUCT($B$13:$F$13*D685/(1+B685)^$B$14:$F$14)+($F$13*D685*(1+C685))/(B685-C685)/(1+B685)^$F$14-$B$15+$B$16)/$B$17</f>
        <v/>
      </c>
      <c r="F685" s="304" t="n"/>
      <c r="G685" s="304" t="n"/>
      <c r="H685" s="304" t="n"/>
      <c r="I685" s="304" t="n"/>
      <c r="J685" s="304" t="n"/>
      <c r="K685" s="304" t="n"/>
      <c r="L685" s="304" t="n"/>
      <c r="M685" s="304" t="n"/>
      <c r="N685" s="304" t="n"/>
      <c r="O685" s="304" t="n"/>
      <c r="P685" s="304" t="n"/>
      <c r="Q685" s="304" t="n"/>
    </row>
    <row r="686" ht="13.8" customHeight="1" s="343">
      <c r="A686" s="388">
        <f>ROW()-22</f>
        <v/>
      </c>
      <c r="B686" s="536">
        <f>_xlfn.NORM.INV(RAND(),$B$6,$C$6)</f>
        <v/>
      </c>
      <c r="C686" s="536">
        <f>MIN(_xlfn.NORM.INV(RAND(),$B$7,$C$7),B686-0.005)</f>
        <v/>
      </c>
      <c r="D686" s="537">
        <f>_xlfn.NORM.INV(RAND(),$B$8,$C$8)</f>
        <v/>
      </c>
      <c r="E686" s="391">
        <f t="array" ref="E686">(SUMPRODUCT($B$13:$F$13*D686/(1+B686)^$B$14:$F$14)+($F$13*D686*(1+C686))/(B686-C686)/(1+B686)^$F$14-$B$15+$B$16)/$B$17</f>
        <v/>
      </c>
      <c r="F686" s="304" t="n"/>
      <c r="G686" s="304" t="n"/>
      <c r="H686" s="304" t="n"/>
      <c r="I686" s="304" t="n"/>
      <c r="J686" s="304" t="n"/>
      <c r="K686" s="304" t="n"/>
      <c r="L686" s="304" t="n"/>
      <c r="M686" s="304" t="n"/>
      <c r="N686" s="304" t="n"/>
      <c r="O686" s="304" t="n"/>
      <c r="P686" s="304" t="n"/>
      <c r="Q686" s="304" t="n"/>
    </row>
    <row r="687" ht="13.8" customHeight="1" s="343">
      <c r="A687" s="388">
        <f>ROW()-22</f>
        <v/>
      </c>
      <c r="B687" s="536">
        <f>_xlfn.NORM.INV(RAND(),$B$6,$C$6)</f>
        <v/>
      </c>
      <c r="C687" s="536">
        <f>MIN(_xlfn.NORM.INV(RAND(),$B$7,$C$7),B687-0.005)</f>
        <v/>
      </c>
      <c r="D687" s="537">
        <f>_xlfn.NORM.INV(RAND(),$B$8,$C$8)</f>
        <v/>
      </c>
      <c r="E687" s="391">
        <f t="array" ref="E687">(SUMPRODUCT($B$13:$F$13*D687/(1+B687)^$B$14:$F$14)+($F$13*D687*(1+C687))/(B687-C687)/(1+B687)^$F$14-$B$15+$B$16)/$B$17</f>
        <v/>
      </c>
      <c r="F687" s="304" t="n"/>
      <c r="G687" s="304" t="n"/>
      <c r="H687" s="304" t="n"/>
      <c r="I687" s="304" t="n"/>
      <c r="J687" s="304" t="n"/>
      <c r="K687" s="304" t="n"/>
      <c r="L687" s="304" t="n"/>
      <c r="M687" s="304" t="n"/>
      <c r="N687" s="304" t="n"/>
      <c r="O687" s="304" t="n"/>
      <c r="P687" s="304" t="n"/>
      <c r="Q687" s="304" t="n"/>
    </row>
    <row r="688" ht="13.8" customHeight="1" s="343">
      <c r="A688" s="388">
        <f>ROW()-22</f>
        <v/>
      </c>
      <c r="B688" s="536">
        <f>_xlfn.NORM.INV(RAND(),$B$6,$C$6)</f>
        <v/>
      </c>
      <c r="C688" s="536">
        <f>MIN(_xlfn.NORM.INV(RAND(),$B$7,$C$7),B688-0.005)</f>
        <v/>
      </c>
      <c r="D688" s="537">
        <f>_xlfn.NORM.INV(RAND(),$B$8,$C$8)</f>
        <v/>
      </c>
      <c r="E688" s="391">
        <f t="array" ref="E688">(SUMPRODUCT($B$13:$F$13*D688/(1+B688)^$B$14:$F$14)+($F$13*D688*(1+C688))/(B688-C688)/(1+B688)^$F$14-$B$15+$B$16)/$B$17</f>
        <v/>
      </c>
      <c r="F688" s="304" t="n"/>
      <c r="G688" s="304" t="n"/>
      <c r="H688" s="304" t="n"/>
      <c r="I688" s="304" t="n"/>
      <c r="J688" s="304" t="n"/>
      <c r="K688" s="304" t="n"/>
      <c r="L688" s="304" t="n"/>
      <c r="M688" s="304" t="n"/>
      <c r="N688" s="304" t="n"/>
      <c r="O688" s="304" t="n"/>
      <c r="P688" s="304" t="n"/>
      <c r="Q688" s="304" t="n"/>
    </row>
    <row r="689" ht="13.8" customHeight="1" s="343">
      <c r="A689" s="388">
        <f>ROW()-22</f>
        <v/>
      </c>
      <c r="B689" s="536">
        <f>_xlfn.NORM.INV(RAND(),$B$6,$C$6)</f>
        <v/>
      </c>
      <c r="C689" s="536">
        <f>MIN(_xlfn.NORM.INV(RAND(),$B$7,$C$7),B689-0.005)</f>
        <v/>
      </c>
      <c r="D689" s="537">
        <f>_xlfn.NORM.INV(RAND(),$B$8,$C$8)</f>
        <v/>
      </c>
      <c r="E689" s="391">
        <f t="array" ref="E689">(SUMPRODUCT($B$13:$F$13*D689/(1+B689)^$B$14:$F$14)+($F$13*D689*(1+C689))/(B689-C689)/(1+B689)^$F$14-$B$15+$B$16)/$B$17</f>
        <v/>
      </c>
      <c r="F689" s="304" t="n"/>
      <c r="G689" s="304" t="n"/>
      <c r="H689" s="304" t="n"/>
      <c r="I689" s="304" t="n"/>
      <c r="J689" s="304" t="n"/>
      <c r="K689" s="304" t="n"/>
      <c r="L689" s="304" t="n"/>
      <c r="M689" s="304" t="n"/>
      <c r="N689" s="304" t="n"/>
      <c r="O689" s="304" t="n"/>
      <c r="P689" s="304" t="n"/>
      <c r="Q689" s="304" t="n"/>
    </row>
    <row r="690" ht="13.8" customHeight="1" s="343">
      <c r="A690" s="388">
        <f>ROW()-22</f>
        <v/>
      </c>
      <c r="B690" s="536">
        <f>_xlfn.NORM.INV(RAND(),$B$6,$C$6)</f>
        <v/>
      </c>
      <c r="C690" s="536">
        <f>MIN(_xlfn.NORM.INV(RAND(),$B$7,$C$7),B690-0.005)</f>
        <v/>
      </c>
      <c r="D690" s="537">
        <f>_xlfn.NORM.INV(RAND(),$B$8,$C$8)</f>
        <v/>
      </c>
      <c r="E690" s="391">
        <f t="array" ref="E690">(SUMPRODUCT($B$13:$F$13*D690/(1+B690)^$B$14:$F$14)+($F$13*D690*(1+C690))/(B690-C690)/(1+B690)^$F$14-$B$15+$B$16)/$B$17</f>
        <v/>
      </c>
      <c r="F690" s="304" t="n"/>
      <c r="G690" s="304" t="n"/>
      <c r="H690" s="304" t="n"/>
      <c r="I690" s="304" t="n"/>
      <c r="J690" s="304" t="n"/>
      <c r="K690" s="304" t="n"/>
      <c r="L690" s="304" t="n"/>
      <c r="M690" s="304" t="n"/>
      <c r="N690" s="304" t="n"/>
      <c r="O690" s="304" t="n"/>
      <c r="P690" s="304" t="n"/>
      <c r="Q690" s="304" t="n"/>
    </row>
    <row r="691" ht="13.8" customHeight="1" s="343">
      <c r="A691" s="388">
        <f>ROW()-22</f>
        <v/>
      </c>
      <c r="B691" s="536">
        <f>_xlfn.NORM.INV(RAND(),$B$6,$C$6)</f>
        <v/>
      </c>
      <c r="C691" s="536">
        <f>MIN(_xlfn.NORM.INV(RAND(),$B$7,$C$7),B691-0.005)</f>
        <v/>
      </c>
      <c r="D691" s="537">
        <f>_xlfn.NORM.INV(RAND(),$B$8,$C$8)</f>
        <v/>
      </c>
      <c r="E691" s="391">
        <f t="array" ref="E691">(SUMPRODUCT($B$13:$F$13*D691/(1+B691)^$B$14:$F$14)+($F$13*D691*(1+C691))/(B691-C691)/(1+B691)^$F$14-$B$15+$B$16)/$B$17</f>
        <v/>
      </c>
      <c r="F691" s="304" t="n"/>
      <c r="G691" s="304" t="n"/>
      <c r="H691" s="304" t="n"/>
      <c r="I691" s="304" t="n"/>
      <c r="J691" s="304" t="n"/>
      <c r="K691" s="304" t="n"/>
      <c r="L691" s="304" t="n"/>
      <c r="M691" s="304" t="n"/>
      <c r="N691" s="304" t="n"/>
      <c r="O691" s="304" t="n"/>
      <c r="P691" s="304" t="n"/>
      <c r="Q691" s="304" t="n"/>
    </row>
    <row r="692" ht="13.8" customHeight="1" s="343">
      <c r="A692" s="388">
        <f>ROW()-22</f>
        <v/>
      </c>
      <c r="B692" s="536">
        <f>_xlfn.NORM.INV(RAND(),$B$6,$C$6)</f>
        <v/>
      </c>
      <c r="C692" s="536">
        <f>MIN(_xlfn.NORM.INV(RAND(),$B$7,$C$7),B692-0.005)</f>
        <v/>
      </c>
      <c r="D692" s="537">
        <f>_xlfn.NORM.INV(RAND(),$B$8,$C$8)</f>
        <v/>
      </c>
      <c r="E692" s="391">
        <f t="array" ref="E692">(SUMPRODUCT($B$13:$F$13*D692/(1+B692)^$B$14:$F$14)+($F$13*D692*(1+C692))/(B692-C692)/(1+B692)^$F$14-$B$15+$B$16)/$B$17</f>
        <v/>
      </c>
      <c r="F692" s="304" t="n"/>
      <c r="G692" s="304" t="n"/>
      <c r="H692" s="304" t="n"/>
      <c r="I692" s="304" t="n"/>
      <c r="J692" s="304" t="n"/>
      <c r="K692" s="304" t="n"/>
      <c r="L692" s="304" t="n"/>
      <c r="M692" s="304" t="n"/>
      <c r="N692" s="304" t="n"/>
      <c r="O692" s="304" t="n"/>
      <c r="P692" s="304" t="n"/>
      <c r="Q692" s="304" t="n"/>
    </row>
    <row r="693" ht="13.8" customHeight="1" s="343">
      <c r="A693" s="388">
        <f>ROW()-22</f>
        <v/>
      </c>
      <c r="B693" s="536">
        <f>_xlfn.NORM.INV(RAND(),$B$6,$C$6)</f>
        <v/>
      </c>
      <c r="C693" s="536">
        <f>MIN(_xlfn.NORM.INV(RAND(),$B$7,$C$7),B693-0.005)</f>
        <v/>
      </c>
      <c r="D693" s="537">
        <f>_xlfn.NORM.INV(RAND(),$B$8,$C$8)</f>
        <v/>
      </c>
      <c r="E693" s="391">
        <f t="array" ref="E693">(SUMPRODUCT($B$13:$F$13*D693/(1+B693)^$B$14:$F$14)+($F$13*D693*(1+C693))/(B693-C693)/(1+B693)^$F$14-$B$15+$B$16)/$B$17</f>
        <v/>
      </c>
      <c r="F693" s="304" t="n"/>
      <c r="G693" s="304" t="n"/>
      <c r="H693" s="304" t="n"/>
      <c r="I693" s="304" t="n"/>
      <c r="J693" s="304" t="n"/>
      <c r="K693" s="304" t="n"/>
      <c r="L693" s="304" t="n"/>
      <c r="M693" s="304" t="n"/>
      <c r="N693" s="304" t="n"/>
      <c r="O693" s="304" t="n"/>
      <c r="P693" s="304" t="n"/>
      <c r="Q693" s="304" t="n"/>
    </row>
    <row r="694" ht="13.8" customHeight="1" s="343">
      <c r="A694" s="388">
        <f>ROW()-22</f>
        <v/>
      </c>
      <c r="B694" s="536">
        <f>_xlfn.NORM.INV(RAND(),$B$6,$C$6)</f>
        <v/>
      </c>
      <c r="C694" s="536">
        <f>MIN(_xlfn.NORM.INV(RAND(),$B$7,$C$7),B694-0.005)</f>
        <v/>
      </c>
      <c r="D694" s="537">
        <f>_xlfn.NORM.INV(RAND(),$B$8,$C$8)</f>
        <v/>
      </c>
      <c r="E694" s="391">
        <f t="array" ref="E694">(SUMPRODUCT($B$13:$F$13*D694/(1+B694)^$B$14:$F$14)+($F$13*D694*(1+C694))/(B694-C694)/(1+B694)^$F$14-$B$15+$B$16)/$B$17</f>
        <v/>
      </c>
      <c r="F694" s="304" t="n"/>
      <c r="G694" s="304" t="n"/>
      <c r="H694" s="304" t="n"/>
      <c r="I694" s="304" t="n"/>
      <c r="J694" s="304" t="n"/>
      <c r="K694" s="304" t="n"/>
      <c r="L694" s="304" t="n"/>
      <c r="M694" s="304" t="n"/>
      <c r="N694" s="304" t="n"/>
      <c r="O694" s="304" t="n"/>
      <c r="P694" s="304" t="n"/>
      <c r="Q694" s="304" t="n"/>
    </row>
    <row r="695" ht="13.8" customHeight="1" s="343">
      <c r="A695" s="388">
        <f>ROW()-22</f>
        <v/>
      </c>
      <c r="B695" s="536">
        <f>_xlfn.NORM.INV(RAND(),$B$6,$C$6)</f>
        <v/>
      </c>
      <c r="C695" s="536">
        <f>MIN(_xlfn.NORM.INV(RAND(),$B$7,$C$7),B695-0.005)</f>
        <v/>
      </c>
      <c r="D695" s="537">
        <f>_xlfn.NORM.INV(RAND(),$B$8,$C$8)</f>
        <v/>
      </c>
      <c r="E695" s="391">
        <f t="array" ref="E695">(SUMPRODUCT($B$13:$F$13*D695/(1+B695)^$B$14:$F$14)+($F$13*D695*(1+C695))/(B695-C695)/(1+B695)^$F$14-$B$15+$B$16)/$B$17</f>
        <v/>
      </c>
      <c r="F695" s="304" t="n"/>
      <c r="G695" s="304" t="n"/>
      <c r="H695" s="304" t="n"/>
      <c r="I695" s="304" t="n"/>
      <c r="J695" s="304" t="n"/>
      <c r="K695" s="304" t="n"/>
      <c r="L695" s="304" t="n"/>
      <c r="M695" s="304" t="n"/>
      <c r="N695" s="304" t="n"/>
      <c r="O695" s="304" t="n"/>
      <c r="P695" s="304" t="n"/>
      <c r="Q695" s="304" t="n"/>
    </row>
    <row r="696" ht="13.8" customHeight="1" s="343">
      <c r="A696" s="388">
        <f>ROW()-22</f>
        <v/>
      </c>
      <c r="B696" s="536">
        <f>_xlfn.NORM.INV(RAND(),$B$6,$C$6)</f>
        <v/>
      </c>
      <c r="C696" s="536">
        <f>MIN(_xlfn.NORM.INV(RAND(),$B$7,$C$7),B696-0.005)</f>
        <v/>
      </c>
      <c r="D696" s="537">
        <f>_xlfn.NORM.INV(RAND(),$B$8,$C$8)</f>
        <v/>
      </c>
      <c r="E696" s="391">
        <f t="array" ref="E696">(SUMPRODUCT($B$13:$F$13*D696/(1+B696)^$B$14:$F$14)+($F$13*D696*(1+C696))/(B696-C696)/(1+B696)^$F$14-$B$15+$B$16)/$B$17</f>
        <v/>
      </c>
      <c r="F696" s="304" t="n"/>
      <c r="G696" s="304" t="n"/>
      <c r="H696" s="304" t="n"/>
      <c r="I696" s="304" t="n"/>
      <c r="J696" s="304" t="n"/>
      <c r="K696" s="304" t="n"/>
      <c r="L696" s="304" t="n"/>
      <c r="M696" s="304" t="n"/>
      <c r="N696" s="304" t="n"/>
      <c r="O696" s="304" t="n"/>
      <c r="P696" s="304" t="n"/>
      <c r="Q696" s="304" t="n"/>
    </row>
    <row r="697" ht="13.8" customHeight="1" s="343">
      <c r="A697" s="388">
        <f>ROW()-22</f>
        <v/>
      </c>
      <c r="B697" s="536">
        <f>_xlfn.NORM.INV(RAND(),$B$6,$C$6)</f>
        <v/>
      </c>
      <c r="C697" s="536">
        <f>MIN(_xlfn.NORM.INV(RAND(),$B$7,$C$7),B697-0.005)</f>
        <v/>
      </c>
      <c r="D697" s="537">
        <f>_xlfn.NORM.INV(RAND(),$B$8,$C$8)</f>
        <v/>
      </c>
      <c r="E697" s="391">
        <f t="array" ref="E697">(SUMPRODUCT($B$13:$F$13*D697/(1+B697)^$B$14:$F$14)+($F$13*D697*(1+C697))/(B697-C697)/(1+B697)^$F$14-$B$15+$B$16)/$B$17</f>
        <v/>
      </c>
      <c r="F697" s="304" t="n"/>
      <c r="G697" s="304" t="n"/>
      <c r="H697" s="304" t="n"/>
      <c r="I697" s="304" t="n"/>
      <c r="J697" s="304" t="n"/>
      <c r="K697" s="304" t="n"/>
      <c r="L697" s="304" t="n"/>
      <c r="M697" s="304" t="n"/>
      <c r="N697" s="304" t="n"/>
      <c r="O697" s="304" t="n"/>
      <c r="P697" s="304" t="n"/>
      <c r="Q697" s="304" t="n"/>
    </row>
    <row r="698" ht="13.8" customHeight="1" s="343">
      <c r="A698" s="388">
        <f>ROW()-22</f>
        <v/>
      </c>
      <c r="B698" s="536">
        <f>_xlfn.NORM.INV(RAND(),$B$6,$C$6)</f>
        <v/>
      </c>
      <c r="C698" s="536">
        <f>MIN(_xlfn.NORM.INV(RAND(),$B$7,$C$7),B698-0.005)</f>
        <v/>
      </c>
      <c r="D698" s="537">
        <f>_xlfn.NORM.INV(RAND(),$B$8,$C$8)</f>
        <v/>
      </c>
      <c r="E698" s="391">
        <f t="array" ref="E698">(SUMPRODUCT($B$13:$F$13*D698/(1+B698)^$B$14:$F$14)+($F$13*D698*(1+C698))/(B698-C698)/(1+B698)^$F$14-$B$15+$B$16)/$B$17</f>
        <v/>
      </c>
      <c r="F698" s="304" t="n"/>
      <c r="G698" s="304" t="n"/>
      <c r="H698" s="304" t="n"/>
      <c r="I698" s="304" t="n"/>
      <c r="J698" s="304" t="n"/>
      <c r="K698" s="304" t="n"/>
      <c r="L698" s="304" t="n"/>
      <c r="M698" s="304" t="n"/>
      <c r="N698" s="304" t="n"/>
      <c r="O698" s="304" t="n"/>
      <c r="P698" s="304" t="n"/>
      <c r="Q698" s="304" t="n"/>
    </row>
    <row r="699" ht="13.8" customHeight="1" s="343">
      <c r="A699" s="388">
        <f>ROW()-22</f>
        <v/>
      </c>
      <c r="B699" s="536">
        <f>_xlfn.NORM.INV(RAND(),$B$6,$C$6)</f>
        <v/>
      </c>
      <c r="C699" s="536">
        <f>MIN(_xlfn.NORM.INV(RAND(),$B$7,$C$7),B699-0.005)</f>
        <v/>
      </c>
      <c r="D699" s="537">
        <f>_xlfn.NORM.INV(RAND(),$B$8,$C$8)</f>
        <v/>
      </c>
      <c r="E699" s="391">
        <f t="array" ref="E699">(SUMPRODUCT($B$13:$F$13*D699/(1+B699)^$B$14:$F$14)+($F$13*D699*(1+C699))/(B699-C699)/(1+B699)^$F$14-$B$15+$B$16)/$B$17</f>
        <v/>
      </c>
      <c r="F699" s="304" t="n"/>
      <c r="G699" s="304" t="n"/>
      <c r="H699" s="304" t="n"/>
      <c r="I699" s="304" t="n"/>
      <c r="J699" s="304" t="n"/>
      <c r="K699" s="304" t="n"/>
      <c r="L699" s="304" t="n"/>
      <c r="M699" s="304" t="n"/>
      <c r="N699" s="304" t="n"/>
      <c r="O699" s="304" t="n"/>
      <c r="P699" s="304" t="n"/>
      <c r="Q699" s="304" t="n"/>
    </row>
    <row r="700" ht="13.8" customHeight="1" s="343">
      <c r="A700" s="388">
        <f>ROW()-22</f>
        <v/>
      </c>
      <c r="B700" s="536">
        <f>_xlfn.NORM.INV(RAND(),$B$6,$C$6)</f>
        <v/>
      </c>
      <c r="C700" s="536">
        <f>MIN(_xlfn.NORM.INV(RAND(),$B$7,$C$7),B700-0.005)</f>
        <v/>
      </c>
      <c r="D700" s="537">
        <f>_xlfn.NORM.INV(RAND(),$B$8,$C$8)</f>
        <v/>
      </c>
      <c r="E700" s="391">
        <f t="array" ref="E700">(SUMPRODUCT($B$13:$F$13*D700/(1+B700)^$B$14:$F$14)+($F$13*D700*(1+C700))/(B700-C700)/(1+B700)^$F$14-$B$15+$B$16)/$B$17</f>
        <v/>
      </c>
      <c r="F700" s="304" t="n"/>
      <c r="G700" s="304" t="n"/>
      <c r="H700" s="304" t="n"/>
      <c r="I700" s="304" t="n"/>
      <c r="J700" s="304" t="n"/>
      <c r="K700" s="304" t="n"/>
      <c r="L700" s="304" t="n"/>
      <c r="M700" s="304" t="n"/>
      <c r="N700" s="304" t="n"/>
      <c r="O700" s="304" t="n"/>
      <c r="P700" s="304" t="n"/>
      <c r="Q700" s="304" t="n"/>
    </row>
    <row r="701" ht="13.8" customHeight="1" s="343">
      <c r="A701" s="388">
        <f>ROW()-22</f>
        <v/>
      </c>
      <c r="B701" s="536">
        <f>_xlfn.NORM.INV(RAND(),$B$6,$C$6)</f>
        <v/>
      </c>
      <c r="C701" s="536">
        <f>MIN(_xlfn.NORM.INV(RAND(),$B$7,$C$7),B701-0.005)</f>
        <v/>
      </c>
      <c r="D701" s="537">
        <f>_xlfn.NORM.INV(RAND(),$B$8,$C$8)</f>
        <v/>
      </c>
      <c r="E701" s="391">
        <f t="array" ref="E701">(SUMPRODUCT($B$13:$F$13*D701/(1+B701)^$B$14:$F$14)+($F$13*D701*(1+C701))/(B701-C701)/(1+B701)^$F$14-$B$15+$B$16)/$B$17</f>
        <v/>
      </c>
      <c r="F701" s="304" t="n"/>
      <c r="G701" s="304" t="n"/>
      <c r="H701" s="304" t="n"/>
      <c r="I701" s="304" t="n"/>
      <c r="J701" s="304" t="n"/>
      <c r="K701" s="304" t="n"/>
      <c r="L701" s="304" t="n"/>
      <c r="M701" s="304" t="n"/>
      <c r="N701" s="304" t="n"/>
      <c r="O701" s="304" t="n"/>
      <c r="P701" s="304" t="n"/>
      <c r="Q701" s="304" t="n"/>
    </row>
    <row r="702" ht="13.8" customHeight="1" s="343">
      <c r="A702" s="388">
        <f>ROW()-22</f>
        <v/>
      </c>
      <c r="B702" s="536">
        <f>_xlfn.NORM.INV(RAND(),$B$6,$C$6)</f>
        <v/>
      </c>
      <c r="C702" s="536">
        <f>MIN(_xlfn.NORM.INV(RAND(),$B$7,$C$7),B702-0.005)</f>
        <v/>
      </c>
      <c r="D702" s="537">
        <f>_xlfn.NORM.INV(RAND(),$B$8,$C$8)</f>
        <v/>
      </c>
      <c r="E702" s="391">
        <f t="array" ref="E702">(SUMPRODUCT($B$13:$F$13*D702/(1+B702)^$B$14:$F$14)+($F$13*D702*(1+C702))/(B702-C702)/(1+B702)^$F$14-$B$15+$B$16)/$B$17</f>
        <v/>
      </c>
      <c r="F702" s="304" t="n"/>
      <c r="G702" s="304" t="n"/>
      <c r="H702" s="304" t="n"/>
      <c r="I702" s="304" t="n"/>
      <c r="J702" s="304" t="n"/>
      <c r="K702" s="304" t="n"/>
      <c r="L702" s="304" t="n"/>
      <c r="M702" s="304" t="n"/>
      <c r="N702" s="304" t="n"/>
      <c r="O702" s="304" t="n"/>
      <c r="P702" s="304" t="n"/>
      <c r="Q702" s="304" t="n"/>
    </row>
    <row r="703" ht="13.8" customHeight="1" s="343">
      <c r="A703" s="388">
        <f>ROW()-22</f>
        <v/>
      </c>
      <c r="B703" s="536">
        <f>_xlfn.NORM.INV(RAND(),$B$6,$C$6)</f>
        <v/>
      </c>
      <c r="C703" s="536">
        <f>MIN(_xlfn.NORM.INV(RAND(),$B$7,$C$7),B703-0.005)</f>
        <v/>
      </c>
      <c r="D703" s="537">
        <f>_xlfn.NORM.INV(RAND(),$B$8,$C$8)</f>
        <v/>
      </c>
      <c r="E703" s="391">
        <f t="array" ref="E703">(SUMPRODUCT($B$13:$F$13*D703/(1+B703)^$B$14:$F$14)+($F$13*D703*(1+C703))/(B703-C703)/(1+B703)^$F$14-$B$15+$B$16)/$B$17</f>
        <v/>
      </c>
      <c r="F703" s="304" t="n"/>
      <c r="G703" s="304" t="n"/>
      <c r="H703" s="304" t="n"/>
      <c r="I703" s="304" t="n"/>
      <c r="J703" s="304" t="n"/>
      <c r="K703" s="304" t="n"/>
      <c r="L703" s="304" t="n"/>
      <c r="M703" s="304" t="n"/>
      <c r="N703" s="304" t="n"/>
      <c r="O703" s="304" t="n"/>
      <c r="P703" s="304" t="n"/>
      <c r="Q703" s="304" t="n"/>
    </row>
    <row r="704" ht="13.8" customHeight="1" s="343">
      <c r="A704" s="388">
        <f>ROW()-22</f>
        <v/>
      </c>
      <c r="B704" s="536">
        <f>_xlfn.NORM.INV(RAND(),$B$6,$C$6)</f>
        <v/>
      </c>
      <c r="C704" s="536">
        <f>MIN(_xlfn.NORM.INV(RAND(),$B$7,$C$7),B704-0.005)</f>
        <v/>
      </c>
      <c r="D704" s="537">
        <f>_xlfn.NORM.INV(RAND(),$B$8,$C$8)</f>
        <v/>
      </c>
      <c r="E704" s="391">
        <f t="array" ref="E704">(SUMPRODUCT($B$13:$F$13*D704/(1+B704)^$B$14:$F$14)+($F$13*D704*(1+C704))/(B704-C704)/(1+B704)^$F$14-$B$15+$B$16)/$B$17</f>
        <v/>
      </c>
      <c r="F704" s="304" t="n"/>
      <c r="G704" s="304" t="n"/>
      <c r="H704" s="304" t="n"/>
      <c r="I704" s="304" t="n"/>
      <c r="J704" s="304" t="n"/>
      <c r="K704" s="304" t="n"/>
      <c r="L704" s="304" t="n"/>
      <c r="M704" s="304" t="n"/>
      <c r="N704" s="304" t="n"/>
      <c r="O704" s="304" t="n"/>
      <c r="P704" s="304" t="n"/>
      <c r="Q704" s="304" t="n"/>
    </row>
    <row r="705" ht="13.8" customHeight="1" s="343">
      <c r="A705" s="388">
        <f>ROW()-22</f>
        <v/>
      </c>
      <c r="B705" s="536">
        <f>_xlfn.NORM.INV(RAND(),$B$6,$C$6)</f>
        <v/>
      </c>
      <c r="C705" s="536">
        <f>MIN(_xlfn.NORM.INV(RAND(),$B$7,$C$7),B705-0.005)</f>
        <v/>
      </c>
      <c r="D705" s="537">
        <f>_xlfn.NORM.INV(RAND(),$B$8,$C$8)</f>
        <v/>
      </c>
      <c r="E705" s="391">
        <f t="array" ref="E705">(SUMPRODUCT($B$13:$F$13*D705/(1+B705)^$B$14:$F$14)+($F$13*D705*(1+C705))/(B705-C705)/(1+B705)^$F$14-$B$15+$B$16)/$B$17</f>
        <v/>
      </c>
      <c r="F705" s="304" t="n"/>
      <c r="G705" s="304" t="n"/>
      <c r="H705" s="304" t="n"/>
      <c r="I705" s="304" t="n"/>
      <c r="J705" s="304" t="n"/>
      <c r="K705" s="304" t="n"/>
      <c r="L705" s="304" t="n"/>
      <c r="M705" s="304" t="n"/>
      <c r="N705" s="304" t="n"/>
      <c r="O705" s="304" t="n"/>
      <c r="P705" s="304" t="n"/>
      <c r="Q705" s="304" t="n"/>
    </row>
    <row r="706" ht="13.8" customHeight="1" s="343">
      <c r="A706" s="388">
        <f>ROW()-22</f>
        <v/>
      </c>
      <c r="B706" s="536">
        <f>_xlfn.NORM.INV(RAND(),$B$6,$C$6)</f>
        <v/>
      </c>
      <c r="C706" s="536">
        <f>MIN(_xlfn.NORM.INV(RAND(),$B$7,$C$7),B706-0.005)</f>
        <v/>
      </c>
      <c r="D706" s="537">
        <f>_xlfn.NORM.INV(RAND(),$B$8,$C$8)</f>
        <v/>
      </c>
      <c r="E706" s="391">
        <f t="array" ref="E706">(SUMPRODUCT($B$13:$F$13*D706/(1+B706)^$B$14:$F$14)+($F$13*D706*(1+C706))/(B706-C706)/(1+B706)^$F$14-$B$15+$B$16)/$B$17</f>
        <v/>
      </c>
      <c r="F706" s="304" t="n"/>
      <c r="G706" s="304" t="n"/>
      <c r="H706" s="304" t="n"/>
      <c r="I706" s="304" t="n"/>
      <c r="J706" s="304" t="n"/>
      <c r="K706" s="304" t="n"/>
      <c r="L706" s="304" t="n"/>
      <c r="M706" s="304" t="n"/>
      <c r="N706" s="304" t="n"/>
      <c r="O706" s="304" t="n"/>
      <c r="P706" s="304" t="n"/>
      <c r="Q706" s="304" t="n"/>
    </row>
    <row r="707" ht="13.8" customHeight="1" s="343">
      <c r="A707" s="388">
        <f>ROW()-22</f>
        <v/>
      </c>
      <c r="B707" s="536">
        <f>_xlfn.NORM.INV(RAND(),$B$6,$C$6)</f>
        <v/>
      </c>
      <c r="C707" s="536">
        <f>MIN(_xlfn.NORM.INV(RAND(),$B$7,$C$7),B707-0.005)</f>
        <v/>
      </c>
      <c r="D707" s="537">
        <f>_xlfn.NORM.INV(RAND(),$B$8,$C$8)</f>
        <v/>
      </c>
      <c r="E707" s="391">
        <f t="array" ref="E707">(SUMPRODUCT($B$13:$F$13*D707/(1+B707)^$B$14:$F$14)+($F$13*D707*(1+C707))/(B707-C707)/(1+B707)^$F$14-$B$15+$B$16)/$B$17</f>
        <v/>
      </c>
      <c r="F707" s="304" t="n"/>
      <c r="G707" s="304" t="n"/>
      <c r="H707" s="304" t="n"/>
      <c r="I707" s="304" t="n"/>
      <c r="J707" s="304" t="n"/>
      <c r="K707" s="304" t="n"/>
      <c r="L707" s="304" t="n"/>
      <c r="M707" s="304" t="n"/>
      <c r="N707" s="304" t="n"/>
      <c r="O707" s="304" t="n"/>
      <c r="P707" s="304" t="n"/>
      <c r="Q707" s="304" t="n"/>
    </row>
    <row r="708" ht="13.8" customHeight="1" s="343">
      <c r="A708" s="388">
        <f>ROW()-22</f>
        <v/>
      </c>
      <c r="B708" s="536">
        <f>_xlfn.NORM.INV(RAND(),$B$6,$C$6)</f>
        <v/>
      </c>
      <c r="C708" s="536">
        <f>MIN(_xlfn.NORM.INV(RAND(),$B$7,$C$7),B708-0.005)</f>
        <v/>
      </c>
      <c r="D708" s="537">
        <f>_xlfn.NORM.INV(RAND(),$B$8,$C$8)</f>
        <v/>
      </c>
      <c r="E708" s="391">
        <f t="array" ref="E708">(SUMPRODUCT($B$13:$F$13*D708/(1+B708)^$B$14:$F$14)+($F$13*D708*(1+C708))/(B708-C708)/(1+B708)^$F$14-$B$15+$B$16)/$B$17</f>
        <v/>
      </c>
      <c r="F708" s="304" t="n"/>
      <c r="G708" s="304" t="n"/>
      <c r="H708" s="304" t="n"/>
      <c r="I708" s="304" t="n"/>
      <c r="J708" s="304" t="n"/>
      <c r="K708" s="304" t="n"/>
      <c r="L708" s="304" t="n"/>
      <c r="M708" s="304" t="n"/>
      <c r="N708" s="304" t="n"/>
      <c r="O708" s="304" t="n"/>
      <c r="P708" s="304" t="n"/>
      <c r="Q708" s="304" t="n"/>
    </row>
    <row r="709" ht="13.8" customHeight="1" s="343">
      <c r="A709" s="388">
        <f>ROW()-22</f>
        <v/>
      </c>
      <c r="B709" s="536">
        <f>_xlfn.NORM.INV(RAND(),$B$6,$C$6)</f>
        <v/>
      </c>
      <c r="C709" s="536">
        <f>MIN(_xlfn.NORM.INV(RAND(),$B$7,$C$7),B709-0.005)</f>
        <v/>
      </c>
      <c r="D709" s="537">
        <f>_xlfn.NORM.INV(RAND(),$B$8,$C$8)</f>
        <v/>
      </c>
      <c r="E709" s="391">
        <f t="array" ref="E709">(SUMPRODUCT($B$13:$F$13*D709/(1+B709)^$B$14:$F$14)+($F$13*D709*(1+C709))/(B709-C709)/(1+B709)^$F$14-$B$15+$B$16)/$B$17</f>
        <v/>
      </c>
      <c r="F709" s="304" t="n"/>
      <c r="G709" s="304" t="n"/>
      <c r="H709" s="304" t="n"/>
      <c r="I709" s="304" t="n"/>
      <c r="J709" s="304" t="n"/>
      <c r="K709" s="304" t="n"/>
      <c r="L709" s="304" t="n"/>
      <c r="M709" s="304" t="n"/>
      <c r="N709" s="304" t="n"/>
      <c r="O709" s="304" t="n"/>
      <c r="P709" s="304" t="n"/>
      <c r="Q709" s="304" t="n"/>
    </row>
    <row r="710" ht="13.8" customHeight="1" s="343">
      <c r="A710" s="388">
        <f>ROW()-22</f>
        <v/>
      </c>
      <c r="B710" s="536">
        <f>_xlfn.NORM.INV(RAND(),$B$6,$C$6)</f>
        <v/>
      </c>
      <c r="C710" s="536">
        <f>MIN(_xlfn.NORM.INV(RAND(),$B$7,$C$7),B710-0.005)</f>
        <v/>
      </c>
      <c r="D710" s="537">
        <f>_xlfn.NORM.INV(RAND(),$B$8,$C$8)</f>
        <v/>
      </c>
      <c r="E710" s="391">
        <f t="array" ref="E710">(SUMPRODUCT($B$13:$F$13*D710/(1+B710)^$B$14:$F$14)+($F$13*D710*(1+C710))/(B710-C710)/(1+B710)^$F$14-$B$15+$B$16)/$B$17</f>
        <v/>
      </c>
      <c r="F710" s="304" t="n"/>
      <c r="G710" s="304" t="n"/>
      <c r="H710" s="304" t="n"/>
      <c r="I710" s="304" t="n"/>
      <c r="J710" s="304" t="n"/>
      <c r="K710" s="304" t="n"/>
      <c r="L710" s="304" t="n"/>
      <c r="M710" s="304" t="n"/>
      <c r="N710" s="304" t="n"/>
      <c r="O710" s="304" t="n"/>
      <c r="P710" s="304" t="n"/>
      <c r="Q710" s="304" t="n"/>
    </row>
    <row r="711" ht="13.8" customHeight="1" s="343">
      <c r="A711" s="388">
        <f>ROW()-22</f>
        <v/>
      </c>
      <c r="B711" s="536">
        <f>_xlfn.NORM.INV(RAND(),$B$6,$C$6)</f>
        <v/>
      </c>
      <c r="C711" s="536">
        <f>MIN(_xlfn.NORM.INV(RAND(),$B$7,$C$7),B711-0.005)</f>
        <v/>
      </c>
      <c r="D711" s="537">
        <f>_xlfn.NORM.INV(RAND(),$B$8,$C$8)</f>
        <v/>
      </c>
      <c r="E711" s="391">
        <f t="array" ref="E711">(SUMPRODUCT($B$13:$F$13*D711/(1+B711)^$B$14:$F$14)+($F$13*D711*(1+C711))/(B711-C711)/(1+B711)^$F$14-$B$15+$B$16)/$B$17</f>
        <v/>
      </c>
      <c r="F711" s="304" t="n"/>
      <c r="G711" s="304" t="n"/>
      <c r="H711" s="304" t="n"/>
      <c r="I711" s="304" t="n"/>
      <c r="J711" s="304" t="n"/>
      <c r="K711" s="304" t="n"/>
      <c r="L711" s="304" t="n"/>
      <c r="M711" s="304" t="n"/>
      <c r="N711" s="304" t="n"/>
      <c r="O711" s="304" t="n"/>
      <c r="P711" s="304" t="n"/>
      <c r="Q711" s="304" t="n"/>
    </row>
    <row r="712" ht="13.8" customHeight="1" s="343">
      <c r="A712" s="388">
        <f>ROW()-22</f>
        <v/>
      </c>
      <c r="B712" s="536">
        <f>_xlfn.NORM.INV(RAND(),$B$6,$C$6)</f>
        <v/>
      </c>
      <c r="C712" s="536">
        <f>MIN(_xlfn.NORM.INV(RAND(),$B$7,$C$7),B712-0.005)</f>
        <v/>
      </c>
      <c r="D712" s="537">
        <f>_xlfn.NORM.INV(RAND(),$B$8,$C$8)</f>
        <v/>
      </c>
      <c r="E712" s="391">
        <f t="array" ref="E712">(SUMPRODUCT($B$13:$F$13*D712/(1+B712)^$B$14:$F$14)+($F$13*D712*(1+C712))/(B712-C712)/(1+B712)^$F$14-$B$15+$B$16)/$B$17</f>
        <v/>
      </c>
      <c r="F712" s="304" t="n"/>
      <c r="G712" s="304" t="n"/>
      <c r="H712" s="304" t="n"/>
      <c r="I712" s="304" t="n"/>
      <c r="J712" s="304" t="n"/>
      <c r="K712" s="304" t="n"/>
      <c r="L712" s="304" t="n"/>
      <c r="M712" s="304" t="n"/>
      <c r="N712" s="304" t="n"/>
      <c r="O712" s="304" t="n"/>
      <c r="P712" s="304" t="n"/>
      <c r="Q712" s="304" t="n"/>
    </row>
    <row r="713" ht="13.8" customHeight="1" s="343">
      <c r="A713" s="388">
        <f>ROW()-22</f>
        <v/>
      </c>
      <c r="B713" s="536">
        <f>_xlfn.NORM.INV(RAND(),$B$6,$C$6)</f>
        <v/>
      </c>
      <c r="C713" s="536">
        <f>MIN(_xlfn.NORM.INV(RAND(),$B$7,$C$7),B713-0.005)</f>
        <v/>
      </c>
      <c r="D713" s="537">
        <f>_xlfn.NORM.INV(RAND(),$B$8,$C$8)</f>
        <v/>
      </c>
      <c r="E713" s="391">
        <f t="array" ref="E713">(SUMPRODUCT($B$13:$F$13*D713/(1+B713)^$B$14:$F$14)+($F$13*D713*(1+C713))/(B713-C713)/(1+B713)^$F$14-$B$15+$B$16)/$B$17</f>
        <v/>
      </c>
      <c r="F713" s="304" t="n"/>
      <c r="G713" s="304" t="n"/>
      <c r="H713" s="304" t="n"/>
      <c r="I713" s="304" t="n"/>
      <c r="J713" s="304" t="n"/>
      <c r="K713" s="304" t="n"/>
      <c r="L713" s="304" t="n"/>
      <c r="M713" s="304" t="n"/>
      <c r="N713" s="304" t="n"/>
      <c r="O713" s="304" t="n"/>
      <c r="P713" s="304" t="n"/>
      <c r="Q713" s="304" t="n"/>
    </row>
    <row r="714" ht="13.8" customHeight="1" s="343">
      <c r="A714" s="388">
        <f>ROW()-22</f>
        <v/>
      </c>
      <c r="B714" s="536">
        <f>_xlfn.NORM.INV(RAND(),$B$6,$C$6)</f>
        <v/>
      </c>
      <c r="C714" s="536">
        <f>MIN(_xlfn.NORM.INV(RAND(),$B$7,$C$7),B714-0.005)</f>
        <v/>
      </c>
      <c r="D714" s="537">
        <f>_xlfn.NORM.INV(RAND(),$B$8,$C$8)</f>
        <v/>
      </c>
      <c r="E714" s="391">
        <f t="array" ref="E714">(SUMPRODUCT($B$13:$F$13*D714/(1+B714)^$B$14:$F$14)+($F$13*D714*(1+C714))/(B714-C714)/(1+B714)^$F$14-$B$15+$B$16)/$B$17</f>
        <v/>
      </c>
      <c r="F714" s="304" t="n"/>
      <c r="G714" s="304" t="n"/>
      <c r="H714" s="304" t="n"/>
      <c r="I714" s="304" t="n"/>
      <c r="J714" s="304" t="n"/>
      <c r="K714" s="304" t="n"/>
      <c r="L714" s="304" t="n"/>
      <c r="M714" s="304" t="n"/>
      <c r="N714" s="304" t="n"/>
      <c r="O714" s="304" t="n"/>
      <c r="P714" s="304" t="n"/>
      <c r="Q714" s="304" t="n"/>
    </row>
    <row r="715" ht="13.8" customHeight="1" s="343">
      <c r="A715" s="388">
        <f>ROW()-22</f>
        <v/>
      </c>
      <c r="B715" s="536">
        <f>_xlfn.NORM.INV(RAND(),$B$6,$C$6)</f>
        <v/>
      </c>
      <c r="C715" s="536">
        <f>MIN(_xlfn.NORM.INV(RAND(),$B$7,$C$7),B715-0.005)</f>
        <v/>
      </c>
      <c r="D715" s="537">
        <f>_xlfn.NORM.INV(RAND(),$B$8,$C$8)</f>
        <v/>
      </c>
      <c r="E715" s="391">
        <f t="array" ref="E715">(SUMPRODUCT($B$13:$F$13*D715/(1+B715)^$B$14:$F$14)+($F$13*D715*(1+C715))/(B715-C715)/(1+B715)^$F$14-$B$15+$B$16)/$B$17</f>
        <v/>
      </c>
      <c r="F715" s="304" t="n"/>
      <c r="G715" s="304" t="n"/>
      <c r="H715" s="304" t="n"/>
      <c r="I715" s="304" t="n"/>
      <c r="J715" s="304" t="n"/>
      <c r="K715" s="304" t="n"/>
      <c r="L715" s="304" t="n"/>
      <c r="M715" s="304" t="n"/>
      <c r="N715" s="304" t="n"/>
      <c r="O715" s="304" t="n"/>
      <c r="P715" s="304" t="n"/>
      <c r="Q715" s="304" t="n"/>
    </row>
    <row r="716" ht="13.8" customHeight="1" s="343">
      <c r="A716" s="388">
        <f>ROW()-22</f>
        <v/>
      </c>
      <c r="B716" s="536">
        <f>_xlfn.NORM.INV(RAND(),$B$6,$C$6)</f>
        <v/>
      </c>
      <c r="C716" s="536">
        <f>MIN(_xlfn.NORM.INV(RAND(),$B$7,$C$7),B716-0.005)</f>
        <v/>
      </c>
      <c r="D716" s="537">
        <f>_xlfn.NORM.INV(RAND(),$B$8,$C$8)</f>
        <v/>
      </c>
      <c r="E716" s="391">
        <f t="array" ref="E716">(SUMPRODUCT($B$13:$F$13*D716/(1+B716)^$B$14:$F$14)+($F$13*D716*(1+C716))/(B716-C716)/(1+B716)^$F$14-$B$15+$B$16)/$B$17</f>
        <v/>
      </c>
      <c r="F716" s="304" t="n"/>
      <c r="G716" s="304" t="n"/>
      <c r="H716" s="304" t="n"/>
      <c r="I716" s="304" t="n"/>
      <c r="J716" s="304" t="n"/>
      <c r="K716" s="304" t="n"/>
      <c r="L716" s="304" t="n"/>
      <c r="M716" s="304" t="n"/>
      <c r="N716" s="304" t="n"/>
      <c r="O716" s="304" t="n"/>
      <c r="P716" s="304" t="n"/>
      <c r="Q716" s="304" t="n"/>
    </row>
    <row r="717" ht="13.8" customHeight="1" s="343">
      <c r="A717" s="388">
        <f>ROW()-22</f>
        <v/>
      </c>
      <c r="B717" s="536">
        <f>_xlfn.NORM.INV(RAND(),$B$6,$C$6)</f>
        <v/>
      </c>
      <c r="C717" s="536">
        <f>MIN(_xlfn.NORM.INV(RAND(),$B$7,$C$7),B717-0.005)</f>
        <v/>
      </c>
      <c r="D717" s="537">
        <f>_xlfn.NORM.INV(RAND(),$B$8,$C$8)</f>
        <v/>
      </c>
      <c r="E717" s="391">
        <f t="array" ref="E717">(SUMPRODUCT($B$13:$F$13*D717/(1+B717)^$B$14:$F$14)+($F$13*D717*(1+C717))/(B717-C717)/(1+B717)^$F$14-$B$15+$B$16)/$B$17</f>
        <v/>
      </c>
      <c r="F717" s="304" t="n"/>
      <c r="G717" s="304" t="n"/>
      <c r="H717" s="304" t="n"/>
      <c r="I717" s="304" t="n"/>
      <c r="J717" s="304" t="n"/>
      <c r="K717" s="304" t="n"/>
      <c r="L717" s="304" t="n"/>
      <c r="M717" s="304" t="n"/>
      <c r="N717" s="304" t="n"/>
      <c r="O717" s="304" t="n"/>
      <c r="P717" s="304" t="n"/>
      <c r="Q717" s="304" t="n"/>
    </row>
    <row r="718" ht="13.8" customHeight="1" s="343">
      <c r="A718" s="388">
        <f>ROW()-22</f>
        <v/>
      </c>
      <c r="B718" s="536">
        <f>_xlfn.NORM.INV(RAND(),$B$6,$C$6)</f>
        <v/>
      </c>
      <c r="C718" s="536">
        <f>MIN(_xlfn.NORM.INV(RAND(),$B$7,$C$7),B718-0.005)</f>
        <v/>
      </c>
      <c r="D718" s="537">
        <f>_xlfn.NORM.INV(RAND(),$B$8,$C$8)</f>
        <v/>
      </c>
      <c r="E718" s="391">
        <f t="array" ref="E718">(SUMPRODUCT($B$13:$F$13*D718/(1+B718)^$B$14:$F$14)+($F$13*D718*(1+C718))/(B718-C718)/(1+B718)^$F$14-$B$15+$B$16)/$B$17</f>
        <v/>
      </c>
      <c r="F718" s="304" t="n"/>
      <c r="G718" s="304" t="n"/>
      <c r="H718" s="304" t="n"/>
      <c r="I718" s="304" t="n"/>
      <c r="J718" s="304" t="n"/>
      <c r="K718" s="304" t="n"/>
      <c r="L718" s="304" t="n"/>
      <c r="M718" s="304" t="n"/>
      <c r="N718" s="304" t="n"/>
      <c r="O718" s="304" t="n"/>
      <c r="P718" s="304" t="n"/>
      <c r="Q718" s="304" t="n"/>
    </row>
    <row r="719" ht="13.8" customHeight="1" s="343">
      <c r="A719" s="388">
        <f>ROW()-22</f>
        <v/>
      </c>
      <c r="B719" s="536">
        <f>_xlfn.NORM.INV(RAND(),$B$6,$C$6)</f>
        <v/>
      </c>
      <c r="C719" s="536">
        <f>MIN(_xlfn.NORM.INV(RAND(),$B$7,$C$7),B719-0.005)</f>
        <v/>
      </c>
      <c r="D719" s="537">
        <f>_xlfn.NORM.INV(RAND(),$B$8,$C$8)</f>
        <v/>
      </c>
      <c r="E719" s="391">
        <f t="array" ref="E719">(SUMPRODUCT($B$13:$F$13*D719/(1+B719)^$B$14:$F$14)+($F$13*D719*(1+C719))/(B719-C719)/(1+B719)^$F$14-$B$15+$B$16)/$B$17</f>
        <v/>
      </c>
      <c r="F719" s="304" t="n"/>
      <c r="G719" s="304" t="n"/>
      <c r="H719" s="304" t="n"/>
      <c r="I719" s="304" t="n"/>
      <c r="J719" s="304" t="n"/>
      <c r="K719" s="304" t="n"/>
      <c r="L719" s="304" t="n"/>
      <c r="M719" s="304" t="n"/>
      <c r="N719" s="304" t="n"/>
      <c r="O719" s="304" t="n"/>
      <c r="P719" s="304" t="n"/>
      <c r="Q719" s="304" t="n"/>
    </row>
    <row r="720" ht="13.8" customHeight="1" s="343">
      <c r="A720" s="388">
        <f>ROW()-22</f>
        <v/>
      </c>
      <c r="B720" s="536">
        <f>_xlfn.NORM.INV(RAND(),$B$6,$C$6)</f>
        <v/>
      </c>
      <c r="C720" s="536">
        <f>MIN(_xlfn.NORM.INV(RAND(),$B$7,$C$7),B720-0.005)</f>
        <v/>
      </c>
      <c r="D720" s="537">
        <f>_xlfn.NORM.INV(RAND(),$B$8,$C$8)</f>
        <v/>
      </c>
      <c r="E720" s="391">
        <f t="array" ref="E720">(SUMPRODUCT($B$13:$F$13*D720/(1+B720)^$B$14:$F$14)+($F$13*D720*(1+C720))/(B720-C720)/(1+B720)^$F$14-$B$15+$B$16)/$B$17</f>
        <v/>
      </c>
      <c r="F720" s="304" t="n"/>
      <c r="G720" s="304" t="n"/>
      <c r="H720" s="304" t="n"/>
      <c r="I720" s="304" t="n"/>
      <c r="J720" s="304" t="n"/>
      <c r="K720" s="304" t="n"/>
      <c r="L720" s="304" t="n"/>
      <c r="M720" s="304" t="n"/>
      <c r="N720" s="304" t="n"/>
      <c r="O720" s="304" t="n"/>
      <c r="P720" s="304" t="n"/>
      <c r="Q720" s="304" t="n"/>
    </row>
    <row r="721" ht="13.8" customHeight="1" s="343">
      <c r="A721" s="388">
        <f>ROW()-22</f>
        <v/>
      </c>
      <c r="B721" s="536">
        <f>_xlfn.NORM.INV(RAND(),$B$6,$C$6)</f>
        <v/>
      </c>
      <c r="C721" s="536">
        <f>MIN(_xlfn.NORM.INV(RAND(),$B$7,$C$7),B721-0.005)</f>
        <v/>
      </c>
      <c r="D721" s="537">
        <f>_xlfn.NORM.INV(RAND(),$B$8,$C$8)</f>
        <v/>
      </c>
      <c r="E721" s="391">
        <f t="array" ref="E721">(SUMPRODUCT($B$13:$F$13*D721/(1+B721)^$B$14:$F$14)+($F$13*D721*(1+C721))/(B721-C721)/(1+B721)^$F$14-$B$15+$B$16)/$B$17</f>
        <v/>
      </c>
      <c r="F721" s="304" t="n"/>
      <c r="G721" s="304" t="n"/>
      <c r="H721" s="304" t="n"/>
      <c r="I721" s="304" t="n"/>
      <c r="J721" s="304" t="n"/>
      <c r="K721" s="304" t="n"/>
      <c r="L721" s="304" t="n"/>
      <c r="M721" s="304" t="n"/>
      <c r="N721" s="304" t="n"/>
      <c r="O721" s="304" t="n"/>
      <c r="P721" s="304" t="n"/>
      <c r="Q721" s="304" t="n"/>
    </row>
    <row r="722" ht="13.8" customHeight="1" s="343">
      <c r="A722" s="388">
        <f>ROW()-22</f>
        <v/>
      </c>
      <c r="B722" s="536">
        <f>_xlfn.NORM.INV(RAND(),$B$6,$C$6)</f>
        <v/>
      </c>
      <c r="C722" s="536">
        <f>MIN(_xlfn.NORM.INV(RAND(),$B$7,$C$7),B722-0.005)</f>
        <v/>
      </c>
      <c r="D722" s="537">
        <f>_xlfn.NORM.INV(RAND(),$B$8,$C$8)</f>
        <v/>
      </c>
      <c r="E722" s="391">
        <f t="array" ref="E722">(SUMPRODUCT($B$13:$F$13*D722/(1+B722)^$B$14:$F$14)+($F$13*D722*(1+C722))/(B722-C722)/(1+B722)^$F$14-$B$15+$B$16)/$B$17</f>
        <v/>
      </c>
      <c r="F722" s="304" t="n"/>
      <c r="G722" s="304" t="n"/>
      <c r="H722" s="304" t="n"/>
      <c r="I722" s="304" t="n"/>
      <c r="J722" s="304" t="n"/>
      <c r="K722" s="304" t="n"/>
      <c r="L722" s="304" t="n"/>
      <c r="M722" s="304" t="n"/>
      <c r="N722" s="304" t="n"/>
      <c r="O722" s="304" t="n"/>
      <c r="P722" s="304" t="n"/>
      <c r="Q722" s="304" t="n"/>
    </row>
    <row r="723" ht="13.8" customHeight="1" s="343">
      <c r="A723" s="388">
        <f>ROW()-22</f>
        <v/>
      </c>
      <c r="B723" s="536">
        <f>_xlfn.NORM.INV(RAND(),$B$6,$C$6)</f>
        <v/>
      </c>
      <c r="C723" s="536">
        <f>MIN(_xlfn.NORM.INV(RAND(),$B$7,$C$7),B723-0.005)</f>
        <v/>
      </c>
      <c r="D723" s="537">
        <f>_xlfn.NORM.INV(RAND(),$B$8,$C$8)</f>
        <v/>
      </c>
      <c r="E723" s="391">
        <f t="array" ref="E723">(SUMPRODUCT($B$13:$F$13*D723/(1+B723)^$B$14:$F$14)+($F$13*D723*(1+C723))/(B723-C723)/(1+B723)^$F$14-$B$15+$B$16)/$B$17</f>
        <v/>
      </c>
      <c r="F723" s="304" t="n"/>
      <c r="G723" s="304" t="n"/>
      <c r="H723" s="304" t="n"/>
      <c r="I723" s="304" t="n"/>
      <c r="J723" s="304" t="n"/>
      <c r="K723" s="304" t="n"/>
      <c r="L723" s="304" t="n"/>
      <c r="M723" s="304" t="n"/>
      <c r="N723" s="304" t="n"/>
      <c r="O723" s="304" t="n"/>
      <c r="P723" s="304" t="n"/>
      <c r="Q723" s="304" t="n"/>
    </row>
    <row r="724" ht="13.8" customHeight="1" s="343">
      <c r="A724" s="388">
        <f>ROW()-22</f>
        <v/>
      </c>
      <c r="B724" s="536">
        <f>_xlfn.NORM.INV(RAND(),$B$6,$C$6)</f>
        <v/>
      </c>
      <c r="C724" s="536">
        <f>MIN(_xlfn.NORM.INV(RAND(),$B$7,$C$7),B724-0.005)</f>
        <v/>
      </c>
      <c r="D724" s="537">
        <f>_xlfn.NORM.INV(RAND(),$B$8,$C$8)</f>
        <v/>
      </c>
      <c r="E724" s="391">
        <f t="array" ref="E724">(SUMPRODUCT($B$13:$F$13*D724/(1+B724)^$B$14:$F$14)+($F$13*D724*(1+C724))/(B724-C724)/(1+B724)^$F$14-$B$15+$B$16)/$B$17</f>
        <v/>
      </c>
      <c r="F724" s="304" t="n"/>
      <c r="G724" s="304" t="n"/>
      <c r="H724" s="304" t="n"/>
      <c r="I724" s="304" t="n"/>
      <c r="J724" s="304" t="n"/>
      <c r="K724" s="304" t="n"/>
      <c r="L724" s="304" t="n"/>
      <c r="M724" s="304" t="n"/>
      <c r="N724" s="304" t="n"/>
      <c r="O724" s="304" t="n"/>
      <c r="P724" s="304" t="n"/>
      <c r="Q724" s="304" t="n"/>
    </row>
    <row r="725" ht="13.8" customHeight="1" s="343">
      <c r="A725" s="388">
        <f>ROW()-22</f>
        <v/>
      </c>
      <c r="B725" s="536">
        <f>_xlfn.NORM.INV(RAND(),$B$6,$C$6)</f>
        <v/>
      </c>
      <c r="C725" s="536">
        <f>MIN(_xlfn.NORM.INV(RAND(),$B$7,$C$7),B725-0.005)</f>
        <v/>
      </c>
      <c r="D725" s="537">
        <f>_xlfn.NORM.INV(RAND(),$B$8,$C$8)</f>
        <v/>
      </c>
      <c r="E725" s="391">
        <f t="array" ref="E725">(SUMPRODUCT($B$13:$F$13*D725/(1+B725)^$B$14:$F$14)+($F$13*D725*(1+C725))/(B725-C725)/(1+B725)^$F$14-$B$15+$B$16)/$B$17</f>
        <v/>
      </c>
      <c r="F725" s="304" t="n"/>
      <c r="G725" s="304" t="n"/>
      <c r="H725" s="304" t="n"/>
      <c r="I725" s="304" t="n"/>
      <c r="J725" s="304" t="n"/>
      <c r="K725" s="304" t="n"/>
      <c r="L725" s="304" t="n"/>
      <c r="M725" s="304" t="n"/>
      <c r="N725" s="304" t="n"/>
      <c r="O725" s="304" t="n"/>
      <c r="P725" s="304" t="n"/>
      <c r="Q725" s="304" t="n"/>
    </row>
    <row r="726" ht="13.8" customHeight="1" s="343">
      <c r="A726" s="388">
        <f>ROW()-22</f>
        <v/>
      </c>
      <c r="B726" s="536">
        <f>_xlfn.NORM.INV(RAND(),$B$6,$C$6)</f>
        <v/>
      </c>
      <c r="C726" s="536">
        <f>MIN(_xlfn.NORM.INV(RAND(),$B$7,$C$7),B726-0.005)</f>
        <v/>
      </c>
      <c r="D726" s="537">
        <f>_xlfn.NORM.INV(RAND(),$B$8,$C$8)</f>
        <v/>
      </c>
      <c r="E726" s="391">
        <f t="array" ref="E726">(SUMPRODUCT($B$13:$F$13*D726/(1+B726)^$B$14:$F$14)+($F$13*D726*(1+C726))/(B726-C726)/(1+B726)^$F$14-$B$15+$B$16)/$B$17</f>
        <v/>
      </c>
      <c r="F726" s="304" t="n"/>
      <c r="G726" s="304" t="n"/>
      <c r="H726" s="304" t="n"/>
      <c r="I726" s="304" t="n"/>
      <c r="J726" s="304" t="n"/>
      <c r="K726" s="304" t="n"/>
      <c r="L726" s="304" t="n"/>
      <c r="M726" s="304" t="n"/>
      <c r="N726" s="304" t="n"/>
      <c r="O726" s="304" t="n"/>
      <c r="P726" s="304" t="n"/>
      <c r="Q726" s="304" t="n"/>
    </row>
    <row r="727" ht="13.8" customHeight="1" s="343">
      <c r="A727" s="388">
        <f>ROW()-22</f>
        <v/>
      </c>
      <c r="B727" s="536">
        <f>_xlfn.NORM.INV(RAND(),$B$6,$C$6)</f>
        <v/>
      </c>
      <c r="C727" s="536">
        <f>MIN(_xlfn.NORM.INV(RAND(),$B$7,$C$7),B727-0.005)</f>
        <v/>
      </c>
      <c r="D727" s="537">
        <f>_xlfn.NORM.INV(RAND(),$B$8,$C$8)</f>
        <v/>
      </c>
      <c r="E727" s="391">
        <f t="array" ref="E727">(SUMPRODUCT($B$13:$F$13*D727/(1+B727)^$B$14:$F$14)+($F$13*D727*(1+C727))/(B727-C727)/(1+B727)^$F$14-$B$15+$B$16)/$B$17</f>
        <v/>
      </c>
      <c r="F727" s="304" t="n"/>
      <c r="G727" s="304" t="n"/>
      <c r="H727" s="304" t="n"/>
      <c r="I727" s="304" t="n"/>
      <c r="J727" s="304" t="n"/>
      <c r="K727" s="304" t="n"/>
      <c r="L727" s="304" t="n"/>
      <c r="M727" s="304" t="n"/>
      <c r="N727" s="304" t="n"/>
      <c r="O727" s="304" t="n"/>
      <c r="P727" s="304" t="n"/>
      <c r="Q727" s="304" t="n"/>
    </row>
    <row r="728" ht="13.8" customHeight="1" s="343">
      <c r="A728" s="388">
        <f>ROW()-22</f>
        <v/>
      </c>
      <c r="B728" s="536">
        <f>_xlfn.NORM.INV(RAND(),$B$6,$C$6)</f>
        <v/>
      </c>
      <c r="C728" s="536">
        <f>MIN(_xlfn.NORM.INV(RAND(),$B$7,$C$7),B728-0.005)</f>
        <v/>
      </c>
      <c r="D728" s="537">
        <f>_xlfn.NORM.INV(RAND(),$B$8,$C$8)</f>
        <v/>
      </c>
      <c r="E728" s="391">
        <f t="array" ref="E728">(SUMPRODUCT($B$13:$F$13*D728/(1+B728)^$B$14:$F$14)+($F$13*D728*(1+C728))/(B728-C728)/(1+B728)^$F$14-$B$15+$B$16)/$B$17</f>
        <v/>
      </c>
      <c r="F728" s="304" t="n"/>
      <c r="G728" s="304" t="n"/>
      <c r="H728" s="304" t="n"/>
      <c r="I728" s="304" t="n"/>
      <c r="J728" s="304" t="n"/>
      <c r="K728" s="304" t="n"/>
      <c r="L728" s="304" t="n"/>
      <c r="M728" s="304" t="n"/>
      <c r="N728" s="304" t="n"/>
      <c r="O728" s="304" t="n"/>
      <c r="P728" s="304" t="n"/>
      <c r="Q728" s="304" t="n"/>
    </row>
    <row r="729" ht="13.8" customHeight="1" s="343">
      <c r="A729" s="388">
        <f>ROW()-22</f>
        <v/>
      </c>
      <c r="B729" s="536">
        <f>_xlfn.NORM.INV(RAND(),$B$6,$C$6)</f>
        <v/>
      </c>
      <c r="C729" s="536">
        <f>MIN(_xlfn.NORM.INV(RAND(),$B$7,$C$7),B729-0.005)</f>
        <v/>
      </c>
      <c r="D729" s="537">
        <f>_xlfn.NORM.INV(RAND(),$B$8,$C$8)</f>
        <v/>
      </c>
      <c r="E729" s="391">
        <f t="array" ref="E729">(SUMPRODUCT($B$13:$F$13*D729/(1+B729)^$B$14:$F$14)+($F$13*D729*(1+C729))/(B729-C729)/(1+B729)^$F$14-$B$15+$B$16)/$B$17</f>
        <v/>
      </c>
      <c r="F729" s="304" t="n"/>
      <c r="G729" s="304" t="n"/>
      <c r="H729" s="304" t="n"/>
      <c r="I729" s="304" t="n"/>
      <c r="J729" s="304" t="n"/>
      <c r="K729" s="304" t="n"/>
      <c r="L729" s="304" t="n"/>
      <c r="M729" s="304" t="n"/>
      <c r="N729" s="304" t="n"/>
      <c r="O729" s="304" t="n"/>
      <c r="P729" s="304" t="n"/>
      <c r="Q729" s="304" t="n"/>
    </row>
    <row r="730" ht="13.8" customHeight="1" s="343">
      <c r="A730" s="388">
        <f>ROW()-22</f>
        <v/>
      </c>
      <c r="B730" s="536">
        <f>_xlfn.NORM.INV(RAND(),$B$6,$C$6)</f>
        <v/>
      </c>
      <c r="C730" s="536">
        <f>MIN(_xlfn.NORM.INV(RAND(),$B$7,$C$7),B730-0.005)</f>
        <v/>
      </c>
      <c r="D730" s="537">
        <f>_xlfn.NORM.INV(RAND(),$B$8,$C$8)</f>
        <v/>
      </c>
      <c r="E730" s="391">
        <f t="array" ref="E730">(SUMPRODUCT($B$13:$F$13*D730/(1+B730)^$B$14:$F$14)+($F$13*D730*(1+C730))/(B730-C730)/(1+B730)^$F$14-$B$15+$B$16)/$B$17</f>
        <v/>
      </c>
      <c r="F730" s="304" t="n"/>
      <c r="G730" s="304" t="n"/>
      <c r="H730" s="304" t="n"/>
      <c r="I730" s="304" t="n"/>
      <c r="J730" s="304" t="n"/>
      <c r="K730" s="304" t="n"/>
      <c r="L730" s="304" t="n"/>
      <c r="M730" s="304" t="n"/>
      <c r="N730" s="304" t="n"/>
      <c r="O730" s="304" t="n"/>
      <c r="P730" s="304" t="n"/>
      <c r="Q730" s="304" t="n"/>
    </row>
    <row r="731" ht="13.8" customHeight="1" s="343">
      <c r="A731" s="388">
        <f>ROW()-22</f>
        <v/>
      </c>
      <c r="B731" s="536">
        <f>_xlfn.NORM.INV(RAND(),$B$6,$C$6)</f>
        <v/>
      </c>
      <c r="C731" s="536">
        <f>MIN(_xlfn.NORM.INV(RAND(),$B$7,$C$7),B731-0.005)</f>
        <v/>
      </c>
      <c r="D731" s="537">
        <f>_xlfn.NORM.INV(RAND(),$B$8,$C$8)</f>
        <v/>
      </c>
      <c r="E731" s="391">
        <f t="array" ref="E731">(SUMPRODUCT($B$13:$F$13*D731/(1+B731)^$B$14:$F$14)+($F$13*D731*(1+C731))/(B731-C731)/(1+B731)^$F$14-$B$15+$B$16)/$B$17</f>
        <v/>
      </c>
      <c r="F731" s="304" t="n"/>
      <c r="G731" s="304" t="n"/>
      <c r="H731" s="304" t="n"/>
      <c r="I731" s="304" t="n"/>
      <c r="J731" s="304" t="n"/>
      <c r="K731" s="304" t="n"/>
      <c r="L731" s="304" t="n"/>
      <c r="M731" s="304" t="n"/>
      <c r="N731" s="304" t="n"/>
      <c r="O731" s="304" t="n"/>
      <c r="P731" s="304" t="n"/>
      <c r="Q731" s="304" t="n"/>
    </row>
    <row r="732" ht="13.8" customHeight="1" s="343">
      <c r="A732" s="388">
        <f>ROW()-22</f>
        <v/>
      </c>
      <c r="B732" s="536">
        <f>_xlfn.NORM.INV(RAND(),$B$6,$C$6)</f>
        <v/>
      </c>
      <c r="C732" s="536">
        <f>MIN(_xlfn.NORM.INV(RAND(),$B$7,$C$7),B732-0.005)</f>
        <v/>
      </c>
      <c r="D732" s="537">
        <f>_xlfn.NORM.INV(RAND(),$B$8,$C$8)</f>
        <v/>
      </c>
      <c r="E732" s="391">
        <f t="array" ref="E732">(SUMPRODUCT($B$13:$F$13*D732/(1+B732)^$B$14:$F$14)+($F$13*D732*(1+C732))/(B732-C732)/(1+B732)^$F$14-$B$15+$B$16)/$B$17</f>
        <v/>
      </c>
      <c r="F732" s="304" t="n"/>
      <c r="G732" s="304" t="n"/>
      <c r="H732" s="304" t="n"/>
      <c r="I732" s="304" t="n"/>
      <c r="J732" s="304" t="n"/>
      <c r="K732" s="304" t="n"/>
      <c r="L732" s="304" t="n"/>
      <c r="M732" s="304" t="n"/>
      <c r="N732" s="304" t="n"/>
      <c r="O732" s="304" t="n"/>
      <c r="P732" s="304" t="n"/>
      <c r="Q732" s="304" t="n"/>
    </row>
    <row r="733" ht="13.8" customHeight="1" s="343">
      <c r="A733" s="388">
        <f>ROW()-22</f>
        <v/>
      </c>
      <c r="B733" s="536">
        <f>_xlfn.NORM.INV(RAND(),$B$6,$C$6)</f>
        <v/>
      </c>
      <c r="C733" s="536">
        <f>MIN(_xlfn.NORM.INV(RAND(),$B$7,$C$7),B733-0.005)</f>
        <v/>
      </c>
      <c r="D733" s="537">
        <f>_xlfn.NORM.INV(RAND(),$B$8,$C$8)</f>
        <v/>
      </c>
      <c r="E733" s="391">
        <f t="array" ref="E733">(SUMPRODUCT($B$13:$F$13*D733/(1+B733)^$B$14:$F$14)+($F$13*D733*(1+C733))/(B733-C733)/(1+B733)^$F$14-$B$15+$B$16)/$B$17</f>
        <v/>
      </c>
      <c r="F733" s="304" t="n"/>
      <c r="G733" s="304" t="n"/>
      <c r="H733" s="304" t="n"/>
      <c r="I733" s="304" t="n"/>
      <c r="J733" s="304" t="n"/>
      <c r="K733" s="304" t="n"/>
      <c r="L733" s="304" t="n"/>
      <c r="M733" s="304" t="n"/>
      <c r="N733" s="304" t="n"/>
      <c r="O733" s="304" t="n"/>
      <c r="P733" s="304" t="n"/>
      <c r="Q733" s="304" t="n"/>
    </row>
    <row r="734" ht="13.8" customHeight="1" s="343">
      <c r="A734" s="388">
        <f>ROW()-22</f>
        <v/>
      </c>
      <c r="B734" s="536">
        <f>_xlfn.NORM.INV(RAND(),$B$6,$C$6)</f>
        <v/>
      </c>
      <c r="C734" s="536">
        <f>MIN(_xlfn.NORM.INV(RAND(),$B$7,$C$7),B734-0.005)</f>
        <v/>
      </c>
      <c r="D734" s="537">
        <f>_xlfn.NORM.INV(RAND(),$B$8,$C$8)</f>
        <v/>
      </c>
      <c r="E734" s="391">
        <f t="array" ref="E734">(SUMPRODUCT($B$13:$F$13*D734/(1+B734)^$B$14:$F$14)+($F$13*D734*(1+C734))/(B734-C734)/(1+B734)^$F$14-$B$15+$B$16)/$B$17</f>
        <v/>
      </c>
      <c r="F734" s="304" t="n"/>
      <c r="G734" s="304" t="n"/>
      <c r="H734" s="304" t="n"/>
      <c r="I734" s="304" t="n"/>
      <c r="J734" s="304" t="n"/>
      <c r="K734" s="304" t="n"/>
      <c r="L734" s="304" t="n"/>
      <c r="M734" s="304" t="n"/>
      <c r="N734" s="304" t="n"/>
      <c r="O734" s="304" t="n"/>
      <c r="P734" s="304" t="n"/>
      <c r="Q734" s="304" t="n"/>
    </row>
    <row r="735" ht="13.8" customHeight="1" s="343">
      <c r="A735" s="388">
        <f>ROW()-22</f>
        <v/>
      </c>
      <c r="B735" s="536">
        <f>_xlfn.NORM.INV(RAND(),$B$6,$C$6)</f>
        <v/>
      </c>
      <c r="C735" s="536">
        <f>MIN(_xlfn.NORM.INV(RAND(),$B$7,$C$7),B735-0.005)</f>
        <v/>
      </c>
      <c r="D735" s="537">
        <f>_xlfn.NORM.INV(RAND(),$B$8,$C$8)</f>
        <v/>
      </c>
      <c r="E735" s="391">
        <f t="array" ref="E735">(SUMPRODUCT($B$13:$F$13*D735/(1+B735)^$B$14:$F$14)+($F$13*D735*(1+C735))/(B735-C735)/(1+B735)^$F$14-$B$15+$B$16)/$B$17</f>
        <v/>
      </c>
      <c r="F735" s="304" t="n"/>
      <c r="G735" s="304" t="n"/>
      <c r="H735" s="304" t="n"/>
      <c r="I735" s="304" t="n"/>
      <c r="J735" s="304" t="n"/>
      <c r="K735" s="304" t="n"/>
      <c r="L735" s="304" t="n"/>
      <c r="M735" s="304" t="n"/>
      <c r="N735" s="304" t="n"/>
      <c r="O735" s="304" t="n"/>
      <c r="P735" s="304" t="n"/>
      <c r="Q735" s="304" t="n"/>
    </row>
    <row r="736" ht="13.8" customHeight="1" s="343">
      <c r="A736" s="388">
        <f>ROW()-22</f>
        <v/>
      </c>
      <c r="B736" s="536">
        <f>_xlfn.NORM.INV(RAND(),$B$6,$C$6)</f>
        <v/>
      </c>
      <c r="C736" s="536">
        <f>MIN(_xlfn.NORM.INV(RAND(),$B$7,$C$7),B736-0.005)</f>
        <v/>
      </c>
      <c r="D736" s="537">
        <f>_xlfn.NORM.INV(RAND(),$B$8,$C$8)</f>
        <v/>
      </c>
      <c r="E736" s="391">
        <f t="array" ref="E736">(SUMPRODUCT($B$13:$F$13*D736/(1+B736)^$B$14:$F$14)+($F$13*D736*(1+C736))/(B736-C736)/(1+B736)^$F$14-$B$15+$B$16)/$B$17</f>
        <v/>
      </c>
      <c r="F736" s="304" t="n"/>
      <c r="G736" s="304" t="n"/>
      <c r="H736" s="304" t="n"/>
      <c r="I736" s="304" t="n"/>
      <c r="J736" s="304" t="n"/>
      <c r="K736" s="304" t="n"/>
      <c r="L736" s="304" t="n"/>
      <c r="M736" s="304" t="n"/>
      <c r="N736" s="304" t="n"/>
      <c r="O736" s="304" t="n"/>
      <c r="P736" s="304" t="n"/>
      <c r="Q736" s="304" t="n"/>
    </row>
    <row r="737" ht="13.8" customHeight="1" s="343">
      <c r="A737" s="388">
        <f>ROW()-22</f>
        <v/>
      </c>
      <c r="B737" s="536">
        <f>_xlfn.NORM.INV(RAND(),$B$6,$C$6)</f>
        <v/>
      </c>
      <c r="C737" s="536">
        <f>MIN(_xlfn.NORM.INV(RAND(),$B$7,$C$7),B737-0.005)</f>
        <v/>
      </c>
      <c r="D737" s="537">
        <f>_xlfn.NORM.INV(RAND(),$B$8,$C$8)</f>
        <v/>
      </c>
      <c r="E737" s="391">
        <f t="array" ref="E737">(SUMPRODUCT($B$13:$F$13*D737/(1+B737)^$B$14:$F$14)+($F$13*D737*(1+C737))/(B737-C737)/(1+B737)^$F$14-$B$15+$B$16)/$B$17</f>
        <v/>
      </c>
      <c r="F737" s="304" t="n"/>
      <c r="G737" s="304" t="n"/>
      <c r="H737" s="304" t="n"/>
      <c r="I737" s="304" t="n"/>
      <c r="J737" s="304" t="n"/>
      <c r="K737" s="304" t="n"/>
      <c r="L737" s="304" t="n"/>
      <c r="M737" s="304" t="n"/>
      <c r="N737" s="304" t="n"/>
      <c r="O737" s="304" t="n"/>
      <c r="P737" s="304" t="n"/>
      <c r="Q737" s="304" t="n"/>
    </row>
    <row r="738" ht="13.8" customHeight="1" s="343">
      <c r="A738" s="388">
        <f>ROW()-22</f>
        <v/>
      </c>
      <c r="B738" s="536">
        <f>_xlfn.NORM.INV(RAND(),$B$6,$C$6)</f>
        <v/>
      </c>
      <c r="C738" s="536">
        <f>MIN(_xlfn.NORM.INV(RAND(),$B$7,$C$7),B738-0.005)</f>
        <v/>
      </c>
      <c r="D738" s="537">
        <f>_xlfn.NORM.INV(RAND(),$B$8,$C$8)</f>
        <v/>
      </c>
      <c r="E738" s="391">
        <f t="array" ref="E738">(SUMPRODUCT($B$13:$F$13*D738/(1+B738)^$B$14:$F$14)+($F$13*D738*(1+C738))/(B738-C738)/(1+B738)^$F$14-$B$15+$B$16)/$B$17</f>
        <v/>
      </c>
      <c r="F738" s="304" t="n"/>
      <c r="G738" s="304" t="n"/>
      <c r="H738" s="304" t="n"/>
      <c r="I738" s="304" t="n"/>
      <c r="J738" s="304" t="n"/>
      <c r="K738" s="304" t="n"/>
      <c r="L738" s="304" t="n"/>
      <c r="M738" s="304" t="n"/>
      <c r="N738" s="304" t="n"/>
      <c r="O738" s="304" t="n"/>
      <c r="P738" s="304" t="n"/>
      <c r="Q738" s="304" t="n"/>
    </row>
    <row r="739" ht="13.8" customHeight="1" s="343">
      <c r="A739" s="388">
        <f>ROW()-22</f>
        <v/>
      </c>
      <c r="B739" s="536">
        <f>_xlfn.NORM.INV(RAND(),$B$6,$C$6)</f>
        <v/>
      </c>
      <c r="C739" s="536">
        <f>MIN(_xlfn.NORM.INV(RAND(),$B$7,$C$7),B739-0.005)</f>
        <v/>
      </c>
      <c r="D739" s="537">
        <f>_xlfn.NORM.INV(RAND(),$B$8,$C$8)</f>
        <v/>
      </c>
      <c r="E739" s="391">
        <f t="array" ref="E739">(SUMPRODUCT($B$13:$F$13*D739/(1+B739)^$B$14:$F$14)+($F$13*D739*(1+C739))/(B739-C739)/(1+B739)^$F$14-$B$15+$B$16)/$B$17</f>
        <v/>
      </c>
      <c r="F739" s="304" t="n"/>
      <c r="G739" s="304" t="n"/>
      <c r="H739" s="304" t="n"/>
      <c r="I739" s="304" t="n"/>
      <c r="J739" s="304" t="n"/>
      <c r="K739" s="304" t="n"/>
      <c r="L739" s="304" t="n"/>
      <c r="M739" s="304" t="n"/>
      <c r="N739" s="304" t="n"/>
      <c r="O739" s="304" t="n"/>
      <c r="P739" s="304" t="n"/>
      <c r="Q739" s="304" t="n"/>
    </row>
    <row r="740" ht="13.8" customHeight="1" s="343">
      <c r="A740" s="388">
        <f>ROW()-22</f>
        <v/>
      </c>
      <c r="B740" s="536">
        <f>_xlfn.NORM.INV(RAND(),$B$6,$C$6)</f>
        <v/>
      </c>
      <c r="C740" s="536">
        <f>MIN(_xlfn.NORM.INV(RAND(),$B$7,$C$7),B740-0.005)</f>
        <v/>
      </c>
      <c r="D740" s="537">
        <f>_xlfn.NORM.INV(RAND(),$B$8,$C$8)</f>
        <v/>
      </c>
      <c r="E740" s="391">
        <f t="array" ref="E740">(SUMPRODUCT($B$13:$F$13*D740/(1+B740)^$B$14:$F$14)+($F$13*D740*(1+C740))/(B740-C740)/(1+B740)^$F$14-$B$15+$B$16)/$B$17</f>
        <v/>
      </c>
      <c r="F740" s="304" t="n"/>
      <c r="G740" s="304" t="n"/>
      <c r="H740" s="304" t="n"/>
      <c r="I740" s="304" t="n"/>
      <c r="J740" s="304" t="n"/>
      <c r="K740" s="304" t="n"/>
      <c r="L740" s="304" t="n"/>
      <c r="M740" s="304" t="n"/>
      <c r="N740" s="304" t="n"/>
      <c r="O740" s="304" t="n"/>
      <c r="P740" s="304" t="n"/>
      <c r="Q740" s="304" t="n"/>
    </row>
    <row r="741" ht="13.8" customHeight="1" s="343">
      <c r="A741" s="388">
        <f>ROW()-22</f>
        <v/>
      </c>
      <c r="B741" s="536">
        <f>_xlfn.NORM.INV(RAND(),$B$6,$C$6)</f>
        <v/>
      </c>
      <c r="C741" s="536">
        <f>MIN(_xlfn.NORM.INV(RAND(),$B$7,$C$7),B741-0.005)</f>
        <v/>
      </c>
      <c r="D741" s="537">
        <f>_xlfn.NORM.INV(RAND(),$B$8,$C$8)</f>
        <v/>
      </c>
      <c r="E741" s="391">
        <f t="array" ref="E741">(SUMPRODUCT($B$13:$F$13*D741/(1+B741)^$B$14:$F$14)+($F$13*D741*(1+C741))/(B741-C741)/(1+B741)^$F$14-$B$15+$B$16)/$B$17</f>
        <v/>
      </c>
      <c r="F741" s="304" t="n"/>
      <c r="G741" s="304" t="n"/>
      <c r="H741" s="304" t="n"/>
      <c r="I741" s="304" t="n"/>
      <c r="J741" s="304" t="n"/>
      <c r="K741" s="304" t="n"/>
      <c r="L741" s="304" t="n"/>
      <c r="M741" s="304" t="n"/>
      <c r="N741" s="304" t="n"/>
      <c r="O741" s="304" t="n"/>
      <c r="P741" s="304" t="n"/>
      <c r="Q741" s="304" t="n"/>
    </row>
    <row r="742" ht="13.8" customHeight="1" s="343">
      <c r="A742" s="388">
        <f>ROW()-22</f>
        <v/>
      </c>
      <c r="B742" s="536">
        <f>_xlfn.NORM.INV(RAND(),$B$6,$C$6)</f>
        <v/>
      </c>
      <c r="C742" s="536">
        <f>MIN(_xlfn.NORM.INV(RAND(),$B$7,$C$7),B742-0.005)</f>
        <v/>
      </c>
      <c r="D742" s="537">
        <f>_xlfn.NORM.INV(RAND(),$B$8,$C$8)</f>
        <v/>
      </c>
      <c r="E742" s="391">
        <f t="array" ref="E742">(SUMPRODUCT($B$13:$F$13*D742/(1+B742)^$B$14:$F$14)+($F$13*D742*(1+C742))/(B742-C742)/(1+B742)^$F$14-$B$15+$B$16)/$B$17</f>
        <v/>
      </c>
      <c r="F742" s="304" t="n"/>
      <c r="G742" s="304" t="n"/>
      <c r="H742" s="304" t="n"/>
      <c r="I742" s="304" t="n"/>
      <c r="J742" s="304" t="n"/>
      <c r="K742" s="304" t="n"/>
      <c r="L742" s="304" t="n"/>
      <c r="M742" s="304" t="n"/>
      <c r="N742" s="304" t="n"/>
      <c r="O742" s="304" t="n"/>
      <c r="P742" s="304" t="n"/>
      <c r="Q742" s="304" t="n"/>
    </row>
    <row r="743" ht="13.8" customHeight="1" s="343">
      <c r="A743" s="388">
        <f>ROW()-22</f>
        <v/>
      </c>
      <c r="B743" s="536">
        <f>_xlfn.NORM.INV(RAND(),$B$6,$C$6)</f>
        <v/>
      </c>
      <c r="C743" s="536">
        <f>MIN(_xlfn.NORM.INV(RAND(),$B$7,$C$7),B743-0.005)</f>
        <v/>
      </c>
      <c r="D743" s="537">
        <f>_xlfn.NORM.INV(RAND(),$B$8,$C$8)</f>
        <v/>
      </c>
      <c r="E743" s="391">
        <f t="array" ref="E743">(SUMPRODUCT($B$13:$F$13*D743/(1+B743)^$B$14:$F$14)+($F$13*D743*(1+C743))/(B743-C743)/(1+B743)^$F$14-$B$15+$B$16)/$B$17</f>
        <v/>
      </c>
      <c r="F743" s="304" t="n"/>
      <c r="G743" s="304" t="n"/>
      <c r="H743" s="304" t="n"/>
      <c r="I743" s="304" t="n"/>
      <c r="J743" s="304" t="n"/>
      <c r="K743" s="304" t="n"/>
      <c r="L743" s="304" t="n"/>
      <c r="M743" s="304" t="n"/>
      <c r="N743" s="304" t="n"/>
      <c r="O743" s="304" t="n"/>
      <c r="P743" s="304" t="n"/>
      <c r="Q743" s="304" t="n"/>
    </row>
    <row r="744" ht="13.8" customHeight="1" s="343">
      <c r="A744" s="388">
        <f>ROW()-22</f>
        <v/>
      </c>
      <c r="B744" s="536">
        <f>_xlfn.NORM.INV(RAND(),$B$6,$C$6)</f>
        <v/>
      </c>
      <c r="C744" s="536">
        <f>MIN(_xlfn.NORM.INV(RAND(),$B$7,$C$7),B744-0.005)</f>
        <v/>
      </c>
      <c r="D744" s="537">
        <f>_xlfn.NORM.INV(RAND(),$B$8,$C$8)</f>
        <v/>
      </c>
      <c r="E744" s="391">
        <f t="array" ref="E744">(SUMPRODUCT($B$13:$F$13*D744/(1+B744)^$B$14:$F$14)+($F$13*D744*(1+C744))/(B744-C744)/(1+B744)^$F$14-$B$15+$B$16)/$B$17</f>
        <v/>
      </c>
      <c r="F744" s="304" t="n"/>
      <c r="G744" s="304" t="n"/>
      <c r="H744" s="304" t="n"/>
      <c r="I744" s="304" t="n"/>
      <c r="J744" s="304" t="n"/>
      <c r="K744" s="304" t="n"/>
      <c r="L744" s="304" t="n"/>
      <c r="M744" s="304" t="n"/>
      <c r="N744" s="304" t="n"/>
      <c r="O744" s="304" t="n"/>
      <c r="P744" s="304" t="n"/>
      <c r="Q744" s="304" t="n"/>
    </row>
    <row r="745" ht="13.8" customHeight="1" s="343">
      <c r="A745" s="388">
        <f>ROW()-22</f>
        <v/>
      </c>
      <c r="B745" s="536">
        <f>_xlfn.NORM.INV(RAND(),$B$6,$C$6)</f>
        <v/>
      </c>
      <c r="C745" s="536">
        <f>MIN(_xlfn.NORM.INV(RAND(),$B$7,$C$7),B745-0.005)</f>
        <v/>
      </c>
      <c r="D745" s="537">
        <f>_xlfn.NORM.INV(RAND(),$B$8,$C$8)</f>
        <v/>
      </c>
      <c r="E745" s="391">
        <f t="array" ref="E745">(SUMPRODUCT($B$13:$F$13*D745/(1+B745)^$B$14:$F$14)+($F$13*D745*(1+C745))/(B745-C745)/(1+B745)^$F$14-$B$15+$B$16)/$B$17</f>
        <v/>
      </c>
      <c r="F745" s="304" t="n"/>
      <c r="G745" s="304" t="n"/>
      <c r="H745" s="304" t="n"/>
      <c r="I745" s="304" t="n"/>
      <c r="J745" s="304" t="n"/>
      <c r="K745" s="304" t="n"/>
      <c r="L745" s="304" t="n"/>
      <c r="M745" s="304" t="n"/>
      <c r="N745" s="304" t="n"/>
      <c r="O745" s="304" t="n"/>
      <c r="P745" s="304" t="n"/>
      <c r="Q745" s="304" t="n"/>
    </row>
    <row r="746" ht="13.8" customHeight="1" s="343">
      <c r="A746" s="388">
        <f>ROW()-22</f>
        <v/>
      </c>
      <c r="B746" s="536">
        <f>_xlfn.NORM.INV(RAND(),$B$6,$C$6)</f>
        <v/>
      </c>
      <c r="C746" s="536">
        <f>MIN(_xlfn.NORM.INV(RAND(),$B$7,$C$7),B746-0.005)</f>
        <v/>
      </c>
      <c r="D746" s="537">
        <f>_xlfn.NORM.INV(RAND(),$B$8,$C$8)</f>
        <v/>
      </c>
      <c r="E746" s="391">
        <f t="array" ref="E746">(SUMPRODUCT($B$13:$F$13*D746/(1+B746)^$B$14:$F$14)+($F$13*D746*(1+C746))/(B746-C746)/(1+B746)^$F$14-$B$15+$B$16)/$B$17</f>
        <v/>
      </c>
      <c r="F746" s="304" t="n"/>
      <c r="G746" s="304" t="n"/>
      <c r="H746" s="304" t="n"/>
      <c r="I746" s="304" t="n"/>
      <c r="J746" s="304" t="n"/>
      <c r="K746" s="304" t="n"/>
      <c r="L746" s="304" t="n"/>
      <c r="M746" s="304" t="n"/>
      <c r="N746" s="304" t="n"/>
      <c r="O746" s="304" t="n"/>
      <c r="P746" s="304" t="n"/>
      <c r="Q746" s="304" t="n"/>
    </row>
    <row r="747" ht="13.8" customHeight="1" s="343">
      <c r="A747" s="388">
        <f>ROW()-22</f>
        <v/>
      </c>
      <c r="B747" s="536">
        <f>_xlfn.NORM.INV(RAND(),$B$6,$C$6)</f>
        <v/>
      </c>
      <c r="C747" s="536">
        <f>MIN(_xlfn.NORM.INV(RAND(),$B$7,$C$7),B747-0.005)</f>
        <v/>
      </c>
      <c r="D747" s="537">
        <f>_xlfn.NORM.INV(RAND(),$B$8,$C$8)</f>
        <v/>
      </c>
      <c r="E747" s="391">
        <f t="array" ref="E747">(SUMPRODUCT($B$13:$F$13*D747/(1+B747)^$B$14:$F$14)+($F$13*D747*(1+C747))/(B747-C747)/(1+B747)^$F$14-$B$15+$B$16)/$B$17</f>
        <v/>
      </c>
      <c r="F747" s="304" t="n"/>
      <c r="G747" s="304" t="n"/>
      <c r="H747" s="304" t="n"/>
      <c r="I747" s="304" t="n"/>
      <c r="J747" s="304" t="n"/>
      <c r="K747" s="304" t="n"/>
      <c r="L747" s="304" t="n"/>
      <c r="M747" s="304" t="n"/>
      <c r="N747" s="304" t="n"/>
      <c r="O747" s="304" t="n"/>
      <c r="P747" s="304" t="n"/>
      <c r="Q747" s="304" t="n"/>
    </row>
    <row r="748" ht="13.8" customHeight="1" s="343">
      <c r="A748" s="388">
        <f>ROW()-22</f>
        <v/>
      </c>
      <c r="B748" s="536">
        <f>_xlfn.NORM.INV(RAND(),$B$6,$C$6)</f>
        <v/>
      </c>
      <c r="C748" s="536">
        <f>MIN(_xlfn.NORM.INV(RAND(),$B$7,$C$7),B748-0.005)</f>
        <v/>
      </c>
      <c r="D748" s="537">
        <f>_xlfn.NORM.INV(RAND(),$B$8,$C$8)</f>
        <v/>
      </c>
      <c r="E748" s="391">
        <f t="array" ref="E748">(SUMPRODUCT($B$13:$F$13*D748/(1+B748)^$B$14:$F$14)+($F$13*D748*(1+C748))/(B748-C748)/(1+B748)^$F$14-$B$15+$B$16)/$B$17</f>
        <v/>
      </c>
      <c r="F748" s="304" t="n"/>
      <c r="G748" s="304" t="n"/>
      <c r="H748" s="304" t="n"/>
      <c r="I748" s="304" t="n"/>
      <c r="J748" s="304" t="n"/>
      <c r="K748" s="304" t="n"/>
      <c r="L748" s="304" t="n"/>
      <c r="M748" s="304" t="n"/>
      <c r="N748" s="304" t="n"/>
      <c r="O748" s="304" t="n"/>
      <c r="P748" s="304" t="n"/>
      <c r="Q748" s="304" t="n"/>
    </row>
    <row r="749" ht="13.8" customHeight="1" s="343">
      <c r="A749" s="388">
        <f>ROW()-22</f>
        <v/>
      </c>
      <c r="B749" s="536">
        <f>_xlfn.NORM.INV(RAND(),$B$6,$C$6)</f>
        <v/>
      </c>
      <c r="C749" s="536">
        <f>MIN(_xlfn.NORM.INV(RAND(),$B$7,$C$7),B749-0.005)</f>
        <v/>
      </c>
      <c r="D749" s="537">
        <f>_xlfn.NORM.INV(RAND(),$B$8,$C$8)</f>
        <v/>
      </c>
      <c r="E749" s="391">
        <f t="array" ref="E749">(SUMPRODUCT($B$13:$F$13*D749/(1+B749)^$B$14:$F$14)+($F$13*D749*(1+C749))/(B749-C749)/(1+B749)^$F$14-$B$15+$B$16)/$B$17</f>
        <v/>
      </c>
      <c r="F749" s="304" t="n"/>
      <c r="G749" s="304" t="n"/>
      <c r="H749" s="304" t="n"/>
      <c r="I749" s="304" t="n"/>
      <c r="J749" s="304" t="n"/>
      <c r="K749" s="304" t="n"/>
      <c r="L749" s="304" t="n"/>
      <c r="M749" s="304" t="n"/>
      <c r="N749" s="304" t="n"/>
      <c r="O749" s="304" t="n"/>
      <c r="P749" s="304" t="n"/>
      <c r="Q749" s="304" t="n"/>
    </row>
    <row r="750" ht="13.8" customHeight="1" s="343">
      <c r="A750" s="388">
        <f>ROW()-22</f>
        <v/>
      </c>
      <c r="B750" s="536">
        <f>_xlfn.NORM.INV(RAND(),$B$6,$C$6)</f>
        <v/>
      </c>
      <c r="C750" s="536">
        <f>MIN(_xlfn.NORM.INV(RAND(),$B$7,$C$7),B750-0.005)</f>
        <v/>
      </c>
      <c r="D750" s="537">
        <f>_xlfn.NORM.INV(RAND(),$B$8,$C$8)</f>
        <v/>
      </c>
      <c r="E750" s="391">
        <f t="array" ref="E750">(SUMPRODUCT($B$13:$F$13*D750/(1+B750)^$B$14:$F$14)+($F$13*D750*(1+C750))/(B750-C750)/(1+B750)^$F$14-$B$15+$B$16)/$B$17</f>
        <v/>
      </c>
      <c r="F750" s="304" t="n"/>
      <c r="G750" s="304" t="n"/>
      <c r="H750" s="304" t="n"/>
      <c r="I750" s="304" t="n"/>
      <c r="J750" s="304" t="n"/>
      <c r="K750" s="304" t="n"/>
      <c r="L750" s="304" t="n"/>
      <c r="M750" s="304" t="n"/>
      <c r="N750" s="304" t="n"/>
      <c r="O750" s="304" t="n"/>
      <c r="P750" s="304" t="n"/>
      <c r="Q750" s="304" t="n"/>
    </row>
    <row r="751" ht="13.8" customHeight="1" s="343">
      <c r="A751" s="388">
        <f>ROW()-22</f>
        <v/>
      </c>
      <c r="B751" s="536">
        <f>_xlfn.NORM.INV(RAND(),$B$6,$C$6)</f>
        <v/>
      </c>
      <c r="C751" s="536">
        <f>MIN(_xlfn.NORM.INV(RAND(),$B$7,$C$7),B751-0.005)</f>
        <v/>
      </c>
      <c r="D751" s="537">
        <f>_xlfn.NORM.INV(RAND(),$B$8,$C$8)</f>
        <v/>
      </c>
      <c r="E751" s="391">
        <f t="array" ref="E751">(SUMPRODUCT($B$13:$F$13*D751/(1+B751)^$B$14:$F$14)+($F$13*D751*(1+C751))/(B751-C751)/(1+B751)^$F$14-$B$15+$B$16)/$B$17</f>
        <v/>
      </c>
      <c r="F751" s="304" t="n"/>
      <c r="G751" s="304" t="n"/>
      <c r="H751" s="304" t="n"/>
      <c r="I751" s="304" t="n"/>
      <c r="J751" s="304" t="n"/>
      <c r="K751" s="304" t="n"/>
      <c r="L751" s="304" t="n"/>
      <c r="M751" s="304" t="n"/>
      <c r="N751" s="304" t="n"/>
      <c r="O751" s="304" t="n"/>
      <c r="P751" s="304" t="n"/>
      <c r="Q751" s="304" t="n"/>
    </row>
    <row r="752" ht="13.8" customHeight="1" s="343">
      <c r="A752" s="388">
        <f>ROW()-22</f>
        <v/>
      </c>
      <c r="B752" s="536">
        <f>_xlfn.NORM.INV(RAND(),$B$6,$C$6)</f>
        <v/>
      </c>
      <c r="C752" s="536">
        <f>MIN(_xlfn.NORM.INV(RAND(),$B$7,$C$7),B752-0.005)</f>
        <v/>
      </c>
      <c r="D752" s="537">
        <f>_xlfn.NORM.INV(RAND(),$B$8,$C$8)</f>
        <v/>
      </c>
      <c r="E752" s="391">
        <f t="array" ref="E752">(SUMPRODUCT($B$13:$F$13*D752/(1+B752)^$B$14:$F$14)+($F$13*D752*(1+C752))/(B752-C752)/(1+B752)^$F$14-$B$15+$B$16)/$B$17</f>
        <v/>
      </c>
      <c r="F752" s="304" t="n"/>
      <c r="G752" s="304" t="n"/>
      <c r="H752" s="304" t="n"/>
      <c r="I752" s="304" t="n"/>
      <c r="J752" s="304" t="n"/>
      <c r="K752" s="304" t="n"/>
      <c r="L752" s="304" t="n"/>
      <c r="M752" s="304" t="n"/>
      <c r="N752" s="304" t="n"/>
      <c r="O752" s="304" t="n"/>
      <c r="P752" s="304" t="n"/>
      <c r="Q752" s="304" t="n"/>
    </row>
    <row r="753" ht="13.8" customHeight="1" s="343">
      <c r="A753" s="388">
        <f>ROW()-22</f>
        <v/>
      </c>
      <c r="B753" s="536">
        <f>_xlfn.NORM.INV(RAND(),$B$6,$C$6)</f>
        <v/>
      </c>
      <c r="C753" s="536">
        <f>MIN(_xlfn.NORM.INV(RAND(),$B$7,$C$7),B753-0.005)</f>
        <v/>
      </c>
      <c r="D753" s="537">
        <f>_xlfn.NORM.INV(RAND(),$B$8,$C$8)</f>
        <v/>
      </c>
      <c r="E753" s="391">
        <f t="array" ref="E753">(SUMPRODUCT($B$13:$F$13*D753/(1+B753)^$B$14:$F$14)+($F$13*D753*(1+C753))/(B753-C753)/(1+B753)^$F$14-$B$15+$B$16)/$B$17</f>
        <v/>
      </c>
      <c r="F753" s="304" t="n"/>
      <c r="G753" s="304" t="n"/>
      <c r="H753" s="304" t="n"/>
      <c r="I753" s="304" t="n"/>
      <c r="J753" s="304" t="n"/>
      <c r="K753" s="304" t="n"/>
      <c r="L753" s="304" t="n"/>
      <c r="M753" s="304" t="n"/>
      <c r="N753" s="304" t="n"/>
      <c r="O753" s="304" t="n"/>
      <c r="P753" s="304" t="n"/>
      <c r="Q753" s="304" t="n"/>
    </row>
    <row r="754" ht="13.8" customHeight="1" s="343">
      <c r="A754" s="388">
        <f>ROW()-22</f>
        <v/>
      </c>
      <c r="B754" s="536">
        <f>_xlfn.NORM.INV(RAND(),$B$6,$C$6)</f>
        <v/>
      </c>
      <c r="C754" s="536">
        <f>MIN(_xlfn.NORM.INV(RAND(),$B$7,$C$7),B754-0.005)</f>
        <v/>
      </c>
      <c r="D754" s="537">
        <f>_xlfn.NORM.INV(RAND(),$B$8,$C$8)</f>
        <v/>
      </c>
      <c r="E754" s="391">
        <f t="array" ref="E754">(SUMPRODUCT($B$13:$F$13*D754/(1+B754)^$B$14:$F$14)+($F$13*D754*(1+C754))/(B754-C754)/(1+B754)^$F$14-$B$15+$B$16)/$B$17</f>
        <v/>
      </c>
      <c r="F754" s="304" t="n"/>
      <c r="G754" s="304" t="n"/>
      <c r="H754" s="304" t="n"/>
      <c r="I754" s="304" t="n"/>
      <c r="J754" s="304" t="n"/>
      <c r="K754" s="304" t="n"/>
      <c r="L754" s="304" t="n"/>
      <c r="M754" s="304" t="n"/>
      <c r="N754" s="304" t="n"/>
      <c r="O754" s="304" t="n"/>
      <c r="P754" s="304" t="n"/>
      <c r="Q754" s="304" t="n"/>
    </row>
    <row r="755" ht="13.8" customHeight="1" s="343">
      <c r="A755" s="388">
        <f>ROW()-22</f>
        <v/>
      </c>
      <c r="B755" s="536">
        <f>_xlfn.NORM.INV(RAND(),$B$6,$C$6)</f>
        <v/>
      </c>
      <c r="C755" s="536">
        <f>MIN(_xlfn.NORM.INV(RAND(),$B$7,$C$7),B755-0.005)</f>
        <v/>
      </c>
      <c r="D755" s="537">
        <f>_xlfn.NORM.INV(RAND(),$B$8,$C$8)</f>
        <v/>
      </c>
      <c r="E755" s="391">
        <f t="array" ref="E755">(SUMPRODUCT($B$13:$F$13*D755/(1+B755)^$B$14:$F$14)+($F$13*D755*(1+C755))/(B755-C755)/(1+B755)^$F$14-$B$15+$B$16)/$B$17</f>
        <v/>
      </c>
      <c r="F755" s="304" t="n"/>
      <c r="G755" s="304" t="n"/>
      <c r="H755" s="304" t="n"/>
      <c r="I755" s="304" t="n"/>
      <c r="J755" s="304" t="n"/>
      <c r="K755" s="304" t="n"/>
      <c r="L755" s="304" t="n"/>
      <c r="M755" s="304" t="n"/>
      <c r="N755" s="304" t="n"/>
      <c r="O755" s="304" t="n"/>
      <c r="P755" s="304" t="n"/>
      <c r="Q755" s="304" t="n"/>
    </row>
    <row r="756" ht="13.8" customHeight="1" s="343">
      <c r="A756" s="388">
        <f>ROW()-22</f>
        <v/>
      </c>
      <c r="B756" s="536">
        <f>_xlfn.NORM.INV(RAND(),$B$6,$C$6)</f>
        <v/>
      </c>
      <c r="C756" s="536">
        <f>MIN(_xlfn.NORM.INV(RAND(),$B$7,$C$7),B756-0.005)</f>
        <v/>
      </c>
      <c r="D756" s="537">
        <f>_xlfn.NORM.INV(RAND(),$B$8,$C$8)</f>
        <v/>
      </c>
      <c r="E756" s="391">
        <f t="array" ref="E756">(SUMPRODUCT($B$13:$F$13*D756/(1+B756)^$B$14:$F$14)+($F$13*D756*(1+C756))/(B756-C756)/(1+B756)^$F$14-$B$15+$B$16)/$B$17</f>
        <v/>
      </c>
      <c r="F756" s="304" t="n"/>
      <c r="G756" s="304" t="n"/>
      <c r="H756" s="304" t="n"/>
      <c r="I756" s="304" t="n"/>
      <c r="J756" s="304" t="n"/>
      <c r="K756" s="304" t="n"/>
      <c r="L756" s="304" t="n"/>
      <c r="M756" s="304" t="n"/>
      <c r="N756" s="304" t="n"/>
      <c r="O756" s="304" t="n"/>
      <c r="P756" s="304" t="n"/>
      <c r="Q756" s="304" t="n"/>
    </row>
    <row r="757" ht="13.8" customHeight="1" s="343">
      <c r="A757" s="388">
        <f>ROW()-22</f>
        <v/>
      </c>
      <c r="B757" s="536">
        <f>_xlfn.NORM.INV(RAND(),$B$6,$C$6)</f>
        <v/>
      </c>
      <c r="C757" s="536">
        <f>MIN(_xlfn.NORM.INV(RAND(),$B$7,$C$7),B757-0.005)</f>
        <v/>
      </c>
      <c r="D757" s="537">
        <f>_xlfn.NORM.INV(RAND(),$B$8,$C$8)</f>
        <v/>
      </c>
      <c r="E757" s="391">
        <f t="array" ref="E757">(SUMPRODUCT($B$13:$F$13*D757/(1+B757)^$B$14:$F$14)+($F$13*D757*(1+C757))/(B757-C757)/(1+B757)^$F$14-$B$15+$B$16)/$B$17</f>
        <v/>
      </c>
      <c r="F757" s="304" t="n"/>
      <c r="G757" s="304" t="n"/>
      <c r="H757" s="304" t="n"/>
      <c r="I757" s="304" t="n"/>
      <c r="J757" s="304" t="n"/>
      <c r="K757" s="304" t="n"/>
      <c r="L757" s="304" t="n"/>
      <c r="M757" s="304" t="n"/>
      <c r="N757" s="304" t="n"/>
      <c r="O757" s="304" t="n"/>
      <c r="P757" s="304" t="n"/>
      <c r="Q757" s="304" t="n"/>
    </row>
    <row r="758" ht="13.8" customHeight="1" s="343">
      <c r="A758" s="388">
        <f>ROW()-22</f>
        <v/>
      </c>
      <c r="B758" s="536">
        <f>_xlfn.NORM.INV(RAND(),$B$6,$C$6)</f>
        <v/>
      </c>
      <c r="C758" s="536">
        <f>MIN(_xlfn.NORM.INV(RAND(),$B$7,$C$7),B758-0.005)</f>
        <v/>
      </c>
      <c r="D758" s="537">
        <f>_xlfn.NORM.INV(RAND(),$B$8,$C$8)</f>
        <v/>
      </c>
      <c r="E758" s="391">
        <f t="array" ref="E758">(SUMPRODUCT($B$13:$F$13*D758/(1+B758)^$B$14:$F$14)+($F$13*D758*(1+C758))/(B758-C758)/(1+B758)^$F$14-$B$15+$B$16)/$B$17</f>
        <v/>
      </c>
      <c r="F758" s="304" t="n"/>
      <c r="G758" s="304" t="n"/>
      <c r="H758" s="304" t="n"/>
      <c r="I758" s="304" t="n"/>
      <c r="J758" s="304" t="n"/>
      <c r="K758" s="304" t="n"/>
      <c r="L758" s="304" t="n"/>
      <c r="M758" s="304" t="n"/>
      <c r="N758" s="304" t="n"/>
      <c r="O758" s="304" t="n"/>
      <c r="P758" s="304" t="n"/>
      <c r="Q758" s="304" t="n"/>
    </row>
    <row r="759" ht="13.8" customHeight="1" s="343">
      <c r="A759" s="388">
        <f>ROW()-22</f>
        <v/>
      </c>
      <c r="B759" s="536">
        <f>_xlfn.NORM.INV(RAND(),$B$6,$C$6)</f>
        <v/>
      </c>
      <c r="C759" s="536">
        <f>MIN(_xlfn.NORM.INV(RAND(),$B$7,$C$7),B759-0.005)</f>
        <v/>
      </c>
      <c r="D759" s="537">
        <f>_xlfn.NORM.INV(RAND(),$B$8,$C$8)</f>
        <v/>
      </c>
      <c r="E759" s="391">
        <f t="array" ref="E759">(SUMPRODUCT($B$13:$F$13*D759/(1+B759)^$B$14:$F$14)+($F$13*D759*(1+C759))/(B759-C759)/(1+B759)^$F$14-$B$15+$B$16)/$B$17</f>
        <v/>
      </c>
      <c r="F759" s="304" t="n"/>
      <c r="G759" s="304" t="n"/>
      <c r="H759" s="304" t="n"/>
      <c r="I759" s="304" t="n"/>
      <c r="J759" s="304" t="n"/>
      <c r="K759" s="304" t="n"/>
      <c r="L759" s="304" t="n"/>
      <c r="M759" s="304" t="n"/>
      <c r="N759" s="304" t="n"/>
      <c r="O759" s="304" t="n"/>
      <c r="P759" s="304" t="n"/>
      <c r="Q759" s="304" t="n"/>
    </row>
    <row r="760" ht="13.8" customHeight="1" s="343">
      <c r="A760" s="388">
        <f>ROW()-22</f>
        <v/>
      </c>
      <c r="B760" s="536">
        <f>_xlfn.NORM.INV(RAND(),$B$6,$C$6)</f>
        <v/>
      </c>
      <c r="C760" s="536">
        <f>MIN(_xlfn.NORM.INV(RAND(),$B$7,$C$7),B760-0.005)</f>
        <v/>
      </c>
      <c r="D760" s="537">
        <f>_xlfn.NORM.INV(RAND(),$B$8,$C$8)</f>
        <v/>
      </c>
      <c r="E760" s="391">
        <f t="array" ref="E760">(SUMPRODUCT($B$13:$F$13*D760/(1+B760)^$B$14:$F$14)+($F$13*D760*(1+C760))/(B760-C760)/(1+B760)^$F$14-$B$15+$B$16)/$B$17</f>
        <v/>
      </c>
      <c r="F760" s="304" t="n"/>
      <c r="G760" s="304" t="n"/>
      <c r="H760" s="304" t="n"/>
      <c r="I760" s="304" t="n"/>
      <c r="J760" s="304" t="n"/>
      <c r="K760" s="304" t="n"/>
      <c r="L760" s="304" t="n"/>
      <c r="M760" s="304" t="n"/>
      <c r="N760" s="304" t="n"/>
      <c r="O760" s="304" t="n"/>
      <c r="P760" s="304" t="n"/>
      <c r="Q760" s="304" t="n"/>
    </row>
    <row r="761" ht="13.8" customHeight="1" s="343">
      <c r="A761" s="388">
        <f>ROW()-22</f>
        <v/>
      </c>
      <c r="B761" s="536">
        <f>_xlfn.NORM.INV(RAND(),$B$6,$C$6)</f>
        <v/>
      </c>
      <c r="C761" s="536">
        <f>MIN(_xlfn.NORM.INV(RAND(),$B$7,$C$7),B761-0.005)</f>
        <v/>
      </c>
      <c r="D761" s="537">
        <f>_xlfn.NORM.INV(RAND(),$B$8,$C$8)</f>
        <v/>
      </c>
      <c r="E761" s="391">
        <f t="array" ref="E761">(SUMPRODUCT($B$13:$F$13*D761/(1+B761)^$B$14:$F$14)+($F$13*D761*(1+C761))/(B761-C761)/(1+B761)^$F$14-$B$15+$B$16)/$B$17</f>
        <v/>
      </c>
      <c r="F761" s="304" t="n"/>
      <c r="G761" s="304" t="n"/>
      <c r="H761" s="304" t="n"/>
      <c r="I761" s="304" t="n"/>
      <c r="J761" s="304" t="n"/>
      <c r="K761" s="304" t="n"/>
      <c r="L761" s="304" t="n"/>
      <c r="M761" s="304" t="n"/>
      <c r="N761" s="304" t="n"/>
      <c r="O761" s="304" t="n"/>
      <c r="P761" s="304" t="n"/>
      <c r="Q761" s="304" t="n"/>
    </row>
    <row r="762" ht="13.8" customHeight="1" s="343">
      <c r="A762" s="388">
        <f>ROW()-22</f>
        <v/>
      </c>
      <c r="B762" s="536">
        <f>_xlfn.NORM.INV(RAND(),$B$6,$C$6)</f>
        <v/>
      </c>
      <c r="C762" s="536">
        <f>MIN(_xlfn.NORM.INV(RAND(),$B$7,$C$7),B762-0.005)</f>
        <v/>
      </c>
      <c r="D762" s="537">
        <f>_xlfn.NORM.INV(RAND(),$B$8,$C$8)</f>
        <v/>
      </c>
      <c r="E762" s="391">
        <f t="array" ref="E762">(SUMPRODUCT($B$13:$F$13*D762/(1+B762)^$B$14:$F$14)+($F$13*D762*(1+C762))/(B762-C762)/(1+B762)^$F$14-$B$15+$B$16)/$B$17</f>
        <v/>
      </c>
      <c r="F762" s="304" t="n"/>
      <c r="G762" s="304" t="n"/>
      <c r="H762" s="304" t="n"/>
      <c r="I762" s="304" t="n"/>
      <c r="J762" s="304" t="n"/>
      <c r="K762" s="304" t="n"/>
      <c r="L762" s="304" t="n"/>
      <c r="M762" s="304" t="n"/>
      <c r="N762" s="304" t="n"/>
      <c r="O762" s="304" t="n"/>
      <c r="P762" s="304" t="n"/>
      <c r="Q762" s="304" t="n"/>
    </row>
    <row r="763" ht="13.8" customHeight="1" s="343">
      <c r="A763" s="388">
        <f>ROW()-22</f>
        <v/>
      </c>
      <c r="B763" s="536">
        <f>_xlfn.NORM.INV(RAND(),$B$6,$C$6)</f>
        <v/>
      </c>
      <c r="C763" s="536">
        <f>MIN(_xlfn.NORM.INV(RAND(),$B$7,$C$7),B763-0.005)</f>
        <v/>
      </c>
      <c r="D763" s="537">
        <f>_xlfn.NORM.INV(RAND(),$B$8,$C$8)</f>
        <v/>
      </c>
      <c r="E763" s="391">
        <f t="array" ref="E763">(SUMPRODUCT($B$13:$F$13*D763/(1+B763)^$B$14:$F$14)+($F$13*D763*(1+C763))/(B763-C763)/(1+B763)^$F$14-$B$15+$B$16)/$B$17</f>
        <v/>
      </c>
      <c r="F763" s="304" t="n"/>
      <c r="G763" s="304" t="n"/>
      <c r="H763" s="304" t="n"/>
      <c r="I763" s="304" t="n"/>
      <c r="J763" s="304" t="n"/>
      <c r="K763" s="304" t="n"/>
      <c r="L763" s="304" t="n"/>
      <c r="M763" s="304" t="n"/>
      <c r="N763" s="304" t="n"/>
      <c r="O763" s="304" t="n"/>
      <c r="P763" s="304" t="n"/>
      <c r="Q763" s="304" t="n"/>
    </row>
    <row r="764" ht="13.8" customHeight="1" s="343">
      <c r="A764" s="388">
        <f>ROW()-22</f>
        <v/>
      </c>
      <c r="B764" s="536">
        <f>_xlfn.NORM.INV(RAND(),$B$6,$C$6)</f>
        <v/>
      </c>
      <c r="C764" s="536">
        <f>MIN(_xlfn.NORM.INV(RAND(),$B$7,$C$7),B764-0.005)</f>
        <v/>
      </c>
      <c r="D764" s="537">
        <f>_xlfn.NORM.INV(RAND(),$B$8,$C$8)</f>
        <v/>
      </c>
      <c r="E764" s="391">
        <f t="array" ref="E764">(SUMPRODUCT($B$13:$F$13*D764/(1+B764)^$B$14:$F$14)+($F$13*D764*(1+C764))/(B764-C764)/(1+B764)^$F$14-$B$15+$B$16)/$B$17</f>
        <v/>
      </c>
      <c r="F764" s="304" t="n"/>
      <c r="G764" s="304" t="n"/>
      <c r="H764" s="304" t="n"/>
      <c r="I764" s="304" t="n"/>
      <c r="J764" s="304" t="n"/>
      <c r="K764" s="304" t="n"/>
      <c r="L764" s="304" t="n"/>
      <c r="M764" s="304" t="n"/>
      <c r="N764" s="304" t="n"/>
      <c r="O764" s="304" t="n"/>
      <c r="P764" s="304" t="n"/>
      <c r="Q764" s="304" t="n"/>
    </row>
    <row r="765" ht="13.8" customHeight="1" s="343">
      <c r="A765" s="388">
        <f>ROW()-22</f>
        <v/>
      </c>
      <c r="B765" s="536">
        <f>_xlfn.NORM.INV(RAND(),$B$6,$C$6)</f>
        <v/>
      </c>
      <c r="C765" s="536">
        <f>MIN(_xlfn.NORM.INV(RAND(),$B$7,$C$7),B765-0.005)</f>
        <v/>
      </c>
      <c r="D765" s="537">
        <f>_xlfn.NORM.INV(RAND(),$B$8,$C$8)</f>
        <v/>
      </c>
      <c r="E765" s="391">
        <f t="array" ref="E765">(SUMPRODUCT($B$13:$F$13*D765/(1+B765)^$B$14:$F$14)+($F$13*D765*(1+C765))/(B765-C765)/(1+B765)^$F$14-$B$15+$B$16)/$B$17</f>
        <v/>
      </c>
      <c r="F765" s="304" t="n"/>
      <c r="G765" s="304" t="n"/>
      <c r="H765" s="304" t="n"/>
      <c r="I765" s="304" t="n"/>
      <c r="J765" s="304" t="n"/>
      <c r="K765" s="304" t="n"/>
      <c r="L765" s="304" t="n"/>
      <c r="M765" s="304" t="n"/>
      <c r="N765" s="304" t="n"/>
      <c r="O765" s="304" t="n"/>
      <c r="P765" s="304" t="n"/>
      <c r="Q765" s="304" t="n"/>
    </row>
    <row r="766" ht="13.8" customHeight="1" s="343">
      <c r="A766" s="388">
        <f>ROW()-22</f>
        <v/>
      </c>
      <c r="B766" s="536">
        <f>_xlfn.NORM.INV(RAND(),$B$6,$C$6)</f>
        <v/>
      </c>
      <c r="C766" s="536">
        <f>MIN(_xlfn.NORM.INV(RAND(),$B$7,$C$7),B766-0.005)</f>
        <v/>
      </c>
      <c r="D766" s="537">
        <f>_xlfn.NORM.INV(RAND(),$B$8,$C$8)</f>
        <v/>
      </c>
      <c r="E766" s="391">
        <f t="array" ref="E766">(SUMPRODUCT($B$13:$F$13*D766/(1+B766)^$B$14:$F$14)+($F$13*D766*(1+C766))/(B766-C766)/(1+B766)^$F$14-$B$15+$B$16)/$B$17</f>
        <v/>
      </c>
      <c r="F766" s="304" t="n"/>
      <c r="G766" s="304" t="n"/>
      <c r="H766" s="304" t="n"/>
      <c r="I766" s="304" t="n"/>
      <c r="J766" s="304" t="n"/>
      <c r="K766" s="304" t="n"/>
      <c r="L766" s="304" t="n"/>
      <c r="M766" s="304" t="n"/>
      <c r="N766" s="304" t="n"/>
      <c r="O766" s="304" t="n"/>
      <c r="P766" s="304" t="n"/>
      <c r="Q766" s="304" t="n"/>
    </row>
    <row r="767" ht="13.8" customHeight="1" s="343">
      <c r="A767" s="388">
        <f>ROW()-22</f>
        <v/>
      </c>
      <c r="B767" s="536">
        <f>_xlfn.NORM.INV(RAND(),$B$6,$C$6)</f>
        <v/>
      </c>
      <c r="C767" s="536">
        <f>MIN(_xlfn.NORM.INV(RAND(),$B$7,$C$7),B767-0.005)</f>
        <v/>
      </c>
      <c r="D767" s="537">
        <f>_xlfn.NORM.INV(RAND(),$B$8,$C$8)</f>
        <v/>
      </c>
      <c r="E767" s="391">
        <f t="array" ref="E767">(SUMPRODUCT($B$13:$F$13*D767/(1+B767)^$B$14:$F$14)+($F$13*D767*(1+C767))/(B767-C767)/(1+B767)^$F$14-$B$15+$B$16)/$B$17</f>
        <v/>
      </c>
      <c r="F767" s="304" t="n"/>
      <c r="G767" s="304" t="n"/>
      <c r="H767" s="304" t="n"/>
      <c r="I767" s="304" t="n"/>
      <c r="J767" s="304" t="n"/>
      <c r="K767" s="304" t="n"/>
      <c r="L767" s="304" t="n"/>
      <c r="M767" s="304" t="n"/>
      <c r="N767" s="304" t="n"/>
      <c r="O767" s="304" t="n"/>
      <c r="P767" s="304" t="n"/>
      <c r="Q767" s="304" t="n"/>
    </row>
    <row r="768" ht="13.8" customHeight="1" s="343">
      <c r="A768" s="388">
        <f>ROW()-22</f>
        <v/>
      </c>
      <c r="B768" s="536">
        <f>_xlfn.NORM.INV(RAND(),$B$6,$C$6)</f>
        <v/>
      </c>
      <c r="C768" s="536">
        <f>MIN(_xlfn.NORM.INV(RAND(),$B$7,$C$7),B768-0.005)</f>
        <v/>
      </c>
      <c r="D768" s="537">
        <f>_xlfn.NORM.INV(RAND(),$B$8,$C$8)</f>
        <v/>
      </c>
      <c r="E768" s="391">
        <f t="array" ref="E768">(SUMPRODUCT($B$13:$F$13*D768/(1+B768)^$B$14:$F$14)+($F$13*D768*(1+C768))/(B768-C768)/(1+B768)^$F$14-$B$15+$B$16)/$B$17</f>
        <v/>
      </c>
      <c r="F768" s="304" t="n"/>
      <c r="G768" s="304" t="n"/>
      <c r="H768" s="304" t="n"/>
      <c r="I768" s="304" t="n"/>
      <c r="J768" s="304" t="n"/>
      <c r="K768" s="304" t="n"/>
      <c r="L768" s="304" t="n"/>
      <c r="M768" s="304" t="n"/>
      <c r="N768" s="304" t="n"/>
      <c r="O768" s="304" t="n"/>
      <c r="P768" s="304" t="n"/>
      <c r="Q768" s="304" t="n"/>
    </row>
    <row r="769" ht="13.8" customHeight="1" s="343">
      <c r="A769" s="388">
        <f>ROW()-22</f>
        <v/>
      </c>
      <c r="B769" s="536">
        <f>_xlfn.NORM.INV(RAND(),$B$6,$C$6)</f>
        <v/>
      </c>
      <c r="C769" s="536">
        <f>MIN(_xlfn.NORM.INV(RAND(),$B$7,$C$7),B769-0.005)</f>
        <v/>
      </c>
      <c r="D769" s="537">
        <f>_xlfn.NORM.INV(RAND(),$B$8,$C$8)</f>
        <v/>
      </c>
      <c r="E769" s="391">
        <f t="array" ref="E769">(SUMPRODUCT($B$13:$F$13*D769/(1+B769)^$B$14:$F$14)+($F$13*D769*(1+C769))/(B769-C769)/(1+B769)^$F$14-$B$15+$B$16)/$B$17</f>
        <v/>
      </c>
      <c r="F769" s="304" t="n"/>
      <c r="G769" s="304" t="n"/>
      <c r="H769" s="304" t="n"/>
      <c r="I769" s="304" t="n"/>
      <c r="J769" s="304" t="n"/>
      <c r="K769" s="304" t="n"/>
      <c r="L769" s="304" t="n"/>
      <c r="M769" s="304" t="n"/>
      <c r="N769" s="304" t="n"/>
      <c r="O769" s="304" t="n"/>
      <c r="P769" s="304" t="n"/>
      <c r="Q769" s="304" t="n"/>
    </row>
    <row r="770" ht="13.8" customHeight="1" s="343">
      <c r="A770" s="388">
        <f>ROW()-22</f>
        <v/>
      </c>
      <c r="B770" s="536">
        <f>_xlfn.NORM.INV(RAND(),$B$6,$C$6)</f>
        <v/>
      </c>
      <c r="C770" s="536">
        <f>MIN(_xlfn.NORM.INV(RAND(),$B$7,$C$7),B770-0.005)</f>
        <v/>
      </c>
      <c r="D770" s="537">
        <f>_xlfn.NORM.INV(RAND(),$B$8,$C$8)</f>
        <v/>
      </c>
      <c r="E770" s="391">
        <f t="array" ref="E770">(SUMPRODUCT($B$13:$F$13*D770/(1+B770)^$B$14:$F$14)+($F$13*D770*(1+C770))/(B770-C770)/(1+B770)^$F$14-$B$15+$B$16)/$B$17</f>
        <v/>
      </c>
      <c r="F770" s="304" t="n"/>
      <c r="G770" s="304" t="n"/>
      <c r="H770" s="304" t="n"/>
      <c r="I770" s="304" t="n"/>
      <c r="J770" s="304" t="n"/>
      <c r="K770" s="304" t="n"/>
      <c r="L770" s="304" t="n"/>
      <c r="M770" s="304" t="n"/>
      <c r="N770" s="304" t="n"/>
      <c r="O770" s="304" t="n"/>
      <c r="P770" s="304" t="n"/>
      <c r="Q770" s="304" t="n"/>
    </row>
    <row r="771" ht="13.8" customHeight="1" s="343">
      <c r="A771" s="388">
        <f>ROW()-22</f>
        <v/>
      </c>
      <c r="B771" s="536">
        <f>_xlfn.NORM.INV(RAND(),$B$6,$C$6)</f>
        <v/>
      </c>
      <c r="C771" s="536">
        <f>MIN(_xlfn.NORM.INV(RAND(),$B$7,$C$7),B771-0.005)</f>
        <v/>
      </c>
      <c r="D771" s="537">
        <f>_xlfn.NORM.INV(RAND(),$B$8,$C$8)</f>
        <v/>
      </c>
      <c r="E771" s="391">
        <f t="array" ref="E771">(SUMPRODUCT($B$13:$F$13*D771/(1+B771)^$B$14:$F$14)+($F$13*D771*(1+C771))/(B771-C771)/(1+B771)^$F$14-$B$15+$B$16)/$B$17</f>
        <v/>
      </c>
      <c r="F771" s="304" t="n"/>
      <c r="G771" s="304" t="n"/>
      <c r="H771" s="304" t="n"/>
      <c r="I771" s="304" t="n"/>
      <c r="J771" s="304" t="n"/>
      <c r="K771" s="304" t="n"/>
      <c r="L771" s="304" t="n"/>
      <c r="M771" s="304" t="n"/>
      <c r="N771" s="304" t="n"/>
      <c r="O771" s="304" t="n"/>
      <c r="P771" s="304" t="n"/>
      <c r="Q771" s="304" t="n"/>
    </row>
    <row r="772" ht="13.8" customHeight="1" s="343">
      <c r="A772" s="388">
        <f>ROW()-22</f>
        <v/>
      </c>
      <c r="B772" s="536">
        <f>_xlfn.NORM.INV(RAND(),$B$6,$C$6)</f>
        <v/>
      </c>
      <c r="C772" s="536">
        <f>MIN(_xlfn.NORM.INV(RAND(),$B$7,$C$7),B772-0.005)</f>
        <v/>
      </c>
      <c r="D772" s="537">
        <f>_xlfn.NORM.INV(RAND(),$B$8,$C$8)</f>
        <v/>
      </c>
      <c r="E772" s="391">
        <f t="array" ref="E772">(SUMPRODUCT($B$13:$F$13*D772/(1+B772)^$B$14:$F$14)+($F$13*D772*(1+C772))/(B772-C772)/(1+B772)^$F$14-$B$15+$B$16)/$B$17</f>
        <v/>
      </c>
      <c r="F772" s="304" t="n"/>
      <c r="G772" s="304" t="n"/>
      <c r="H772" s="304" t="n"/>
      <c r="I772" s="304" t="n"/>
      <c r="J772" s="304" t="n"/>
      <c r="K772" s="304" t="n"/>
      <c r="L772" s="304" t="n"/>
      <c r="M772" s="304" t="n"/>
      <c r="N772" s="304" t="n"/>
      <c r="O772" s="304" t="n"/>
      <c r="P772" s="304" t="n"/>
      <c r="Q772" s="304" t="n"/>
    </row>
    <row r="773" ht="13.8" customHeight="1" s="343">
      <c r="A773" s="388">
        <f>ROW()-22</f>
        <v/>
      </c>
      <c r="B773" s="536">
        <f>_xlfn.NORM.INV(RAND(),$B$6,$C$6)</f>
        <v/>
      </c>
      <c r="C773" s="536">
        <f>MIN(_xlfn.NORM.INV(RAND(),$B$7,$C$7),B773-0.005)</f>
        <v/>
      </c>
      <c r="D773" s="537">
        <f>_xlfn.NORM.INV(RAND(),$B$8,$C$8)</f>
        <v/>
      </c>
      <c r="E773" s="391">
        <f t="array" ref="E773">(SUMPRODUCT($B$13:$F$13*D773/(1+B773)^$B$14:$F$14)+($F$13*D773*(1+C773))/(B773-C773)/(1+B773)^$F$14-$B$15+$B$16)/$B$17</f>
        <v/>
      </c>
      <c r="F773" s="304" t="n"/>
      <c r="G773" s="304" t="n"/>
      <c r="H773" s="304" t="n"/>
      <c r="I773" s="304" t="n"/>
      <c r="J773" s="304" t="n"/>
      <c r="K773" s="304" t="n"/>
      <c r="L773" s="304" t="n"/>
      <c r="M773" s="304" t="n"/>
      <c r="N773" s="304" t="n"/>
      <c r="O773" s="304" t="n"/>
      <c r="P773" s="304" t="n"/>
      <c r="Q773" s="304" t="n"/>
    </row>
    <row r="774" ht="13.8" customHeight="1" s="343">
      <c r="A774" s="388">
        <f>ROW()-22</f>
        <v/>
      </c>
      <c r="B774" s="536">
        <f>_xlfn.NORM.INV(RAND(),$B$6,$C$6)</f>
        <v/>
      </c>
      <c r="C774" s="536">
        <f>MIN(_xlfn.NORM.INV(RAND(),$B$7,$C$7),B774-0.005)</f>
        <v/>
      </c>
      <c r="D774" s="537">
        <f>_xlfn.NORM.INV(RAND(),$B$8,$C$8)</f>
        <v/>
      </c>
      <c r="E774" s="391">
        <f t="array" ref="E774">(SUMPRODUCT($B$13:$F$13*D774/(1+B774)^$B$14:$F$14)+($F$13*D774*(1+C774))/(B774-C774)/(1+B774)^$F$14-$B$15+$B$16)/$B$17</f>
        <v/>
      </c>
      <c r="F774" s="304" t="n"/>
      <c r="G774" s="304" t="n"/>
      <c r="H774" s="304" t="n"/>
      <c r="I774" s="304" t="n"/>
      <c r="J774" s="304" t="n"/>
      <c r="K774" s="304" t="n"/>
      <c r="L774" s="304" t="n"/>
      <c r="M774" s="304" t="n"/>
      <c r="N774" s="304" t="n"/>
      <c r="O774" s="304" t="n"/>
      <c r="P774" s="304" t="n"/>
      <c r="Q774" s="304" t="n"/>
    </row>
    <row r="775" ht="13.8" customHeight="1" s="343">
      <c r="A775" s="388">
        <f>ROW()-22</f>
        <v/>
      </c>
      <c r="B775" s="536">
        <f>_xlfn.NORM.INV(RAND(),$B$6,$C$6)</f>
        <v/>
      </c>
      <c r="C775" s="536">
        <f>MIN(_xlfn.NORM.INV(RAND(),$B$7,$C$7),B775-0.005)</f>
        <v/>
      </c>
      <c r="D775" s="537">
        <f>_xlfn.NORM.INV(RAND(),$B$8,$C$8)</f>
        <v/>
      </c>
      <c r="E775" s="391">
        <f t="array" ref="E775">(SUMPRODUCT($B$13:$F$13*D775/(1+B775)^$B$14:$F$14)+($F$13*D775*(1+C775))/(B775-C775)/(1+B775)^$F$14-$B$15+$B$16)/$B$17</f>
        <v/>
      </c>
      <c r="F775" s="304" t="n"/>
      <c r="G775" s="304" t="n"/>
      <c r="H775" s="304" t="n"/>
      <c r="I775" s="304" t="n"/>
      <c r="J775" s="304" t="n"/>
      <c r="K775" s="304" t="n"/>
      <c r="L775" s="304" t="n"/>
      <c r="M775" s="304" t="n"/>
      <c r="N775" s="304" t="n"/>
      <c r="O775" s="304" t="n"/>
      <c r="P775" s="304" t="n"/>
      <c r="Q775" s="304" t="n"/>
    </row>
    <row r="776" ht="13.8" customHeight="1" s="343">
      <c r="A776" s="388">
        <f>ROW()-22</f>
        <v/>
      </c>
      <c r="B776" s="536">
        <f>_xlfn.NORM.INV(RAND(),$B$6,$C$6)</f>
        <v/>
      </c>
      <c r="C776" s="536">
        <f>MIN(_xlfn.NORM.INV(RAND(),$B$7,$C$7),B776-0.005)</f>
        <v/>
      </c>
      <c r="D776" s="537">
        <f>_xlfn.NORM.INV(RAND(),$B$8,$C$8)</f>
        <v/>
      </c>
      <c r="E776" s="391">
        <f t="array" ref="E776">(SUMPRODUCT($B$13:$F$13*D776/(1+B776)^$B$14:$F$14)+($F$13*D776*(1+C776))/(B776-C776)/(1+B776)^$F$14-$B$15+$B$16)/$B$17</f>
        <v/>
      </c>
      <c r="F776" s="304" t="n"/>
      <c r="G776" s="304" t="n"/>
      <c r="H776" s="304" t="n"/>
      <c r="I776" s="304" t="n"/>
      <c r="J776" s="304" t="n"/>
      <c r="K776" s="304" t="n"/>
      <c r="L776" s="304" t="n"/>
      <c r="M776" s="304" t="n"/>
      <c r="N776" s="304" t="n"/>
      <c r="O776" s="304" t="n"/>
      <c r="P776" s="304" t="n"/>
      <c r="Q776" s="304" t="n"/>
    </row>
    <row r="777" ht="13.8" customHeight="1" s="343">
      <c r="A777" s="388">
        <f>ROW()-22</f>
        <v/>
      </c>
      <c r="B777" s="536">
        <f>_xlfn.NORM.INV(RAND(),$B$6,$C$6)</f>
        <v/>
      </c>
      <c r="C777" s="536">
        <f>MIN(_xlfn.NORM.INV(RAND(),$B$7,$C$7),B777-0.005)</f>
        <v/>
      </c>
      <c r="D777" s="537">
        <f>_xlfn.NORM.INV(RAND(),$B$8,$C$8)</f>
        <v/>
      </c>
      <c r="E777" s="391">
        <f t="array" ref="E777">(SUMPRODUCT($B$13:$F$13*D777/(1+B777)^$B$14:$F$14)+($F$13*D777*(1+C777))/(B777-C777)/(1+B777)^$F$14-$B$15+$B$16)/$B$17</f>
        <v/>
      </c>
      <c r="F777" s="304" t="n"/>
      <c r="G777" s="304" t="n"/>
      <c r="H777" s="304" t="n"/>
      <c r="I777" s="304" t="n"/>
      <c r="J777" s="304" t="n"/>
      <c r="K777" s="304" t="n"/>
      <c r="L777" s="304" t="n"/>
      <c r="M777" s="304" t="n"/>
      <c r="N777" s="304" t="n"/>
      <c r="O777" s="304" t="n"/>
      <c r="P777" s="304" t="n"/>
      <c r="Q777" s="304" t="n"/>
    </row>
    <row r="778" ht="13.8" customHeight="1" s="343">
      <c r="A778" s="388">
        <f>ROW()-22</f>
        <v/>
      </c>
      <c r="B778" s="536">
        <f>_xlfn.NORM.INV(RAND(),$B$6,$C$6)</f>
        <v/>
      </c>
      <c r="C778" s="536">
        <f>MIN(_xlfn.NORM.INV(RAND(),$B$7,$C$7),B778-0.005)</f>
        <v/>
      </c>
      <c r="D778" s="537">
        <f>_xlfn.NORM.INV(RAND(),$B$8,$C$8)</f>
        <v/>
      </c>
      <c r="E778" s="391">
        <f t="array" ref="E778">(SUMPRODUCT($B$13:$F$13*D778/(1+B778)^$B$14:$F$14)+($F$13*D778*(1+C778))/(B778-C778)/(1+B778)^$F$14-$B$15+$B$16)/$B$17</f>
        <v/>
      </c>
      <c r="F778" s="304" t="n"/>
      <c r="G778" s="304" t="n"/>
      <c r="H778" s="304" t="n"/>
      <c r="I778" s="304" t="n"/>
      <c r="J778" s="304" t="n"/>
      <c r="K778" s="304" t="n"/>
      <c r="L778" s="304" t="n"/>
      <c r="M778" s="304" t="n"/>
      <c r="N778" s="304" t="n"/>
      <c r="O778" s="304" t="n"/>
      <c r="P778" s="304" t="n"/>
      <c r="Q778" s="304" t="n"/>
    </row>
    <row r="779" ht="13.8" customHeight="1" s="343">
      <c r="A779" s="388">
        <f>ROW()-22</f>
        <v/>
      </c>
      <c r="B779" s="536">
        <f>_xlfn.NORM.INV(RAND(),$B$6,$C$6)</f>
        <v/>
      </c>
      <c r="C779" s="536">
        <f>MIN(_xlfn.NORM.INV(RAND(),$B$7,$C$7),B779-0.005)</f>
        <v/>
      </c>
      <c r="D779" s="537">
        <f>_xlfn.NORM.INV(RAND(),$B$8,$C$8)</f>
        <v/>
      </c>
      <c r="E779" s="391">
        <f t="array" ref="E779">(SUMPRODUCT($B$13:$F$13*D779/(1+B779)^$B$14:$F$14)+($F$13*D779*(1+C779))/(B779-C779)/(1+B779)^$F$14-$B$15+$B$16)/$B$17</f>
        <v/>
      </c>
      <c r="F779" s="304" t="n"/>
      <c r="G779" s="304" t="n"/>
      <c r="H779" s="304" t="n"/>
      <c r="I779" s="304" t="n"/>
      <c r="J779" s="304" t="n"/>
      <c r="K779" s="304" t="n"/>
      <c r="L779" s="304" t="n"/>
      <c r="M779" s="304" t="n"/>
      <c r="N779" s="304" t="n"/>
      <c r="O779" s="304" t="n"/>
      <c r="P779" s="304" t="n"/>
      <c r="Q779" s="304" t="n"/>
    </row>
    <row r="780" ht="13.8" customHeight="1" s="343">
      <c r="A780" s="388">
        <f>ROW()-22</f>
        <v/>
      </c>
      <c r="B780" s="536">
        <f>_xlfn.NORM.INV(RAND(),$B$6,$C$6)</f>
        <v/>
      </c>
      <c r="C780" s="536">
        <f>MIN(_xlfn.NORM.INV(RAND(),$B$7,$C$7),B780-0.005)</f>
        <v/>
      </c>
      <c r="D780" s="537">
        <f>_xlfn.NORM.INV(RAND(),$B$8,$C$8)</f>
        <v/>
      </c>
      <c r="E780" s="391">
        <f t="array" ref="E780">(SUMPRODUCT($B$13:$F$13*D780/(1+B780)^$B$14:$F$14)+($F$13*D780*(1+C780))/(B780-C780)/(1+B780)^$F$14-$B$15+$B$16)/$B$17</f>
        <v/>
      </c>
      <c r="F780" s="304" t="n"/>
      <c r="G780" s="304" t="n"/>
      <c r="H780" s="304" t="n"/>
      <c r="I780" s="304" t="n"/>
      <c r="J780" s="304" t="n"/>
      <c r="K780" s="304" t="n"/>
      <c r="L780" s="304" t="n"/>
      <c r="M780" s="304" t="n"/>
      <c r="N780" s="304" t="n"/>
      <c r="O780" s="304" t="n"/>
      <c r="P780" s="304" t="n"/>
      <c r="Q780" s="304" t="n"/>
    </row>
    <row r="781" ht="13.8" customHeight="1" s="343">
      <c r="A781" s="388">
        <f>ROW()-22</f>
        <v/>
      </c>
      <c r="B781" s="536">
        <f>_xlfn.NORM.INV(RAND(),$B$6,$C$6)</f>
        <v/>
      </c>
      <c r="C781" s="536">
        <f>MIN(_xlfn.NORM.INV(RAND(),$B$7,$C$7),B781-0.005)</f>
        <v/>
      </c>
      <c r="D781" s="537">
        <f>_xlfn.NORM.INV(RAND(),$B$8,$C$8)</f>
        <v/>
      </c>
      <c r="E781" s="391">
        <f t="array" ref="E781">(SUMPRODUCT($B$13:$F$13*D781/(1+B781)^$B$14:$F$14)+($F$13*D781*(1+C781))/(B781-C781)/(1+B781)^$F$14-$B$15+$B$16)/$B$17</f>
        <v/>
      </c>
      <c r="F781" s="304" t="n"/>
      <c r="G781" s="304" t="n"/>
      <c r="H781" s="304" t="n"/>
      <c r="I781" s="304" t="n"/>
      <c r="J781" s="304" t="n"/>
      <c r="K781" s="304" t="n"/>
      <c r="L781" s="304" t="n"/>
      <c r="M781" s="304" t="n"/>
      <c r="N781" s="304" t="n"/>
      <c r="O781" s="304" t="n"/>
      <c r="P781" s="304" t="n"/>
      <c r="Q781" s="304" t="n"/>
    </row>
    <row r="782" ht="13.8" customHeight="1" s="343">
      <c r="A782" s="388">
        <f>ROW()-22</f>
        <v/>
      </c>
      <c r="B782" s="536">
        <f>_xlfn.NORM.INV(RAND(),$B$6,$C$6)</f>
        <v/>
      </c>
      <c r="C782" s="536">
        <f>MIN(_xlfn.NORM.INV(RAND(),$B$7,$C$7),B782-0.005)</f>
        <v/>
      </c>
      <c r="D782" s="537">
        <f>_xlfn.NORM.INV(RAND(),$B$8,$C$8)</f>
        <v/>
      </c>
      <c r="E782" s="391">
        <f t="array" ref="E782">(SUMPRODUCT($B$13:$F$13*D782/(1+B782)^$B$14:$F$14)+($F$13*D782*(1+C782))/(B782-C782)/(1+B782)^$F$14-$B$15+$B$16)/$B$17</f>
        <v/>
      </c>
      <c r="F782" s="304" t="n"/>
      <c r="G782" s="304" t="n"/>
      <c r="H782" s="304" t="n"/>
      <c r="I782" s="304" t="n"/>
      <c r="J782" s="304" t="n"/>
      <c r="K782" s="304" t="n"/>
      <c r="L782" s="304" t="n"/>
      <c r="M782" s="304" t="n"/>
      <c r="N782" s="304" t="n"/>
      <c r="O782" s="304" t="n"/>
      <c r="P782" s="304" t="n"/>
      <c r="Q782" s="304" t="n"/>
    </row>
    <row r="783" ht="13.8" customHeight="1" s="343">
      <c r="A783" s="388">
        <f>ROW()-22</f>
        <v/>
      </c>
      <c r="B783" s="536">
        <f>_xlfn.NORM.INV(RAND(),$B$6,$C$6)</f>
        <v/>
      </c>
      <c r="C783" s="536">
        <f>MIN(_xlfn.NORM.INV(RAND(),$B$7,$C$7),B783-0.005)</f>
        <v/>
      </c>
      <c r="D783" s="537">
        <f>_xlfn.NORM.INV(RAND(),$B$8,$C$8)</f>
        <v/>
      </c>
      <c r="E783" s="391">
        <f t="array" ref="E783">(SUMPRODUCT($B$13:$F$13*D783/(1+B783)^$B$14:$F$14)+($F$13*D783*(1+C783))/(B783-C783)/(1+B783)^$F$14-$B$15+$B$16)/$B$17</f>
        <v/>
      </c>
      <c r="F783" s="304" t="n"/>
      <c r="G783" s="304" t="n"/>
      <c r="H783" s="304" t="n"/>
      <c r="I783" s="304" t="n"/>
      <c r="J783" s="304" t="n"/>
      <c r="K783" s="304" t="n"/>
      <c r="L783" s="304" t="n"/>
      <c r="M783" s="304" t="n"/>
      <c r="N783" s="304" t="n"/>
      <c r="O783" s="304" t="n"/>
      <c r="P783" s="304" t="n"/>
      <c r="Q783" s="304" t="n"/>
    </row>
    <row r="784" ht="13.8" customHeight="1" s="343">
      <c r="A784" s="388">
        <f>ROW()-22</f>
        <v/>
      </c>
      <c r="B784" s="536">
        <f>_xlfn.NORM.INV(RAND(),$B$6,$C$6)</f>
        <v/>
      </c>
      <c r="C784" s="536">
        <f>MIN(_xlfn.NORM.INV(RAND(),$B$7,$C$7),B784-0.005)</f>
        <v/>
      </c>
      <c r="D784" s="537">
        <f>_xlfn.NORM.INV(RAND(),$B$8,$C$8)</f>
        <v/>
      </c>
      <c r="E784" s="391">
        <f t="array" ref="E784">(SUMPRODUCT($B$13:$F$13*D784/(1+B784)^$B$14:$F$14)+($F$13*D784*(1+C784))/(B784-C784)/(1+B784)^$F$14-$B$15+$B$16)/$B$17</f>
        <v/>
      </c>
      <c r="F784" s="304" t="n"/>
      <c r="G784" s="304" t="n"/>
      <c r="H784" s="304" t="n"/>
      <c r="I784" s="304" t="n"/>
      <c r="J784" s="304" t="n"/>
      <c r="K784" s="304" t="n"/>
      <c r="L784" s="304" t="n"/>
      <c r="M784" s="304" t="n"/>
      <c r="N784" s="304" t="n"/>
      <c r="O784" s="304" t="n"/>
      <c r="P784" s="304" t="n"/>
      <c r="Q784" s="304" t="n"/>
    </row>
    <row r="785" ht="13.8" customHeight="1" s="343">
      <c r="A785" s="388">
        <f>ROW()-22</f>
        <v/>
      </c>
      <c r="B785" s="536">
        <f>_xlfn.NORM.INV(RAND(),$B$6,$C$6)</f>
        <v/>
      </c>
      <c r="C785" s="536">
        <f>MIN(_xlfn.NORM.INV(RAND(),$B$7,$C$7),B785-0.005)</f>
        <v/>
      </c>
      <c r="D785" s="537">
        <f>_xlfn.NORM.INV(RAND(),$B$8,$C$8)</f>
        <v/>
      </c>
      <c r="E785" s="391">
        <f t="array" ref="E785">(SUMPRODUCT($B$13:$F$13*D785/(1+B785)^$B$14:$F$14)+($F$13*D785*(1+C785))/(B785-C785)/(1+B785)^$F$14-$B$15+$B$16)/$B$17</f>
        <v/>
      </c>
      <c r="F785" s="304" t="n"/>
      <c r="G785" s="304" t="n"/>
      <c r="H785" s="304" t="n"/>
      <c r="I785" s="304" t="n"/>
      <c r="J785" s="304" t="n"/>
      <c r="K785" s="304" t="n"/>
      <c r="L785" s="304" t="n"/>
      <c r="M785" s="304" t="n"/>
      <c r="N785" s="304" t="n"/>
      <c r="O785" s="304" t="n"/>
      <c r="P785" s="304" t="n"/>
      <c r="Q785" s="304" t="n"/>
    </row>
    <row r="786" ht="13.8" customHeight="1" s="343">
      <c r="A786" s="388">
        <f>ROW()-22</f>
        <v/>
      </c>
      <c r="B786" s="536">
        <f>_xlfn.NORM.INV(RAND(),$B$6,$C$6)</f>
        <v/>
      </c>
      <c r="C786" s="536">
        <f>MIN(_xlfn.NORM.INV(RAND(),$B$7,$C$7),B786-0.005)</f>
        <v/>
      </c>
      <c r="D786" s="537">
        <f>_xlfn.NORM.INV(RAND(),$B$8,$C$8)</f>
        <v/>
      </c>
      <c r="E786" s="391">
        <f t="array" ref="E786">(SUMPRODUCT($B$13:$F$13*D786/(1+B786)^$B$14:$F$14)+($F$13*D786*(1+C786))/(B786-C786)/(1+B786)^$F$14-$B$15+$B$16)/$B$17</f>
        <v/>
      </c>
      <c r="F786" s="304" t="n"/>
      <c r="G786" s="304" t="n"/>
      <c r="H786" s="304" t="n"/>
      <c r="I786" s="304" t="n"/>
      <c r="J786" s="304" t="n"/>
      <c r="K786" s="304" t="n"/>
      <c r="L786" s="304" t="n"/>
      <c r="M786" s="304" t="n"/>
      <c r="N786" s="304" t="n"/>
      <c r="O786" s="304" t="n"/>
      <c r="P786" s="304" t="n"/>
      <c r="Q786" s="304" t="n"/>
    </row>
    <row r="787" ht="13.8" customHeight="1" s="343">
      <c r="A787" s="388">
        <f>ROW()-22</f>
        <v/>
      </c>
      <c r="B787" s="536">
        <f>_xlfn.NORM.INV(RAND(),$B$6,$C$6)</f>
        <v/>
      </c>
      <c r="C787" s="536">
        <f>MIN(_xlfn.NORM.INV(RAND(),$B$7,$C$7),B787-0.005)</f>
        <v/>
      </c>
      <c r="D787" s="537">
        <f>_xlfn.NORM.INV(RAND(),$B$8,$C$8)</f>
        <v/>
      </c>
      <c r="E787" s="391">
        <f t="array" ref="E787">(SUMPRODUCT($B$13:$F$13*D787/(1+B787)^$B$14:$F$14)+($F$13*D787*(1+C787))/(B787-C787)/(1+B787)^$F$14-$B$15+$B$16)/$B$17</f>
        <v/>
      </c>
      <c r="F787" s="304" t="n"/>
      <c r="G787" s="304" t="n"/>
      <c r="H787" s="304" t="n"/>
      <c r="I787" s="304" t="n"/>
      <c r="J787" s="304" t="n"/>
      <c r="K787" s="304" t="n"/>
      <c r="L787" s="304" t="n"/>
      <c r="M787" s="304" t="n"/>
      <c r="N787" s="304" t="n"/>
      <c r="O787" s="304" t="n"/>
      <c r="P787" s="304" t="n"/>
      <c r="Q787" s="304" t="n"/>
    </row>
    <row r="788" ht="13.8" customHeight="1" s="343">
      <c r="A788" s="388">
        <f>ROW()-22</f>
        <v/>
      </c>
      <c r="B788" s="536">
        <f>_xlfn.NORM.INV(RAND(),$B$6,$C$6)</f>
        <v/>
      </c>
      <c r="C788" s="536">
        <f>MIN(_xlfn.NORM.INV(RAND(),$B$7,$C$7),B788-0.005)</f>
        <v/>
      </c>
      <c r="D788" s="537">
        <f>_xlfn.NORM.INV(RAND(),$B$8,$C$8)</f>
        <v/>
      </c>
      <c r="E788" s="391">
        <f t="array" ref="E788">(SUMPRODUCT($B$13:$F$13*D788/(1+B788)^$B$14:$F$14)+($F$13*D788*(1+C788))/(B788-C788)/(1+B788)^$F$14-$B$15+$B$16)/$B$17</f>
        <v/>
      </c>
      <c r="F788" s="304" t="n"/>
      <c r="G788" s="304" t="n"/>
      <c r="H788" s="304" t="n"/>
      <c r="I788" s="304" t="n"/>
      <c r="J788" s="304" t="n"/>
      <c r="K788" s="304" t="n"/>
      <c r="L788" s="304" t="n"/>
      <c r="M788" s="304" t="n"/>
      <c r="N788" s="304" t="n"/>
      <c r="O788" s="304" t="n"/>
      <c r="P788" s="304" t="n"/>
      <c r="Q788" s="304" t="n"/>
    </row>
    <row r="789" ht="13.8" customHeight="1" s="343">
      <c r="A789" s="388">
        <f>ROW()-22</f>
        <v/>
      </c>
      <c r="B789" s="536">
        <f>_xlfn.NORM.INV(RAND(),$B$6,$C$6)</f>
        <v/>
      </c>
      <c r="C789" s="536">
        <f>MIN(_xlfn.NORM.INV(RAND(),$B$7,$C$7),B789-0.005)</f>
        <v/>
      </c>
      <c r="D789" s="537">
        <f>_xlfn.NORM.INV(RAND(),$B$8,$C$8)</f>
        <v/>
      </c>
      <c r="E789" s="391">
        <f t="array" ref="E789">(SUMPRODUCT($B$13:$F$13*D789/(1+B789)^$B$14:$F$14)+($F$13*D789*(1+C789))/(B789-C789)/(1+B789)^$F$14-$B$15+$B$16)/$B$17</f>
        <v/>
      </c>
      <c r="F789" s="304" t="n"/>
      <c r="G789" s="304" t="n"/>
      <c r="H789" s="304" t="n"/>
      <c r="I789" s="304" t="n"/>
      <c r="J789" s="304" t="n"/>
      <c r="K789" s="304" t="n"/>
      <c r="L789" s="304" t="n"/>
      <c r="M789" s="304" t="n"/>
      <c r="N789" s="304" t="n"/>
      <c r="O789" s="304" t="n"/>
      <c r="P789" s="304" t="n"/>
      <c r="Q789" s="304" t="n"/>
    </row>
    <row r="790" ht="13.8" customHeight="1" s="343">
      <c r="A790" s="388">
        <f>ROW()-22</f>
        <v/>
      </c>
      <c r="B790" s="536">
        <f>_xlfn.NORM.INV(RAND(),$B$6,$C$6)</f>
        <v/>
      </c>
      <c r="C790" s="536">
        <f>MIN(_xlfn.NORM.INV(RAND(),$B$7,$C$7),B790-0.005)</f>
        <v/>
      </c>
      <c r="D790" s="537">
        <f>_xlfn.NORM.INV(RAND(),$B$8,$C$8)</f>
        <v/>
      </c>
      <c r="E790" s="391">
        <f t="array" ref="E790">(SUMPRODUCT($B$13:$F$13*D790/(1+B790)^$B$14:$F$14)+($F$13*D790*(1+C790))/(B790-C790)/(1+B790)^$F$14-$B$15+$B$16)/$B$17</f>
        <v/>
      </c>
      <c r="F790" s="304" t="n"/>
      <c r="G790" s="304" t="n"/>
      <c r="H790" s="304" t="n"/>
      <c r="I790" s="304" t="n"/>
      <c r="J790" s="304" t="n"/>
      <c r="K790" s="304" t="n"/>
      <c r="L790" s="304" t="n"/>
      <c r="M790" s="304" t="n"/>
      <c r="N790" s="304" t="n"/>
      <c r="O790" s="304" t="n"/>
      <c r="P790" s="304" t="n"/>
      <c r="Q790" s="304" t="n"/>
    </row>
    <row r="791" ht="13.8" customHeight="1" s="343">
      <c r="A791" s="388">
        <f>ROW()-22</f>
        <v/>
      </c>
      <c r="B791" s="536">
        <f>_xlfn.NORM.INV(RAND(),$B$6,$C$6)</f>
        <v/>
      </c>
      <c r="C791" s="536">
        <f>MIN(_xlfn.NORM.INV(RAND(),$B$7,$C$7),B791-0.005)</f>
        <v/>
      </c>
      <c r="D791" s="537">
        <f>_xlfn.NORM.INV(RAND(),$B$8,$C$8)</f>
        <v/>
      </c>
      <c r="E791" s="391">
        <f t="array" ref="E791">(SUMPRODUCT($B$13:$F$13*D791/(1+B791)^$B$14:$F$14)+($F$13*D791*(1+C791))/(B791-C791)/(1+B791)^$F$14-$B$15+$B$16)/$B$17</f>
        <v/>
      </c>
      <c r="F791" s="304" t="n"/>
      <c r="G791" s="304" t="n"/>
      <c r="H791" s="304" t="n"/>
      <c r="I791" s="304" t="n"/>
      <c r="J791" s="304" t="n"/>
      <c r="K791" s="304" t="n"/>
      <c r="L791" s="304" t="n"/>
      <c r="M791" s="304" t="n"/>
      <c r="N791" s="304" t="n"/>
      <c r="O791" s="304" t="n"/>
      <c r="P791" s="304" t="n"/>
      <c r="Q791" s="304" t="n"/>
    </row>
    <row r="792" ht="13.8" customHeight="1" s="343">
      <c r="A792" s="388">
        <f>ROW()-22</f>
        <v/>
      </c>
      <c r="B792" s="536">
        <f>_xlfn.NORM.INV(RAND(),$B$6,$C$6)</f>
        <v/>
      </c>
      <c r="C792" s="536">
        <f>MIN(_xlfn.NORM.INV(RAND(),$B$7,$C$7),B792-0.005)</f>
        <v/>
      </c>
      <c r="D792" s="537">
        <f>_xlfn.NORM.INV(RAND(),$B$8,$C$8)</f>
        <v/>
      </c>
      <c r="E792" s="391">
        <f t="array" ref="E792">(SUMPRODUCT($B$13:$F$13*D792/(1+B792)^$B$14:$F$14)+($F$13*D792*(1+C792))/(B792-C792)/(1+B792)^$F$14-$B$15+$B$16)/$B$17</f>
        <v/>
      </c>
      <c r="F792" s="304" t="n"/>
      <c r="G792" s="304" t="n"/>
      <c r="H792" s="304" t="n"/>
      <c r="I792" s="304" t="n"/>
      <c r="J792" s="304" t="n"/>
      <c r="K792" s="304" t="n"/>
      <c r="L792" s="304" t="n"/>
      <c r="M792" s="304" t="n"/>
      <c r="N792" s="304" t="n"/>
      <c r="O792" s="304" t="n"/>
      <c r="P792" s="304" t="n"/>
      <c r="Q792" s="304" t="n"/>
    </row>
    <row r="793" ht="13.8" customHeight="1" s="343">
      <c r="A793" s="388">
        <f>ROW()-22</f>
        <v/>
      </c>
      <c r="B793" s="536">
        <f>_xlfn.NORM.INV(RAND(),$B$6,$C$6)</f>
        <v/>
      </c>
      <c r="C793" s="536">
        <f>MIN(_xlfn.NORM.INV(RAND(),$B$7,$C$7),B793-0.005)</f>
        <v/>
      </c>
      <c r="D793" s="537">
        <f>_xlfn.NORM.INV(RAND(),$B$8,$C$8)</f>
        <v/>
      </c>
      <c r="E793" s="391">
        <f t="array" ref="E793">(SUMPRODUCT($B$13:$F$13*D793/(1+B793)^$B$14:$F$14)+($F$13*D793*(1+C793))/(B793-C793)/(1+B793)^$F$14-$B$15+$B$16)/$B$17</f>
        <v/>
      </c>
      <c r="F793" s="304" t="n"/>
      <c r="G793" s="304" t="n"/>
      <c r="H793" s="304" t="n"/>
      <c r="I793" s="304" t="n"/>
      <c r="J793" s="304" t="n"/>
      <c r="K793" s="304" t="n"/>
      <c r="L793" s="304" t="n"/>
      <c r="M793" s="304" t="n"/>
      <c r="N793" s="304" t="n"/>
      <c r="O793" s="304" t="n"/>
      <c r="P793" s="304" t="n"/>
      <c r="Q793" s="304" t="n"/>
    </row>
    <row r="794" ht="13.8" customHeight="1" s="343">
      <c r="A794" s="388">
        <f>ROW()-22</f>
        <v/>
      </c>
      <c r="B794" s="536">
        <f>_xlfn.NORM.INV(RAND(),$B$6,$C$6)</f>
        <v/>
      </c>
      <c r="C794" s="536">
        <f>MIN(_xlfn.NORM.INV(RAND(),$B$7,$C$7),B794-0.005)</f>
        <v/>
      </c>
      <c r="D794" s="537">
        <f>_xlfn.NORM.INV(RAND(),$B$8,$C$8)</f>
        <v/>
      </c>
      <c r="E794" s="391">
        <f t="array" ref="E794">(SUMPRODUCT($B$13:$F$13*D794/(1+B794)^$B$14:$F$14)+($F$13*D794*(1+C794))/(B794-C794)/(1+B794)^$F$14-$B$15+$B$16)/$B$17</f>
        <v/>
      </c>
      <c r="F794" s="304" t="n"/>
      <c r="G794" s="304" t="n"/>
      <c r="H794" s="304" t="n"/>
      <c r="I794" s="304" t="n"/>
      <c r="J794" s="304" t="n"/>
      <c r="K794" s="304" t="n"/>
      <c r="L794" s="304" t="n"/>
      <c r="M794" s="304" t="n"/>
      <c r="N794" s="304" t="n"/>
      <c r="O794" s="304" t="n"/>
      <c r="P794" s="304" t="n"/>
      <c r="Q794" s="304" t="n"/>
    </row>
    <row r="795" ht="13.8" customHeight="1" s="343">
      <c r="A795" s="388">
        <f>ROW()-22</f>
        <v/>
      </c>
      <c r="B795" s="536">
        <f>_xlfn.NORM.INV(RAND(),$B$6,$C$6)</f>
        <v/>
      </c>
      <c r="C795" s="536">
        <f>MIN(_xlfn.NORM.INV(RAND(),$B$7,$C$7),B795-0.005)</f>
        <v/>
      </c>
      <c r="D795" s="537">
        <f>_xlfn.NORM.INV(RAND(),$B$8,$C$8)</f>
        <v/>
      </c>
      <c r="E795" s="391">
        <f t="array" ref="E795">(SUMPRODUCT($B$13:$F$13*D795/(1+B795)^$B$14:$F$14)+($F$13*D795*(1+C795))/(B795-C795)/(1+B795)^$F$14-$B$15+$B$16)/$B$17</f>
        <v/>
      </c>
      <c r="F795" s="304" t="n"/>
      <c r="G795" s="304" t="n"/>
      <c r="H795" s="304" t="n"/>
      <c r="I795" s="304" t="n"/>
      <c r="J795" s="304" t="n"/>
      <c r="K795" s="304" t="n"/>
      <c r="L795" s="304" t="n"/>
      <c r="M795" s="304" t="n"/>
      <c r="N795" s="304" t="n"/>
      <c r="O795" s="304" t="n"/>
      <c r="P795" s="304" t="n"/>
      <c r="Q795" s="304" t="n"/>
    </row>
    <row r="796" ht="13.8" customHeight="1" s="343">
      <c r="A796" s="388">
        <f>ROW()-22</f>
        <v/>
      </c>
      <c r="B796" s="536">
        <f>_xlfn.NORM.INV(RAND(),$B$6,$C$6)</f>
        <v/>
      </c>
      <c r="C796" s="536">
        <f>MIN(_xlfn.NORM.INV(RAND(),$B$7,$C$7),B796-0.005)</f>
        <v/>
      </c>
      <c r="D796" s="537">
        <f>_xlfn.NORM.INV(RAND(),$B$8,$C$8)</f>
        <v/>
      </c>
      <c r="E796" s="391">
        <f t="array" ref="E796">(SUMPRODUCT($B$13:$F$13*D796/(1+B796)^$B$14:$F$14)+($F$13*D796*(1+C796))/(B796-C796)/(1+B796)^$F$14-$B$15+$B$16)/$B$17</f>
        <v/>
      </c>
      <c r="F796" s="304" t="n"/>
      <c r="G796" s="304" t="n"/>
      <c r="H796" s="304" t="n"/>
      <c r="I796" s="304" t="n"/>
      <c r="J796" s="304" t="n"/>
      <c r="K796" s="304" t="n"/>
      <c r="L796" s="304" t="n"/>
      <c r="M796" s="304" t="n"/>
      <c r="N796" s="304" t="n"/>
      <c r="O796" s="304" t="n"/>
      <c r="P796" s="304" t="n"/>
      <c r="Q796" s="304" t="n"/>
    </row>
    <row r="797" ht="13.8" customHeight="1" s="343">
      <c r="A797" s="388">
        <f>ROW()-22</f>
        <v/>
      </c>
      <c r="B797" s="536">
        <f>_xlfn.NORM.INV(RAND(),$B$6,$C$6)</f>
        <v/>
      </c>
      <c r="C797" s="536">
        <f>MIN(_xlfn.NORM.INV(RAND(),$B$7,$C$7),B797-0.005)</f>
        <v/>
      </c>
      <c r="D797" s="537">
        <f>_xlfn.NORM.INV(RAND(),$B$8,$C$8)</f>
        <v/>
      </c>
      <c r="E797" s="391">
        <f t="array" ref="E797">(SUMPRODUCT($B$13:$F$13*D797/(1+B797)^$B$14:$F$14)+($F$13*D797*(1+C797))/(B797-C797)/(1+B797)^$F$14-$B$15+$B$16)/$B$17</f>
        <v/>
      </c>
      <c r="F797" s="304" t="n"/>
      <c r="G797" s="304" t="n"/>
      <c r="H797" s="304" t="n"/>
      <c r="I797" s="304" t="n"/>
      <c r="J797" s="304" t="n"/>
      <c r="K797" s="304" t="n"/>
      <c r="L797" s="304" t="n"/>
      <c r="M797" s="304" t="n"/>
      <c r="N797" s="304" t="n"/>
      <c r="O797" s="304" t="n"/>
      <c r="P797" s="304" t="n"/>
      <c r="Q797" s="304" t="n"/>
    </row>
    <row r="798" ht="13.8" customHeight="1" s="343">
      <c r="A798" s="388">
        <f>ROW()-22</f>
        <v/>
      </c>
      <c r="B798" s="536">
        <f>_xlfn.NORM.INV(RAND(),$B$6,$C$6)</f>
        <v/>
      </c>
      <c r="C798" s="536">
        <f>MIN(_xlfn.NORM.INV(RAND(),$B$7,$C$7),B798-0.005)</f>
        <v/>
      </c>
      <c r="D798" s="537">
        <f>_xlfn.NORM.INV(RAND(),$B$8,$C$8)</f>
        <v/>
      </c>
      <c r="E798" s="391">
        <f t="array" ref="E798">(SUMPRODUCT($B$13:$F$13*D798/(1+B798)^$B$14:$F$14)+($F$13*D798*(1+C798))/(B798-C798)/(1+B798)^$F$14-$B$15+$B$16)/$B$17</f>
        <v/>
      </c>
      <c r="F798" s="304" t="n"/>
      <c r="G798" s="304" t="n"/>
      <c r="H798" s="304" t="n"/>
      <c r="I798" s="304" t="n"/>
      <c r="J798" s="304" t="n"/>
      <c r="K798" s="304" t="n"/>
      <c r="L798" s="304" t="n"/>
      <c r="M798" s="304" t="n"/>
      <c r="N798" s="304" t="n"/>
      <c r="O798" s="304" t="n"/>
      <c r="P798" s="304" t="n"/>
      <c r="Q798" s="304" t="n"/>
    </row>
    <row r="799" ht="13.8" customHeight="1" s="343">
      <c r="A799" s="388">
        <f>ROW()-22</f>
        <v/>
      </c>
      <c r="B799" s="536">
        <f>_xlfn.NORM.INV(RAND(),$B$6,$C$6)</f>
        <v/>
      </c>
      <c r="C799" s="536">
        <f>MIN(_xlfn.NORM.INV(RAND(),$B$7,$C$7),B799-0.005)</f>
        <v/>
      </c>
      <c r="D799" s="537">
        <f>_xlfn.NORM.INV(RAND(),$B$8,$C$8)</f>
        <v/>
      </c>
      <c r="E799" s="391">
        <f t="array" ref="E799">(SUMPRODUCT($B$13:$F$13*D799/(1+B799)^$B$14:$F$14)+($F$13*D799*(1+C799))/(B799-C799)/(1+B799)^$F$14-$B$15+$B$16)/$B$17</f>
        <v/>
      </c>
      <c r="F799" s="304" t="n"/>
      <c r="G799" s="304" t="n"/>
      <c r="H799" s="304" t="n"/>
      <c r="I799" s="304" t="n"/>
      <c r="J799" s="304" t="n"/>
      <c r="K799" s="304" t="n"/>
      <c r="L799" s="304" t="n"/>
      <c r="M799" s="304" t="n"/>
      <c r="N799" s="304" t="n"/>
      <c r="O799" s="304" t="n"/>
      <c r="P799" s="304" t="n"/>
      <c r="Q799" s="304" t="n"/>
    </row>
    <row r="800" ht="13.8" customHeight="1" s="343">
      <c r="A800" s="388">
        <f>ROW()-22</f>
        <v/>
      </c>
      <c r="B800" s="536">
        <f>_xlfn.NORM.INV(RAND(),$B$6,$C$6)</f>
        <v/>
      </c>
      <c r="C800" s="536">
        <f>MIN(_xlfn.NORM.INV(RAND(),$B$7,$C$7),B800-0.005)</f>
        <v/>
      </c>
      <c r="D800" s="537">
        <f>_xlfn.NORM.INV(RAND(),$B$8,$C$8)</f>
        <v/>
      </c>
      <c r="E800" s="391">
        <f t="array" ref="E800">(SUMPRODUCT($B$13:$F$13*D800/(1+B800)^$B$14:$F$14)+($F$13*D800*(1+C800))/(B800-C800)/(1+B800)^$F$14-$B$15+$B$16)/$B$17</f>
        <v/>
      </c>
      <c r="F800" s="304" t="n"/>
      <c r="G800" s="304" t="n"/>
      <c r="H800" s="304" t="n"/>
      <c r="I800" s="304" t="n"/>
      <c r="J800" s="304" t="n"/>
      <c r="K800" s="304" t="n"/>
      <c r="L800" s="304" t="n"/>
      <c r="M800" s="304" t="n"/>
      <c r="N800" s="304" t="n"/>
      <c r="O800" s="304" t="n"/>
      <c r="P800" s="304" t="n"/>
      <c r="Q800" s="304" t="n"/>
    </row>
    <row r="801" ht="13.8" customHeight="1" s="343">
      <c r="A801" s="388">
        <f>ROW()-22</f>
        <v/>
      </c>
      <c r="B801" s="536">
        <f>_xlfn.NORM.INV(RAND(),$B$6,$C$6)</f>
        <v/>
      </c>
      <c r="C801" s="536">
        <f>MIN(_xlfn.NORM.INV(RAND(),$B$7,$C$7),B801-0.005)</f>
        <v/>
      </c>
      <c r="D801" s="537">
        <f>_xlfn.NORM.INV(RAND(),$B$8,$C$8)</f>
        <v/>
      </c>
      <c r="E801" s="391">
        <f t="array" ref="E801">(SUMPRODUCT($B$13:$F$13*D801/(1+B801)^$B$14:$F$14)+($F$13*D801*(1+C801))/(B801-C801)/(1+B801)^$F$14-$B$15+$B$16)/$B$17</f>
        <v/>
      </c>
      <c r="F801" s="304" t="n"/>
      <c r="G801" s="304" t="n"/>
      <c r="H801" s="304" t="n"/>
      <c r="I801" s="304" t="n"/>
      <c r="J801" s="304" t="n"/>
      <c r="K801" s="304" t="n"/>
      <c r="L801" s="304" t="n"/>
      <c r="M801" s="304" t="n"/>
      <c r="N801" s="304" t="n"/>
      <c r="O801" s="304" t="n"/>
      <c r="P801" s="304" t="n"/>
      <c r="Q801" s="304" t="n"/>
    </row>
    <row r="802" ht="13.8" customHeight="1" s="343">
      <c r="A802" s="388">
        <f>ROW()-22</f>
        <v/>
      </c>
      <c r="B802" s="536">
        <f>_xlfn.NORM.INV(RAND(),$B$6,$C$6)</f>
        <v/>
      </c>
      <c r="C802" s="536">
        <f>MIN(_xlfn.NORM.INV(RAND(),$B$7,$C$7),B802-0.005)</f>
        <v/>
      </c>
      <c r="D802" s="537">
        <f>_xlfn.NORM.INV(RAND(),$B$8,$C$8)</f>
        <v/>
      </c>
      <c r="E802" s="391">
        <f t="array" ref="E802">(SUMPRODUCT($B$13:$F$13*D802/(1+B802)^$B$14:$F$14)+($F$13*D802*(1+C802))/(B802-C802)/(1+B802)^$F$14-$B$15+$B$16)/$B$17</f>
        <v/>
      </c>
      <c r="F802" s="304" t="n"/>
      <c r="G802" s="304" t="n"/>
      <c r="H802" s="304" t="n"/>
      <c r="I802" s="304" t="n"/>
      <c r="J802" s="304" t="n"/>
      <c r="K802" s="304" t="n"/>
      <c r="L802" s="304" t="n"/>
      <c r="M802" s="304" t="n"/>
      <c r="N802" s="304" t="n"/>
      <c r="O802" s="304" t="n"/>
      <c r="P802" s="304" t="n"/>
      <c r="Q802" s="304" t="n"/>
    </row>
    <row r="803" ht="13.8" customHeight="1" s="343">
      <c r="A803" s="388">
        <f>ROW()-22</f>
        <v/>
      </c>
      <c r="B803" s="536">
        <f>_xlfn.NORM.INV(RAND(),$B$6,$C$6)</f>
        <v/>
      </c>
      <c r="C803" s="536">
        <f>MIN(_xlfn.NORM.INV(RAND(),$B$7,$C$7),B803-0.005)</f>
        <v/>
      </c>
      <c r="D803" s="537">
        <f>_xlfn.NORM.INV(RAND(),$B$8,$C$8)</f>
        <v/>
      </c>
      <c r="E803" s="391">
        <f t="array" ref="E803">(SUMPRODUCT($B$13:$F$13*D803/(1+B803)^$B$14:$F$14)+($F$13*D803*(1+C803))/(B803-C803)/(1+B803)^$F$14-$B$15+$B$16)/$B$17</f>
        <v/>
      </c>
      <c r="F803" s="304" t="n"/>
      <c r="G803" s="304" t="n"/>
      <c r="H803" s="304" t="n"/>
      <c r="I803" s="304" t="n"/>
      <c r="J803" s="304" t="n"/>
      <c r="K803" s="304" t="n"/>
      <c r="L803" s="304" t="n"/>
      <c r="M803" s="304" t="n"/>
      <c r="N803" s="304" t="n"/>
      <c r="O803" s="304" t="n"/>
      <c r="P803" s="304" t="n"/>
      <c r="Q803" s="304" t="n"/>
    </row>
    <row r="804" ht="13.8" customHeight="1" s="343">
      <c r="A804" s="388">
        <f>ROW()-22</f>
        <v/>
      </c>
      <c r="B804" s="536">
        <f>_xlfn.NORM.INV(RAND(),$B$6,$C$6)</f>
        <v/>
      </c>
      <c r="C804" s="536">
        <f>MIN(_xlfn.NORM.INV(RAND(),$B$7,$C$7),B804-0.005)</f>
        <v/>
      </c>
      <c r="D804" s="537">
        <f>_xlfn.NORM.INV(RAND(),$B$8,$C$8)</f>
        <v/>
      </c>
      <c r="E804" s="391">
        <f t="array" ref="E804">(SUMPRODUCT($B$13:$F$13*D804/(1+B804)^$B$14:$F$14)+($F$13*D804*(1+C804))/(B804-C804)/(1+B804)^$F$14-$B$15+$B$16)/$B$17</f>
        <v/>
      </c>
      <c r="F804" s="304" t="n"/>
      <c r="G804" s="304" t="n"/>
      <c r="H804" s="304" t="n"/>
      <c r="I804" s="304" t="n"/>
      <c r="J804" s="304" t="n"/>
      <c r="K804" s="304" t="n"/>
      <c r="L804" s="304" t="n"/>
      <c r="M804" s="304" t="n"/>
      <c r="N804" s="304" t="n"/>
      <c r="O804" s="304" t="n"/>
      <c r="P804" s="304" t="n"/>
      <c r="Q804" s="304" t="n"/>
    </row>
    <row r="805" ht="13.8" customHeight="1" s="343">
      <c r="A805" s="388">
        <f>ROW()-22</f>
        <v/>
      </c>
      <c r="B805" s="536">
        <f>_xlfn.NORM.INV(RAND(),$B$6,$C$6)</f>
        <v/>
      </c>
      <c r="C805" s="536">
        <f>MIN(_xlfn.NORM.INV(RAND(),$B$7,$C$7),B805-0.005)</f>
        <v/>
      </c>
      <c r="D805" s="537">
        <f>_xlfn.NORM.INV(RAND(),$B$8,$C$8)</f>
        <v/>
      </c>
      <c r="E805" s="391">
        <f t="array" ref="E805">(SUMPRODUCT($B$13:$F$13*D805/(1+B805)^$B$14:$F$14)+($F$13*D805*(1+C805))/(B805-C805)/(1+B805)^$F$14-$B$15+$B$16)/$B$17</f>
        <v/>
      </c>
      <c r="F805" s="304" t="n"/>
      <c r="G805" s="304" t="n"/>
      <c r="H805" s="304" t="n"/>
      <c r="I805" s="304" t="n"/>
      <c r="J805" s="304" t="n"/>
      <c r="K805" s="304" t="n"/>
      <c r="L805" s="304" t="n"/>
      <c r="M805" s="304" t="n"/>
      <c r="N805" s="304" t="n"/>
      <c r="O805" s="304" t="n"/>
      <c r="P805" s="304" t="n"/>
      <c r="Q805" s="304" t="n"/>
    </row>
    <row r="806" ht="13.8" customHeight="1" s="343">
      <c r="A806" s="388">
        <f>ROW()-22</f>
        <v/>
      </c>
      <c r="B806" s="536">
        <f>_xlfn.NORM.INV(RAND(),$B$6,$C$6)</f>
        <v/>
      </c>
      <c r="C806" s="536">
        <f>MIN(_xlfn.NORM.INV(RAND(),$B$7,$C$7),B806-0.005)</f>
        <v/>
      </c>
      <c r="D806" s="537">
        <f>_xlfn.NORM.INV(RAND(),$B$8,$C$8)</f>
        <v/>
      </c>
      <c r="E806" s="391">
        <f t="array" ref="E806">(SUMPRODUCT($B$13:$F$13*D806/(1+B806)^$B$14:$F$14)+($F$13*D806*(1+C806))/(B806-C806)/(1+B806)^$F$14-$B$15+$B$16)/$B$17</f>
        <v/>
      </c>
      <c r="F806" s="304" t="n"/>
      <c r="G806" s="304" t="n"/>
      <c r="H806" s="304" t="n"/>
      <c r="I806" s="304" t="n"/>
      <c r="J806" s="304" t="n"/>
      <c r="K806" s="304" t="n"/>
      <c r="L806" s="304" t="n"/>
      <c r="M806" s="304" t="n"/>
      <c r="N806" s="304" t="n"/>
      <c r="O806" s="304" t="n"/>
      <c r="P806" s="304" t="n"/>
      <c r="Q806" s="304" t="n"/>
    </row>
    <row r="807" ht="13.8" customHeight="1" s="343">
      <c r="A807" s="388">
        <f>ROW()-22</f>
        <v/>
      </c>
      <c r="B807" s="536">
        <f>_xlfn.NORM.INV(RAND(),$B$6,$C$6)</f>
        <v/>
      </c>
      <c r="C807" s="536">
        <f>MIN(_xlfn.NORM.INV(RAND(),$B$7,$C$7),B807-0.005)</f>
        <v/>
      </c>
      <c r="D807" s="537">
        <f>_xlfn.NORM.INV(RAND(),$B$8,$C$8)</f>
        <v/>
      </c>
      <c r="E807" s="391">
        <f t="array" ref="E807">(SUMPRODUCT($B$13:$F$13*D807/(1+B807)^$B$14:$F$14)+($F$13*D807*(1+C807))/(B807-C807)/(1+B807)^$F$14-$B$15+$B$16)/$B$17</f>
        <v/>
      </c>
      <c r="F807" s="304" t="n"/>
      <c r="G807" s="304" t="n"/>
      <c r="H807" s="304" t="n"/>
      <c r="I807" s="304" t="n"/>
      <c r="J807" s="304" t="n"/>
      <c r="K807" s="304" t="n"/>
      <c r="L807" s="304" t="n"/>
      <c r="M807" s="304" t="n"/>
      <c r="N807" s="304" t="n"/>
      <c r="O807" s="304" t="n"/>
      <c r="P807" s="304" t="n"/>
      <c r="Q807" s="304" t="n"/>
    </row>
    <row r="808" ht="13.8" customHeight="1" s="343">
      <c r="A808" s="388">
        <f>ROW()-22</f>
        <v/>
      </c>
      <c r="B808" s="536">
        <f>_xlfn.NORM.INV(RAND(),$B$6,$C$6)</f>
        <v/>
      </c>
      <c r="C808" s="536">
        <f>MIN(_xlfn.NORM.INV(RAND(),$B$7,$C$7),B808-0.005)</f>
        <v/>
      </c>
      <c r="D808" s="537">
        <f>_xlfn.NORM.INV(RAND(),$B$8,$C$8)</f>
        <v/>
      </c>
      <c r="E808" s="391">
        <f t="array" ref="E808">(SUMPRODUCT($B$13:$F$13*D808/(1+B808)^$B$14:$F$14)+($F$13*D808*(1+C808))/(B808-C808)/(1+B808)^$F$14-$B$15+$B$16)/$B$17</f>
        <v/>
      </c>
      <c r="F808" s="304" t="n"/>
      <c r="G808" s="304" t="n"/>
      <c r="H808" s="304" t="n"/>
      <c r="I808" s="304" t="n"/>
      <c r="J808" s="304" t="n"/>
      <c r="K808" s="304" t="n"/>
      <c r="L808" s="304" t="n"/>
      <c r="M808" s="304" t="n"/>
      <c r="N808" s="304" t="n"/>
      <c r="O808" s="304" t="n"/>
      <c r="P808" s="304" t="n"/>
      <c r="Q808" s="304" t="n"/>
    </row>
    <row r="809" ht="13.8" customHeight="1" s="343">
      <c r="A809" s="388">
        <f>ROW()-22</f>
        <v/>
      </c>
      <c r="B809" s="536">
        <f>_xlfn.NORM.INV(RAND(),$B$6,$C$6)</f>
        <v/>
      </c>
      <c r="C809" s="536">
        <f>MIN(_xlfn.NORM.INV(RAND(),$B$7,$C$7),B809-0.005)</f>
        <v/>
      </c>
      <c r="D809" s="537">
        <f>_xlfn.NORM.INV(RAND(),$B$8,$C$8)</f>
        <v/>
      </c>
      <c r="E809" s="391">
        <f t="array" ref="E809">(SUMPRODUCT($B$13:$F$13*D809/(1+B809)^$B$14:$F$14)+($F$13*D809*(1+C809))/(B809-C809)/(1+B809)^$F$14-$B$15+$B$16)/$B$17</f>
        <v/>
      </c>
      <c r="F809" s="304" t="n"/>
      <c r="G809" s="304" t="n"/>
      <c r="H809" s="304" t="n"/>
      <c r="I809" s="304" t="n"/>
      <c r="J809" s="304" t="n"/>
      <c r="K809" s="304" t="n"/>
      <c r="L809" s="304" t="n"/>
      <c r="M809" s="304" t="n"/>
      <c r="N809" s="304" t="n"/>
      <c r="O809" s="304" t="n"/>
      <c r="P809" s="304" t="n"/>
      <c r="Q809" s="304" t="n"/>
    </row>
    <row r="810" ht="13.8" customHeight="1" s="343">
      <c r="A810" s="388">
        <f>ROW()-22</f>
        <v/>
      </c>
      <c r="B810" s="536">
        <f>_xlfn.NORM.INV(RAND(),$B$6,$C$6)</f>
        <v/>
      </c>
      <c r="C810" s="536">
        <f>MIN(_xlfn.NORM.INV(RAND(),$B$7,$C$7),B810-0.005)</f>
        <v/>
      </c>
      <c r="D810" s="537">
        <f>_xlfn.NORM.INV(RAND(),$B$8,$C$8)</f>
        <v/>
      </c>
      <c r="E810" s="391">
        <f t="array" ref="E810">(SUMPRODUCT($B$13:$F$13*D810/(1+B810)^$B$14:$F$14)+($F$13*D810*(1+C810))/(B810-C810)/(1+B810)^$F$14-$B$15+$B$16)/$B$17</f>
        <v/>
      </c>
      <c r="F810" s="304" t="n"/>
      <c r="G810" s="304" t="n"/>
      <c r="H810" s="304" t="n"/>
      <c r="I810" s="304" t="n"/>
      <c r="J810" s="304" t="n"/>
      <c r="K810" s="304" t="n"/>
      <c r="L810" s="304" t="n"/>
      <c r="M810" s="304" t="n"/>
      <c r="N810" s="304" t="n"/>
      <c r="O810" s="304" t="n"/>
      <c r="P810" s="304" t="n"/>
      <c r="Q810" s="304" t="n"/>
    </row>
    <row r="811" ht="13.8" customHeight="1" s="343">
      <c r="A811" s="388">
        <f>ROW()-22</f>
        <v/>
      </c>
      <c r="B811" s="536">
        <f>_xlfn.NORM.INV(RAND(),$B$6,$C$6)</f>
        <v/>
      </c>
      <c r="C811" s="536">
        <f>MIN(_xlfn.NORM.INV(RAND(),$B$7,$C$7),B811-0.005)</f>
        <v/>
      </c>
      <c r="D811" s="537">
        <f>_xlfn.NORM.INV(RAND(),$B$8,$C$8)</f>
        <v/>
      </c>
      <c r="E811" s="391">
        <f t="array" ref="E811">(SUMPRODUCT($B$13:$F$13*D811/(1+B811)^$B$14:$F$14)+($F$13*D811*(1+C811))/(B811-C811)/(1+B811)^$F$14-$B$15+$B$16)/$B$17</f>
        <v/>
      </c>
      <c r="F811" s="304" t="n"/>
      <c r="G811" s="304" t="n"/>
      <c r="H811" s="304" t="n"/>
      <c r="I811" s="304" t="n"/>
      <c r="J811" s="304" t="n"/>
      <c r="K811" s="304" t="n"/>
      <c r="L811" s="304" t="n"/>
      <c r="M811" s="304" t="n"/>
      <c r="N811" s="304" t="n"/>
      <c r="O811" s="304" t="n"/>
      <c r="P811" s="304" t="n"/>
      <c r="Q811" s="304" t="n"/>
    </row>
    <row r="812" ht="13.8" customHeight="1" s="343">
      <c r="A812" s="388">
        <f>ROW()-22</f>
        <v/>
      </c>
      <c r="B812" s="536">
        <f>_xlfn.NORM.INV(RAND(),$B$6,$C$6)</f>
        <v/>
      </c>
      <c r="C812" s="536">
        <f>MIN(_xlfn.NORM.INV(RAND(),$B$7,$C$7),B812-0.005)</f>
        <v/>
      </c>
      <c r="D812" s="537">
        <f>_xlfn.NORM.INV(RAND(),$B$8,$C$8)</f>
        <v/>
      </c>
      <c r="E812" s="391">
        <f t="array" ref="E812">(SUMPRODUCT($B$13:$F$13*D812/(1+B812)^$B$14:$F$14)+($F$13*D812*(1+C812))/(B812-C812)/(1+B812)^$F$14-$B$15+$B$16)/$B$17</f>
        <v/>
      </c>
      <c r="F812" s="304" t="n"/>
      <c r="G812" s="304" t="n"/>
      <c r="H812" s="304" t="n"/>
      <c r="I812" s="304" t="n"/>
      <c r="J812" s="304" t="n"/>
      <c r="K812" s="304" t="n"/>
      <c r="L812" s="304" t="n"/>
      <c r="M812" s="304" t="n"/>
      <c r="N812" s="304" t="n"/>
      <c r="O812" s="304" t="n"/>
      <c r="P812" s="304" t="n"/>
      <c r="Q812" s="304" t="n"/>
    </row>
    <row r="813" ht="13.8" customHeight="1" s="343">
      <c r="A813" s="388">
        <f>ROW()-22</f>
        <v/>
      </c>
      <c r="B813" s="536">
        <f>_xlfn.NORM.INV(RAND(),$B$6,$C$6)</f>
        <v/>
      </c>
      <c r="C813" s="536">
        <f>MIN(_xlfn.NORM.INV(RAND(),$B$7,$C$7),B813-0.005)</f>
        <v/>
      </c>
      <c r="D813" s="537">
        <f>_xlfn.NORM.INV(RAND(),$B$8,$C$8)</f>
        <v/>
      </c>
      <c r="E813" s="391">
        <f t="array" ref="E813">(SUMPRODUCT($B$13:$F$13*D813/(1+B813)^$B$14:$F$14)+($F$13*D813*(1+C813))/(B813-C813)/(1+B813)^$F$14-$B$15+$B$16)/$B$17</f>
        <v/>
      </c>
      <c r="F813" s="304" t="n"/>
      <c r="G813" s="304" t="n"/>
      <c r="H813" s="304" t="n"/>
      <c r="I813" s="304" t="n"/>
      <c r="J813" s="304" t="n"/>
      <c r="K813" s="304" t="n"/>
      <c r="L813" s="304" t="n"/>
      <c r="M813" s="304" t="n"/>
      <c r="N813" s="304" t="n"/>
      <c r="O813" s="304" t="n"/>
      <c r="P813" s="304" t="n"/>
      <c r="Q813" s="304" t="n"/>
    </row>
    <row r="814" ht="13.8" customHeight="1" s="343">
      <c r="A814" s="388">
        <f>ROW()-22</f>
        <v/>
      </c>
      <c r="B814" s="536">
        <f>_xlfn.NORM.INV(RAND(),$B$6,$C$6)</f>
        <v/>
      </c>
      <c r="C814" s="536">
        <f>MIN(_xlfn.NORM.INV(RAND(),$B$7,$C$7),B814-0.005)</f>
        <v/>
      </c>
      <c r="D814" s="537">
        <f>_xlfn.NORM.INV(RAND(),$B$8,$C$8)</f>
        <v/>
      </c>
      <c r="E814" s="391">
        <f t="array" ref="E814">(SUMPRODUCT($B$13:$F$13*D814/(1+B814)^$B$14:$F$14)+($F$13*D814*(1+C814))/(B814-C814)/(1+B814)^$F$14-$B$15+$B$16)/$B$17</f>
        <v/>
      </c>
      <c r="F814" s="304" t="n"/>
      <c r="G814" s="304" t="n"/>
      <c r="H814" s="304" t="n"/>
      <c r="I814" s="304" t="n"/>
      <c r="J814" s="304" t="n"/>
      <c r="K814" s="304" t="n"/>
      <c r="L814" s="304" t="n"/>
      <c r="M814" s="304" t="n"/>
      <c r="N814" s="304" t="n"/>
      <c r="O814" s="304" t="n"/>
      <c r="P814" s="304" t="n"/>
      <c r="Q814" s="304" t="n"/>
    </row>
    <row r="815" ht="13.8" customHeight="1" s="343">
      <c r="A815" s="388">
        <f>ROW()-22</f>
        <v/>
      </c>
      <c r="B815" s="536">
        <f>_xlfn.NORM.INV(RAND(),$B$6,$C$6)</f>
        <v/>
      </c>
      <c r="C815" s="536">
        <f>MIN(_xlfn.NORM.INV(RAND(),$B$7,$C$7),B815-0.005)</f>
        <v/>
      </c>
      <c r="D815" s="537">
        <f>_xlfn.NORM.INV(RAND(),$B$8,$C$8)</f>
        <v/>
      </c>
      <c r="E815" s="391">
        <f t="array" ref="E815">(SUMPRODUCT($B$13:$F$13*D815/(1+B815)^$B$14:$F$14)+($F$13*D815*(1+C815))/(B815-C815)/(1+B815)^$F$14-$B$15+$B$16)/$B$17</f>
        <v/>
      </c>
      <c r="F815" s="304" t="n"/>
      <c r="G815" s="304" t="n"/>
      <c r="H815" s="304" t="n"/>
      <c r="I815" s="304" t="n"/>
      <c r="J815" s="304" t="n"/>
      <c r="K815" s="304" t="n"/>
      <c r="L815" s="304" t="n"/>
      <c r="M815" s="304" t="n"/>
      <c r="N815" s="304" t="n"/>
      <c r="O815" s="304" t="n"/>
      <c r="P815" s="304" t="n"/>
      <c r="Q815" s="304" t="n"/>
    </row>
    <row r="816" ht="13.8" customHeight="1" s="343">
      <c r="A816" s="388">
        <f>ROW()-22</f>
        <v/>
      </c>
      <c r="B816" s="536">
        <f>_xlfn.NORM.INV(RAND(),$B$6,$C$6)</f>
        <v/>
      </c>
      <c r="C816" s="536">
        <f>MIN(_xlfn.NORM.INV(RAND(),$B$7,$C$7),B816-0.005)</f>
        <v/>
      </c>
      <c r="D816" s="537">
        <f>_xlfn.NORM.INV(RAND(),$B$8,$C$8)</f>
        <v/>
      </c>
      <c r="E816" s="391">
        <f t="array" ref="E816">(SUMPRODUCT($B$13:$F$13*D816/(1+B816)^$B$14:$F$14)+($F$13*D816*(1+C816))/(B816-C816)/(1+B816)^$F$14-$B$15+$B$16)/$B$17</f>
        <v/>
      </c>
      <c r="F816" s="304" t="n"/>
      <c r="G816" s="304" t="n"/>
      <c r="H816" s="304" t="n"/>
      <c r="I816" s="304" t="n"/>
      <c r="J816" s="304" t="n"/>
      <c r="K816" s="304" t="n"/>
      <c r="L816" s="304" t="n"/>
      <c r="M816" s="304" t="n"/>
      <c r="N816" s="304" t="n"/>
      <c r="O816" s="304" t="n"/>
      <c r="P816" s="304" t="n"/>
      <c r="Q816" s="304" t="n"/>
    </row>
    <row r="817" ht="13.8" customHeight="1" s="343">
      <c r="A817" s="388">
        <f>ROW()-22</f>
        <v/>
      </c>
      <c r="B817" s="536">
        <f>_xlfn.NORM.INV(RAND(),$B$6,$C$6)</f>
        <v/>
      </c>
      <c r="C817" s="536">
        <f>MIN(_xlfn.NORM.INV(RAND(),$B$7,$C$7),B817-0.005)</f>
        <v/>
      </c>
      <c r="D817" s="537">
        <f>_xlfn.NORM.INV(RAND(),$B$8,$C$8)</f>
        <v/>
      </c>
      <c r="E817" s="391">
        <f t="array" ref="E817">(SUMPRODUCT($B$13:$F$13*D817/(1+B817)^$B$14:$F$14)+($F$13*D817*(1+C817))/(B817-C817)/(1+B817)^$F$14-$B$15+$B$16)/$B$17</f>
        <v/>
      </c>
      <c r="F817" s="304" t="n"/>
      <c r="G817" s="304" t="n"/>
      <c r="H817" s="304" t="n"/>
      <c r="I817" s="304" t="n"/>
      <c r="J817" s="304" t="n"/>
      <c r="K817" s="304" t="n"/>
      <c r="L817" s="304" t="n"/>
      <c r="M817" s="304" t="n"/>
      <c r="N817" s="304" t="n"/>
      <c r="O817" s="304" t="n"/>
      <c r="P817" s="304" t="n"/>
      <c r="Q817" s="304" t="n"/>
    </row>
    <row r="818" ht="13.8" customHeight="1" s="343">
      <c r="A818" s="388">
        <f>ROW()-22</f>
        <v/>
      </c>
      <c r="B818" s="536">
        <f>_xlfn.NORM.INV(RAND(),$B$6,$C$6)</f>
        <v/>
      </c>
      <c r="C818" s="536">
        <f>MIN(_xlfn.NORM.INV(RAND(),$B$7,$C$7),B818-0.005)</f>
        <v/>
      </c>
      <c r="D818" s="537">
        <f>_xlfn.NORM.INV(RAND(),$B$8,$C$8)</f>
        <v/>
      </c>
      <c r="E818" s="391">
        <f t="array" ref="E818">(SUMPRODUCT($B$13:$F$13*D818/(1+B818)^$B$14:$F$14)+($F$13*D818*(1+C818))/(B818-C818)/(1+B818)^$F$14-$B$15+$B$16)/$B$17</f>
        <v/>
      </c>
      <c r="F818" s="304" t="n"/>
      <c r="G818" s="304" t="n"/>
      <c r="H818" s="304" t="n"/>
      <c r="I818" s="304" t="n"/>
      <c r="J818" s="304" t="n"/>
      <c r="K818" s="304" t="n"/>
      <c r="L818" s="304" t="n"/>
      <c r="M818" s="304" t="n"/>
      <c r="N818" s="304" t="n"/>
      <c r="O818" s="304" t="n"/>
      <c r="P818" s="304" t="n"/>
      <c r="Q818" s="304" t="n"/>
    </row>
    <row r="819" ht="13.8" customHeight="1" s="343">
      <c r="A819" s="388">
        <f>ROW()-22</f>
        <v/>
      </c>
      <c r="B819" s="536">
        <f>_xlfn.NORM.INV(RAND(),$B$6,$C$6)</f>
        <v/>
      </c>
      <c r="C819" s="536">
        <f>MIN(_xlfn.NORM.INV(RAND(),$B$7,$C$7),B819-0.005)</f>
        <v/>
      </c>
      <c r="D819" s="537">
        <f>_xlfn.NORM.INV(RAND(),$B$8,$C$8)</f>
        <v/>
      </c>
      <c r="E819" s="391">
        <f t="array" ref="E819">(SUMPRODUCT($B$13:$F$13*D819/(1+B819)^$B$14:$F$14)+($F$13*D819*(1+C819))/(B819-C819)/(1+B819)^$F$14-$B$15+$B$16)/$B$17</f>
        <v/>
      </c>
      <c r="F819" s="304" t="n"/>
      <c r="G819" s="304" t="n"/>
      <c r="H819" s="304" t="n"/>
      <c r="I819" s="304" t="n"/>
      <c r="J819" s="304" t="n"/>
      <c r="K819" s="304" t="n"/>
      <c r="L819" s="304" t="n"/>
      <c r="M819" s="304" t="n"/>
      <c r="N819" s="304" t="n"/>
      <c r="O819" s="304" t="n"/>
      <c r="P819" s="304" t="n"/>
      <c r="Q819" s="304" t="n"/>
    </row>
    <row r="820" ht="13.8" customHeight="1" s="343">
      <c r="A820" s="388">
        <f>ROW()-22</f>
        <v/>
      </c>
      <c r="B820" s="536">
        <f>_xlfn.NORM.INV(RAND(),$B$6,$C$6)</f>
        <v/>
      </c>
      <c r="C820" s="536">
        <f>MIN(_xlfn.NORM.INV(RAND(),$B$7,$C$7),B820-0.005)</f>
        <v/>
      </c>
      <c r="D820" s="537">
        <f>_xlfn.NORM.INV(RAND(),$B$8,$C$8)</f>
        <v/>
      </c>
      <c r="E820" s="391">
        <f t="array" ref="E820">(SUMPRODUCT($B$13:$F$13*D820/(1+B820)^$B$14:$F$14)+($F$13*D820*(1+C820))/(B820-C820)/(1+B820)^$F$14-$B$15+$B$16)/$B$17</f>
        <v/>
      </c>
      <c r="F820" s="304" t="n"/>
      <c r="G820" s="304" t="n"/>
      <c r="H820" s="304" t="n"/>
      <c r="I820" s="304" t="n"/>
      <c r="J820" s="304" t="n"/>
      <c r="K820" s="304" t="n"/>
      <c r="L820" s="304" t="n"/>
      <c r="M820" s="304" t="n"/>
      <c r="N820" s="304" t="n"/>
      <c r="O820" s="304" t="n"/>
      <c r="P820" s="304" t="n"/>
      <c r="Q820" s="304" t="n"/>
    </row>
    <row r="821" ht="13.8" customHeight="1" s="343">
      <c r="A821" s="388">
        <f>ROW()-22</f>
        <v/>
      </c>
      <c r="B821" s="536">
        <f>_xlfn.NORM.INV(RAND(),$B$6,$C$6)</f>
        <v/>
      </c>
      <c r="C821" s="536">
        <f>MIN(_xlfn.NORM.INV(RAND(),$B$7,$C$7),B821-0.005)</f>
        <v/>
      </c>
      <c r="D821" s="537">
        <f>_xlfn.NORM.INV(RAND(),$B$8,$C$8)</f>
        <v/>
      </c>
      <c r="E821" s="391">
        <f t="array" ref="E821">(SUMPRODUCT($B$13:$F$13*D821/(1+B821)^$B$14:$F$14)+($F$13*D821*(1+C821))/(B821-C821)/(1+B821)^$F$14-$B$15+$B$16)/$B$17</f>
        <v/>
      </c>
      <c r="F821" s="304" t="n"/>
      <c r="G821" s="304" t="n"/>
      <c r="H821" s="304" t="n"/>
      <c r="I821" s="304" t="n"/>
      <c r="J821" s="304" t="n"/>
      <c r="K821" s="304" t="n"/>
      <c r="L821" s="304" t="n"/>
      <c r="M821" s="304" t="n"/>
      <c r="N821" s="304" t="n"/>
      <c r="O821" s="304" t="n"/>
      <c r="P821" s="304" t="n"/>
      <c r="Q821" s="304" t="n"/>
    </row>
    <row r="822" ht="13.8" customHeight="1" s="343">
      <c r="A822" s="388">
        <f>ROW()-22</f>
        <v/>
      </c>
      <c r="B822" s="536">
        <f>_xlfn.NORM.INV(RAND(),$B$6,$C$6)</f>
        <v/>
      </c>
      <c r="C822" s="536">
        <f>MIN(_xlfn.NORM.INV(RAND(),$B$7,$C$7),B822-0.005)</f>
        <v/>
      </c>
      <c r="D822" s="537">
        <f>_xlfn.NORM.INV(RAND(),$B$8,$C$8)</f>
        <v/>
      </c>
      <c r="E822" s="391">
        <f t="array" ref="E822">(SUMPRODUCT($B$13:$F$13*D822/(1+B822)^$B$14:$F$14)+($F$13*D822*(1+C822))/(B822-C822)/(1+B822)^$F$14-$B$15+$B$16)/$B$17</f>
        <v/>
      </c>
      <c r="F822" s="304" t="n"/>
      <c r="G822" s="304" t="n"/>
      <c r="H822" s="304" t="n"/>
      <c r="I822" s="304" t="n"/>
      <c r="J822" s="304" t="n"/>
      <c r="K822" s="304" t="n"/>
      <c r="L822" s="304" t="n"/>
      <c r="M822" s="304" t="n"/>
      <c r="N822" s="304" t="n"/>
      <c r="O822" s="304" t="n"/>
      <c r="P822" s="304" t="n"/>
      <c r="Q822" s="304" t="n"/>
    </row>
    <row r="823" ht="13.8" customHeight="1" s="343">
      <c r="A823" s="388">
        <f>ROW()-22</f>
        <v/>
      </c>
      <c r="B823" s="536">
        <f>_xlfn.NORM.INV(RAND(),$B$6,$C$6)</f>
        <v/>
      </c>
      <c r="C823" s="536">
        <f>MIN(_xlfn.NORM.INV(RAND(),$B$7,$C$7),B823-0.005)</f>
        <v/>
      </c>
      <c r="D823" s="537">
        <f>_xlfn.NORM.INV(RAND(),$B$8,$C$8)</f>
        <v/>
      </c>
      <c r="E823" s="391">
        <f t="array" ref="E823">(SUMPRODUCT($B$13:$F$13*D823/(1+B823)^$B$14:$F$14)+($F$13*D823*(1+C823))/(B823-C823)/(1+B823)^$F$14-$B$15+$B$16)/$B$17</f>
        <v/>
      </c>
      <c r="F823" s="304" t="n"/>
      <c r="G823" s="304" t="n"/>
      <c r="H823" s="304" t="n"/>
      <c r="I823" s="304" t="n"/>
      <c r="J823" s="304" t="n"/>
      <c r="K823" s="304" t="n"/>
      <c r="L823" s="304" t="n"/>
      <c r="M823" s="304" t="n"/>
      <c r="N823" s="304" t="n"/>
      <c r="O823" s="304" t="n"/>
      <c r="P823" s="304" t="n"/>
      <c r="Q823" s="304" t="n"/>
    </row>
    <row r="824" ht="13.8" customHeight="1" s="343">
      <c r="A824" s="388">
        <f>ROW()-22</f>
        <v/>
      </c>
      <c r="B824" s="536">
        <f>_xlfn.NORM.INV(RAND(),$B$6,$C$6)</f>
        <v/>
      </c>
      <c r="C824" s="536">
        <f>MIN(_xlfn.NORM.INV(RAND(),$B$7,$C$7),B824-0.005)</f>
        <v/>
      </c>
      <c r="D824" s="537">
        <f>_xlfn.NORM.INV(RAND(),$B$8,$C$8)</f>
        <v/>
      </c>
      <c r="E824" s="391">
        <f t="array" ref="E824">(SUMPRODUCT($B$13:$F$13*D824/(1+B824)^$B$14:$F$14)+($F$13*D824*(1+C824))/(B824-C824)/(1+B824)^$F$14-$B$15+$B$16)/$B$17</f>
        <v/>
      </c>
      <c r="F824" s="304" t="n"/>
      <c r="G824" s="304" t="n"/>
      <c r="H824" s="304" t="n"/>
      <c r="I824" s="304" t="n"/>
      <c r="J824" s="304" t="n"/>
      <c r="K824" s="304" t="n"/>
      <c r="L824" s="304" t="n"/>
      <c r="M824" s="304" t="n"/>
      <c r="N824" s="304" t="n"/>
      <c r="O824" s="304" t="n"/>
      <c r="P824" s="304" t="n"/>
      <c r="Q824" s="304" t="n"/>
    </row>
    <row r="825" ht="13.8" customHeight="1" s="343">
      <c r="A825" s="388">
        <f>ROW()-22</f>
        <v/>
      </c>
      <c r="B825" s="536">
        <f>_xlfn.NORM.INV(RAND(),$B$6,$C$6)</f>
        <v/>
      </c>
      <c r="C825" s="536">
        <f>MIN(_xlfn.NORM.INV(RAND(),$B$7,$C$7),B825-0.005)</f>
        <v/>
      </c>
      <c r="D825" s="537">
        <f>_xlfn.NORM.INV(RAND(),$B$8,$C$8)</f>
        <v/>
      </c>
      <c r="E825" s="391">
        <f t="array" ref="E825">(SUMPRODUCT($B$13:$F$13*D825/(1+B825)^$B$14:$F$14)+($F$13*D825*(1+C825))/(B825-C825)/(1+B825)^$F$14-$B$15+$B$16)/$B$17</f>
        <v/>
      </c>
      <c r="F825" s="304" t="n"/>
      <c r="G825" s="304" t="n"/>
      <c r="H825" s="304" t="n"/>
      <c r="I825" s="304" t="n"/>
      <c r="J825" s="304" t="n"/>
      <c r="K825" s="304" t="n"/>
      <c r="L825" s="304" t="n"/>
      <c r="M825" s="304" t="n"/>
      <c r="N825" s="304" t="n"/>
      <c r="O825" s="304" t="n"/>
      <c r="P825" s="304" t="n"/>
      <c r="Q825" s="304" t="n"/>
    </row>
    <row r="826" ht="13.8" customHeight="1" s="343">
      <c r="A826" s="388">
        <f>ROW()-22</f>
        <v/>
      </c>
      <c r="B826" s="536">
        <f>_xlfn.NORM.INV(RAND(),$B$6,$C$6)</f>
        <v/>
      </c>
      <c r="C826" s="536">
        <f>MIN(_xlfn.NORM.INV(RAND(),$B$7,$C$7),B826-0.005)</f>
        <v/>
      </c>
      <c r="D826" s="537">
        <f>_xlfn.NORM.INV(RAND(),$B$8,$C$8)</f>
        <v/>
      </c>
      <c r="E826" s="391">
        <f t="array" ref="E826">(SUMPRODUCT($B$13:$F$13*D826/(1+B826)^$B$14:$F$14)+($F$13*D826*(1+C826))/(B826-C826)/(1+B826)^$F$14-$B$15+$B$16)/$B$17</f>
        <v/>
      </c>
      <c r="F826" s="304" t="n"/>
      <c r="G826" s="304" t="n"/>
      <c r="H826" s="304" t="n"/>
      <c r="I826" s="304" t="n"/>
      <c r="J826" s="304" t="n"/>
      <c r="K826" s="304" t="n"/>
      <c r="L826" s="304" t="n"/>
      <c r="M826" s="304" t="n"/>
      <c r="N826" s="304" t="n"/>
      <c r="O826" s="304" t="n"/>
      <c r="P826" s="304" t="n"/>
      <c r="Q826" s="304" t="n"/>
    </row>
    <row r="827" ht="13.8" customHeight="1" s="343">
      <c r="A827" s="388">
        <f>ROW()-22</f>
        <v/>
      </c>
      <c r="B827" s="536">
        <f>_xlfn.NORM.INV(RAND(),$B$6,$C$6)</f>
        <v/>
      </c>
      <c r="C827" s="536">
        <f>MIN(_xlfn.NORM.INV(RAND(),$B$7,$C$7),B827-0.005)</f>
        <v/>
      </c>
      <c r="D827" s="537">
        <f>_xlfn.NORM.INV(RAND(),$B$8,$C$8)</f>
        <v/>
      </c>
      <c r="E827" s="391">
        <f t="array" ref="E827">(SUMPRODUCT($B$13:$F$13*D827/(1+B827)^$B$14:$F$14)+($F$13*D827*(1+C827))/(B827-C827)/(1+B827)^$F$14-$B$15+$B$16)/$B$17</f>
        <v/>
      </c>
      <c r="F827" s="304" t="n"/>
      <c r="G827" s="304" t="n"/>
      <c r="H827" s="304" t="n"/>
      <c r="I827" s="304" t="n"/>
      <c r="J827" s="304" t="n"/>
      <c r="K827" s="304" t="n"/>
      <c r="L827" s="304" t="n"/>
      <c r="M827" s="304" t="n"/>
      <c r="N827" s="304" t="n"/>
      <c r="O827" s="304" t="n"/>
      <c r="P827" s="304" t="n"/>
      <c r="Q827" s="304" t="n"/>
    </row>
    <row r="828" ht="13.8" customHeight="1" s="343">
      <c r="A828" s="388">
        <f>ROW()-22</f>
        <v/>
      </c>
      <c r="B828" s="536">
        <f>_xlfn.NORM.INV(RAND(),$B$6,$C$6)</f>
        <v/>
      </c>
      <c r="C828" s="536">
        <f>MIN(_xlfn.NORM.INV(RAND(),$B$7,$C$7),B828-0.005)</f>
        <v/>
      </c>
      <c r="D828" s="537">
        <f>_xlfn.NORM.INV(RAND(),$B$8,$C$8)</f>
        <v/>
      </c>
      <c r="E828" s="391">
        <f t="array" ref="E828">(SUMPRODUCT($B$13:$F$13*D828/(1+B828)^$B$14:$F$14)+($F$13*D828*(1+C828))/(B828-C828)/(1+B828)^$F$14-$B$15+$B$16)/$B$17</f>
        <v/>
      </c>
      <c r="F828" s="304" t="n"/>
      <c r="G828" s="304" t="n"/>
      <c r="H828" s="304" t="n"/>
      <c r="I828" s="304" t="n"/>
      <c r="J828" s="304" t="n"/>
      <c r="K828" s="304" t="n"/>
      <c r="L828" s="304" t="n"/>
      <c r="M828" s="304" t="n"/>
      <c r="N828" s="304" t="n"/>
      <c r="O828" s="304" t="n"/>
      <c r="P828" s="304" t="n"/>
      <c r="Q828" s="304" t="n"/>
    </row>
    <row r="829" ht="13.8" customHeight="1" s="343">
      <c r="A829" s="388">
        <f>ROW()-22</f>
        <v/>
      </c>
      <c r="B829" s="536">
        <f>_xlfn.NORM.INV(RAND(),$B$6,$C$6)</f>
        <v/>
      </c>
      <c r="C829" s="536">
        <f>MIN(_xlfn.NORM.INV(RAND(),$B$7,$C$7),B829-0.005)</f>
        <v/>
      </c>
      <c r="D829" s="537">
        <f>_xlfn.NORM.INV(RAND(),$B$8,$C$8)</f>
        <v/>
      </c>
      <c r="E829" s="391">
        <f t="array" ref="E829">(SUMPRODUCT($B$13:$F$13*D829/(1+B829)^$B$14:$F$14)+($F$13*D829*(1+C829))/(B829-C829)/(1+B829)^$F$14-$B$15+$B$16)/$B$17</f>
        <v/>
      </c>
      <c r="F829" s="304" t="n"/>
      <c r="G829" s="304" t="n"/>
      <c r="H829" s="304" t="n"/>
      <c r="I829" s="304" t="n"/>
      <c r="J829" s="304" t="n"/>
      <c r="K829" s="304" t="n"/>
      <c r="L829" s="304" t="n"/>
      <c r="M829" s="304" t="n"/>
      <c r="N829" s="304" t="n"/>
      <c r="O829" s="304" t="n"/>
      <c r="P829" s="304" t="n"/>
      <c r="Q829" s="304" t="n"/>
    </row>
    <row r="830" ht="13.8" customHeight="1" s="343">
      <c r="A830" s="388">
        <f>ROW()-22</f>
        <v/>
      </c>
      <c r="B830" s="536">
        <f>_xlfn.NORM.INV(RAND(),$B$6,$C$6)</f>
        <v/>
      </c>
      <c r="C830" s="536">
        <f>MIN(_xlfn.NORM.INV(RAND(),$B$7,$C$7),B830-0.005)</f>
        <v/>
      </c>
      <c r="D830" s="537">
        <f>_xlfn.NORM.INV(RAND(),$B$8,$C$8)</f>
        <v/>
      </c>
      <c r="E830" s="391">
        <f t="array" ref="E830">(SUMPRODUCT($B$13:$F$13*D830/(1+B830)^$B$14:$F$14)+($F$13*D830*(1+C830))/(B830-C830)/(1+B830)^$F$14-$B$15+$B$16)/$B$17</f>
        <v/>
      </c>
      <c r="F830" s="304" t="n"/>
      <c r="G830" s="304" t="n"/>
      <c r="H830" s="304" t="n"/>
      <c r="I830" s="304" t="n"/>
      <c r="J830" s="304" t="n"/>
      <c r="K830" s="304" t="n"/>
      <c r="L830" s="304" t="n"/>
      <c r="M830" s="304" t="n"/>
      <c r="N830" s="304" t="n"/>
      <c r="O830" s="304" t="n"/>
      <c r="P830" s="304" t="n"/>
      <c r="Q830" s="304" t="n"/>
    </row>
    <row r="831" ht="13.8" customHeight="1" s="343">
      <c r="A831" s="388">
        <f>ROW()-22</f>
        <v/>
      </c>
      <c r="B831" s="536">
        <f>_xlfn.NORM.INV(RAND(),$B$6,$C$6)</f>
        <v/>
      </c>
      <c r="C831" s="536">
        <f>MIN(_xlfn.NORM.INV(RAND(),$B$7,$C$7),B831-0.005)</f>
        <v/>
      </c>
      <c r="D831" s="537">
        <f>_xlfn.NORM.INV(RAND(),$B$8,$C$8)</f>
        <v/>
      </c>
      <c r="E831" s="391">
        <f t="array" ref="E831">(SUMPRODUCT($B$13:$F$13*D831/(1+B831)^$B$14:$F$14)+($F$13*D831*(1+C831))/(B831-C831)/(1+B831)^$F$14-$B$15+$B$16)/$B$17</f>
        <v/>
      </c>
      <c r="F831" s="304" t="n"/>
      <c r="G831" s="304" t="n"/>
      <c r="H831" s="304" t="n"/>
      <c r="I831" s="304" t="n"/>
      <c r="J831" s="304" t="n"/>
      <c r="K831" s="304" t="n"/>
      <c r="L831" s="304" t="n"/>
      <c r="M831" s="304" t="n"/>
      <c r="N831" s="304" t="n"/>
      <c r="O831" s="304" t="n"/>
      <c r="P831" s="304" t="n"/>
      <c r="Q831" s="304" t="n"/>
    </row>
    <row r="832" ht="13.8" customHeight="1" s="343">
      <c r="A832" s="388">
        <f>ROW()-22</f>
        <v/>
      </c>
      <c r="B832" s="536">
        <f>_xlfn.NORM.INV(RAND(),$B$6,$C$6)</f>
        <v/>
      </c>
      <c r="C832" s="536">
        <f>MIN(_xlfn.NORM.INV(RAND(),$B$7,$C$7),B832-0.005)</f>
        <v/>
      </c>
      <c r="D832" s="537">
        <f>_xlfn.NORM.INV(RAND(),$B$8,$C$8)</f>
        <v/>
      </c>
      <c r="E832" s="391">
        <f t="array" ref="E832">(SUMPRODUCT($B$13:$F$13*D832/(1+B832)^$B$14:$F$14)+($F$13*D832*(1+C832))/(B832-C832)/(1+B832)^$F$14-$B$15+$B$16)/$B$17</f>
        <v/>
      </c>
      <c r="F832" s="304" t="n"/>
      <c r="G832" s="304" t="n"/>
      <c r="H832" s="304" t="n"/>
      <c r="I832" s="304" t="n"/>
      <c r="J832" s="304" t="n"/>
      <c r="K832" s="304" t="n"/>
      <c r="L832" s="304" t="n"/>
      <c r="M832" s="304" t="n"/>
      <c r="N832" s="304" t="n"/>
      <c r="O832" s="304" t="n"/>
      <c r="P832" s="304" t="n"/>
      <c r="Q832" s="304" t="n"/>
    </row>
    <row r="833" ht="13.8" customHeight="1" s="343">
      <c r="A833" s="388">
        <f>ROW()-22</f>
        <v/>
      </c>
      <c r="B833" s="536">
        <f>_xlfn.NORM.INV(RAND(),$B$6,$C$6)</f>
        <v/>
      </c>
      <c r="C833" s="536">
        <f>MIN(_xlfn.NORM.INV(RAND(),$B$7,$C$7),B833-0.005)</f>
        <v/>
      </c>
      <c r="D833" s="537">
        <f>_xlfn.NORM.INV(RAND(),$B$8,$C$8)</f>
        <v/>
      </c>
      <c r="E833" s="391">
        <f t="array" ref="E833">(SUMPRODUCT($B$13:$F$13*D833/(1+B833)^$B$14:$F$14)+($F$13*D833*(1+C833))/(B833-C833)/(1+B833)^$F$14-$B$15+$B$16)/$B$17</f>
        <v/>
      </c>
      <c r="F833" s="304" t="n"/>
      <c r="G833" s="304" t="n"/>
      <c r="H833" s="304" t="n"/>
      <c r="I833" s="304" t="n"/>
      <c r="J833" s="304" t="n"/>
      <c r="K833" s="304" t="n"/>
      <c r="L833" s="304" t="n"/>
      <c r="M833" s="304" t="n"/>
      <c r="N833" s="304" t="n"/>
      <c r="O833" s="304" t="n"/>
      <c r="P833" s="304" t="n"/>
      <c r="Q833" s="304" t="n"/>
    </row>
    <row r="834" ht="13.8" customHeight="1" s="343">
      <c r="A834" s="388">
        <f>ROW()-22</f>
        <v/>
      </c>
      <c r="B834" s="536">
        <f>_xlfn.NORM.INV(RAND(),$B$6,$C$6)</f>
        <v/>
      </c>
      <c r="C834" s="536">
        <f>MIN(_xlfn.NORM.INV(RAND(),$B$7,$C$7),B834-0.005)</f>
        <v/>
      </c>
      <c r="D834" s="537">
        <f>_xlfn.NORM.INV(RAND(),$B$8,$C$8)</f>
        <v/>
      </c>
      <c r="E834" s="391">
        <f t="array" ref="E834">(SUMPRODUCT($B$13:$F$13*D834/(1+B834)^$B$14:$F$14)+($F$13*D834*(1+C834))/(B834-C834)/(1+B834)^$F$14-$B$15+$B$16)/$B$17</f>
        <v/>
      </c>
      <c r="F834" s="304" t="n"/>
      <c r="G834" s="304" t="n"/>
      <c r="H834" s="304" t="n"/>
      <c r="I834" s="304" t="n"/>
      <c r="J834" s="304" t="n"/>
      <c r="K834" s="304" t="n"/>
      <c r="L834" s="304" t="n"/>
      <c r="M834" s="304" t="n"/>
      <c r="N834" s="304" t="n"/>
      <c r="O834" s="304" t="n"/>
      <c r="P834" s="304" t="n"/>
      <c r="Q834" s="304" t="n"/>
    </row>
    <row r="835" ht="13.8" customHeight="1" s="343">
      <c r="A835" s="388">
        <f>ROW()-22</f>
        <v/>
      </c>
      <c r="B835" s="536">
        <f>_xlfn.NORM.INV(RAND(),$B$6,$C$6)</f>
        <v/>
      </c>
      <c r="C835" s="536">
        <f>MIN(_xlfn.NORM.INV(RAND(),$B$7,$C$7),B835-0.005)</f>
        <v/>
      </c>
      <c r="D835" s="537">
        <f>_xlfn.NORM.INV(RAND(),$B$8,$C$8)</f>
        <v/>
      </c>
      <c r="E835" s="391">
        <f t="array" ref="E835">(SUMPRODUCT($B$13:$F$13*D835/(1+B835)^$B$14:$F$14)+($F$13*D835*(1+C835))/(B835-C835)/(1+B835)^$F$14-$B$15+$B$16)/$B$17</f>
        <v/>
      </c>
      <c r="F835" s="304" t="n"/>
      <c r="G835" s="304" t="n"/>
      <c r="H835" s="304" t="n"/>
      <c r="I835" s="304" t="n"/>
      <c r="J835" s="304" t="n"/>
      <c r="K835" s="304" t="n"/>
      <c r="L835" s="304" t="n"/>
      <c r="M835" s="304" t="n"/>
      <c r="N835" s="304" t="n"/>
      <c r="O835" s="304" t="n"/>
      <c r="P835" s="304" t="n"/>
      <c r="Q835" s="304" t="n"/>
    </row>
    <row r="836" ht="13.8" customHeight="1" s="343">
      <c r="A836" s="388">
        <f>ROW()-22</f>
        <v/>
      </c>
      <c r="B836" s="536">
        <f>_xlfn.NORM.INV(RAND(),$B$6,$C$6)</f>
        <v/>
      </c>
      <c r="C836" s="536">
        <f>MIN(_xlfn.NORM.INV(RAND(),$B$7,$C$7),B836-0.005)</f>
        <v/>
      </c>
      <c r="D836" s="537">
        <f>_xlfn.NORM.INV(RAND(),$B$8,$C$8)</f>
        <v/>
      </c>
      <c r="E836" s="391">
        <f t="array" ref="E836">(SUMPRODUCT($B$13:$F$13*D836/(1+B836)^$B$14:$F$14)+($F$13*D836*(1+C836))/(B836-C836)/(1+B836)^$F$14-$B$15+$B$16)/$B$17</f>
        <v/>
      </c>
      <c r="F836" s="304" t="n"/>
      <c r="G836" s="304" t="n"/>
      <c r="H836" s="304" t="n"/>
      <c r="I836" s="304" t="n"/>
      <c r="J836" s="304" t="n"/>
      <c r="K836" s="304" t="n"/>
      <c r="L836" s="304" t="n"/>
      <c r="M836" s="304" t="n"/>
      <c r="N836" s="304" t="n"/>
      <c r="O836" s="304" t="n"/>
      <c r="P836" s="304" t="n"/>
      <c r="Q836" s="304" t="n"/>
    </row>
    <row r="837" ht="13.8" customHeight="1" s="343">
      <c r="A837" s="388">
        <f>ROW()-22</f>
        <v/>
      </c>
      <c r="B837" s="536">
        <f>_xlfn.NORM.INV(RAND(),$B$6,$C$6)</f>
        <v/>
      </c>
      <c r="C837" s="536">
        <f>MIN(_xlfn.NORM.INV(RAND(),$B$7,$C$7),B837-0.005)</f>
        <v/>
      </c>
      <c r="D837" s="537">
        <f>_xlfn.NORM.INV(RAND(),$B$8,$C$8)</f>
        <v/>
      </c>
      <c r="E837" s="391">
        <f t="array" ref="E837">(SUMPRODUCT($B$13:$F$13*D837/(1+B837)^$B$14:$F$14)+($F$13*D837*(1+C837))/(B837-C837)/(1+B837)^$F$14-$B$15+$B$16)/$B$17</f>
        <v/>
      </c>
      <c r="F837" s="304" t="n"/>
      <c r="G837" s="304" t="n"/>
      <c r="H837" s="304" t="n"/>
      <c r="I837" s="304" t="n"/>
      <c r="J837" s="304" t="n"/>
      <c r="K837" s="304" t="n"/>
      <c r="L837" s="304" t="n"/>
      <c r="M837" s="304" t="n"/>
      <c r="N837" s="304" t="n"/>
      <c r="O837" s="304" t="n"/>
      <c r="P837" s="304" t="n"/>
      <c r="Q837" s="304" t="n"/>
    </row>
    <row r="838" ht="13.8" customHeight="1" s="343">
      <c r="A838" s="388">
        <f>ROW()-22</f>
        <v/>
      </c>
      <c r="B838" s="536">
        <f>_xlfn.NORM.INV(RAND(),$B$6,$C$6)</f>
        <v/>
      </c>
      <c r="C838" s="536">
        <f>MIN(_xlfn.NORM.INV(RAND(),$B$7,$C$7),B838-0.005)</f>
        <v/>
      </c>
      <c r="D838" s="537">
        <f>_xlfn.NORM.INV(RAND(),$B$8,$C$8)</f>
        <v/>
      </c>
      <c r="E838" s="391">
        <f t="array" ref="E838">(SUMPRODUCT($B$13:$F$13*D838/(1+B838)^$B$14:$F$14)+($F$13*D838*(1+C838))/(B838-C838)/(1+B838)^$F$14-$B$15+$B$16)/$B$17</f>
        <v/>
      </c>
      <c r="F838" s="304" t="n"/>
      <c r="G838" s="304" t="n"/>
      <c r="H838" s="304" t="n"/>
      <c r="I838" s="304" t="n"/>
      <c r="J838" s="304" t="n"/>
      <c r="K838" s="304" t="n"/>
      <c r="L838" s="304" t="n"/>
      <c r="M838" s="304" t="n"/>
      <c r="N838" s="304" t="n"/>
      <c r="O838" s="304" t="n"/>
      <c r="P838" s="304" t="n"/>
      <c r="Q838" s="304" t="n"/>
    </row>
    <row r="839" ht="13.8" customHeight="1" s="343">
      <c r="A839" s="388">
        <f>ROW()-22</f>
        <v/>
      </c>
      <c r="B839" s="536">
        <f>_xlfn.NORM.INV(RAND(),$B$6,$C$6)</f>
        <v/>
      </c>
      <c r="C839" s="536">
        <f>MIN(_xlfn.NORM.INV(RAND(),$B$7,$C$7),B839-0.005)</f>
        <v/>
      </c>
      <c r="D839" s="537">
        <f>_xlfn.NORM.INV(RAND(),$B$8,$C$8)</f>
        <v/>
      </c>
      <c r="E839" s="391">
        <f t="array" ref="E839">(SUMPRODUCT($B$13:$F$13*D839/(1+B839)^$B$14:$F$14)+($F$13*D839*(1+C839))/(B839-C839)/(1+B839)^$F$14-$B$15+$B$16)/$B$17</f>
        <v/>
      </c>
      <c r="F839" s="304" t="n"/>
      <c r="G839" s="304" t="n"/>
      <c r="H839" s="304" t="n"/>
      <c r="I839" s="304" t="n"/>
      <c r="J839" s="304" t="n"/>
      <c r="K839" s="304" t="n"/>
      <c r="L839" s="304" t="n"/>
      <c r="M839" s="304" t="n"/>
      <c r="N839" s="304" t="n"/>
      <c r="O839" s="304" t="n"/>
      <c r="P839" s="304" t="n"/>
      <c r="Q839" s="304" t="n"/>
    </row>
    <row r="840" ht="13.8" customHeight="1" s="343">
      <c r="A840" s="388">
        <f>ROW()-22</f>
        <v/>
      </c>
      <c r="B840" s="536">
        <f>_xlfn.NORM.INV(RAND(),$B$6,$C$6)</f>
        <v/>
      </c>
      <c r="C840" s="536">
        <f>MIN(_xlfn.NORM.INV(RAND(),$B$7,$C$7),B840-0.005)</f>
        <v/>
      </c>
      <c r="D840" s="537">
        <f>_xlfn.NORM.INV(RAND(),$B$8,$C$8)</f>
        <v/>
      </c>
      <c r="E840" s="391">
        <f t="array" ref="E840">(SUMPRODUCT($B$13:$F$13*D840/(1+B840)^$B$14:$F$14)+($F$13*D840*(1+C840))/(B840-C840)/(1+B840)^$F$14-$B$15+$B$16)/$B$17</f>
        <v/>
      </c>
      <c r="F840" s="304" t="n"/>
      <c r="G840" s="304" t="n"/>
      <c r="H840" s="304" t="n"/>
      <c r="I840" s="304" t="n"/>
      <c r="J840" s="304" t="n"/>
      <c r="K840" s="304" t="n"/>
      <c r="L840" s="304" t="n"/>
      <c r="M840" s="304" t="n"/>
      <c r="N840" s="304" t="n"/>
      <c r="O840" s="304" t="n"/>
      <c r="P840" s="304" t="n"/>
      <c r="Q840" s="304" t="n"/>
    </row>
    <row r="841" ht="13.8" customHeight="1" s="343">
      <c r="A841" s="388">
        <f>ROW()-22</f>
        <v/>
      </c>
      <c r="B841" s="536">
        <f>_xlfn.NORM.INV(RAND(),$B$6,$C$6)</f>
        <v/>
      </c>
      <c r="C841" s="536">
        <f>MIN(_xlfn.NORM.INV(RAND(),$B$7,$C$7),B841-0.005)</f>
        <v/>
      </c>
      <c r="D841" s="537">
        <f>_xlfn.NORM.INV(RAND(),$B$8,$C$8)</f>
        <v/>
      </c>
      <c r="E841" s="391">
        <f t="array" ref="E841">(SUMPRODUCT($B$13:$F$13*D841/(1+B841)^$B$14:$F$14)+($F$13*D841*(1+C841))/(B841-C841)/(1+B841)^$F$14-$B$15+$B$16)/$B$17</f>
        <v/>
      </c>
      <c r="F841" s="304" t="n"/>
      <c r="G841" s="304" t="n"/>
      <c r="H841" s="304" t="n"/>
      <c r="I841" s="304" t="n"/>
      <c r="J841" s="304" t="n"/>
      <c r="K841" s="304" t="n"/>
      <c r="L841" s="304" t="n"/>
      <c r="M841" s="304" t="n"/>
      <c r="N841" s="304" t="n"/>
      <c r="O841" s="304" t="n"/>
      <c r="P841" s="304" t="n"/>
      <c r="Q841" s="304" t="n"/>
    </row>
    <row r="842" ht="13.8" customHeight="1" s="343">
      <c r="A842" s="388">
        <f>ROW()-22</f>
        <v/>
      </c>
      <c r="B842" s="536">
        <f>_xlfn.NORM.INV(RAND(),$B$6,$C$6)</f>
        <v/>
      </c>
      <c r="C842" s="536">
        <f>MIN(_xlfn.NORM.INV(RAND(),$B$7,$C$7),B842-0.005)</f>
        <v/>
      </c>
      <c r="D842" s="537">
        <f>_xlfn.NORM.INV(RAND(),$B$8,$C$8)</f>
        <v/>
      </c>
      <c r="E842" s="391">
        <f t="array" ref="E842">(SUMPRODUCT($B$13:$F$13*D842/(1+B842)^$B$14:$F$14)+($F$13*D842*(1+C842))/(B842-C842)/(1+B842)^$F$14-$B$15+$B$16)/$B$17</f>
        <v/>
      </c>
      <c r="F842" s="304" t="n"/>
      <c r="G842" s="304" t="n"/>
      <c r="H842" s="304" t="n"/>
      <c r="I842" s="304" t="n"/>
      <c r="J842" s="304" t="n"/>
      <c r="K842" s="304" t="n"/>
      <c r="L842" s="304" t="n"/>
      <c r="M842" s="304" t="n"/>
      <c r="N842" s="304" t="n"/>
      <c r="O842" s="304" t="n"/>
      <c r="P842" s="304" t="n"/>
      <c r="Q842" s="304" t="n"/>
    </row>
    <row r="843" ht="13.8" customHeight="1" s="343">
      <c r="A843" s="388">
        <f>ROW()-22</f>
        <v/>
      </c>
      <c r="B843" s="536">
        <f>_xlfn.NORM.INV(RAND(),$B$6,$C$6)</f>
        <v/>
      </c>
      <c r="C843" s="536">
        <f>MIN(_xlfn.NORM.INV(RAND(),$B$7,$C$7),B843-0.005)</f>
        <v/>
      </c>
      <c r="D843" s="537">
        <f>_xlfn.NORM.INV(RAND(),$B$8,$C$8)</f>
        <v/>
      </c>
      <c r="E843" s="391">
        <f t="array" ref="E843">(SUMPRODUCT($B$13:$F$13*D843/(1+B843)^$B$14:$F$14)+($F$13*D843*(1+C843))/(B843-C843)/(1+B843)^$F$14-$B$15+$B$16)/$B$17</f>
        <v/>
      </c>
      <c r="F843" s="304" t="n"/>
      <c r="G843" s="304" t="n"/>
      <c r="H843" s="304" t="n"/>
      <c r="I843" s="304" t="n"/>
      <c r="J843" s="304" t="n"/>
      <c r="K843" s="304" t="n"/>
      <c r="L843" s="304" t="n"/>
      <c r="M843" s="304" t="n"/>
      <c r="N843" s="304" t="n"/>
      <c r="O843" s="304" t="n"/>
      <c r="P843" s="304" t="n"/>
      <c r="Q843" s="304" t="n"/>
    </row>
    <row r="844" ht="13.8" customHeight="1" s="343">
      <c r="A844" s="388">
        <f>ROW()-22</f>
        <v/>
      </c>
      <c r="B844" s="536">
        <f>_xlfn.NORM.INV(RAND(),$B$6,$C$6)</f>
        <v/>
      </c>
      <c r="C844" s="536">
        <f>MIN(_xlfn.NORM.INV(RAND(),$B$7,$C$7),B844-0.005)</f>
        <v/>
      </c>
      <c r="D844" s="537">
        <f>_xlfn.NORM.INV(RAND(),$B$8,$C$8)</f>
        <v/>
      </c>
      <c r="E844" s="391">
        <f t="array" ref="E844">(SUMPRODUCT($B$13:$F$13*D844/(1+B844)^$B$14:$F$14)+($F$13*D844*(1+C844))/(B844-C844)/(1+B844)^$F$14-$B$15+$B$16)/$B$17</f>
        <v/>
      </c>
      <c r="F844" s="304" t="n"/>
      <c r="G844" s="304" t="n"/>
      <c r="H844" s="304" t="n"/>
      <c r="I844" s="304" t="n"/>
      <c r="J844" s="304" t="n"/>
      <c r="K844" s="304" t="n"/>
      <c r="L844" s="304" t="n"/>
      <c r="M844" s="304" t="n"/>
      <c r="N844" s="304" t="n"/>
      <c r="O844" s="304" t="n"/>
      <c r="P844" s="304" t="n"/>
      <c r="Q844" s="304" t="n"/>
    </row>
    <row r="845" ht="13.8" customHeight="1" s="343">
      <c r="A845" s="388">
        <f>ROW()-22</f>
        <v/>
      </c>
      <c r="B845" s="536">
        <f>_xlfn.NORM.INV(RAND(),$B$6,$C$6)</f>
        <v/>
      </c>
      <c r="C845" s="536">
        <f>MIN(_xlfn.NORM.INV(RAND(),$B$7,$C$7),B845-0.005)</f>
        <v/>
      </c>
      <c r="D845" s="537">
        <f>_xlfn.NORM.INV(RAND(),$B$8,$C$8)</f>
        <v/>
      </c>
      <c r="E845" s="391">
        <f t="array" ref="E845">(SUMPRODUCT($B$13:$F$13*D845/(1+B845)^$B$14:$F$14)+($F$13*D845*(1+C845))/(B845-C845)/(1+B845)^$F$14-$B$15+$B$16)/$B$17</f>
        <v/>
      </c>
      <c r="F845" s="304" t="n"/>
      <c r="G845" s="304" t="n"/>
      <c r="H845" s="304" t="n"/>
      <c r="I845" s="304" t="n"/>
      <c r="J845" s="304" t="n"/>
      <c r="K845" s="304" t="n"/>
      <c r="L845" s="304" t="n"/>
      <c r="M845" s="304" t="n"/>
      <c r="N845" s="304" t="n"/>
      <c r="O845" s="304" t="n"/>
      <c r="P845" s="304" t="n"/>
      <c r="Q845" s="304" t="n"/>
    </row>
    <row r="846" ht="13.8" customHeight="1" s="343">
      <c r="A846" s="388">
        <f>ROW()-22</f>
        <v/>
      </c>
      <c r="B846" s="536">
        <f>_xlfn.NORM.INV(RAND(),$B$6,$C$6)</f>
        <v/>
      </c>
      <c r="C846" s="536">
        <f>MIN(_xlfn.NORM.INV(RAND(),$B$7,$C$7),B846-0.005)</f>
        <v/>
      </c>
      <c r="D846" s="537">
        <f>_xlfn.NORM.INV(RAND(),$B$8,$C$8)</f>
        <v/>
      </c>
      <c r="E846" s="391">
        <f t="array" ref="E846">(SUMPRODUCT($B$13:$F$13*D846/(1+B846)^$B$14:$F$14)+($F$13*D846*(1+C846))/(B846-C846)/(1+B846)^$F$14-$B$15+$B$16)/$B$17</f>
        <v/>
      </c>
      <c r="F846" s="304" t="n"/>
      <c r="G846" s="304" t="n"/>
      <c r="H846" s="304" t="n"/>
      <c r="I846" s="304" t="n"/>
      <c r="J846" s="304" t="n"/>
      <c r="K846" s="304" t="n"/>
      <c r="L846" s="304" t="n"/>
      <c r="M846" s="304" t="n"/>
      <c r="N846" s="304" t="n"/>
      <c r="O846" s="304" t="n"/>
      <c r="P846" s="304" t="n"/>
      <c r="Q846" s="304" t="n"/>
    </row>
    <row r="847" ht="13.8" customHeight="1" s="343">
      <c r="A847" s="388">
        <f>ROW()-22</f>
        <v/>
      </c>
      <c r="B847" s="536">
        <f>_xlfn.NORM.INV(RAND(),$B$6,$C$6)</f>
        <v/>
      </c>
      <c r="C847" s="536">
        <f>MIN(_xlfn.NORM.INV(RAND(),$B$7,$C$7),B847-0.005)</f>
        <v/>
      </c>
      <c r="D847" s="537">
        <f>_xlfn.NORM.INV(RAND(),$B$8,$C$8)</f>
        <v/>
      </c>
      <c r="E847" s="391">
        <f t="array" ref="E847">(SUMPRODUCT($B$13:$F$13*D847/(1+B847)^$B$14:$F$14)+($F$13*D847*(1+C847))/(B847-C847)/(1+B847)^$F$14-$B$15+$B$16)/$B$17</f>
        <v/>
      </c>
      <c r="F847" s="304" t="n"/>
      <c r="G847" s="304" t="n"/>
      <c r="H847" s="304" t="n"/>
      <c r="I847" s="304" t="n"/>
      <c r="J847" s="304" t="n"/>
      <c r="K847" s="304" t="n"/>
      <c r="L847" s="304" t="n"/>
      <c r="M847" s="304" t="n"/>
      <c r="N847" s="304" t="n"/>
      <c r="O847" s="304" t="n"/>
      <c r="P847" s="304" t="n"/>
      <c r="Q847" s="304" t="n"/>
    </row>
    <row r="848" ht="13.8" customHeight="1" s="343">
      <c r="A848" s="388">
        <f>ROW()-22</f>
        <v/>
      </c>
      <c r="B848" s="536">
        <f>_xlfn.NORM.INV(RAND(),$B$6,$C$6)</f>
        <v/>
      </c>
      <c r="C848" s="536">
        <f>MIN(_xlfn.NORM.INV(RAND(),$B$7,$C$7),B848-0.005)</f>
        <v/>
      </c>
      <c r="D848" s="537">
        <f>_xlfn.NORM.INV(RAND(),$B$8,$C$8)</f>
        <v/>
      </c>
      <c r="E848" s="391">
        <f t="array" ref="E848">(SUMPRODUCT($B$13:$F$13*D848/(1+B848)^$B$14:$F$14)+($F$13*D848*(1+C848))/(B848-C848)/(1+B848)^$F$14-$B$15+$B$16)/$B$17</f>
        <v/>
      </c>
      <c r="F848" s="304" t="n"/>
      <c r="G848" s="304" t="n"/>
      <c r="H848" s="304" t="n"/>
      <c r="I848" s="304" t="n"/>
      <c r="J848" s="304" t="n"/>
      <c r="K848" s="304" t="n"/>
      <c r="L848" s="304" t="n"/>
      <c r="M848" s="304" t="n"/>
      <c r="N848" s="304" t="n"/>
      <c r="O848" s="304" t="n"/>
      <c r="P848" s="304" t="n"/>
      <c r="Q848" s="304" t="n"/>
    </row>
    <row r="849" ht="13.8" customHeight="1" s="343">
      <c r="A849" s="388">
        <f>ROW()-22</f>
        <v/>
      </c>
      <c r="B849" s="536">
        <f>_xlfn.NORM.INV(RAND(),$B$6,$C$6)</f>
        <v/>
      </c>
      <c r="C849" s="536">
        <f>MIN(_xlfn.NORM.INV(RAND(),$B$7,$C$7),B849-0.005)</f>
        <v/>
      </c>
      <c r="D849" s="537">
        <f>_xlfn.NORM.INV(RAND(),$B$8,$C$8)</f>
        <v/>
      </c>
      <c r="E849" s="391">
        <f t="array" ref="E849">(SUMPRODUCT($B$13:$F$13*D849/(1+B849)^$B$14:$F$14)+($F$13*D849*(1+C849))/(B849-C849)/(1+B849)^$F$14-$B$15+$B$16)/$B$17</f>
        <v/>
      </c>
      <c r="F849" s="304" t="n"/>
      <c r="G849" s="304" t="n"/>
      <c r="H849" s="304" t="n"/>
      <c r="I849" s="304" t="n"/>
      <c r="J849" s="304" t="n"/>
      <c r="K849" s="304" t="n"/>
      <c r="L849" s="304" t="n"/>
      <c r="M849" s="304" t="n"/>
      <c r="N849" s="304" t="n"/>
      <c r="O849" s="304" t="n"/>
      <c r="P849" s="304" t="n"/>
      <c r="Q849" s="304" t="n"/>
    </row>
    <row r="850" ht="13.8" customHeight="1" s="343">
      <c r="A850" s="388">
        <f>ROW()-22</f>
        <v/>
      </c>
      <c r="B850" s="536">
        <f>_xlfn.NORM.INV(RAND(),$B$6,$C$6)</f>
        <v/>
      </c>
      <c r="C850" s="536">
        <f>MIN(_xlfn.NORM.INV(RAND(),$B$7,$C$7),B850-0.005)</f>
        <v/>
      </c>
      <c r="D850" s="537">
        <f>_xlfn.NORM.INV(RAND(),$B$8,$C$8)</f>
        <v/>
      </c>
      <c r="E850" s="391">
        <f t="array" ref="E850">(SUMPRODUCT($B$13:$F$13*D850/(1+B850)^$B$14:$F$14)+($F$13*D850*(1+C850))/(B850-C850)/(1+B850)^$F$14-$B$15+$B$16)/$B$17</f>
        <v/>
      </c>
      <c r="F850" s="304" t="n"/>
      <c r="G850" s="304" t="n"/>
      <c r="H850" s="304" t="n"/>
      <c r="I850" s="304" t="n"/>
      <c r="J850" s="304" t="n"/>
      <c r="K850" s="304" t="n"/>
      <c r="L850" s="304" t="n"/>
      <c r="M850" s="304" t="n"/>
      <c r="N850" s="304" t="n"/>
      <c r="O850" s="304" t="n"/>
      <c r="P850" s="304" t="n"/>
      <c r="Q850" s="304" t="n"/>
    </row>
    <row r="851" ht="13.8" customHeight="1" s="343">
      <c r="A851" s="388">
        <f>ROW()-22</f>
        <v/>
      </c>
      <c r="B851" s="536">
        <f>_xlfn.NORM.INV(RAND(),$B$6,$C$6)</f>
        <v/>
      </c>
      <c r="C851" s="536">
        <f>MIN(_xlfn.NORM.INV(RAND(),$B$7,$C$7),B851-0.005)</f>
        <v/>
      </c>
      <c r="D851" s="537">
        <f>_xlfn.NORM.INV(RAND(),$B$8,$C$8)</f>
        <v/>
      </c>
      <c r="E851" s="391">
        <f t="array" ref="E851">(SUMPRODUCT($B$13:$F$13*D851/(1+B851)^$B$14:$F$14)+($F$13*D851*(1+C851))/(B851-C851)/(1+B851)^$F$14-$B$15+$B$16)/$B$17</f>
        <v/>
      </c>
      <c r="F851" s="304" t="n"/>
      <c r="G851" s="304" t="n"/>
      <c r="H851" s="304" t="n"/>
      <c r="I851" s="304" t="n"/>
      <c r="J851" s="304" t="n"/>
      <c r="K851" s="304" t="n"/>
      <c r="L851" s="304" t="n"/>
      <c r="M851" s="304" t="n"/>
      <c r="N851" s="304" t="n"/>
      <c r="O851" s="304" t="n"/>
      <c r="P851" s="304" t="n"/>
      <c r="Q851" s="304" t="n"/>
    </row>
    <row r="852" ht="13.8" customHeight="1" s="343">
      <c r="A852" s="388">
        <f>ROW()-22</f>
        <v/>
      </c>
      <c r="B852" s="536">
        <f>_xlfn.NORM.INV(RAND(),$B$6,$C$6)</f>
        <v/>
      </c>
      <c r="C852" s="536">
        <f>MIN(_xlfn.NORM.INV(RAND(),$B$7,$C$7),B852-0.005)</f>
        <v/>
      </c>
      <c r="D852" s="537">
        <f>_xlfn.NORM.INV(RAND(),$B$8,$C$8)</f>
        <v/>
      </c>
      <c r="E852" s="391">
        <f t="array" ref="E852">(SUMPRODUCT($B$13:$F$13*D852/(1+B852)^$B$14:$F$14)+($F$13*D852*(1+C852))/(B852-C852)/(1+B852)^$F$14-$B$15+$B$16)/$B$17</f>
        <v/>
      </c>
      <c r="F852" s="304" t="n"/>
      <c r="G852" s="304" t="n"/>
      <c r="H852" s="304" t="n"/>
      <c r="I852" s="304" t="n"/>
      <c r="J852" s="304" t="n"/>
      <c r="K852" s="304" t="n"/>
      <c r="L852" s="304" t="n"/>
      <c r="M852" s="304" t="n"/>
      <c r="N852" s="304" t="n"/>
      <c r="O852" s="304" t="n"/>
      <c r="P852" s="304" t="n"/>
      <c r="Q852" s="304" t="n"/>
    </row>
    <row r="853" ht="13.8" customHeight="1" s="343">
      <c r="A853" s="388">
        <f>ROW()-22</f>
        <v/>
      </c>
      <c r="B853" s="536">
        <f>_xlfn.NORM.INV(RAND(),$B$6,$C$6)</f>
        <v/>
      </c>
      <c r="C853" s="536">
        <f>MIN(_xlfn.NORM.INV(RAND(),$B$7,$C$7),B853-0.005)</f>
        <v/>
      </c>
      <c r="D853" s="537">
        <f>_xlfn.NORM.INV(RAND(),$B$8,$C$8)</f>
        <v/>
      </c>
      <c r="E853" s="391">
        <f t="array" ref="E853">(SUMPRODUCT($B$13:$F$13*D853/(1+B853)^$B$14:$F$14)+($F$13*D853*(1+C853))/(B853-C853)/(1+B853)^$F$14-$B$15+$B$16)/$B$17</f>
        <v/>
      </c>
      <c r="F853" s="304" t="n"/>
      <c r="G853" s="304" t="n"/>
      <c r="H853" s="304" t="n"/>
      <c r="I853" s="304" t="n"/>
      <c r="J853" s="304" t="n"/>
      <c r="K853" s="304" t="n"/>
      <c r="L853" s="304" t="n"/>
      <c r="M853" s="304" t="n"/>
      <c r="N853" s="304" t="n"/>
      <c r="O853" s="304" t="n"/>
      <c r="P853" s="304" t="n"/>
      <c r="Q853" s="304" t="n"/>
    </row>
    <row r="854" ht="13.8" customHeight="1" s="343">
      <c r="A854" s="388">
        <f>ROW()-22</f>
        <v/>
      </c>
      <c r="B854" s="536">
        <f>_xlfn.NORM.INV(RAND(),$B$6,$C$6)</f>
        <v/>
      </c>
      <c r="C854" s="536">
        <f>MIN(_xlfn.NORM.INV(RAND(),$B$7,$C$7),B854-0.005)</f>
        <v/>
      </c>
      <c r="D854" s="537">
        <f>_xlfn.NORM.INV(RAND(),$B$8,$C$8)</f>
        <v/>
      </c>
      <c r="E854" s="391">
        <f t="array" ref="E854">(SUMPRODUCT($B$13:$F$13*D854/(1+B854)^$B$14:$F$14)+($F$13*D854*(1+C854))/(B854-C854)/(1+B854)^$F$14-$B$15+$B$16)/$B$17</f>
        <v/>
      </c>
      <c r="F854" s="304" t="n"/>
      <c r="G854" s="304" t="n"/>
      <c r="H854" s="304" t="n"/>
      <c r="I854" s="304" t="n"/>
      <c r="J854" s="304" t="n"/>
      <c r="K854" s="304" t="n"/>
      <c r="L854" s="304" t="n"/>
      <c r="M854" s="304" t="n"/>
      <c r="N854" s="304" t="n"/>
      <c r="O854" s="304" t="n"/>
      <c r="P854" s="304" t="n"/>
      <c r="Q854" s="304" t="n"/>
    </row>
    <row r="855" ht="13.8" customHeight="1" s="343">
      <c r="A855" s="388">
        <f>ROW()-22</f>
        <v/>
      </c>
      <c r="B855" s="536">
        <f>_xlfn.NORM.INV(RAND(),$B$6,$C$6)</f>
        <v/>
      </c>
      <c r="C855" s="536">
        <f>MIN(_xlfn.NORM.INV(RAND(),$B$7,$C$7),B855-0.005)</f>
        <v/>
      </c>
      <c r="D855" s="537">
        <f>_xlfn.NORM.INV(RAND(),$B$8,$C$8)</f>
        <v/>
      </c>
      <c r="E855" s="391">
        <f t="array" ref="E855">(SUMPRODUCT($B$13:$F$13*D855/(1+B855)^$B$14:$F$14)+($F$13*D855*(1+C855))/(B855-C855)/(1+B855)^$F$14-$B$15+$B$16)/$B$17</f>
        <v/>
      </c>
      <c r="F855" s="304" t="n"/>
      <c r="G855" s="304" t="n"/>
      <c r="H855" s="304" t="n"/>
      <c r="I855" s="304" t="n"/>
      <c r="J855" s="304" t="n"/>
      <c r="K855" s="304" t="n"/>
      <c r="L855" s="304" t="n"/>
      <c r="M855" s="304" t="n"/>
      <c r="N855" s="304" t="n"/>
      <c r="O855" s="304" t="n"/>
      <c r="P855" s="304" t="n"/>
      <c r="Q855" s="304" t="n"/>
    </row>
    <row r="856" ht="13.8" customHeight="1" s="343">
      <c r="A856" s="388">
        <f>ROW()-22</f>
        <v/>
      </c>
      <c r="B856" s="536">
        <f>_xlfn.NORM.INV(RAND(),$B$6,$C$6)</f>
        <v/>
      </c>
      <c r="C856" s="536">
        <f>MIN(_xlfn.NORM.INV(RAND(),$B$7,$C$7),B856-0.005)</f>
        <v/>
      </c>
      <c r="D856" s="537">
        <f>_xlfn.NORM.INV(RAND(),$B$8,$C$8)</f>
        <v/>
      </c>
      <c r="E856" s="391">
        <f t="array" ref="E856">(SUMPRODUCT($B$13:$F$13*D856/(1+B856)^$B$14:$F$14)+($F$13*D856*(1+C856))/(B856-C856)/(1+B856)^$F$14-$B$15+$B$16)/$B$17</f>
        <v/>
      </c>
      <c r="F856" s="304" t="n"/>
      <c r="G856" s="304" t="n"/>
      <c r="H856" s="304" t="n"/>
      <c r="I856" s="304" t="n"/>
      <c r="J856" s="304" t="n"/>
      <c r="K856" s="304" t="n"/>
      <c r="L856" s="304" t="n"/>
      <c r="M856" s="304" t="n"/>
      <c r="N856" s="304" t="n"/>
      <c r="O856" s="304" t="n"/>
      <c r="P856" s="304" t="n"/>
      <c r="Q856" s="304" t="n"/>
    </row>
    <row r="857" ht="13.8" customHeight="1" s="343">
      <c r="A857" s="388">
        <f>ROW()-22</f>
        <v/>
      </c>
      <c r="B857" s="536">
        <f>_xlfn.NORM.INV(RAND(),$B$6,$C$6)</f>
        <v/>
      </c>
      <c r="C857" s="536">
        <f>MIN(_xlfn.NORM.INV(RAND(),$B$7,$C$7),B857-0.005)</f>
        <v/>
      </c>
      <c r="D857" s="537">
        <f>_xlfn.NORM.INV(RAND(),$B$8,$C$8)</f>
        <v/>
      </c>
      <c r="E857" s="391">
        <f t="array" ref="E857">(SUMPRODUCT($B$13:$F$13*D857/(1+B857)^$B$14:$F$14)+($F$13*D857*(1+C857))/(B857-C857)/(1+B857)^$F$14-$B$15+$B$16)/$B$17</f>
        <v/>
      </c>
      <c r="F857" s="304" t="n"/>
      <c r="G857" s="304" t="n"/>
      <c r="H857" s="304" t="n"/>
      <c r="I857" s="304" t="n"/>
      <c r="J857" s="304" t="n"/>
      <c r="K857" s="304" t="n"/>
      <c r="L857" s="304" t="n"/>
      <c r="M857" s="304" t="n"/>
      <c r="N857" s="304" t="n"/>
      <c r="O857" s="304" t="n"/>
      <c r="P857" s="304" t="n"/>
      <c r="Q857" s="304" t="n"/>
    </row>
    <row r="858" ht="13.8" customHeight="1" s="343">
      <c r="A858" s="388">
        <f>ROW()-22</f>
        <v/>
      </c>
      <c r="B858" s="536">
        <f>_xlfn.NORM.INV(RAND(),$B$6,$C$6)</f>
        <v/>
      </c>
      <c r="C858" s="536">
        <f>MIN(_xlfn.NORM.INV(RAND(),$B$7,$C$7),B858-0.005)</f>
        <v/>
      </c>
      <c r="D858" s="537">
        <f>_xlfn.NORM.INV(RAND(),$B$8,$C$8)</f>
        <v/>
      </c>
      <c r="E858" s="391">
        <f t="array" ref="E858">(SUMPRODUCT($B$13:$F$13*D858/(1+B858)^$B$14:$F$14)+($F$13*D858*(1+C858))/(B858-C858)/(1+B858)^$F$14-$B$15+$B$16)/$B$17</f>
        <v/>
      </c>
      <c r="F858" s="304" t="n"/>
      <c r="G858" s="304" t="n"/>
      <c r="H858" s="304" t="n"/>
      <c r="I858" s="304" t="n"/>
      <c r="J858" s="304" t="n"/>
      <c r="K858" s="304" t="n"/>
      <c r="L858" s="304" t="n"/>
      <c r="M858" s="304" t="n"/>
      <c r="N858" s="304" t="n"/>
      <c r="O858" s="304" t="n"/>
      <c r="P858" s="304" t="n"/>
      <c r="Q858" s="304" t="n"/>
    </row>
    <row r="859" ht="13.8" customHeight="1" s="343">
      <c r="A859" s="388">
        <f>ROW()-22</f>
        <v/>
      </c>
      <c r="B859" s="536">
        <f>_xlfn.NORM.INV(RAND(),$B$6,$C$6)</f>
        <v/>
      </c>
      <c r="C859" s="536">
        <f>MIN(_xlfn.NORM.INV(RAND(),$B$7,$C$7),B859-0.005)</f>
        <v/>
      </c>
      <c r="D859" s="537">
        <f>_xlfn.NORM.INV(RAND(),$B$8,$C$8)</f>
        <v/>
      </c>
      <c r="E859" s="391">
        <f t="array" ref="E859">(SUMPRODUCT($B$13:$F$13*D859/(1+B859)^$B$14:$F$14)+($F$13*D859*(1+C859))/(B859-C859)/(1+B859)^$F$14-$B$15+$B$16)/$B$17</f>
        <v/>
      </c>
      <c r="F859" s="304" t="n"/>
      <c r="G859" s="304" t="n"/>
      <c r="H859" s="304" t="n"/>
      <c r="I859" s="304" t="n"/>
      <c r="J859" s="304" t="n"/>
      <c r="K859" s="304" t="n"/>
      <c r="L859" s="304" t="n"/>
      <c r="M859" s="304" t="n"/>
      <c r="N859" s="304" t="n"/>
      <c r="O859" s="304" t="n"/>
      <c r="P859" s="304" t="n"/>
      <c r="Q859" s="304" t="n"/>
    </row>
    <row r="860" ht="13.8" customHeight="1" s="343">
      <c r="A860" s="388">
        <f>ROW()-22</f>
        <v/>
      </c>
      <c r="B860" s="536">
        <f>_xlfn.NORM.INV(RAND(),$B$6,$C$6)</f>
        <v/>
      </c>
      <c r="C860" s="536">
        <f>MIN(_xlfn.NORM.INV(RAND(),$B$7,$C$7),B860-0.005)</f>
        <v/>
      </c>
      <c r="D860" s="537">
        <f>_xlfn.NORM.INV(RAND(),$B$8,$C$8)</f>
        <v/>
      </c>
      <c r="E860" s="391">
        <f t="array" ref="E860">(SUMPRODUCT($B$13:$F$13*D860/(1+B860)^$B$14:$F$14)+($F$13*D860*(1+C860))/(B860-C860)/(1+B860)^$F$14-$B$15+$B$16)/$B$17</f>
        <v/>
      </c>
      <c r="F860" s="304" t="n"/>
      <c r="G860" s="304" t="n"/>
      <c r="H860" s="304" t="n"/>
      <c r="I860" s="304" t="n"/>
      <c r="J860" s="304" t="n"/>
      <c r="K860" s="304" t="n"/>
      <c r="L860" s="304" t="n"/>
      <c r="M860" s="304" t="n"/>
      <c r="N860" s="304" t="n"/>
      <c r="O860" s="304" t="n"/>
      <c r="P860" s="304" t="n"/>
      <c r="Q860" s="304" t="n"/>
    </row>
    <row r="861" ht="13.8" customHeight="1" s="343">
      <c r="A861" s="388">
        <f>ROW()-22</f>
        <v/>
      </c>
      <c r="B861" s="536">
        <f>_xlfn.NORM.INV(RAND(),$B$6,$C$6)</f>
        <v/>
      </c>
      <c r="C861" s="536">
        <f>MIN(_xlfn.NORM.INV(RAND(),$B$7,$C$7),B861-0.005)</f>
        <v/>
      </c>
      <c r="D861" s="537">
        <f>_xlfn.NORM.INV(RAND(),$B$8,$C$8)</f>
        <v/>
      </c>
      <c r="E861" s="391">
        <f t="array" ref="E861">(SUMPRODUCT($B$13:$F$13*D861/(1+B861)^$B$14:$F$14)+($F$13*D861*(1+C861))/(B861-C861)/(1+B861)^$F$14-$B$15+$B$16)/$B$17</f>
        <v/>
      </c>
      <c r="F861" s="304" t="n"/>
      <c r="G861" s="304" t="n"/>
      <c r="H861" s="304" t="n"/>
      <c r="I861" s="304" t="n"/>
      <c r="J861" s="304" t="n"/>
      <c r="K861" s="304" t="n"/>
      <c r="L861" s="304" t="n"/>
      <c r="M861" s="304" t="n"/>
      <c r="N861" s="304" t="n"/>
      <c r="O861" s="304" t="n"/>
      <c r="P861" s="304" t="n"/>
      <c r="Q861" s="304" t="n"/>
    </row>
    <row r="862" ht="13.8" customHeight="1" s="343">
      <c r="A862" s="388">
        <f>ROW()-22</f>
        <v/>
      </c>
      <c r="B862" s="536">
        <f>_xlfn.NORM.INV(RAND(),$B$6,$C$6)</f>
        <v/>
      </c>
      <c r="C862" s="536">
        <f>MIN(_xlfn.NORM.INV(RAND(),$B$7,$C$7),B862-0.005)</f>
        <v/>
      </c>
      <c r="D862" s="537">
        <f>_xlfn.NORM.INV(RAND(),$B$8,$C$8)</f>
        <v/>
      </c>
      <c r="E862" s="391">
        <f t="array" ref="E862">(SUMPRODUCT($B$13:$F$13*D862/(1+B862)^$B$14:$F$14)+($F$13*D862*(1+C862))/(B862-C862)/(1+B862)^$F$14-$B$15+$B$16)/$B$17</f>
        <v/>
      </c>
      <c r="F862" s="304" t="n"/>
      <c r="G862" s="304" t="n"/>
      <c r="H862" s="304" t="n"/>
      <c r="I862" s="304" t="n"/>
      <c r="J862" s="304" t="n"/>
      <c r="K862" s="304" t="n"/>
      <c r="L862" s="304" t="n"/>
      <c r="M862" s="304" t="n"/>
      <c r="N862" s="304" t="n"/>
      <c r="O862" s="304" t="n"/>
      <c r="P862" s="304" t="n"/>
      <c r="Q862" s="304" t="n"/>
    </row>
    <row r="863" ht="13.8" customHeight="1" s="343">
      <c r="A863" s="388">
        <f>ROW()-22</f>
        <v/>
      </c>
      <c r="B863" s="536">
        <f>_xlfn.NORM.INV(RAND(),$B$6,$C$6)</f>
        <v/>
      </c>
      <c r="C863" s="536">
        <f>MIN(_xlfn.NORM.INV(RAND(),$B$7,$C$7),B863-0.005)</f>
        <v/>
      </c>
      <c r="D863" s="537">
        <f>_xlfn.NORM.INV(RAND(),$B$8,$C$8)</f>
        <v/>
      </c>
      <c r="E863" s="391">
        <f t="array" ref="E863">(SUMPRODUCT($B$13:$F$13*D863/(1+B863)^$B$14:$F$14)+($F$13*D863*(1+C863))/(B863-C863)/(1+B863)^$F$14-$B$15+$B$16)/$B$17</f>
        <v/>
      </c>
      <c r="F863" s="304" t="n"/>
      <c r="G863" s="304" t="n"/>
      <c r="H863" s="304" t="n"/>
      <c r="I863" s="304" t="n"/>
      <c r="J863" s="304" t="n"/>
      <c r="K863" s="304" t="n"/>
      <c r="L863" s="304" t="n"/>
      <c r="M863" s="304" t="n"/>
      <c r="N863" s="304" t="n"/>
      <c r="O863" s="304" t="n"/>
      <c r="P863" s="304" t="n"/>
      <c r="Q863" s="304" t="n"/>
    </row>
    <row r="864" ht="13.8" customHeight="1" s="343">
      <c r="A864" s="388">
        <f>ROW()-22</f>
        <v/>
      </c>
      <c r="B864" s="536">
        <f>_xlfn.NORM.INV(RAND(),$B$6,$C$6)</f>
        <v/>
      </c>
      <c r="C864" s="536">
        <f>MIN(_xlfn.NORM.INV(RAND(),$B$7,$C$7),B864-0.005)</f>
        <v/>
      </c>
      <c r="D864" s="537">
        <f>_xlfn.NORM.INV(RAND(),$B$8,$C$8)</f>
        <v/>
      </c>
      <c r="E864" s="391">
        <f t="array" ref="E864">(SUMPRODUCT($B$13:$F$13*D864/(1+B864)^$B$14:$F$14)+($F$13*D864*(1+C864))/(B864-C864)/(1+B864)^$F$14-$B$15+$B$16)/$B$17</f>
        <v/>
      </c>
      <c r="F864" s="304" t="n"/>
      <c r="G864" s="304" t="n"/>
      <c r="H864" s="304" t="n"/>
      <c r="I864" s="304" t="n"/>
      <c r="J864" s="304" t="n"/>
      <c r="K864" s="304" t="n"/>
      <c r="L864" s="304" t="n"/>
      <c r="M864" s="304" t="n"/>
      <c r="N864" s="304" t="n"/>
      <c r="O864" s="304" t="n"/>
      <c r="P864" s="304" t="n"/>
      <c r="Q864" s="304" t="n"/>
    </row>
    <row r="865" ht="13.8" customHeight="1" s="343">
      <c r="A865" s="388">
        <f>ROW()-22</f>
        <v/>
      </c>
      <c r="B865" s="536">
        <f>_xlfn.NORM.INV(RAND(),$B$6,$C$6)</f>
        <v/>
      </c>
      <c r="C865" s="536">
        <f>MIN(_xlfn.NORM.INV(RAND(),$B$7,$C$7),B865-0.005)</f>
        <v/>
      </c>
      <c r="D865" s="537">
        <f>_xlfn.NORM.INV(RAND(),$B$8,$C$8)</f>
        <v/>
      </c>
      <c r="E865" s="391">
        <f t="array" ref="E865">(SUMPRODUCT($B$13:$F$13*D865/(1+B865)^$B$14:$F$14)+($F$13*D865*(1+C865))/(B865-C865)/(1+B865)^$F$14-$B$15+$B$16)/$B$17</f>
        <v/>
      </c>
      <c r="F865" s="304" t="n"/>
      <c r="G865" s="304" t="n"/>
      <c r="H865" s="304" t="n"/>
      <c r="I865" s="304" t="n"/>
      <c r="J865" s="304" t="n"/>
      <c r="K865" s="304" t="n"/>
      <c r="L865" s="304" t="n"/>
      <c r="M865" s="304" t="n"/>
      <c r="N865" s="304" t="n"/>
      <c r="O865" s="304" t="n"/>
      <c r="P865" s="304" t="n"/>
      <c r="Q865" s="304" t="n"/>
    </row>
    <row r="866" ht="13.8" customHeight="1" s="343">
      <c r="A866" s="388">
        <f>ROW()-22</f>
        <v/>
      </c>
      <c r="B866" s="536">
        <f>_xlfn.NORM.INV(RAND(),$B$6,$C$6)</f>
        <v/>
      </c>
      <c r="C866" s="536">
        <f>MIN(_xlfn.NORM.INV(RAND(),$B$7,$C$7),B866-0.005)</f>
        <v/>
      </c>
      <c r="D866" s="537">
        <f>_xlfn.NORM.INV(RAND(),$B$8,$C$8)</f>
        <v/>
      </c>
      <c r="E866" s="391">
        <f t="array" ref="E866">(SUMPRODUCT($B$13:$F$13*D866/(1+B866)^$B$14:$F$14)+($F$13*D866*(1+C866))/(B866-C866)/(1+B866)^$F$14-$B$15+$B$16)/$B$17</f>
        <v/>
      </c>
      <c r="F866" s="304" t="n"/>
      <c r="G866" s="304" t="n"/>
      <c r="H866" s="304" t="n"/>
      <c r="I866" s="304" t="n"/>
      <c r="J866" s="304" t="n"/>
      <c r="K866" s="304" t="n"/>
      <c r="L866" s="304" t="n"/>
      <c r="M866" s="304" t="n"/>
      <c r="N866" s="304" t="n"/>
      <c r="O866" s="304" t="n"/>
      <c r="P866" s="304" t="n"/>
      <c r="Q866" s="304" t="n"/>
    </row>
    <row r="867" ht="13.8" customHeight="1" s="343">
      <c r="A867" s="388">
        <f>ROW()-22</f>
        <v/>
      </c>
      <c r="B867" s="536">
        <f>_xlfn.NORM.INV(RAND(),$B$6,$C$6)</f>
        <v/>
      </c>
      <c r="C867" s="536">
        <f>MIN(_xlfn.NORM.INV(RAND(),$B$7,$C$7),B867-0.005)</f>
        <v/>
      </c>
      <c r="D867" s="537">
        <f>_xlfn.NORM.INV(RAND(),$B$8,$C$8)</f>
        <v/>
      </c>
      <c r="E867" s="391">
        <f t="array" ref="E867">(SUMPRODUCT($B$13:$F$13*D867/(1+B867)^$B$14:$F$14)+($F$13*D867*(1+C867))/(B867-C867)/(1+B867)^$F$14-$B$15+$B$16)/$B$17</f>
        <v/>
      </c>
      <c r="F867" s="304" t="n"/>
      <c r="G867" s="304" t="n"/>
      <c r="H867" s="304" t="n"/>
      <c r="I867" s="304" t="n"/>
      <c r="J867" s="304" t="n"/>
      <c r="K867" s="304" t="n"/>
      <c r="L867" s="304" t="n"/>
      <c r="M867" s="304" t="n"/>
      <c r="N867" s="304" t="n"/>
      <c r="O867" s="304" t="n"/>
      <c r="P867" s="304" t="n"/>
      <c r="Q867" s="304" t="n"/>
    </row>
    <row r="868" ht="13.8" customHeight="1" s="343">
      <c r="A868" s="388">
        <f>ROW()-22</f>
        <v/>
      </c>
      <c r="B868" s="536">
        <f>_xlfn.NORM.INV(RAND(),$B$6,$C$6)</f>
        <v/>
      </c>
      <c r="C868" s="536">
        <f>MIN(_xlfn.NORM.INV(RAND(),$B$7,$C$7),B868-0.005)</f>
        <v/>
      </c>
      <c r="D868" s="537">
        <f>_xlfn.NORM.INV(RAND(),$B$8,$C$8)</f>
        <v/>
      </c>
      <c r="E868" s="391">
        <f t="array" ref="E868">(SUMPRODUCT($B$13:$F$13*D868/(1+B868)^$B$14:$F$14)+($F$13*D868*(1+C868))/(B868-C868)/(1+B868)^$F$14-$B$15+$B$16)/$B$17</f>
        <v/>
      </c>
      <c r="F868" s="304" t="n"/>
      <c r="G868" s="304" t="n"/>
      <c r="H868" s="304" t="n"/>
      <c r="I868" s="304" t="n"/>
      <c r="J868" s="304" t="n"/>
      <c r="K868" s="304" t="n"/>
      <c r="L868" s="304" t="n"/>
      <c r="M868" s="304" t="n"/>
      <c r="N868" s="304" t="n"/>
      <c r="O868" s="304" t="n"/>
      <c r="P868" s="304" t="n"/>
      <c r="Q868" s="304" t="n"/>
    </row>
    <row r="869" ht="13.8" customHeight="1" s="343">
      <c r="A869" s="388">
        <f>ROW()-22</f>
        <v/>
      </c>
      <c r="B869" s="536">
        <f>_xlfn.NORM.INV(RAND(),$B$6,$C$6)</f>
        <v/>
      </c>
      <c r="C869" s="536">
        <f>MIN(_xlfn.NORM.INV(RAND(),$B$7,$C$7),B869-0.005)</f>
        <v/>
      </c>
      <c r="D869" s="537">
        <f>_xlfn.NORM.INV(RAND(),$B$8,$C$8)</f>
        <v/>
      </c>
      <c r="E869" s="391">
        <f t="array" ref="E869">(SUMPRODUCT($B$13:$F$13*D869/(1+B869)^$B$14:$F$14)+($F$13*D869*(1+C869))/(B869-C869)/(1+B869)^$F$14-$B$15+$B$16)/$B$17</f>
        <v/>
      </c>
      <c r="F869" s="304" t="n"/>
      <c r="G869" s="304" t="n"/>
      <c r="H869" s="304" t="n"/>
      <c r="I869" s="304" t="n"/>
      <c r="J869" s="304" t="n"/>
      <c r="K869" s="304" t="n"/>
      <c r="L869" s="304" t="n"/>
      <c r="M869" s="304" t="n"/>
      <c r="N869" s="304" t="n"/>
      <c r="O869" s="304" t="n"/>
      <c r="P869" s="304" t="n"/>
      <c r="Q869" s="304" t="n"/>
    </row>
    <row r="870" ht="13.8" customHeight="1" s="343">
      <c r="A870" s="388">
        <f>ROW()-22</f>
        <v/>
      </c>
      <c r="B870" s="536">
        <f>_xlfn.NORM.INV(RAND(),$B$6,$C$6)</f>
        <v/>
      </c>
      <c r="C870" s="536">
        <f>MIN(_xlfn.NORM.INV(RAND(),$B$7,$C$7),B870-0.005)</f>
        <v/>
      </c>
      <c r="D870" s="537">
        <f>_xlfn.NORM.INV(RAND(),$B$8,$C$8)</f>
        <v/>
      </c>
      <c r="E870" s="391">
        <f t="array" ref="E870">(SUMPRODUCT($B$13:$F$13*D870/(1+B870)^$B$14:$F$14)+($F$13*D870*(1+C870))/(B870-C870)/(1+B870)^$F$14-$B$15+$B$16)/$B$17</f>
        <v/>
      </c>
      <c r="F870" s="304" t="n"/>
      <c r="G870" s="304" t="n"/>
      <c r="H870" s="304" t="n"/>
      <c r="I870" s="304" t="n"/>
      <c r="J870" s="304" t="n"/>
      <c r="K870" s="304" t="n"/>
      <c r="L870" s="304" t="n"/>
      <c r="M870" s="304" t="n"/>
      <c r="N870" s="304" t="n"/>
      <c r="O870" s="304" t="n"/>
      <c r="P870" s="304" t="n"/>
      <c r="Q870" s="304" t="n"/>
    </row>
    <row r="871" ht="13.8" customHeight="1" s="343">
      <c r="A871" s="388">
        <f>ROW()-22</f>
        <v/>
      </c>
      <c r="B871" s="536">
        <f>_xlfn.NORM.INV(RAND(),$B$6,$C$6)</f>
        <v/>
      </c>
      <c r="C871" s="536">
        <f>MIN(_xlfn.NORM.INV(RAND(),$B$7,$C$7),B871-0.005)</f>
        <v/>
      </c>
      <c r="D871" s="537">
        <f>_xlfn.NORM.INV(RAND(),$B$8,$C$8)</f>
        <v/>
      </c>
      <c r="E871" s="391">
        <f t="array" ref="E871">(SUMPRODUCT($B$13:$F$13*D871/(1+B871)^$B$14:$F$14)+($F$13*D871*(1+C871))/(B871-C871)/(1+B871)^$F$14-$B$15+$B$16)/$B$17</f>
        <v/>
      </c>
      <c r="F871" s="304" t="n"/>
      <c r="G871" s="304" t="n"/>
      <c r="H871" s="304" t="n"/>
      <c r="I871" s="304" t="n"/>
      <c r="J871" s="304" t="n"/>
      <c r="K871" s="304" t="n"/>
      <c r="L871" s="304" t="n"/>
      <c r="M871" s="304" t="n"/>
      <c r="N871" s="304" t="n"/>
      <c r="O871" s="304" t="n"/>
      <c r="P871" s="304" t="n"/>
      <c r="Q871" s="304" t="n"/>
    </row>
    <row r="872" ht="13.8" customHeight="1" s="343">
      <c r="A872" s="388">
        <f>ROW()-22</f>
        <v/>
      </c>
      <c r="B872" s="536">
        <f>_xlfn.NORM.INV(RAND(),$B$6,$C$6)</f>
        <v/>
      </c>
      <c r="C872" s="536">
        <f>MIN(_xlfn.NORM.INV(RAND(),$B$7,$C$7),B872-0.005)</f>
        <v/>
      </c>
      <c r="D872" s="537">
        <f>_xlfn.NORM.INV(RAND(),$B$8,$C$8)</f>
        <v/>
      </c>
      <c r="E872" s="391">
        <f t="array" ref="E872">(SUMPRODUCT($B$13:$F$13*D872/(1+B872)^$B$14:$F$14)+($F$13*D872*(1+C872))/(B872-C872)/(1+B872)^$F$14-$B$15+$B$16)/$B$17</f>
        <v/>
      </c>
      <c r="F872" s="304" t="n"/>
      <c r="G872" s="304" t="n"/>
      <c r="H872" s="304" t="n"/>
      <c r="I872" s="304" t="n"/>
      <c r="J872" s="304" t="n"/>
      <c r="K872" s="304" t="n"/>
      <c r="L872" s="304" t="n"/>
      <c r="M872" s="304" t="n"/>
      <c r="N872" s="304" t="n"/>
      <c r="O872" s="304" t="n"/>
      <c r="P872" s="304" t="n"/>
      <c r="Q872" s="304" t="n"/>
    </row>
    <row r="873" ht="13.8" customHeight="1" s="343">
      <c r="A873" s="388">
        <f>ROW()-22</f>
        <v/>
      </c>
      <c r="B873" s="536">
        <f>_xlfn.NORM.INV(RAND(),$B$6,$C$6)</f>
        <v/>
      </c>
      <c r="C873" s="536">
        <f>MIN(_xlfn.NORM.INV(RAND(),$B$7,$C$7),B873-0.005)</f>
        <v/>
      </c>
      <c r="D873" s="537">
        <f>_xlfn.NORM.INV(RAND(),$B$8,$C$8)</f>
        <v/>
      </c>
      <c r="E873" s="391">
        <f t="array" ref="E873">(SUMPRODUCT($B$13:$F$13*D873/(1+B873)^$B$14:$F$14)+($F$13*D873*(1+C873))/(B873-C873)/(1+B873)^$F$14-$B$15+$B$16)/$B$17</f>
        <v/>
      </c>
      <c r="F873" s="304" t="n"/>
      <c r="G873" s="304" t="n"/>
      <c r="H873" s="304" t="n"/>
      <c r="I873" s="304" t="n"/>
      <c r="J873" s="304" t="n"/>
      <c r="K873" s="304" t="n"/>
      <c r="L873" s="304" t="n"/>
      <c r="M873" s="304" t="n"/>
      <c r="N873" s="304" t="n"/>
      <c r="O873" s="304" t="n"/>
      <c r="P873" s="304" t="n"/>
      <c r="Q873" s="304" t="n"/>
    </row>
    <row r="874" ht="13.8" customHeight="1" s="343">
      <c r="A874" s="388">
        <f>ROW()-22</f>
        <v/>
      </c>
      <c r="B874" s="536">
        <f>_xlfn.NORM.INV(RAND(),$B$6,$C$6)</f>
        <v/>
      </c>
      <c r="C874" s="536">
        <f>MIN(_xlfn.NORM.INV(RAND(),$B$7,$C$7),B874-0.005)</f>
        <v/>
      </c>
      <c r="D874" s="537">
        <f>_xlfn.NORM.INV(RAND(),$B$8,$C$8)</f>
        <v/>
      </c>
      <c r="E874" s="391">
        <f t="array" ref="E874">(SUMPRODUCT($B$13:$F$13*D874/(1+B874)^$B$14:$F$14)+($F$13*D874*(1+C874))/(B874-C874)/(1+B874)^$F$14-$B$15+$B$16)/$B$17</f>
        <v/>
      </c>
      <c r="F874" s="304" t="n"/>
      <c r="G874" s="304" t="n"/>
      <c r="H874" s="304" t="n"/>
      <c r="I874" s="304" t="n"/>
      <c r="J874" s="304" t="n"/>
      <c r="K874" s="304" t="n"/>
      <c r="L874" s="304" t="n"/>
      <c r="M874" s="304" t="n"/>
      <c r="N874" s="304" t="n"/>
      <c r="O874" s="304" t="n"/>
      <c r="P874" s="304" t="n"/>
      <c r="Q874" s="304" t="n"/>
    </row>
    <row r="875" ht="13.8" customHeight="1" s="343">
      <c r="A875" s="388">
        <f>ROW()-22</f>
        <v/>
      </c>
      <c r="B875" s="536">
        <f>_xlfn.NORM.INV(RAND(),$B$6,$C$6)</f>
        <v/>
      </c>
      <c r="C875" s="536">
        <f>MIN(_xlfn.NORM.INV(RAND(),$B$7,$C$7),B875-0.005)</f>
        <v/>
      </c>
      <c r="D875" s="537">
        <f>_xlfn.NORM.INV(RAND(),$B$8,$C$8)</f>
        <v/>
      </c>
      <c r="E875" s="391">
        <f t="array" ref="E875">(SUMPRODUCT($B$13:$F$13*D875/(1+B875)^$B$14:$F$14)+($F$13*D875*(1+C875))/(B875-C875)/(1+B875)^$F$14-$B$15+$B$16)/$B$17</f>
        <v/>
      </c>
      <c r="F875" s="304" t="n"/>
      <c r="G875" s="304" t="n"/>
      <c r="H875" s="304" t="n"/>
      <c r="I875" s="304" t="n"/>
      <c r="J875" s="304" t="n"/>
      <c r="K875" s="304" t="n"/>
      <c r="L875" s="304" t="n"/>
      <c r="M875" s="304" t="n"/>
      <c r="N875" s="304" t="n"/>
      <c r="O875" s="304" t="n"/>
      <c r="P875" s="304" t="n"/>
      <c r="Q875" s="304" t="n"/>
    </row>
    <row r="876" ht="13.8" customHeight="1" s="343">
      <c r="A876" s="388">
        <f>ROW()-22</f>
        <v/>
      </c>
      <c r="B876" s="536">
        <f>_xlfn.NORM.INV(RAND(),$B$6,$C$6)</f>
        <v/>
      </c>
      <c r="C876" s="536">
        <f>MIN(_xlfn.NORM.INV(RAND(),$B$7,$C$7),B876-0.005)</f>
        <v/>
      </c>
      <c r="D876" s="537">
        <f>_xlfn.NORM.INV(RAND(),$B$8,$C$8)</f>
        <v/>
      </c>
      <c r="E876" s="391">
        <f t="array" ref="E876">(SUMPRODUCT($B$13:$F$13*D876/(1+B876)^$B$14:$F$14)+($F$13*D876*(1+C876))/(B876-C876)/(1+B876)^$F$14-$B$15+$B$16)/$B$17</f>
        <v/>
      </c>
      <c r="F876" s="304" t="n"/>
      <c r="G876" s="304" t="n"/>
      <c r="H876" s="304" t="n"/>
      <c r="I876" s="304" t="n"/>
      <c r="J876" s="304" t="n"/>
      <c r="K876" s="304" t="n"/>
      <c r="L876" s="304" t="n"/>
      <c r="M876" s="304" t="n"/>
      <c r="N876" s="304" t="n"/>
      <c r="O876" s="304" t="n"/>
      <c r="P876" s="304" t="n"/>
      <c r="Q876" s="304" t="n"/>
    </row>
    <row r="877" ht="13.8" customHeight="1" s="343">
      <c r="A877" s="388">
        <f>ROW()-22</f>
        <v/>
      </c>
      <c r="B877" s="536">
        <f>_xlfn.NORM.INV(RAND(),$B$6,$C$6)</f>
        <v/>
      </c>
      <c r="C877" s="536">
        <f>MIN(_xlfn.NORM.INV(RAND(),$B$7,$C$7),B877-0.005)</f>
        <v/>
      </c>
      <c r="D877" s="537">
        <f>_xlfn.NORM.INV(RAND(),$B$8,$C$8)</f>
        <v/>
      </c>
      <c r="E877" s="391">
        <f t="array" ref="E877">(SUMPRODUCT($B$13:$F$13*D877/(1+B877)^$B$14:$F$14)+($F$13*D877*(1+C877))/(B877-C877)/(1+B877)^$F$14-$B$15+$B$16)/$B$17</f>
        <v/>
      </c>
      <c r="F877" s="304" t="n"/>
      <c r="G877" s="304" t="n"/>
      <c r="H877" s="304" t="n"/>
      <c r="I877" s="304" t="n"/>
      <c r="J877" s="304" t="n"/>
      <c r="K877" s="304" t="n"/>
      <c r="L877" s="304" t="n"/>
      <c r="M877" s="304" t="n"/>
      <c r="N877" s="304" t="n"/>
      <c r="O877" s="304" t="n"/>
      <c r="P877" s="304" t="n"/>
      <c r="Q877" s="304" t="n"/>
    </row>
    <row r="878" ht="13.8" customHeight="1" s="343">
      <c r="A878" s="388">
        <f>ROW()-22</f>
        <v/>
      </c>
      <c r="B878" s="536">
        <f>_xlfn.NORM.INV(RAND(),$B$6,$C$6)</f>
        <v/>
      </c>
      <c r="C878" s="536">
        <f>MIN(_xlfn.NORM.INV(RAND(),$B$7,$C$7),B878-0.005)</f>
        <v/>
      </c>
      <c r="D878" s="537">
        <f>_xlfn.NORM.INV(RAND(),$B$8,$C$8)</f>
        <v/>
      </c>
      <c r="E878" s="391">
        <f t="array" ref="E878">(SUMPRODUCT($B$13:$F$13*D878/(1+B878)^$B$14:$F$14)+($F$13*D878*(1+C878))/(B878-C878)/(1+B878)^$F$14-$B$15+$B$16)/$B$17</f>
        <v/>
      </c>
      <c r="F878" s="304" t="n"/>
      <c r="G878" s="304" t="n"/>
      <c r="H878" s="304" t="n"/>
      <c r="I878" s="304" t="n"/>
      <c r="J878" s="304" t="n"/>
      <c r="K878" s="304" t="n"/>
      <c r="L878" s="304" t="n"/>
      <c r="M878" s="304" t="n"/>
      <c r="N878" s="304" t="n"/>
      <c r="O878" s="304" t="n"/>
      <c r="P878" s="304" t="n"/>
      <c r="Q878" s="304" t="n"/>
    </row>
    <row r="879" ht="13.8" customHeight="1" s="343">
      <c r="A879" s="388">
        <f>ROW()-22</f>
        <v/>
      </c>
      <c r="B879" s="536">
        <f>_xlfn.NORM.INV(RAND(),$B$6,$C$6)</f>
        <v/>
      </c>
      <c r="C879" s="536">
        <f>MIN(_xlfn.NORM.INV(RAND(),$B$7,$C$7),B879-0.005)</f>
        <v/>
      </c>
      <c r="D879" s="537">
        <f>_xlfn.NORM.INV(RAND(),$B$8,$C$8)</f>
        <v/>
      </c>
      <c r="E879" s="391">
        <f t="array" ref="E879">(SUMPRODUCT($B$13:$F$13*D879/(1+B879)^$B$14:$F$14)+($F$13*D879*(1+C879))/(B879-C879)/(1+B879)^$F$14-$B$15+$B$16)/$B$17</f>
        <v/>
      </c>
      <c r="F879" s="304" t="n"/>
      <c r="G879" s="304" t="n"/>
      <c r="H879" s="304" t="n"/>
      <c r="I879" s="304" t="n"/>
      <c r="J879" s="304" t="n"/>
      <c r="K879" s="304" t="n"/>
      <c r="L879" s="304" t="n"/>
      <c r="M879" s="304" t="n"/>
      <c r="N879" s="304" t="n"/>
      <c r="O879" s="304" t="n"/>
      <c r="P879" s="304" t="n"/>
      <c r="Q879" s="304" t="n"/>
    </row>
    <row r="880" ht="13.8" customHeight="1" s="343">
      <c r="A880" s="388">
        <f>ROW()-22</f>
        <v/>
      </c>
      <c r="B880" s="536">
        <f>_xlfn.NORM.INV(RAND(),$B$6,$C$6)</f>
        <v/>
      </c>
      <c r="C880" s="536">
        <f>MIN(_xlfn.NORM.INV(RAND(),$B$7,$C$7),B880-0.005)</f>
        <v/>
      </c>
      <c r="D880" s="537">
        <f>_xlfn.NORM.INV(RAND(),$B$8,$C$8)</f>
        <v/>
      </c>
      <c r="E880" s="391">
        <f t="array" ref="E880">(SUMPRODUCT($B$13:$F$13*D880/(1+B880)^$B$14:$F$14)+($F$13*D880*(1+C880))/(B880-C880)/(1+B880)^$F$14-$B$15+$B$16)/$B$17</f>
        <v/>
      </c>
      <c r="F880" s="304" t="n"/>
      <c r="G880" s="304" t="n"/>
      <c r="H880" s="304" t="n"/>
      <c r="I880" s="304" t="n"/>
      <c r="J880" s="304" t="n"/>
      <c r="K880" s="304" t="n"/>
      <c r="L880" s="304" t="n"/>
      <c r="M880" s="304" t="n"/>
      <c r="N880" s="304" t="n"/>
      <c r="O880" s="304" t="n"/>
      <c r="P880" s="304" t="n"/>
      <c r="Q880" s="304" t="n"/>
    </row>
    <row r="881" ht="13.8" customHeight="1" s="343">
      <c r="A881" s="388">
        <f>ROW()-22</f>
        <v/>
      </c>
      <c r="B881" s="536">
        <f>_xlfn.NORM.INV(RAND(),$B$6,$C$6)</f>
        <v/>
      </c>
      <c r="C881" s="536">
        <f>MIN(_xlfn.NORM.INV(RAND(),$B$7,$C$7),B881-0.005)</f>
        <v/>
      </c>
      <c r="D881" s="537">
        <f>_xlfn.NORM.INV(RAND(),$B$8,$C$8)</f>
        <v/>
      </c>
      <c r="E881" s="391">
        <f t="array" ref="E881">(SUMPRODUCT($B$13:$F$13*D881/(1+B881)^$B$14:$F$14)+($F$13*D881*(1+C881))/(B881-C881)/(1+B881)^$F$14-$B$15+$B$16)/$B$17</f>
        <v/>
      </c>
      <c r="F881" s="304" t="n"/>
      <c r="G881" s="304" t="n"/>
      <c r="H881" s="304" t="n"/>
      <c r="I881" s="304" t="n"/>
      <c r="J881" s="304" t="n"/>
      <c r="K881" s="304" t="n"/>
      <c r="L881" s="304" t="n"/>
      <c r="M881" s="304" t="n"/>
      <c r="N881" s="304" t="n"/>
      <c r="O881" s="304" t="n"/>
      <c r="P881" s="304" t="n"/>
      <c r="Q881" s="304" t="n"/>
    </row>
    <row r="882" ht="13.8" customHeight="1" s="343">
      <c r="A882" s="388">
        <f>ROW()-22</f>
        <v/>
      </c>
      <c r="B882" s="536">
        <f>_xlfn.NORM.INV(RAND(),$B$6,$C$6)</f>
        <v/>
      </c>
      <c r="C882" s="536">
        <f>MIN(_xlfn.NORM.INV(RAND(),$B$7,$C$7),B882-0.005)</f>
        <v/>
      </c>
      <c r="D882" s="537">
        <f>_xlfn.NORM.INV(RAND(),$B$8,$C$8)</f>
        <v/>
      </c>
      <c r="E882" s="391">
        <f t="array" ref="E882">(SUMPRODUCT($B$13:$F$13*D882/(1+B882)^$B$14:$F$14)+($F$13*D882*(1+C882))/(B882-C882)/(1+B882)^$F$14-$B$15+$B$16)/$B$17</f>
        <v/>
      </c>
      <c r="F882" s="304" t="n"/>
      <c r="G882" s="304" t="n"/>
      <c r="H882" s="304" t="n"/>
      <c r="I882" s="304" t="n"/>
      <c r="J882" s="304" t="n"/>
      <c r="K882" s="304" t="n"/>
      <c r="L882" s="304" t="n"/>
      <c r="M882" s="304" t="n"/>
      <c r="N882" s="304" t="n"/>
      <c r="O882" s="304" t="n"/>
      <c r="P882" s="304" t="n"/>
      <c r="Q882" s="304" t="n"/>
    </row>
    <row r="883" ht="13.8" customHeight="1" s="343">
      <c r="A883" s="388">
        <f>ROW()-22</f>
        <v/>
      </c>
      <c r="B883" s="536">
        <f>_xlfn.NORM.INV(RAND(),$B$6,$C$6)</f>
        <v/>
      </c>
      <c r="C883" s="536">
        <f>MIN(_xlfn.NORM.INV(RAND(),$B$7,$C$7),B883-0.005)</f>
        <v/>
      </c>
      <c r="D883" s="537">
        <f>_xlfn.NORM.INV(RAND(),$B$8,$C$8)</f>
        <v/>
      </c>
      <c r="E883" s="391">
        <f t="array" ref="E883">(SUMPRODUCT($B$13:$F$13*D883/(1+B883)^$B$14:$F$14)+($F$13*D883*(1+C883))/(B883-C883)/(1+B883)^$F$14-$B$15+$B$16)/$B$17</f>
        <v/>
      </c>
      <c r="F883" s="304" t="n"/>
      <c r="G883" s="304" t="n"/>
      <c r="H883" s="304" t="n"/>
      <c r="I883" s="304" t="n"/>
      <c r="J883" s="304" t="n"/>
      <c r="K883" s="304" t="n"/>
      <c r="L883" s="304" t="n"/>
      <c r="M883" s="304" t="n"/>
      <c r="N883" s="304" t="n"/>
      <c r="O883" s="304" t="n"/>
      <c r="P883" s="304" t="n"/>
      <c r="Q883" s="304" t="n"/>
    </row>
    <row r="884" ht="13.8" customHeight="1" s="343">
      <c r="A884" s="388">
        <f>ROW()-22</f>
        <v/>
      </c>
      <c r="B884" s="536">
        <f>_xlfn.NORM.INV(RAND(),$B$6,$C$6)</f>
        <v/>
      </c>
      <c r="C884" s="536">
        <f>MIN(_xlfn.NORM.INV(RAND(),$B$7,$C$7),B884-0.005)</f>
        <v/>
      </c>
      <c r="D884" s="537">
        <f>_xlfn.NORM.INV(RAND(),$B$8,$C$8)</f>
        <v/>
      </c>
      <c r="E884" s="391">
        <f t="array" ref="E884">(SUMPRODUCT($B$13:$F$13*D884/(1+B884)^$B$14:$F$14)+($F$13*D884*(1+C884))/(B884-C884)/(1+B884)^$F$14-$B$15+$B$16)/$B$17</f>
        <v/>
      </c>
      <c r="F884" s="304" t="n"/>
      <c r="G884" s="304" t="n"/>
      <c r="H884" s="304" t="n"/>
      <c r="I884" s="304" t="n"/>
      <c r="J884" s="304" t="n"/>
      <c r="K884" s="304" t="n"/>
      <c r="L884" s="304" t="n"/>
      <c r="M884" s="304" t="n"/>
      <c r="N884" s="304" t="n"/>
      <c r="O884" s="304" t="n"/>
      <c r="P884" s="304" t="n"/>
      <c r="Q884" s="304" t="n"/>
    </row>
    <row r="885" ht="13.8" customHeight="1" s="343">
      <c r="A885" s="388">
        <f>ROW()-22</f>
        <v/>
      </c>
      <c r="B885" s="536">
        <f>_xlfn.NORM.INV(RAND(),$B$6,$C$6)</f>
        <v/>
      </c>
      <c r="C885" s="536">
        <f>MIN(_xlfn.NORM.INV(RAND(),$B$7,$C$7),B885-0.005)</f>
        <v/>
      </c>
      <c r="D885" s="537">
        <f>_xlfn.NORM.INV(RAND(),$B$8,$C$8)</f>
        <v/>
      </c>
      <c r="E885" s="391">
        <f t="array" ref="E885">(SUMPRODUCT($B$13:$F$13*D885/(1+B885)^$B$14:$F$14)+($F$13*D885*(1+C885))/(B885-C885)/(1+B885)^$F$14-$B$15+$B$16)/$B$17</f>
        <v/>
      </c>
      <c r="F885" s="304" t="n"/>
      <c r="G885" s="304" t="n"/>
      <c r="H885" s="304" t="n"/>
      <c r="I885" s="304" t="n"/>
      <c r="J885" s="304" t="n"/>
      <c r="K885" s="304" t="n"/>
      <c r="L885" s="304" t="n"/>
      <c r="M885" s="304" t="n"/>
      <c r="N885" s="304" t="n"/>
      <c r="O885" s="304" t="n"/>
      <c r="P885" s="304" t="n"/>
      <c r="Q885" s="304" t="n"/>
    </row>
    <row r="886" ht="13.8" customHeight="1" s="343">
      <c r="A886" s="388">
        <f>ROW()-22</f>
        <v/>
      </c>
      <c r="B886" s="536">
        <f>_xlfn.NORM.INV(RAND(),$B$6,$C$6)</f>
        <v/>
      </c>
      <c r="C886" s="536">
        <f>MIN(_xlfn.NORM.INV(RAND(),$B$7,$C$7),B886-0.005)</f>
        <v/>
      </c>
      <c r="D886" s="537">
        <f>_xlfn.NORM.INV(RAND(),$B$8,$C$8)</f>
        <v/>
      </c>
      <c r="E886" s="391">
        <f t="array" ref="E886">(SUMPRODUCT($B$13:$F$13*D886/(1+B886)^$B$14:$F$14)+($F$13*D886*(1+C886))/(B886-C886)/(1+B886)^$F$14-$B$15+$B$16)/$B$17</f>
        <v/>
      </c>
      <c r="F886" s="304" t="n"/>
      <c r="G886" s="304" t="n"/>
      <c r="H886" s="304" t="n"/>
      <c r="I886" s="304" t="n"/>
      <c r="J886" s="304" t="n"/>
      <c r="K886" s="304" t="n"/>
      <c r="L886" s="304" t="n"/>
      <c r="M886" s="304" t="n"/>
      <c r="N886" s="304" t="n"/>
      <c r="O886" s="304" t="n"/>
      <c r="P886" s="304" t="n"/>
      <c r="Q886" s="304" t="n"/>
    </row>
    <row r="887" ht="13.8" customHeight="1" s="343">
      <c r="A887" s="388">
        <f>ROW()-22</f>
        <v/>
      </c>
      <c r="B887" s="536">
        <f>_xlfn.NORM.INV(RAND(),$B$6,$C$6)</f>
        <v/>
      </c>
      <c r="C887" s="536">
        <f>MIN(_xlfn.NORM.INV(RAND(),$B$7,$C$7),B887-0.005)</f>
        <v/>
      </c>
      <c r="D887" s="537">
        <f>_xlfn.NORM.INV(RAND(),$B$8,$C$8)</f>
        <v/>
      </c>
      <c r="E887" s="391">
        <f t="array" ref="E887">(SUMPRODUCT($B$13:$F$13*D887/(1+B887)^$B$14:$F$14)+($F$13*D887*(1+C887))/(B887-C887)/(1+B887)^$F$14-$B$15+$B$16)/$B$17</f>
        <v/>
      </c>
      <c r="F887" s="304" t="n"/>
      <c r="G887" s="304" t="n"/>
      <c r="H887" s="304" t="n"/>
      <c r="I887" s="304" t="n"/>
      <c r="J887" s="304" t="n"/>
      <c r="K887" s="304" t="n"/>
      <c r="L887" s="304" t="n"/>
      <c r="M887" s="304" t="n"/>
      <c r="N887" s="304" t="n"/>
      <c r="O887" s="304" t="n"/>
      <c r="P887" s="304" t="n"/>
      <c r="Q887" s="304" t="n"/>
    </row>
    <row r="888" ht="13.8" customHeight="1" s="343">
      <c r="A888" s="388">
        <f>ROW()-22</f>
        <v/>
      </c>
      <c r="B888" s="536">
        <f>_xlfn.NORM.INV(RAND(),$B$6,$C$6)</f>
        <v/>
      </c>
      <c r="C888" s="536">
        <f>MIN(_xlfn.NORM.INV(RAND(),$B$7,$C$7),B888-0.005)</f>
        <v/>
      </c>
      <c r="D888" s="537">
        <f>_xlfn.NORM.INV(RAND(),$B$8,$C$8)</f>
        <v/>
      </c>
      <c r="E888" s="391">
        <f t="array" ref="E888">(SUMPRODUCT($B$13:$F$13*D888/(1+B888)^$B$14:$F$14)+($F$13*D888*(1+C888))/(B888-C888)/(1+B888)^$F$14-$B$15+$B$16)/$B$17</f>
        <v/>
      </c>
      <c r="F888" s="304" t="n"/>
      <c r="G888" s="304" t="n"/>
      <c r="H888" s="304" t="n"/>
      <c r="I888" s="304" t="n"/>
      <c r="J888" s="304" t="n"/>
      <c r="K888" s="304" t="n"/>
      <c r="L888" s="304" t="n"/>
      <c r="M888" s="304" t="n"/>
      <c r="N888" s="304" t="n"/>
      <c r="O888" s="304" t="n"/>
      <c r="P888" s="304" t="n"/>
      <c r="Q888" s="304" t="n"/>
    </row>
    <row r="889" ht="13.8" customHeight="1" s="343">
      <c r="A889" s="388">
        <f>ROW()-22</f>
        <v/>
      </c>
      <c r="B889" s="536">
        <f>_xlfn.NORM.INV(RAND(),$B$6,$C$6)</f>
        <v/>
      </c>
      <c r="C889" s="536">
        <f>MIN(_xlfn.NORM.INV(RAND(),$B$7,$C$7),B889-0.005)</f>
        <v/>
      </c>
      <c r="D889" s="537">
        <f>_xlfn.NORM.INV(RAND(),$B$8,$C$8)</f>
        <v/>
      </c>
      <c r="E889" s="391">
        <f t="array" ref="E889">(SUMPRODUCT($B$13:$F$13*D889/(1+B889)^$B$14:$F$14)+($F$13*D889*(1+C889))/(B889-C889)/(1+B889)^$F$14-$B$15+$B$16)/$B$17</f>
        <v/>
      </c>
      <c r="F889" s="304" t="n"/>
      <c r="G889" s="304" t="n"/>
      <c r="H889" s="304" t="n"/>
      <c r="I889" s="304" t="n"/>
      <c r="J889" s="304" t="n"/>
      <c r="K889" s="304" t="n"/>
      <c r="L889" s="304" t="n"/>
      <c r="M889" s="304" t="n"/>
      <c r="N889" s="304" t="n"/>
      <c r="O889" s="304" t="n"/>
      <c r="P889" s="304" t="n"/>
      <c r="Q889" s="304" t="n"/>
    </row>
    <row r="890" ht="13.8" customHeight="1" s="343">
      <c r="A890" s="388">
        <f>ROW()-22</f>
        <v/>
      </c>
      <c r="B890" s="536">
        <f>_xlfn.NORM.INV(RAND(),$B$6,$C$6)</f>
        <v/>
      </c>
      <c r="C890" s="536">
        <f>MIN(_xlfn.NORM.INV(RAND(),$B$7,$C$7),B890-0.005)</f>
        <v/>
      </c>
      <c r="D890" s="537">
        <f>_xlfn.NORM.INV(RAND(),$B$8,$C$8)</f>
        <v/>
      </c>
      <c r="E890" s="391">
        <f t="array" ref="E890">(SUMPRODUCT($B$13:$F$13*D890/(1+B890)^$B$14:$F$14)+($F$13*D890*(1+C890))/(B890-C890)/(1+B890)^$F$14-$B$15+$B$16)/$B$17</f>
        <v/>
      </c>
      <c r="F890" s="304" t="n"/>
      <c r="G890" s="304" t="n"/>
      <c r="H890" s="304" t="n"/>
      <c r="I890" s="304" t="n"/>
      <c r="J890" s="304" t="n"/>
      <c r="K890" s="304" t="n"/>
      <c r="L890" s="304" t="n"/>
      <c r="M890" s="304" t="n"/>
      <c r="N890" s="304" t="n"/>
      <c r="O890" s="304" t="n"/>
      <c r="P890" s="304" t="n"/>
      <c r="Q890" s="304" t="n"/>
    </row>
    <row r="891" ht="13.8" customHeight="1" s="343">
      <c r="A891" s="388">
        <f>ROW()-22</f>
        <v/>
      </c>
      <c r="B891" s="536">
        <f>_xlfn.NORM.INV(RAND(),$B$6,$C$6)</f>
        <v/>
      </c>
      <c r="C891" s="536">
        <f>MIN(_xlfn.NORM.INV(RAND(),$B$7,$C$7),B891-0.005)</f>
        <v/>
      </c>
      <c r="D891" s="537">
        <f>_xlfn.NORM.INV(RAND(),$B$8,$C$8)</f>
        <v/>
      </c>
      <c r="E891" s="391">
        <f t="array" ref="E891">(SUMPRODUCT($B$13:$F$13*D891/(1+B891)^$B$14:$F$14)+($F$13*D891*(1+C891))/(B891-C891)/(1+B891)^$F$14-$B$15+$B$16)/$B$17</f>
        <v/>
      </c>
      <c r="F891" s="304" t="n"/>
      <c r="G891" s="304" t="n"/>
      <c r="H891" s="304" t="n"/>
      <c r="I891" s="304" t="n"/>
      <c r="J891" s="304" t="n"/>
      <c r="K891" s="304" t="n"/>
      <c r="L891" s="304" t="n"/>
      <c r="M891" s="304" t="n"/>
      <c r="N891" s="304" t="n"/>
      <c r="O891" s="304" t="n"/>
      <c r="P891" s="304" t="n"/>
      <c r="Q891" s="304" t="n"/>
    </row>
    <row r="892" ht="13.8" customHeight="1" s="343">
      <c r="A892" s="388">
        <f>ROW()-22</f>
        <v/>
      </c>
      <c r="B892" s="536">
        <f>_xlfn.NORM.INV(RAND(),$B$6,$C$6)</f>
        <v/>
      </c>
      <c r="C892" s="536">
        <f>MIN(_xlfn.NORM.INV(RAND(),$B$7,$C$7),B892-0.005)</f>
        <v/>
      </c>
      <c r="D892" s="537">
        <f>_xlfn.NORM.INV(RAND(),$B$8,$C$8)</f>
        <v/>
      </c>
      <c r="E892" s="391">
        <f t="array" ref="E892">(SUMPRODUCT($B$13:$F$13*D892/(1+B892)^$B$14:$F$14)+($F$13*D892*(1+C892))/(B892-C892)/(1+B892)^$F$14-$B$15+$B$16)/$B$17</f>
        <v/>
      </c>
      <c r="F892" s="304" t="n"/>
      <c r="G892" s="304" t="n"/>
      <c r="H892" s="304" t="n"/>
      <c r="I892" s="304" t="n"/>
      <c r="J892" s="304" t="n"/>
      <c r="K892" s="304" t="n"/>
      <c r="L892" s="304" t="n"/>
      <c r="M892" s="304" t="n"/>
      <c r="N892" s="304" t="n"/>
      <c r="O892" s="304" t="n"/>
      <c r="P892" s="304" t="n"/>
      <c r="Q892" s="304" t="n"/>
    </row>
    <row r="893" ht="13.8" customHeight="1" s="343">
      <c r="A893" s="388">
        <f>ROW()-22</f>
        <v/>
      </c>
      <c r="B893" s="536">
        <f>_xlfn.NORM.INV(RAND(),$B$6,$C$6)</f>
        <v/>
      </c>
      <c r="C893" s="536">
        <f>MIN(_xlfn.NORM.INV(RAND(),$B$7,$C$7),B893-0.005)</f>
        <v/>
      </c>
      <c r="D893" s="537">
        <f>_xlfn.NORM.INV(RAND(),$B$8,$C$8)</f>
        <v/>
      </c>
      <c r="E893" s="391">
        <f t="array" ref="E893">(SUMPRODUCT($B$13:$F$13*D893/(1+B893)^$B$14:$F$14)+($F$13*D893*(1+C893))/(B893-C893)/(1+B893)^$F$14-$B$15+$B$16)/$B$17</f>
        <v/>
      </c>
      <c r="F893" s="304" t="n"/>
      <c r="G893" s="304" t="n"/>
      <c r="H893" s="304" t="n"/>
      <c r="I893" s="304" t="n"/>
      <c r="J893" s="304" t="n"/>
      <c r="K893" s="304" t="n"/>
      <c r="L893" s="304" t="n"/>
      <c r="M893" s="304" t="n"/>
      <c r="N893" s="304" t="n"/>
      <c r="O893" s="304" t="n"/>
      <c r="P893" s="304" t="n"/>
      <c r="Q893" s="304" t="n"/>
    </row>
    <row r="894" ht="13.8" customHeight="1" s="343">
      <c r="A894" s="388">
        <f>ROW()-22</f>
        <v/>
      </c>
      <c r="B894" s="536">
        <f>_xlfn.NORM.INV(RAND(),$B$6,$C$6)</f>
        <v/>
      </c>
      <c r="C894" s="536">
        <f>MIN(_xlfn.NORM.INV(RAND(),$B$7,$C$7),B894-0.005)</f>
        <v/>
      </c>
      <c r="D894" s="537">
        <f>_xlfn.NORM.INV(RAND(),$B$8,$C$8)</f>
        <v/>
      </c>
      <c r="E894" s="391">
        <f t="array" ref="E894">(SUMPRODUCT($B$13:$F$13*D894/(1+B894)^$B$14:$F$14)+($F$13*D894*(1+C894))/(B894-C894)/(1+B894)^$F$14-$B$15+$B$16)/$B$17</f>
        <v/>
      </c>
      <c r="F894" s="304" t="n"/>
      <c r="G894" s="304" t="n"/>
      <c r="H894" s="304" t="n"/>
      <c r="I894" s="304" t="n"/>
      <c r="J894" s="304" t="n"/>
      <c r="K894" s="304" t="n"/>
      <c r="L894" s="304" t="n"/>
      <c r="M894" s="304" t="n"/>
      <c r="N894" s="304" t="n"/>
      <c r="O894" s="304" t="n"/>
      <c r="P894" s="304" t="n"/>
      <c r="Q894" s="304" t="n"/>
    </row>
    <row r="895" ht="13.8" customHeight="1" s="343">
      <c r="A895" s="388">
        <f>ROW()-22</f>
        <v/>
      </c>
      <c r="B895" s="536">
        <f>_xlfn.NORM.INV(RAND(),$B$6,$C$6)</f>
        <v/>
      </c>
      <c r="C895" s="536">
        <f>MIN(_xlfn.NORM.INV(RAND(),$B$7,$C$7),B895-0.005)</f>
        <v/>
      </c>
      <c r="D895" s="537">
        <f>_xlfn.NORM.INV(RAND(),$B$8,$C$8)</f>
        <v/>
      </c>
      <c r="E895" s="391">
        <f t="array" ref="E895">(SUMPRODUCT($B$13:$F$13*D895/(1+B895)^$B$14:$F$14)+($F$13*D895*(1+C895))/(B895-C895)/(1+B895)^$F$14-$B$15+$B$16)/$B$17</f>
        <v/>
      </c>
      <c r="F895" s="304" t="n"/>
      <c r="G895" s="304" t="n"/>
      <c r="H895" s="304" t="n"/>
      <c r="I895" s="304" t="n"/>
      <c r="J895" s="304" t="n"/>
      <c r="K895" s="304" t="n"/>
      <c r="L895" s="304" t="n"/>
      <c r="M895" s="304" t="n"/>
      <c r="N895" s="304" t="n"/>
      <c r="O895" s="304" t="n"/>
      <c r="P895" s="304" t="n"/>
      <c r="Q895" s="304" t="n"/>
    </row>
    <row r="896" ht="13.8" customHeight="1" s="343">
      <c r="A896" s="388">
        <f>ROW()-22</f>
        <v/>
      </c>
      <c r="B896" s="536">
        <f>_xlfn.NORM.INV(RAND(),$B$6,$C$6)</f>
        <v/>
      </c>
      <c r="C896" s="536">
        <f>MIN(_xlfn.NORM.INV(RAND(),$B$7,$C$7),B896-0.005)</f>
        <v/>
      </c>
      <c r="D896" s="537">
        <f>_xlfn.NORM.INV(RAND(),$B$8,$C$8)</f>
        <v/>
      </c>
      <c r="E896" s="391">
        <f t="array" ref="E896">(SUMPRODUCT($B$13:$F$13*D896/(1+B896)^$B$14:$F$14)+($F$13*D896*(1+C896))/(B896-C896)/(1+B896)^$F$14-$B$15+$B$16)/$B$17</f>
        <v/>
      </c>
      <c r="F896" s="304" t="n"/>
      <c r="G896" s="304" t="n"/>
      <c r="H896" s="304" t="n"/>
      <c r="I896" s="304" t="n"/>
      <c r="J896" s="304" t="n"/>
      <c r="K896" s="304" t="n"/>
      <c r="L896" s="304" t="n"/>
      <c r="M896" s="304" t="n"/>
      <c r="N896" s="304" t="n"/>
      <c r="O896" s="304" t="n"/>
      <c r="P896" s="304" t="n"/>
      <c r="Q896" s="304" t="n"/>
    </row>
    <row r="897" ht="13.8" customHeight="1" s="343">
      <c r="A897" s="388">
        <f>ROW()-22</f>
        <v/>
      </c>
      <c r="B897" s="536">
        <f>_xlfn.NORM.INV(RAND(),$B$6,$C$6)</f>
        <v/>
      </c>
      <c r="C897" s="536">
        <f>MIN(_xlfn.NORM.INV(RAND(),$B$7,$C$7),B897-0.005)</f>
        <v/>
      </c>
      <c r="D897" s="537">
        <f>_xlfn.NORM.INV(RAND(),$B$8,$C$8)</f>
        <v/>
      </c>
      <c r="E897" s="391">
        <f t="array" ref="E897">(SUMPRODUCT($B$13:$F$13*D897/(1+B897)^$B$14:$F$14)+($F$13*D897*(1+C897))/(B897-C897)/(1+B897)^$F$14-$B$15+$B$16)/$B$17</f>
        <v/>
      </c>
      <c r="F897" s="304" t="n"/>
      <c r="G897" s="304" t="n"/>
      <c r="H897" s="304" t="n"/>
      <c r="I897" s="304" t="n"/>
      <c r="J897" s="304" t="n"/>
      <c r="K897" s="304" t="n"/>
      <c r="L897" s="304" t="n"/>
      <c r="M897" s="304" t="n"/>
      <c r="N897" s="304" t="n"/>
      <c r="O897" s="304" t="n"/>
      <c r="P897" s="304" t="n"/>
      <c r="Q897" s="304" t="n"/>
    </row>
    <row r="898" ht="13.8" customHeight="1" s="343">
      <c r="A898" s="388">
        <f>ROW()-22</f>
        <v/>
      </c>
      <c r="B898" s="536">
        <f>_xlfn.NORM.INV(RAND(),$B$6,$C$6)</f>
        <v/>
      </c>
      <c r="C898" s="536">
        <f>MIN(_xlfn.NORM.INV(RAND(),$B$7,$C$7),B898-0.005)</f>
        <v/>
      </c>
      <c r="D898" s="537">
        <f>_xlfn.NORM.INV(RAND(),$B$8,$C$8)</f>
        <v/>
      </c>
      <c r="E898" s="391">
        <f t="array" ref="E898">(SUMPRODUCT($B$13:$F$13*D898/(1+B898)^$B$14:$F$14)+($F$13*D898*(1+C898))/(B898-C898)/(1+B898)^$F$14-$B$15+$B$16)/$B$17</f>
        <v/>
      </c>
      <c r="F898" s="304" t="n"/>
      <c r="G898" s="304" t="n"/>
      <c r="H898" s="304" t="n"/>
      <c r="I898" s="304" t="n"/>
      <c r="J898" s="304" t="n"/>
      <c r="K898" s="304" t="n"/>
      <c r="L898" s="304" t="n"/>
      <c r="M898" s="304" t="n"/>
      <c r="N898" s="304" t="n"/>
      <c r="O898" s="304" t="n"/>
      <c r="P898" s="304" t="n"/>
      <c r="Q898" s="304" t="n"/>
    </row>
    <row r="899" ht="13.8" customHeight="1" s="343">
      <c r="A899" s="388">
        <f>ROW()-22</f>
        <v/>
      </c>
      <c r="B899" s="536">
        <f>_xlfn.NORM.INV(RAND(),$B$6,$C$6)</f>
        <v/>
      </c>
      <c r="C899" s="536">
        <f>MIN(_xlfn.NORM.INV(RAND(),$B$7,$C$7),B899-0.005)</f>
        <v/>
      </c>
      <c r="D899" s="537">
        <f>_xlfn.NORM.INV(RAND(),$B$8,$C$8)</f>
        <v/>
      </c>
      <c r="E899" s="391">
        <f t="array" ref="E899">(SUMPRODUCT($B$13:$F$13*D899/(1+B899)^$B$14:$F$14)+($F$13*D899*(1+C899))/(B899-C899)/(1+B899)^$F$14-$B$15+$B$16)/$B$17</f>
        <v/>
      </c>
      <c r="F899" s="304" t="n"/>
      <c r="G899" s="304" t="n"/>
      <c r="H899" s="304" t="n"/>
      <c r="I899" s="304" t="n"/>
      <c r="J899" s="304" t="n"/>
      <c r="K899" s="304" t="n"/>
      <c r="L899" s="304" t="n"/>
      <c r="M899" s="304" t="n"/>
      <c r="N899" s="304" t="n"/>
      <c r="O899" s="304" t="n"/>
      <c r="P899" s="304" t="n"/>
      <c r="Q899" s="304" t="n"/>
    </row>
    <row r="900" ht="13.8" customHeight="1" s="343">
      <c r="A900" s="388">
        <f>ROW()-22</f>
        <v/>
      </c>
      <c r="B900" s="536">
        <f>_xlfn.NORM.INV(RAND(),$B$6,$C$6)</f>
        <v/>
      </c>
      <c r="C900" s="536">
        <f>MIN(_xlfn.NORM.INV(RAND(),$B$7,$C$7),B900-0.005)</f>
        <v/>
      </c>
      <c r="D900" s="537">
        <f>_xlfn.NORM.INV(RAND(),$B$8,$C$8)</f>
        <v/>
      </c>
      <c r="E900" s="391">
        <f t="array" ref="E900">(SUMPRODUCT($B$13:$F$13*D900/(1+B900)^$B$14:$F$14)+($F$13*D900*(1+C900))/(B900-C900)/(1+B900)^$F$14-$B$15+$B$16)/$B$17</f>
        <v/>
      </c>
      <c r="F900" s="304" t="n"/>
      <c r="G900" s="304" t="n"/>
      <c r="H900" s="304" t="n"/>
      <c r="I900" s="304" t="n"/>
      <c r="J900" s="304" t="n"/>
      <c r="K900" s="304" t="n"/>
      <c r="L900" s="304" t="n"/>
      <c r="M900" s="304" t="n"/>
      <c r="N900" s="304" t="n"/>
      <c r="O900" s="304" t="n"/>
      <c r="P900" s="304" t="n"/>
      <c r="Q900" s="304" t="n"/>
    </row>
    <row r="901" ht="13.8" customHeight="1" s="343">
      <c r="A901" s="388">
        <f>ROW()-22</f>
        <v/>
      </c>
      <c r="B901" s="536">
        <f>_xlfn.NORM.INV(RAND(),$B$6,$C$6)</f>
        <v/>
      </c>
      <c r="C901" s="536">
        <f>MIN(_xlfn.NORM.INV(RAND(),$B$7,$C$7),B901-0.005)</f>
        <v/>
      </c>
      <c r="D901" s="537">
        <f>_xlfn.NORM.INV(RAND(),$B$8,$C$8)</f>
        <v/>
      </c>
      <c r="E901" s="391">
        <f t="array" ref="E901">(SUMPRODUCT($B$13:$F$13*D901/(1+B901)^$B$14:$F$14)+($F$13*D901*(1+C901))/(B901-C901)/(1+B901)^$F$14-$B$15+$B$16)/$B$17</f>
        <v/>
      </c>
      <c r="F901" s="304" t="n"/>
      <c r="G901" s="304" t="n"/>
      <c r="H901" s="304" t="n"/>
      <c r="I901" s="304" t="n"/>
      <c r="J901" s="304" t="n"/>
      <c r="K901" s="304" t="n"/>
      <c r="L901" s="304" t="n"/>
      <c r="M901" s="304" t="n"/>
      <c r="N901" s="304" t="n"/>
      <c r="O901" s="304" t="n"/>
      <c r="P901" s="304" t="n"/>
      <c r="Q901" s="304" t="n"/>
    </row>
    <row r="902" ht="13.8" customHeight="1" s="343">
      <c r="A902" s="388">
        <f>ROW()-22</f>
        <v/>
      </c>
      <c r="B902" s="536">
        <f>_xlfn.NORM.INV(RAND(),$B$6,$C$6)</f>
        <v/>
      </c>
      <c r="C902" s="536">
        <f>MIN(_xlfn.NORM.INV(RAND(),$B$7,$C$7),B902-0.005)</f>
        <v/>
      </c>
      <c r="D902" s="537">
        <f>_xlfn.NORM.INV(RAND(),$B$8,$C$8)</f>
        <v/>
      </c>
      <c r="E902" s="391">
        <f t="array" ref="E902">(SUMPRODUCT($B$13:$F$13*D902/(1+B902)^$B$14:$F$14)+($F$13*D902*(1+C902))/(B902-C902)/(1+B902)^$F$14-$B$15+$B$16)/$B$17</f>
        <v/>
      </c>
      <c r="F902" s="304" t="n"/>
      <c r="G902" s="304" t="n"/>
      <c r="H902" s="304" t="n"/>
      <c r="I902" s="304" t="n"/>
      <c r="J902" s="304" t="n"/>
      <c r="K902" s="304" t="n"/>
      <c r="L902" s="304" t="n"/>
      <c r="M902" s="304" t="n"/>
      <c r="N902" s="304" t="n"/>
      <c r="O902" s="304" t="n"/>
      <c r="P902" s="304" t="n"/>
      <c r="Q902" s="304" t="n"/>
    </row>
    <row r="903" ht="13.8" customHeight="1" s="343">
      <c r="A903" s="388">
        <f>ROW()-22</f>
        <v/>
      </c>
      <c r="B903" s="536">
        <f>_xlfn.NORM.INV(RAND(),$B$6,$C$6)</f>
        <v/>
      </c>
      <c r="C903" s="536">
        <f>MIN(_xlfn.NORM.INV(RAND(),$B$7,$C$7),B903-0.005)</f>
        <v/>
      </c>
      <c r="D903" s="537">
        <f>_xlfn.NORM.INV(RAND(),$B$8,$C$8)</f>
        <v/>
      </c>
      <c r="E903" s="391">
        <f t="array" ref="E903">(SUMPRODUCT($B$13:$F$13*D903/(1+B903)^$B$14:$F$14)+($F$13*D903*(1+C903))/(B903-C903)/(1+B903)^$F$14-$B$15+$B$16)/$B$17</f>
        <v/>
      </c>
      <c r="F903" s="304" t="n"/>
      <c r="G903" s="304" t="n"/>
      <c r="H903" s="304" t="n"/>
      <c r="I903" s="304" t="n"/>
      <c r="J903" s="304" t="n"/>
      <c r="K903" s="304" t="n"/>
      <c r="L903" s="304" t="n"/>
      <c r="M903" s="304" t="n"/>
      <c r="N903" s="304" t="n"/>
      <c r="O903" s="304" t="n"/>
      <c r="P903" s="304" t="n"/>
      <c r="Q903" s="304" t="n"/>
    </row>
    <row r="904" ht="13.8" customHeight="1" s="343">
      <c r="A904" s="388">
        <f>ROW()-22</f>
        <v/>
      </c>
      <c r="B904" s="536">
        <f>_xlfn.NORM.INV(RAND(),$B$6,$C$6)</f>
        <v/>
      </c>
      <c r="C904" s="536">
        <f>MIN(_xlfn.NORM.INV(RAND(),$B$7,$C$7),B904-0.005)</f>
        <v/>
      </c>
      <c r="D904" s="537">
        <f>_xlfn.NORM.INV(RAND(),$B$8,$C$8)</f>
        <v/>
      </c>
      <c r="E904" s="391">
        <f t="array" ref="E904">(SUMPRODUCT($B$13:$F$13*D904/(1+B904)^$B$14:$F$14)+($F$13*D904*(1+C904))/(B904-C904)/(1+B904)^$F$14-$B$15+$B$16)/$B$17</f>
        <v/>
      </c>
      <c r="F904" s="304" t="n"/>
      <c r="G904" s="304" t="n"/>
      <c r="H904" s="304" t="n"/>
      <c r="I904" s="304" t="n"/>
      <c r="J904" s="304" t="n"/>
      <c r="K904" s="304" t="n"/>
      <c r="L904" s="304" t="n"/>
      <c r="M904" s="304" t="n"/>
      <c r="N904" s="304" t="n"/>
      <c r="O904" s="304" t="n"/>
      <c r="P904" s="304" t="n"/>
      <c r="Q904" s="304" t="n"/>
    </row>
    <row r="905" ht="13.8" customHeight="1" s="343">
      <c r="A905" s="388">
        <f>ROW()-22</f>
        <v/>
      </c>
      <c r="B905" s="536">
        <f>_xlfn.NORM.INV(RAND(),$B$6,$C$6)</f>
        <v/>
      </c>
      <c r="C905" s="536">
        <f>MIN(_xlfn.NORM.INV(RAND(),$B$7,$C$7),B905-0.005)</f>
        <v/>
      </c>
      <c r="D905" s="537">
        <f>_xlfn.NORM.INV(RAND(),$B$8,$C$8)</f>
        <v/>
      </c>
      <c r="E905" s="391">
        <f t="array" ref="E905">(SUMPRODUCT($B$13:$F$13*D905/(1+B905)^$B$14:$F$14)+($F$13*D905*(1+C905))/(B905-C905)/(1+B905)^$F$14-$B$15+$B$16)/$B$17</f>
        <v/>
      </c>
      <c r="F905" s="304" t="n"/>
      <c r="G905" s="304" t="n"/>
      <c r="H905" s="304" t="n"/>
      <c r="I905" s="304" t="n"/>
      <c r="J905" s="304" t="n"/>
      <c r="K905" s="304" t="n"/>
      <c r="L905" s="304" t="n"/>
      <c r="M905" s="304" t="n"/>
      <c r="N905" s="304" t="n"/>
      <c r="O905" s="304" t="n"/>
      <c r="P905" s="304" t="n"/>
      <c r="Q905" s="304" t="n"/>
    </row>
    <row r="906" ht="13.8" customHeight="1" s="343">
      <c r="A906" s="388">
        <f>ROW()-22</f>
        <v/>
      </c>
      <c r="B906" s="536">
        <f>_xlfn.NORM.INV(RAND(),$B$6,$C$6)</f>
        <v/>
      </c>
      <c r="C906" s="536">
        <f>MIN(_xlfn.NORM.INV(RAND(),$B$7,$C$7),B906-0.005)</f>
        <v/>
      </c>
      <c r="D906" s="537">
        <f>_xlfn.NORM.INV(RAND(),$B$8,$C$8)</f>
        <v/>
      </c>
      <c r="E906" s="391">
        <f t="array" ref="E906">(SUMPRODUCT($B$13:$F$13*D906/(1+B906)^$B$14:$F$14)+($F$13*D906*(1+C906))/(B906-C906)/(1+B906)^$F$14-$B$15+$B$16)/$B$17</f>
        <v/>
      </c>
      <c r="F906" s="304" t="n"/>
      <c r="G906" s="304" t="n"/>
      <c r="H906" s="304" t="n"/>
      <c r="I906" s="304" t="n"/>
      <c r="J906" s="304" t="n"/>
      <c r="K906" s="304" t="n"/>
      <c r="L906" s="304" t="n"/>
      <c r="M906" s="304" t="n"/>
      <c r="N906" s="304" t="n"/>
      <c r="O906" s="304" t="n"/>
      <c r="P906" s="304" t="n"/>
      <c r="Q906" s="304" t="n"/>
    </row>
    <row r="907" ht="13.8" customHeight="1" s="343">
      <c r="A907" s="388">
        <f>ROW()-22</f>
        <v/>
      </c>
      <c r="B907" s="536">
        <f>_xlfn.NORM.INV(RAND(),$B$6,$C$6)</f>
        <v/>
      </c>
      <c r="C907" s="536">
        <f>MIN(_xlfn.NORM.INV(RAND(),$B$7,$C$7),B907-0.005)</f>
        <v/>
      </c>
      <c r="D907" s="537">
        <f>_xlfn.NORM.INV(RAND(),$B$8,$C$8)</f>
        <v/>
      </c>
      <c r="E907" s="391">
        <f t="array" ref="E907">(SUMPRODUCT($B$13:$F$13*D907/(1+B907)^$B$14:$F$14)+($F$13*D907*(1+C907))/(B907-C907)/(1+B907)^$F$14-$B$15+$B$16)/$B$17</f>
        <v/>
      </c>
      <c r="F907" s="304" t="n"/>
      <c r="G907" s="304" t="n"/>
      <c r="H907" s="304" t="n"/>
      <c r="I907" s="304" t="n"/>
      <c r="J907" s="304" t="n"/>
      <c r="K907" s="304" t="n"/>
      <c r="L907" s="304" t="n"/>
      <c r="M907" s="304" t="n"/>
      <c r="N907" s="304" t="n"/>
      <c r="O907" s="304" t="n"/>
      <c r="P907" s="304" t="n"/>
      <c r="Q907" s="304" t="n"/>
    </row>
    <row r="908" ht="13.8" customHeight="1" s="343">
      <c r="A908" s="388">
        <f>ROW()-22</f>
        <v/>
      </c>
      <c r="B908" s="536">
        <f>_xlfn.NORM.INV(RAND(),$B$6,$C$6)</f>
        <v/>
      </c>
      <c r="C908" s="536">
        <f>MIN(_xlfn.NORM.INV(RAND(),$B$7,$C$7),B908-0.005)</f>
        <v/>
      </c>
      <c r="D908" s="537">
        <f>_xlfn.NORM.INV(RAND(),$B$8,$C$8)</f>
        <v/>
      </c>
      <c r="E908" s="391">
        <f t="array" ref="E908">(SUMPRODUCT($B$13:$F$13*D908/(1+B908)^$B$14:$F$14)+($F$13*D908*(1+C908))/(B908-C908)/(1+B908)^$F$14-$B$15+$B$16)/$B$17</f>
        <v/>
      </c>
      <c r="F908" s="304" t="n"/>
      <c r="G908" s="304" t="n"/>
      <c r="H908" s="304" t="n"/>
      <c r="I908" s="304" t="n"/>
      <c r="J908" s="304" t="n"/>
      <c r="K908" s="304" t="n"/>
      <c r="L908" s="304" t="n"/>
      <c r="M908" s="304" t="n"/>
      <c r="N908" s="304" t="n"/>
      <c r="O908" s="304" t="n"/>
      <c r="P908" s="304" t="n"/>
      <c r="Q908" s="304" t="n"/>
    </row>
    <row r="909" ht="13.8" customHeight="1" s="343">
      <c r="A909" s="388">
        <f>ROW()-22</f>
        <v/>
      </c>
      <c r="B909" s="536">
        <f>_xlfn.NORM.INV(RAND(),$B$6,$C$6)</f>
        <v/>
      </c>
      <c r="C909" s="536">
        <f>MIN(_xlfn.NORM.INV(RAND(),$B$7,$C$7),B909-0.005)</f>
        <v/>
      </c>
      <c r="D909" s="537">
        <f>_xlfn.NORM.INV(RAND(),$B$8,$C$8)</f>
        <v/>
      </c>
      <c r="E909" s="391">
        <f t="array" ref="E909">(SUMPRODUCT($B$13:$F$13*D909/(1+B909)^$B$14:$F$14)+($F$13*D909*(1+C909))/(B909-C909)/(1+B909)^$F$14-$B$15+$B$16)/$B$17</f>
        <v/>
      </c>
      <c r="F909" s="304" t="n"/>
      <c r="G909" s="304" t="n"/>
      <c r="H909" s="304" t="n"/>
      <c r="I909" s="304" t="n"/>
      <c r="J909" s="304" t="n"/>
      <c r="K909" s="304" t="n"/>
      <c r="L909" s="304" t="n"/>
      <c r="M909" s="304" t="n"/>
      <c r="N909" s="304" t="n"/>
      <c r="O909" s="304" t="n"/>
      <c r="P909" s="304" t="n"/>
      <c r="Q909" s="304" t="n"/>
    </row>
    <row r="910" ht="13.8" customHeight="1" s="343">
      <c r="A910" s="388">
        <f>ROW()-22</f>
        <v/>
      </c>
      <c r="B910" s="536">
        <f>_xlfn.NORM.INV(RAND(),$B$6,$C$6)</f>
        <v/>
      </c>
      <c r="C910" s="536">
        <f>MIN(_xlfn.NORM.INV(RAND(),$B$7,$C$7),B910-0.005)</f>
        <v/>
      </c>
      <c r="D910" s="537">
        <f>_xlfn.NORM.INV(RAND(),$B$8,$C$8)</f>
        <v/>
      </c>
      <c r="E910" s="391">
        <f t="array" ref="E910">(SUMPRODUCT($B$13:$F$13*D910/(1+B910)^$B$14:$F$14)+($F$13*D910*(1+C910))/(B910-C910)/(1+B910)^$F$14-$B$15+$B$16)/$B$17</f>
        <v/>
      </c>
      <c r="F910" s="304" t="n"/>
      <c r="G910" s="304" t="n"/>
      <c r="H910" s="304" t="n"/>
      <c r="I910" s="304" t="n"/>
      <c r="J910" s="304" t="n"/>
      <c r="K910" s="304" t="n"/>
      <c r="L910" s="304" t="n"/>
      <c r="M910" s="304" t="n"/>
      <c r="N910" s="304" t="n"/>
      <c r="O910" s="304" t="n"/>
      <c r="P910" s="304" t="n"/>
      <c r="Q910" s="304" t="n"/>
    </row>
    <row r="911" ht="13.8" customHeight="1" s="343">
      <c r="A911" s="388">
        <f>ROW()-22</f>
        <v/>
      </c>
      <c r="B911" s="536">
        <f>_xlfn.NORM.INV(RAND(),$B$6,$C$6)</f>
        <v/>
      </c>
      <c r="C911" s="536">
        <f>MIN(_xlfn.NORM.INV(RAND(),$B$7,$C$7),B911-0.005)</f>
        <v/>
      </c>
      <c r="D911" s="537">
        <f>_xlfn.NORM.INV(RAND(),$B$8,$C$8)</f>
        <v/>
      </c>
      <c r="E911" s="391">
        <f t="array" ref="E911">(SUMPRODUCT($B$13:$F$13*D911/(1+B911)^$B$14:$F$14)+($F$13*D911*(1+C911))/(B911-C911)/(1+B911)^$F$14-$B$15+$B$16)/$B$17</f>
        <v/>
      </c>
      <c r="F911" s="304" t="n"/>
      <c r="G911" s="304" t="n"/>
      <c r="H911" s="304" t="n"/>
      <c r="I911" s="304" t="n"/>
      <c r="J911" s="304" t="n"/>
      <c r="K911" s="304" t="n"/>
      <c r="L911" s="304" t="n"/>
      <c r="M911" s="304" t="n"/>
      <c r="N911" s="304" t="n"/>
      <c r="O911" s="304" t="n"/>
      <c r="P911" s="304" t="n"/>
      <c r="Q911" s="304" t="n"/>
    </row>
    <row r="912" ht="13.8" customHeight="1" s="343">
      <c r="A912" s="388">
        <f>ROW()-22</f>
        <v/>
      </c>
      <c r="B912" s="536">
        <f>_xlfn.NORM.INV(RAND(),$B$6,$C$6)</f>
        <v/>
      </c>
      <c r="C912" s="536">
        <f>MIN(_xlfn.NORM.INV(RAND(),$B$7,$C$7),B912-0.005)</f>
        <v/>
      </c>
      <c r="D912" s="537">
        <f>_xlfn.NORM.INV(RAND(),$B$8,$C$8)</f>
        <v/>
      </c>
      <c r="E912" s="391">
        <f t="array" ref="E912">(SUMPRODUCT($B$13:$F$13*D912/(1+B912)^$B$14:$F$14)+($F$13*D912*(1+C912))/(B912-C912)/(1+B912)^$F$14-$B$15+$B$16)/$B$17</f>
        <v/>
      </c>
      <c r="F912" s="304" t="n"/>
      <c r="G912" s="304" t="n"/>
      <c r="H912" s="304" t="n"/>
      <c r="I912" s="304" t="n"/>
      <c r="J912" s="304" t="n"/>
      <c r="K912" s="304" t="n"/>
      <c r="L912" s="304" t="n"/>
      <c r="M912" s="304" t="n"/>
      <c r="N912" s="304" t="n"/>
      <c r="O912" s="304" t="n"/>
      <c r="P912" s="304" t="n"/>
      <c r="Q912" s="304" t="n"/>
    </row>
    <row r="913" ht="13.8" customHeight="1" s="343">
      <c r="A913" s="388">
        <f>ROW()-22</f>
        <v/>
      </c>
      <c r="B913" s="536">
        <f>_xlfn.NORM.INV(RAND(),$B$6,$C$6)</f>
        <v/>
      </c>
      <c r="C913" s="536">
        <f>MIN(_xlfn.NORM.INV(RAND(),$B$7,$C$7),B913-0.005)</f>
        <v/>
      </c>
      <c r="D913" s="537">
        <f>_xlfn.NORM.INV(RAND(),$B$8,$C$8)</f>
        <v/>
      </c>
      <c r="E913" s="391">
        <f t="array" ref="E913">(SUMPRODUCT($B$13:$F$13*D913/(1+B913)^$B$14:$F$14)+($F$13*D913*(1+C913))/(B913-C913)/(1+B913)^$F$14-$B$15+$B$16)/$B$17</f>
        <v/>
      </c>
      <c r="F913" s="304" t="n"/>
      <c r="G913" s="304" t="n"/>
      <c r="H913" s="304" t="n"/>
      <c r="I913" s="304" t="n"/>
      <c r="J913" s="304" t="n"/>
      <c r="K913" s="304" t="n"/>
      <c r="L913" s="304" t="n"/>
      <c r="M913" s="304" t="n"/>
      <c r="N913" s="304" t="n"/>
      <c r="O913" s="304" t="n"/>
      <c r="P913" s="304" t="n"/>
      <c r="Q913" s="304" t="n"/>
    </row>
    <row r="914" ht="13.8" customHeight="1" s="343">
      <c r="A914" s="388">
        <f>ROW()-22</f>
        <v/>
      </c>
      <c r="B914" s="536">
        <f>_xlfn.NORM.INV(RAND(),$B$6,$C$6)</f>
        <v/>
      </c>
      <c r="C914" s="536">
        <f>MIN(_xlfn.NORM.INV(RAND(),$B$7,$C$7),B914-0.005)</f>
        <v/>
      </c>
      <c r="D914" s="537">
        <f>_xlfn.NORM.INV(RAND(),$B$8,$C$8)</f>
        <v/>
      </c>
      <c r="E914" s="391">
        <f t="array" ref="E914">(SUMPRODUCT($B$13:$F$13*D914/(1+B914)^$B$14:$F$14)+($F$13*D914*(1+C914))/(B914-C914)/(1+B914)^$F$14-$B$15+$B$16)/$B$17</f>
        <v/>
      </c>
      <c r="F914" s="304" t="n"/>
      <c r="G914" s="304" t="n"/>
      <c r="H914" s="304" t="n"/>
      <c r="I914" s="304" t="n"/>
      <c r="J914" s="304" t="n"/>
      <c r="K914" s="304" t="n"/>
      <c r="L914" s="304" t="n"/>
      <c r="M914" s="304" t="n"/>
      <c r="N914" s="304" t="n"/>
      <c r="O914" s="304" t="n"/>
      <c r="P914" s="304" t="n"/>
      <c r="Q914" s="304" t="n"/>
    </row>
    <row r="915" ht="13.8" customHeight="1" s="343">
      <c r="A915" s="388">
        <f>ROW()-22</f>
        <v/>
      </c>
      <c r="B915" s="536">
        <f>_xlfn.NORM.INV(RAND(),$B$6,$C$6)</f>
        <v/>
      </c>
      <c r="C915" s="536">
        <f>MIN(_xlfn.NORM.INV(RAND(),$B$7,$C$7),B915-0.005)</f>
        <v/>
      </c>
      <c r="D915" s="537">
        <f>_xlfn.NORM.INV(RAND(),$B$8,$C$8)</f>
        <v/>
      </c>
      <c r="E915" s="391">
        <f t="array" ref="E915">(SUMPRODUCT($B$13:$F$13*D915/(1+B915)^$B$14:$F$14)+($F$13*D915*(1+C915))/(B915-C915)/(1+B915)^$F$14-$B$15+$B$16)/$B$17</f>
        <v/>
      </c>
      <c r="F915" s="304" t="n"/>
      <c r="G915" s="304" t="n"/>
      <c r="H915" s="304" t="n"/>
      <c r="I915" s="304" t="n"/>
      <c r="J915" s="304" t="n"/>
      <c r="K915" s="304" t="n"/>
      <c r="L915" s="304" t="n"/>
      <c r="M915" s="304" t="n"/>
      <c r="N915" s="304" t="n"/>
      <c r="O915" s="304" t="n"/>
      <c r="P915" s="304" t="n"/>
      <c r="Q915" s="304" t="n"/>
    </row>
    <row r="916" ht="13.8" customHeight="1" s="343">
      <c r="A916" s="388">
        <f>ROW()-22</f>
        <v/>
      </c>
      <c r="B916" s="536">
        <f>_xlfn.NORM.INV(RAND(),$B$6,$C$6)</f>
        <v/>
      </c>
      <c r="C916" s="536">
        <f>MIN(_xlfn.NORM.INV(RAND(),$B$7,$C$7),B916-0.005)</f>
        <v/>
      </c>
      <c r="D916" s="537">
        <f>_xlfn.NORM.INV(RAND(),$B$8,$C$8)</f>
        <v/>
      </c>
      <c r="E916" s="391">
        <f t="array" ref="E916">(SUMPRODUCT($B$13:$F$13*D916/(1+B916)^$B$14:$F$14)+($F$13*D916*(1+C916))/(B916-C916)/(1+B916)^$F$14-$B$15+$B$16)/$B$17</f>
        <v/>
      </c>
      <c r="F916" s="304" t="n"/>
      <c r="G916" s="304" t="n"/>
      <c r="H916" s="304" t="n"/>
      <c r="I916" s="304" t="n"/>
      <c r="J916" s="304" t="n"/>
      <c r="K916" s="304" t="n"/>
      <c r="L916" s="304" t="n"/>
      <c r="M916" s="304" t="n"/>
      <c r="N916" s="304" t="n"/>
      <c r="O916" s="304" t="n"/>
      <c r="P916" s="304" t="n"/>
      <c r="Q916" s="304" t="n"/>
    </row>
    <row r="917" ht="13.8" customHeight="1" s="343">
      <c r="A917" s="388">
        <f>ROW()-22</f>
        <v/>
      </c>
      <c r="B917" s="536">
        <f>_xlfn.NORM.INV(RAND(),$B$6,$C$6)</f>
        <v/>
      </c>
      <c r="C917" s="536">
        <f>MIN(_xlfn.NORM.INV(RAND(),$B$7,$C$7),B917-0.005)</f>
        <v/>
      </c>
      <c r="D917" s="537">
        <f>_xlfn.NORM.INV(RAND(),$B$8,$C$8)</f>
        <v/>
      </c>
      <c r="E917" s="391">
        <f t="array" ref="E917">(SUMPRODUCT($B$13:$F$13*D917/(1+B917)^$B$14:$F$14)+($F$13*D917*(1+C917))/(B917-C917)/(1+B917)^$F$14-$B$15+$B$16)/$B$17</f>
        <v/>
      </c>
      <c r="F917" s="304" t="n"/>
      <c r="G917" s="304" t="n"/>
      <c r="H917" s="304" t="n"/>
      <c r="I917" s="304" t="n"/>
      <c r="J917" s="304" t="n"/>
      <c r="K917" s="304" t="n"/>
      <c r="L917" s="304" t="n"/>
      <c r="M917" s="304" t="n"/>
      <c r="N917" s="304" t="n"/>
      <c r="O917" s="304" t="n"/>
      <c r="P917" s="304" t="n"/>
      <c r="Q917" s="304" t="n"/>
    </row>
    <row r="918" ht="13.8" customHeight="1" s="343">
      <c r="A918" s="388">
        <f>ROW()-22</f>
        <v/>
      </c>
      <c r="B918" s="536">
        <f>_xlfn.NORM.INV(RAND(),$B$6,$C$6)</f>
        <v/>
      </c>
      <c r="C918" s="536">
        <f>MIN(_xlfn.NORM.INV(RAND(),$B$7,$C$7),B918-0.005)</f>
        <v/>
      </c>
      <c r="D918" s="537">
        <f>_xlfn.NORM.INV(RAND(),$B$8,$C$8)</f>
        <v/>
      </c>
      <c r="E918" s="391">
        <f t="array" ref="E918">(SUMPRODUCT($B$13:$F$13*D918/(1+B918)^$B$14:$F$14)+($F$13*D918*(1+C918))/(B918-C918)/(1+B918)^$F$14-$B$15+$B$16)/$B$17</f>
        <v/>
      </c>
      <c r="F918" s="304" t="n"/>
      <c r="G918" s="304" t="n"/>
      <c r="H918" s="304" t="n"/>
      <c r="I918" s="304" t="n"/>
      <c r="J918" s="304" t="n"/>
      <c r="K918" s="304" t="n"/>
      <c r="L918" s="304" t="n"/>
      <c r="M918" s="304" t="n"/>
      <c r="N918" s="304" t="n"/>
      <c r="O918" s="304" t="n"/>
      <c r="P918" s="304" t="n"/>
      <c r="Q918" s="304" t="n"/>
    </row>
    <row r="919" ht="13.8" customHeight="1" s="343">
      <c r="A919" s="388">
        <f>ROW()-22</f>
        <v/>
      </c>
      <c r="B919" s="536">
        <f>_xlfn.NORM.INV(RAND(),$B$6,$C$6)</f>
        <v/>
      </c>
      <c r="C919" s="536">
        <f>MIN(_xlfn.NORM.INV(RAND(),$B$7,$C$7),B919-0.005)</f>
        <v/>
      </c>
      <c r="D919" s="537">
        <f>_xlfn.NORM.INV(RAND(),$B$8,$C$8)</f>
        <v/>
      </c>
      <c r="E919" s="391">
        <f t="array" ref="E919">(SUMPRODUCT($B$13:$F$13*D919/(1+B919)^$B$14:$F$14)+($F$13*D919*(1+C919))/(B919-C919)/(1+B919)^$F$14-$B$15+$B$16)/$B$17</f>
        <v/>
      </c>
      <c r="F919" s="304" t="n"/>
      <c r="G919" s="304" t="n"/>
      <c r="H919" s="304" t="n"/>
      <c r="I919" s="304" t="n"/>
      <c r="J919" s="304" t="n"/>
      <c r="K919" s="304" t="n"/>
      <c r="L919" s="304" t="n"/>
      <c r="M919" s="304" t="n"/>
      <c r="N919" s="304" t="n"/>
      <c r="O919" s="304" t="n"/>
      <c r="P919" s="304" t="n"/>
      <c r="Q919" s="304" t="n"/>
    </row>
    <row r="920" ht="13.8" customHeight="1" s="343">
      <c r="A920" s="388">
        <f>ROW()-22</f>
        <v/>
      </c>
      <c r="B920" s="536">
        <f>_xlfn.NORM.INV(RAND(),$B$6,$C$6)</f>
        <v/>
      </c>
      <c r="C920" s="536">
        <f>MIN(_xlfn.NORM.INV(RAND(),$B$7,$C$7),B920-0.005)</f>
        <v/>
      </c>
      <c r="D920" s="537">
        <f>_xlfn.NORM.INV(RAND(),$B$8,$C$8)</f>
        <v/>
      </c>
      <c r="E920" s="391">
        <f t="array" ref="E920">(SUMPRODUCT($B$13:$F$13*D920/(1+B920)^$B$14:$F$14)+($F$13*D920*(1+C920))/(B920-C920)/(1+B920)^$F$14-$B$15+$B$16)/$B$17</f>
        <v/>
      </c>
      <c r="F920" s="304" t="n"/>
      <c r="G920" s="304" t="n"/>
      <c r="H920" s="304" t="n"/>
      <c r="I920" s="304" t="n"/>
      <c r="J920" s="304" t="n"/>
      <c r="K920" s="304" t="n"/>
      <c r="L920" s="304" t="n"/>
      <c r="M920" s="304" t="n"/>
      <c r="N920" s="304" t="n"/>
      <c r="O920" s="304" t="n"/>
      <c r="P920" s="304" t="n"/>
      <c r="Q920" s="304" t="n"/>
    </row>
    <row r="921" ht="13.8" customHeight="1" s="343">
      <c r="A921" s="388">
        <f>ROW()-22</f>
        <v/>
      </c>
      <c r="B921" s="536">
        <f>_xlfn.NORM.INV(RAND(),$B$6,$C$6)</f>
        <v/>
      </c>
      <c r="C921" s="536">
        <f>MIN(_xlfn.NORM.INV(RAND(),$B$7,$C$7),B921-0.005)</f>
        <v/>
      </c>
      <c r="D921" s="537">
        <f>_xlfn.NORM.INV(RAND(),$B$8,$C$8)</f>
        <v/>
      </c>
      <c r="E921" s="391">
        <f t="array" ref="E921">(SUMPRODUCT($B$13:$F$13*D921/(1+B921)^$B$14:$F$14)+($F$13*D921*(1+C921))/(B921-C921)/(1+B921)^$F$14-$B$15+$B$16)/$B$17</f>
        <v/>
      </c>
      <c r="F921" s="304" t="n"/>
      <c r="G921" s="304" t="n"/>
      <c r="H921" s="304" t="n"/>
      <c r="I921" s="304" t="n"/>
      <c r="J921" s="304" t="n"/>
      <c r="K921" s="304" t="n"/>
      <c r="L921" s="304" t="n"/>
      <c r="M921" s="304" t="n"/>
      <c r="N921" s="304" t="n"/>
      <c r="O921" s="304" t="n"/>
      <c r="P921" s="304" t="n"/>
      <c r="Q921" s="304" t="n"/>
    </row>
    <row r="922" ht="13.8" customHeight="1" s="343">
      <c r="A922" s="388">
        <f>ROW()-22</f>
        <v/>
      </c>
      <c r="B922" s="536">
        <f>_xlfn.NORM.INV(RAND(),$B$6,$C$6)</f>
        <v/>
      </c>
      <c r="C922" s="536">
        <f>MIN(_xlfn.NORM.INV(RAND(),$B$7,$C$7),B922-0.005)</f>
        <v/>
      </c>
      <c r="D922" s="537">
        <f>_xlfn.NORM.INV(RAND(),$B$8,$C$8)</f>
        <v/>
      </c>
      <c r="E922" s="391">
        <f t="array" ref="E922">(SUMPRODUCT($B$13:$F$13*D922/(1+B922)^$B$14:$F$14)+($F$13*D922*(1+C922))/(B922-C922)/(1+B922)^$F$14-$B$15+$B$16)/$B$17</f>
        <v/>
      </c>
      <c r="F922" s="304" t="n"/>
      <c r="G922" s="304" t="n"/>
      <c r="H922" s="304" t="n"/>
      <c r="I922" s="304" t="n"/>
      <c r="J922" s="304" t="n"/>
      <c r="K922" s="304" t="n"/>
      <c r="L922" s="304" t="n"/>
      <c r="M922" s="304" t="n"/>
      <c r="N922" s="304" t="n"/>
      <c r="O922" s="304" t="n"/>
      <c r="P922" s="304" t="n"/>
      <c r="Q922" s="304" t="n"/>
    </row>
    <row r="923" ht="13.8" customHeight="1" s="343">
      <c r="A923" s="388">
        <f>ROW()-22</f>
        <v/>
      </c>
      <c r="B923" s="536">
        <f>_xlfn.NORM.INV(RAND(),$B$6,$C$6)</f>
        <v/>
      </c>
      <c r="C923" s="536">
        <f>MIN(_xlfn.NORM.INV(RAND(),$B$7,$C$7),B923-0.005)</f>
        <v/>
      </c>
      <c r="D923" s="537">
        <f>_xlfn.NORM.INV(RAND(),$B$8,$C$8)</f>
        <v/>
      </c>
      <c r="E923" s="391">
        <f t="array" ref="E923">(SUMPRODUCT($B$13:$F$13*D923/(1+B923)^$B$14:$F$14)+($F$13*D923*(1+C923))/(B923-C923)/(1+B923)^$F$14-$B$15+$B$16)/$B$17</f>
        <v/>
      </c>
      <c r="F923" s="304" t="n"/>
      <c r="G923" s="304" t="n"/>
      <c r="H923" s="304" t="n"/>
      <c r="I923" s="304" t="n"/>
      <c r="J923" s="304" t="n"/>
      <c r="K923" s="304" t="n"/>
      <c r="L923" s="304" t="n"/>
      <c r="M923" s="304" t="n"/>
      <c r="N923" s="304" t="n"/>
      <c r="O923" s="304" t="n"/>
      <c r="P923" s="304" t="n"/>
      <c r="Q923" s="304" t="n"/>
    </row>
    <row r="924" ht="13.8" customHeight="1" s="343">
      <c r="A924" s="388">
        <f>ROW()-22</f>
        <v/>
      </c>
      <c r="B924" s="536">
        <f>_xlfn.NORM.INV(RAND(),$B$6,$C$6)</f>
        <v/>
      </c>
      <c r="C924" s="536">
        <f>MIN(_xlfn.NORM.INV(RAND(),$B$7,$C$7),B924-0.005)</f>
        <v/>
      </c>
      <c r="D924" s="537">
        <f>_xlfn.NORM.INV(RAND(),$B$8,$C$8)</f>
        <v/>
      </c>
      <c r="E924" s="391">
        <f t="array" ref="E924">(SUMPRODUCT($B$13:$F$13*D924/(1+B924)^$B$14:$F$14)+($F$13*D924*(1+C924))/(B924-C924)/(1+B924)^$F$14-$B$15+$B$16)/$B$17</f>
        <v/>
      </c>
      <c r="F924" s="304" t="n"/>
      <c r="G924" s="304" t="n"/>
      <c r="H924" s="304" t="n"/>
      <c r="I924" s="304" t="n"/>
      <c r="J924" s="304" t="n"/>
      <c r="K924" s="304" t="n"/>
      <c r="L924" s="304" t="n"/>
      <c r="M924" s="304" t="n"/>
      <c r="N924" s="304" t="n"/>
      <c r="O924" s="304" t="n"/>
      <c r="P924" s="304" t="n"/>
      <c r="Q924" s="304" t="n"/>
    </row>
    <row r="925" ht="13.8" customHeight="1" s="343">
      <c r="A925" s="388">
        <f>ROW()-22</f>
        <v/>
      </c>
      <c r="B925" s="536">
        <f>_xlfn.NORM.INV(RAND(),$B$6,$C$6)</f>
        <v/>
      </c>
      <c r="C925" s="536">
        <f>MIN(_xlfn.NORM.INV(RAND(),$B$7,$C$7),B925-0.005)</f>
        <v/>
      </c>
      <c r="D925" s="537">
        <f>_xlfn.NORM.INV(RAND(),$B$8,$C$8)</f>
        <v/>
      </c>
      <c r="E925" s="391">
        <f t="array" ref="E925">(SUMPRODUCT($B$13:$F$13*D925/(1+B925)^$B$14:$F$14)+($F$13*D925*(1+C925))/(B925-C925)/(1+B925)^$F$14-$B$15+$B$16)/$B$17</f>
        <v/>
      </c>
      <c r="F925" s="304" t="n"/>
      <c r="G925" s="304" t="n"/>
      <c r="H925" s="304" t="n"/>
      <c r="I925" s="304" t="n"/>
      <c r="J925" s="304" t="n"/>
      <c r="K925" s="304" t="n"/>
      <c r="L925" s="304" t="n"/>
      <c r="M925" s="304" t="n"/>
      <c r="N925" s="304" t="n"/>
      <c r="O925" s="304" t="n"/>
      <c r="P925" s="304" t="n"/>
      <c r="Q925" s="304" t="n"/>
    </row>
    <row r="926" ht="13.8" customHeight="1" s="343">
      <c r="A926" s="388">
        <f>ROW()-22</f>
        <v/>
      </c>
      <c r="B926" s="536">
        <f>_xlfn.NORM.INV(RAND(),$B$6,$C$6)</f>
        <v/>
      </c>
      <c r="C926" s="536">
        <f>MIN(_xlfn.NORM.INV(RAND(),$B$7,$C$7),B926-0.005)</f>
        <v/>
      </c>
      <c r="D926" s="537">
        <f>_xlfn.NORM.INV(RAND(),$B$8,$C$8)</f>
        <v/>
      </c>
      <c r="E926" s="391">
        <f t="array" ref="E926">(SUMPRODUCT($B$13:$F$13*D926/(1+B926)^$B$14:$F$14)+($F$13*D926*(1+C926))/(B926-C926)/(1+B926)^$F$14-$B$15+$B$16)/$B$17</f>
        <v/>
      </c>
      <c r="F926" s="304" t="n"/>
      <c r="G926" s="304" t="n"/>
      <c r="H926" s="304" t="n"/>
      <c r="I926" s="304" t="n"/>
      <c r="J926" s="304" t="n"/>
      <c r="K926" s="304" t="n"/>
      <c r="L926" s="304" t="n"/>
      <c r="M926" s="304" t="n"/>
      <c r="N926" s="304" t="n"/>
      <c r="O926" s="304" t="n"/>
      <c r="P926" s="304" t="n"/>
      <c r="Q926" s="304" t="n"/>
    </row>
    <row r="927" ht="13.8" customHeight="1" s="343">
      <c r="A927" s="388">
        <f>ROW()-22</f>
        <v/>
      </c>
      <c r="B927" s="536">
        <f>_xlfn.NORM.INV(RAND(),$B$6,$C$6)</f>
        <v/>
      </c>
      <c r="C927" s="536">
        <f>MIN(_xlfn.NORM.INV(RAND(),$B$7,$C$7),B927-0.005)</f>
        <v/>
      </c>
      <c r="D927" s="537">
        <f>_xlfn.NORM.INV(RAND(),$B$8,$C$8)</f>
        <v/>
      </c>
      <c r="E927" s="391">
        <f t="array" ref="E927">(SUMPRODUCT($B$13:$F$13*D927/(1+B927)^$B$14:$F$14)+($F$13*D927*(1+C927))/(B927-C927)/(1+B927)^$F$14-$B$15+$B$16)/$B$17</f>
        <v/>
      </c>
      <c r="F927" s="304" t="n"/>
      <c r="G927" s="304" t="n"/>
      <c r="H927" s="304" t="n"/>
      <c r="I927" s="304" t="n"/>
      <c r="J927" s="304" t="n"/>
      <c r="K927" s="304" t="n"/>
      <c r="L927" s="304" t="n"/>
      <c r="M927" s="304" t="n"/>
      <c r="N927" s="304" t="n"/>
      <c r="O927" s="304" t="n"/>
      <c r="P927" s="304" t="n"/>
      <c r="Q927" s="304" t="n"/>
    </row>
    <row r="928" ht="13.8" customHeight="1" s="343">
      <c r="A928" s="388">
        <f>ROW()-22</f>
        <v/>
      </c>
      <c r="B928" s="536">
        <f>_xlfn.NORM.INV(RAND(),$B$6,$C$6)</f>
        <v/>
      </c>
      <c r="C928" s="536">
        <f>MIN(_xlfn.NORM.INV(RAND(),$B$7,$C$7),B928-0.005)</f>
        <v/>
      </c>
      <c r="D928" s="537">
        <f>_xlfn.NORM.INV(RAND(),$B$8,$C$8)</f>
        <v/>
      </c>
      <c r="E928" s="391">
        <f t="array" ref="E928">(SUMPRODUCT($B$13:$F$13*D928/(1+B928)^$B$14:$F$14)+($F$13*D928*(1+C928))/(B928-C928)/(1+B928)^$F$14-$B$15+$B$16)/$B$17</f>
        <v/>
      </c>
      <c r="F928" s="304" t="n"/>
      <c r="G928" s="304" t="n"/>
      <c r="H928" s="304" t="n"/>
      <c r="I928" s="304" t="n"/>
      <c r="J928" s="304" t="n"/>
      <c r="K928" s="304" t="n"/>
      <c r="L928" s="304" t="n"/>
      <c r="M928" s="304" t="n"/>
      <c r="N928" s="304" t="n"/>
      <c r="O928" s="304" t="n"/>
      <c r="P928" s="304" t="n"/>
      <c r="Q928" s="304" t="n"/>
    </row>
    <row r="929" ht="13.8" customHeight="1" s="343">
      <c r="A929" s="388">
        <f>ROW()-22</f>
        <v/>
      </c>
      <c r="B929" s="536">
        <f>_xlfn.NORM.INV(RAND(),$B$6,$C$6)</f>
        <v/>
      </c>
      <c r="C929" s="536">
        <f>MIN(_xlfn.NORM.INV(RAND(),$B$7,$C$7),B929-0.005)</f>
        <v/>
      </c>
      <c r="D929" s="537">
        <f>_xlfn.NORM.INV(RAND(),$B$8,$C$8)</f>
        <v/>
      </c>
      <c r="E929" s="391">
        <f t="array" ref="E929">(SUMPRODUCT($B$13:$F$13*D929/(1+B929)^$B$14:$F$14)+($F$13*D929*(1+C929))/(B929-C929)/(1+B929)^$F$14-$B$15+$B$16)/$B$17</f>
        <v/>
      </c>
      <c r="F929" s="304" t="n"/>
      <c r="G929" s="304" t="n"/>
      <c r="H929" s="304" t="n"/>
      <c r="I929" s="304" t="n"/>
      <c r="J929" s="304" t="n"/>
      <c r="K929" s="304" t="n"/>
      <c r="L929" s="304" t="n"/>
      <c r="M929" s="304" t="n"/>
      <c r="N929" s="304" t="n"/>
      <c r="O929" s="304" t="n"/>
      <c r="P929" s="304" t="n"/>
      <c r="Q929" s="304" t="n"/>
    </row>
    <row r="930" ht="13.8" customHeight="1" s="343">
      <c r="A930" s="388">
        <f>ROW()-22</f>
        <v/>
      </c>
      <c r="B930" s="536">
        <f>_xlfn.NORM.INV(RAND(),$B$6,$C$6)</f>
        <v/>
      </c>
      <c r="C930" s="536">
        <f>MIN(_xlfn.NORM.INV(RAND(),$B$7,$C$7),B930-0.005)</f>
        <v/>
      </c>
      <c r="D930" s="537">
        <f>_xlfn.NORM.INV(RAND(),$B$8,$C$8)</f>
        <v/>
      </c>
      <c r="E930" s="391">
        <f t="array" ref="E930">(SUMPRODUCT($B$13:$F$13*D930/(1+B930)^$B$14:$F$14)+($F$13*D930*(1+C930))/(B930-C930)/(1+B930)^$F$14-$B$15+$B$16)/$B$17</f>
        <v/>
      </c>
      <c r="F930" s="304" t="n"/>
      <c r="G930" s="304" t="n"/>
      <c r="H930" s="304" t="n"/>
      <c r="I930" s="304" t="n"/>
      <c r="J930" s="304" t="n"/>
      <c r="K930" s="304" t="n"/>
      <c r="L930" s="304" t="n"/>
      <c r="M930" s="304" t="n"/>
      <c r="N930" s="304" t="n"/>
      <c r="O930" s="304" t="n"/>
      <c r="P930" s="304" t="n"/>
      <c r="Q930" s="304" t="n"/>
    </row>
    <row r="931" ht="13.8" customHeight="1" s="343">
      <c r="A931" s="388">
        <f>ROW()-22</f>
        <v/>
      </c>
      <c r="B931" s="536">
        <f>_xlfn.NORM.INV(RAND(),$B$6,$C$6)</f>
        <v/>
      </c>
      <c r="C931" s="536">
        <f>MIN(_xlfn.NORM.INV(RAND(),$B$7,$C$7),B931-0.005)</f>
        <v/>
      </c>
      <c r="D931" s="537">
        <f>_xlfn.NORM.INV(RAND(),$B$8,$C$8)</f>
        <v/>
      </c>
      <c r="E931" s="391">
        <f t="array" ref="E931">(SUMPRODUCT($B$13:$F$13*D931/(1+B931)^$B$14:$F$14)+($F$13*D931*(1+C931))/(B931-C931)/(1+B931)^$F$14-$B$15+$B$16)/$B$17</f>
        <v/>
      </c>
      <c r="F931" s="304" t="n"/>
      <c r="G931" s="304" t="n"/>
      <c r="H931" s="304" t="n"/>
      <c r="I931" s="304" t="n"/>
      <c r="J931" s="304" t="n"/>
      <c r="K931" s="304" t="n"/>
      <c r="L931" s="304" t="n"/>
      <c r="M931" s="304" t="n"/>
      <c r="N931" s="304" t="n"/>
      <c r="O931" s="304" t="n"/>
      <c r="P931" s="304" t="n"/>
      <c r="Q931" s="304" t="n"/>
    </row>
    <row r="932" ht="13.8" customHeight="1" s="343">
      <c r="A932" s="388">
        <f>ROW()-22</f>
        <v/>
      </c>
      <c r="B932" s="536">
        <f>_xlfn.NORM.INV(RAND(),$B$6,$C$6)</f>
        <v/>
      </c>
      <c r="C932" s="536">
        <f>MIN(_xlfn.NORM.INV(RAND(),$B$7,$C$7),B932-0.005)</f>
        <v/>
      </c>
      <c r="D932" s="537">
        <f>_xlfn.NORM.INV(RAND(),$B$8,$C$8)</f>
        <v/>
      </c>
      <c r="E932" s="391">
        <f t="array" ref="E932">(SUMPRODUCT($B$13:$F$13*D932/(1+B932)^$B$14:$F$14)+($F$13*D932*(1+C932))/(B932-C932)/(1+B932)^$F$14-$B$15+$B$16)/$B$17</f>
        <v/>
      </c>
      <c r="F932" s="304" t="n"/>
      <c r="G932" s="304" t="n"/>
      <c r="H932" s="304" t="n"/>
      <c r="I932" s="304" t="n"/>
      <c r="J932" s="304" t="n"/>
      <c r="K932" s="304" t="n"/>
      <c r="L932" s="304" t="n"/>
      <c r="M932" s="304" t="n"/>
      <c r="N932" s="304" t="n"/>
      <c r="O932" s="304" t="n"/>
      <c r="P932" s="304" t="n"/>
      <c r="Q932" s="304" t="n"/>
    </row>
    <row r="933" ht="13.8" customHeight="1" s="343">
      <c r="A933" s="388">
        <f>ROW()-22</f>
        <v/>
      </c>
      <c r="B933" s="536">
        <f>_xlfn.NORM.INV(RAND(),$B$6,$C$6)</f>
        <v/>
      </c>
      <c r="C933" s="536">
        <f>MIN(_xlfn.NORM.INV(RAND(),$B$7,$C$7),B933-0.005)</f>
        <v/>
      </c>
      <c r="D933" s="537">
        <f>_xlfn.NORM.INV(RAND(),$B$8,$C$8)</f>
        <v/>
      </c>
      <c r="E933" s="391">
        <f t="array" ref="E933">(SUMPRODUCT($B$13:$F$13*D933/(1+B933)^$B$14:$F$14)+($F$13*D933*(1+C933))/(B933-C933)/(1+B933)^$F$14-$B$15+$B$16)/$B$17</f>
        <v/>
      </c>
      <c r="F933" s="304" t="n"/>
      <c r="G933" s="304" t="n"/>
      <c r="H933" s="304" t="n"/>
      <c r="I933" s="304" t="n"/>
      <c r="J933" s="304" t="n"/>
      <c r="K933" s="304" t="n"/>
      <c r="L933" s="304" t="n"/>
      <c r="M933" s="304" t="n"/>
      <c r="N933" s="304" t="n"/>
      <c r="O933" s="304" t="n"/>
      <c r="P933" s="304" t="n"/>
      <c r="Q933" s="304" t="n"/>
    </row>
    <row r="934" ht="13.8" customHeight="1" s="343">
      <c r="A934" s="388">
        <f>ROW()-22</f>
        <v/>
      </c>
      <c r="B934" s="536">
        <f>_xlfn.NORM.INV(RAND(),$B$6,$C$6)</f>
        <v/>
      </c>
      <c r="C934" s="536">
        <f>MIN(_xlfn.NORM.INV(RAND(),$B$7,$C$7),B934-0.005)</f>
        <v/>
      </c>
      <c r="D934" s="537">
        <f>_xlfn.NORM.INV(RAND(),$B$8,$C$8)</f>
        <v/>
      </c>
      <c r="E934" s="391">
        <f t="array" ref="E934">(SUMPRODUCT($B$13:$F$13*D934/(1+B934)^$B$14:$F$14)+($F$13*D934*(1+C934))/(B934-C934)/(1+B934)^$F$14-$B$15+$B$16)/$B$17</f>
        <v/>
      </c>
      <c r="F934" s="304" t="n"/>
      <c r="G934" s="304" t="n"/>
      <c r="H934" s="304" t="n"/>
      <c r="I934" s="304" t="n"/>
      <c r="J934" s="304" t="n"/>
      <c r="K934" s="304" t="n"/>
      <c r="L934" s="304" t="n"/>
      <c r="M934" s="304" t="n"/>
      <c r="N934" s="304" t="n"/>
      <c r="O934" s="304" t="n"/>
      <c r="P934" s="304" t="n"/>
      <c r="Q934" s="304" t="n"/>
    </row>
    <row r="935" ht="13.8" customHeight="1" s="343">
      <c r="A935" s="388">
        <f>ROW()-22</f>
        <v/>
      </c>
      <c r="B935" s="536">
        <f>_xlfn.NORM.INV(RAND(),$B$6,$C$6)</f>
        <v/>
      </c>
      <c r="C935" s="536">
        <f>MIN(_xlfn.NORM.INV(RAND(),$B$7,$C$7),B935-0.005)</f>
        <v/>
      </c>
      <c r="D935" s="537">
        <f>_xlfn.NORM.INV(RAND(),$B$8,$C$8)</f>
        <v/>
      </c>
      <c r="E935" s="391">
        <f t="array" ref="E935">(SUMPRODUCT($B$13:$F$13*D935/(1+B935)^$B$14:$F$14)+($F$13*D935*(1+C935))/(B935-C935)/(1+B935)^$F$14-$B$15+$B$16)/$B$17</f>
        <v/>
      </c>
      <c r="F935" s="304" t="n"/>
      <c r="G935" s="304" t="n"/>
      <c r="H935" s="304" t="n"/>
      <c r="I935" s="304" t="n"/>
      <c r="J935" s="304" t="n"/>
      <c r="K935" s="304" t="n"/>
      <c r="L935" s="304" t="n"/>
      <c r="M935" s="304" t="n"/>
      <c r="N935" s="304" t="n"/>
      <c r="O935" s="304" t="n"/>
      <c r="P935" s="304" t="n"/>
      <c r="Q935" s="304" t="n"/>
    </row>
    <row r="936" ht="13.8" customHeight="1" s="343">
      <c r="A936" s="388">
        <f>ROW()-22</f>
        <v/>
      </c>
      <c r="B936" s="536">
        <f>_xlfn.NORM.INV(RAND(),$B$6,$C$6)</f>
        <v/>
      </c>
      <c r="C936" s="536">
        <f>MIN(_xlfn.NORM.INV(RAND(),$B$7,$C$7),B936-0.005)</f>
        <v/>
      </c>
      <c r="D936" s="537">
        <f>_xlfn.NORM.INV(RAND(),$B$8,$C$8)</f>
        <v/>
      </c>
      <c r="E936" s="391">
        <f t="array" ref="E936">(SUMPRODUCT($B$13:$F$13*D936/(1+B936)^$B$14:$F$14)+($F$13*D936*(1+C936))/(B936-C936)/(1+B936)^$F$14-$B$15+$B$16)/$B$17</f>
        <v/>
      </c>
      <c r="F936" s="304" t="n"/>
      <c r="G936" s="304" t="n"/>
      <c r="H936" s="304" t="n"/>
      <c r="I936" s="304" t="n"/>
      <c r="J936" s="304" t="n"/>
      <c r="K936" s="304" t="n"/>
      <c r="L936" s="304" t="n"/>
      <c r="M936" s="304" t="n"/>
      <c r="N936" s="304" t="n"/>
      <c r="O936" s="304" t="n"/>
      <c r="P936" s="304" t="n"/>
      <c r="Q936" s="304" t="n"/>
    </row>
    <row r="937" ht="13.8" customHeight="1" s="343">
      <c r="A937" s="388">
        <f>ROW()-22</f>
        <v/>
      </c>
      <c r="B937" s="536">
        <f>_xlfn.NORM.INV(RAND(),$B$6,$C$6)</f>
        <v/>
      </c>
      <c r="C937" s="536">
        <f>MIN(_xlfn.NORM.INV(RAND(),$B$7,$C$7),B937-0.005)</f>
        <v/>
      </c>
      <c r="D937" s="537">
        <f>_xlfn.NORM.INV(RAND(),$B$8,$C$8)</f>
        <v/>
      </c>
      <c r="E937" s="391">
        <f t="array" ref="E937">(SUMPRODUCT($B$13:$F$13*D937/(1+B937)^$B$14:$F$14)+($F$13*D937*(1+C937))/(B937-C937)/(1+B937)^$F$14-$B$15+$B$16)/$B$17</f>
        <v/>
      </c>
      <c r="F937" s="304" t="n"/>
      <c r="G937" s="304" t="n"/>
      <c r="H937" s="304" t="n"/>
      <c r="I937" s="304" t="n"/>
      <c r="J937" s="304" t="n"/>
      <c r="K937" s="304" t="n"/>
      <c r="L937" s="304" t="n"/>
      <c r="M937" s="304" t="n"/>
      <c r="N937" s="304" t="n"/>
      <c r="O937" s="304" t="n"/>
      <c r="P937" s="304" t="n"/>
      <c r="Q937" s="304" t="n"/>
    </row>
    <row r="938" ht="13.8" customHeight="1" s="343">
      <c r="A938" s="388">
        <f>ROW()-22</f>
        <v/>
      </c>
      <c r="B938" s="536">
        <f>_xlfn.NORM.INV(RAND(),$B$6,$C$6)</f>
        <v/>
      </c>
      <c r="C938" s="536">
        <f>MIN(_xlfn.NORM.INV(RAND(),$B$7,$C$7),B938-0.005)</f>
        <v/>
      </c>
      <c r="D938" s="537">
        <f>_xlfn.NORM.INV(RAND(),$B$8,$C$8)</f>
        <v/>
      </c>
      <c r="E938" s="391">
        <f t="array" ref="E938">(SUMPRODUCT($B$13:$F$13*D938/(1+B938)^$B$14:$F$14)+($F$13*D938*(1+C938))/(B938-C938)/(1+B938)^$F$14-$B$15+$B$16)/$B$17</f>
        <v/>
      </c>
      <c r="F938" s="304" t="n"/>
      <c r="G938" s="304" t="n"/>
      <c r="H938" s="304" t="n"/>
      <c r="I938" s="304" t="n"/>
      <c r="J938" s="304" t="n"/>
      <c r="K938" s="304" t="n"/>
      <c r="L938" s="304" t="n"/>
      <c r="M938" s="304" t="n"/>
      <c r="N938" s="304" t="n"/>
      <c r="O938" s="304" t="n"/>
      <c r="P938" s="304" t="n"/>
      <c r="Q938" s="304" t="n"/>
    </row>
    <row r="939" ht="13.8" customHeight="1" s="343">
      <c r="A939" s="388">
        <f>ROW()-22</f>
        <v/>
      </c>
      <c r="B939" s="536">
        <f>_xlfn.NORM.INV(RAND(),$B$6,$C$6)</f>
        <v/>
      </c>
      <c r="C939" s="536">
        <f>MIN(_xlfn.NORM.INV(RAND(),$B$7,$C$7),B939-0.005)</f>
        <v/>
      </c>
      <c r="D939" s="537">
        <f>_xlfn.NORM.INV(RAND(),$B$8,$C$8)</f>
        <v/>
      </c>
      <c r="E939" s="391">
        <f t="array" ref="E939">(SUMPRODUCT($B$13:$F$13*D939/(1+B939)^$B$14:$F$14)+($F$13*D939*(1+C939))/(B939-C939)/(1+B939)^$F$14-$B$15+$B$16)/$B$17</f>
        <v/>
      </c>
      <c r="F939" s="304" t="n"/>
      <c r="G939" s="304" t="n"/>
      <c r="H939" s="304" t="n"/>
      <c r="I939" s="304" t="n"/>
      <c r="J939" s="304" t="n"/>
      <c r="K939" s="304" t="n"/>
      <c r="L939" s="304" t="n"/>
      <c r="M939" s="304" t="n"/>
      <c r="N939" s="304" t="n"/>
      <c r="O939" s="304" t="n"/>
      <c r="P939" s="304" t="n"/>
      <c r="Q939" s="304" t="n"/>
    </row>
    <row r="940" ht="13.8" customHeight="1" s="343">
      <c r="A940" s="388">
        <f>ROW()-22</f>
        <v/>
      </c>
      <c r="B940" s="536">
        <f>_xlfn.NORM.INV(RAND(),$B$6,$C$6)</f>
        <v/>
      </c>
      <c r="C940" s="536">
        <f>MIN(_xlfn.NORM.INV(RAND(),$B$7,$C$7),B940-0.005)</f>
        <v/>
      </c>
      <c r="D940" s="537">
        <f>_xlfn.NORM.INV(RAND(),$B$8,$C$8)</f>
        <v/>
      </c>
      <c r="E940" s="391">
        <f t="array" ref="E940">(SUMPRODUCT($B$13:$F$13*D940/(1+B940)^$B$14:$F$14)+($F$13*D940*(1+C940))/(B940-C940)/(1+B940)^$F$14-$B$15+$B$16)/$B$17</f>
        <v/>
      </c>
      <c r="F940" s="304" t="n"/>
      <c r="G940" s="304" t="n"/>
      <c r="H940" s="304" t="n"/>
      <c r="I940" s="304" t="n"/>
      <c r="J940" s="304" t="n"/>
      <c r="K940" s="304" t="n"/>
      <c r="L940" s="304" t="n"/>
      <c r="M940" s="304" t="n"/>
      <c r="N940" s="304" t="n"/>
      <c r="O940" s="304" t="n"/>
      <c r="P940" s="304" t="n"/>
      <c r="Q940" s="304" t="n"/>
    </row>
    <row r="941" ht="13.8" customHeight="1" s="343">
      <c r="A941" s="388">
        <f>ROW()-22</f>
        <v/>
      </c>
      <c r="B941" s="536">
        <f>_xlfn.NORM.INV(RAND(),$B$6,$C$6)</f>
        <v/>
      </c>
      <c r="C941" s="536">
        <f>MIN(_xlfn.NORM.INV(RAND(),$B$7,$C$7),B941-0.005)</f>
        <v/>
      </c>
      <c r="D941" s="537">
        <f>_xlfn.NORM.INV(RAND(),$B$8,$C$8)</f>
        <v/>
      </c>
      <c r="E941" s="391">
        <f t="array" ref="E941">(SUMPRODUCT($B$13:$F$13*D941/(1+B941)^$B$14:$F$14)+($F$13*D941*(1+C941))/(B941-C941)/(1+B941)^$F$14-$B$15+$B$16)/$B$17</f>
        <v/>
      </c>
      <c r="F941" s="304" t="n"/>
      <c r="G941" s="304" t="n"/>
      <c r="H941" s="304" t="n"/>
      <c r="I941" s="304" t="n"/>
      <c r="J941" s="304" t="n"/>
      <c r="K941" s="304" t="n"/>
      <c r="L941" s="304" t="n"/>
      <c r="M941" s="304" t="n"/>
      <c r="N941" s="304" t="n"/>
      <c r="O941" s="304" t="n"/>
      <c r="P941" s="304" t="n"/>
      <c r="Q941" s="304" t="n"/>
    </row>
    <row r="942" ht="13.8" customHeight="1" s="343">
      <c r="A942" s="388">
        <f>ROW()-22</f>
        <v/>
      </c>
      <c r="B942" s="536">
        <f>_xlfn.NORM.INV(RAND(),$B$6,$C$6)</f>
        <v/>
      </c>
      <c r="C942" s="536">
        <f>MIN(_xlfn.NORM.INV(RAND(),$B$7,$C$7),B942-0.005)</f>
        <v/>
      </c>
      <c r="D942" s="537">
        <f>_xlfn.NORM.INV(RAND(),$B$8,$C$8)</f>
        <v/>
      </c>
      <c r="E942" s="391">
        <f t="array" ref="E942">(SUMPRODUCT($B$13:$F$13*D942/(1+B942)^$B$14:$F$14)+($F$13*D942*(1+C942))/(B942-C942)/(1+B942)^$F$14-$B$15+$B$16)/$B$17</f>
        <v/>
      </c>
      <c r="F942" s="304" t="n"/>
      <c r="G942" s="304" t="n"/>
      <c r="H942" s="304" t="n"/>
      <c r="I942" s="304" t="n"/>
      <c r="J942" s="304" t="n"/>
      <c r="K942" s="304" t="n"/>
      <c r="L942" s="304" t="n"/>
      <c r="M942" s="304" t="n"/>
      <c r="N942" s="304" t="n"/>
      <c r="O942" s="304" t="n"/>
      <c r="P942" s="304" t="n"/>
      <c r="Q942" s="304" t="n"/>
    </row>
    <row r="943" ht="13.8" customHeight="1" s="343">
      <c r="A943" s="388">
        <f>ROW()-22</f>
        <v/>
      </c>
      <c r="B943" s="536">
        <f>_xlfn.NORM.INV(RAND(),$B$6,$C$6)</f>
        <v/>
      </c>
      <c r="C943" s="536">
        <f>MIN(_xlfn.NORM.INV(RAND(),$B$7,$C$7),B943-0.005)</f>
        <v/>
      </c>
      <c r="D943" s="537">
        <f>_xlfn.NORM.INV(RAND(),$B$8,$C$8)</f>
        <v/>
      </c>
      <c r="E943" s="391">
        <f t="array" ref="E943">(SUMPRODUCT($B$13:$F$13*D943/(1+B943)^$B$14:$F$14)+($F$13*D943*(1+C943))/(B943-C943)/(1+B943)^$F$14-$B$15+$B$16)/$B$17</f>
        <v/>
      </c>
      <c r="F943" s="304" t="n"/>
      <c r="G943" s="304" t="n"/>
      <c r="H943" s="304" t="n"/>
      <c r="I943" s="304" t="n"/>
      <c r="J943" s="304" t="n"/>
      <c r="K943" s="304" t="n"/>
      <c r="L943" s="304" t="n"/>
      <c r="M943" s="304" t="n"/>
      <c r="N943" s="304" t="n"/>
      <c r="O943" s="304" t="n"/>
      <c r="P943" s="304" t="n"/>
      <c r="Q943" s="304" t="n"/>
    </row>
    <row r="944" ht="13.8" customHeight="1" s="343">
      <c r="A944" s="388">
        <f>ROW()-22</f>
        <v/>
      </c>
      <c r="B944" s="536">
        <f>_xlfn.NORM.INV(RAND(),$B$6,$C$6)</f>
        <v/>
      </c>
      <c r="C944" s="536">
        <f>MIN(_xlfn.NORM.INV(RAND(),$B$7,$C$7),B944-0.005)</f>
        <v/>
      </c>
      <c r="D944" s="537">
        <f>_xlfn.NORM.INV(RAND(),$B$8,$C$8)</f>
        <v/>
      </c>
      <c r="E944" s="391">
        <f t="array" ref="E944">(SUMPRODUCT($B$13:$F$13*D944/(1+B944)^$B$14:$F$14)+($F$13*D944*(1+C944))/(B944-C944)/(1+B944)^$F$14-$B$15+$B$16)/$B$17</f>
        <v/>
      </c>
      <c r="F944" s="304" t="n"/>
      <c r="G944" s="304" t="n"/>
      <c r="H944" s="304" t="n"/>
      <c r="I944" s="304" t="n"/>
      <c r="J944" s="304" t="n"/>
      <c r="K944" s="304" t="n"/>
      <c r="L944" s="304" t="n"/>
      <c r="M944" s="304" t="n"/>
      <c r="N944" s="304" t="n"/>
      <c r="O944" s="304" t="n"/>
      <c r="P944" s="304" t="n"/>
      <c r="Q944" s="304" t="n"/>
    </row>
    <row r="945" ht="13.8" customHeight="1" s="343">
      <c r="A945" s="388">
        <f>ROW()-22</f>
        <v/>
      </c>
      <c r="B945" s="536">
        <f>_xlfn.NORM.INV(RAND(),$B$6,$C$6)</f>
        <v/>
      </c>
      <c r="C945" s="536">
        <f>MIN(_xlfn.NORM.INV(RAND(),$B$7,$C$7),B945-0.005)</f>
        <v/>
      </c>
      <c r="D945" s="537">
        <f>_xlfn.NORM.INV(RAND(),$B$8,$C$8)</f>
        <v/>
      </c>
      <c r="E945" s="391">
        <f t="array" ref="E945">(SUMPRODUCT($B$13:$F$13*D945/(1+B945)^$B$14:$F$14)+($F$13*D945*(1+C945))/(B945-C945)/(1+B945)^$F$14-$B$15+$B$16)/$B$17</f>
        <v/>
      </c>
      <c r="F945" s="304" t="n"/>
      <c r="G945" s="304" t="n"/>
      <c r="H945" s="304" t="n"/>
      <c r="I945" s="304" t="n"/>
      <c r="J945" s="304" t="n"/>
      <c r="K945" s="304" t="n"/>
      <c r="L945" s="304" t="n"/>
      <c r="M945" s="304" t="n"/>
      <c r="N945" s="304" t="n"/>
      <c r="O945" s="304" t="n"/>
      <c r="P945" s="304" t="n"/>
      <c r="Q945" s="304" t="n"/>
    </row>
    <row r="946" ht="13.8" customHeight="1" s="343">
      <c r="A946" s="388">
        <f>ROW()-22</f>
        <v/>
      </c>
      <c r="B946" s="536">
        <f>_xlfn.NORM.INV(RAND(),$B$6,$C$6)</f>
        <v/>
      </c>
      <c r="C946" s="536">
        <f>MIN(_xlfn.NORM.INV(RAND(),$B$7,$C$7),B946-0.005)</f>
        <v/>
      </c>
      <c r="D946" s="537">
        <f>_xlfn.NORM.INV(RAND(),$B$8,$C$8)</f>
        <v/>
      </c>
      <c r="E946" s="391">
        <f t="array" ref="E946">(SUMPRODUCT($B$13:$F$13*D946/(1+B946)^$B$14:$F$14)+($F$13*D946*(1+C946))/(B946-C946)/(1+B946)^$F$14-$B$15+$B$16)/$B$17</f>
        <v/>
      </c>
      <c r="F946" s="304" t="n"/>
      <c r="G946" s="304" t="n"/>
      <c r="H946" s="304" t="n"/>
      <c r="I946" s="304" t="n"/>
      <c r="J946" s="304" t="n"/>
      <c r="K946" s="304" t="n"/>
      <c r="L946" s="304" t="n"/>
      <c r="M946" s="304" t="n"/>
      <c r="N946" s="304" t="n"/>
      <c r="O946" s="304" t="n"/>
      <c r="P946" s="304" t="n"/>
      <c r="Q946" s="304" t="n"/>
    </row>
    <row r="947" ht="13.8" customHeight="1" s="343">
      <c r="A947" s="388">
        <f>ROW()-22</f>
        <v/>
      </c>
      <c r="B947" s="536">
        <f>_xlfn.NORM.INV(RAND(),$B$6,$C$6)</f>
        <v/>
      </c>
      <c r="C947" s="536">
        <f>MIN(_xlfn.NORM.INV(RAND(),$B$7,$C$7),B947-0.005)</f>
        <v/>
      </c>
      <c r="D947" s="537">
        <f>_xlfn.NORM.INV(RAND(),$B$8,$C$8)</f>
        <v/>
      </c>
      <c r="E947" s="391">
        <f t="array" ref="E947">(SUMPRODUCT($B$13:$F$13*D947/(1+B947)^$B$14:$F$14)+($F$13*D947*(1+C947))/(B947-C947)/(1+B947)^$F$14-$B$15+$B$16)/$B$17</f>
        <v/>
      </c>
      <c r="F947" s="304" t="n"/>
      <c r="G947" s="304" t="n"/>
      <c r="H947" s="304" t="n"/>
      <c r="I947" s="304" t="n"/>
      <c r="J947" s="304" t="n"/>
      <c r="K947" s="304" t="n"/>
      <c r="L947" s="304" t="n"/>
      <c r="M947" s="304" t="n"/>
      <c r="N947" s="304" t="n"/>
      <c r="O947" s="304" t="n"/>
      <c r="P947" s="304" t="n"/>
      <c r="Q947" s="304" t="n"/>
    </row>
    <row r="948" ht="13.8" customHeight="1" s="343">
      <c r="A948" s="388">
        <f>ROW()-22</f>
        <v/>
      </c>
      <c r="B948" s="536">
        <f>_xlfn.NORM.INV(RAND(),$B$6,$C$6)</f>
        <v/>
      </c>
      <c r="C948" s="536">
        <f>MIN(_xlfn.NORM.INV(RAND(),$B$7,$C$7),B948-0.005)</f>
        <v/>
      </c>
      <c r="D948" s="537">
        <f>_xlfn.NORM.INV(RAND(),$B$8,$C$8)</f>
        <v/>
      </c>
      <c r="E948" s="391">
        <f t="array" ref="E948">(SUMPRODUCT($B$13:$F$13*D948/(1+B948)^$B$14:$F$14)+($F$13*D948*(1+C948))/(B948-C948)/(1+B948)^$F$14-$B$15+$B$16)/$B$17</f>
        <v/>
      </c>
      <c r="F948" s="304" t="n"/>
      <c r="G948" s="304" t="n"/>
      <c r="H948" s="304" t="n"/>
      <c r="I948" s="304" t="n"/>
      <c r="J948" s="304" t="n"/>
      <c r="K948" s="304" t="n"/>
      <c r="L948" s="304" t="n"/>
      <c r="M948" s="304" t="n"/>
      <c r="N948" s="304" t="n"/>
      <c r="O948" s="304" t="n"/>
      <c r="P948" s="304" t="n"/>
      <c r="Q948" s="304" t="n"/>
    </row>
    <row r="949" ht="13.8" customHeight="1" s="343">
      <c r="A949" s="388">
        <f>ROW()-22</f>
        <v/>
      </c>
      <c r="B949" s="536">
        <f>_xlfn.NORM.INV(RAND(),$B$6,$C$6)</f>
        <v/>
      </c>
      <c r="C949" s="536">
        <f>MIN(_xlfn.NORM.INV(RAND(),$B$7,$C$7),B949-0.005)</f>
        <v/>
      </c>
      <c r="D949" s="537">
        <f>_xlfn.NORM.INV(RAND(),$B$8,$C$8)</f>
        <v/>
      </c>
      <c r="E949" s="391">
        <f t="array" ref="E949">(SUMPRODUCT($B$13:$F$13*D949/(1+B949)^$B$14:$F$14)+($F$13*D949*(1+C949))/(B949-C949)/(1+B949)^$F$14-$B$15+$B$16)/$B$17</f>
        <v/>
      </c>
      <c r="F949" s="304" t="n"/>
      <c r="G949" s="304" t="n"/>
      <c r="H949" s="304" t="n"/>
      <c r="I949" s="304" t="n"/>
      <c r="J949" s="304" t="n"/>
      <c r="K949" s="304" t="n"/>
      <c r="L949" s="304" t="n"/>
      <c r="M949" s="304" t="n"/>
      <c r="N949" s="304" t="n"/>
      <c r="O949" s="304" t="n"/>
      <c r="P949" s="304" t="n"/>
      <c r="Q949" s="304" t="n"/>
    </row>
    <row r="950" ht="13.8" customHeight="1" s="343">
      <c r="A950" s="388">
        <f>ROW()-22</f>
        <v/>
      </c>
      <c r="B950" s="536">
        <f>_xlfn.NORM.INV(RAND(),$B$6,$C$6)</f>
        <v/>
      </c>
      <c r="C950" s="536">
        <f>MIN(_xlfn.NORM.INV(RAND(),$B$7,$C$7),B950-0.005)</f>
        <v/>
      </c>
      <c r="D950" s="537">
        <f>_xlfn.NORM.INV(RAND(),$B$8,$C$8)</f>
        <v/>
      </c>
      <c r="E950" s="391">
        <f t="array" ref="E950">(SUMPRODUCT($B$13:$F$13*D950/(1+B950)^$B$14:$F$14)+($F$13*D950*(1+C950))/(B950-C950)/(1+B950)^$F$14-$B$15+$B$16)/$B$17</f>
        <v/>
      </c>
      <c r="F950" s="304" t="n"/>
      <c r="G950" s="304" t="n"/>
      <c r="H950" s="304" t="n"/>
      <c r="I950" s="304" t="n"/>
      <c r="J950" s="304" t="n"/>
      <c r="K950" s="304" t="n"/>
      <c r="L950" s="304" t="n"/>
      <c r="M950" s="304" t="n"/>
      <c r="N950" s="304" t="n"/>
      <c r="O950" s="304" t="n"/>
      <c r="P950" s="304" t="n"/>
      <c r="Q950" s="304" t="n"/>
    </row>
    <row r="951" ht="13.8" customHeight="1" s="343">
      <c r="A951" s="388">
        <f>ROW()-22</f>
        <v/>
      </c>
      <c r="B951" s="536">
        <f>_xlfn.NORM.INV(RAND(),$B$6,$C$6)</f>
        <v/>
      </c>
      <c r="C951" s="536">
        <f>MIN(_xlfn.NORM.INV(RAND(),$B$7,$C$7),B951-0.005)</f>
        <v/>
      </c>
      <c r="D951" s="537">
        <f>_xlfn.NORM.INV(RAND(),$B$8,$C$8)</f>
        <v/>
      </c>
      <c r="E951" s="391">
        <f t="array" ref="E951">(SUMPRODUCT($B$13:$F$13*D951/(1+B951)^$B$14:$F$14)+($F$13*D951*(1+C951))/(B951-C951)/(1+B951)^$F$14-$B$15+$B$16)/$B$17</f>
        <v/>
      </c>
      <c r="F951" s="304" t="n"/>
      <c r="G951" s="304" t="n"/>
      <c r="H951" s="304" t="n"/>
      <c r="I951" s="304" t="n"/>
      <c r="J951" s="304" t="n"/>
      <c r="K951" s="304" t="n"/>
      <c r="L951" s="304" t="n"/>
      <c r="M951" s="304" t="n"/>
      <c r="N951" s="304" t="n"/>
      <c r="O951" s="304" t="n"/>
      <c r="P951" s="304" t="n"/>
      <c r="Q951" s="304" t="n"/>
    </row>
    <row r="952" ht="13.8" customHeight="1" s="343">
      <c r="A952" s="388">
        <f>ROW()-22</f>
        <v/>
      </c>
      <c r="B952" s="536">
        <f>_xlfn.NORM.INV(RAND(),$B$6,$C$6)</f>
        <v/>
      </c>
      <c r="C952" s="536">
        <f>MIN(_xlfn.NORM.INV(RAND(),$B$7,$C$7),B952-0.005)</f>
        <v/>
      </c>
      <c r="D952" s="537">
        <f>_xlfn.NORM.INV(RAND(),$B$8,$C$8)</f>
        <v/>
      </c>
      <c r="E952" s="391">
        <f t="array" ref="E952">(SUMPRODUCT($B$13:$F$13*D952/(1+B952)^$B$14:$F$14)+($F$13*D952*(1+C952))/(B952-C952)/(1+B952)^$F$14-$B$15+$B$16)/$B$17</f>
        <v/>
      </c>
      <c r="F952" s="304" t="n"/>
      <c r="G952" s="304" t="n"/>
      <c r="H952" s="304" t="n"/>
      <c r="I952" s="304" t="n"/>
      <c r="J952" s="304" t="n"/>
      <c r="K952" s="304" t="n"/>
      <c r="L952" s="304" t="n"/>
      <c r="M952" s="304" t="n"/>
      <c r="N952" s="304" t="n"/>
      <c r="O952" s="304" t="n"/>
      <c r="P952" s="304" t="n"/>
      <c r="Q952" s="304" t="n"/>
    </row>
    <row r="953" ht="13.8" customHeight="1" s="343">
      <c r="A953" s="388">
        <f>ROW()-22</f>
        <v/>
      </c>
      <c r="B953" s="536">
        <f>_xlfn.NORM.INV(RAND(),$B$6,$C$6)</f>
        <v/>
      </c>
      <c r="C953" s="536">
        <f>MIN(_xlfn.NORM.INV(RAND(),$B$7,$C$7),B953-0.005)</f>
        <v/>
      </c>
      <c r="D953" s="537">
        <f>_xlfn.NORM.INV(RAND(),$B$8,$C$8)</f>
        <v/>
      </c>
      <c r="E953" s="391">
        <f t="array" ref="E953">(SUMPRODUCT($B$13:$F$13*D953/(1+B953)^$B$14:$F$14)+($F$13*D953*(1+C953))/(B953-C953)/(1+B953)^$F$14-$B$15+$B$16)/$B$17</f>
        <v/>
      </c>
      <c r="F953" s="304" t="n"/>
      <c r="G953" s="304" t="n"/>
      <c r="H953" s="304" t="n"/>
      <c r="I953" s="304" t="n"/>
      <c r="J953" s="304" t="n"/>
      <c r="K953" s="304" t="n"/>
      <c r="L953" s="304" t="n"/>
      <c r="M953" s="304" t="n"/>
      <c r="N953" s="304" t="n"/>
      <c r="O953" s="304" t="n"/>
      <c r="P953" s="304" t="n"/>
      <c r="Q953" s="304" t="n"/>
    </row>
    <row r="954" ht="13.8" customHeight="1" s="343">
      <c r="A954" s="388">
        <f>ROW()-22</f>
        <v/>
      </c>
      <c r="B954" s="536">
        <f>_xlfn.NORM.INV(RAND(),$B$6,$C$6)</f>
        <v/>
      </c>
      <c r="C954" s="536">
        <f>MIN(_xlfn.NORM.INV(RAND(),$B$7,$C$7),B954-0.005)</f>
        <v/>
      </c>
      <c r="D954" s="537">
        <f>_xlfn.NORM.INV(RAND(),$B$8,$C$8)</f>
        <v/>
      </c>
      <c r="E954" s="391">
        <f t="array" ref="E954">(SUMPRODUCT($B$13:$F$13*D954/(1+B954)^$B$14:$F$14)+($F$13*D954*(1+C954))/(B954-C954)/(1+B954)^$F$14-$B$15+$B$16)/$B$17</f>
        <v/>
      </c>
      <c r="F954" s="304" t="n"/>
      <c r="G954" s="304" t="n"/>
      <c r="H954" s="304" t="n"/>
      <c r="I954" s="304" t="n"/>
      <c r="J954" s="304" t="n"/>
      <c r="K954" s="304" t="n"/>
      <c r="L954" s="304" t="n"/>
      <c r="M954" s="304" t="n"/>
      <c r="N954" s="304" t="n"/>
      <c r="O954" s="304" t="n"/>
      <c r="P954" s="304" t="n"/>
      <c r="Q954" s="304" t="n"/>
    </row>
    <row r="955" ht="13.8" customHeight="1" s="343">
      <c r="A955" s="388">
        <f>ROW()-22</f>
        <v/>
      </c>
      <c r="B955" s="536">
        <f>_xlfn.NORM.INV(RAND(),$B$6,$C$6)</f>
        <v/>
      </c>
      <c r="C955" s="536">
        <f>MIN(_xlfn.NORM.INV(RAND(),$B$7,$C$7),B955-0.005)</f>
        <v/>
      </c>
      <c r="D955" s="537">
        <f>_xlfn.NORM.INV(RAND(),$B$8,$C$8)</f>
        <v/>
      </c>
      <c r="E955" s="391">
        <f t="array" ref="E955">(SUMPRODUCT($B$13:$F$13*D955/(1+B955)^$B$14:$F$14)+($F$13*D955*(1+C955))/(B955-C955)/(1+B955)^$F$14-$B$15+$B$16)/$B$17</f>
        <v/>
      </c>
      <c r="F955" s="304" t="n"/>
      <c r="G955" s="304" t="n"/>
      <c r="H955" s="304" t="n"/>
      <c r="I955" s="304" t="n"/>
      <c r="J955" s="304" t="n"/>
      <c r="K955" s="304" t="n"/>
      <c r="L955" s="304" t="n"/>
      <c r="M955" s="304" t="n"/>
      <c r="N955" s="304" t="n"/>
      <c r="O955" s="304" t="n"/>
      <c r="P955" s="304" t="n"/>
      <c r="Q955" s="304" t="n"/>
    </row>
    <row r="956" ht="13.8" customHeight="1" s="343">
      <c r="A956" s="388">
        <f>ROW()-22</f>
        <v/>
      </c>
      <c r="B956" s="536">
        <f>_xlfn.NORM.INV(RAND(),$B$6,$C$6)</f>
        <v/>
      </c>
      <c r="C956" s="536">
        <f>MIN(_xlfn.NORM.INV(RAND(),$B$7,$C$7),B956-0.005)</f>
        <v/>
      </c>
      <c r="D956" s="537">
        <f>_xlfn.NORM.INV(RAND(),$B$8,$C$8)</f>
        <v/>
      </c>
      <c r="E956" s="391">
        <f t="array" ref="E956">(SUMPRODUCT($B$13:$F$13*D956/(1+B956)^$B$14:$F$14)+($F$13*D956*(1+C956))/(B956-C956)/(1+B956)^$F$14-$B$15+$B$16)/$B$17</f>
        <v/>
      </c>
      <c r="F956" s="304" t="n"/>
      <c r="G956" s="304" t="n"/>
      <c r="H956" s="304" t="n"/>
      <c r="I956" s="304" t="n"/>
      <c r="J956" s="304" t="n"/>
      <c r="K956" s="304" t="n"/>
      <c r="L956" s="304" t="n"/>
      <c r="M956" s="304" t="n"/>
      <c r="N956" s="304" t="n"/>
      <c r="O956" s="304" t="n"/>
      <c r="P956" s="304" t="n"/>
      <c r="Q956" s="304" t="n"/>
    </row>
    <row r="957" ht="13.8" customHeight="1" s="343">
      <c r="A957" s="388">
        <f>ROW()-22</f>
        <v/>
      </c>
      <c r="B957" s="536">
        <f>_xlfn.NORM.INV(RAND(),$B$6,$C$6)</f>
        <v/>
      </c>
      <c r="C957" s="536">
        <f>MIN(_xlfn.NORM.INV(RAND(),$B$7,$C$7),B957-0.005)</f>
        <v/>
      </c>
      <c r="D957" s="537">
        <f>_xlfn.NORM.INV(RAND(),$B$8,$C$8)</f>
        <v/>
      </c>
      <c r="E957" s="391">
        <f t="array" ref="E957">(SUMPRODUCT($B$13:$F$13*D957/(1+B957)^$B$14:$F$14)+($F$13*D957*(1+C957))/(B957-C957)/(1+B957)^$F$14-$B$15+$B$16)/$B$17</f>
        <v/>
      </c>
      <c r="F957" s="304" t="n"/>
      <c r="G957" s="304" t="n"/>
      <c r="H957" s="304" t="n"/>
      <c r="I957" s="304" t="n"/>
      <c r="J957" s="304" t="n"/>
      <c r="K957" s="304" t="n"/>
      <c r="L957" s="304" t="n"/>
      <c r="M957" s="304" t="n"/>
      <c r="N957" s="304" t="n"/>
      <c r="O957" s="304" t="n"/>
      <c r="P957" s="304" t="n"/>
      <c r="Q957" s="304" t="n"/>
    </row>
    <row r="958" ht="13.8" customHeight="1" s="343">
      <c r="A958" s="388">
        <f>ROW()-22</f>
        <v/>
      </c>
      <c r="B958" s="536">
        <f>_xlfn.NORM.INV(RAND(),$B$6,$C$6)</f>
        <v/>
      </c>
      <c r="C958" s="536">
        <f>MIN(_xlfn.NORM.INV(RAND(),$B$7,$C$7),B958-0.005)</f>
        <v/>
      </c>
      <c r="D958" s="537">
        <f>_xlfn.NORM.INV(RAND(),$B$8,$C$8)</f>
        <v/>
      </c>
      <c r="E958" s="391">
        <f t="array" ref="E958">(SUMPRODUCT($B$13:$F$13*D958/(1+B958)^$B$14:$F$14)+($F$13*D958*(1+C958))/(B958-C958)/(1+B958)^$F$14-$B$15+$B$16)/$B$17</f>
        <v/>
      </c>
      <c r="F958" s="304" t="n"/>
      <c r="G958" s="304" t="n"/>
      <c r="H958" s="304" t="n"/>
      <c r="I958" s="304" t="n"/>
      <c r="J958" s="304" t="n"/>
      <c r="K958" s="304" t="n"/>
      <c r="L958" s="304" t="n"/>
      <c r="M958" s="304" t="n"/>
      <c r="N958" s="304" t="n"/>
      <c r="O958" s="304" t="n"/>
      <c r="P958" s="304" t="n"/>
      <c r="Q958" s="304" t="n"/>
    </row>
    <row r="959" ht="13.8" customHeight="1" s="343">
      <c r="A959" s="388">
        <f>ROW()-22</f>
        <v/>
      </c>
      <c r="B959" s="536">
        <f>_xlfn.NORM.INV(RAND(),$B$6,$C$6)</f>
        <v/>
      </c>
      <c r="C959" s="536">
        <f>MIN(_xlfn.NORM.INV(RAND(),$B$7,$C$7),B959-0.005)</f>
        <v/>
      </c>
      <c r="D959" s="537">
        <f>_xlfn.NORM.INV(RAND(),$B$8,$C$8)</f>
        <v/>
      </c>
      <c r="E959" s="391">
        <f t="array" ref="E959">(SUMPRODUCT($B$13:$F$13*D959/(1+B959)^$B$14:$F$14)+($F$13*D959*(1+C959))/(B959-C959)/(1+B959)^$F$14-$B$15+$B$16)/$B$17</f>
        <v/>
      </c>
      <c r="F959" s="304" t="n"/>
      <c r="G959" s="304" t="n"/>
      <c r="H959" s="304" t="n"/>
      <c r="I959" s="304" t="n"/>
      <c r="J959" s="304" t="n"/>
      <c r="K959" s="304" t="n"/>
      <c r="L959" s="304" t="n"/>
      <c r="M959" s="304" t="n"/>
      <c r="N959" s="304" t="n"/>
      <c r="O959" s="304" t="n"/>
      <c r="P959" s="304" t="n"/>
      <c r="Q959" s="304" t="n"/>
    </row>
    <row r="960" ht="13.8" customHeight="1" s="343">
      <c r="A960" s="388">
        <f>ROW()-22</f>
        <v/>
      </c>
      <c r="B960" s="536">
        <f>_xlfn.NORM.INV(RAND(),$B$6,$C$6)</f>
        <v/>
      </c>
      <c r="C960" s="536">
        <f>MIN(_xlfn.NORM.INV(RAND(),$B$7,$C$7),B960-0.005)</f>
        <v/>
      </c>
      <c r="D960" s="537">
        <f>_xlfn.NORM.INV(RAND(),$B$8,$C$8)</f>
        <v/>
      </c>
      <c r="E960" s="391">
        <f t="array" ref="E960">(SUMPRODUCT($B$13:$F$13*D960/(1+B960)^$B$14:$F$14)+($F$13*D960*(1+C960))/(B960-C960)/(1+B960)^$F$14-$B$15+$B$16)/$B$17</f>
        <v/>
      </c>
      <c r="F960" s="304" t="n"/>
      <c r="G960" s="304" t="n"/>
      <c r="H960" s="304" t="n"/>
      <c r="I960" s="304" t="n"/>
      <c r="J960" s="304" t="n"/>
      <c r="K960" s="304" t="n"/>
      <c r="L960" s="304" t="n"/>
      <c r="M960" s="304" t="n"/>
      <c r="N960" s="304" t="n"/>
      <c r="O960" s="304" t="n"/>
      <c r="P960" s="304" t="n"/>
      <c r="Q960" s="304" t="n"/>
    </row>
    <row r="961" ht="13.8" customHeight="1" s="343">
      <c r="A961" s="388">
        <f>ROW()-22</f>
        <v/>
      </c>
      <c r="B961" s="536">
        <f>_xlfn.NORM.INV(RAND(),$B$6,$C$6)</f>
        <v/>
      </c>
      <c r="C961" s="536">
        <f>MIN(_xlfn.NORM.INV(RAND(),$B$7,$C$7),B961-0.005)</f>
        <v/>
      </c>
      <c r="D961" s="537">
        <f>_xlfn.NORM.INV(RAND(),$B$8,$C$8)</f>
        <v/>
      </c>
      <c r="E961" s="391">
        <f t="array" ref="E961">(SUMPRODUCT($B$13:$F$13*D961/(1+B961)^$B$14:$F$14)+($F$13*D961*(1+C961))/(B961-C961)/(1+B961)^$F$14-$B$15+$B$16)/$B$17</f>
        <v/>
      </c>
      <c r="F961" s="304" t="n"/>
      <c r="G961" s="304" t="n"/>
      <c r="H961" s="304" t="n"/>
      <c r="I961" s="304" t="n"/>
      <c r="J961" s="304" t="n"/>
      <c r="K961" s="304" t="n"/>
      <c r="L961" s="304" t="n"/>
      <c r="M961" s="304" t="n"/>
      <c r="N961" s="304" t="n"/>
      <c r="O961" s="304" t="n"/>
      <c r="P961" s="304" t="n"/>
      <c r="Q961" s="304" t="n"/>
    </row>
    <row r="962" ht="13.8" customHeight="1" s="343">
      <c r="A962" s="388">
        <f>ROW()-22</f>
        <v/>
      </c>
      <c r="B962" s="536">
        <f>_xlfn.NORM.INV(RAND(),$B$6,$C$6)</f>
        <v/>
      </c>
      <c r="C962" s="536">
        <f>MIN(_xlfn.NORM.INV(RAND(),$B$7,$C$7),B962-0.005)</f>
        <v/>
      </c>
      <c r="D962" s="537">
        <f>_xlfn.NORM.INV(RAND(),$B$8,$C$8)</f>
        <v/>
      </c>
      <c r="E962" s="391">
        <f t="array" ref="E962">(SUMPRODUCT($B$13:$F$13*D962/(1+B962)^$B$14:$F$14)+($F$13*D962*(1+C962))/(B962-C962)/(1+B962)^$F$14-$B$15+$B$16)/$B$17</f>
        <v/>
      </c>
      <c r="F962" s="304" t="n"/>
      <c r="G962" s="304" t="n"/>
      <c r="H962" s="304" t="n"/>
      <c r="I962" s="304" t="n"/>
      <c r="J962" s="304" t="n"/>
      <c r="K962" s="304" t="n"/>
      <c r="L962" s="304" t="n"/>
      <c r="M962" s="304" t="n"/>
      <c r="N962" s="304" t="n"/>
      <c r="O962" s="304" t="n"/>
      <c r="P962" s="304" t="n"/>
      <c r="Q962" s="304" t="n"/>
    </row>
    <row r="963" ht="13.8" customHeight="1" s="343">
      <c r="A963" s="388">
        <f>ROW()-22</f>
        <v/>
      </c>
      <c r="B963" s="536">
        <f>_xlfn.NORM.INV(RAND(),$B$6,$C$6)</f>
        <v/>
      </c>
      <c r="C963" s="536">
        <f>MIN(_xlfn.NORM.INV(RAND(),$B$7,$C$7),B963-0.005)</f>
        <v/>
      </c>
      <c r="D963" s="537">
        <f>_xlfn.NORM.INV(RAND(),$B$8,$C$8)</f>
        <v/>
      </c>
      <c r="E963" s="391">
        <f t="array" ref="E963">(SUMPRODUCT($B$13:$F$13*D963/(1+B963)^$B$14:$F$14)+($F$13*D963*(1+C963))/(B963-C963)/(1+B963)^$F$14-$B$15+$B$16)/$B$17</f>
        <v/>
      </c>
      <c r="F963" s="304" t="n"/>
      <c r="G963" s="304" t="n"/>
      <c r="H963" s="304" t="n"/>
      <c r="I963" s="304" t="n"/>
      <c r="J963" s="304" t="n"/>
      <c r="K963" s="304" t="n"/>
      <c r="L963" s="304" t="n"/>
      <c r="M963" s="304" t="n"/>
      <c r="N963" s="304" t="n"/>
      <c r="O963" s="304" t="n"/>
      <c r="P963" s="304" t="n"/>
      <c r="Q963" s="304" t="n"/>
    </row>
    <row r="964" ht="13.8" customHeight="1" s="343">
      <c r="A964" s="388">
        <f>ROW()-22</f>
        <v/>
      </c>
      <c r="B964" s="536">
        <f>_xlfn.NORM.INV(RAND(),$B$6,$C$6)</f>
        <v/>
      </c>
      <c r="C964" s="536">
        <f>MIN(_xlfn.NORM.INV(RAND(),$B$7,$C$7),B964-0.005)</f>
        <v/>
      </c>
      <c r="D964" s="537">
        <f>_xlfn.NORM.INV(RAND(),$B$8,$C$8)</f>
        <v/>
      </c>
      <c r="E964" s="391">
        <f t="array" ref="E964">(SUMPRODUCT($B$13:$F$13*D964/(1+B964)^$B$14:$F$14)+($F$13*D964*(1+C964))/(B964-C964)/(1+B964)^$F$14-$B$15+$B$16)/$B$17</f>
        <v/>
      </c>
      <c r="F964" s="304" t="n"/>
      <c r="G964" s="304" t="n"/>
      <c r="H964" s="304" t="n"/>
      <c r="I964" s="304" t="n"/>
      <c r="J964" s="304" t="n"/>
      <c r="K964" s="304" t="n"/>
      <c r="L964" s="304" t="n"/>
      <c r="M964" s="304" t="n"/>
      <c r="N964" s="304" t="n"/>
      <c r="O964" s="304" t="n"/>
      <c r="P964" s="304" t="n"/>
      <c r="Q964" s="304" t="n"/>
    </row>
    <row r="965" ht="13.8" customHeight="1" s="343">
      <c r="A965" s="388">
        <f>ROW()-22</f>
        <v/>
      </c>
      <c r="B965" s="536">
        <f>_xlfn.NORM.INV(RAND(),$B$6,$C$6)</f>
        <v/>
      </c>
      <c r="C965" s="536">
        <f>MIN(_xlfn.NORM.INV(RAND(),$B$7,$C$7),B965-0.005)</f>
        <v/>
      </c>
      <c r="D965" s="537">
        <f>_xlfn.NORM.INV(RAND(),$B$8,$C$8)</f>
        <v/>
      </c>
      <c r="E965" s="391">
        <f t="array" ref="E965">(SUMPRODUCT($B$13:$F$13*D965/(1+B965)^$B$14:$F$14)+($F$13*D965*(1+C965))/(B965-C965)/(1+B965)^$F$14-$B$15+$B$16)/$B$17</f>
        <v/>
      </c>
      <c r="F965" s="304" t="n"/>
      <c r="G965" s="304" t="n"/>
      <c r="H965" s="304" t="n"/>
      <c r="I965" s="304" t="n"/>
      <c r="J965" s="304" t="n"/>
      <c r="K965" s="304" t="n"/>
      <c r="L965" s="304" t="n"/>
      <c r="M965" s="304" t="n"/>
      <c r="N965" s="304" t="n"/>
      <c r="O965" s="304" t="n"/>
      <c r="P965" s="304" t="n"/>
      <c r="Q965" s="304" t="n"/>
    </row>
    <row r="966" ht="13.8" customHeight="1" s="343">
      <c r="A966" s="388">
        <f>ROW()-22</f>
        <v/>
      </c>
      <c r="B966" s="536">
        <f>_xlfn.NORM.INV(RAND(),$B$6,$C$6)</f>
        <v/>
      </c>
      <c r="C966" s="536">
        <f>MIN(_xlfn.NORM.INV(RAND(),$B$7,$C$7),B966-0.005)</f>
        <v/>
      </c>
      <c r="D966" s="537">
        <f>_xlfn.NORM.INV(RAND(),$B$8,$C$8)</f>
        <v/>
      </c>
      <c r="E966" s="391">
        <f t="array" ref="E966">(SUMPRODUCT($B$13:$F$13*D966/(1+B966)^$B$14:$F$14)+($F$13*D966*(1+C966))/(B966-C966)/(1+B966)^$F$14-$B$15+$B$16)/$B$17</f>
        <v/>
      </c>
      <c r="F966" s="304" t="n"/>
      <c r="G966" s="304" t="n"/>
      <c r="H966" s="304" t="n"/>
      <c r="I966" s="304" t="n"/>
      <c r="J966" s="304" t="n"/>
      <c r="K966" s="304" t="n"/>
      <c r="L966" s="304" t="n"/>
      <c r="M966" s="304" t="n"/>
      <c r="N966" s="304" t="n"/>
      <c r="O966" s="304" t="n"/>
      <c r="P966" s="304" t="n"/>
      <c r="Q966" s="304" t="n"/>
    </row>
    <row r="967" ht="13.8" customHeight="1" s="343">
      <c r="A967" s="388">
        <f>ROW()-22</f>
        <v/>
      </c>
      <c r="B967" s="536">
        <f>_xlfn.NORM.INV(RAND(),$B$6,$C$6)</f>
        <v/>
      </c>
      <c r="C967" s="536">
        <f>MIN(_xlfn.NORM.INV(RAND(),$B$7,$C$7),B967-0.005)</f>
        <v/>
      </c>
      <c r="D967" s="537">
        <f>_xlfn.NORM.INV(RAND(),$B$8,$C$8)</f>
        <v/>
      </c>
      <c r="E967" s="391">
        <f t="array" ref="E967">(SUMPRODUCT($B$13:$F$13*D967/(1+B967)^$B$14:$F$14)+($F$13*D967*(1+C967))/(B967-C967)/(1+B967)^$F$14-$B$15+$B$16)/$B$17</f>
        <v/>
      </c>
      <c r="F967" s="304" t="n"/>
      <c r="G967" s="304" t="n"/>
      <c r="H967" s="304" t="n"/>
      <c r="I967" s="304" t="n"/>
      <c r="J967" s="304" t="n"/>
      <c r="K967" s="304" t="n"/>
      <c r="L967" s="304" t="n"/>
      <c r="M967" s="304" t="n"/>
      <c r="N967" s="304" t="n"/>
      <c r="O967" s="304" t="n"/>
      <c r="P967" s="304" t="n"/>
      <c r="Q967" s="304" t="n"/>
    </row>
    <row r="968" ht="13.8" customHeight="1" s="343">
      <c r="A968" s="388">
        <f>ROW()-22</f>
        <v/>
      </c>
      <c r="B968" s="536">
        <f>_xlfn.NORM.INV(RAND(),$B$6,$C$6)</f>
        <v/>
      </c>
      <c r="C968" s="536">
        <f>MIN(_xlfn.NORM.INV(RAND(),$B$7,$C$7),B968-0.005)</f>
        <v/>
      </c>
      <c r="D968" s="537">
        <f>_xlfn.NORM.INV(RAND(),$B$8,$C$8)</f>
        <v/>
      </c>
      <c r="E968" s="391">
        <f t="array" ref="E968">(SUMPRODUCT($B$13:$F$13*D968/(1+B968)^$B$14:$F$14)+($F$13*D968*(1+C968))/(B968-C968)/(1+B968)^$F$14-$B$15+$B$16)/$B$17</f>
        <v/>
      </c>
      <c r="F968" s="304" t="n"/>
      <c r="G968" s="304" t="n"/>
      <c r="H968" s="304" t="n"/>
      <c r="I968" s="304" t="n"/>
      <c r="J968" s="304" t="n"/>
      <c r="K968" s="304" t="n"/>
      <c r="L968" s="304" t="n"/>
      <c r="M968" s="304" t="n"/>
      <c r="N968" s="304" t="n"/>
      <c r="O968" s="304" t="n"/>
      <c r="P968" s="304" t="n"/>
      <c r="Q968" s="304" t="n"/>
    </row>
    <row r="969" ht="13.8" customHeight="1" s="343">
      <c r="A969" s="388">
        <f>ROW()-22</f>
        <v/>
      </c>
      <c r="B969" s="536">
        <f>_xlfn.NORM.INV(RAND(),$B$6,$C$6)</f>
        <v/>
      </c>
      <c r="C969" s="536">
        <f>MIN(_xlfn.NORM.INV(RAND(),$B$7,$C$7),B969-0.005)</f>
        <v/>
      </c>
      <c r="D969" s="537">
        <f>_xlfn.NORM.INV(RAND(),$B$8,$C$8)</f>
        <v/>
      </c>
      <c r="E969" s="391">
        <f t="array" ref="E969">(SUMPRODUCT($B$13:$F$13*D969/(1+B969)^$B$14:$F$14)+($F$13*D969*(1+C969))/(B969-C969)/(1+B969)^$F$14-$B$15+$B$16)/$B$17</f>
        <v/>
      </c>
      <c r="F969" s="304" t="n"/>
      <c r="G969" s="304" t="n"/>
      <c r="H969" s="304" t="n"/>
      <c r="I969" s="304" t="n"/>
      <c r="J969" s="304" t="n"/>
      <c r="K969" s="304" t="n"/>
      <c r="L969" s="304" t="n"/>
      <c r="M969" s="304" t="n"/>
      <c r="N969" s="304" t="n"/>
      <c r="O969" s="304" t="n"/>
      <c r="P969" s="304" t="n"/>
      <c r="Q969" s="304" t="n"/>
    </row>
    <row r="970" ht="13.8" customHeight="1" s="343">
      <c r="A970" s="388">
        <f>ROW()-22</f>
        <v/>
      </c>
      <c r="B970" s="536">
        <f>_xlfn.NORM.INV(RAND(),$B$6,$C$6)</f>
        <v/>
      </c>
      <c r="C970" s="536">
        <f>MIN(_xlfn.NORM.INV(RAND(),$B$7,$C$7),B970-0.005)</f>
        <v/>
      </c>
      <c r="D970" s="537">
        <f>_xlfn.NORM.INV(RAND(),$B$8,$C$8)</f>
        <v/>
      </c>
      <c r="E970" s="391">
        <f t="array" ref="E970">(SUMPRODUCT($B$13:$F$13*D970/(1+B970)^$B$14:$F$14)+($F$13*D970*(1+C970))/(B970-C970)/(1+B970)^$F$14-$B$15+$B$16)/$B$17</f>
        <v/>
      </c>
      <c r="F970" s="304" t="n"/>
      <c r="G970" s="304" t="n"/>
      <c r="H970" s="304" t="n"/>
      <c r="I970" s="304" t="n"/>
      <c r="J970" s="304" t="n"/>
      <c r="K970" s="304" t="n"/>
      <c r="L970" s="304" t="n"/>
      <c r="M970" s="304" t="n"/>
      <c r="N970" s="304" t="n"/>
      <c r="O970" s="304" t="n"/>
      <c r="P970" s="304" t="n"/>
      <c r="Q970" s="304" t="n"/>
    </row>
    <row r="971" ht="13.8" customHeight="1" s="343">
      <c r="A971" s="388">
        <f>ROW()-22</f>
        <v/>
      </c>
      <c r="B971" s="536">
        <f>_xlfn.NORM.INV(RAND(),$B$6,$C$6)</f>
        <v/>
      </c>
      <c r="C971" s="536">
        <f>MIN(_xlfn.NORM.INV(RAND(),$B$7,$C$7),B971-0.005)</f>
        <v/>
      </c>
      <c r="D971" s="537">
        <f>_xlfn.NORM.INV(RAND(),$B$8,$C$8)</f>
        <v/>
      </c>
      <c r="E971" s="391">
        <f t="array" ref="E971">(SUMPRODUCT($B$13:$F$13*D971/(1+B971)^$B$14:$F$14)+($F$13*D971*(1+C971))/(B971-C971)/(1+B971)^$F$14-$B$15+$B$16)/$B$17</f>
        <v/>
      </c>
      <c r="F971" s="304" t="n"/>
      <c r="G971" s="304" t="n"/>
      <c r="H971" s="304" t="n"/>
      <c r="I971" s="304" t="n"/>
      <c r="J971" s="304" t="n"/>
      <c r="K971" s="304" t="n"/>
      <c r="L971" s="304" t="n"/>
      <c r="M971" s="304" t="n"/>
      <c r="N971" s="304" t="n"/>
      <c r="O971" s="304" t="n"/>
      <c r="P971" s="304" t="n"/>
      <c r="Q971" s="304" t="n"/>
    </row>
    <row r="972" ht="13.8" customHeight="1" s="343">
      <c r="A972" s="388">
        <f>ROW()-22</f>
        <v/>
      </c>
      <c r="B972" s="536">
        <f>_xlfn.NORM.INV(RAND(),$B$6,$C$6)</f>
        <v/>
      </c>
      <c r="C972" s="536">
        <f>MIN(_xlfn.NORM.INV(RAND(),$B$7,$C$7),B972-0.005)</f>
        <v/>
      </c>
      <c r="D972" s="537">
        <f>_xlfn.NORM.INV(RAND(),$B$8,$C$8)</f>
        <v/>
      </c>
      <c r="E972" s="391">
        <f t="array" ref="E972">(SUMPRODUCT($B$13:$F$13*D972/(1+B972)^$B$14:$F$14)+($F$13*D972*(1+C972))/(B972-C972)/(1+B972)^$F$14-$B$15+$B$16)/$B$17</f>
        <v/>
      </c>
      <c r="F972" s="304" t="n"/>
      <c r="G972" s="304" t="n"/>
      <c r="H972" s="304" t="n"/>
      <c r="I972" s="304" t="n"/>
      <c r="J972" s="304" t="n"/>
      <c r="K972" s="304" t="n"/>
      <c r="L972" s="304" t="n"/>
      <c r="M972" s="304" t="n"/>
      <c r="N972" s="304" t="n"/>
      <c r="O972" s="304" t="n"/>
      <c r="P972" s="304" t="n"/>
      <c r="Q972" s="304" t="n"/>
    </row>
    <row r="973" ht="13.8" customHeight="1" s="343">
      <c r="A973" s="388">
        <f>ROW()-22</f>
        <v/>
      </c>
      <c r="B973" s="536">
        <f>_xlfn.NORM.INV(RAND(),$B$6,$C$6)</f>
        <v/>
      </c>
      <c r="C973" s="536">
        <f>MIN(_xlfn.NORM.INV(RAND(),$B$7,$C$7),B973-0.005)</f>
        <v/>
      </c>
      <c r="D973" s="537">
        <f>_xlfn.NORM.INV(RAND(),$B$8,$C$8)</f>
        <v/>
      </c>
      <c r="E973" s="391">
        <f t="array" ref="E973">(SUMPRODUCT($B$13:$F$13*D973/(1+B973)^$B$14:$F$14)+($F$13*D973*(1+C973))/(B973-C973)/(1+B973)^$F$14-$B$15+$B$16)/$B$17</f>
        <v/>
      </c>
      <c r="F973" s="304" t="n"/>
      <c r="G973" s="304" t="n"/>
      <c r="H973" s="304" t="n"/>
      <c r="I973" s="304" t="n"/>
      <c r="J973" s="304" t="n"/>
      <c r="K973" s="304" t="n"/>
      <c r="L973" s="304" t="n"/>
      <c r="M973" s="304" t="n"/>
      <c r="N973" s="304" t="n"/>
      <c r="O973" s="304" t="n"/>
      <c r="P973" s="304" t="n"/>
      <c r="Q973" s="304" t="n"/>
    </row>
    <row r="974" ht="13.8" customHeight="1" s="343">
      <c r="A974" s="388">
        <f>ROW()-22</f>
        <v/>
      </c>
      <c r="B974" s="536">
        <f>_xlfn.NORM.INV(RAND(),$B$6,$C$6)</f>
        <v/>
      </c>
      <c r="C974" s="536">
        <f>MIN(_xlfn.NORM.INV(RAND(),$B$7,$C$7),B974-0.005)</f>
        <v/>
      </c>
      <c r="D974" s="537">
        <f>_xlfn.NORM.INV(RAND(),$B$8,$C$8)</f>
        <v/>
      </c>
      <c r="E974" s="391">
        <f t="array" ref="E974">(SUMPRODUCT($B$13:$F$13*D974/(1+B974)^$B$14:$F$14)+($F$13*D974*(1+C974))/(B974-C974)/(1+B974)^$F$14-$B$15+$B$16)/$B$17</f>
        <v/>
      </c>
      <c r="F974" s="304" t="n"/>
      <c r="G974" s="304" t="n"/>
      <c r="H974" s="304" t="n"/>
      <c r="I974" s="304" t="n"/>
      <c r="J974" s="304" t="n"/>
      <c r="K974" s="304" t="n"/>
      <c r="L974" s="304" t="n"/>
      <c r="M974" s="304" t="n"/>
      <c r="N974" s="304" t="n"/>
      <c r="O974" s="304" t="n"/>
      <c r="P974" s="304" t="n"/>
      <c r="Q974" s="304" t="n"/>
    </row>
    <row r="975" ht="13.8" customHeight="1" s="343">
      <c r="A975" s="388">
        <f>ROW()-22</f>
        <v/>
      </c>
      <c r="B975" s="536">
        <f>_xlfn.NORM.INV(RAND(),$B$6,$C$6)</f>
        <v/>
      </c>
      <c r="C975" s="536">
        <f>MIN(_xlfn.NORM.INV(RAND(),$B$7,$C$7),B975-0.005)</f>
        <v/>
      </c>
      <c r="D975" s="537">
        <f>_xlfn.NORM.INV(RAND(),$B$8,$C$8)</f>
        <v/>
      </c>
      <c r="E975" s="391">
        <f t="array" ref="E975">(SUMPRODUCT($B$13:$F$13*D975/(1+B975)^$B$14:$F$14)+($F$13*D975*(1+C975))/(B975-C975)/(1+B975)^$F$14-$B$15+$B$16)/$B$17</f>
        <v/>
      </c>
      <c r="F975" s="304" t="n"/>
      <c r="G975" s="304" t="n"/>
      <c r="H975" s="304" t="n"/>
      <c r="I975" s="304" t="n"/>
      <c r="J975" s="304" t="n"/>
      <c r="K975" s="304" t="n"/>
      <c r="L975" s="304" t="n"/>
      <c r="M975" s="304" t="n"/>
      <c r="N975" s="304" t="n"/>
      <c r="O975" s="304" t="n"/>
      <c r="P975" s="304" t="n"/>
      <c r="Q975" s="304" t="n"/>
    </row>
    <row r="976" ht="13.8" customHeight="1" s="343">
      <c r="A976" s="388">
        <f>ROW()-22</f>
        <v/>
      </c>
      <c r="B976" s="536">
        <f>_xlfn.NORM.INV(RAND(),$B$6,$C$6)</f>
        <v/>
      </c>
      <c r="C976" s="536">
        <f>MIN(_xlfn.NORM.INV(RAND(),$B$7,$C$7),B976-0.005)</f>
        <v/>
      </c>
      <c r="D976" s="537">
        <f>_xlfn.NORM.INV(RAND(),$B$8,$C$8)</f>
        <v/>
      </c>
      <c r="E976" s="391">
        <f t="array" ref="E976">(SUMPRODUCT($B$13:$F$13*D976/(1+B976)^$B$14:$F$14)+($F$13*D976*(1+C976))/(B976-C976)/(1+B976)^$F$14-$B$15+$B$16)/$B$17</f>
        <v/>
      </c>
      <c r="F976" s="304" t="n"/>
      <c r="G976" s="304" t="n"/>
      <c r="H976" s="304" t="n"/>
      <c r="I976" s="304" t="n"/>
      <c r="J976" s="304" t="n"/>
      <c r="K976" s="304" t="n"/>
      <c r="L976" s="304" t="n"/>
      <c r="M976" s="304" t="n"/>
      <c r="N976" s="304" t="n"/>
      <c r="O976" s="304" t="n"/>
      <c r="P976" s="304" t="n"/>
      <c r="Q976" s="304" t="n"/>
    </row>
    <row r="977" ht="13.8" customHeight="1" s="343">
      <c r="A977" s="388">
        <f>ROW()-22</f>
        <v/>
      </c>
      <c r="B977" s="536">
        <f>_xlfn.NORM.INV(RAND(),$B$6,$C$6)</f>
        <v/>
      </c>
      <c r="C977" s="536">
        <f>MIN(_xlfn.NORM.INV(RAND(),$B$7,$C$7),B977-0.005)</f>
        <v/>
      </c>
      <c r="D977" s="537">
        <f>_xlfn.NORM.INV(RAND(),$B$8,$C$8)</f>
        <v/>
      </c>
      <c r="E977" s="391">
        <f t="array" ref="E977">(SUMPRODUCT($B$13:$F$13*D977/(1+B977)^$B$14:$F$14)+($F$13*D977*(1+C977))/(B977-C977)/(1+B977)^$F$14-$B$15+$B$16)/$B$17</f>
        <v/>
      </c>
      <c r="F977" s="304" t="n"/>
      <c r="G977" s="304" t="n"/>
      <c r="H977" s="304" t="n"/>
      <c r="I977" s="304" t="n"/>
      <c r="J977" s="304" t="n"/>
      <c r="K977" s="304" t="n"/>
      <c r="L977" s="304" t="n"/>
      <c r="M977" s="304" t="n"/>
      <c r="N977" s="304" t="n"/>
      <c r="O977" s="304" t="n"/>
      <c r="P977" s="304" t="n"/>
      <c r="Q977" s="304" t="n"/>
    </row>
    <row r="978" ht="13.8" customHeight="1" s="343">
      <c r="A978" s="388">
        <f>ROW()-22</f>
        <v/>
      </c>
      <c r="B978" s="536">
        <f>_xlfn.NORM.INV(RAND(),$B$6,$C$6)</f>
        <v/>
      </c>
      <c r="C978" s="536">
        <f>MIN(_xlfn.NORM.INV(RAND(),$B$7,$C$7),B978-0.005)</f>
        <v/>
      </c>
      <c r="D978" s="537">
        <f>_xlfn.NORM.INV(RAND(),$B$8,$C$8)</f>
        <v/>
      </c>
      <c r="E978" s="391">
        <f t="array" ref="E978">(SUMPRODUCT($B$13:$F$13*D978/(1+B978)^$B$14:$F$14)+($F$13*D978*(1+C978))/(B978-C978)/(1+B978)^$F$14-$B$15+$B$16)/$B$17</f>
        <v/>
      </c>
      <c r="F978" s="304" t="n"/>
      <c r="G978" s="304" t="n"/>
      <c r="H978" s="304" t="n"/>
      <c r="I978" s="304" t="n"/>
      <c r="J978" s="304" t="n"/>
      <c r="K978" s="304" t="n"/>
      <c r="L978" s="304" t="n"/>
      <c r="M978" s="304" t="n"/>
      <c r="N978" s="304" t="n"/>
      <c r="O978" s="304" t="n"/>
      <c r="P978" s="304" t="n"/>
      <c r="Q978" s="304" t="n"/>
    </row>
    <row r="979" ht="13.8" customHeight="1" s="343">
      <c r="A979" s="388">
        <f>ROW()-22</f>
        <v/>
      </c>
      <c r="B979" s="536">
        <f>_xlfn.NORM.INV(RAND(),$B$6,$C$6)</f>
        <v/>
      </c>
      <c r="C979" s="536">
        <f>MIN(_xlfn.NORM.INV(RAND(),$B$7,$C$7),B979-0.005)</f>
        <v/>
      </c>
      <c r="D979" s="537">
        <f>_xlfn.NORM.INV(RAND(),$B$8,$C$8)</f>
        <v/>
      </c>
      <c r="E979" s="391">
        <f t="array" ref="E979">(SUMPRODUCT($B$13:$F$13*D979/(1+B979)^$B$14:$F$14)+($F$13*D979*(1+C979))/(B979-C979)/(1+B979)^$F$14-$B$15+$B$16)/$B$17</f>
        <v/>
      </c>
      <c r="F979" s="304" t="n"/>
      <c r="G979" s="304" t="n"/>
      <c r="H979" s="304" t="n"/>
      <c r="I979" s="304" t="n"/>
      <c r="J979" s="304" t="n"/>
      <c r="K979" s="304" t="n"/>
      <c r="L979" s="304" t="n"/>
      <c r="M979" s="304" t="n"/>
      <c r="N979" s="304" t="n"/>
      <c r="O979" s="304" t="n"/>
      <c r="P979" s="304" t="n"/>
      <c r="Q979" s="304" t="n"/>
    </row>
    <row r="980" ht="13.8" customHeight="1" s="343">
      <c r="A980" s="388">
        <f>ROW()-22</f>
        <v/>
      </c>
      <c r="B980" s="536">
        <f>_xlfn.NORM.INV(RAND(),$B$6,$C$6)</f>
        <v/>
      </c>
      <c r="C980" s="536">
        <f>MIN(_xlfn.NORM.INV(RAND(),$B$7,$C$7),B980-0.005)</f>
        <v/>
      </c>
      <c r="D980" s="537">
        <f>_xlfn.NORM.INV(RAND(),$B$8,$C$8)</f>
        <v/>
      </c>
      <c r="E980" s="391">
        <f t="array" ref="E980">(SUMPRODUCT($B$13:$F$13*D980/(1+B980)^$B$14:$F$14)+($F$13*D980*(1+C980))/(B980-C980)/(1+B980)^$F$14-$B$15+$B$16)/$B$17</f>
        <v/>
      </c>
      <c r="F980" s="304" t="n"/>
      <c r="G980" s="304" t="n"/>
      <c r="H980" s="304" t="n"/>
      <c r="I980" s="304" t="n"/>
      <c r="J980" s="304" t="n"/>
      <c r="K980" s="304" t="n"/>
      <c r="L980" s="304" t="n"/>
      <c r="M980" s="304" t="n"/>
      <c r="N980" s="304" t="n"/>
      <c r="O980" s="304" t="n"/>
      <c r="P980" s="304" t="n"/>
      <c r="Q980" s="304" t="n"/>
    </row>
    <row r="981" ht="13.8" customHeight="1" s="343">
      <c r="A981" s="388">
        <f>ROW()-22</f>
        <v/>
      </c>
      <c r="B981" s="536">
        <f>_xlfn.NORM.INV(RAND(),$B$6,$C$6)</f>
        <v/>
      </c>
      <c r="C981" s="536">
        <f>MIN(_xlfn.NORM.INV(RAND(),$B$7,$C$7),B981-0.005)</f>
        <v/>
      </c>
      <c r="D981" s="537">
        <f>_xlfn.NORM.INV(RAND(),$B$8,$C$8)</f>
        <v/>
      </c>
      <c r="E981" s="391">
        <f t="array" ref="E981">(SUMPRODUCT($B$13:$F$13*D981/(1+B981)^$B$14:$F$14)+($F$13*D981*(1+C981))/(B981-C981)/(1+B981)^$F$14-$B$15+$B$16)/$B$17</f>
        <v/>
      </c>
      <c r="F981" s="304" t="n"/>
      <c r="G981" s="304" t="n"/>
      <c r="H981" s="304" t="n"/>
      <c r="I981" s="304" t="n"/>
      <c r="J981" s="304" t="n"/>
      <c r="K981" s="304" t="n"/>
      <c r="L981" s="304" t="n"/>
      <c r="M981" s="304" t="n"/>
      <c r="N981" s="304" t="n"/>
      <c r="O981" s="304" t="n"/>
      <c r="P981" s="304" t="n"/>
      <c r="Q981" s="304" t="n"/>
    </row>
    <row r="982" ht="13.8" customHeight="1" s="343">
      <c r="A982" s="388">
        <f>ROW()-22</f>
        <v/>
      </c>
      <c r="B982" s="536">
        <f>_xlfn.NORM.INV(RAND(),$B$6,$C$6)</f>
        <v/>
      </c>
      <c r="C982" s="536">
        <f>MIN(_xlfn.NORM.INV(RAND(),$B$7,$C$7),B982-0.005)</f>
        <v/>
      </c>
      <c r="D982" s="537">
        <f>_xlfn.NORM.INV(RAND(),$B$8,$C$8)</f>
        <v/>
      </c>
      <c r="E982" s="391">
        <f t="array" ref="E982">(SUMPRODUCT($B$13:$F$13*D982/(1+B982)^$B$14:$F$14)+($F$13*D982*(1+C982))/(B982-C982)/(1+B982)^$F$14-$B$15+$B$16)/$B$17</f>
        <v/>
      </c>
      <c r="F982" s="304" t="n"/>
      <c r="G982" s="304" t="n"/>
      <c r="H982" s="304" t="n"/>
      <c r="I982" s="304" t="n"/>
      <c r="J982" s="304" t="n"/>
      <c r="K982" s="304" t="n"/>
      <c r="L982" s="304" t="n"/>
      <c r="M982" s="304" t="n"/>
      <c r="N982" s="304" t="n"/>
      <c r="O982" s="304" t="n"/>
      <c r="P982" s="304" t="n"/>
      <c r="Q982" s="304" t="n"/>
    </row>
    <row r="983" ht="13.8" customHeight="1" s="343">
      <c r="A983" s="388">
        <f>ROW()-22</f>
        <v/>
      </c>
      <c r="B983" s="536">
        <f>_xlfn.NORM.INV(RAND(),$B$6,$C$6)</f>
        <v/>
      </c>
      <c r="C983" s="536">
        <f>MIN(_xlfn.NORM.INV(RAND(),$B$7,$C$7),B983-0.005)</f>
        <v/>
      </c>
      <c r="D983" s="537">
        <f>_xlfn.NORM.INV(RAND(),$B$8,$C$8)</f>
        <v/>
      </c>
      <c r="E983" s="391">
        <f t="array" ref="E983">(SUMPRODUCT($B$13:$F$13*D983/(1+B983)^$B$14:$F$14)+($F$13*D983*(1+C983))/(B983-C983)/(1+B983)^$F$14-$B$15+$B$16)/$B$17</f>
        <v/>
      </c>
      <c r="F983" s="304" t="n"/>
      <c r="G983" s="304" t="n"/>
      <c r="H983" s="304" t="n"/>
      <c r="I983" s="304" t="n"/>
      <c r="J983" s="304" t="n"/>
      <c r="K983" s="304" t="n"/>
      <c r="L983" s="304" t="n"/>
      <c r="M983" s="304" t="n"/>
      <c r="N983" s="304" t="n"/>
      <c r="O983" s="304" t="n"/>
      <c r="P983" s="304" t="n"/>
      <c r="Q983" s="304" t="n"/>
    </row>
    <row r="984" ht="13.8" customHeight="1" s="343">
      <c r="A984" s="388">
        <f>ROW()-22</f>
        <v/>
      </c>
      <c r="B984" s="536">
        <f>_xlfn.NORM.INV(RAND(),$B$6,$C$6)</f>
        <v/>
      </c>
      <c r="C984" s="536">
        <f>MIN(_xlfn.NORM.INV(RAND(),$B$7,$C$7),B984-0.005)</f>
        <v/>
      </c>
      <c r="D984" s="537">
        <f>_xlfn.NORM.INV(RAND(),$B$8,$C$8)</f>
        <v/>
      </c>
      <c r="E984" s="391">
        <f t="array" ref="E984">(SUMPRODUCT($B$13:$F$13*D984/(1+B984)^$B$14:$F$14)+($F$13*D984*(1+C984))/(B984-C984)/(1+B984)^$F$14-$B$15+$B$16)/$B$17</f>
        <v/>
      </c>
      <c r="F984" s="304" t="n"/>
      <c r="G984" s="304" t="n"/>
      <c r="H984" s="304" t="n"/>
      <c r="I984" s="304" t="n"/>
      <c r="J984" s="304" t="n"/>
      <c r="K984" s="304" t="n"/>
      <c r="L984" s="304" t="n"/>
      <c r="M984" s="304" t="n"/>
      <c r="N984" s="304" t="n"/>
      <c r="O984" s="304" t="n"/>
      <c r="P984" s="304" t="n"/>
      <c r="Q984" s="304" t="n"/>
    </row>
    <row r="985" ht="13.8" customHeight="1" s="343">
      <c r="A985" s="388">
        <f>ROW()-22</f>
        <v/>
      </c>
      <c r="B985" s="536">
        <f>_xlfn.NORM.INV(RAND(),$B$6,$C$6)</f>
        <v/>
      </c>
      <c r="C985" s="536">
        <f>MIN(_xlfn.NORM.INV(RAND(),$B$7,$C$7),B985-0.005)</f>
        <v/>
      </c>
      <c r="D985" s="537">
        <f>_xlfn.NORM.INV(RAND(),$B$8,$C$8)</f>
        <v/>
      </c>
      <c r="E985" s="391">
        <f t="array" ref="E985">(SUMPRODUCT($B$13:$F$13*D985/(1+B985)^$B$14:$F$14)+($F$13*D985*(1+C985))/(B985-C985)/(1+B985)^$F$14-$B$15+$B$16)/$B$17</f>
        <v/>
      </c>
      <c r="F985" s="304" t="n"/>
      <c r="G985" s="304" t="n"/>
      <c r="H985" s="304" t="n"/>
      <c r="I985" s="304" t="n"/>
      <c r="J985" s="304" t="n"/>
      <c r="K985" s="304" t="n"/>
      <c r="L985" s="304" t="n"/>
      <c r="M985" s="304" t="n"/>
      <c r="N985" s="304" t="n"/>
      <c r="O985" s="304" t="n"/>
      <c r="P985" s="304" t="n"/>
      <c r="Q985" s="304" t="n"/>
    </row>
    <row r="986" ht="13.8" customHeight="1" s="343">
      <c r="A986" s="388">
        <f>ROW()-22</f>
        <v/>
      </c>
      <c r="B986" s="536">
        <f>_xlfn.NORM.INV(RAND(),$B$6,$C$6)</f>
        <v/>
      </c>
      <c r="C986" s="536">
        <f>MIN(_xlfn.NORM.INV(RAND(),$B$7,$C$7),B986-0.005)</f>
        <v/>
      </c>
      <c r="D986" s="537">
        <f>_xlfn.NORM.INV(RAND(),$B$8,$C$8)</f>
        <v/>
      </c>
      <c r="E986" s="391">
        <f t="array" ref="E986">(SUMPRODUCT($B$13:$F$13*D986/(1+B986)^$B$14:$F$14)+($F$13*D986*(1+C986))/(B986-C986)/(1+B986)^$F$14-$B$15+$B$16)/$B$17</f>
        <v/>
      </c>
      <c r="F986" s="304" t="n"/>
      <c r="G986" s="304" t="n"/>
      <c r="H986" s="304" t="n"/>
      <c r="I986" s="304" t="n"/>
      <c r="J986" s="304" t="n"/>
      <c r="K986" s="304" t="n"/>
      <c r="L986" s="304" t="n"/>
      <c r="M986" s="304" t="n"/>
      <c r="N986" s="304" t="n"/>
      <c r="O986" s="304" t="n"/>
      <c r="P986" s="304" t="n"/>
      <c r="Q986" s="304" t="n"/>
    </row>
    <row r="987" ht="13.8" customHeight="1" s="343">
      <c r="A987" s="388">
        <f>ROW()-22</f>
        <v/>
      </c>
      <c r="B987" s="536">
        <f>_xlfn.NORM.INV(RAND(),$B$6,$C$6)</f>
        <v/>
      </c>
      <c r="C987" s="536">
        <f>MIN(_xlfn.NORM.INV(RAND(),$B$7,$C$7),B987-0.005)</f>
        <v/>
      </c>
      <c r="D987" s="537">
        <f>_xlfn.NORM.INV(RAND(),$B$8,$C$8)</f>
        <v/>
      </c>
      <c r="E987" s="391">
        <f t="array" ref="E987">(SUMPRODUCT($B$13:$F$13*D987/(1+B987)^$B$14:$F$14)+($F$13*D987*(1+C987))/(B987-C987)/(1+B987)^$F$14-$B$15+$B$16)/$B$17</f>
        <v/>
      </c>
      <c r="F987" s="304" t="n"/>
      <c r="G987" s="304" t="n"/>
      <c r="H987" s="304" t="n"/>
      <c r="I987" s="304" t="n"/>
      <c r="J987" s="304" t="n"/>
      <c r="K987" s="304" t="n"/>
      <c r="L987" s="304" t="n"/>
      <c r="M987" s="304" t="n"/>
      <c r="N987" s="304" t="n"/>
      <c r="O987" s="304" t="n"/>
      <c r="P987" s="304" t="n"/>
      <c r="Q987" s="304" t="n"/>
    </row>
    <row r="988" ht="13.8" customHeight="1" s="343">
      <c r="A988" s="388">
        <f>ROW()-22</f>
        <v/>
      </c>
      <c r="B988" s="536">
        <f>_xlfn.NORM.INV(RAND(),$B$6,$C$6)</f>
        <v/>
      </c>
      <c r="C988" s="536">
        <f>MIN(_xlfn.NORM.INV(RAND(),$B$7,$C$7),B988-0.005)</f>
        <v/>
      </c>
      <c r="D988" s="537">
        <f>_xlfn.NORM.INV(RAND(),$B$8,$C$8)</f>
        <v/>
      </c>
      <c r="E988" s="391">
        <f t="array" ref="E988">(SUMPRODUCT($B$13:$F$13*D988/(1+B988)^$B$14:$F$14)+($F$13*D988*(1+C988))/(B988-C988)/(1+B988)^$F$14-$B$15+$B$16)/$B$17</f>
        <v/>
      </c>
      <c r="F988" s="304" t="n"/>
      <c r="G988" s="304" t="n"/>
      <c r="H988" s="304" t="n"/>
      <c r="I988" s="304" t="n"/>
      <c r="J988" s="304" t="n"/>
      <c r="K988" s="304" t="n"/>
      <c r="L988" s="304" t="n"/>
      <c r="M988" s="304" t="n"/>
      <c r="N988" s="304" t="n"/>
      <c r="O988" s="304" t="n"/>
      <c r="P988" s="304" t="n"/>
      <c r="Q988" s="304" t="n"/>
    </row>
    <row r="989" ht="13.8" customHeight="1" s="343">
      <c r="A989" s="388">
        <f>ROW()-22</f>
        <v/>
      </c>
      <c r="B989" s="536">
        <f>_xlfn.NORM.INV(RAND(),$B$6,$C$6)</f>
        <v/>
      </c>
      <c r="C989" s="536">
        <f>MIN(_xlfn.NORM.INV(RAND(),$B$7,$C$7),B989-0.005)</f>
        <v/>
      </c>
      <c r="D989" s="537">
        <f>_xlfn.NORM.INV(RAND(),$B$8,$C$8)</f>
        <v/>
      </c>
      <c r="E989" s="391">
        <f t="array" ref="E989">(SUMPRODUCT($B$13:$F$13*D989/(1+B989)^$B$14:$F$14)+($F$13*D989*(1+C989))/(B989-C989)/(1+B989)^$F$14-$B$15+$B$16)/$B$17</f>
        <v/>
      </c>
      <c r="F989" s="304" t="n"/>
      <c r="G989" s="304" t="n"/>
      <c r="H989" s="304" t="n"/>
      <c r="I989" s="304" t="n"/>
      <c r="J989" s="304" t="n"/>
      <c r="K989" s="304" t="n"/>
      <c r="L989" s="304" t="n"/>
      <c r="M989" s="304" t="n"/>
      <c r="N989" s="304" t="n"/>
      <c r="O989" s="304" t="n"/>
      <c r="P989" s="304" t="n"/>
      <c r="Q989" s="304" t="n"/>
    </row>
    <row r="990" ht="13.8" customHeight="1" s="343">
      <c r="A990" s="388">
        <f>ROW()-22</f>
        <v/>
      </c>
      <c r="B990" s="536">
        <f>_xlfn.NORM.INV(RAND(),$B$6,$C$6)</f>
        <v/>
      </c>
      <c r="C990" s="536">
        <f>MIN(_xlfn.NORM.INV(RAND(),$B$7,$C$7),B990-0.005)</f>
        <v/>
      </c>
      <c r="D990" s="537">
        <f>_xlfn.NORM.INV(RAND(),$B$8,$C$8)</f>
        <v/>
      </c>
      <c r="E990" s="391">
        <f t="array" ref="E990">(SUMPRODUCT($B$13:$F$13*D990/(1+B990)^$B$14:$F$14)+($F$13*D990*(1+C990))/(B990-C990)/(1+B990)^$F$14-$B$15+$B$16)/$B$17</f>
        <v/>
      </c>
      <c r="F990" s="304" t="n"/>
      <c r="G990" s="304" t="n"/>
      <c r="H990" s="304" t="n"/>
      <c r="I990" s="304" t="n"/>
      <c r="J990" s="304" t="n"/>
      <c r="K990" s="304" t="n"/>
      <c r="L990" s="304" t="n"/>
      <c r="M990" s="304" t="n"/>
      <c r="N990" s="304" t="n"/>
      <c r="O990" s="304" t="n"/>
      <c r="P990" s="304" t="n"/>
      <c r="Q990" s="304" t="n"/>
    </row>
    <row r="991" ht="13.8" customHeight="1" s="343">
      <c r="A991" s="388">
        <f>ROW()-22</f>
        <v/>
      </c>
      <c r="B991" s="536">
        <f>_xlfn.NORM.INV(RAND(),$B$6,$C$6)</f>
        <v/>
      </c>
      <c r="C991" s="536">
        <f>MIN(_xlfn.NORM.INV(RAND(),$B$7,$C$7),B991-0.005)</f>
        <v/>
      </c>
      <c r="D991" s="537">
        <f>_xlfn.NORM.INV(RAND(),$B$8,$C$8)</f>
        <v/>
      </c>
      <c r="E991" s="391">
        <f t="array" ref="E991">(SUMPRODUCT($B$13:$F$13*D991/(1+B991)^$B$14:$F$14)+($F$13*D991*(1+C991))/(B991-C991)/(1+B991)^$F$14-$B$15+$B$16)/$B$17</f>
        <v/>
      </c>
      <c r="F991" s="304" t="n"/>
      <c r="G991" s="304" t="n"/>
      <c r="H991" s="304" t="n"/>
      <c r="I991" s="304" t="n"/>
      <c r="J991" s="304" t="n"/>
      <c r="K991" s="304" t="n"/>
      <c r="L991" s="304" t="n"/>
      <c r="M991" s="304" t="n"/>
      <c r="N991" s="304" t="n"/>
      <c r="O991" s="304" t="n"/>
      <c r="P991" s="304" t="n"/>
      <c r="Q991" s="304" t="n"/>
    </row>
    <row r="992" ht="13.8" customHeight="1" s="343">
      <c r="A992" s="388">
        <f>ROW()-22</f>
        <v/>
      </c>
      <c r="B992" s="536">
        <f>_xlfn.NORM.INV(RAND(),$B$6,$C$6)</f>
        <v/>
      </c>
      <c r="C992" s="536">
        <f>MIN(_xlfn.NORM.INV(RAND(),$B$7,$C$7),B992-0.005)</f>
        <v/>
      </c>
      <c r="D992" s="537">
        <f>_xlfn.NORM.INV(RAND(),$B$8,$C$8)</f>
        <v/>
      </c>
      <c r="E992" s="391">
        <f t="array" ref="E992">(SUMPRODUCT($B$13:$F$13*D992/(1+B992)^$B$14:$F$14)+($F$13*D992*(1+C992))/(B992-C992)/(1+B992)^$F$14-$B$15+$B$16)/$B$17</f>
        <v/>
      </c>
      <c r="F992" s="304" t="n"/>
      <c r="G992" s="304" t="n"/>
      <c r="H992" s="304" t="n"/>
      <c r="I992" s="304" t="n"/>
      <c r="J992" s="304" t="n"/>
      <c r="K992" s="304" t="n"/>
      <c r="L992" s="304" t="n"/>
      <c r="M992" s="304" t="n"/>
      <c r="N992" s="304" t="n"/>
      <c r="O992" s="304" t="n"/>
      <c r="P992" s="304" t="n"/>
      <c r="Q992" s="304" t="n"/>
    </row>
    <row r="993" ht="13.8" customHeight="1" s="343">
      <c r="A993" s="388">
        <f>ROW()-22</f>
        <v/>
      </c>
      <c r="B993" s="536">
        <f>_xlfn.NORM.INV(RAND(),$B$6,$C$6)</f>
        <v/>
      </c>
      <c r="C993" s="536">
        <f>MIN(_xlfn.NORM.INV(RAND(),$B$7,$C$7),B993-0.005)</f>
        <v/>
      </c>
      <c r="D993" s="537">
        <f>_xlfn.NORM.INV(RAND(),$B$8,$C$8)</f>
        <v/>
      </c>
      <c r="E993" s="391">
        <f t="array" ref="E993">(SUMPRODUCT($B$13:$F$13*D993/(1+B993)^$B$14:$F$14)+($F$13*D993*(1+C993))/(B993-C993)/(1+B993)^$F$14-$B$15+$B$16)/$B$17</f>
        <v/>
      </c>
      <c r="F993" s="304" t="n"/>
      <c r="G993" s="304" t="n"/>
      <c r="H993" s="304" t="n"/>
      <c r="I993" s="304" t="n"/>
      <c r="J993" s="304" t="n"/>
      <c r="K993" s="304" t="n"/>
      <c r="L993" s="304" t="n"/>
      <c r="M993" s="304" t="n"/>
      <c r="N993" s="304" t="n"/>
      <c r="O993" s="304" t="n"/>
      <c r="P993" s="304" t="n"/>
      <c r="Q993" s="304" t="n"/>
    </row>
    <row r="994" ht="13.8" customHeight="1" s="343">
      <c r="A994" s="388">
        <f>ROW()-22</f>
        <v/>
      </c>
      <c r="B994" s="536">
        <f>_xlfn.NORM.INV(RAND(),$B$6,$C$6)</f>
        <v/>
      </c>
      <c r="C994" s="536">
        <f>MIN(_xlfn.NORM.INV(RAND(),$B$7,$C$7),B994-0.005)</f>
        <v/>
      </c>
      <c r="D994" s="537">
        <f>_xlfn.NORM.INV(RAND(),$B$8,$C$8)</f>
        <v/>
      </c>
      <c r="E994" s="391">
        <f t="array" ref="E994">(SUMPRODUCT($B$13:$F$13*D994/(1+B994)^$B$14:$F$14)+($F$13*D994*(1+C994))/(B994-C994)/(1+B994)^$F$14-$B$15+$B$16)/$B$17</f>
        <v/>
      </c>
      <c r="F994" s="304" t="n"/>
      <c r="G994" s="304" t="n"/>
      <c r="H994" s="304" t="n"/>
      <c r="I994" s="304" t="n"/>
      <c r="J994" s="304" t="n"/>
      <c r="K994" s="304" t="n"/>
      <c r="L994" s="304" t="n"/>
      <c r="M994" s="304" t="n"/>
      <c r="N994" s="304" t="n"/>
      <c r="O994" s="304" t="n"/>
      <c r="P994" s="304" t="n"/>
      <c r="Q994" s="304" t="n"/>
    </row>
    <row r="995" ht="13.8" customHeight="1" s="343">
      <c r="A995" s="388">
        <f>ROW()-22</f>
        <v/>
      </c>
      <c r="B995" s="536">
        <f>_xlfn.NORM.INV(RAND(),$B$6,$C$6)</f>
        <v/>
      </c>
      <c r="C995" s="536">
        <f>MIN(_xlfn.NORM.INV(RAND(),$B$7,$C$7),B995-0.005)</f>
        <v/>
      </c>
      <c r="D995" s="537">
        <f>_xlfn.NORM.INV(RAND(),$B$8,$C$8)</f>
        <v/>
      </c>
      <c r="E995" s="391">
        <f t="array" ref="E995">(SUMPRODUCT($B$13:$F$13*D995/(1+B995)^$B$14:$F$14)+($F$13*D995*(1+C995))/(B995-C995)/(1+B995)^$F$14-$B$15+$B$16)/$B$17</f>
        <v/>
      </c>
      <c r="F995" s="304" t="n"/>
      <c r="G995" s="304" t="n"/>
      <c r="H995" s="304" t="n"/>
      <c r="I995" s="304" t="n"/>
      <c r="J995" s="304" t="n"/>
      <c r="K995" s="304" t="n"/>
      <c r="L995" s="304" t="n"/>
      <c r="M995" s="304" t="n"/>
      <c r="N995" s="304" t="n"/>
      <c r="O995" s="304" t="n"/>
      <c r="P995" s="304" t="n"/>
      <c r="Q995" s="304" t="n"/>
    </row>
    <row r="996" ht="13.8" customHeight="1" s="343">
      <c r="A996" s="388">
        <f>ROW()-22</f>
        <v/>
      </c>
      <c r="B996" s="536">
        <f>_xlfn.NORM.INV(RAND(),$B$6,$C$6)</f>
        <v/>
      </c>
      <c r="C996" s="536">
        <f>MIN(_xlfn.NORM.INV(RAND(),$B$7,$C$7),B996-0.005)</f>
        <v/>
      </c>
      <c r="D996" s="537">
        <f>_xlfn.NORM.INV(RAND(),$B$8,$C$8)</f>
        <v/>
      </c>
      <c r="E996" s="391">
        <f t="array" ref="E996">(SUMPRODUCT($B$13:$F$13*D996/(1+B996)^$B$14:$F$14)+($F$13*D996*(1+C996))/(B996-C996)/(1+B996)^$F$14-$B$15+$B$16)/$B$17</f>
        <v/>
      </c>
      <c r="F996" s="304" t="n"/>
      <c r="G996" s="304" t="n"/>
      <c r="H996" s="304" t="n"/>
      <c r="I996" s="304" t="n"/>
      <c r="J996" s="304" t="n"/>
      <c r="K996" s="304" t="n"/>
      <c r="L996" s="304" t="n"/>
      <c r="M996" s="304" t="n"/>
      <c r="N996" s="304" t="n"/>
      <c r="O996" s="304" t="n"/>
      <c r="P996" s="304" t="n"/>
      <c r="Q996" s="304" t="n"/>
    </row>
    <row r="997" ht="13.8" customHeight="1" s="343">
      <c r="A997" s="388">
        <f>ROW()-22</f>
        <v/>
      </c>
      <c r="B997" s="536">
        <f>_xlfn.NORM.INV(RAND(),$B$6,$C$6)</f>
        <v/>
      </c>
      <c r="C997" s="536">
        <f>MIN(_xlfn.NORM.INV(RAND(),$B$7,$C$7),B997-0.005)</f>
        <v/>
      </c>
      <c r="D997" s="537">
        <f>_xlfn.NORM.INV(RAND(),$B$8,$C$8)</f>
        <v/>
      </c>
      <c r="E997" s="391">
        <f t="array" ref="E997">(SUMPRODUCT($B$13:$F$13*D997/(1+B997)^$B$14:$F$14)+($F$13*D997*(1+C997))/(B997-C997)/(1+B997)^$F$14-$B$15+$B$16)/$B$17</f>
        <v/>
      </c>
      <c r="F997" s="304" t="n"/>
      <c r="G997" s="304" t="n"/>
      <c r="H997" s="304" t="n"/>
      <c r="I997" s="304" t="n"/>
      <c r="J997" s="304" t="n"/>
      <c r="K997" s="304" t="n"/>
      <c r="L997" s="304" t="n"/>
      <c r="M997" s="304" t="n"/>
      <c r="N997" s="304" t="n"/>
      <c r="O997" s="304" t="n"/>
      <c r="P997" s="304" t="n"/>
      <c r="Q997" s="304" t="n"/>
    </row>
    <row r="998" ht="13.8" customHeight="1" s="343">
      <c r="A998" s="388">
        <f>ROW()-22</f>
        <v/>
      </c>
      <c r="B998" s="536">
        <f>_xlfn.NORM.INV(RAND(),$B$6,$C$6)</f>
        <v/>
      </c>
      <c r="C998" s="536">
        <f>MIN(_xlfn.NORM.INV(RAND(),$B$7,$C$7),B998-0.005)</f>
        <v/>
      </c>
      <c r="D998" s="537">
        <f>_xlfn.NORM.INV(RAND(),$B$8,$C$8)</f>
        <v/>
      </c>
      <c r="E998" s="391">
        <f t="array" ref="E998">(SUMPRODUCT($B$13:$F$13*D998/(1+B998)^$B$14:$F$14)+($F$13*D998*(1+C998))/(B998-C998)/(1+B998)^$F$14-$B$15+$B$16)/$B$17</f>
        <v/>
      </c>
      <c r="F998" s="304" t="n"/>
      <c r="G998" s="304" t="n"/>
      <c r="H998" s="304" t="n"/>
      <c r="I998" s="304" t="n"/>
      <c r="J998" s="304" t="n"/>
      <c r="K998" s="304" t="n"/>
      <c r="L998" s="304" t="n"/>
      <c r="M998" s="304" t="n"/>
      <c r="N998" s="304" t="n"/>
      <c r="O998" s="304" t="n"/>
      <c r="P998" s="304" t="n"/>
      <c r="Q998" s="304" t="n"/>
    </row>
    <row r="999" ht="13.8" customHeight="1" s="343">
      <c r="A999" s="388">
        <f>ROW()-22</f>
        <v/>
      </c>
      <c r="B999" s="536">
        <f>_xlfn.NORM.INV(RAND(),$B$6,$C$6)</f>
        <v/>
      </c>
      <c r="C999" s="536">
        <f>MIN(_xlfn.NORM.INV(RAND(),$B$7,$C$7),B999-0.005)</f>
        <v/>
      </c>
      <c r="D999" s="537">
        <f>_xlfn.NORM.INV(RAND(),$B$8,$C$8)</f>
        <v/>
      </c>
      <c r="E999" s="391">
        <f t="array" ref="E999">(SUMPRODUCT($B$13:$F$13*D999/(1+B999)^$B$14:$F$14)+($F$13*D999*(1+C999))/(B999-C999)/(1+B999)^$F$14-$B$15+$B$16)/$B$17</f>
        <v/>
      </c>
      <c r="F999" s="304" t="n"/>
      <c r="G999" s="304" t="n"/>
      <c r="H999" s="304" t="n"/>
      <c r="I999" s="304" t="n"/>
      <c r="J999" s="304" t="n"/>
      <c r="K999" s="304" t="n"/>
      <c r="L999" s="304" t="n"/>
      <c r="M999" s="304" t="n"/>
      <c r="N999" s="304" t="n"/>
      <c r="O999" s="304" t="n"/>
      <c r="P999" s="304" t="n"/>
      <c r="Q999" s="304" t="n"/>
    </row>
    <row r="1000" ht="13.8" customHeight="1" s="343">
      <c r="A1000" s="388">
        <f>ROW()-22</f>
        <v/>
      </c>
      <c r="B1000" s="536">
        <f>_xlfn.NORM.INV(RAND(),$B$6,$C$6)</f>
        <v/>
      </c>
      <c r="C1000" s="536">
        <f>MIN(_xlfn.NORM.INV(RAND(),$B$7,$C$7),B1000-0.005)</f>
        <v/>
      </c>
      <c r="D1000" s="537">
        <f>_xlfn.NORM.INV(RAND(),$B$8,$C$8)</f>
        <v/>
      </c>
      <c r="E1000" s="391">
        <f t="array" ref="E1000">(SUMPRODUCT($B$13:$F$13*D1000/(1+B1000)^$B$14:$F$14)+($F$13*D1000*(1+C1000))/(B1000-C1000)/(1+B1000)^$F$14-$B$15+$B$16)/$B$17</f>
        <v/>
      </c>
      <c r="F1000" s="304" t="n"/>
      <c r="G1000" s="304" t="n"/>
      <c r="H1000" s="304" t="n"/>
      <c r="I1000" s="304" t="n"/>
      <c r="J1000" s="304" t="n"/>
      <c r="K1000" s="304" t="n"/>
      <c r="L1000" s="304" t="n"/>
      <c r="M1000" s="304" t="n"/>
      <c r="N1000" s="304" t="n"/>
      <c r="O1000" s="304" t="n"/>
      <c r="P1000" s="304" t="n"/>
      <c r="Q1000" s="304" t="n"/>
    </row>
    <row r="1001" ht="13.8" customHeight="1" s="343">
      <c r="A1001" s="388">
        <f>ROW()-22</f>
        <v/>
      </c>
      <c r="B1001" s="536">
        <f>_xlfn.NORM.INV(RAND(),$B$6,$C$6)</f>
        <v/>
      </c>
      <c r="C1001" s="536">
        <f>MIN(_xlfn.NORM.INV(RAND(),$B$7,$C$7),B1001-0.005)</f>
        <v/>
      </c>
      <c r="D1001" s="537">
        <f>_xlfn.NORM.INV(RAND(),$B$8,$C$8)</f>
        <v/>
      </c>
      <c r="E1001" s="391">
        <f t="array" ref="E1001">(SUMPRODUCT($B$13:$F$13*D1001/(1+B1001)^$B$14:$F$14)+($F$13*D1001*(1+C1001))/(B1001-C1001)/(1+B1001)^$F$14-$B$15+$B$16)/$B$17</f>
        <v/>
      </c>
      <c r="F1001" s="304" t="n"/>
      <c r="G1001" s="304" t="n"/>
      <c r="H1001" s="304" t="n"/>
      <c r="I1001" s="304" t="n"/>
      <c r="J1001" s="304" t="n"/>
      <c r="K1001" s="304" t="n"/>
      <c r="L1001" s="304" t="n"/>
      <c r="M1001" s="304" t="n"/>
      <c r="N1001" s="304" t="n"/>
      <c r="O1001" s="304" t="n"/>
      <c r="P1001" s="304" t="n"/>
      <c r="Q1001" s="304" t="n"/>
    </row>
    <row r="1002" ht="13.8" customHeight="1" s="343">
      <c r="A1002" s="388">
        <f>ROW()-22</f>
        <v/>
      </c>
      <c r="B1002" s="536">
        <f>_xlfn.NORM.INV(RAND(),$B$6,$C$6)</f>
        <v/>
      </c>
      <c r="C1002" s="536">
        <f>MIN(_xlfn.NORM.INV(RAND(),$B$7,$C$7),B1002-0.005)</f>
        <v/>
      </c>
      <c r="D1002" s="537">
        <f>_xlfn.NORM.INV(RAND(),$B$8,$C$8)</f>
        <v/>
      </c>
      <c r="E1002" s="391">
        <f t="array" ref="E1002">(SUMPRODUCT($B$13:$F$13*D1002/(1+B1002)^$B$14:$F$14)+($F$13*D1002*(1+C1002))/(B1002-C1002)/(1+B1002)^$F$14-$B$15+$B$16)/$B$17</f>
        <v/>
      </c>
      <c r="F1002" s="304" t="n"/>
      <c r="G1002" s="304" t="n"/>
      <c r="H1002" s="304" t="n"/>
      <c r="I1002" s="304" t="n"/>
      <c r="J1002" s="304" t="n"/>
      <c r="K1002" s="304" t="n"/>
      <c r="L1002" s="304" t="n"/>
      <c r="M1002" s="304" t="n"/>
      <c r="N1002" s="304" t="n"/>
      <c r="O1002" s="304" t="n"/>
      <c r="P1002" s="304" t="n"/>
      <c r="Q1002" s="304" t="n"/>
    </row>
    <row r="1003" ht="13.8" customHeight="1" s="343">
      <c r="A1003" s="388">
        <f>ROW()-22</f>
        <v/>
      </c>
      <c r="B1003" s="536">
        <f>_xlfn.NORM.INV(RAND(),$B$6,$C$6)</f>
        <v/>
      </c>
      <c r="C1003" s="536">
        <f>MIN(_xlfn.NORM.INV(RAND(),$B$7,$C$7),B1003-0.005)</f>
        <v/>
      </c>
      <c r="D1003" s="537">
        <f>_xlfn.NORM.INV(RAND(),$B$8,$C$8)</f>
        <v/>
      </c>
      <c r="E1003" s="391">
        <f t="array" ref="E1003">(SUMPRODUCT($B$13:$F$13*D1003/(1+B1003)^$B$14:$F$14)+($F$13*D1003*(1+C1003))/(B1003-C1003)/(1+B1003)^$F$14-$B$15+$B$16)/$B$17</f>
        <v/>
      </c>
      <c r="F1003" s="304" t="n"/>
      <c r="G1003" s="304" t="n"/>
      <c r="H1003" s="304" t="n"/>
      <c r="I1003" s="304" t="n"/>
      <c r="J1003" s="304" t="n"/>
      <c r="K1003" s="304" t="n"/>
      <c r="L1003" s="304" t="n"/>
      <c r="M1003" s="304" t="n"/>
      <c r="N1003" s="304" t="n"/>
      <c r="O1003" s="304" t="n"/>
      <c r="P1003" s="304" t="n"/>
      <c r="Q1003" s="304" t="n"/>
    </row>
    <row r="1004" ht="13.8" customHeight="1" s="343">
      <c r="A1004" s="388">
        <f>ROW()-22</f>
        <v/>
      </c>
      <c r="B1004" s="536">
        <f>_xlfn.NORM.INV(RAND(),$B$6,$C$6)</f>
        <v/>
      </c>
      <c r="C1004" s="536">
        <f>MIN(_xlfn.NORM.INV(RAND(),$B$7,$C$7),B1004-0.005)</f>
        <v/>
      </c>
      <c r="D1004" s="537">
        <f>_xlfn.NORM.INV(RAND(),$B$8,$C$8)</f>
        <v/>
      </c>
      <c r="E1004" s="391">
        <f t="array" ref="E1004">(SUMPRODUCT($B$13:$F$13*D1004/(1+B1004)^$B$14:$F$14)+($F$13*D1004*(1+C1004))/(B1004-C1004)/(1+B1004)^$F$14-$B$15+$B$16)/$B$17</f>
        <v/>
      </c>
      <c r="F1004" s="304" t="n"/>
      <c r="G1004" s="304" t="n"/>
      <c r="H1004" s="304" t="n"/>
      <c r="I1004" s="304" t="n"/>
      <c r="J1004" s="304" t="n"/>
      <c r="K1004" s="304" t="n"/>
      <c r="L1004" s="304" t="n"/>
      <c r="M1004" s="304" t="n"/>
      <c r="N1004" s="304" t="n"/>
      <c r="O1004" s="304" t="n"/>
      <c r="P1004" s="304" t="n"/>
      <c r="Q1004" s="304" t="n"/>
    </row>
    <row r="1005" ht="13.8" customHeight="1" s="343">
      <c r="A1005" s="388">
        <f>ROW()-22</f>
        <v/>
      </c>
      <c r="B1005" s="536">
        <f>_xlfn.NORM.INV(RAND(),$B$6,$C$6)</f>
        <v/>
      </c>
      <c r="C1005" s="536">
        <f>MIN(_xlfn.NORM.INV(RAND(),$B$7,$C$7),B1005-0.005)</f>
        <v/>
      </c>
      <c r="D1005" s="537">
        <f>_xlfn.NORM.INV(RAND(),$B$8,$C$8)</f>
        <v/>
      </c>
      <c r="E1005" s="391">
        <f t="array" ref="E1005">(SUMPRODUCT($B$13:$F$13*D1005/(1+B1005)^$B$14:$F$14)+($F$13*D1005*(1+C1005))/(B1005-C1005)/(1+B1005)^$F$14-$B$15+$B$16)/$B$17</f>
        <v/>
      </c>
      <c r="F1005" s="304" t="n"/>
      <c r="G1005" s="304" t="n"/>
      <c r="H1005" s="304" t="n"/>
      <c r="I1005" s="304" t="n"/>
      <c r="J1005" s="304" t="n"/>
      <c r="K1005" s="304" t="n"/>
      <c r="L1005" s="304" t="n"/>
      <c r="M1005" s="304" t="n"/>
      <c r="N1005" s="304" t="n"/>
      <c r="O1005" s="304" t="n"/>
      <c r="P1005" s="304" t="n"/>
      <c r="Q1005" s="304" t="n"/>
    </row>
    <row r="1006" ht="13.8" customHeight="1" s="343">
      <c r="A1006" s="388">
        <f>ROW()-22</f>
        <v/>
      </c>
      <c r="B1006" s="536">
        <f>_xlfn.NORM.INV(RAND(),$B$6,$C$6)</f>
        <v/>
      </c>
      <c r="C1006" s="536">
        <f>MIN(_xlfn.NORM.INV(RAND(),$B$7,$C$7),B1006-0.005)</f>
        <v/>
      </c>
      <c r="D1006" s="537">
        <f>_xlfn.NORM.INV(RAND(),$B$8,$C$8)</f>
        <v/>
      </c>
      <c r="E1006" s="391">
        <f t="array" ref="E1006">(SUMPRODUCT($B$13:$F$13*D1006/(1+B1006)^$B$14:$F$14)+($F$13*D1006*(1+C1006))/(B1006-C1006)/(1+B1006)^$F$14-$B$15+$B$16)/$B$17</f>
        <v/>
      </c>
      <c r="F1006" s="304" t="n"/>
      <c r="G1006" s="304" t="n"/>
      <c r="H1006" s="304" t="n"/>
      <c r="I1006" s="304" t="n"/>
      <c r="J1006" s="304" t="n"/>
      <c r="K1006" s="304" t="n"/>
      <c r="L1006" s="304" t="n"/>
      <c r="M1006" s="304" t="n"/>
      <c r="N1006" s="304" t="n"/>
      <c r="O1006" s="304" t="n"/>
      <c r="P1006" s="304" t="n"/>
      <c r="Q1006" s="304" t="n"/>
    </row>
    <row r="1007" ht="13.8" customHeight="1" s="343">
      <c r="A1007" s="388">
        <f>ROW()-22</f>
        <v/>
      </c>
      <c r="B1007" s="536">
        <f>_xlfn.NORM.INV(RAND(),$B$6,$C$6)</f>
        <v/>
      </c>
      <c r="C1007" s="536">
        <f>MIN(_xlfn.NORM.INV(RAND(),$B$7,$C$7),B1007-0.005)</f>
        <v/>
      </c>
      <c r="D1007" s="537">
        <f>_xlfn.NORM.INV(RAND(),$B$8,$C$8)</f>
        <v/>
      </c>
      <c r="E1007" s="391">
        <f t="array" ref="E1007">(SUMPRODUCT($B$13:$F$13*D1007/(1+B1007)^$B$14:$F$14)+($F$13*D1007*(1+C1007))/(B1007-C1007)/(1+B1007)^$F$14-$B$15+$B$16)/$B$17</f>
        <v/>
      </c>
      <c r="F1007" s="304" t="n"/>
      <c r="G1007" s="304" t="n"/>
      <c r="H1007" s="304" t="n"/>
      <c r="I1007" s="304" t="n"/>
      <c r="J1007" s="304" t="n"/>
      <c r="K1007" s="304" t="n"/>
      <c r="L1007" s="304" t="n"/>
      <c r="M1007" s="304" t="n"/>
      <c r="N1007" s="304" t="n"/>
      <c r="O1007" s="304" t="n"/>
      <c r="P1007" s="304" t="n"/>
      <c r="Q1007" s="304" t="n"/>
    </row>
    <row r="1008" ht="13.8" customHeight="1" s="343">
      <c r="A1008" s="388">
        <f>ROW()-22</f>
        <v/>
      </c>
      <c r="B1008" s="536">
        <f>_xlfn.NORM.INV(RAND(),$B$6,$C$6)</f>
        <v/>
      </c>
      <c r="C1008" s="536">
        <f>MIN(_xlfn.NORM.INV(RAND(),$B$7,$C$7),B1008-0.005)</f>
        <v/>
      </c>
      <c r="D1008" s="537">
        <f>_xlfn.NORM.INV(RAND(),$B$8,$C$8)</f>
        <v/>
      </c>
      <c r="E1008" s="391">
        <f t="array" ref="E1008">(SUMPRODUCT($B$13:$F$13*D1008/(1+B1008)^$B$14:$F$14)+($F$13*D1008*(1+C1008))/(B1008-C1008)/(1+B1008)^$F$14-$B$15+$B$16)/$B$17</f>
        <v/>
      </c>
      <c r="F1008" s="304" t="n"/>
      <c r="G1008" s="304" t="n"/>
      <c r="H1008" s="304" t="n"/>
      <c r="I1008" s="304" t="n"/>
      <c r="J1008" s="304" t="n"/>
      <c r="K1008" s="304" t="n"/>
      <c r="L1008" s="304" t="n"/>
      <c r="M1008" s="304" t="n"/>
      <c r="N1008" s="304" t="n"/>
      <c r="O1008" s="304" t="n"/>
      <c r="P1008" s="304" t="n"/>
      <c r="Q1008" s="304" t="n"/>
    </row>
    <row r="1009" ht="13.8" customHeight="1" s="343">
      <c r="A1009" s="388">
        <f>ROW()-22</f>
        <v/>
      </c>
      <c r="B1009" s="536">
        <f>_xlfn.NORM.INV(RAND(),$B$6,$C$6)</f>
        <v/>
      </c>
      <c r="C1009" s="536">
        <f>MIN(_xlfn.NORM.INV(RAND(),$B$7,$C$7),B1009-0.005)</f>
        <v/>
      </c>
      <c r="D1009" s="537">
        <f>_xlfn.NORM.INV(RAND(),$B$8,$C$8)</f>
        <v/>
      </c>
      <c r="E1009" s="391">
        <f t="array" ref="E1009">(SUMPRODUCT($B$13:$F$13*D1009/(1+B1009)^$B$14:$F$14)+($F$13*D1009*(1+C1009))/(B1009-C1009)/(1+B1009)^$F$14-$B$15+$B$16)/$B$17</f>
        <v/>
      </c>
      <c r="F1009" s="304" t="n"/>
      <c r="G1009" s="304" t="n"/>
      <c r="H1009" s="304" t="n"/>
      <c r="I1009" s="304" t="n"/>
      <c r="J1009" s="304" t="n"/>
      <c r="K1009" s="304" t="n"/>
      <c r="L1009" s="304" t="n"/>
      <c r="M1009" s="304" t="n"/>
      <c r="N1009" s="304" t="n"/>
      <c r="O1009" s="304" t="n"/>
      <c r="P1009" s="304" t="n"/>
      <c r="Q1009" s="304" t="n"/>
    </row>
    <row r="1010" ht="13.8" customHeight="1" s="343">
      <c r="A1010" s="388">
        <f>ROW()-22</f>
        <v/>
      </c>
      <c r="B1010" s="536">
        <f>_xlfn.NORM.INV(RAND(),$B$6,$C$6)</f>
        <v/>
      </c>
      <c r="C1010" s="536">
        <f>MIN(_xlfn.NORM.INV(RAND(),$B$7,$C$7),B1010-0.005)</f>
        <v/>
      </c>
      <c r="D1010" s="537">
        <f>_xlfn.NORM.INV(RAND(),$B$8,$C$8)</f>
        <v/>
      </c>
      <c r="E1010" s="391">
        <f t="array" ref="E1010">(SUMPRODUCT($B$13:$F$13*D1010/(1+B1010)^$B$14:$F$14)+($F$13*D1010*(1+C1010))/(B1010-C1010)/(1+B1010)^$F$14-$B$15+$B$16)/$B$17</f>
        <v/>
      </c>
      <c r="F1010" s="304" t="n"/>
      <c r="G1010" s="304" t="n"/>
      <c r="H1010" s="304" t="n"/>
      <c r="I1010" s="304" t="n"/>
      <c r="J1010" s="304" t="n"/>
      <c r="K1010" s="304" t="n"/>
      <c r="L1010" s="304" t="n"/>
      <c r="M1010" s="304" t="n"/>
      <c r="N1010" s="304" t="n"/>
      <c r="O1010" s="304" t="n"/>
      <c r="P1010" s="304" t="n"/>
      <c r="Q1010" s="304" t="n"/>
    </row>
    <row r="1011" ht="13.8" customHeight="1" s="343">
      <c r="A1011" s="388">
        <f>ROW()-22</f>
        <v/>
      </c>
      <c r="B1011" s="536">
        <f>_xlfn.NORM.INV(RAND(),$B$6,$C$6)</f>
        <v/>
      </c>
      <c r="C1011" s="536">
        <f>MIN(_xlfn.NORM.INV(RAND(),$B$7,$C$7),B1011-0.005)</f>
        <v/>
      </c>
      <c r="D1011" s="537">
        <f>_xlfn.NORM.INV(RAND(),$B$8,$C$8)</f>
        <v/>
      </c>
      <c r="E1011" s="391">
        <f t="array" ref="E1011">(SUMPRODUCT($B$13:$F$13*D1011/(1+B1011)^$B$14:$F$14)+($F$13*D1011*(1+C1011))/(B1011-C1011)/(1+B1011)^$F$14-$B$15+$B$16)/$B$17</f>
        <v/>
      </c>
      <c r="F1011" s="304" t="n"/>
      <c r="G1011" s="304" t="n"/>
      <c r="H1011" s="304" t="n"/>
      <c r="I1011" s="304" t="n"/>
      <c r="J1011" s="304" t="n"/>
      <c r="K1011" s="304" t="n"/>
      <c r="L1011" s="304" t="n"/>
      <c r="M1011" s="304" t="n"/>
      <c r="N1011" s="304" t="n"/>
      <c r="O1011" s="304" t="n"/>
      <c r="P1011" s="304" t="n"/>
      <c r="Q1011" s="304" t="n"/>
    </row>
    <row r="1012" ht="13.8" customHeight="1" s="343">
      <c r="A1012" s="388">
        <f>ROW()-22</f>
        <v/>
      </c>
      <c r="B1012" s="536">
        <f>_xlfn.NORM.INV(RAND(),$B$6,$C$6)</f>
        <v/>
      </c>
      <c r="C1012" s="536">
        <f>MIN(_xlfn.NORM.INV(RAND(),$B$7,$C$7),B1012-0.005)</f>
        <v/>
      </c>
      <c r="D1012" s="537">
        <f>_xlfn.NORM.INV(RAND(),$B$8,$C$8)</f>
        <v/>
      </c>
      <c r="E1012" s="391">
        <f t="array" ref="E1012">(SUMPRODUCT($B$13:$F$13*D1012/(1+B1012)^$B$14:$F$14)+($F$13*D1012*(1+C1012))/(B1012-C1012)/(1+B1012)^$F$14-$B$15+$B$16)/$B$17</f>
        <v/>
      </c>
      <c r="F1012" s="304" t="n"/>
      <c r="G1012" s="304" t="n"/>
      <c r="H1012" s="304" t="n"/>
      <c r="I1012" s="304" t="n"/>
      <c r="J1012" s="304" t="n"/>
      <c r="K1012" s="304" t="n"/>
      <c r="L1012" s="304" t="n"/>
      <c r="M1012" s="304" t="n"/>
      <c r="N1012" s="304" t="n"/>
      <c r="O1012" s="304" t="n"/>
      <c r="P1012" s="304" t="n"/>
      <c r="Q1012" s="304" t="n"/>
    </row>
    <row r="1013" ht="13.8" customHeight="1" s="343">
      <c r="A1013" s="388">
        <f>ROW()-22</f>
        <v/>
      </c>
      <c r="B1013" s="536">
        <f>_xlfn.NORM.INV(RAND(),$B$6,$C$6)</f>
        <v/>
      </c>
      <c r="C1013" s="536">
        <f>MIN(_xlfn.NORM.INV(RAND(),$B$7,$C$7),B1013-0.005)</f>
        <v/>
      </c>
      <c r="D1013" s="537">
        <f>_xlfn.NORM.INV(RAND(),$B$8,$C$8)</f>
        <v/>
      </c>
      <c r="E1013" s="391">
        <f t="array" ref="E1013">(SUMPRODUCT($B$13:$F$13*D1013/(1+B1013)^$B$14:$F$14)+($F$13*D1013*(1+C1013))/(B1013-C1013)/(1+B1013)^$F$14-$B$15+$B$16)/$B$17</f>
        <v/>
      </c>
      <c r="F1013" s="304" t="n"/>
      <c r="G1013" s="304" t="n"/>
      <c r="H1013" s="304" t="n"/>
      <c r="I1013" s="304" t="n"/>
      <c r="J1013" s="304" t="n"/>
      <c r="K1013" s="304" t="n"/>
      <c r="L1013" s="304" t="n"/>
      <c r="M1013" s="304" t="n"/>
      <c r="N1013" s="304" t="n"/>
      <c r="O1013" s="304" t="n"/>
      <c r="P1013" s="304" t="n"/>
      <c r="Q1013" s="304" t="n"/>
    </row>
    <row r="1014" ht="13.8" customHeight="1" s="343">
      <c r="A1014" s="388">
        <f>ROW()-22</f>
        <v/>
      </c>
      <c r="B1014" s="536">
        <f>_xlfn.NORM.INV(RAND(),$B$6,$C$6)</f>
        <v/>
      </c>
      <c r="C1014" s="536">
        <f>MIN(_xlfn.NORM.INV(RAND(),$B$7,$C$7),B1014-0.005)</f>
        <v/>
      </c>
      <c r="D1014" s="537">
        <f>_xlfn.NORM.INV(RAND(),$B$8,$C$8)</f>
        <v/>
      </c>
      <c r="E1014" s="391">
        <f t="array" ref="E1014">(SUMPRODUCT($B$13:$F$13*D1014/(1+B1014)^$B$14:$F$14)+($F$13*D1014*(1+C1014))/(B1014-C1014)/(1+B1014)^$F$14-$B$15+$B$16)/$B$17</f>
        <v/>
      </c>
      <c r="F1014" s="304" t="n"/>
      <c r="G1014" s="304" t="n"/>
      <c r="H1014" s="304" t="n"/>
      <c r="I1014" s="304" t="n"/>
      <c r="J1014" s="304" t="n"/>
      <c r="K1014" s="304" t="n"/>
      <c r="L1014" s="304" t="n"/>
      <c r="M1014" s="304" t="n"/>
      <c r="N1014" s="304" t="n"/>
      <c r="O1014" s="304" t="n"/>
      <c r="P1014" s="304" t="n"/>
      <c r="Q1014" s="304" t="n"/>
    </row>
    <row r="1015" ht="13.8" customHeight="1" s="343">
      <c r="A1015" s="388">
        <f>ROW()-22</f>
        <v/>
      </c>
      <c r="B1015" s="536">
        <f>_xlfn.NORM.INV(RAND(),$B$6,$C$6)</f>
        <v/>
      </c>
      <c r="C1015" s="536">
        <f>MIN(_xlfn.NORM.INV(RAND(),$B$7,$C$7),B1015-0.005)</f>
        <v/>
      </c>
      <c r="D1015" s="537">
        <f>_xlfn.NORM.INV(RAND(),$B$8,$C$8)</f>
        <v/>
      </c>
      <c r="E1015" s="391">
        <f t="array" ref="E1015">(SUMPRODUCT($B$13:$F$13*D1015/(1+B1015)^$B$14:$F$14)+($F$13*D1015*(1+C1015))/(B1015-C1015)/(1+B1015)^$F$14-$B$15+$B$16)/$B$17</f>
        <v/>
      </c>
      <c r="F1015" s="304" t="n"/>
      <c r="G1015" s="304" t="n"/>
      <c r="H1015" s="304" t="n"/>
      <c r="I1015" s="304" t="n"/>
      <c r="J1015" s="304" t="n"/>
      <c r="K1015" s="304" t="n"/>
      <c r="L1015" s="304" t="n"/>
      <c r="M1015" s="304" t="n"/>
      <c r="N1015" s="304" t="n"/>
      <c r="O1015" s="304" t="n"/>
      <c r="P1015" s="304" t="n"/>
      <c r="Q1015" s="304" t="n"/>
    </row>
    <row r="1016" ht="13.8" customHeight="1" s="343">
      <c r="A1016" s="388">
        <f>ROW()-22</f>
        <v/>
      </c>
      <c r="B1016" s="536">
        <f>_xlfn.NORM.INV(RAND(),$B$6,$C$6)</f>
        <v/>
      </c>
      <c r="C1016" s="536">
        <f>MIN(_xlfn.NORM.INV(RAND(),$B$7,$C$7),B1016-0.005)</f>
        <v/>
      </c>
      <c r="D1016" s="537">
        <f>_xlfn.NORM.INV(RAND(),$B$8,$C$8)</f>
        <v/>
      </c>
      <c r="E1016" s="391">
        <f t="array" ref="E1016">(SUMPRODUCT($B$13:$F$13*D1016/(1+B1016)^$B$14:$F$14)+($F$13*D1016*(1+C1016))/(B1016-C1016)/(1+B1016)^$F$14-$B$15+$B$16)/$B$17</f>
        <v/>
      </c>
      <c r="F1016" s="304" t="n"/>
      <c r="G1016" s="304" t="n"/>
      <c r="H1016" s="304" t="n"/>
      <c r="I1016" s="304" t="n"/>
      <c r="J1016" s="304" t="n"/>
      <c r="K1016" s="304" t="n"/>
      <c r="L1016" s="304" t="n"/>
      <c r="M1016" s="304" t="n"/>
      <c r="N1016" s="304" t="n"/>
      <c r="O1016" s="304" t="n"/>
      <c r="P1016" s="304" t="n"/>
      <c r="Q1016" s="304" t="n"/>
    </row>
    <row r="1017" ht="13.8" customHeight="1" s="343">
      <c r="A1017" s="388">
        <f>ROW()-22</f>
        <v/>
      </c>
      <c r="B1017" s="536">
        <f>_xlfn.NORM.INV(RAND(),$B$6,$C$6)</f>
        <v/>
      </c>
      <c r="C1017" s="536">
        <f>MIN(_xlfn.NORM.INV(RAND(),$B$7,$C$7),B1017-0.005)</f>
        <v/>
      </c>
      <c r="D1017" s="537">
        <f>_xlfn.NORM.INV(RAND(),$B$8,$C$8)</f>
        <v/>
      </c>
      <c r="E1017" s="391">
        <f t="array" ref="E1017">(SUMPRODUCT($B$13:$F$13*D1017/(1+B1017)^$B$14:$F$14)+($F$13*D1017*(1+C1017))/(B1017-C1017)/(1+B1017)^$F$14-$B$15+$B$16)/$B$17</f>
        <v/>
      </c>
      <c r="F1017" s="304" t="n"/>
      <c r="G1017" s="304" t="n"/>
      <c r="H1017" s="304" t="n"/>
      <c r="I1017" s="304" t="n"/>
      <c r="J1017" s="304" t="n"/>
      <c r="K1017" s="304" t="n"/>
      <c r="L1017" s="304" t="n"/>
      <c r="M1017" s="304" t="n"/>
      <c r="N1017" s="304" t="n"/>
      <c r="O1017" s="304" t="n"/>
      <c r="P1017" s="304" t="n"/>
      <c r="Q1017" s="304" t="n"/>
    </row>
    <row r="1018" ht="13.8" customHeight="1" s="343">
      <c r="A1018" s="388">
        <f>ROW()-22</f>
        <v/>
      </c>
      <c r="B1018" s="536">
        <f>_xlfn.NORM.INV(RAND(),$B$6,$C$6)</f>
        <v/>
      </c>
      <c r="C1018" s="536">
        <f>MIN(_xlfn.NORM.INV(RAND(),$B$7,$C$7),B1018-0.005)</f>
        <v/>
      </c>
      <c r="D1018" s="537">
        <f>_xlfn.NORM.INV(RAND(),$B$8,$C$8)</f>
        <v/>
      </c>
      <c r="E1018" s="391">
        <f t="array" ref="E1018">(SUMPRODUCT($B$13:$F$13*D1018/(1+B1018)^$B$14:$F$14)+($F$13*D1018*(1+C1018))/(B1018-C1018)/(1+B1018)^$F$14-$B$15+$B$16)/$B$17</f>
        <v/>
      </c>
      <c r="F1018" s="304" t="n"/>
      <c r="G1018" s="304" t="n"/>
      <c r="H1018" s="304" t="n"/>
      <c r="I1018" s="304" t="n"/>
      <c r="J1018" s="304" t="n"/>
      <c r="K1018" s="304" t="n"/>
      <c r="L1018" s="304" t="n"/>
      <c r="M1018" s="304" t="n"/>
      <c r="N1018" s="304" t="n"/>
      <c r="O1018" s="304" t="n"/>
      <c r="P1018" s="304" t="n"/>
      <c r="Q1018" s="304" t="n"/>
    </row>
    <row r="1019" ht="13.8" customHeight="1" s="343">
      <c r="A1019" s="388">
        <f>ROW()-22</f>
        <v/>
      </c>
      <c r="B1019" s="536">
        <f>_xlfn.NORM.INV(RAND(),$B$6,$C$6)</f>
        <v/>
      </c>
      <c r="C1019" s="536">
        <f>MIN(_xlfn.NORM.INV(RAND(),$B$7,$C$7),B1019-0.005)</f>
        <v/>
      </c>
      <c r="D1019" s="537">
        <f>_xlfn.NORM.INV(RAND(),$B$8,$C$8)</f>
        <v/>
      </c>
      <c r="E1019" s="391">
        <f t="array" ref="E1019">(SUMPRODUCT($B$13:$F$13*D1019/(1+B1019)^$B$14:$F$14)+($F$13*D1019*(1+C1019))/(B1019-C1019)/(1+B1019)^$F$14-$B$15+$B$16)/$B$17</f>
        <v/>
      </c>
      <c r="F1019" s="304" t="n"/>
      <c r="G1019" s="304" t="n"/>
      <c r="H1019" s="304" t="n"/>
      <c r="I1019" s="304" t="n"/>
      <c r="J1019" s="304" t="n"/>
      <c r="K1019" s="304" t="n"/>
      <c r="L1019" s="304" t="n"/>
      <c r="M1019" s="304" t="n"/>
      <c r="N1019" s="304" t="n"/>
      <c r="O1019" s="304" t="n"/>
      <c r="P1019" s="304" t="n"/>
      <c r="Q1019" s="304" t="n"/>
    </row>
    <row r="1020" ht="13.8" customHeight="1" s="343">
      <c r="A1020" s="388">
        <f>ROW()-22</f>
        <v/>
      </c>
      <c r="B1020" s="536">
        <f>_xlfn.NORM.INV(RAND(),$B$6,$C$6)</f>
        <v/>
      </c>
      <c r="C1020" s="536">
        <f>MIN(_xlfn.NORM.INV(RAND(),$B$7,$C$7),B1020-0.005)</f>
        <v/>
      </c>
      <c r="D1020" s="537">
        <f>_xlfn.NORM.INV(RAND(),$B$8,$C$8)</f>
        <v/>
      </c>
      <c r="E1020" s="391">
        <f t="array" ref="E1020">(SUMPRODUCT($B$13:$F$13*D1020/(1+B1020)^$B$14:$F$14)+($F$13*D1020*(1+C1020))/(B1020-C1020)/(1+B1020)^$F$14-$B$15+$B$16)/$B$17</f>
        <v/>
      </c>
      <c r="F1020" s="304" t="n"/>
      <c r="G1020" s="304" t="n"/>
      <c r="H1020" s="304" t="n"/>
      <c r="I1020" s="304" t="n"/>
      <c r="J1020" s="304" t="n"/>
      <c r="K1020" s="304" t="n"/>
      <c r="L1020" s="304" t="n"/>
      <c r="M1020" s="304" t="n"/>
      <c r="N1020" s="304" t="n"/>
      <c r="O1020" s="304" t="n"/>
      <c r="P1020" s="304" t="n"/>
      <c r="Q1020" s="304" t="n"/>
    </row>
    <row r="1021" ht="13.8" customHeight="1" s="343">
      <c r="A1021" s="388">
        <f>ROW()-22</f>
        <v/>
      </c>
      <c r="B1021" s="536">
        <f>_xlfn.NORM.INV(RAND(),$B$6,$C$6)</f>
        <v/>
      </c>
      <c r="C1021" s="536">
        <f>MIN(_xlfn.NORM.INV(RAND(),$B$7,$C$7),B1021-0.005)</f>
        <v/>
      </c>
      <c r="D1021" s="537">
        <f>_xlfn.NORM.INV(RAND(),$B$8,$C$8)</f>
        <v/>
      </c>
      <c r="E1021" s="391">
        <f t="array" ref="E1021">(SUMPRODUCT($B$13:$F$13*D1021/(1+B1021)^$B$14:$F$14)+($F$13*D1021*(1+C1021))/(B1021-C1021)/(1+B1021)^$F$14-$B$15+$B$16)/$B$17</f>
        <v/>
      </c>
      <c r="F1021" s="304" t="n"/>
      <c r="G1021" s="304" t="n"/>
      <c r="H1021" s="304" t="n"/>
      <c r="I1021" s="304" t="n"/>
      <c r="J1021" s="304" t="n"/>
      <c r="K1021" s="304" t="n"/>
      <c r="L1021" s="304" t="n"/>
      <c r="M1021" s="304" t="n"/>
      <c r="N1021" s="304" t="n"/>
      <c r="O1021" s="304" t="n"/>
      <c r="P1021" s="304" t="n"/>
      <c r="Q1021" s="304" t="n"/>
    </row>
    <row r="1022" ht="13.8" customHeight="1" s="343">
      <c r="A1022" s="388">
        <f>ROW()-22</f>
        <v/>
      </c>
      <c r="B1022" s="536">
        <f>_xlfn.NORM.INV(RAND(),$B$6,$C$6)</f>
        <v/>
      </c>
      <c r="C1022" s="536">
        <f>MIN(_xlfn.NORM.INV(RAND(),$B$7,$C$7),B1022-0.005)</f>
        <v/>
      </c>
      <c r="D1022" s="537">
        <f>_xlfn.NORM.INV(RAND(),$B$8,$C$8)</f>
        <v/>
      </c>
      <c r="E1022" s="391">
        <f t="array" ref="E1022">(SUMPRODUCT($B$13:$F$13*D1022/(1+B1022)^$B$14:$F$14)+($F$13*D1022*(1+C1022))/(B1022-C1022)/(1+B1022)^$F$14-$B$15+$B$16)/$B$17</f>
        <v/>
      </c>
      <c r="F1022" s="304" t="n"/>
      <c r="G1022" s="304" t="n"/>
      <c r="H1022" s="304" t="n"/>
      <c r="I1022" s="304" t="n"/>
      <c r="J1022" s="304" t="n"/>
      <c r="K1022" s="304" t="n"/>
      <c r="L1022" s="304" t="n"/>
      <c r="M1022" s="304" t="n"/>
      <c r="N1022" s="304" t="n"/>
      <c r="O1022" s="304" t="n"/>
      <c r="P1022" s="304" t="n"/>
      <c r="Q1022" s="304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8E1C2F"/>
    <outlinePr summaryBelow="1" summaryRight="1"/>
    <pageSetUpPr/>
  </sheetPr>
  <dimension ref="B1:O44"/>
  <sheetViews>
    <sheetView zoomScale="80" zoomScaleNormal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39" sqref="M39"/>
    </sheetView>
  </sheetViews>
  <sheetFormatPr baseColWidth="8" defaultColWidth="8.77734375" defaultRowHeight="13.8"/>
  <cols>
    <col width="2.6640625" customWidth="1" style="12" min="1" max="1"/>
    <col width="55.6640625" customWidth="1" style="12" min="2" max="2"/>
    <col width="10.6640625" customWidth="1" style="12" min="3" max="12"/>
    <col width="10.5546875" customWidth="1" style="12" min="13" max="35"/>
    <col width="8.77734375" customWidth="1" style="12" min="36" max="16384"/>
  </cols>
  <sheetData>
    <row r="1" ht="12.9" customHeight="1" s="343">
      <c r="B1" s="436" t="inlineStr">
        <is>
          <t>Anup Engineering Limited</t>
        </is>
      </c>
    </row>
    <row r="2" ht="12.9" customHeight="1" s="343">
      <c r="B2" s="12" t="inlineStr">
        <is>
          <t>Fiscal year ending 31st Mar, 2026</t>
        </is>
      </c>
    </row>
    <row r="3" ht="12.9" customHeight="1" s="343">
      <c r="B3" s="12" t="inlineStr">
        <is>
          <t>All amounts in ₹ crores except per share data</t>
        </is>
      </c>
    </row>
    <row r="4" ht="12.9" customHeight="1" s="343"/>
    <row r="5" customFormat="1" s="360">
      <c r="B5" s="354" t="inlineStr">
        <is>
          <t>PREVIEW TABLE</t>
        </is>
      </c>
    </row>
    <row r="6" ht="41.4" customHeight="1" s="343">
      <c r="B6" s="65" t="inlineStr">
        <is>
          <t>Particulars</t>
        </is>
      </c>
      <c r="C6" s="169" t="inlineStr">
        <is>
          <t>FY26 E</t>
        </is>
      </c>
      <c r="D6" s="169" t="inlineStr">
        <is>
          <t>FY26 Consensus</t>
        </is>
      </c>
      <c r="E6" s="169" t="inlineStr">
        <is>
          <t>FY25 (PY)</t>
        </is>
      </c>
      <c r="F6" s="169" t="inlineStr">
        <is>
          <t>FY26 Actual</t>
        </is>
      </c>
      <c r="G6" s="169" t="inlineStr">
        <is>
          <t>YoY%</t>
        </is>
      </c>
      <c r="H6" s="169" t="inlineStr">
        <is>
          <t>Vs Estimate %</t>
        </is>
      </c>
      <c r="I6" s="169" t="inlineStr">
        <is>
          <t>Vs Consensus %</t>
        </is>
      </c>
    </row>
    <row r="7" ht="12.9" customHeight="1" s="343">
      <c r="B7" s="174" t="inlineStr">
        <is>
          <t>FINANCIAL METRICS</t>
        </is>
      </c>
      <c r="C7" s="296" t="n"/>
      <c r="D7" s="63" t="n"/>
      <c r="E7" s="63" t="n"/>
      <c r="F7" s="63" t="n"/>
      <c r="G7" s="63" t="n"/>
      <c r="H7" s="63" t="n"/>
      <c r="I7" s="63" t="n"/>
    </row>
    <row r="8" ht="12.9" customHeight="1" s="343">
      <c r="B8" s="56" t="inlineStr">
        <is>
          <t>Revenue</t>
        </is>
      </c>
      <c r="C8" s="538" t="n">
        <v>847.9313908667922</v>
      </c>
      <c r="D8" s="538" t="n">
        <v>858.3333</v>
      </c>
      <c r="E8" s="538">
        <f>'Income Statement'!Q8</f>
        <v/>
      </c>
      <c r="F8" s="480">
        <f>'Income Statement'!T8</f>
        <v/>
      </c>
      <c r="G8" s="539">
        <f>(F8/E8)-1</f>
        <v/>
      </c>
      <c r="H8" s="539">
        <f>(F8/C8)-1</f>
        <v/>
      </c>
      <c r="I8" s="539">
        <f>(F8/D8)-1</f>
        <v/>
      </c>
    </row>
    <row r="9" ht="12.9" customHeight="1" s="343">
      <c r="B9" s="56" t="inlineStr">
        <is>
          <t>Gross Profit</t>
        </is>
      </c>
      <c r="C9" s="538" t="n">
        <v>427.1523116160603</v>
      </c>
      <c r="D9" s="538" t="n">
        <v>424.4458</v>
      </c>
      <c r="E9" s="538">
        <f>'Income Statement'!Q17</f>
        <v/>
      </c>
      <c r="F9" s="480">
        <f>'Income Statement'!T17</f>
        <v/>
      </c>
      <c r="G9" s="539">
        <f>(F9/E9)-1</f>
        <v/>
      </c>
      <c r="H9" s="539">
        <f>(F9/C9)-1</f>
        <v/>
      </c>
      <c r="I9" s="539">
        <f>(F9/D9)-1</f>
        <v/>
      </c>
    </row>
    <row r="10" ht="12.9" customHeight="1" s="343">
      <c r="B10" s="175" t="inlineStr">
        <is>
          <t>Gross Margin %</t>
        </is>
      </c>
      <c r="C10" s="540">
        <f>C9/C8</f>
        <v/>
      </c>
      <c r="D10" s="539">
        <f>D9/D8</f>
        <v/>
      </c>
      <c r="E10" s="539">
        <f>E9/E8</f>
        <v/>
      </c>
      <c r="F10" s="539">
        <f>F9/F8</f>
        <v/>
      </c>
      <c r="G10" s="539">
        <f>(F10/E10)-1</f>
        <v/>
      </c>
      <c r="H10" s="539">
        <f>(F10/C10)-1</f>
        <v/>
      </c>
      <c r="I10" s="539">
        <f>(F10/D10)-1</f>
        <v/>
      </c>
    </row>
    <row r="11" ht="12.9" customHeight="1" s="343">
      <c r="B11" s="175" t="n"/>
      <c r="C11" s="56" t="n"/>
      <c r="D11" s="170" t="n"/>
      <c r="E11" s="170" t="n"/>
      <c r="F11" s="539" t="n"/>
      <c r="G11" s="539" t="n"/>
      <c r="H11" s="539" t="n"/>
      <c r="I11" s="539" t="n"/>
      <c r="N11" s="453" t="n"/>
    </row>
    <row r="12" ht="12.9" customHeight="1" s="343">
      <c r="B12" s="56" t="inlineStr">
        <is>
          <t>EBITDA</t>
        </is>
      </c>
      <c r="C12" s="538" t="n">
        <v>191.755002008977</v>
      </c>
      <c r="D12" s="538" t="n">
        <v>190.0667</v>
      </c>
      <c r="E12" s="538">
        <f>'Income Statement'!Q23</f>
        <v/>
      </c>
      <c r="F12" s="480">
        <f>'Income Statement'!T23</f>
        <v/>
      </c>
      <c r="G12" s="539">
        <f>(F12/E12)-1</f>
        <v/>
      </c>
      <c r="H12" s="539">
        <f>(F12/C12)-1</f>
        <v/>
      </c>
      <c r="I12" s="539">
        <f>(F12/D12)-1</f>
        <v/>
      </c>
    </row>
    <row r="13" ht="12.9" customHeight="1" s="343">
      <c r="B13" s="175" t="inlineStr">
        <is>
          <t>EBITDA Margin %</t>
        </is>
      </c>
      <c r="C13" s="540">
        <f>C12/C8</f>
        <v/>
      </c>
      <c r="D13" s="539">
        <f>D12/D8</f>
        <v/>
      </c>
      <c r="E13" s="539">
        <f>E12/E8</f>
        <v/>
      </c>
      <c r="F13" s="539">
        <f>F12/F8</f>
        <v/>
      </c>
      <c r="G13" s="539">
        <f>(F13/E13)-1</f>
        <v/>
      </c>
      <c r="H13" s="539">
        <f>(F13/C13)-1</f>
        <v/>
      </c>
      <c r="I13" s="539">
        <f>(F13/D13)-1</f>
        <v/>
      </c>
    </row>
    <row r="14" ht="12.9" customHeight="1" s="343">
      <c r="B14" s="175" t="n"/>
      <c r="C14" s="56" t="n"/>
      <c r="D14" s="170" t="n"/>
      <c r="E14" s="170" t="n"/>
      <c r="F14" s="539" t="n"/>
      <c r="G14" s="539" t="n"/>
      <c r="H14" s="539" t="n"/>
      <c r="I14" s="539" t="n"/>
    </row>
    <row r="15" ht="12.9" customHeight="1" s="343">
      <c r="B15" s="56" t="inlineStr">
        <is>
          <t>EBIT</t>
        </is>
      </c>
      <c r="C15" s="538" t="n">
        <v>165.943814008977</v>
      </c>
      <c r="D15" s="538" t="n">
        <v>153.3</v>
      </c>
      <c r="E15" s="538">
        <f>'Income Statement'!Q27</f>
        <v/>
      </c>
      <c r="F15" s="480">
        <f>'Income Statement'!T27</f>
        <v/>
      </c>
      <c r="G15" s="539">
        <f>(F15/E15)-1</f>
        <v/>
      </c>
      <c r="H15" s="539">
        <f>(F15/C15)-1</f>
        <v/>
      </c>
      <c r="I15" s="539">
        <f>(F15/D15)-1</f>
        <v/>
      </c>
    </row>
    <row r="16" ht="12.9" customHeight="1" s="343">
      <c r="B16" s="175" t="inlineStr">
        <is>
          <t>EBIT Margin %</t>
        </is>
      </c>
      <c r="C16" s="540">
        <f>C15/C8</f>
        <v/>
      </c>
      <c r="D16" s="539">
        <f>D15/D8</f>
        <v/>
      </c>
      <c r="E16" s="539">
        <f>E15/E8</f>
        <v/>
      </c>
      <c r="F16" s="539">
        <f>F15/F8</f>
        <v/>
      </c>
      <c r="G16" s="539">
        <f>(F16/E16)-1</f>
        <v/>
      </c>
      <c r="H16" s="539">
        <f>(F16/C16)-1</f>
        <v/>
      </c>
      <c r="I16" s="539">
        <f>(F16/D16)-1</f>
        <v/>
      </c>
    </row>
    <row r="17" ht="12.9" customHeight="1" s="343">
      <c r="B17" s="56" t="n"/>
      <c r="C17" s="56" t="n"/>
      <c r="D17" s="170" t="n"/>
      <c r="E17" s="170" t="n"/>
      <c r="F17" s="480" t="n"/>
      <c r="G17" s="539" t="n"/>
      <c r="H17" s="539" t="n"/>
      <c r="I17" s="539" t="n"/>
    </row>
    <row r="18" ht="12.9" customHeight="1" s="343">
      <c r="B18" s="56" t="inlineStr">
        <is>
          <t>PBT</t>
        </is>
      </c>
      <c r="C18" s="538" t="n">
        <v>157.8344750030247</v>
      </c>
      <c r="D18" s="538" t="n">
        <v>163.6</v>
      </c>
      <c r="E18" s="538">
        <f>'Income Statement'!Q32</f>
        <v/>
      </c>
      <c r="F18" s="480">
        <f>'Income Statement'!T32</f>
        <v/>
      </c>
      <c r="G18" s="539">
        <f>(F18/E18)-1</f>
        <v/>
      </c>
      <c r="H18" s="539">
        <f>(F18/C18)-1</f>
        <v/>
      </c>
      <c r="I18" s="539">
        <f>(F18/D18)-1</f>
        <v/>
      </c>
    </row>
    <row r="19" ht="12.9" customHeight="1" s="343">
      <c r="B19" s="175" t="inlineStr">
        <is>
          <t>PBT Margin %</t>
        </is>
      </c>
      <c r="C19" s="540">
        <f>C18/C8</f>
        <v/>
      </c>
      <c r="D19" s="539">
        <f>D18/D8</f>
        <v/>
      </c>
      <c r="E19" s="539">
        <f>E18/E8</f>
        <v/>
      </c>
      <c r="F19" s="539">
        <f>F18/F8</f>
        <v/>
      </c>
      <c r="G19" s="539">
        <f>(F19/E19)-1</f>
        <v/>
      </c>
      <c r="H19" s="539">
        <f>(F19/C19)-1</f>
        <v/>
      </c>
      <c r="I19" s="539">
        <f>(F19/D19)-1</f>
        <v/>
      </c>
    </row>
    <row r="20" ht="12.9" customHeight="1" s="343">
      <c r="B20" s="56" t="n"/>
      <c r="C20" s="56" t="n"/>
      <c r="D20" s="170" t="n"/>
      <c r="E20" s="170" t="n"/>
      <c r="F20" s="170" t="n"/>
      <c r="G20" s="539" t="n"/>
      <c r="H20" s="539" t="n"/>
      <c r="I20" s="539" t="n"/>
    </row>
    <row r="21" ht="12.9" customHeight="1" s="343">
      <c r="B21" s="56" t="inlineStr">
        <is>
          <t>PAT</t>
        </is>
      </c>
      <c r="C21" s="538" t="n">
        <v>117.8318118222635</v>
      </c>
      <c r="D21" s="538" t="n">
        <v>124.0333</v>
      </c>
      <c r="E21" s="538">
        <f>'Income Statement'!Q43</f>
        <v/>
      </c>
      <c r="F21" s="480">
        <f>'Income Statement'!T43</f>
        <v/>
      </c>
      <c r="G21" s="539">
        <f>(F21/E21)-1</f>
        <v/>
      </c>
      <c r="H21" s="539">
        <f>(F21/C21)-1</f>
        <v/>
      </c>
      <c r="I21" s="539">
        <f>(F21/D21)-1</f>
        <v/>
      </c>
    </row>
    <row r="22" ht="12.9" customHeight="1" s="343">
      <c r="B22" s="175" t="inlineStr">
        <is>
          <t>PAT Margin %</t>
        </is>
      </c>
      <c r="C22" s="540">
        <f>C21/C8</f>
        <v/>
      </c>
      <c r="D22" s="539">
        <f>D21/D8</f>
        <v/>
      </c>
      <c r="E22" s="539">
        <f>E21/E8</f>
        <v/>
      </c>
      <c r="F22" s="539">
        <f>F21/F8</f>
        <v/>
      </c>
      <c r="G22" s="539">
        <f>(F22/E22)-1</f>
        <v/>
      </c>
      <c r="H22" s="539">
        <f>(F22/C22)-1</f>
        <v/>
      </c>
      <c r="I22" s="539">
        <f>(F22/D22)-1</f>
        <v/>
      </c>
    </row>
    <row r="23" ht="12.9" customHeight="1" s="343">
      <c r="B23" s="175" t="n"/>
      <c r="C23" s="56" t="n"/>
      <c r="D23" s="170" t="n"/>
      <c r="E23" s="170" t="n"/>
      <c r="F23" s="170" t="n"/>
      <c r="G23" s="539" t="n"/>
      <c r="H23" s="539" t="n"/>
      <c r="I23" s="539" t="n"/>
    </row>
    <row r="24" ht="12.9" customHeight="1" s="343">
      <c r="B24" s="56" t="inlineStr">
        <is>
          <t xml:space="preserve">EPS </t>
        </is>
      </c>
      <c r="C24" s="538" t="n">
        <v>58.83794563316778</v>
      </c>
      <c r="D24" s="538" t="n">
        <v>61.9</v>
      </c>
      <c r="E24" s="538">
        <f>'Income Statement'!Q49</f>
        <v/>
      </c>
      <c r="F24" s="480">
        <f>'Income Statement'!T49</f>
        <v/>
      </c>
      <c r="G24" s="539">
        <f>(F24/E24)-1</f>
        <v/>
      </c>
      <c r="H24" s="539">
        <f>(F24/C24)-1</f>
        <v/>
      </c>
      <c r="I24" s="539">
        <f>(F24/D24)-1</f>
        <v/>
      </c>
    </row>
    <row r="25" ht="12.9" customHeight="1" s="343">
      <c r="B25" s="56" t="inlineStr">
        <is>
          <t>Dividend per share</t>
        </is>
      </c>
      <c r="C25" s="538" t="n">
        <v>17</v>
      </c>
      <c r="D25" s="538" t="n">
        <v>17.42</v>
      </c>
      <c r="E25" s="538">
        <f>'Income Statement'!Q53</f>
        <v/>
      </c>
      <c r="F25" s="480">
        <f>'Income Statement'!T53</f>
        <v/>
      </c>
      <c r="G25" s="539">
        <f>(F25/E25)-1</f>
        <v/>
      </c>
      <c r="H25" s="539">
        <f>(F25/C25)-1</f>
        <v/>
      </c>
      <c r="I25" s="539">
        <f>(F25/D25)-1</f>
        <v/>
      </c>
    </row>
    <row r="26" ht="12.9" customHeight="1" s="343">
      <c r="B26" s="56" t="n"/>
      <c r="C26" s="56" t="n"/>
      <c r="D26" s="170" t="n"/>
      <c r="E26" s="170" t="n"/>
      <c r="F26" s="170" t="n"/>
      <c r="G26" s="539" t="n"/>
      <c r="H26" s="539" t="n"/>
      <c r="I26" s="539" t="n"/>
      <c r="O26" s="12" t="inlineStr">
        <is>
          <t xml:space="preserve">   </t>
        </is>
      </c>
    </row>
    <row r="27" ht="12.9" customHeight="1" s="343">
      <c r="B27" s="56" t="inlineStr">
        <is>
          <t>Capex</t>
        </is>
      </c>
      <c r="C27" s="538" t="n">
        <v>66</v>
      </c>
      <c r="D27" s="538" t="n">
        <v>60</v>
      </c>
      <c r="E27" s="538">
        <f>'Balance Sheet'!Q64</f>
        <v/>
      </c>
      <c r="F27" s="480">
        <f>'Balance Sheet'!T64</f>
        <v/>
      </c>
      <c r="G27" s="539">
        <f>(F27/E27)-1</f>
        <v/>
      </c>
      <c r="H27" s="539">
        <f>(F27/C27)-1</f>
        <v/>
      </c>
      <c r="I27" s="539">
        <f>(F27/D27)-1</f>
        <v/>
      </c>
    </row>
    <row r="28" ht="12.9" customHeight="1" s="343">
      <c r="B28" s="56" t="n"/>
      <c r="C28" s="505" t="n"/>
      <c r="D28" s="170" t="n"/>
      <c r="E28" s="480" t="n"/>
      <c r="F28" s="170" t="n"/>
      <c r="G28" s="170" t="n"/>
      <c r="H28" s="170" t="n"/>
      <c r="I28" s="170" t="n"/>
    </row>
    <row r="29" ht="12.9" customHeight="1" s="343">
      <c r="B29" s="174" t="inlineStr">
        <is>
          <t>OPERATIONAL METRICS</t>
        </is>
      </c>
      <c r="C29" s="56" t="n"/>
      <c r="D29" s="170" t="n"/>
      <c r="E29" s="170" t="n"/>
      <c r="F29" s="170" t="n"/>
      <c r="G29" s="170" t="n"/>
      <c r="H29" s="170" t="n"/>
      <c r="I29" s="170" t="n"/>
    </row>
    <row r="30" ht="12.9" customHeight="1" s="343">
      <c r="B30" s="56" t="inlineStr">
        <is>
          <t>Closing Order Book:</t>
        </is>
      </c>
      <c r="C30" s="56" t="n"/>
      <c r="D30" s="539" t="n"/>
      <c r="E30" s="170" t="n"/>
      <c r="F30" s="170" t="n"/>
      <c r="G30" s="170" t="n"/>
      <c r="H30" s="170" t="n"/>
      <c r="I30" s="170" t="n"/>
    </row>
    <row r="31" ht="12.9" customHeight="1" s="343">
      <c r="B31" s="56" t="inlineStr">
        <is>
          <t>Heat Exchangers</t>
        </is>
      </c>
      <c r="C31" s="538" t="n">
        <v>412.8310576923077</v>
      </c>
      <c r="D31" s="170" t="n"/>
      <c r="E31" s="538">
        <f>'Revenue Segments'!Q17</f>
        <v/>
      </c>
      <c r="F31" s="131">
        <f>'Revenue Segments'!T17</f>
        <v/>
      </c>
      <c r="G31" s="539">
        <f>(F31/E31)-1</f>
        <v/>
      </c>
      <c r="H31" s="539">
        <f>(F31/C31)-1</f>
        <v/>
      </c>
      <c r="I31" s="170" t="n"/>
    </row>
    <row r="32" ht="12.9" customHeight="1" s="343">
      <c r="B32" s="56" t="inlineStr">
        <is>
          <t>Vessels</t>
        </is>
      </c>
      <c r="C32" s="538" t="n">
        <v>121.1</v>
      </c>
      <c r="D32" s="170" t="n"/>
      <c r="E32" s="538">
        <f>'Revenue Segments'!Q29</f>
        <v/>
      </c>
      <c r="F32" s="131">
        <f>'Revenue Segments'!T29</f>
        <v/>
      </c>
      <c r="G32" s="539">
        <f>(F32/E32)-1</f>
        <v/>
      </c>
      <c r="H32" s="539">
        <f>(F32/C32)-1</f>
        <v/>
      </c>
      <c r="I32" s="170" t="n"/>
    </row>
    <row r="33" ht="12.9" customHeight="1" s="343">
      <c r="B33" s="56" t="inlineStr">
        <is>
          <t>Towers &amp; Reactors</t>
        </is>
      </c>
      <c r="C33" s="538" t="n">
        <v>26.35139014647137</v>
      </c>
      <c r="D33" s="170" t="n"/>
      <c r="E33" s="538">
        <f>'Revenue Segments'!Q41</f>
        <v/>
      </c>
      <c r="F33" s="131">
        <f>'Revenue Segments'!T41</f>
        <v/>
      </c>
      <c r="G33" s="539">
        <f>(F33/E33)-1</f>
        <v/>
      </c>
      <c r="H33" s="539">
        <f>(F33/C33)-1</f>
        <v/>
      </c>
      <c r="I33" s="170" t="n"/>
    </row>
    <row r="34" ht="12.9" customHeight="1" s="343">
      <c r="B34" s="56" t="inlineStr">
        <is>
          <t>Tank &amp; Silos</t>
        </is>
      </c>
      <c r="C34" s="538" t="n">
        <v>54.068</v>
      </c>
      <c r="D34" s="170" t="n"/>
      <c r="E34" s="538">
        <f>'Revenue Segments'!Q53</f>
        <v/>
      </c>
      <c r="F34" s="131">
        <f>'Revenue Segments'!T53</f>
        <v/>
      </c>
      <c r="G34" s="539">
        <f>(F34/E34)-1</f>
        <v/>
      </c>
      <c r="H34" s="539">
        <f>(F34/C34)-1</f>
        <v/>
      </c>
      <c r="I34" s="170" t="n"/>
    </row>
    <row r="35" ht="12.9" customHeight="1" s="343">
      <c r="B35" s="56" t="inlineStr">
        <is>
          <t>Centrifuge &amp; Others</t>
        </is>
      </c>
      <c r="C35" s="538" t="n">
        <v>16.58627151266906</v>
      </c>
      <c r="D35" s="170" t="n"/>
      <c r="E35" s="538">
        <f>'Revenue Segments'!Q65</f>
        <v/>
      </c>
      <c r="F35" s="131">
        <f>'Revenue Segments'!T65</f>
        <v/>
      </c>
      <c r="G35" s="539">
        <f>(F35/E35)-1</f>
        <v/>
      </c>
      <c r="H35" s="539">
        <f>(F35/C35)-1</f>
        <v/>
      </c>
      <c r="I35" s="170" t="n"/>
    </row>
    <row r="36" ht="12.9" customHeight="1" s="343">
      <c r="B36" s="95" t="inlineStr">
        <is>
          <t>Total Order Book (Clg)</t>
        </is>
      </c>
      <c r="C36" s="299">
        <f>SUM(C31:C35)</f>
        <v/>
      </c>
      <c r="D36" s="170" t="n"/>
      <c r="E36" s="172">
        <f>SUM(E31:E35)</f>
        <v/>
      </c>
      <c r="F36" s="172">
        <f>SUM(F31:F35)</f>
        <v/>
      </c>
      <c r="G36" s="541">
        <f>(F36/E36)-1</f>
        <v/>
      </c>
      <c r="H36" s="541">
        <f>(F36/C36)-1</f>
        <v/>
      </c>
      <c r="I36" s="170" t="n"/>
    </row>
    <row r="37" ht="12.9" customHeight="1" s="343">
      <c r="B37" s="56" t="n"/>
      <c r="C37" s="56" t="n"/>
      <c r="D37" s="170" t="n"/>
      <c r="E37" s="170" t="n"/>
      <c r="F37" s="170" t="n"/>
      <c r="G37" s="170" t="n"/>
      <c r="H37" s="170" t="n"/>
      <c r="I37" s="170" t="n"/>
    </row>
    <row r="38" ht="12.9" customHeight="1" s="343">
      <c r="B38" s="56" t="inlineStr">
        <is>
          <t>Order Inflows:</t>
        </is>
      </c>
      <c r="C38" s="56" t="n"/>
      <c r="D38" s="170" t="n"/>
      <c r="E38" s="170" t="n"/>
      <c r="F38" s="170" t="n"/>
      <c r="G38" s="170" t="n"/>
      <c r="H38" s="170" t="n"/>
      <c r="I38" s="170" t="n"/>
    </row>
    <row r="39" ht="12.9" customHeight="1" s="343">
      <c r="B39" s="56" t="inlineStr">
        <is>
          <t>Heat Exchangers</t>
        </is>
      </c>
      <c r="C39" s="538" t="n">
        <v>567.1983173076924</v>
      </c>
      <c r="D39" s="170" t="n"/>
      <c r="E39" s="538">
        <f>'Revenue Segments'!Q11</f>
        <v/>
      </c>
      <c r="F39" s="131">
        <f>'Revenue Segments'!T11</f>
        <v/>
      </c>
      <c r="G39" s="539">
        <f>(F39/E39)-1</f>
        <v/>
      </c>
      <c r="H39" s="539">
        <f>(F39/C39)-1</f>
        <v/>
      </c>
      <c r="I39" s="170" t="n"/>
    </row>
    <row r="40" ht="12.9" customHeight="1" s="343">
      <c r="B40" s="56" t="inlineStr">
        <is>
          <t>Vessels</t>
        </is>
      </c>
      <c r="C40" s="538" t="n">
        <v>96.33333333333334</v>
      </c>
      <c r="D40" s="170" t="n"/>
      <c r="E40" s="538">
        <f>'Revenue Segments'!Q23</f>
        <v/>
      </c>
      <c r="F40" s="131">
        <f>'Revenue Segments'!T23</f>
        <v/>
      </c>
      <c r="G40" s="539">
        <f>(F40/E40)-1</f>
        <v/>
      </c>
      <c r="H40" s="539">
        <f>(F40/C40)-1</f>
        <v/>
      </c>
      <c r="I40" s="170" t="n"/>
    </row>
    <row r="41" ht="12.9" customHeight="1" s="343">
      <c r="B41" s="56" t="inlineStr">
        <is>
          <t>Towers &amp; Reactors</t>
        </is>
      </c>
      <c r="C41" s="538" t="n">
        <v>12.41898357745228</v>
      </c>
      <c r="D41" s="170" t="n"/>
      <c r="E41" s="538">
        <f>'Revenue Segments'!Q35</f>
        <v/>
      </c>
      <c r="F41" s="131">
        <f>'Revenue Segments'!T35</f>
        <v/>
      </c>
      <c r="G41" s="539">
        <f>(F41/E41)-1</f>
        <v/>
      </c>
      <c r="H41" s="539">
        <f>(F41/C41)-1</f>
        <v/>
      </c>
      <c r="I41" s="170" t="n"/>
    </row>
    <row r="42" ht="12.9" customHeight="1" s="343">
      <c r="B42" s="56" t="inlineStr">
        <is>
          <t>Tank &amp; Silos</t>
        </is>
      </c>
      <c r="C42" s="538" t="n">
        <v>53.94</v>
      </c>
      <c r="D42" s="170" t="n"/>
      <c r="E42" s="538">
        <f>'Revenue Segments'!Q47</f>
        <v/>
      </c>
      <c r="F42" s="131">
        <f>'Revenue Segments'!T47</f>
        <v/>
      </c>
      <c r="G42" s="539">
        <f>(F42/E42)-1</f>
        <v/>
      </c>
      <c r="H42" s="539">
        <f>(F42/C42)-1</f>
        <v/>
      </c>
      <c r="I42" s="170" t="n"/>
    </row>
    <row r="43" ht="12.9" customHeight="1" s="343">
      <c r="B43" s="56" t="inlineStr">
        <is>
          <t>Centrifuge &amp; Others</t>
        </is>
      </c>
      <c r="C43" s="538" t="n">
        <v>34.65833333333333</v>
      </c>
      <c r="D43" s="170" t="n"/>
      <c r="E43" s="538">
        <f>'Revenue Segments'!Q59</f>
        <v/>
      </c>
      <c r="F43" s="131">
        <f>'Revenue Segments'!T59</f>
        <v/>
      </c>
      <c r="G43" s="539">
        <f>(F43/E43)-1</f>
        <v/>
      </c>
      <c r="H43" s="539">
        <f>(F43/C43)-1</f>
        <v/>
      </c>
      <c r="I43" s="170" t="n"/>
    </row>
    <row r="44" ht="12.9" customHeight="1" s="343">
      <c r="B44" s="165" t="inlineStr">
        <is>
          <t>Total Order Inflows</t>
        </is>
      </c>
      <c r="C44" s="300">
        <f>SUM(C39:C43)</f>
        <v/>
      </c>
      <c r="D44" s="126" t="n"/>
      <c r="E44" s="173">
        <f>SUM(E39:E43)</f>
        <v/>
      </c>
      <c r="F44" s="173">
        <f>SUM(F39:F43)</f>
        <v/>
      </c>
      <c r="G44" s="542">
        <f>(F44/E44)-1</f>
        <v/>
      </c>
      <c r="H44" s="542">
        <f>(F44/C44)-1</f>
        <v/>
      </c>
      <c r="I44" s="126" t="n"/>
    </row>
    <row r="45" ht="12.9" customHeight="1" s="343"/>
    <row r="46" ht="12.9" customHeight="1" s="343"/>
    <row r="47" ht="12.9" customHeight="1" s="343"/>
    <row r="48" ht="12.9" customHeight="1" s="343"/>
    <row r="49" ht="12.9" customHeight="1" s="343"/>
    <row r="50" ht="12.9" customHeight="1" s="343"/>
    <row r="51" ht="12.9" customHeight="1" s="343"/>
    <row r="52" ht="12.9" customHeight="1" s="343"/>
    <row r="53" ht="12.9" customHeight="1" s="343"/>
    <row r="54" ht="12.9" customHeight="1" s="343"/>
    <row r="55" ht="12.9" customHeight="1" s="343"/>
    <row r="56" ht="12.9" customHeight="1" s="343"/>
    <row r="57" ht="12.9" customHeight="1" s="343"/>
    <row r="58" ht="12.9" customHeight="1" s="343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8E1C2F"/>
    <outlinePr summaryBelow="1" summaryRight="1"/>
    <pageSetUpPr/>
  </sheetPr>
  <dimension ref="A1:Z29"/>
  <sheetViews>
    <sheetView zoomScale="80" zoomScaleNormal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X12" sqref="X12"/>
    </sheetView>
  </sheetViews>
  <sheetFormatPr baseColWidth="8" defaultColWidth="8.77734375" defaultRowHeight="13.8"/>
  <cols>
    <col width="2.6640625" customWidth="1" style="12" min="1" max="1"/>
    <col width="55.6640625" customWidth="1" style="12" min="2" max="2"/>
    <col width="10.6640625" customWidth="1" style="12" min="3" max="26"/>
    <col width="10.5546875" customWidth="1" style="12" min="27" max="31"/>
    <col width="8.77734375" customWidth="1" style="12" min="32" max="16384"/>
  </cols>
  <sheetData>
    <row r="1">
      <c r="B1" s="436" t="inlineStr">
        <is>
          <t>Anup Engineering Limited</t>
        </is>
      </c>
    </row>
    <row r="2">
      <c r="B2" s="12" t="inlineStr">
        <is>
          <t>Fiscal year ending 31st Mar, 2026</t>
        </is>
      </c>
    </row>
    <row r="3">
      <c r="B3" s="12" t="inlineStr">
        <is>
          <t>All amounts in ₹ crores except per share data</t>
        </is>
      </c>
    </row>
    <row r="5" customFormat="1" s="360">
      <c r="B5" s="354" t="inlineStr">
        <is>
          <t xml:space="preserve">Relative Valuation </t>
        </is>
      </c>
    </row>
    <row r="6">
      <c r="C6" s="138" t="inlineStr">
        <is>
          <t>Income Statement Wise</t>
        </is>
      </c>
      <c r="D6" s="543" t="n"/>
      <c r="E6" s="543" t="n"/>
      <c r="F6" s="543" t="n"/>
      <c r="G6" s="543" t="n"/>
      <c r="H6" s="543" t="n"/>
      <c r="I6" s="543" t="n"/>
      <c r="J6" s="543" t="n"/>
      <c r="K6" s="544" t="n"/>
      <c r="L6" s="138" t="inlineStr">
        <is>
          <t>Balance Sheet Wise</t>
        </is>
      </c>
      <c r="M6" s="543" t="n"/>
      <c r="N6" s="543" t="n"/>
      <c r="O6" s="543" t="n"/>
      <c r="P6" s="543" t="n"/>
      <c r="Q6" s="543" t="n"/>
      <c r="R6" s="544" t="n"/>
      <c r="S6" s="138" t="inlineStr">
        <is>
          <t>Market Data</t>
        </is>
      </c>
      <c r="T6" s="543" t="n"/>
      <c r="U6" s="543" t="n"/>
      <c r="V6" s="543" t="n"/>
      <c r="W6" s="543" t="n"/>
      <c r="X6" s="543" t="n"/>
      <c r="Y6" s="544" t="n"/>
    </row>
    <row r="7" ht="27.6" customFormat="1" customHeight="1" s="16">
      <c r="B7" s="195" t="inlineStr">
        <is>
          <t>Peer Set</t>
        </is>
      </c>
      <c r="C7" s="196" t="inlineStr">
        <is>
          <t xml:space="preserve">Revenue </t>
        </is>
      </c>
      <c r="D7" s="196" t="inlineStr">
        <is>
          <t>Gross profit</t>
        </is>
      </c>
      <c r="E7" s="197" t="inlineStr">
        <is>
          <t>Gross margin</t>
        </is>
      </c>
      <c r="F7" s="196" t="inlineStr">
        <is>
          <t>EBITDA</t>
        </is>
      </c>
      <c r="G7" s="198" t="inlineStr">
        <is>
          <t>EBITDA margin</t>
        </is>
      </c>
      <c r="H7" s="198" t="inlineStr">
        <is>
          <t>Net Earnings</t>
        </is>
      </c>
      <c r="I7" s="196" t="inlineStr">
        <is>
          <t>Net margin</t>
        </is>
      </c>
      <c r="J7" s="196" t="inlineStr">
        <is>
          <t>EPS</t>
        </is>
      </c>
      <c r="K7" s="196" t="inlineStr">
        <is>
          <t>Debt</t>
        </is>
      </c>
      <c r="L7" s="196" t="inlineStr">
        <is>
          <t>Cash</t>
        </is>
      </c>
      <c r="M7" s="196" t="inlineStr">
        <is>
          <t>Total Equity</t>
        </is>
      </c>
      <c r="N7" s="196" t="inlineStr">
        <is>
          <t>Total Assets</t>
        </is>
      </c>
      <c r="O7" s="196" t="inlineStr">
        <is>
          <t>Debt/Equity</t>
        </is>
      </c>
      <c r="P7" s="196" t="inlineStr">
        <is>
          <t>ROE</t>
        </is>
      </c>
      <c r="Q7" s="196" t="inlineStr">
        <is>
          <t>ROCE=EBIT/ TA-CL</t>
        </is>
      </c>
      <c r="R7" s="196" t="inlineStr">
        <is>
          <t>ROA</t>
        </is>
      </c>
      <c r="S7" s="196" t="inlineStr">
        <is>
          <t>CMP</t>
        </is>
      </c>
      <c r="T7" s="197" t="inlineStr">
        <is>
          <t>No. of o/s Shares</t>
        </is>
      </c>
      <c r="U7" s="197" t="inlineStr">
        <is>
          <t>Market Cap</t>
        </is>
      </c>
      <c r="V7" s="197" t="inlineStr">
        <is>
          <t>EV</t>
        </is>
      </c>
      <c r="W7" s="197" t="inlineStr">
        <is>
          <t>P/E Ratio</t>
        </is>
      </c>
      <c r="X7" s="197" t="inlineStr">
        <is>
          <t>EV/EBITDA</t>
        </is>
      </c>
      <c r="Y7" s="197" t="inlineStr">
        <is>
          <t>P/B Ratio</t>
        </is>
      </c>
    </row>
    <row r="8" ht="12.9" customHeight="1" s="343">
      <c r="B8" s="117" t="inlineStr">
        <is>
          <t>ISGEC Heavy Engineering</t>
        </is>
      </c>
      <c r="C8" s="505">
        <f>'Peer Data'!I9</f>
        <v/>
      </c>
      <c r="D8" s="505">
        <f>'Peer Data'!J9</f>
        <v/>
      </c>
      <c r="E8" s="545">
        <f>D8/C8</f>
        <v/>
      </c>
      <c r="F8" s="546">
        <f>'Peer Data'!K9</f>
        <v/>
      </c>
      <c r="G8" s="547">
        <f>F8/C8</f>
        <v/>
      </c>
      <c r="H8" s="548">
        <f>'Peer Data'!M9</f>
        <v/>
      </c>
      <c r="I8" s="545">
        <f>H8/C8</f>
        <v/>
      </c>
      <c r="J8" s="548">
        <f>H8/T8</f>
        <v/>
      </c>
      <c r="K8" s="112">
        <f>'Peer Data'!D46</f>
        <v/>
      </c>
      <c r="L8" s="112">
        <f>'Peer Data'!D47</f>
        <v/>
      </c>
      <c r="M8" s="112">
        <f>'Peer Data'!D48</f>
        <v/>
      </c>
      <c r="N8" s="112">
        <f>'Peer Data'!D49</f>
        <v/>
      </c>
      <c r="O8" s="548">
        <f>K8/M8</f>
        <v/>
      </c>
      <c r="P8" s="545">
        <f>H8/M8</f>
        <v/>
      </c>
      <c r="Q8" s="545">
        <f>'Peer Data'!D30/('Peer Data'!D49-'Peer Data'!D51)</f>
        <v/>
      </c>
      <c r="R8" s="545">
        <f>H8/N8</f>
        <v/>
      </c>
      <c r="S8" s="83">
        <f>'Peer Data'!D9</f>
        <v/>
      </c>
      <c r="T8" s="130">
        <f>'Peer Data'!C9</f>
        <v/>
      </c>
      <c r="U8" s="131">
        <f>'Peer Data'!E9</f>
        <v/>
      </c>
      <c r="V8" s="130">
        <f>'Peer Data'!H9</f>
        <v/>
      </c>
      <c r="W8" s="131">
        <f>S8/J8</f>
        <v/>
      </c>
      <c r="X8" s="480">
        <f>V8/F8</f>
        <v/>
      </c>
      <c r="Y8" s="480">
        <f>U8/M8</f>
        <v/>
      </c>
      <c r="Z8" s="453" t="n"/>
    </row>
    <row r="9" ht="12.9" customHeight="1" s="343">
      <c r="B9" s="76" t="inlineStr">
        <is>
          <t>Praj Industries</t>
        </is>
      </c>
      <c r="C9" s="505">
        <f>'Peer Data'!I10</f>
        <v/>
      </c>
      <c r="D9" s="505">
        <f>'Peer Data'!J10</f>
        <v/>
      </c>
      <c r="E9" s="502">
        <f>D9/C9</f>
        <v/>
      </c>
      <c r="F9" s="453">
        <f>'Peer Data'!K10</f>
        <v/>
      </c>
      <c r="G9" s="549">
        <f>F9/C9</f>
        <v/>
      </c>
      <c r="H9" s="505">
        <f>'Peer Data'!M10</f>
        <v/>
      </c>
      <c r="I9" s="502">
        <f>H9/C9</f>
        <v/>
      </c>
      <c r="J9" s="505">
        <f>H9/T9</f>
        <v/>
      </c>
      <c r="K9" s="83">
        <f>'Peer Data'!E46</f>
        <v/>
      </c>
      <c r="L9" s="83">
        <f>'Peer Data'!E47</f>
        <v/>
      </c>
      <c r="M9" s="83">
        <f>'Peer Data'!E48</f>
        <v/>
      </c>
      <c r="N9" s="83">
        <f>'Peer Data'!E49</f>
        <v/>
      </c>
      <c r="O9" s="505">
        <f>K9/M9</f>
        <v/>
      </c>
      <c r="P9" s="502">
        <f>H9/M9</f>
        <v/>
      </c>
      <c r="Q9" s="502">
        <f>'Peer Data'!E30/('Peer Data'!E49-'Peer Data'!E51)</f>
        <v/>
      </c>
      <c r="R9" s="502">
        <f>H9/N9</f>
        <v/>
      </c>
      <c r="S9" s="83">
        <f>'Peer Data'!D10</f>
        <v/>
      </c>
      <c r="T9" s="130">
        <f>'Peer Data'!C10</f>
        <v/>
      </c>
      <c r="U9" s="131">
        <f>'Peer Data'!E10</f>
        <v/>
      </c>
      <c r="V9" s="130">
        <f>'Peer Data'!H10</f>
        <v/>
      </c>
      <c r="W9" s="131">
        <f>S9/J9</f>
        <v/>
      </c>
      <c r="X9" s="480">
        <f>V9/F9</f>
        <v/>
      </c>
      <c r="Y9" s="480">
        <f>U9/M9</f>
        <v/>
      </c>
      <c r="Z9" s="453" t="n"/>
    </row>
    <row r="10" ht="12.9" customHeight="1" s="343">
      <c r="B10" s="76" t="inlineStr">
        <is>
          <t>GMM Pfaudler</t>
        </is>
      </c>
      <c r="C10" s="505">
        <f>'Peer Data'!I11</f>
        <v/>
      </c>
      <c r="D10" s="505">
        <f>'Peer Data'!J11</f>
        <v/>
      </c>
      <c r="E10" s="502">
        <f>D10/C10</f>
        <v/>
      </c>
      <c r="F10" s="453">
        <f>'Peer Data'!K11</f>
        <v/>
      </c>
      <c r="G10" s="549">
        <f>F10/C10</f>
        <v/>
      </c>
      <c r="H10" s="505">
        <f>'Peer Data'!M11</f>
        <v/>
      </c>
      <c r="I10" s="502">
        <f>H10/C10</f>
        <v/>
      </c>
      <c r="J10" s="505">
        <f>H10/T10</f>
        <v/>
      </c>
      <c r="K10" s="83">
        <f>'Peer Data'!F46</f>
        <v/>
      </c>
      <c r="L10" s="83">
        <f>'Peer Data'!F47</f>
        <v/>
      </c>
      <c r="M10" s="83">
        <f>'Peer Data'!F48</f>
        <v/>
      </c>
      <c r="N10" s="83">
        <f>'Peer Data'!F48</f>
        <v/>
      </c>
      <c r="O10" s="505">
        <f>K10/M10</f>
        <v/>
      </c>
      <c r="P10" s="502">
        <f>H10/M10</f>
        <v/>
      </c>
      <c r="Q10" s="502">
        <f>'Peer Data'!F30/('Peer Data'!F49-'Peer Data'!F51)</f>
        <v/>
      </c>
      <c r="R10" s="502">
        <f>H10/N10</f>
        <v/>
      </c>
      <c r="S10" s="83">
        <f>'Peer Data'!D11</f>
        <v/>
      </c>
      <c r="T10" s="130">
        <f>'Peer Data'!C11</f>
        <v/>
      </c>
      <c r="U10" s="131">
        <f>'Peer Data'!E11</f>
        <v/>
      </c>
      <c r="V10" s="130">
        <f>'Peer Data'!H11</f>
        <v/>
      </c>
      <c r="W10" s="131">
        <f>S10/J10</f>
        <v/>
      </c>
      <c r="X10" s="480">
        <f>V10/F10</f>
        <v/>
      </c>
      <c r="Y10" s="480">
        <f>U10/M10</f>
        <v/>
      </c>
      <c r="Z10" s="453" t="n"/>
    </row>
    <row r="11" ht="12.9" customHeight="1" s="343">
      <c r="B11" s="123" t="inlineStr">
        <is>
          <t>Anup Engineering Ltd</t>
        </is>
      </c>
      <c r="C11" s="505">
        <f>'Peer Data'!I14</f>
        <v/>
      </c>
      <c r="D11" s="505">
        <f>'Peer Data'!J14</f>
        <v/>
      </c>
      <c r="E11" s="502">
        <f>D11/C11</f>
        <v/>
      </c>
      <c r="F11" s="453">
        <f>'Peer Data'!K14</f>
        <v/>
      </c>
      <c r="G11" s="549">
        <f>F11/C11</f>
        <v/>
      </c>
      <c r="H11" s="505">
        <f>'Peer Data'!M14</f>
        <v/>
      </c>
      <c r="I11" s="502">
        <f>H11/C11</f>
        <v/>
      </c>
      <c r="J11" s="550">
        <f>H11/T11</f>
        <v/>
      </c>
      <c r="K11" s="127">
        <f>'Peer Data'!C46</f>
        <v/>
      </c>
      <c r="L11" s="127">
        <f>'Peer Data'!C47</f>
        <v/>
      </c>
      <c r="M11" s="127">
        <f>'Peer Data'!C48</f>
        <v/>
      </c>
      <c r="N11" s="127">
        <f>'Peer Data'!C48</f>
        <v/>
      </c>
      <c r="O11" s="550">
        <f>K11/M11</f>
        <v/>
      </c>
      <c r="P11" s="551">
        <f>H11/M11</f>
        <v/>
      </c>
      <c r="Q11" s="551">
        <f>'Peer Data'!C30/('Peer Data'!C49-'Peer Data'!C51)</f>
        <v/>
      </c>
      <c r="R11" s="551">
        <f>H11/N11</f>
        <v/>
      </c>
      <c r="S11" s="83">
        <f>'Peer Data'!D14</f>
        <v/>
      </c>
      <c r="T11" s="130">
        <f>'Peer Data'!C14</f>
        <v/>
      </c>
      <c r="U11" s="131">
        <f>'Peer Data'!E14</f>
        <v/>
      </c>
      <c r="V11" s="130">
        <f>'Peer Data'!H14</f>
        <v/>
      </c>
      <c r="W11" s="131">
        <f>S11/J11</f>
        <v/>
      </c>
      <c r="X11" s="480">
        <f>V11/F11</f>
        <v/>
      </c>
      <c r="Y11" s="480">
        <f>U11/M11</f>
        <v/>
      </c>
    </row>
    <row r="12" ht="12.9" customHeight="1" s="343">
      <c r="B12" s="125" t="inlineStr">
        <is>
          <t>Average</t>
        </is>
      </c>
      <c r="C12" s="115">
        <f>AVERAGE(C8:C11)</f>
        <v/>
      </c>
      <c r="D12" s="115">
        <f>AVERAGE(D8:D11)</f>
        <v/>
      </c>
      <c r="E12" s="530">
        <f>AVERAGE(E8:E11)</f>
        <v/>
      </c>
      <c r="F12" s="115">
        <f>AVERAGE(F8:F11)</f>
        <v/>
      </c>
      <c r="G12" s="530">
        <f>AVERAGE(G8:G11)</f>
        <v/>
      </c>
      <c r="H12" s="115">
        <f>AVERAGE(H8:H11)</f>
        <v/>
      </c>
      <c r="I12" s="530">
        <f>AVERAGE(I8:I11)</f>
        <v/>
      </c>
      <c r="J12" s="115">
        <f>AVERAGE(J8:J11)</f>
        <v/>
      </c>
      <c r="K12" s="115">
        <f>AVERAGE(K8:K11)</f>
        <v/>
      </c>
      <c r="L12" s="115">
        <f>AVERAGE(L8:L11)</f>
        <v/>
      </c>
      <c r="M12" s="115">
        <f>AVERAGE(M8:M11)</f>
        <v/>
      </c>
      <c r="N12" s="115">
        <f>AVERAGE(N8:N11)</f>
        <v/>
      </c>
      <c r="O12" s="115">
        <f>AVERAGE(O8:O11)</f>
        <v/>
      </c>
      <c r="P12" s="530">
        <f>AVERAGE(P8:P11)</f>
        <v/>
      </c>
      <c r="Q12" s="530">
        <f>AVERAGE(Q8:Q11)</f>
        <v/>
      </c>
      <c r="R12" s="530">
        <f>AVERAGE(R8:R11)</f>
        <v/>
      </c>
      <c r="S12" s="115">
        <f>AVERAGE(S8:S11)</f>
        <v/>
      </c>
      <c r="T12" s="115">
        <f>AVERAGE(T8:T11)</f>
        <v/>
      </c>
      <c r="U12" s="115">
        <f>AVERAGE(U8:U11)</f>
        <v/>
      </c>
      <c r="V12" s="115">
        <f>AVERAGE(V8:V11)</f>
        <v/>
      </c>
      <c r="W12" s="115">
        <f>SUMPRODUCT(W8:W10,U8:U10)/SUM(U8:U10)</f>
        <v/>
      </c>
      <c r="X12" s="115">
        <f>SUMPRODUCT(X8:X10,V8:V10)/SUM(V8:V10)</f>
        <v/>
      </c>
      <c r="Y12" s="115">
        <f>AVERAGE(Y8:Y11)</f>
        <v/>
      </c>
    </row>
    <row r="13" ht="12.9" customHeight="1" s="343"/>
    <row r="14" ht="12.9" customHeight="1" s="343"/>
    <row r="15" ht="12.9" customFormat="1" customHeight="1" s="16">
      <c r="A15" s="12" t="n"/>
      <c r="B15" s="367" t="inlineStr">
        <is>
          <t>Relative Valuation a/o 5th June, 2026</t>
        </is>
      </c>
      <c r="C15" s="373" t="inlineStr">
        <is>
          <t xml:space="preserve"> EV/EBITDA</t>
        </is>
      </c>
      <c r="D15" s="12" t="n"/>
      <c r="E15" s="12" t="n"/>
      <c r="F15" s="12" t="n"/>
    </row>
    <row r="16" ht="12.9" customHeight="1" s="343">
      <c r="B16" s="95" t="inlineStr">
        <is>
          <t>Weighted Average Value</t>
        </is>
      </c>
      <c r="C16" s="281">
        <f>X12</f>
        <v/>
      </c>
      <c r="D16" s="453" t="n"/>
      <c r="E16" s="453" t="n"/>
    </row>
    <row r="17" ht="12.9" customHeight="1" s="343">
      <c r="B17" s="165" t="inlineStr">
        <is>
          <t>Implied Price</t>
        </is>
      </c>
      <c r="C17" s="552">
        <f>((C16*F11)-K11+L11)/T11</f>
        <v/>
      </c>
    </row>
    <row r="18" ht="12.9" customHeight="1" s="343"/>
    <row r="19" ht="12.9" customHeight="1" s="343"/>
    <row r="20" ht="12.9" customHeight="1" s="343"/>
    <row r="21" ht="12.9" customHeight="1" s="343"/>
    <row r="22" ht="12.9" customHeight="1" s="343"/>
    <row r="23" ht="12.9" customFormat="1" customHeight="1" s="16">
      <c r="A23" s="12" t="n"/>
      <c r="B23" s="12" t="n"/>
      <c r="C23" s="12" t="n"/>
      <c r="D23" s="12" t="n"/>
      <c r="E23" s="12" t="n"/>
      <c r="F23" s="12" t="n"/>
    </row>
    <row r="24" ht="12.9" customHeight="1" s="343"/>
    <row r="25" ht="12.9" customHeight="1" s="343"/>
    <row r="26" ht="12.9" customHeight="1" s="343"/>
    <row r="27" ht="12.9" customHeight="1" s="343"/>
    <row r="29">
      <c r="G29" s="27" t="n"/>
    </row>
  </sheetData>
  <mergeCells count="3">
    <mergeCell ref="C6:K6"/>
    <mergeCell ref="S6:Y6"/>
    <mergeCell ref="L6:R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8E1C2F"/>
    <outlinePr summaryBelow="1" summaryRight="1"/>
    <pageSetUpPr/>
  </sheetPr>
  <dimension ref="B1:P59"/>
  <sheetViews>
    <sheetView zoomScale="80" zoomScaleNormal="80" workbookViewId="0">
      <selection activeCell="J20" sqref="J20"/>
    </sheetView>
  </sheetViews>
  <sheetFormatPr baseColWidth="8" defaultColWidth="8.77734375" defaultRowHeight="13.8"/>
  <cols>
    <col width="2.6640625" customWidth="1" style="12" min="1" max="1"/>
    <col width="55.6640625" customWidth="1" style="12" min="2" max="2"/>
    <col width="10.6640625" customWidth="1" style="12" min="3" max="22"/>
    <col width="10.5546875" customWidth="1" style="12" min="23" max="45"/>
    <col width="8.77734375" customWidth="1" style="12" min="46" max="16384"/>
  </cols>
  <sheetData>
    <row r="1" ht="12.9" customHeight="1" s="343">
      <c r="B1" s="436" t="inlineStr">
        <is>
          <t>Anup Engineering Limited</t>
        </is>
      </c>
    </row>
    <row r="2" ht="12.9" customHeight="1" s="343">
      <c r="B2" s="12" t="inlineStr">
        <is>
          <t>Fiscal year ending 31st Mar, 2026</t>
        </is>
      </c>
    </row>
    <row r="3" ht="12.9" customHeight="1" s="343">
      <c r="B3" s="12" t="inlineStr">
        <is>
          <t>All amounts in ₹ crores except per share data</t>
        </is>
      </c>
    </row>
    <row r="4" ht="12.9" customHeight="1" s="343"/>
    <row r="5" ht="12.9" customHeight="1" s="343">
      <c r="B5" s="374" t="inlineStr">
        <is>
          <t>Comparable Company Analysis</t>
        </is>
      </c>
    </row>
    <row r="6" ht="12.9" customHeight="1" s="343">
      <c r="B6" s="331" t="inlineStr">
        <is>
          <t>Particulars</t>
        </is>
      </c>
      <c r="C6" s="330" t="inlineStr">
        <is>
          <t>Market Data</t>
        </is>
      </c>
      <c r="D6" s="543" t="n"/>
      <c r="E6" s="544" t="n"/>
      <c r="F6" s="330" t="inlineStr">
        <is>
          <t>Financial Data</t>
        </is>
      </c>
      <c r="G6" s="543" t="n"/>
      <c r="H6" s="543" t="n"/>
      <c r="I6" s="543" t="n"/>
      <c r="J6" s="543" t="n"/>
      <c r="K6" s="543" t="n"/>
      <c r="L6" s="544" t="n"/>
      <c r="M6" s="138" t="inlineStr">
        <is>
          <t>Valuation</t>
        </is>
      </c>
      <c r="N6" s="543" t="n"/>
      <c r="O6" s="543" t="n"/>
      <c r="P6" s="544" t="n"/>
    </row>
    <row r="7" ht="12.9" customFormat="1" customHeight="1" s="238">
      <c r="B7" s="553" t="n"/>
      <c r="C7" s="328" t="inlineStr">
        <is>
          <t>Shares O/s</t>
        </is>
      </c>
      <c r="D7" s="328" t="inlineStr">
        <is>
          <t>MPS</t>
        </is>
      </c>
      <c r="E7" s="216" t="inlineStr">
        <is>
          <t>Market Cap</t>
        </is>
      </c>
      <c r="F7" s="216" t="inlineStr">
        <is>
          <t>Cash</t>
        </is>
      </c>
      <c r="G7" s="216" t="inlineStr">
        <is>
          <t>Debt</t>
        </is>
      </c>
      <c r="H7" s="216" t="inlineStr">
        <is>
          <t>EV</t>
        </is>
      </c>
      <c r="I7" s="145" t="inlineStr">
        <is>
          <t>Sales</t>
        </is>
      </c>
      <c r="J7" s="145" t="inlineStr">
        <is>
          <t>Gross Profit</t>
        </is>
      </c>
      <c r="K7" s="145" t="inlineStr">
        <is>
          <t>EBITDA</t>
        </is>
      </c>
      <c r="L7" s="145" t="inlineStr">
        <is>
          <t>EBIT</t>
        </is>
      </c>
      <c r="M7" s="145" t="inlineStr">
        <is>
          <t>Net Earnings</t>
        </is>
      </c>
      <c r="N7" s="145" t="inlineStr">
        <is>
          <t>Price/ Sales</t>
        </is>
      </c>
      <c r="O7" s="145" t="inlineStr">
        <is>
          <t>EV/EBITDA</t>
        </is>
      </c>
      <c r="P7" s="145" t="inlineStr">
        <is>
          <t>EV/EBIT</t>
        </is>
      </c>
    </row>
    <row r="8" ht="12.9" customFormat="1" customHeight="1" s="16">
      <c r="B8" s="65" t="inlineStr">
        <is>
          <t>Peer Company</t>
        </is>
      </c>
      <c r="C8" s="64" t="n"/>
      <c r="D8" s="215" t="inlineStr">
        <is>
          <t>a/o 16 October, 2026</t>
        </is>
      </c>
      <c r="E8" s="215" t="inlineStr">
        <is>
          <t>a/o 16 October, 2026</t>
        </is>
      </c>
      <c r="F8" s="64" t="n"/>
      <c r="G8" s="64" t="n"/>
      <c r="H8" s="64" t="n"/>
      <c r="I8" s="146" t="n"/>
      <c r="J8" s="146" t="n"/>
      <c r="K8" s="146" t="n"/>
      <c r="L8" s="146" t="n"/>
      <c r="M8" s="146" t="n"/>
      <c r="N8" s="147" t="n"/>
      <c r="O8" s="147" t="n"/>
      <c r="P8" s="147" t="n"/>
    </row>
    <row r="9" ht="12.9" customHeight="1" s="343">
      <c r="B9" s="75" t="inlineStr">
        <is>
          <t>ISGEC Heavy Engineering</t>
        </is>
      </c>
      <c r="C9" s="148">
        <f>D53</f>
        <v/>
      </c>
      <c r="D9" s="148" t="n">
        <v>899.75</v>
      </c>
      <c r="E9" s="148">
        <f>C9*D9</f>
        <v/>
      </c>
      <c r="F9" s="148">
        <f>D47</f>
        <v/>
      </c>
      <c r="G9" s="148">
        <f>D46</f>
        <v/>
      </c>
      <c r="H9" s="148">
        <f>E9+G9-F9</f>
        <v/>
      </c>
      <c r="I9" s="554">
        <f>D$20</f>
        <v/>
      </c>
      <c r="J9" s="555">
        <f>D25</f>
        <v/>
      </c>
      <c r="K9" s="555">
        <f>D28</f>
        <v/>
      </c>
      <c r="L9" s="555">
        <f>D30</f>
        <v/>
      </c>
      <c r="M9" s="556">
        <f>D40</f>
        <v/>
      </c>
      <c r="N9" s="557">
        <f>E9/I9</f>
        <v/>
      </c>
      <c r="O9" s="557">
        <f>H9/K9</f>
        <v/>
      </c>
      <c r="P9" s="554">
        <f>H9/L9</f>
        <v/>
      </c>
    </row>
    <row r="10" ht="12.9" customHeight="1" s="343">
      <c r="B10" s="56" t="inlineStr">
        <is>
          <t>Praj Industries</t>
        </is>
      </c>
      <c r="C10" s="130">
        <f>E53</f>
        <v/>
      </c>
      <c r="D10" s="130" t="n">
        <v>287.15</v>
      </c>
      <c r="E10" s="130">
        <f>C10*D10</f>
        <v/>
      </c>
      <c r="F10" s="130">
        <f>E47</f>
        <v/>
      </c>
      <c r="G10" s="130">
        <f>E46</f>
        <v/>
      </c>
      <c r="H10" s="130">
        <f>E10+G10-F10</f>
        <v/>
      </c>
      <c r="I10" s="558">
        <f>E20</f>
        <v/>
      </c>
      <c r="J10" s="559">
        <f>E25</f>
        <v/>
      </c>
      <c r="K10" s="559">
        <f>E28</f>
        <v/>
      </c>
      <c r="L10" s="559">
        <f>E30</f>
        <v/>
      </c>
      <c r="M10" s="560">
        <f>E40</f>
        <v/>
      </c>
      <c r="N10" s="561">
        <f>E10/I10</f>
        <v/>
      </c>
      <c r="O10" s="561">
        <f>H10/K10</f>
        <v/>
      </c>
      <c r="P10" s="558">
        <f>H10/L10</f>
        <v/>
      </c>
    </row>
    <row r="11" ht="12.9" customHeight="1" s="343">
      <c r="B11" s="56" t="inlineStr">
        <is>
          <t>GMM Pfaudler</t>
        </is>
      </c>
      <c r="C11" s="130">
        <f>F53</f>
        <v/>
      </c>
      <c r="D11" s="130" t="n">
        <v>1312.1</v>
      </c>
      <c r="E11" s="130">
        <f>C11*D11</f>
        <v/>
      </c>
      <c r="F11" s="130">
        <f>F47</f>
        <v/>
      </c>
      <c r="G11" s="130">
        <f>F46</f>
        <v/>
      </c>
      <c r="H11" s="130">
        <f>E11+G11-F11</f>
        <v/>
      </c>
      <c r="I11" s="558">
        <f>F20</f>
        <v/>
      </c>
      <c r="J11" s="559">
        <f>F25</f>
        <v/>
      </c>
      <c r="K11" s="559">
        <f>F28</f>
        <v/>
      </c>
      <c r="L11" s="559">
        <f>F30</f>
        <v/>
      </c>
      <c r="M11" s="560">
        <f>F40</f>
        <v/>
      </c>
      <c r="N11" s="561">
        <f>E11/I11</f>
        <v/>
      </c>
      <c r="O11" s="561">
        <f>H11/K11</f>
        <v/>
      </c>
      <c r="P11" s="558">
        <f>H11/L11</f>
        <v/>
      </c>
    </row>
    <row r="12" ht="12.9" customHeight="1" s="343">
      <c r="B12" s="56" t="inlineStr">
        <is>
          <t>Thermax</t>
        </is>
      </c>
      <c r="C12" s="130">
        <f>G53</f>
        <v/>
      </c>
      <c r="D12" s="130" t="n">
        <v>3326.8</v>
      </c>
      <c r="E12" s="130">
        <f>C12*D12</f>
        <v/>
      </c>
      <c r="F12" s="130">
        <f>G47</f>
        <v/>
      </c>
      <c r="G12" s="130">
        <f>G46</f>
        <v/>
      </c>
      <c r="H12" s="130">
        <f>E12+G12-F12</f>
        <v/>
      </c>
      <c r="I12" s="558">
        <f>G20</f>
        <v/>
      </c>
      <c r="J12" s="559">
        <f>G25</f>
        <v/>
      </c>
      <c r="K12" s="559">
        <f>G28</f>
        <v/>
      </c>
      <c r="L12" s="559">
        <f>G30</f>
        <v/>
      </c>
      <c r="M12" s="560">
        <f>G40</f>
        <v/>
      </c>
      <c r="N12" s="561">
        <f>E12/I12</f>
        <v/>
      </c>
      <c r="O12" s="561">
        <f>H12/K12</f>
        <v/>
      </c>
      <c r="P12" s="558">
        <f>H12/L12</f>
        <v/>
      </c>
    </row>
    <row r="13" ht="12.9" customHeight="1" s="343">
      <c r="B13" s="56" t="inlineStr">
        <is>
          <t>Patels Airtemp India</t>
        </is>
      </c>
      <c r="C13" s="130">
        <f>H53</f>
        <v/>
      </c>
      <c r="D13" s="130" t="n">
        <v>360.8</v>
      </c>
      <c r="E13" s="130">
        <f>C13*D13</f>
        <v/>
      </c>
      <c r="F13" s="130">
        <f>H47</f>
        <v/>
      </c>
      <c r="G13" s="130">
        <f>H46</f>
        <v/>
      </c>
      <c r="H13" s="130">
        <f>E13+G13-F13</f>
        <v/>
      </c>
      <c r="I13" s="558">
        <f>H20</f>
        <v/>
      </c>
      <c r="J13" s="559">
        <f>H25</f>
        <v/>
      </c>
      <c r="K13" s="559">
        <f>H28</f>
        <v/>
      </c>
      <c r="L13" s="559">
        <f>H30</f>
        <v/>
      </c>
      <c r="M13" s="560">
        <f>H40</f>
        <v/>
      </c>
      <c r="N13" s="561">
        <f>E13/I13</f>
        <v/>
      </c>
      <c r="O13" s="561">
        <f>H13/K13</f>
        <v/>
      </c>
      <c r="P13" s="558">
        <f>H13/L13</f>
        <v/>
      </c>
    </row>
    <row r="14" ht="12.9" customHeight="1" s="343">
      <c r="B14" s="57" t="inlineStr">
        <is>
          <t>Anup Engineering Ltd</t>
        </is>
      </c>
      <c r="C14" s="157">
        <f>C53</f>
        <v/>
      </c>
      <c r="D14" s="157" t="n">
        <v>1488.5</v>
      </c>
      <c r="E14" s="157">
        <f>C14*D14</f>
        <v/>
      </c>
      <c r="F14" s="157">
        <f>C47</f>
        <v/>
      </c>
      <c r="G14" s="157">
        <f>C46</f>
        <v/>
      </c>
      <c r="H14" s="157">
        <f>E14+G14-F14</f>
        <v/>
      </c>
      <c r="I14" s="562">
        <f>C20</f>
        <v/>
      </c>
      <c r="J14" s="563">
        <f>C25</f>
        <v/>
      </c>
      <c r="K14" s="563">
        <f>C28</f>
        <v/>
      </c>
      <c r="L14" s="563">
        <f>C30</f>
        <v/>
      </c>
      <c r="M14" s="564">
        <f>C40</f>
        <v/>
      </c>
      <c r="N14" s="565">
        <f>E14/I14</f>
        <v/>
      </c>
      <c r="O14" s="565">
        <f>H14/K14</f>
        <v/>
      </c>
      <c r="P14" s="562">
        <f>H14/L14</f>
        <v/>
      </c>
    </row>
    <row r="15" ht="12.9" customHeight="1" s="343"/>
    <row r="16" ht="12.9" customHeight="1" s="343"/>
    <row r="17" ht="12.9" customHeight="1" s="343">
      <c r="B17" s="375" t="inlineStr">
        <is>
          <t xml:space="preserve">Income Statement </t>
        </is>
      </c>
      <c r="C17" s="566" t="n"/>
      <c r="D17" s="566" t="n"/>
      <c r="E17" s="566" t="n"/>
      <c r="F17" s="566" t="n"/>
      <c r="G17" s="566" t="n"/>
      <c r="H17" s="566" t="n"/>
    </row>
    <row r="18" ht="12.9" customHeight="1" s="343">
      <c r="B18" s="331" t="inlineStr">
        <is>
          <t>Particulars</t>
        </is>
      </c>
      <c r="C18" s="138" t="inlineStr">
        <is>
          <t>FY26</t>
        </is>
      </c>
      <c r="D18" s="543" t="n"/>
      <c r="E18" s="543" t="n"/>
      <c r="F18" s="543" t="n"/>
      <c r="G18" s="543" t="n"/>
      <c r="H18" s="544" t="n"/>
    </row>
    <row r="19" ht="12.9" customHeight="1" s="343">
      <c r="B19" s="553" t="n"/>
      <c r="C19" s="214" t="inlineStr">
        <is>
          <t>Anup Engineering Ltd</t>
        </is>
      </c>
      <c r="D19" s="214" t="inlineStr">
        <is>
          <t>ISGEC Heavy Engineering</t>
        </is>
      </c>
      <c r="E19" s="224" t="inlineStr">
        <is>
          <t>Praj Industries</t>
        </is>
      </c>
      <c r="F19" s="224" t="inlineStr">
        <is>
          <t>GMM Pfaudler</t>
        </is>
      </c>
      <c r="G19" s="214" t="inlineStr">
        <is>
          <t>Thermax</t>
        </is>
      </c>
      <c r="H19" s="224" t="inlineStr">
        <is>
          <t>Patels Airtemp India</t>
        </is>
      </c>
    </row>
    <row r="20" ht="12.9" customHeight="1" s="343">
      <c r="B20" s="162" t="inlineStr">
        <is>
          <t>Revenue from Operations</t>
        </is>
      </c>
      <c r="C20" s="567">
        <f>'Income Statement'!T8</f>
        <v/>
      </c>
      <c r="D20" s="567" t="n">
        <v>6789.26</v>
      </c>
      <c r="E20" s="567" t="n">
        <v>3167.8828</v>
      </c>
      <c r="F20" s="567" t="n">
        <v>3523.94</v>
      </c>
      <c r="G20" s="567" t="n">
        <v>10694.15</v>
      </c>
      <c r="H20" s="567" t="n">
        <v>252.9347</v>
      </c>
    </row>
    <row r="21" ht="12.9" customHeight="1" s="343">
      <c r="B21" s="56" t="inlineStr">
        <is>
          <t>Cost of Materials Consumed</t>
        </is>
      </c>
      <c r="C21" s="559">
        <f>'Income Statement'!T12</f>
        <v/>
      </c>
      <c r="D21" s="559" t="n">
        <v>1994.86</v>
      </c>
      <c r="E21" s="559" t="n">
        <v>1476.1768</v>
      </c>
      <c r="F21" s="559" t="n">
        <v>1463.15</v>
      </c>
      <c r="G21" s="559" t="n">
        <v>5424.02</v>
      </c>
      <c r="H21" s="559" t="n">
        <v>116.3751</v>
      </c>
    </row>
    <row r="22" ht="12.9" customHeight="1" s="343">
      <c r="B22" s="56" t="inlineStr">
        <is>
          <t>Purchase of Stock-in-Trade</t>
        </is>
      </c>
      <c r="C22" s="559" t="n">
        <v>0</v>
      </c>
      <c r="D22" s="559">
        <f>1770.22+665.46</f>
        <v/>
      </c>
      <c r="E22" s="559" t="n">
        <v>139.2647</v>
      </c>
      <c r="F22" s="559" t="n">
        <v>0</v>
      </c>
      <c r="G22" s="559" t="n">
        <v>184.67</v>
      </c>
      <c r="H22" s="559" t="n">
        <v>0.6479</v>
      </c>
    </row>
    <row r="23" ht="12.9" customHeight="1" s="343">
      <c r="B23" s="56" t="inlineStr">
        <is>
          <t>Changes in Inventories</t>
        </is>
      </c>
      <c r="C23" s="559">
        <f>'Income Statement'!T13</f>
        <v/>
      </c>
      <c r="D23" s="559" t="n">
        <v>-40.89</v>
      </c>
      <c r="E23" s="559" t="n">
        <v>4.5967</v>
      </c>
      <c r="F23" s="559" t="n">
        <v>-68</v>
      </c>
      <c r="G23" s="559" t="n">
        <v>-49.08</v>
      </c>
      <c r="H23" s="559" t="n">
        <v>33.4626</v>
      </c>
    </row>
    <row r="24" ht="12.9" customHeight="1" s="343">
      <c r="B24" s="95" t="inlineStr">
        <is>
          <t>Cost of Goods Sold</t>
        </is>
      </c>
      <c r="C24" s="568">
        <f>SUM(C21:C23)</f>
        <v/>
      </c>
      <c r="D24" s="568">
        <f>SUM(D21:D23)</f>
        <v/>
      </c>
      <c r="E24" s="568">
        <f>SUM(E21:E23)</f>
        <v/>
      </c>
      <c r="F24" s="568">
        <f>SUM(F21:F23)</f>
        <v/>
      </c>
      <c r="G24" s="568">
        <f>SUM(G21:G23)</f>
        <v/>
      </c>
      <c r="H24" s="568">
        <f>SUM(H21:H23)</f>
        <v/>
      </c>
    </row>
    <row r="25" ht="12.9" customHeight="1" s="343">
      <c r="B25" s="95" t="inlineStr">
        <is>
          <t xml:space="preserve">Gross Profit </t>
        </is>
      </c>
      <c r="C25" s="568">
        <f>C20-C24</f>
        <v/>
      </c>
      <c r="D25" s="568">
        <f>D20-D24</f>
        <v/>
      </c>
      <c r="E25" s="568">
        <f>E20-E24</f>
        <v/>
      </c>
      <c r="F25" s="568">
        <f>F20-F24</f>
        <v/>
      </c>
      <c r="G25" s="568">
        <f>G20-G24</f>
        <v/>
      </c>
      <c r="H25" s="568">
        <f>H20-H24</f>
        <v/>
      </c>
    </row>
    <row r="26" ht="12.9" customHeight="1" s="343">
      <c r="B26" s="56" t="inlineStr">
        <is>
          <t>Employee Benefits Expenses</t>
        </is>
      </c>
      <c r="C26" s="559">
        <f>'Income Statement'!T20</f>
        <v/>
      </c>
      <c r="D26" s="559" t="n">
        <v>666.42</v>
      </c>
      <c r="E26" s="559" t="n">
        <v>345.7596</v>
      </c>
      <c r="F26" s="559">
        <f>1006.97+120.28</f>
        <v/>
      </c>
      <c r="G26" s="559" t="n">
        <v>1421.2</v>
      </c>
      <c r="H26" s="559" t="n">
        <v>17.3398</v>
      </c>
    </row>
    <row r="27" ht="12.9" customHeight="1" s="343">
      <c r="B27" s="56" t="inlineStr">
        <is>
          <t>Other Expenses</t>
        </is>
      </c>
      <c r="C27" s="559">
        <f>'Income Statement'!T22</f>
        <v/>
      </c>
      <c r="D27" s="559" t="n">
        <v>1178.46</v>
      </c>
      <c r="E27" s="559" t="n">
        <v>1050.3115</v>
      </c>
      <c r="F27" s="559" t="n">
        <v>598.92</v>
      </c>
      <c r="G27" s="559">
        <f>1396.11+42.82+1248.15+0.41</f>
        <v/>
      </c>
      <c r="H27" s="559" t="n">
        <v>61.7889</v>
      </c>
    </row>
    <row r="28" ht="12.9" customHeight="1" s="343">
      <c r="B28" s="95" t="inlineStr">
        <is>
          <t>EBITDA</t>
        </is>
      </c>
      <c r="C28" s="569">
        <f>C25-(C26+C27)</f>
        <v/>
      </c>
      <c r="D28" s="569">
        <f>D25-(D26+D27)</f>
        <v/>
      </c>
      <c r="E28" s="569">
        <f>E25-(E26+E27)</f>
        <v/>
      </c>
      <c r="F28" s="569">
        <f>F25-(F26+F27)</f>
        <v/>
      </c>
      <c r="G28" s="569">
        <f>G25-(G26+G27)</f>
        <v/>
      </c>
      <c r="H28" s="569">
        <f>H25-(H26+H27)</f>
        <v/>
      </c>
    </row>
    <row r="29" ht="12.9" customHeight="1" s="343">
      <c r="B29" s="56" t="inlineStr">
        <is>
          <t>D&amp;A Expenses</t>
        </is>
      </c>
      <c r="C29" s="559">
        <f>'Income Statement'!T26</f>
        <v/>
      </c>
      <c r="D29" s="559" t="n">
        <v>278.34</v>
      </c>
      <c r="E29" s="559" t="n">
        <v>105.5645</v>
      </c>
      <c r="F29" s="559" t="n">
        <v>157.61</v>
      </c>
      <c r="G29" s="559" t="n">
        <v>207.64</v>
      </c>
      <c r="H29" s="559" t="n">
        <v>3.5144</v>
      </c>
    </row>
    <row r="30" ht="12.9" customHeight="1" s="343">
      <c r="B30" s="95" t="inlineStr">
        <is>
          <t>EBIT/ Operating Income</t>
        </is>
      </c>
      <c r="C30" s="569">
        <f>C28-C29</f>
        <v/>
      </c>
      <c r="D30" s="569">
        <f>D28-D29</f>
        <v/>
      </c>
      <c r="E30" s="569">
        <f>E28-E29</f>
        <v/>
      </c>
      <c r="F30" s="569">
        <f>F28-F29</f>
        <v/>
      </c>
      <c r="G30" s="569">
        <f>G28-G29</f>
        <v/>
      </c>
      <c r="H30" s="569">
        <f>H28-H29</f>
        <v/>
      </c>
    </row>
    <row r="31" ht="12.9" customHeight="1" s="343">
      <c r="B31" s="56" t="inlineStr">
        <is>
          <t>Other Income</t>
        </is>
      </c>
      <c r="C31" s="559">
        <f>'Income Statement'!T30</f>
        <v/>
      </c>
      <c r="D31" s="559" t="n">
        <v>133.02</v>
      </c>
      <c r="E31" s="559" t="n">
        <v>50.3549</v>
      </c>
      <c r="F31" s="559" t="n">
        <v>45.07</v>
      </c>
      <c r="G31" s="559" t="n">
        <v>267.48</v>
      </c>
      <c r="H31" s="559" t="n">
        <v>4.043</v>
      </c>
    </row>
    <row r="32" ht="12.9" customHeight="1" s="343">
      <c r="B32" s="56" t="inlineStr">
        <is>
          <t>Finance Costs</t>
        </is>
      </c>
      <c r="C32" s="559">
        <f>'Income Statement'!T31</f>
        <v/>
      </c>
      <c r="D32" s="559">
        <f>85.1-0.08</f>
        <v/>
      </c>
      <c r="E32" s="559" t="n">
        <v>20.2652</v>
      </c>
      <c r="F32" s="559" t="n">
        <v>122.8</v>
      </c>
      <c r="G32" s="559" t="n">
        <v>138.96</v>
      </c>
      <c r="H32" s="559" t="n">
        <v>9.9503</v>
      </c>
    </row>
    <row r="33" ht="12.9" customHeight="1" s="343">
      <c r="B33" s="95" t="inlineStr">
        <is>
          <t>PBT</t>
        </is>
      </c>
      <c r="C33" s="568">
        <f>C30+C31-C32</f>
        <v/>
      </c>
      <c r="D33" s="568">
        <f>D30+D31-D32</f>
        <v/>
      </c>
      <c r="E33" s="568">
        <f>E30+E31-E32</f>
        <v/>
      </c>
      <c r="F33" s="568">
        <f>F30+F31-F32</f>
        <v/>
      </c>
      <c r="G33" s="568">
        <f>G30+G31-G32</f>
        <v/>
      </c>
      <c r="H33" s="568">
        <f>H30+H31-H32</f>
        <v/>
      </c>
    </row>
    <row r="34" ht="12.9" customHeight="1" s="343">
      <c r="B34" s="56" t="inlineStr">
        <is>
          <t>Current Tax</t>
        </is>
      </c>
      <c r="C34" s="559">
        <f>'Income Statement'!T38</f>
        <v/>
      </c>
      <c r="D34" s="559" t="n">
        <v>150.7</v>
      </c>
      <c r="E34" s="559" t="n">
        <v>58.358</v>
      </c>
      <c r="F34" s="559" t="n">
        <v>72.93000000000001</v>
      </c>
      <c r="G34" s="559" t="n">
        <v>268.05</v>
      </c>
      <c r="H34" s="559" t="n">
        <v>3.5573</v>
      </c>
    </row>
    <row r="35" ht="12.9" customHeight="1" s="343">
      <c r="B35" s="56" t="inlineStr">
        <is>
          <t>Earlier Years tax</t>
        </is>
      </c>
      <c r="C35" s="559">
        <f>'Income Statement'!T39</f>
        <v/>
      </c>
      <c r="D35" s="559" t="n">
        <v>0.22</v>
      </c>
      <c r="E35" s="559" t="n">
        <v>0</v>
      </c>
      <c r="F35" s="559" t="n">
        <v>0</v>
      </c>
      <c r="G35" s="559" t="n">
        <v>0</v>
      </c>
      <c r="H35" s="559" t="n">
        <v>0</v>
      </c>
    </row>
    <row r="36" ht="12.9" customHeight="1" s="343">
      <c r="B36" s="56" t="inlineStr">
        <is>
          <t>Deferred Tax</t>
        </is>
      </c>
      <c r="C36" s="559">
        <f>'Income Statement'!T40</f>
        <v/>
      </c>
      <c r="D36" s="559" t="n">
        <v>2.94</v>
      </c>
      <c r="E36" s="559" t="n">
        <v>-32.2881</v>
      </c>
      <c r="F36" s="559" t="n">
        <v>-22.78</v>
      </c>
      <c r="G36" s="559" t="n">
        <v>19.63</v>
      </c>
      <c r="H36" s="559" t="n">
        <v>0.06710000000000001</v>
      </c>
    </row>
    <row r="37" ht="12.9" customHeight="1" s="343">
      <c r="B37" s="95" t="inlineStr">
        <is>
          <t>Total Tax Expense</t>
        </is>
      </c>
      <c r="C37" s="568">
        <f>SUM(C34:C36)</f>
        <v/>
      </c>
      <c r="D37" s="568">
        <f>SUM(D34:D36)</f>
        <v/>
      </c>
      <c r="E37" s="568">
        <f>SUM(E34:E36)</f>
        <v/>
      </c>
      <c r="F37" s="568">
        <f>SUM(F34:F36)</f>
        <v/>
      </c>
      <c r="G37" s="568">
        <f>SUM(G34:G36)</f>
        <v/>
      </c>
      <c r="H37" s="568">
        <f>SUM(H34:H36)</f>
        <v/>
      </c>
    </row>
    <row r="38" ht="12.9" customHeight="1" s="343">
      <c r="B38" s="95" t="inlineStr">
        <is>
          <t>PAT</t>
        </is>
      </c>
      <c r="C38" s="568">
        <f>C33-C37</f>
        <v/>
      </c>
      <c r="D38" s="568">
        <f>D33-D37</f>
        <v/>
      </c>
      <c r="E38" s="568">
        <f>E33-E37</f>
        <v/>
      </c>
      <c r="F38" s="568">
        <f>F33-F37</f>
        <v/>
      </c>
      <c r="G38" s="568">
        <f>G33-G37</f>
        <v/>
      </c>
      <c r="H38" s="568">
        <f>H33-H37</f>
        <v/>
      </c>
    </row>
    <row r="39" ht="12.9" customHeight="1" s="343">
      <c r="B39" s="56" t="inlineStr">
        <is>
          <t>Exceptional Items</t>
        </is>
      </c>
      <c r="C39" s="559" t="n">
        <v>0</v>
      </c>
      <c r="D39" s="559" t="n">
        <v>-16.49</v>
      </c>
      <c r="E39" s="559" t="n">
        <v>-26.3821</v>
      </c>
      <c r="F39" s="559" t="n">
        <v>-65.31</v>
      </c>
      <c r="G39" s="559" t="n">
        <v>61.21</v>
      </c>
      <c r="H39" s="559" t="n">
        <v>0</v>
      </c>
    </row>
    <row r="40" ht="12.9" customHeight="1" s="343">
      <c r="B40" s="165" t="inlineStr">
        <is>
          <t>Net Profit</t>
        </is>
      </c>
      <c r="C40" s="570">
        <f>SUM(C38:C39)</f>
        <v/>
      </c>
      <c r="D40" s="570">
        <f>SUM(D38:D39)</f>
        <v/>
      </c>
      <c r="E40" s="570">
        <f>SUM(E38:E39)</f>
        <v/>
      </c>
      <c r="F40" s="570">
        <f>SUM(F38:F39)</f>
        <v/>
      </c>
      <c r="G40" s="570">
        <f>SUM(G38:G39)</f>
        <v/>
      </c>
      <c r="H40" s="570">
        <f>SUM(H38:H39)</f>
        <v/>
      </c>
    </row>
    <row r="41" ht="12.9" customHeight="1" s="343">
      <c r="E41" s="453" t="n"/>
      <c r="G41" s="453" t="n"/>
      <c r="H41" s="571" t="n"/>
    </row>
    <row r="42" ht="12.9" customHeight="1" s="343">
      <c r="D42" s="453" t="n"/>
    </row>
    <row r="43" ht="12.9" customHeight="1" s="343">
      <c r="B43" s="375" t="inlineStr">
        <is>
          <t>Balance Sheet Items</t>
        </is>
      </c>
      <c r="C43" s="566" t="n"/>
      <c r="D43" s="566" t="n"/>
      <c r="E43" s="566" t="n"/>
      <c r="F43" s="566" t="n"/>
      <c r="G43" s="566" t="n"/>
      <c r="H43" s="566" t="n"/>
    </row>
    <row r="44" ht="12.9" customHeight="1" s="343">
      <c r="B44" s="331" t="inlineStr">
        <is>
          <t>Particulars</t>
        </is>
      </c>
      <c r="C44" s="138" t="inlineStr">
        <is>
          <t>FY26</t>
        </is>
      </c>
      <c r="D44" s="543" t="n"/>
      <c r="E44" s="543" t="n"/>
      <c r="F44" s="543" t="n"/>
      <c r="G44" s="543" t="n"/>
      <c r="H44" s="544" t="n"/>
    </row>
    <row r="45" ht="12.9" customHeight="1" s="343">
      <c r="B45" s="553" t="n"/>
      <c r="C45" s="214" t="inlineStr">
        <is>
          <t>Anup Engineering Ltd</t>
        </is>
      </c>
      <c r="D45" s="214" t="inlineStr">
        <is>
          <t>ISGEC Heavy Engineering</t>
        </is>
      </c>
      <c r="E45" s="224" t="inlineStr">
        <is>
          <t>Praj Industries</t>
        </is>
      </c>
      <c r="F45" s="224" t="inlineStr">
        <is>
          <t>GMM Pfaudler</t>
        </is>
      </c>
      <c r="G45" s="214" t="inlineStr">
        <is>
          <t>Thermax</t>
        </is>
      </c>
      <c r="H45" s="224" t="inlineStr">
        <is>
          <t>Patels Airtemp India</t>
        </is>
      </c>
    </row>
    <row r="46" ht="12.9" customHeight="1" s="343">
      <c r="B46" s="75" t="inlineStr">
        <is>
          <t>Debt</t>
        </is>
      </c>
      <c r="C46" s="148">
        <f>'Balance Sheet'!T13+'Balance Sheet'!T19</f>
        <v/>
      </c>
      <c r="D46" s="148">
        <f>517.42+400.65</f>
        <v/>
      </c>
      <c r="E46" s="148" t="n">
        <v>0</v>
      </c>
      <c r="F46" s="148">
        <f>544.6+290.46</f>
        <v/>
      </c>
      <c r="G46" s="148">
        <f>672.18+1615.83</f>
        <v/>
      </c>
      <c r="H46" s="148">
        <f>83.1394</f>
        <v/>
      </c>
    </row>
    <row r="47" ht="12.9" customHeight="1" s="343">
      <c r="B47" s="56" t="inlineStr">
        <is>
          <t xml:space="preserve">Cash </t>
        </is>
      </c>
      <c r="C47" s="130">
        <f>'Balance Sheet'!T49+'Balance Sheet'!T50</f>
        <v/>
      </c>
      <c r="D47" s="130">
        <f>324.22+72.94</f>
        <v/>
      </c>
      <c r="E47" s="130">
        <f>142.3696+61.3724</f>
        <v/>
      </c>
      <c r="F47" s="130">
        <f>635.38+52.26</f>
        <v/>
      </c>
      <c r="G47" s="130">
        <f>674.45+516.21</f>
        <v/>
      </c>
      <c r="H47" s="130">
        <f>33.6562+0.1417</f>
        <v/>
      </c>
    </row>
    <row r="48" ht="12.9" customHeight="1" s="343">
      <c r="B48" s="56" t="inlineStr">
        <is>
          <t>Equity</t>
        </is>
      </c>
      <c r="C48" s="130">
        <f>'Balance Sheet'!T11</f>
        <v/>
      </c>
      <c r="D48" s="130" t="n">
        <v>2887.67</v>
      </c>
      <c r="E48" s="130" t="n">
        <v>1309.2537</v>
      </c>
      <c r="F48" s="130" t="n">
        <v>1232.99</v>
      </c>
      <c r="G48" s="130" t="n">
        <v>5579.19</v>
      </c>
      <c r="H48" s="130" t="n">
        <v>166.1066</v>
      </c>
    </row>
    <row r="49" ht="12.9" customHeight="1" s="343">
      <c r="B49" s="56" t="inlineStr">
        <is>
          <t>Total Assets</t>
        </is>
      </c>
      <c r="C49" s="130">
        <f>'Balance Sheet'!T55</f>
        <v/>
      </c>
      <c r="D49" s="130" t="n">
        <v>8077.14</v>
      </c>
      <c r="E49" s="130" t="n">
        <v>3055.8943</v>
      </c>
      <c r="F49" s="130" t="n">
        <v>4023.55</v>
      </c>
      <c r="G49" s="130" t="n">
        <v>13282.11</v>
      </c>
      <c r="H49" s="130" t="n">
        <v>297.3674</v>
      </c>
    </row>
    <row r="50" ht="12.9" customHeight="1" s="343">
      <c r="B50" s="56" t="inlineStr">
        <is>
          <t>Total Liabilities</t>
        </is>
      </c>
      <c r="C50" s="130">
        <f>'Balance Sheet'!T28+'Balance Sheet'!T17</f>
        <v/>
      </c>
      <c r="D50" s="130">
        <f>D49-D48</f>
        <v/>
      </c>
      <c r="E50" s="130">
        <f>E49-E48</f>
        <v/>
      </c>
      <c r="F50" s="130">
        <f>F49-F48</f>
        <v/>
      </c>
      <c r="G50" s="130">
        <f>G49-G48</f>
        <v/>
      </c>
      <c r="H50" s="130">
        <f>H49-H48</f>
        <v/>
      </c>
    </row>
    <row r="51" ht="12.9" customHeight="1" s="343">
      <c r="B51" s="56" t="inlineStr">
        <is>
          <t>Current Liabilities</t>
        </is>
      </c>
      <c r="C51" s="130">
        <f>'Balance Sheet'!T28</f>
        <v/>
      </c>
      <c r="D51" s="130" t="n">
        <v>4347.45</v>
      </c>
      <c r="E51" s="130" t="n">
        <v>1618.9786</v>
      </c>
      <c r="F51" s="130" t="n">
        <v>1515.46</v>
      </c>
      <c r="G51" s="130" t="n">
        <v>5820.36</v>
      </c>
      <c r="H51" s="130" t="n">
        <v>15.5746</v>
      </c>
      <c r="I51" s="453" t="n"/>
    </row>
    <row r="52" ht="12.9" customHeight="1" s="343">
      <c r="B52" s="56" t="inlineStr">
        <is>
          <t xml:space="preserve">EPS </t>
        </is>
      </c>
      <c r="C52" s="130">
        <f>'Income Statement'!T49</f>
        <v/>
      </c>
      <c r="D52" s="130">
        <f>'Income Statement'!U49</f>
        <v/>
      </c>
      <c r="E52" s="130">
        <f>E40/E53</f>
        <v/>
      </c>
      <c r="F52" s="130">
        <f>F40/F53</f>
        <v/>
      </c>
      <c r="G52" s="130" t="n">
        <v>21.68</v>
      </c>
      <c r="H52" s="130" t="n">
        <v>18.78</v>
      </c>
      <c r="I52" s="453" t="n"/>
    </row>
    <row r="53" ht="12.9" customHeight="1" s="343">
      <c r="B53" s="57" t="inlineStr">
        <is>
          <t>No of o/s shares</t>
        </is>
      </c>
      <c r="C53" s="157" t="n">
        <v>2.00315</v>
      </c>
      <c r="D53" s="157" t="n">
        <v>7.353</v>
      </c>
      <c r="E53" s="157">
        <f>36.7626/2</f>
        <v/>
      </c>
      <c r="F53" s="157">
        <f>8.99/2</f>
        <v/>
      </c>
      <c r="G53" s="157">
        <f>22.53/2</f>
        <v/>
      </c>
      <c r="H53" s="157">
        <f>5.4702/10</f>
        <v/>
      </c>
      <c r="I53" s="453" t="n"/>
    </row>
    <row r="54" ht="12.9" customHeight="1" s="343">
      <c r="I54" s="453" t="n"/>
    </row>
    <row r="55" ht="12.9" customHeight="1" s="343">
      <c r="I55" s="453" t="n"/>
    </row>
    <row r="56" ht="12.9" customHeight="1" s="343">
      <c r="I56" s="453" t="n"/>
    </row>
    <row r="57" ht="12.9" customHeight="1" s="343">
      <c r="C57" s="217" t="n"/>
      <c r="D57" s="217" t="n"/>
      <c r="E57" s="217" t="n"/>
      <c r="F57" s="217" t="n"/>
      <c r="G57" s="217" t="n"/>
      <c r="H57" s="217" t="n"/>
      <c r="I57" s="453" t="n"/>
    </row>
    <row r="58" ht="12.9" customHeight="1" s="343">
      <c r="I58" s="453" t="n"/>
    </row>
    <row r="59" ht="12.9" customHeight="1" s="343">
      <c r="I59" s="453" t="n"/>
    </row>
  </sheetData>
  <mergeCells count="11">
    <mergeCell ref="F6:L6"/>
    <mergeCell ref="B17:H17"/>
    <mergeCell ref="C44:H44"/>
    <mergeCell ref="B18:B19"/>
    <mergeCell ref="B43:H43"/>
    <mergeCell ref="B5:P5"/>
    <mergeCell ref="M6:P6"/>
    <mergeCell ref="C18:H18"/>
    <mergeCell ref="B6:B7"/>
    <mergeCell ref="B44:B45"/>
    <mergeCell ref="C6:E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rgb="FF8E1C2F"/>
    <outlinePr summaryBelow="1" summaryRight="1"/>
    <pageSetUpPr/>
  </sheetPr>
  <dimension ref="B1:AB1256"/>
  <sheetViews>
    <sheetView topLeftCell="Q1" zoomScale="80" zoomScaleNormal="80" workbookViewId="0">
      <selection activeCell="AA9" sqref="AA9"/>
    </sheetView>
  </sheetViews>
  <sheetFormatPr baseColWidth="8" defaultColWidth="8.77734375" defaultRowHeight="13.8"/>
  <cols>
    <col width="2.6640625" customWidth="1" style="12" min="1" max="1"/>
    <col width="10.6640625" customWidth="1" style="12" min="2" max="27"/>
    <col width="10.5546875" customWidth="1" style="12" min="28" max="52"/>
    <col width="8.77734375" customWidth="1" style="12" min="53" max="16384"/>
  </cols>
  <sheetData>
    <row r="1">
      <c r="B1" s="397" t="inlineStr">
        <is>
          <t>Date</t>
        </is>
      </c>
      <c r="C1" s="393" t="inlineStr">
        <is>
          <t xml:space="preserve">Anup </t>
        </is>
      </c>
      <c r="D1" s="544" t="n"/>
      <c r="E1" s="393" t="inlineStr">
        <is>
          <t xml:space="preserve">BSE Capital Goods Index </t>
        </is>
      </c>
      <c r="F1" s="544" t="n"/>
      <c r="G1" s="394" t="inlineStr">
        <is>
          <t>Nifty 50</t>
        </is>
      </c>
      <c r="H1" s="544" t="n"/>
      <c r="I1" s="166" t="n"/>
      <c r="J1" s="397" t="inlineStr">
        <is>
          <t>Date</t>
        </is>
      </c>
      <c r="K1" s="394" t="inlineStr">
        <is>
          <t xml:space="preserve">Anup </t>
        </is>
      </c>
      <c r="L1" s="544" t="n"/>
      <c r="M1" s="393" t="inlineStr">
        <is>
          <t xml:space="preserve">BSE Capital Goods Index </t>
        </is>
      </c>
      <c r="N1" s="544" t="n"/>
      <c r="O1" s="394" t="inlineStr">
        <is>
          <t>Nifty 50</t>
        </is>
      </c>
      <c r="P1" s="544" t="n"/>
      <c r="Q1" s="166" t="n"/>
      <c r="R1" s="397" t="inlineStr">
        <is>
          <t>Date</t>
        </is>
      </c>
      <c r="S1" s="394" t="inlineStr">
        <is>
          <t xml:space="preserve">Anup </t>
        </is>
      </c>
      <c r="T1" s="544" t="n"/>
      <c r="U1" s="393" t="inlineStr">
        <is>
          <t xml:space="preserve">BSE Capital Goods Index </t>
        </is>
      </c>
      <c r="V1" s="544" t="n"/>
      <c r="W1" s="394" t="inlineStr">
        <is>
          <t>Nifty 50</t>
        </is>
      </c>
      <c r="X1" s="544" t="n"/>
    </row>
    <row r="2" ht="41.4" customHeight="1" s="343">
      <c r="B2" s="553" t="n"/>
      <c r="C2" s="396" t="inlineStr">
        <is>
          <t>Daily Closing Price</t>
        </is>
      </c>
      <c r="D2" s="397" t="inlineStr">
        <is>
          <t>Returns</t>
        </is>
      </c>
      <c r="E2" s="396" t="inlineStr">
        <is>
          <t>Daily Closing Price</t>
        </is>
      </c>
      <c r="F2" s="397" t="inlineStr">
        <is>
          <t>Returns</t>
        </is>
      </c>
      <c r="G2" s="397" t="inlineStr">
        <is>
          <t>Daily Closing Price</t>
        </is>
      </c>
      <c r="H2" s="397" t="inlineStr">
        <is>
          <t>Returns</t>
        </is>
      </c>
      <c r="I2" s="166" t="n"/>
      <c r="J2" s="553" t="n"/>
      <c r="K2" s="397" t="inlineStr">
        <is>
          <t>Weekly Closing Price</t>
        </is>
      </c>
      <c r="L2" s="397" t="inlineStr">
        <is>
          <t>Returns</t>
        </is>
      </c>
      <c r="M2" s="397" t="inlineStr">
        <is>
          <t>Weekly Closing Price</t>
        </is>
      </c>
      <c r="N2" s="397" t="inlineStr">
        <is>
          <t>Returns</t>
        </is>
      </c>
      <c r="O2" s="397" t="inlineStr">
        <is>
          <t>Weekly Closing Price</t>
        </is>
      </c>
      <c r="P2" s="397" t="inlineStr">
        <is>
          <t>Returns</t>
        </is>
      </c>
      <c r="Q2" s="166" t="n"/>
      <c r="R2" s="553" t="n"/>
      <c r="S2" s="397" t="inlineStr">
        <is>
          <t>Monthly Closing Price</t>
        </is>
      </c>
      <c r="T2" s="397" t="inlineStr">
        <is>
          <t>Returns</t>
        </is>
      </c>
      <c r="U2" s="397" t="inlineStr">
        <is>
          <t>Monthly Closing Price</t>
        </is>
      </c>
      <c r="V2" s="397" t="inlineStr">
        <is>
          <t>Returns</t>
        </is>
      </c>
      <c r="W2" s="397" t="inlineStr">
        <is>
          <t>Monthly Closing Price</t>
        </is>
      </c>
      <c r="X2" s="397" t="inlineStr">
        <is>
          <t>Returns</t>
        </is>
      </c>
    </row>
    <row r="3">
      <c r="B3" s="269" t="n">
        <v>46176</v>
      </c>
      <c r="C3" s="270" t="n">
        <v>1934.7</v>
      </c>
      <c r="D3" s="572">
        <f>C3/C4-1</f>
        <v/>
      </c>
      <c r="E3" s="270" t="n">
        <v>79354.73</v>
      </c>
      <c r="F3" s="572">
        <f>E3/E4-1</f>
        <v/>
      </c>
      <c r="G3" s="270" t="n">
        <v>23405.6</v>
      </c>
      <c r="H3" s="572">
        <f>G3/G4-1</f>
        <v/>
      </c>
      <c r="J3" s="269" t="n">
        <v>46176</v>
      </c>
      <c r="K3" s="270" t="n">
        <v>1934.7</v>
      </c>
      <c r="L3" s="572">
        <f>K3/K4-1</f>
        <v/>
      </c>
      <c r="M3" s="270" t="n">
        <v>79354.73</v>
      </c>
      <c r="N3" s="572">
        <f>M3/M4-1</f>
        <v/>
      </c>
      <c r="O3" s="270" t="n">
        <v>23405.6</v>
      </c>
      <c r="P3" s="572">
        <f>O3/O4-1</f>
        <v/>
      </c>
      <c r="R3" s="269" t="n">
        <v>46176</v>
      </c>
      <c r="S3" s="270" t="n">
        <v>1934.7</v>
      </c>
      <c r="T3" s="572">
        <f>S3/S4-1</f>
        <v/>
      </c>
      <c r="U3" s="270" t="n">
        <v>79354.73</v>
      </c>
      <c r="V3" s="572">
        <f>U3/U4-1</f>
        <v/>
      </c>
      <c r="W3" s="270" t="n">
        <v>23405.6</v>
      </c>
      <c r="X3" s="572">
        <f>W3/W4-1</f>
        <v/>
      </c>
      <c r="Z3" s="61" t="inlineStr">
        <is>
          <t>Beta (Monthly)</t>
        </is>
      </c>
      <c r="AA3" s="142">
        <f>SLOPE(T3:T62,V3:V62)</f>
        <v/>
      </c>
    </row>
    <row r="4">
      <c r="B4" s="269" t="n">
        <v>46175</v>
      </c>
      <c r="C4" s="270" t="n">
        <v>1870.3</v>
      </c>
      <c r="D4" s="572">
        <f>C4/C5-1</f>
        <v/>
      </c>
      <c r="E4" s="270" t="n">
        <v>79301.14999999999</v>
      </c>
      <c r="F4" s="572">
        <f>E4/E5-1</f>
        <v/>
      </c>
      <c r="G4" s="270" t="n">
        <v>23483.55</v>
      </c>
      <c r="H4" s="572">
        <f>G4/G5-1</f>
        <v/>
      </c>
      <c r="J4" s="269" t="n">
        <v>46173</v>
      </c>
      <c r="K4" s="270" t="n">
        <v>1840.4</v>
      </c>
      <c r="L4" s="572">
        <f>K4/K5-1</f>
        <v/>
      </c>
      <c r="M4" s="270" t="n">
        <v>80818.74000000001</v>
      </c>
      <c r="N4" s="572">
        <f>M4/M5-1</f>
        <v/>
      </c>
      <c r="O4" s="270" t="n">
        <v>23547.75</v>
      </c>
      <c r="P4" s="572">
        <f>O4/O5-1</f>
        <v/>
      </c>
      <c r="R4" s="269" t="n">
        <v>46173</v>
      </c>
      <c r="S4" s="270" t="n">
        <v>1840.4</v>
      </c>
      <c r="T4" s="572">
        <f>S4/S5-1</f>
        <v/>
      </c>
      <c r="U4" s="270" t="n">
        <v>80818.74000000001</v>
      </c>
      <c r="V4" s="572">
        <f>U4/U5-1</f>
        <v/>
      </c>
      <c r="W4" s="270" t="n">
        <v>23547.75</v>
      </c>
      <c r="X4" s="572">
        <f>W4/W5-1</f>
        <v/>
      </c>
      <c r="Z4" s="61" t="inlineStr">
        <is>
          <t>Beta (Weekly)</t>
        </is>
      </c>
      <c r="AA4" s="142">
        <f>SLOPE(L3:L263,N3:N263)</f>
        <v/>
      </c>
    </row>
    <row r="5">
      <c r="B5" s="269" t="n">
        <v>46174</v>
      </c>
      <c r="C5" s="270" t="n">
        <v>1840.1</v>
      </c>
      <c r="D5" s="572">
        <f>C5/C6-1</f>
        <v/>
      </c>
      <c r="E5" s="270" t="n">
        <v>78848.83</v>
      </c>
      <c r="F5" s="572">
        <f>E5/E6-1</f>
        <v/>
      </c>
      <c r="G5" s="270" t="n">
        <v>23382.6</v>
      </c>
      <c r="H5" s="572">
        <f>G5/G6-1</f>
        <v/>
      </c>
      <c r="J5" s="269" t="n">
        <v>46166</v>
      </c>
      <c r="K5" s="270" t="n">
        <v>1977.6</v>
      </c>
      <c r="L5" s="572">
        <f>K5/K6-1</f>
        <v/>
      </c>
      <c r="M5" s="270" t="n">
        <v>78316.91</v>
      </c>
      <c r="N5" s="572">
        <f>M5/M6-1</f>
        <v/>
      </c>
      <c r="O5" s="270" t="n">
        <v>23719.3</v>
      </c>
      <c r="P5" s="572">
        <f>O5/O6-1</f>
        <v/>
      </c>
      <c r="R5" s="269" t="n">
        <v>46142</v>
      </c>
      <c r="S5" s="270" t="n">
        <v>2062.2</v>
      </c>
      <c r="T5" s="572">
        <f>S5/S6-1</f>
        <v/>
      </c>
      <c r="U5" s="270" t="n">
        <v>77210.23</v>
      </c>
      <c r="V5" s="572">
        <f>U5/U6-1</f>
        <v/>
      </c>
      <c r="W5" s="270" t="n">
        <v>23997.55</v>
      </c>
      <c r="X5" s="572">
        <f>W5/W6-1</f>
        <v/>
      </c>
      <c r="Z5" s="61" t="inlineStr">
        <is>
          <t>Beta (Daily)</t>
        </is>
      </c>
      <c r="AA5" s="142">
        <f>SLOPE(D3:D1240,F3:F1240)</f>
        <v/>
      </c>
    </row>
    <row r="6">
      <c r="B6" s="269" t="n">
        <v>46171</v>
      </c>
      <c r="C6" s="270" t="n">
        <v>1840.4</v>
      </c>
      <c r="D6" s="572">
        <f>C6/C7-1</f>
        <v/>
      </c>
      <c r="E6" s="270" t="n">
        <v>80818.74000000001</v>
      </c>
      <c r="F6" s="572">
        <f>E6/E7-1</f>
        <v/>
      </c>
      <c r="G6" s="270" t="n">
        <v>23547.75</v>
      </c>
      <c r="H6" s="572">
        <f>G6/G7-1</f>
        <v/>
      </c>
      <c r="J6" s="269" t="n">
        <v>46159</v>
      </c>
      <c r="K6" s="270" t="n">
        <v>1966.5</v>
      </c>
      <c r="L6" s="572">
        <f>K6/K7-1</f>
        <v/>
      </c>
      <c r="M6" s="270" t="n">
        <v>76826.42</v>
      </c>
      <c r="N6" s="572">
        <f>M6/M7-1</f>
        <v/>
      </c>
      <c r="O6" s="270" t="n">
        <v>23643.5</v>
      </c>
      <c r="P6" s="572">
        <f>O6/O7-1</f>
        <v/>
      </c>
      <c r="R6" s="269" t="n">
        <v>46112</v>
      </c>
      <c r="S6" s="270" t="n">
        <v>1603.7</v>
      </c>
      <c r="T6" s="572">
        <f>S6/S7-1</f>
        <v/>
      </c>
      <c r="U6" s="270" t="n">
        <v>64243.38</v>
      </c>
      <c r="V6" s="572">
        <f>U6/U7-1</f>
        <v/>
      </c>
      <c r="W6" s="270" t="n">
        <v>22331.4</v>
      </c>
      <c r="X6" s="572">
        <f>W6/W7-1</f>
        <v/>
      </c>
      <c r="Z6" s="61" t="inlineStr">
        <is>
          <t>Rf</t>
        </is>
      </c>
      <c r="AA6" s="573" t="n">
        <v>0.0696</v>
      </c>
      <c r="AB6" s="141" t="inlineStr">
        <is>
          <t>https://www.rbi.org.in/Scripts/BS_NSDPDisplay.aspx?param=4</t>
        </is>
      </c>
    </row>
    <row r="7">
      <c r="B7" s="269" t="n">
        <v>46169</v>
      </c>
      <c r="C7" s="270" t="n">
        <v>1947</v>
      </c>
      <c r="D7" s="572">
        <f>C7/C8-1</f>
        <v/>
      </c>
      <c r="E7" s="270" t="n">
        <v>81647.91</v>
      </c>
      <c r="F7" s="572">
        <f>E7/E8-1</f>
        <v/>
      </c>
      <c r="G7" s="270" t="n">
        <v>23907.15</v>
      </c>
      <c r="H7" s="572">
        <f>G7/G8-1</f>
        <v/>
      </c>
      <c r="J7" s="269" t="n">
        <v>46152</v>
      </c>
      <c r="K7" s="270" t="n">
        <v>2161.9</v>
      </c>
      <c r="L7" s="572">
        <f>K7/K8-1</f>
        <v/>
      </c>
      <c r="M7" s="270" t="n">
        <v>80125.2</v>
      </c>
      <c r="N7" s="572">
        <f>M7/M8-1</f>
        <v/>
      </c>
      <c r="O7" s="270" t="n">
        <v>24176.15</v>
      </c>
      <c r="P7" s="572">
        <f>O7/O8-1</f>
        <v/>
      </c>
      <c r="R7" s="269" t="n">
        <v>46081</v>
      </c>
      <c r="S7" s="270" t="n">
        <v>1571.2</v>
      </c>
      <c r="T7" s="572">
        <f>S7/S8-1</f>
        <v/>
      </c>
      <c r="U7" s="270" t="n">
        <v>70454.47</v>
      </c>
      <c r="V7" s="572">
        <f>U7/U8-1</f>
        <v/>
      </c>
      <c r="W7" s="270" t="n">
        <v>25178.65</v>
      </c>
      <c r="X7" s="572">
        <f>W7/W8-1</f>
        <v/>
      </c>
      <c r="Z7" s="61" t="inlineStr">
        <is>
          <t>ERP</t>
        </is>
      </c>
      <c r="AA7" s="573" t="n">
        <v>0.0708</v>
      </c>
      <c r="AB7" s="141" t="inlineStr">
        <is>
          <t>https://pages.stern.nyu.edu/~adamodar/New_Home_Page/datafile/ctryprem.html</t>
        </is>
      </c>
    </row>
    <row r="8">
      <c r="B8" s="269" t="n">
        <v>46168</v>
      </c>
      <c r="C8" s="270" t="n">
        <v>1981.2</v>
      </c>
      <c r="D8" s="572">
        <f>C8/C9-1</f>
        <v/>
      </c>
      <c r="E8" s="270" t="n">
        <v>79107.53999999999</v>
      </c>
      <c r="F8" s="572">
        <f>E8/E9-1</f>
        <v/>
      </c>
      <c r="G8" s="270" t="n">
        <v>23913.7</v>
      </c>
      <c r="H8" s="572">
        <f>G8/G9-1</f>
        <v/>
      </c>
      <c r="J8" s="269" t="n">
        <v>46145</v>
      </c>
      <c r="K8" s="270" t="n">
        <v>2062.2</v>
      </c>
      <c r="L8" s="572">
        <f>K8/K9-1</f>
        <v/>
      </c>
      <c r="M8" s="270" t="n">
        <v>77210.23</v>
      </c>
      <c r="N8" s="572">
        <f>M8/M9-1</f>
        <v/>
      </c>
      <c r="O8" s="270" t="n">
        <v>23997.55</v>
      </c>
      <c r="P8" s="572">
        <f>O8/O9-1</f>
        <v/>
      </c>
      <c r="R8" s="269" t="n">
        <v>46053</v>
      </c>
      <c r="S8" s="270" t="n">
        <v>1771.2</v>
      </c>
      <c r="T8" s="572">
        <f>S8/S9-1</f>
        <v/>
      </c>
      <c r="U8" s="270" t="n">
        <v>66666.73</v>
      </c>
      <c r="V8" s="572">
        <f>U8/U9-1</f>
        <v/>
      </c>
      <c r="W8" s="270" t="n">
        <v>25320.65</v>
      </c>
      <c r="X8" s="572">
        <f>W8/W9-1</f>
        <v/>
      </c>
      <c r="Z8" s="61" t="inlineStr">
        <is>
          <t>Ke</t>
        </is>
      </c>
      <c r="AA8" s="573">
        <f>AA6+AA4*AA7</f>
        <v/>
      </c>
    </row>
    <row r="9">
      <c r="B9" s="269" t="n">
        <v>46167</v>
      </c>
      <c r="C9" s="270" t="n">
        <v>1977.7</v>
      </c>
      <c r="D9" s="572">
        <f>C9/C10-1</f>
        <v/>
      </c>
      <c r="E9" s="270" t="n">
        <v>78698.00999999999</v>
      </c>
      <c r="F9" s="572">
        <f>E9/E10-1</f>
        <v/>
      </c>
      <c r="G9" s="270" t="n">
        <v>24031.7</v>
      </c>
      <c r="H9" s="572">
        <f>G9/G10-1</f>
        <v/>
      </c>
      <c r="J9" s="269" t="n">
        <v>46138</v>
      </c>
      <c r="K9" s="270" t="n">
        <v>2108.8</v>
      </c>
      <c r="L9" s="572">
        <f>K9/K10-1</f>
        <v/>
      </c>
      <c r="M9" s="270" t="n">
        <v>77089.06</v>
      </c>
      <c r="N9" s="572">
        <f>M9/M10-1</f>
        <v/>
      </c>
      <c r="O9" s="270" t="n">
        <v>23897.95</v>
      </c>
      <c r="P9" s="572">
        <f>O9/O10-1</f>
        <v/>
      </c>
      <c r="R9" s="269" t="n">
        <v>46022</v>
      </c>
      <c r="S9" s="270" t="n">
        <v>2243.1</v>
      </c>
      <c r="T9" s="572">
        <f>S9/S10-1</f>
        <v/>
      </c>
      <c r="U9" s="270" t="n">
        <v>67112</v>
      </c>
      <c r="V9" s="572">
        <f>U9/U10-1</f>
        <v/>
      </c>
      <c r="W9" s="270" t="n">
        <v>26129.6</v>
      </c>
      <c r="X9" s="572">
        <f>W9/W10-1</f>
        <v/>
      </c>
    </row>
    <row r="10">
      <c r="B10" s="269" t="n">
        <v>46164</v>
      </c>
      <c r="C10" s="270" t="n">
        <v>1977.6</v>
      </c>
      <c r="D10" s="572">
        <f>C10/C11-1</f>
        <v/>
      </c>
      <c r="E10" s="270" t="n">
        <v>78316.91</v>
      </c>
      <c r="F10" s="572">
        <f>E10/E11-1</f>
        <v/>
      </c>
      <c r="G10" s="270" t="n">
        <v>23719.3</v>
      </c>
      <c r="H10" s="572">
        <f>G10/G11-1</f>
        <v/>
      </c>
      <c r="J10" s="269" t="n">
        <v>46131</v>
      </c>
      <c r="K10" s="270" t="n">
        <v>2022.3</v>
      </c>
      <c r="L10" s="572">
        <f>K10/K11-1</f>
        <v/>
      </c>
      <c r="M10" s="270" t="n">
        <v>76112.21000000001</v>
      </c>
      <c r="N10" s="572">
        <f>M10/M11-1</f>
        <v/>
      </c>
      <c r="O10" s="270" t="n">
        <v>24353.55</v>
      </c>
      <c r="P10" s="572">
        <f>O10/O11-1</f>
        <v/>
      </c>
      <c r="R10" s="269" t="n">
        <v>45991</v>
      </c>
      <c r="S10" s="270" t="n">
        <v>2259.8</v>
      </c>
      <c r="T10" s="572">
        <f>S10/S11-1</f>
        <v/>
      </c>
      <c r="U10" s="270" t="n">
        <v>69208.59</v>
      </c>
      <c r="V10" s="572">
        <f>U10/U11-1</f>
        <v/>
      </c>
      <c r="W10" s="270" t="n">
        <v>26202.95</v>
      </c>
      <c r="X10" s="572">
        <f>W10/W11-1</f>
        <v/>
      </c>
    </row>
    <row r="11">
      <c r="B11" s="269" t="n">
        <v>46163</v>
      </c>
      <c r="C11" s="270" t="n">
        <v>1978.4</v>
      </c>
      <c r="D11" s="572">
        <f>C11/C12-1</f>
        <v/>
      </c>
      <c r="E11" s="270" t="n">
        <v>78274.89999999999</v>
      </c>
      <c r="F11" s="572">
        <f>E11/E12-1</f>
        <v/>
      </c>
      <c r="G11" s="270" t="n">
        <v>23654.7</v>
      </c>
      <c r="H11" s="572">
        <f>G11/G12-1</f>
        <v/>
      </c>
      <c r="J11" s="269" t="n">
        <v>46124</v>
      </c>
      <c r="K11" s="270" t="n">
        <v>1911.8</v>
      </c>
      <c r="L11" s="572">
        <f>K11/K12-1</f>
        <v/>
      </c>
      <c r="M11" s="270" t="n">
        <v>72180.77</v>
      </c>
      <c r="N11" s="572">
        <f>M11/M12-1</f>
        <v/>
      </c>
      <c r="O11" s="270" t="n">
        <v>24050.6</v>
      </c>
      <c r="P11" s="572">
        <f>O11/O12-1</f>
        <v/>
      </c>
      <c r="R11" s="269" t="n">
        <v>45961</v>
      </c>
      <c r="S11" s="270" t="n">
        <v>2307.2</v>
      </c>
      <c r="T11" s="572">
        <f>S11/S12-1</f>
        <v/>
      </c>
      <c r="U11" s="270" t="n">
        <v>70404.39</v>
      </c>
      <c r="V11" s="572">
        <f>U11/U12-1</f>
        <v/>
      </c>
      <c r="W11" s="270" t="n">
        <v>25722.1</v>
      </c>
      <c r="X11" s="572">
        <f>W11/W12-1</f>
        <v/>
      </c>
    </row>
    <row r="12">
      <c r="B12" s="269" t="n">
        <v>46162</v>
      </c>
      <c r="C12" s="270" t="n">
        <v>1952</v>
      </c>
      <c r="D12" s="572">
        <f>C12/C13-1</f>
        <v/>
      </c>
      <c r="E12" s="270" t="n">
        <v>77278.48</v>
      </c>
      <c r="F12" s="572">
        <f>E12/E13-1</f>
        <v/>
      </c>
      <c r="G12" s="270" t="n">
        <v>23659</v>
      </c>
      <c r="H12" s="572">
        <f>G12/G13-1</f>
        <v/>
      </c>
      <c r="J12" s="269" t="n">
        <v>46117</v>
      </c>
      <c r="K12" s="270" t="n">
        <v>1748.8</v>
      </c>
      <c r="L12" s="572">
        <f>K12/K13-1</f>
        <v/>
      </c>
      <c r="M12" s="270" t="n">
        <v>66360.28</v>
      </c>
      <c r="N12" s="572">
        <f>M12/M13-1</f>
        <v/>
      </c>
      <c r="O12" s="270" t="n">
        <v>22713.1</v>
      </c>
      <c r="P12" s="572">
        <f>O12/O13-1</f>
        <v/>
      </c>
      <c r="R12" s="269" t="n">
        <v>45930</v>
      </c>
      <c r="S12" s="270" t="n">
        <v>2347.1</v>
      </c>
      <c r="T12" s="572">
        <f>S12/S13-1</f>
        <v/>
      </c>
      <c r="U12" s="270" t="n">
        <v>68289.99000000001</v>
      </c>
      <c r="V12" s="572">
        <f>U12/U13-1</f>
        <v/>
      </c>
      <c r="W12" s="270" t="n">
        <v>24611.1</v>
      </c>
      <c r="X12" s="572">
        <f>W12/W13-1</f>
        <v/>
      </c>
    </row>
    <row r="13">
      <c r="B13" s="269" t="n">
        <v>46161</v>
      </c>
      <c r="C13" s="270" t="n">
        <v>1955.5</v>
      </c>
      <c r="D13" s="572">
        <f>C13/C14-1</f>
        <v/>
      </c>
      <c r="E13" s="270" t="n">
        <v>76118.17</v>
      </c>
      <c r="F13" s="572">
        <f>E13/E14-1</f>
        <v/>
      </c>
      <c r="G13" s="270" t="n">
        <v>23618</v>
      </c>
      <c r="H13" s="572">
        <f>G13/G14-1</f>
        <v/>
      </c>
      <c r="J13" s="269" t="n">
        <v>46110</v>
      </c>
      <c r="K13" s="270" t="n">
        <v>1672.8</v>
      </c>
      <c r="L13" s="572">
        <f>K13/K14-1</f>
        <v/>
      </c>
      <c r="M13" s="270" t="n">
        <v>65702.59</v>
      </c>
      <c r="N13" s="572">
        <f>M13/M14-1</f>
        <v/>
      </c>
      <c r="O13" s="270" t="n">
        <v>22819.6</v>
      </c>
      <c r="P13" s="572">
        <f>O13/O14-1</f>
        <v/>
      </c>
      <c r="R13" s="269" t="n">
        <v>45900</v>
      </c>
      <c r="S13" s="270" t="n">
        <v>2214.7</v>
      </c>
      <c r="T13" s="572">
        <f>S13/S14-1</f>
        <v/>
      </c>
      <c r="U13" s="270" t="n">
        <v>65417.08</v>
      </c>
      <c r="V13" s="572">
        <f>U13/U14-1</f>
        <v/>
      </c>
      <c r="W13" s="270" t="n">
        <v>24426.85</v>
      </c>
      <c r="X13" s="572">
        <f>W13/W14-1</f>
        <v/>
      </c>
    </row>
    <row r="14">
      <c r="B14" s="269" t="n">
        <v>46160</v>
      </c>
      <c r="C14" s="270" t="n">
        <v>1929.6</v>
      </c>
      <c r="D14" s="572">
        <f>C14/C15-1</f>
        <v/>
      </c>
      <c r="E14" s="270" t="n">
        <v>76219.00999999999</v>
      </c>
      <c r="F14" s="572">
        <f>E14/E15-1</f>
        <v/>
      </c>
      <c r="G14" s="270" t="n">
        <v>23649.95</v>
      </c>
      <c r="H14" s="572">
        <f>G14/G15-1</f>
        <v/>
      </c>
      <c r="J14" s="269" t="n">
        <v>46103</v>
      </c>
      <c r="K14" s="270" t="n">
        <v>1588.2</v>
      </c>
      <c r="L14" s="572">
        <f>K14/K15-1</f>
        <v/>
      </c>
      <c r="M14" s="270" t="n">
        <v>67344.39</v>
      </c>
      <c r="N14" s="572">
        <f>M14/M15-1</f>
        <v/>
      </c>
      <c r="O14" s="270" t="n">
        <v>23114.5</v>
      </c>
      <c r="P14" s="572">
        <f>O14/O15-1</f>
        <v/>
      </c>
      <c r="R14" s="269" t="n">
        <v>45869</v>
      </c>
      <c r="S14" s="270" t="n">
        <v>2645.3</v>
      </c>
      <c r="T14" s="572">
        <f>S14/S15-1</f>
        <v/>
      </c>
      <c r="U14" s="270" t="n">
        <v>68236.66</v>
      </c>
      <c r="V14" s="572">
        <f>U14/U15-1</f>
        <v/>
      </c>
      <c r="W14" s="270" t="n">
        <v>24768.35</v>
      </c>
      <c r="X14" s="572">
        <f>W14/W15-1</f>
        <v/>
      </c>
    </row>
    <row r="15">
      <c r="B15" s="269" t="n">
        <v>46157</v>
      </c>
      <c r="C15" s="270" t="n">
        <v>1966.5</v>
      </c>
      <c r="D15" s="572">
        <f>C15/C16-1</f>
        <v/>
      </c>
      <c r="E15" s="270" t="n">
        <v>76826.42</v>
      </c>
      <c r="F15" s="572">
        <f>E15/E16-1</f>
        <v/>
      </c>
      <c r="G15" s="270" t="n">
        <v>23643.5</v>
      </c>
      <c r="H15" s="572">
        <f>G15/G16-1</f>
        <v/>
      </c>
      <c r="J15" s="269" t="n">
        <v>46096</v>
      </c>
      <c r="K15" s="270" t="n">
        <v>1521.8</v>
      </c>
      <c r="L15" s="572">
        <f>K15/K16-1</f>
        <v/>
      </c>
      <c r="M15" s="270" t="n">
        <v>67620.2</v>
      </c>
      <c r="N15" s="572">
        <f>M15/M16-1</f>
        <v/>
      </c>
      <c r="O15" s="270" t="n">
        <v>23151.1</v>
      </c>
      <c r="P15" s="572">
        <f>O15/O16-1</f>
        <v/>
      </c>
      <c r="R15" s="269" t="n">
        <v>45838</v>
      </c>
      <c r="S15" s="270" t="n">
        <v>2769.1</v>
      </c>
      <c r="T15" s="572">
        <f>S15/S16-1</f>
        <v/>
      </c>
      <c r="U15" s="270" t="n">
        <v>72332.77</v>
      </c>
      <c r="V15" s="572">
        <f>U15/U16-1</f>
        <v/>
      </c>
      <c r="W15" s="270" t="n">
        <v>25517.05</v>
      </c>
      <c r="X15" s="572">
        <f>W15/W16-1</f>
        <v/>
      </c>
    </row>
    <row r="16">
      <c r="B16" s="269" t="n">
        <v>46156</v>
      </c>
      <c r="C16" s="270" t="n">
        <v>1961.4</v>
      </c>
      <c r="D16" s="572">
        <f>C16/C17-1</f>
        <v/>
      </c>
      <c r="E16" s="270" t="n">
        <v>77604.31</v>
      </c>
      <c r="F16" s="572">
        <f>E16/E17-1</f>
        <v/>
      </c>
      <c r="G16" s="270" t="n">
        <v>23689.6</v>
      </c>
      <c r="H16" s="572">
        <f>G16/G17-1</f>
        <v/>
      </c>
      <c r="J16" s="269" t="n">
        <v>46089</v>
      </c>
      <c r="K16" s="270" t="n">
        <v>1479.2</v>
      </c>
      <c r="L16" s="572">
        <f>K16/K17-1</f>
        <v/>
      </c>
      <c r="M16" s="270" t="n">
        <v>70618.46000000001</v>
      </c>
      <c r="N16" s="572">
        <f>M16/M17-1</f>
        <v/>
      </c>
      <c r="O16" s="270" t="n">
        <v>24450.45</v>
      </c>
      <c r="P16" s="572">
        <f>O16/O17-1</f>
        <v/>
      </c>
      <c r="R16" s="269" t="n">
        <v>45808</v>
      </c>
      <c r="S16" s="270" t="n">
        <v>2778.2</v>
      </c>
      <c r="T16" s="572">
        <f>S16/S17-1</f>
        <v/>
      </c>
      <c r="U16" s="270" t="n">
        <v>71089.64</v>
      </c>
      <c r="V16" s="572">
        <f>U16/U17-1</f>
        <v/>
      </c>
      <c r="W16" s="270" t="n">
        <v>24750.7</v>
      </c>
      <c r="X16" s="572">
        <f>W16/W17-1</f>
        <v/>
      </c>
    </row>
    <row r="17">
      <c r="B17" s="269" t="n">
        <v>46155</v>
      </c>
      <c r="C17" s="270" t="n">
        <v>1979.2</v>
      </c>
      <c r="D17" s="572">
        <f>C17/C18-1</f>
        <v/>
      </c>
      <c r="E17" s="270" t="n">
        <v>77073.96000000001</v>
      </c>
      <c r="F17" s="572">
        <f>E17/E18-1</f>
        <v/>
      </c>
      <c r="G17" s="270" t="n">
        <v>23412.6</v>
      </c>
      <c r="H17" s="572">
        <f>G17/G18-1</f>
        <v/>
      </c>
      <c r="J17" s="269" t="n">
        <v>46082</v>
      </c>
      <c r="K17" s="270" t="n">
        <v>1571.2</v>
      </c>
      <c r="L17" s="572">
        <f>K17/K18-1</f>
        <v/>
      </c>
      <c r="M17" s="270" t="n">
        <v>70454.47</v>
      </c>
      <c r="N17" s="572">
        <f>M17/M18-1</f>
        <v/>
      </c>
      <c r="O17" s="270" t="n">
        <v>25178.65</v>
      </c>
      <c r="P17" s="572">
        <f>O17/O18-1</f>
        <v/>
      </c>
      <c r="R17" s="269" t="n">
        <v>45777</v>
      </c>
      <c r="S17" s="270" t="n">
        <v>2989.4</v>
      </c>
      <c r="T17" s="572">
        <f>S17/S18-1</f>
        <v/>
      </c>
      <c r="U17" s="270" t="n">
        <v>62780.39</v>
      </c>
      <c r="V17" s="572">
        <f>U17/U18-1</f>
        <v/>
      </c>
      <c r="W17" s="270" t="n">
        <v>24334.2</v>
      </c>
      <c r="X17" s="572">
        <f>W17/W18-1</f>
        <v/>
      </c>
    </row>
    <row r="18">
      <c r="B18" s="269" t="n">
        <v>46154</v>
      </c>
      <c r="C18" s="270" t="n">
        <v>1970.4</v>
      </c>
      <c r="D18" s="572">
        <f>C18/C19-1</f>
        <v/>
      </c>
      <c r="E18" s="270" t="n">
        <v>76216.88</v>
      </c>
      <c r="F18" s="572">
        <f>E18/E19-1</f>
        <v/>
      </c>
      <c r="G18" s="270" t="n">
        <v>23379.55</v>
      </c>
      <c r="H18" s="572">
        <f>G18/G19-1</f>
        <v/>
      </c>
      <c r="J18" s="269" t="n">
        <v>46075</v>
      </c>
      <c r="K18" s="270" t="n">
        <v>1700.5</v>
      </c>
      <c r="L18" s="572">
        <f>K18/K19-1</f>
        <v/>
      </c>
      <c r="M18" s="270" t="n">
        <v>69612.86</v>
      </c>
      <c r="N18" s="572">
        <f>M18/M19-1</f>
        <v/>
      </c>
      <c r="O18" s="270" t="n">
        <v>25571.25</v>
      </c>
      <c r="P18" s="572">
        <f>O18/O19-1</f>
        <v/>
      </c>
      <c r="R18" s="269" t="n">
        <v>45747</v>
      </c>
      <c r="S18" s="270" t="n">
        <v>3475.5</v>
      </c>
      <c r="T18" s="572">
        <f>S18/S19-1</f>
        <v/>
      </c>
      <c r="U18" s="270" t="n">
        <v>62724.28</v>
      </c>
      <c r="V18" s="572">
        <f>U18/U19-1</f>
        <v/>
      </c>
      <c r="W18" s="270" t="n">
        <v>23519.35</v>
      </c>
      <c r="X18" s="572">
        <f>W18/W19-1</f>
        <v/>
      </c>
    </row>
    <row r="19">
      <c r="B19" s="269" t="n">
        <v>46153</v>
      </c>
      <c r="C19" s="270" t="n">
        <v>2067.6</v>
      </c>
      <c r="D19" s="572">
        <f>C19/C20-1</f>
        <v/>
      </c>
      <c r="E19" s="270" t="n">
        <v>78453.03</v>
      </c>
      <c r="F19" s="572">
        <f>E19/E20-1</f>
        <v/>
      </c>
      <c r="G19" s="270" t="n">
        <v>23815.85</v>
      </c>
      <c r="H19" s="572">
        <f>G19/G20-1</f>
        <v/>
      </c>
      <c r="J19" s="269" t="n">
        <v>46068</v>
      </c>
      <c r="K19" s="270" t="n">
        <v>1984.5</v>
      </c>
      <c r="L19" s="572">
        <f>K19/K20-1</f>
        <v/>
      </c>
      <c r="M19" s="270" t="n">
        <v>68243.17</v>
      </c>
      <c r="N19" s="572">
        <f>M19/M20-1</f>
        <v/>
      </c>
      <c r="O19" s="270" t="n">
        <v>25471.1</v>
      </c>
      <c r="P19" s="572">
        <f>O19/O20-1</f>
        <v/>
      </c>
      <c r="R19" s="269" t="n">
        <v>45716</v>
      </c>
      <c r="S19" s="270" t="n">
        <v>2798.15</v>
      </c>
      <c r="T19" s="572">
        <f>S19/S20-1</f>
        <v/>
      </c>
      <c r="U19" s="270" t="n">
        <v>55241.12</v>
      </c>
      <c r="V19" s="572">
        <f>U19/U20-1</f>
        <v/>
      </c>
      <c r="W19" s="270" t="n">
        <v>22124.7</v>
      </c>
      <c r="X19" s="572">
        <f>W19/W20-1</f>
        <v/>
      </c>
    </row>
    <row r="20">
      <c r="B20" s="269" t="n">
        <v>46150</v>
      </c>
      <c r="C20" s="270" t="n">
        <v>2161.9</v>
      </c>
      <c r="D20" s="572">
        <f>C20/C21-1</f>
        <v/>
      </c>
      <c r="E20" s="270" t="n">
        <v>80125.2</v>
      </c>
      <c r="F20" s="572">
        <f>E20/E21-1</f>
        <v/>
      </c>
      <c r="G20" s="270" t="n">
        <v>24176.15</v>
      </c>
      <c r="H20" s="572">
        <f>G20/G21-1</f>
        <v/>
      </c>
      <c r="J20" s="269" t="n">
        <v>46061</v>
      </c>
      <c r="K20" s="270" t="n">
        <v>1933.7</v>
      </c>
      <c r="L20" s="572">
        <f>K20/K21-1</f>
        <v/>
      </c>
      <c r="M20" s="270" t="n">
        <v>67752.3</v>
      </c>
      <c r="N20" s="572">
        <f>M20/M21-1</f>
        <v/>
      </c>
      <c r="O20" s="270" t="n">
        <v>25693.7</v>
      </c>
      <c r="P20" s="572">
        <f>O20/O21-1</f>
        <v/>
      </c>
      <c r="R20" s="269" t="n">
        <v>45688</v>
      </c>
      <c r="S20" s="270" t="n">
        <v>2824.6</v>
      </c>
      <c r="T20" s="572">
        <f>S20/S21-1</f>
        <v/>
      </c>
      <c r="U20" s="270" t="n">
        <v>64529.77</v>
      </c>
      <c r="V20" s="572">
        <f>U20/U21-1</f>
        <v/>
      </c>
      <c r="W20" s="270" t="n">
        <v>23508.4</v>
      </c>
      <c r="X20" s="572">
        <f>W20/W21-1</f>
        <v/>
      </c>
    </row>
    <row r="21">
      <c r="B21" s="269" t="n">
        <v>46149</v>
      </c>
      <c r="C21" s="270" t="n">
        <v>2184.8</v>
      </c>
      <c r="D21" s="572">
        <f>C21/C22-1</f>
        <v/>
      </c>
      <c r="E21" s="270" t="n">
        <v>80320.92</v>
      </c>
      <c r="F21" s="572">
        <f>E21/E22-1</f>
        <v/>
      </c>
      <c r="G21" s="270" t="n">
        <v>24326.65</v>
      </c>
      <c r="H21" s="572">
        <f>G21/G22-1</f>
        <v/>
      </c>
      <c r="J21" s="269" t="n">
        <v>46054</v>
      </c>
      <c r="K21" s="270" t="n">
        <v>1757.4</v>
      </c>
      <c r="L21" s="572">
        <f>K21/K22-1</f>
        <v/>
      </c>
      <c r="M21" s="270" t="n">
        <v>64655.41</v>
      </c>
      <c r="N21" s="572">
        <f>M21/M22-1</f>
        <v/>
      </c>
      <c r="O21" s="270" t="n">
        <v>24825.45</v>
      </c>
      <c r="P21" s="572">
        <f>O21/O22-1</f>
        <v/>
      </c>
      <c r="R21" s="269" t="n">
        <v>45657</v>
      </c>
      <c r="S21" s="270" t="n">
        <v>3498.65</v>
      </c>
      <c r="T21" s="572">
        <f>S21/S22-1</f>
        <v/>
      </c>
      <c r="U21" s="270" t="n">
        <v>67779.5</v>
      </c>
      <c r="V21" s="572">
        <f>U21/U22-1</f>
        <v/>
      </c>
      <c r="W21" s="270" t="n">
        <v>23644.8</v>
      </c>
      <c r="X21" s="572">
        <f>W21/W22-1</f>
        <v/>
      </c>
    </row>
    <row r="22">
      <c r="B22" s="269" t="n">
        <v>46148</v>
      </c>
      <c r="C22" s="270" t="n">
        <v>2121.8</v>
      </c>
      <c r="D22" s="572">
        <f>C22/C23-1</f>
        <v/>
      </c>
      <c r="E22" s="270" t="n">
        <v>78706.03</v>
      </c>
      <c r="F22" s="572">
        <f>E22/E23-1</f>
        <v/>
      </c>
      <c r="G22" s="270" t="n">
        <v>24330.95</v>
      </c>
      <c r="H22" s="572">
        <f>G22/G23-1</f>
        <v/>
      </c>
      <c r="J22" s="269" t="n">
        <v>46047</v>
      </c>
      <c r="K22" s="270" t="n">
        <v>1820</v>
      </c>
      <c r="L22" s="572">
        <f>K22/K23-1</f>
        <v/>
      </c>
      <c r="M22" s="270" t="n">
        <v>61781.41</v>
      </c>
      <c r="N22" s="572">
        <f>M22/M23-1</f>
        <v/>
      </c>
      <c r="O22" s="270" t="n">
        <v>25048.65</v>
      </c>
      <c r="P22" s="572">
        <f>O22/O23-1</f>
        <v/>
      </c>
      <c r="R22" s="269" t="n">
        <v>45626</v>
      </c>
      <c r="S22" s="270" t="n">
        <v>3655.15</v>
      </c>
      <c r="T22" s="572">
        <f>S22/S23-1</f>
        <v/>
      </c>
      <c r="U22" s="270" t="n">
        <v>70700.25999999999</v>
      </c>
      <c r="V22" s="572">
        <f>U22/U23-1</f>
        <v/>
      </c>
      <c r="W22" s="270" t="n">
        <v>24131.1</v>
      </c>
      <c r="X22" s="572">
        <f>W22/W23-1</f>
        <v/>
      </c>
    </row>
    <row r="23">
      <c r="B23" s="269" t="n">
        <v>46147</v>
      </c>
      <c r="C23" s="270" t="n">
        <v>2072.2</v>
      </c>
      <c r="D23" s="572">
        <f>C23/C24-1</f>
        <v/>
      </c>
      <c r="E23" s="270" t="n">
        <v>78403.69</v>
      </c>
      <c r="F23" s="572">
        <f>E23/E24-1</f>
        <v/>
      </c>
      <c r="G23" s="270" t="n">
        <v>24032.8</v>
      </c>
      <c r="H23" s="572">
        <f>G23/G24-1</f>
        <v/>
      </c>
      <c r="J23" s="269" t="n">
        <v>46040</v>
      </c>
      <c r="K23" s="270" t="n">
        <v>1972.7</v>
      </c>
      <c r="L23" s="572">
        <f>K23/K24-1</f>
        <v/>
      </c>
      <c r="M23" s="270" t="n">
        <v>63952.45</v>
      </c>
      <c r="N23" s="572">
        <f>M23/M24-1</f>
        <v/>
      </c>
      <c r="O23" s="270" t="n">
        <v>25694.35</v>
      </c>
      <c r="P23" s="572">
        <f>O23/O24-1</f>
        <v/>
      </c>
      <c r="R23" s="269" t="n">
        <v>45596</v>
      </c>
      <c r="S23" s="270" t="n">
        <v>3481.6</v>
      </c>
      <c r="T23" s="572">
        <f>S23/S24-1</f>
        <v/>
      </c>
      <c r="U23" s="270" t="n">
        <v>69105.8</v>
      </c>
      <c r="V23" s="572">
        <f>U23/U24-1</f>
        <v/>
      </c>
      <c r="W23" s="270" t="n">
        <v>24205.35</v>
      </c>
      <c r="X23" s="572">
        <f>W23/W24-1</f>
        <v/>
      </c>
    </row>
    <row r="24">
      <c r="B24" s="269" t="n">
        <v>46146</v>
      </c>
      <c r="C24" s="270" t="n">
        <v>2077.5</v>
      </c>
      <c r="D24" s="572">
        <f>C24/C25-1</f>
        <v/>
      </c>
      <c r="E24" s="270" t="n">
        <v>78066.17999999999</v>
      </c>
      <c r="F24" s="572">
        <f>E24/E25-1</f>
        <v/>
      </c>
      <c r="G24" s="270" t="n">
        <v>24119.3</v>
      </c>
      <c r="H24" s="572">
        <f>G24/G25-1</f>
        <v/>
      </c>
      <c r="J24" s="269" t="n">
        <v>46033</v>
      </c>
      <c r="K24" s="270" t="n">
        <v>2163.6</v>
      </c>
      <c r="L24" s="572">
        <f>K24/K25-1</f>
        <v/>
      </c>
      <c r="M24" s="270" t="n">
        <v>65582.69</v>
      </c>
      <c r="N24" s="572">
        <f>M24/M25-1</f>
        <v/>
      </c>
      <c r="O24" s="270" t="n">
        <v>25683.3</v>
      </c>
      <c r="P24" s="572">
        <f>O24/O25-1</f>
        <v/>
      </c>
      <c r="R24" s="269" t="n">
        <v>45565</v>
      </c>
      <c r="S24" s="270" t="n">
        <v>2323.25</v>
      </c>
      <c r="T24" s="572">
        <f>S24/S25-1</f>
        <v/>
      </c>
      <c r="U24" s="270" t="n">
        <v>73107</v>
      </c>
      <c r="V24" s="572">
        <f>U24/U25-1</f>
        <v/>
      </c>
      <c r="W24" s="270" t="n">
        <v>25810.85</v>
      </c>
      <c r="X24" s="572">
        <f>W24/W25-1</f>
        <v/>
      </c>
    </row>
    <row r="25">
      <c r="B25" s="269" t="n">
        <v>46142</v>
      </c>
      <c r="C25" s="270" t="n">
        <v>2062.2</v>
      </c>
      <c r="D25" s="572">
        <f>C25/C26-1</f>
        <v/>
      </c>
      <c r="E25" s="270" t="n">
        <v>77210.23</v>
      </c>
      <c r="F25" s="572">
        <f>E25/E26-1</f>
        <v/>
      </c>
      <c r="G25" s="270" t="n">
        <v>23997.55</v>
      </c>
      <c r="H25" s="572">
        <f>G25/G26-1</f>
        <v/>
      </c>
      <c r="J25" s="269" t="n">
        <v>46026</v>
      </c>
      <c r="K25" s="270" t="n">
        <v>2256.4</v>
      </c>
      <c r="L25" s="572">
        <f>K25/K26-1</f>
        <v/>
      </c>
      <c r="M25" s="270" t="n">
        <v>67872.72</v>
      </c>
      <c r="N25" s="572">
        <f>M25/M26-1</f>
        <v/>
      </c>
      <c r="O25" s="270" t="n">
        <v>26328.55</v>
      </c>
      <c r="P25" s="572">
        <f>O25/O26-1</f>
        <v/>
      </c>
      <c r="R25" s="269" t="n">
        <v>45535</v>
      </c>
      <c r="S25" s="270" t="n">
        <v>2209.45</v>
      </c>
      <c r="T25" s="572">
        <f>S25/S26-1</f>
        <v/>
      </c>
      <c r="U25" s="270" t="n">
        <v>73169.37</v>
      </c>
      <c r="V25" s="572">
        <f>U25/U26-1</f>
        <v/>
      </c>
      <c r="W25" s="270" t="n">
        <v>25235.9</v>
      </c>
      <c r="X25" s="572">
        <f>W25/W26-1</f>
        <v/>
      </c>
    </row>
    <row r="26">
      <c r="B26" s="269" t="n">
        <v>46141</v>
      </c>
      <c r="C26" s="270" t="n">
        <v>2093.1</v>
      </c>
      <c r="D26" s="572">
        <f>C26/C27-1</f>
        <v/>
      </c>
      <c r="E26" s="270" t="n">
        <v>77962.97</v>
      </c>
      <c r="F26" s="572">
        <f>E26/E27-1</f>
        <v/>
      </c>
      <c r="G26" s="270" t="n">
        <v>24177.65</v>
      </c>
      <c r="H26" s="572">
        <f>G26/G27-1</f>
        <v/>
      </c>
      <c r="J26" s="269" t="n">
        <v>46019</v>
      </c>
      <c r="K26" s="270" t="n">
        <v>2223.9</v>
      </c>
      <c r="L26" s="572">
        <f>K26/K27-1</f>
        <v/>
      </c>
      <c r="M26" s="270" t="n">
        <v>67141.56</v>
      </c>
      <c r="N26" s="572">
        <f>M26/M27-1</f>
        <v/>
      </c>
      <c r="O26" s="270" t="n">
        <v>26042.3</v>
      </c>
      <c r="P26" s="572">
        <f>O26/O27-1</f>
        <v/>
      </c>
      <c r="R26" s="269" t="n">
        <v>45504</v>
      </c>
      <c r="S26" s="270" t="n">
        <v>1789.7</v>
      </c>
      <c r="T26" s="572">
        <f>S26/S27-1</f>
        <v/>
      </c>
      <c r="U26" s="270" t="n">
        <v>75640.12</v>
      </c>
      <c r="V26" s="572">
        <f>U26/U27-1</f>
        <v/>
      </c>
      <c r="W26" s="270" t="n">
        <v>24951.15</v>
      </c>
      <c r="X26" s="572">
        <f>W26/W27-1</f>
        <v/>
      </c>
    </row>
    <row r="27">
      <c r="B27" s="269" t="n">
        <v>46140</v>
      </c>
      <c r="C27" s="270" t="n">
        <v>2172.1</v>
      </c>
      <c r="D27" s="572">
        <f>C27/C28-1</f>
        <v/>
      </c>
      <c r="E27" s="270" t="n">
        <v>77941.87</v>
      </c>
      <c r="F27" s="572">
        <f>E27/E28-1</f>
        <v/>
      </c>
      <c r="G27" s="270" t="n">
        <v>23995.7</v>
      </c>
      <c r="H27" s="572">
        <f>G27/G28-1</f>
        <v/>
      </c>
      <c r="J27" s="269" t="n">
        <v>46012</v>
      </c>
      <c r="K27" s="270" t="n">
        <v>2176.5</v>
      </c>
      <c r="L27" s="572">
        <f>K27/K28-1</f>
        <v/>
      </c>
      <c r="M27" s="270" t="n">
        <v>66534.02</v>
      </c>
      <c r="N27" s="572">
        <f>M27/M28-1</f>
        <v/>
      </c>
      <c r="O27" s="270" t="n">
        <v>25966.4</v>
      </c>
      <c r="P27" s="572">
        <f>O27/O28-1</f>
        <v/>
      </c>
      <c r="R27" s="269" t="n">
        <v>45473</v>
      </c>
      <c r="S27" s="270" t="n">
        <v>1819.55</v>
      </c>
      <c r="T27" s="572">
        <f>S27/S28-1</f>
        <v/>
      </c>
      <c r="U27" s="270" t="n">
        <v>72324.41</v>
      </c>
      <c r="V27" s="572">
        <f>U27/U28-1</f>
        <v/>
      </c>
      <c r="W27" s="270" t="n">
        <v>24010.6</v>
      </c>
      <c r="X27" s="572">
        <f>W27/W28-1</f>
        <v/>
      </c>
    </row>
    <row r="28">
      <c r="B28" s="269" t="n">
        <v>46139</v>
      </c>
      <c r="C28" s="270" t="n">
        <v>2215.5</v>
      </c>
      <c r="D28" s="572">
        <f>C28/C29-1</f>
        <v/>
      </c>
      <c r="E28" s="270" t="n">
        <v>77608.08</v>
      </c>
      <c r="F28" s="572">
        <f>E28/E29-1</f>
        <v/>
      </c>
      <c r="G28" s="270" t="n">
        <v>24092.7</v>
      </c>
      <c r="H28" s="572">
        <f>G28/G29-1</f>
        <v/>
      </c>
      <c r="J28" s="269" t="n">
        <v>46005</v>
      </c>
      <c r="K28" s="270" t="n">
        <v>2218.6</v>
      </c>
      <c r="L28" s="572">
        <f>K28/K29-1</f>
        <v/>
      </c>
      <c r="M28" s="270" t="n">
        <v>66781.85000000001</v>
      </c>
      <c r="N28" s="572">
        <f>M28/M29-1</f>
        <v/>
      </c>
      <c r="O28" s="270" t="n">
        <v>26046.95</v>
      </c>
      <c r="P28" s="572">
        <f>O28/O29-1</f>
        <v/>
      </c>
      <c r="R28" s="269" t="n">
        <v>45443</v>
      </c>
      <c r="S28" s="270" t="n">
        <v>1727.05</v>
      </c>
      <c r="T28" s="572">
        <f>S28/S29-1</f>
        <v/>
      </c>
      <c r="U28" s="270" t="n">
        <v>70055.57000000001</v>
      </c>
      <c r="V28" s="572">
        <f>U28/U29-1</f>
        <v/>
      </c>
      <c r="W28" s="270" t="n">
        <v>22530.7</v>
      </c>
      <c r="X28" s="572">
        <f>W28/W29-1</f>
        <v/>
      </c>
    </row>
    <row r="29">
      <c r="B29" s="269" t="n">
        <v>46136</v>
      </c>
      <c r="C29" s="270" t="n">
        <v>2108.8</v>
      </c>
      <c r="D29" s="572">
        <f>C29/C30-1</f>
        <v/>
      </c>
      <c r="E29" s="270" t="n">
        <v>77089.06</v>
      </c>
      <c r="F29" s="572">
        <f>E29/E30-1</f>
        <v/>
      </c>
      <c r="G29" s="270" t="n">
        <v>23897.95</v>
      </c>
      <c r="H29" s="572">
        <f>G29/G30-1</f>
        <v/>
      </c>
      <c r="J29" s="269" t="n">
        <v>45998</v>
      </c>
      <c r="K29" s="270" t="n">
        <v>2184.4</v>
      </c>
      <c r="L29" s="572">
        <f>K29/K30-1</f>
        <v/>
      </c>
      <c r="M29" s="270" t="n">
        <v>67647.37</v>
      </c>
      <c r="N29" s="572">
        <f>M29/M30-1</f>
        <v/>
      </c>
      <c r="O29" s="270" t="n">
        <v>26186.45</v>
      </c>
      <c r="P29" s="572">
        <f>O29/O30-1</f>
        <v/>
      </c>
      <c r="R29" s="269" t="n">
        <v>45412</v>
      </c>
      <c r="S29" s="270" t="n">
        <v>1782.15</v>
      </c>
      <c r="T29" s="572">
        <f>S29/S30-1</f>
        <v/>
      </c>
      <c r="U29" s="270" t="n">
        <v>63024.94</v>
      </c>
      <c r="V29" s="572">
        <f>U29/U30-1</f>
        <v/>
      </c>
      <c r="W29" s="270" t="n">
        <v>22604.85</v>
      </c>
      <c r="X29" s="572">
        <f>W29/W30-1</f>
        <v/>
      </c>
    </row>
    <row r="30">
      <c r="B30" s="269" t="n">
        <v>46135</v>
      </c>
      <c r="C30" s="270" t="n">
        <v>2157.8</v>
      </c>
      <c r="D30" s="572">
        <f>C30/C31-1</f>
        <v/>
      </c>
      <c r="E30" s="270" t="n">
        <v>77648.33</v>
      </c>
      <c r="F30" s="572">
        <f>E30/E31-1</f>
        <v/>
      </c>
      <c r="G30" s="270" t="n">
        <v>24173.05</v>
      </c>
      <c r="H30" s="572">
        <f>G30/G31-1</f>
        <v/>
      </c>
      <c r="J30" s="269" t="n">
        <v>45991</v>
      </c>
      <c r="K30" s="270" t="n">
        <v>2259.8</v>
      </c>
      <c r="L30" s="572">
        <f>K30/K31-1</f>
        <v/>
      </c>
      <c r="M30" s="270" t="n">
        <v>69208.59</v>
      </c>
      <c r="N30" s="572">
        <f>M30/M31-1</f>
        <v/>
      </c>
      <c r="O30" s="270" t="n">
        <v>26202.95</v>
      </c>
      <c r="P30" s="572">
        <f>O30/O31-1</f>
        <v/>
      </c>
      <c r="R30" s="269" t="n">
        <v>45382</v>
      </c>
      <c r="S30" s="270" t="n">
        <v>1579.28</v>
      </c>
      <c r="T30" s="572">
        <f>S30/S31-1</f>
        <v/>
      </c>
      <c r="U30" s="270" t="n">
        <v>60943.12</v>
      </c>
      <c r="V30" s="572">
        <f>U30/U31-1</f>
        <v/>
      </c>
      <c r="W30" s="270" t="n">
        <v>22326.9</v>
      </c>
      <c r="X30" s="572">
        <f>W30/W31-1</f>
        <v/>
      </c>
    </row>
    <row r="31">
      <c r="B31" s="269" t="n">
        <v>46134</v>
      </c>
      <c r="C31" s="270" t="n">
        <v>2052.6</v>
      </c>
      <c r="D31" s="572">
        <f>C31/C32-1</f>
        <v/>
      </c>
      <c r="E31" s="270" t="n">
        <v>77339.97</v>
      </c>
      <c r="F31" s="572">
        <f>E31/E32-1</f>
        <v/>
      </c>
      <c r="G31" s="270" t="n">
        <v>24378.1</v>
      </c>
      <c r="H31" s="572">
        <f>G31/G32-1</f>
        <v/>
      </c>
      <c r="J31" s="269" t="n">
        <v>45984</v>
      </c>
      <c r="K31" s="270" t="n">
        <v>2313.1</v>
      </c>
      <c r="L31" s="572">
        <f>K31/K32-1</f>
        <v/>
      </c>
      <c r="M31" s="270" t="n">
        <v>69364.00999999999</v>
      </c>
      <c r="N31" s="572">
        <f>M31/M32-1</f>
        <v/>
      </c>
      <c r="O31" s="270" t="n">
        <v>26068.15</v>
      </c>
      <c r="P31" s="572">
        <f>O31/O32-1</f>
        <v/>
      </c>
      <c r="R31" s="269" t="n">
        <v>45351</v>
      </c>
      <c r="S31" s="270" t="n">
        <v>1407.28</v>
      </c>
      <c r="T31" s="572">
        <f>S31/S32-1</f>
        <v/>
      </c>
      <c r="U31" s="270" t="n">
        <v>57414.63</v>
      </c>
      <c r="V31" s="572">
        <f>U31/U32-1</f>
        <v/>
      </c>
      <c r="W31" s="270" t="n">
        <v>21982.8</v>
      </c>
      <c r="X31" s="572">
        <f>W31/W32-1</f>
        <v/>
      </c>
    </row>
    <row r="32">
      <c r="B32" s="269" t="n">
        <v>46133</v>
      </c>
      <c r="C32" s="270" t="n">
        <v>2044.7</v>
      </c>
      <c r="D32" s="572">
        <f>C32/C33-1</f>
        <v/>
      </c>
      <c r="E32" s="270" t="n">
        <v>76489.96000000001</v>
      </c>
      <c r="F32" s="572">
        <f>E32/E33-1</f>
        <v/>
      </c>
      <c r="G32" s="270" t="n">
        <v>24576.6</v>
      </c>
      <c r="H32" s="572">
        <f>G32/G33-1</f>
        <v/>
      </c>
      <c r="J32" s="269" t="n">
        <v>45977</v>
      </c>
      <c r="K32" s="270" t="n">
        <v>2449.9</v>
      </c>
      <c r="L32" s="572">
        <f>K32/K33-1</f>
        <v/>
      </c>
      <c r="M32" s="270" t="n">
        <v>70775.41</v>
      </c>
      <c r="N32" s="572">
        <f>M32/M33-1</f>
        <v/>
      </c>
      <c r="O32" s="270" t="n">
        <v>25910.05</v>
      </c>
      <c r="P32" s="572">
        <f>O32/O33-1</f>
        <v/>
      </c>
      <c r="R32" s="269" t="n">
        <v>45322</v>
      </c>
      <c r="S32" s="270" t="n">
        <v>1471.35</v>
      </c>
      <c r="T32" s="572">
        <f>S32/S33-1</f>
        <v/>
      </c>
      <c r="U32" s="270" t="n">
        <v>56689.83</v>
      </c>
      <c r="V32" s="572">
        <f>U32/U33-1</f>
        <v/>
      </c>
      <c r="W32" s="270" t="n">
        <v>21725.7</v>
      </c>
      <c r="X32" s="572">
        <f>W32/W33-1</f>
        <v/>
      </c>
    </row>
    <row r="33">
      <c r="B33" s="269" t="n">
        <v>46132</v>
      </c>
      <c r="C33" s="270" t="n">
        <v>2028.3</v>
      </c>
      <c r="D33" s="572">
        <f>C33/C34-1</f>
        <v/>
      </c>
      <c r="E33" s="270" t="n">
        <v>76533.10000000001</v>
      </c>
      <c r="F33" s="572">
        <f>E33/E34-1</f>
        <v/>
      </c>
      <c r="G33" s="270" t="n">
        <v>24364.85</v>
      </c>
      <c r="H33" s="572">
        <f>G33/G34-1</f>
        <v/>
      </c>
      <c r="J33" s="269" t="n">
        <v>45970</v>
      </c>
      <c r="K33" s="270" t="n">
        <v>2313</v>
      </c>
      <c r="L33" s="572">
        <f>K33/K34-1</f>
        <v/>
      </c>
      <c r="M33" s="270" t="n">
        <v>69366.03999999999</v>
      </c>
      <c r="N33" s="572">
        <f>M33/M34-1</f>
        <v/>
      </c>
      <c r="O33" s="270" t="n">
        <v>25492.3</v>
      </c>
      <c r="P33" s="572">
        <f>O33/O34-1</f>
        <v/>
      </c>
      <c r="R33" s="269" t="n">
        <v>45291</v>
      </c>
      <c r="S33" s="270" t="n">
        <v>1360.05</v>
      </c>
      <c r="T33" s="572">
        <f>S33/S34-1</f>
        <v/>
      </c>
      <c r="U33" s="270" t="n">
        <v>55643.71</v>
      </c>
      <c r="V33" s="572">
        <f>U33/U34-1</f>
        <v/>
      </c>
      <c r="W33" s="270" t="n">
        <v>21731.4</v>
      </c>
      <c r="X33" s="572">
        <f>W33/W34-1</f>
        <v/>
      </c>
    </row>
    <row r="34">
      <c r="B34" s="269" t="n">
        <v>46129</v>
      </c>
      <c r="C34" s="270" t="n">
        <v>2022.3</v>
      </c>
      <c r="D34" s="572">
        <f>C34/C35-1</f>
        <v/>
      </c>
      <c r="E34" s="270" t="n">
        <v>76112.21000000001</v>
      </c>
      <c r="F34" s="572">
        <f>E34/E35-1</f>
        <v/>
      </c>
      <c r="G34" s="270" t="n">
        <v>24353.55</v>
      </c>
      <c r="H34" s="572">
        <f>G34/G35-1</f>
        <v/>
      </c>
      <c r="J34" s="269" t="n">
        <v>45963</v>
      </c>
      <c r="K34" s="270" t="n">
        <v>2307.2</v>
      </c>
      <c r="L34" s="572">
        <f>K34/K35-1</f>
        <v/>
      </c>
      <c r="M34" s="270" t="n">
        <v>70404.39</v>
      </c>
      <c r="N34" s="572">
        <f>M34/M35-1</f>
        <v/>
      </c>
      <c r="O34" s="270" t="n">
        <v>25722.1</v>
      </c>
      <c r="P34" s="572">
        <f>O34/O35-1</f>
        <v/>
      </c>
      <c r="R34" s="269" t="n">
        <v>45260</v>
      </c>
      <c r="S34" s="270" t="n">
        <v>1273.78</v>
      </c>
      <c r="T34" s="572">
        <f>S34/S35-1</f>
        <v/>
      </c>
      <c r="U34" s="270" t="n">
        <v>49989.66</v>
      </c>
      <c r="V34" s="572">
        <f>U34/U35-1</f>
        <v/>
      </c>
      <c r="W34" s="270" t="n">
        <v>20133.15</v>
      </c>
      <c r="X34" s="572">
        <f>W34/W35-1</f>
        <v/>
      </c>
    </row>
    <row r="35">
      <c r="B35" s="269" t="n">
        <v>46128</v>
      </c>
      <c r="C35" s="270" t="n">
        <v>2050</v>
      </c>
      <c r="D35" s="572">
        <f>C35/C36-1</f>
        <v/>
      </c>
      <c r="E35" s="270" t="n">
        <v>74479.85000000001</v>
      </c>
      <c r="F35" s="572">
        <f>E35/E36-1</f>
        <v/>
      </c>
      <c r="G35" s="270" t="n">
        <v>24196.75</v>
      </c>
      <c r="H35" s="572">
        <f>G35/G36-1</f>
        <v/>
      </c>
      <c r="J35" s="269" t="n">
        <v>45956</v>
      </c>
      <c r="K35" s="270" t="n">
        <v>2316.3</v>
      </c>
      <c r="L35" s="572">
        <f>K35/K36-1</f>
        <v/>
      </c>
      <c r="M35" s="270" t="n">
        <v>69322.24000000001</v>
      </c>
      <c r="N35" s="572">
        <f>M35/M36-1</f>
        <v/>
      </c>
      <c r="O35" s="270" t="n">
        <v>25795.15</v>
      </c>
      <c r="P35" s="572">
        <f>O35/O36-1</f>
        <v/>
      </c>
      <c r="R35" s="269" t="n">
        <v>45230</v>
      </c>
      <c r="S35" s="270" t="n">
        <v>1231.1</v>
      </c>
      <c r="T35" s="572">
        <f>S35/S36-1</f>
        <v/>
      </c>
      <c r="U35" s="270" t="n">
        <v>45784.43</v>
      </c>
      <c r="V35" s="572">
        <f>U35/U36-1</f>
        <v/>
      </c>
      <c r="W35" s="270" t="n">
        <v>19079.6</v>
      </c>
      <c r="X35" s="572">
        <f>W35/W36-1</f>
        <v/>
      </c>
    </row>
    <row r="36">
      <c r="B36" s="269" t="n">
        <v>46127</v>
      </c>
      <c r="C36" s="270" t="n">
        <v>2017.4</v>
      </c>
      <c r="D36" s="572">
        <f>C36/C37-1</f>
        <v/>
      </c>
      <c r="E36" s="270" t="n">
        <v>73726.28999999999</v>
      </c>
      <c r="F36" s="572">
        <f>E36/E37-1</f>
        <v/>
      </c>
      <c r="G36" s="270" t="n">
        <v>24231.3</v>
      </c>
      <c r="H36" s="572">
        <f>G36/G37-1</f>
        <v/>
      </c>
      <c r="J36" s="269" t="n">
        <v>45949</v>
      </c>
      <c r="K36" s="270" t="n">
        <v>2384.5</v>
      </c>
      <c r="L36" s="572">
        <f>K36/K37-1</f>
        <v/>
      </c>
      <c r="M36" s="270" t="n">
        <v>69061.86</v>
      </c>
      <c r="N36" s="572">
        <f>M36/M37-1</f>
        <v/>
      </c>
      <c r="O36" s="270" t="n">
        <v>25709.85</v>
      </c>
      <c r="P36" s="572">
        <f>O36/O37-1</f>
        <v/>
      </c>
      <c r="R36" s="269" t="n">
        <v>45199</v>
      </c>
      <c r="S36" s="270" t="n">
        <v>991.35</v>
      </c>
      <c r="T36" s="572">
        <f>S36/S37-1</f>
        <v/>
      </c>
      <c r="U36" s="270" t="n">
        <v>47729.02</v>
      </c>
      <c r="V36" s="572">
        <f>U36/U37-1</f>
        <v/>
      </c>
      <c r="W36" s="270" t="n">
        <v>19638.3</v>
      </c>
      <c r="X36" s="572">
        <f>W36/W37-1</f>
        <v/>
      </c>
    </row>
    <row r="37">
      <c r="B37" s="269" t="n">
        <v>46125</v>
      </c>
      <c r="C37" s="270" t="n">
        <v>1931.5</v>
      </c>
      <c r="D37" s="572">
        <f>C37/C38-1</f>
        <v/>
      </c>
      <c r="E37" s="270" t="n">
        <v>71902.8</v>
      </c>
      <c r="F37" s="572">
        <f>E37/E38-1</f>
        <v/>
      </c>
      <c r="G37" s="270" t="n">
        <v>23842.65</v>
      </c>
      <c r="H37" s="572">
        <f>G37/G38-1</f>
        <v/>
      </c>
      <c r="J37" s="269" t="n">
        <v>45942</v>
      </c>
      <c r="K37" s="270" t="n">
        <v>2398.3</v>
      </c>
      <c r="L37" s="572">
        <f>K37/K38-1</f>
        <v/>
      </c>
      <c r="M37" s="270" t="n">
        <v>69552.59</v>
      </c>
      <c r="N37" s="572">
        <f>M37/M38-1</f>
        <v/>
      </c>
      <c r="O37" s="270" t="n">
        <v>25285.35</v>
      </c>
      <c r="P37" s="572">
        <f>O37/O38-1</f>
        <v/>
      </c>
      <c r="R37" s="269" t="n">
        <v>45169</v>
      </c>
      <c r="S37" s="270" t="n">
        <v>1112.57</v>
      </c>
      <c r="T37" s="572">
        <f>S37/S38-1</f>
        <v/>
      </c>
      <c r="U37" s="270" t="n">
        <v>45215.72</v>
      </c>
      <c r="V37" s="572">
        <f>U37/U38-1</f>
        <v/>
      </c>
      <c r="W37" s="270" t="n">
        <v>19253.8</v>
      </c>
      <c r="X37" s="572">
        <f>W37/W38-1</f>
        <v/>
      </c>
    </row>
    <row r="38">
      <c r="B38" s="269" t="n">
        <v>46122</v>
      </c>
      <c r="C38" s="270" t="n">
        <v>1911.8</v>
      </c>
      <c r="D38" s="572">
        <f>C38/C39-1</f>
        <v/>
      </c>
      <c r="E38" s="270" t="n">
        <v>72180.77</v>
      </c>
      <c r="F38" s="572">
        <f>E38/E39-1</f>
        <v/>
      </c>
      <c r="G38" s="270" t="n">
        <v>24050.6</v>
      </c>
      <c r="H38" s="572">
        <f>G38/G39-1</f>
        <v/>
      </c>
      <c r="J38" s="269" t="n">
        <v>45935</v>
      </c>
      <c r="K38" s="270" t="n">
        <v>2325.3</v>
      </c>
      <c r="L38" s="572">
        <f>K38/K39-1</f>
        <v/>
      </c>
      <c r="M38" s="270" t="n">
        <v>69458.21000000001</v>
      </c>
      <c r="N38" s="572">
        <f>M38/M39-1</f>
        <v/>
      </c>
      <c r="O38" s="270" t="n">
        <v>24894.25</v>
      </c>
      <c r="P38" s="572">
        <f>O38/O39-1</f>
        <v/>
      </c>
      <c r="R38" s="269" t="n">
        <v>45138</v>
      </c>
      <c r="S38" s="270" t="n">
        <v>1047.65</v>
      </c>
      <c r="T38" s="572">
        <f>S38/S39-1</f>
        <v/>
      </c>
      <c r="U38" s="270" t="n">
        <v>44045.93</v>
      </c>
      <c r="V38" s="572">
        <f>U38/U39-1</f>
        <v/>
      </c>
      <c r="W38" s="270" t="n">
        <v>19753.8</v>
      </c>
      <c r="X38" s="572">
        <f>W38/W39-1</f>
        <v/>
      </c>
    </row>
    <row r="39">
      <c r="B39" s="269" t="n">
        <v>46121</v>
      </c>
      <c r="C39" s="270" t="n">
        <v>1863.3</v>
      </c>
      <c r="D39" s="572">
        <f>C39/C40-1</f>
        <v/>
      </c>
      <c r="E39" s="270" t="n">
        <v>70578.50999999999</v>
      </c>
      <c r="F39" s="572">
        <f>E39/E40-1</f>
        <v/>
      </c>
      <c r="G39" s="270" t="n">
        <v>23775.1</v>
      </c>
      <c r="H39" s="572">
        <f>G39/G40-1</f>
        <v/>
      </c>
      <c r="J39" s="269" t="n">
        <v>45928</v>
      </c>
      <c r="K39" s="270" t="n">
        <v>2292.7</v>
      </c>
      <c r="L39" s="572">
        <f>K39/K40-1</f>
        <v/>
      </c>
      <c r="M39" s="270" t="n">
        <v>68345.94</v>
      </c>
      <c r="N39" s="572">
        <f>M39/M40-1</f>
        <v/>
      </c>
      <c r="O39" s="270" t="n">
        <v>24654.7</v>
      </c>
      <c r="P39" s="572">
        <f>O39/O40-1</f>
        <v/>
      </c>
      <c r="R39" s="269" t="n">
        <v>45107</v>
      </c>
      <c r="S39" s="270" t="n">
        <v>878.7</v>
      </c>
      <c r="T39" s="572">
        <f>S39/S40-1</f>
        <v/>
      </c>
      <c r="U39" s="270" t="n">
        <v>40725.76</v>
      </c>
      <c r="V39" s="572">
        <f>U39/U40-1</f>
        <v/>
      </c>
      <c r="W39" s="270" t="n">
        <v>19189.05</v>
      </c>
      <c r="X39" s="572">
        <f>W39/W40-1</f>
        <v/>
      </c>
    </row>
    <row r="40">
      <c r="B40" s="269" t="n">
        <v>46120</v>
      </c>
      <c r="C40" s="270" t="n">
        <v>1830.5</v>
      </c>
      <c r="D40" s="572">
        <f>C40/C41-1</f>
        <v/>
      </c>
      <c r="E40" s="270" t="n">
        <v>69442.42</v>
      </c>
      <c r="F40" s="572">
        <f>E40/E41-1</f>
        <v/>
      </c>
      <c r="G40" s="270" t="n">
        <v>23997.35</v>
      </c>
      <c r="H40" s="572">
        <f>G40/G41-1</f>
        <v/>
      </c>
      <c r="J40" s="269" t="n">
        <v>45921</v>
      </c>
      <c r="K40" s="270" t="n">
        <v>2536.7</v>
      </c>
      <c r="L40" s="572">
        <f>K40/K41-1</f>
        <v/>
      </c>
      <c r="M40" s="270" t="n">
        <v>71231.16</v>
      </c>
      <c r="N40" s="572">
        <f>M40/M41-1</f>
        <v/>
      </c>
      <c r="O40" s="270" t="n">
        <v>25327.05</v>
      </c>
      <c r="P40" s="572">
        <f>O40/O41-1</f>
        <v/>
      </c>
      <c r="R40" s="269" t="n">
        <v>45077</v>
      </c>
      <c r="S40" s="270" t="n">
        <v>774.4</v>
      </c>
      <c r="T40" s="572">
        <f>S40/S41-1</f>
        <v/>
      </c>
      <c r="U40" s="270" t="n">
        <v>37220.98</v>
      </c>
      <c r="V40" s="572">
        <f>U40/U41-1</f>
        <v/>
      </c>
      <c r="W40" s="270" t="n">
        <v>18534.4</v>
      </c>
      <c r="X40" s="572">
        <f>W40/W41-1</f>
        <v/>
      </c>
    </row>
    <row r="41">
      <c r="B41" s="269" t="n">
        <v>46119</v>
      </c>
      <c r="C41" s="270" t="n">
        <v>1737.7</v>
      </c>
      <c r="D41" s="572">
        <f>C41/C42-1</f>
        <v/>
      </c>
      <c r="E41" s="270" t="n">
        <v>67382.25999999999</v>
      </c>
      <c r="F41" s="572">
        <f>E41/E42-1</f>
        <v/>
      </c>
      <c r="G41" s="270" t="n">
        <v>23123.65</v>
      </c>
      <c r="H41" s="572">
        <f>G41/G42-1</f>
        <v/>
      </c>
      <c r="J41" s="269" t="n">
        <v>45914</v>
      </c>
      <c r="K41" s="270" t="n">
        <v>2275.2</v>
      </c>
      <c r="L41" s="572">
        <f>K41/K42-1</f>
        <v/>
      </c>
      <c r="M41" s="270" t="n">
        <v>69691.78999999999</v>
      </c>
      <c r="N41" s="572">
        <f>M41/M42-1</f>
        <v/>
      </c>
      <c r="O41" s="270" t="n">
        <v>25114</v>
      </c>
      <c r="P41" s="572">
        <f>O41/O42-1</f>
        <v/>
      </c>
      <c r="R41" s="269" t="n">
        <v>45046</v>
      </c>
      <c r="S41" s="270" t="n">
        <v>568.35</v>
      </c>
      <c r="T41" s="572">
        <f>S41/S42-1</f>
        <v/>
      </c>
      <c r="U41" s="270" t="n">
        <v>36738.88</v>
      </c>
      <c r="V41" s="572">
        <f>U41/U42-1</f>
        <v/>
      </c>
      <c r="W41" s="270" t="n">
        <v>18065</v>
      </c>
      <c r="X41" s="572">
        <f>W41/W42-1</f>
        <v/>
      </c>
    </row>
    <row r="42">
      <c r="B42" s="269" t="n">
        <v>46118</v>
      </c>
      <c r="C42" s="270" t="n">
        <v>1717.6</v>
      </c>
      <c r="D42" s="572">
        <f>C42/C43-1</f>
        <v/>
      </c>
      <c r="E42" s="270" t="n">
        <v>66948.89999999999</v>
      </c>
      <c r="F42" s="572">
        <f>E42/E43-1</f>
        <v/>
      </c>
      <c r="G42" s="270" t="n">
        <v>22968.25</v>
      </c>
      <c r="H42" s="572">
        <f>G42/G43-1</f>
        <v/>
      </c>
      <c r="J42" s="269" t="n">
        <v>45907</v>
      </c>
      <c r="K42" s="270" t="n">
        <v>2261.3</v>
      </c>
      <c r="L42" s="572">
        <f>K42/K43-1</f>
        <v/>
      </c>
      <c r="M42" s="270" t="n">
        <v>66852.58</v>
      </c>
      <c r="N42" s="572">
        <f>M42/M43-1</f>
        <v/>
      </c>
      <c r="O42" s="270" t="n">
        <v>24741</v>
      </c>
      <c r="P42" s="572">
        <f>O42/O43-1</f>
        <v/>
      </c>
      <c r="R42" s="269" t="n">
        <v>45016</v>
      </c>
      <c r="S42" s="270" t="n">
        <v>500.85</v>
      </c>
      <c r="T42" s="572">
        <f>S42/S43-1</f>
        <v/>
      </c>
      <c r="U42" s="270" t="n">
        <v>34369.7</v>
      </c>
      <c r="V42" s="572">
        <f>U42/U43-1</f>
        <v/>
      </c>
      <c r="W42" s="270" t="n">
        <v>17359.75</v>
      </c>
      <c r="X42" s="572">
        <f>W42/W43-1</f>
        <v/>
      </c>
    </row>
    <row r="43">
      <c r="B43" s="269" t="n">
        <v>46114</v>
      </c>
      <c r="C43" s="270" t="n">
        <v>1748.8</v>
      </c>
      <c r="D43" s="572">
        <f>C43/C44-1</f>
        <v/>
      </c>
      <c r="E43" s="270" t="n">
        <v>66360.28</v>
      </c>
      <c r="F43" s="572">
        <f>E43/E44-1</f>
        <v/>
      </c>
      <c r="G43" s="270" t="n">
        <v>22713.1</v>
      </c>
      <c r="H43" s="572">
        <f>G43/G44-1</f>
        <v/>
      </c>
      <c r="J43" s="269" t="n">
        <v>45900</v>
      </c>
      <c r="K43" s="270" t="n">
        <v>2214.7</v>
      </c>
      <c r="L43" s="572">
        <f>K43/K44-1</f>
        <v/>
      </c>
      <c r="M43" s="270" t="n">
        <v>65417.08</v>
      </c>
      <c r="N43" s="572">
        <f>M43/M44-1</f>
        <v/>
      </c>
      <c r="O43" s="270" t="n">
        <v>24426.85</v>
      </c>
      <c r="P43" s="572">
        <f>O43/O44-1</f>
        <v/>
      </c>
      <c r="R43" s="269" t="n">
        <v>44985</v>
      </c>
      <c r="S43" s="270" t="n">
        <v>584.1</v>
      </c>
      <c r="T43" s="572">
        <f>S43/S44-1</f>
        <v/>
      </c>
      <c r="U43" s="270" t="n">
        <v>33862.7</v>
      </c>
      <c r="V43" s="572">
        <f>U43/U44-1</f>
        <v/>
      </c>
      <c r="W43" s="270" t="n">
        <v>17303.95</v>
      </c>
      <c r="X43" s="572">
        <f>W43/W44-1</f>
        <v/>
      </c>
    </row>
    <row r="44">
      <c r="B44" s="269" t="n">
        <v>46113</v>
      </c>
      <c r="C44" s="270" t="n">
        <v>1728.8</v>
      </c>
      <c r="D44" s="572">
        <f>C44/C45-1</f>
        <v/>
      </c>
      <c r="E44" s="270" t="n">
        <v>66360.14999999999</v>
      </c>
      <c r="F44" s="572">
        <f>E44/E45-1</f>
        <v/>
      </c>
      <c r="G44" s="270" t="n">
        <v>22679.4</v>
      </c>
      <c r="H44" s="572">
        <f>G44/G45-1</f>
        <v/>
      </c>
      <c r="J44" s="269" t="n">
        <v>45893</v>
      </c>
      <c r="K44" s="270" t="n">
        <v>2287</v>
      </c>
      <c r="L44" s="572">
        <f>K44/K45-1</f>
        <v/>
      </c>
      <c r="M44" s="270" t="n">
        <v>67151.02</v>
      </c>
      <c r="N44" s="572">
        <f>M44/M45-1</f>
        <v/>
      </c>
      <c r="O44" s="270" t="n">
        <v>24870.1</v>
      </c>
      <c r="P44" s="572">
        <f>O44/O45-1</f>
        <v/>
      </c>
      <c r="R44" s="269" t="n">
        <v>44957</v>
      </c>
      <c r="S44" s="270" t="n">
        <v>525.22</v>
      </c>
      <c r="T44" s="572">
        <f>S44/S45-1</f>
        <v/>
      </c>
      <c r="U44" s="270" t="n">
        <v>33806.17</v>
      </c>
      <c r="V44" s="572">
        <f>U44/U45-1</f>
        <v/>
      </c>
      <c r="W44" s="270" t="n">
        <v>17662.15</v>
      </c>
      <c r="X44" s="572">
        <f>W44/W45-1</f>
        <v/>
      </c>
    </row>
    <row r="45">
      <c r="B45" s="269" t="n">
        <v>46111</v>
      </c>
      <c r="C45" s="270" t="n">
        <v>1603.7</v>
      </c>
      <c r="D45" s="572">
        <f>C45/C46-1</f>
        <v/>
      </c>
      <c r="E45" s="270" t="n">
        <v>64243.38</v>
      </c>
      <c r="F45" s="572">
        <f>E45/E46-1</f>
        <v/>
      </c>
      <c r="G45" s="270" t="n">
        <v>22331.4</v>
      </c>
      <c r="H45" s="572">
        <f>G45/G46-1</f>
        <v/>
      </c>
      <c r="J45" s="269" t="n">
        <v>45886</v>
      </c>
      <c r="K45" s="270" t="n">
        <v>2219.8</v>
      </c>
      <c r="L45" s="572">
        <f>K45/K46-1</f>
        <v/>
      </c>
      <c r="M45" s="270" t="n">
        <v>66761.32000000001</v>
      </c>
      <c r="N45" s="572">
        <f>M45/M46-1</f>
        <v/>
      </c>
      <c r="O45" s="270" t="n">
        <v>24631.3</v>
      </c>
      <c r="P45" s="572">
        <f>O45/O46-1</f>
        <v/>
      </c>
      <c r="R45" s="269" t="n">
        <v>44926</v>
      </c>
      <c r="S45" s="270" t="n">
        <v>432.4</v>
      </c>
      <c r="T45" s="572">
        <f>S45/S46-1</f>
        <v/>
      </c>
      <c r="U45" s="270" t="n">
        <v>33342.22</v>
      </c>
      <c r="V45" s="572">
        <f>U45/U46-1</f>
        <v/>
      </c>
      <c r="W45" s="270" t="n">
        <v>18105.3</v>
      </c>
      <c r="X45" s="572">
        <f>W45/W46-1</f>
        <v/>
      </c>
    </row>
    <row r="46">
      <c r="B46" s="269" t="n">
        <v>46108</v>
      </c>
      <c r="C46" s="270" t="n">
        <v>1672.8</v>
      </c>
      <c r="D46" s="572">
        <f>C46/C47-1</f>
        <v/>
      </c>
      <c r="E46" s="270" t="n">
        <v>65702.59</v>
      </c>
      <c r="F46" s="572">
        <f>E46/E47-1</f>
        <v/>
      </c>
      <c r="G46" s="270" t="n">
        <v>22819.6</v>
      </c>
      <c r="H46" s="572">
        <f>G46/G47-1</f>
        <v/>
      </c>
      <c r="J46" s="269" t="n">
        <v>45879</v>
      </c>
      <c r="K46" s="270" t="n">
        <v>2310.2</v>
      </c>
      <c r="L46" s="572">
        <f>K46/K47-1</f>
        <v/>
      </c>
      <c r="M46" s="270" t="n">
        <v>66751.25999999999</v>
      </c>
      <c r="N46" s="572">
        <f>M46/M47-1</f>
        <v/>
      </c>
      <c r="O46" s="270" t="n">
        <v>24363.3</v>
      </c>
      <c r="P46" s="572">
        <f>O46/O47-1</f>
        <v/>
      </c>
      <c r="R46" s="269" t="n">
        <v>44895</v>
      </c>
      <c r="S46" s="270" t="n">
        <v>447.9</v>
      </c>
      <c r="T46" s="572">
        <f>S46/S47-1</f>
        <v/>
      </c>
      <c r="U46" s="270" t="n">
        <v>33846.25</v>
      </c>
      <c r="V46" s="572">
        <f>U46/U47-1</f>
        <v/>
      </c>
      <c r="W46" s="270" t="n">
        <v>18758.35</v>
      </c>
      <c r="X46" s="572">
        <f>W46/W47-1</f>
        <v/>
      </c>
    </row>
    <row r="47">
      <c r="B47" s="269" t="n">
        <v>46106</v>
      </c>
      <c r="C47" s="270" t="n">
        <v>1714.8</v>
      </c>
      <c r="D47" s="572">
        <f>C47/C48-1</f>
        <v/>
      </c>
      <c r="E47" s="270" t="n">
        <v>67232.94</v>
      </c>
      <c r="F47" s="572">
        <f>E47/E48-1</f>
        <v/>
      </c>
      <c r="G47" s="270" t="n">
        <v>23306.45</v>
      </c>
      <c r="H47" s="572">
        <f>G47/G48-1</f>
        <v/>
      </c>
      <c r="J47" s="269" t="n">
        <v>45872</v>
      </c>
      <c r="K47" s="270" t="n">
        <v>2609.9</v>
      </c>
      <c r="L47" s="572">
        <f>K47/K48-1</f>
        <v/>
      </c>
      <c r="M47" s="270" t="n">
        <v>67850.22</v>
      </c>
      <c r="N47" s="572">
        <f>M47/M48-1</f>
        <v/>
      </c>
      <c r="O47" s="270" t="n">
        <v>24565.35</v>
      </c>
      <c r="P47" s="572">
        <f>O47/O48-1</f>
        <v/>
      </c>
      <c r="R47" s="269" t="n">
        <v>44865</v>
      </c>
      <c r="S47" s="270" t="n">
        <v>422.27</v>
      </c>
      <c r="T47" s="572">
        <f>S47/S48-1</f>
        <v/>
      </c>
      <c r="U47" s="270" t="n">
        <v>33266.16</v>
      </c>
      <c r="V47" s="572">
        <f>U47/U48-1</f>
        <v/>
      </c>
      <c r="W47" s="270" t="n">
        <v>18012.2</v>
      </c>
      <c r="X47" s="572">
        <f>W47/W48-1</f>
        <v/>
      </c>
    </row>
    <row r="48">
      <c r="B48" s="269" t="n">
        <v>46105</v>
      </c>
      <c r="C48" s="270" t="n">
        <v>1650.1</v>
      </c>
      <c r="D48" s="572">
        <f>C48/C49-1</f>
        <v/>
      </c>
      <c r="E48" s="270" t="n">
        <v>65886.72</v>
      </c>
      <c r="F48" s="572">
        <f>E48/E49-1</f>
        <v/>
      </c>
      <c r="G48" s="270" t="n">
        <v>22912.4</v>
      </c>
      <c r="H48" s="572">
        <f>G48/G49-1</f>
        <v/>
      </c>
      <c r="J48" s="269" t="n">
        <v>45865</v>
      </c>
      <c r="K48" s="270" t="n">
        <v>2650</v>
      </c>
      <c r="L48" s="572">
        <f>K48/K49-1</f>
        <v/>
      </c>
      <c r="M48" s="270" t="n">
        <v>69136.11</v>
      </c>
      <c r="N48" s="572">
        <f>M48/M49-1</f>
        <v/>
      </c>
      <c r="O48" s="270" t="n">
        <v>24837</v>
      </c>
      <c r="P48" s="572">
        <f>O48/O49-1</f>
        <v/>
      </c>
      <c r="R48" s="269" t="n">
        <v>44834</v>
      </c>
      <c r="S48" s="270" t="n">
        <v>413.12</v>
      </c>
      <c r="T48" s="572">
        <f>S48/S49-1</f>
        <v/>
      </c>
      <c r="U48" s="270" t="n">
        <v>31217.82</v>
      </c>
      <c r="V48" s="572">
        <f>U48/U49-1</f>
        <v/>
      </c>
      <c r="W48" s="270" t="n">
        <v>17094.35</v>
      </c>
      <c r="X48" s="572">
        <f>W48/W49-1</f>
        <v/>
      </c>
    </row>
    <row r="49">
      <c r="B49" s="269" t="n">
        <v>46104</v>
      </c>
      <c r="C49" s="270" t="n">
        <v>1507.7</v>
      </c>
      <c r="D49" s="572">
        <f>C49/C50-1</f>
        <v/>
      </c>
      <c r="E49" s="270" t="n">
        <v>64657.74</v>
      </c>
      <c r="F49" s="572">
        <f>E49/E50-1</f>
        <v/>
      </c>
      <c r="G49" s="270" t="n">
        <v>22512.65</v>
      </c>
      <c r="H49" s="572">
        <f>G49/G50-1</f>
        <v/>
      </c>
      <c r="J49" s="269" t="n">
        <v>45858</v>
      </c>
      <c r="K49" s="270" t="n">
        <v>2814.7</v>
      </c>
      <c r="L49" s="572">
        <f>K49/K50-1</f>
        <v/>
      </c>
      <c r="M49" s="270" t="n">
        <v>70200.61</v>
      </c>
      <c r="N49" s="572">
        <f>M49/M50-1</f>
        <v/>
      </c>
      <c r="O49" s="270" t="n">
        <v>24968.4</v>
      </c>
      <c r="P49" s="572">
        <f>O49/O50-1</f>
        <v/>
      </c>
      <c r="R49" s="269" t="n">
        <v>44804</v>
      </c>
      <c r="S49" s="270" t="n">
        <v>471.3</v>
      </c>
      <c r="T49" s="572">
        <f>S49/S50-1</f>
        <v/>
      </c>
      <c r="U49" s="270" t="n">
        <v>32224.78</v>
      </c>
      <c r="V49" s="572">
        <f>U49/U50-1</f>
        <v/>
      </c>
      <c r="W49" s="270" t="n">
        <v>17759.3</v>
      </c>
      <c r="X49" s="572">
        <f>W49/W50-1</f>
        <v/>
      </c>
    </row>
    <row r="50">
      <c r="B50" s="269" t="n">
        <v>46101</v>
      </c>
      <c r="C50" s="270" t="n">
        <v>1588.2</v>
      </c>
      <c r="D50" s="572">
        <f>C50/C51-1</f>
        <v/>
      </c>
      <c r="E50" s="270" t="n">
        <v>67344.39</v>
      </c>
      <c r="F50" s="572">
        <f>E50/E51-1</f>
        <v/>
      </c>
      <c r="G50" s="270" t="n">
        <v>23114.5</v>
      </c>
      <c r="H50" s="572">
        <f>G50/G51-1</f>
        <v/>
      </c>
      <c r="J50" s="269" t="n">
        <v>45851</v>
      </c>
      <c r="K50" s="270" t="n">
        <v>2849.4</v>
      </c>
      <c r="L50" s="572">
        <f>K50/K51-1</f>
        <v/>
      </c>
      <c r="M50" s="270" t="n">
        <v>70967.03999999999</v>
      </c>
      <c r="N50" s="572">
        <f>M50/M51-1</f>
        <v/>
      </c>
      <c r="O50" s="270" t="n">
        <v>25149.85</v>
      </c>
      <c r="P50" s="572">
        <f>O50/O51-1</f>
        <v/>
      </c>
      <c r="R50" s="269" t="n">
        <v>44773</v>
      </c>
      <c r="S50" s="270" t="n">
        <v>434.23</v>
      </c>
      <c r="T50" s="572">
        <f>S50/S51-1</f>
        <v/>
      </c>
      <c r="U50" s="270" t="n">
        <v>29717.26</v>
      </c>
      <c r="V50" s="572">
        <f>U50/U51-1</f>
        <v/>
      </c>
      <c r="W50" s="270" t="n">
        <v>17158.25</v>
      </c>
      <c r="X50" s="572">
        <f>W50/W51-1</f>
        <v/>
      </c>
    </row>
    <row r="51">
      <c r="B51" s="269" t="n">
        <v>46100</v>
      </c>
      <c r="C51" s="270" t="n">
        <v>1632.6</v>
      </c>
      <c r="D51" s="572">
        <f>C51/C52-1</f>
        <v/>
      </c>
      <c r="E51" s="270" t="n">
        <v>67220.46000000001</v>
      </c>
      <c r="F51" s="572">
        <f>E51/E52-1</f>
        <v/>
      </c>
      <c r="G51" s="270" t="n">
        <v>23002.15</v>
      </c>
      <c r="H51" s="572">
        <f>G51/G52-1</f>
        <v/>
      </c>
      <c r="J51" s="269" t="n">
        <v>45844</v>
      </c>
      <c r="K51" s="270" t="n">
        <v>2760.4</v>
      </c>
      <c r="L51" s="572">
        <f>K51/K52-1</f>
        <v/>
      </c>
      <c r="M51" s="270" t="n">
        <v>72322.41</v>
      </c>
      <c r="N51" s="572">
        <f>M51/M52-1</f>
        <v/>
      </c>
      <c r="O51" s="270" t="n">
        <v>25461</v>
      </c>
      <c r="P51" s="572">
        <f>O51/O52-1</f>
        <v/>
      </c>
      <c r="R51" s="269" t="n">
        <v>44742</v>
      </c>
      <c r="S51" s="270" t="n">
        <v>373.7</v>
      </c>
      <c r="T51" s="572">
        <f>S51/S52-1</f>
        <v/>
      </c>
      <c r="U51" s="270" t="n">
        <v>26025.5</v>
      </c>
      <c r="V51" s="572">
        <f>U51/U52-1</f>
        <v/>
      </c>
      <c r="W51" s="270" t="n">
        <v>15780.25</v>
      </c>
      <c r="X51" s="572">
        <f>W51/W52-1</f>
        <v/>
      </c>
    </row>
    <row r="52">
      <c r="B52" s="269" t="n">
        <v>46099</v>
      </c>
      <c r="C52" s="270" t="n">
        <v>1658.2</v>
      </c>
      <c r="D52" s="572">
        <f>C52/C53-1</f>
        <v/>
      </c>
      <c r="E52" s="270" t="n">
        <v>69213.42</v>
      </c>
      <c r="F52" s="572">
        <f>E52/E53-1</f>
        <v/>
      </c>
      <c r="G52" s="270" t="n">
        <v>23777.8</v>
      </c>
      <c r="H52" s="572">
        <f>G52/G53-1</f>
        <v/>
      </c>
      <c r="J52" s="269" t="n">
        <v>45837</v>
      </c>
      <c r="K52" s="270" t="n">
        <v>2709.4</v>
      </c>
      <c r="L52" s="572">
        <f>K52/K53-1</f>
        <v/>
      </c>
      <c r="M52" s="270" t="n">
        <v>71548.78</v>
      </c>
      <c r="N52" s="572">
        <f>M52/M53-1</f>
        <v/>
      </c>
      <c r="O52" s="270" t="n">
        <v>25637.8</v>
      </c>
      <c r="P52" s="572">
        <f>O52/O53-1</f>
        <v/>
      </c>
      <c r="R52" s="269" t="n">
        <v>44712</v>
      </c>
      <c r="S52" s="270" t="n">
        <v>384.15</v>
      </c>
      <c r="T52" s="572">
        <f>S52/S53-1</f>
        <v/>
      </c>
      <c r="U52" s="270" t="n">
        <v>27144.6</v>
      </c>
      <c r="V52" s="572">
        <f>U52/U53-1</f>
        <v/>
      </c>
      <c r="W52" s="270" t="n">
        <v>16584.55</v>
      </c>
      <c r="X52" s="572">
        <f>W52/W53-1</f>
        <v/>
      </c>
    </row>
    <row r="53">
      <c r="B53" s="269" t="n">
        <v>46098</v>
      </c>
      <c r="C53" s="270" t="n">
        <v>1544.8</v>
      </c>
      <c r="D53" s="572">
        <f>C53/C54-1</f>
        <v/>
      </c>
      <c r="E53" s="270" t="n">
        <v>67943.61</v>
      </c>
      <c r="F53" s="572">
        <f>E53/E54-1</f>
        <v/>
      </c>
      <c r="G53" s="270" t="n">
        <v>23581.15</v>
      </c>
      <c r="H53" s="572">
        <f>G53/G54-1</f>
        <v/>
      </c>
      <c r="J53" s="269" t="n">
        <v>45830</v>
      </c>
      <c r="K53" s="270" t="n">
        <v>2589.6</v>
      </c>
      <c r="L53" s="572">
        <f>K53/K54-1</f>
        <v/>
      </c>
      <c r="M53" s="270" t="n">
        <v>70243.36</v>
      </c>
      <c r="N53" s="572">
        <f>M53/M54-1</f>
        <v/>
      </c>
      <c r="O53" s="270" t="n">
        <v>25112.4</v>
      </c>
      <c r="P53" s="572">
        <f>O53/O54-1</f>
        <v/>
      </c>
      <c r="R53" s="269" t="n">
        <v>44681</v>
      </c>
      <c r="S53" s="270" t="n">
        <v>430.05</v>
      </c>
      <c r="T53" s="572">
        <f>S53/S54-1</f>
        <v/>
      </c>
      <c r="U53" s="270" t="n">
        <v>27370.68</v>
      </c>
      <c r="V53" s="572">
        <f>U53/U54-1</f>
        <v/>
      </c>
      <c r="W53" s="270" t="n">
        <v>17102.55</v>
      </c>
      <c r="X53" s="572">
        <f>W53/W54-1</f>
        <v/>
      </c>
    </row>
    <row r="54">
      <c r="B54" s="269" t="n">
        <v>46097</v>
      </c>
      <c r="C54" s="270" t="n">
        <v>1504.8</v>
      </c>
      <c r="D54" s="572">
        <f>C54/C55-1</f>
        <v/>
      </c>
      <c r="E54" s="270" t="n">
        <v>67007.19</v>
      </c>
      <c r="F54" s="572">
        <f>E54/E55-1</f>
        <v/>
      </c>
      <c r="G54" s="270" t="n">
        <v>23408.8</v>
      </c>
      <c r="H54" s="572">
        <f>G54/G55-1</f>
        <v/>
      </c>
      <c r="J54" s="269" t="n">
        <v>45823</v>
      </c>
      <c r="K54" s="270" t="n">
        <v>2735</v>
      </c>
      <c r="L54" s="572">
        <f>K54/K55-1</f>
        <v/>
      </c>
      <c r="M54" s="270" t="n">
        <v>69767.45</v>
      </c>
      <c r="N54" s="572">
        <f>M54/M55-1</f>
        <v/>
      </c>
      <c r="O54" s="270" t="n">
        <v>24718.6</v>
      </c>
      <c r="P54" s="572">
        <f>O54/O55-1</f>
        <v/>
      </c>
      <c r="R54" s="269" t="n">
        <v>44651</v>
      </c>
      <c r="S54" s="270" t="n">
        <v>397.17</v>
      </c>
      <c r="T54" s="572">
        <f>S54/S55-1</f>
        <v/>
      </c>
      <c r="U54" s="270" t="n">
        <v>27506.04</v>
      </c>
      <c r="V54" s="572">
        <f>U54/U55-1</f>
        <v/>
      </c>
      <c r="W54" s="270" t="n">
        <v>17464.75</v>
      </c>
      <c r="X54" s="572">
        <f>W54/W55-1</f>
        <v/>
      </c>
    </row>
    <row r="55">
      <c r="B55" s="269" t="n">
        <v>46094</v>
      </c>
      <c r="C55" s="270" t="n">
        <v>1521.8</v>
      </c>
      <c r="D55" s="572">
        <f>C55/C56-1</f>
        <v/>
      </c>
      <c r="E55" s="270" t="n">
        <v>67620.2</v>
      </c>
      <c r="F55" s="572">
        <f>E55/E56-1</f>
        <v/>
      </c>
      <c r="G55" s="270" t="n">
        <v>23151.1</v>
      </c>
      <c r="H55" s="572">
        <f>G55/G56-1</f>
        <v/>
      </c>
      <c r="J55" s="269" t="n">
        <v>45816</v>
      </c>
      <c r="K55" s="270" t="n">
        <v>2796.4</v>
      </c>
      <c r="L55" s="572">
        <f>K55/K56-1</f>
        <v/>
      </c>
      <c r="M55" s="270" t="n">
        <v>70797.7</v>
      </c>
      <c r="N55" s="572">
        <f>M55/M56-1</f>
        <v/>
      </c>
      <c r="O55" s="270" t="n">
        <v>25003.05</v>
      </c>
      <c r="P55" s="572">
        <f>O55/O56-1</f>
        <v/>
      </c>
      <c r="R55" s="269" t="n">
        <v>44620</v>
      </c>
      <c r="S55" s="270" t="n">
        <v>423.4</v>
      </c>
      <c r="T55" s="572">
        <f>S55/S56-1</f>
        <v/>
      </c>
      <c r="U55" s="270" t="n">
        <v>27658.04</v>
      </c>
      <c r="V55" s="572">
        <f>U55/U56-1</f>
        <v/>
      </c>
      <c r="W55" s="270" t="n">
        <v>16793.9</v>
      </c>
      <c r="X55" s="572">
        <f>W55/W56-1</f>
        <v/>
      </c>
    </row>
    <row r="56">
      <c r="B56" s="269" t="n">
        <v>46093</v>
      </c>
      <c r="C56" s="270" t="n">
        <v>1556.6</v>
      </c>
      <c r="D56" s="572">
        <f>C56/C57-1</f>
        <v/>
      </c>
      <c r="E56" s="270" t="n">
        <v>69704.67</v>
      </c>
      <c r="F56" s="572">
        <f>E56/E57-1</f>
        <v/>
      </c>
      <c r="G56" s="270" t="n">
        <v>23639.15</v>
      </c>
      <c r="H56" s="572">
        <f>G56/G57-1</f>
        <v/>
      </c>
      <c r="J56" s="269" t="n">
        <v>45809</v>
      </c>
      <c r="K56" s="270" t="n">
        <v>2778.2</v>
      </c>
      <c r="L56" s="572">
        <f>K56/K57-1</f>
        <v/>
      </c>
      <c r="M56" s="270" t="n">
        <v>71089.64</v>
      </c>
      <c r="N56" s="572">
        <f>M56/M57-1</f>
        <v/>
      </c>
      <c r="O56" s="270" t="n">
        <v>24750.7</v>
      </c>
      <c r="P56" s="572">
        <f>O56/O57-1</f>
        <v/>
      </c>
      <c r="R56" s="269" t="n">
        <v>44592</v>
      </c>
      <c r="S56" s="270" t="n">
        <v>459.83</v>
      </c>
      <c r="T56" s="572">
        <f>S56/S57-1</f>
        <v/>
      </c>
      <c r="U56" s="270" t="n">
        <v>29158.3</v>
      </c>
      <c r="V56" s="572">
        <f>U56/U57-1</f>
        <v/>
      </c>
      <c r="W56" s="270" t="n">
        <v>17339.85</v>
      </c>
      <c r="X56" s="572">
        <f>W56/W57-1</f>
        <v/>
      </c>
    </row>
    <row r="57">
      <c r="B57" s="269" t="n">
        <v>46092</v>
      </c>
      <c r="C57" s="270" t="n">
        <v>1527.3</v>
      </c>
      <c r="D57" s="572">
        <f>C57/C58-1</f>
        <v/>
      </c>
      <c r="E57" s="270" t="n">
        <v>69323.22</v>
      </c>
      <c r="F57" s="572">
        <f>E57/E58-1</f>
        <v/>
      </c>
      <c r="G57" s="270" t="n">
        <v>23866.85</v>
      </c>
      <c r="H57" s="572">
        <f>G57/G58-1</f>
        <v/>
      </c>
      <c r="J57" s="269" t="n">
        <v>45802</v>
      </c>
      <c r="K57" s="270" t="n">
        <v>2782.2</v>
      </c>
      <c r="L57" s="572">
        <f>K57/K58-1</f>
        <v/>
      </c>
      <c r="M57" s="270" t="n">
        <v>69246.03</v>
      </c>
      <c r="N57" s="572">
        <f>M57/M58-1</f>
        <v/>
      </c>
      <c r="O57" s="270" t="n">
        <v>24853.15</v>
      </c>
      <c r="P57" s="572">
        <f>O57/O58-1</f>
        <v/>
      </c>
      <c r="R57" s="269" t="n">
        <v>44561</v>
      </c>
      <c r="S57" s="270" t="n">
        <v>506.75</v>
      </c>
      <c r="T57" s="572">
        <f>S57/S58-1</f>
        <v/>
      </c>
      <c r="U57" s="270" t="n">
        <v>28750.72</v>
      </c>
      <c r="V57" s="572">
        <f>U57/U58-1</f>
        <v/>
      </c>
      <c r="W57" s="270" t="n">
        <v>17354.05</v>
      </c>
      <c r="X57" s="572">
        <f>W57/W58-1</f>
        <v/>
      </c>
    </row>
    <row r="58">
      <c r="B58" s="269" t="n">
        <v>46091</v>
      </c>
      <c r="C58" s="270" t="n">
        <v>1498.4</v>
      </c>
      <c r="D58" s="572">
        <f>C58/C59-1</f>
        <v/>
      </c>
      <c r="E58" s="270" t="n">
        <v>70054.28999999999</v>
      </c>
      <c r="F58" s="572">
        <f>E58/E59-1</f>
        <v/>
      </c>
      <c r="G58" s="270" t="n">
        <v>24261.6</v>
      </c>
      <c r="H58" s="572">
        <f>G58/G59-1</f>
        <v/>
      </c>
      <c r="J58" s="269" t="n">
        <v>45795</v>
      </c>
      <c r="K58" s="270" t="n">
        <v>2991.2</v>
      </c>
      <c r="L58" s="572">
        <f>K58/K59-1</f>
        <v/>
      </c>
      <c r="M58" s="270" t="n">
        <v>68909.14</v>
      </c>
      <c r="N58" s="572">
        <f>M58/M59-1</f>
        <v/>
      </c>
      <c r="O58" s="270" t="n">
        <v>25019.8</v>
      </c>
      <c r="P58" s="572">
        <f>O58/O59-1</f>
        <v/>
      </c>
      <c r="R58" s="269" t="n">
        <v>44530</v>
      </c>
      <c r="S58" s="270" t="n">
        <v>491.67</v>
      </c>
      <c r="T58" s="572">
        <f>S58/S59-1</f>
        <v/>
      </c>
      <c r="U58" s="270" t="n">
        <v>26892.79</v>
      </c>
      <c r="V58" s="572">
        <f>U58/U59-1</f>
        <v/>
      </c>
      <c r="W58" s="270" t="n">
        <v>16983.2</v>
      </c>
      <c r="X58" s="572">
        <f>W58/W59-1</f>
        <v/>
      </c>
    </row>
    <row r="59">
      <c r="B59" s="269" t="n">
        <v>46090</v>
      </c>
      <c r="C59" s="270" t="n">
        <v>1449.6</v>
      </c>
      <c r="D59" s="572">
        <f>C59/C60-1</f>
        <v/>
      </c>
      <c r="E59" s="270" t="n">
        <v>69098.31</v>
      </c>
      <c r="F59" s="572">
        <f>E59/E60-1</f>
        <v/>
      </c>
      <c r="G59" s="270" t="n">
        <v>24028.05</v>
      </c>
      <c r="H59" s="572">
        <f>G59/G60-1</f>
        <v/>
      </c>
      <c r="J59" s="269" t="n">
        <v>45788</v>
      </c>
      <c r="K59" s="270" t="n">
        <v>3158</v>
      </c>
      <c r="L59" s="572">
        <f>K59/K60-1</f>
        <v/>
      </c>
      <c r="M59" s="270" t="n">
        <v>62852.21</v>
      </c>
      <c r="N59" s="572">
        <f>M59/M60-1</f>
        <v/>
      </c>
      <c r="O59" s="270" t="n">
        <v>24008</v>
      </c>
      <c r="P59" s="572">
        <f>O59/O60-1</f>
        <v/>
      </c>
      <c r="R59" s="269" t="n">
        <v>44500</v>
      </c>
      <c r="S59" s="270" t="n">
        <v>505.85</v>
      </c>
      <c r="T59" s="572">
        <f>S59/S60-1</f>
        <v/>
      </c>
      <c r="U59" s="270" t="n">
        <v>26673.33</v>
      </c>
      <c r="V59" s="572">
        <f>U59/U60-1</f>
        <v/>
      </c>
      <c r="W59" s="270" t="n">
        <v>17671.65</v>
      </c>
      <c r="X59" s="572">
        <f>W59/W60-1</f>
        <v/>
      </c>
    </row>
    <row r="60">
      <c r="B60" s="269" t="n">
        <v>46087</v>
      </c>
      <c r="C60" s="270" t="n">
        <v>1479.2</v>
      </c>
      <c r="D60" s="572">
        <f>C60/C61-1</f>
        <v/>
      </c>
      <c r="E60" s="270" t="n">
        <v>70618.46000000001</v>
      </c>
      <c r="F60" s="572">
        <f>E60/E61-1</f>
        <v/>
      </c>
      <c r="G60" s="270" t="n">
        <v>24450.45</v>
      </c>
      <c r="H60" s="572">
        <f>G60/G61-1</f>
        <v/>
      </c>
      <c r="J60" s="269" t="n">
        <v>45781</v>
      </c>
      <c r="K60" s="270" t="n">
        <v>2914.1</v>
      </c>
      <c r="L60" s="572">
        <f>K60/K61-1</f>
        <v/>
      </c>
      <c r="M60" s="270" t="n">
        <v>62668.31</v>
      </c>
      <c r="N60" s="572">
        <f>M60/M61-1</f>
        <v/>
      </c>
      <c r="O60" s="270" t="n">
        <v>24346.7</v>
      </c>
      <c r="P60" s="572">
        <f>O60/O61-1</f>
        <v/>
      </c>
      <c r="R60" s="269" t="n">
        <v>44469</v>
      </c>
      <c r="S60" s="270" t="n">
        <v>479.33</v>
      </c>
      <c r="T60" s="572">
        <f>S60/S61-1</f>
        <v/>
      </c>
      <c r="U60" s="270" t="n">
        <v>25966.72</v>
      </c>
      <c r="V60" s="572">
        <f>U60/U61-1</f>
        <v/>
      </c>
      <c r="W60" s="270" t="n">
        <v>17618.15</v>
      </c>
      <c r="X60" s="572">
        <f>W60/W61-1</f>
        <v/>
      </c>
    </row>
    <row r="61">
      <c r="B61" s="269" t="n">
        <v>46086</v>
      </c>
      <c r="C61" s="270" t="n">
        <v>1461.1</v>
      </c>
      <c r="D61" s="572">
        <f>C61/C62-1</f>
        <v/>
      </c>
      <c r="E61" s="270" t="n">
        <v>69709.56</v>
      </c>
      <c r="F61" s="572">
        <f>E61/E62-1</f>
        <v/>
      </c>
      <c r="G61" s="270" t="n">
        <v>24765.9</v>
      </c>
      <c r="H61" s="572">
        <f>G61/G62-1</f>
        <v/>
      </c>
      <c r="J61" s="269" t="n">
        <v>45774</v>
      </c>
      <c r="K61" s="270" t="n">
        <v>3035.3</v>
      </c>
      <c r="L61" s="572">
        <f>K61/K62-1</f>
        <v/>
      </c>
      <c r="M61" s="270" t="n">
        <v>61508.96</v>
      </c>
      <c r="N61" s="572">
        <f>M61/M62-1</f>
        <v/>
      </c>
      <c r="O61" s="270" t="n">
        <v>24039.35</v>
      </c>
      <c r="P61" s="572">
        <f>O61/O62-1</f>
        <v/>
      </c>
      <c r="R61" s="269" t="n">
        <v>44439</v>
      </c>
      <c r="S61" s="270" t="n">
        <v>505.73</v>
      </c>
      <c r="T61" s="572">
        <f>S61/S62-1</f>
        <v/>
      </c>
      <c r="U61" s="270" t="n">
        <v>24973.86</v>
      </c>
      <c r="V61" s="572">
        <f>U61/U62-1</f>
        <v/>
      </c>
      <c r="W61" s="270" t="n">
        <v>17132.2</v>
      </c>
      <c r="X61" s="572">
        <f>W61/W62-1</f>
        <v/>
      </c>
    </row>
    <row r="62">
      <c r="B62" s="269" t="n">
        <v>46085</v>
      </c>
      <c r="C62" s="270" t="n">
        <v>1490.2</v>
      </c>
      <c r="D62" s="572">
        <f>C62/C63-1</f>
        <v/>
      </c>
      <c r="E62" s="270" t="n">
        <v>68146.84</v>
      </c>
      <c r="F62" s="572">
        <f>E62/E63-1</f>
        <v/>
      </c>
      <c r="G62" s="270" t="n">
        <v>24480.5</v>
      </c>
      <c r="H62" s="572">
        <f>G62/G63-1</f>
        <v/>
      </c>
      <c r="J62" s="269" t="n">
        <v>45767</v>
      </c>
      <c r="K62" s="270" t="n">
        <v>3167.1</v>
      </c>
      <c r="L62" s="572">
        <f>K62/K63-1</f>
        <v/>
      </c>
      <c r="M62" s="270" t="n">
        <v>61111.69</v>
      </c>
      <c r="N62" s="572">
        <f>M62/M63-1</f>
        <v/>
      </c>
      <c r="O62" s="270" t="n">
        <v>23851.65</v>
      </c>
      <c r="P62" s="572">
        <f>O62/O63-1</f>
        <v/>
      </c>
      <c r="R62" s="269" t="n">
        <v>44408</v>
      </c>
      <c r="S62" s="270" t="n">
        <v>513.88</v>
      </c>
      <c r="T62" s="572">
        <f>S62/S63-1</f>
        <v/>
      </c>
      <c r="U62" s="270" t="n">
        <v>23671.73</v>
      </c>
      <c r="V62" s="572">
        <f>U62/U63-1</f>
        <v/>
      </c>
      <c r="W62" s="270" t="n">
        <v>15763.05</v>
      </c>
      <c r="X62" s="572">
        <f>W62/W63-1</f>
        <v/>
      </c>
    </row>
    <row r="63">
      <c r="B63" s="269" t="n">
        <v>46083</v>
      </c>
      <c r="C63" s="270" t="n">
        <v>1557.8</v>
      </c>
      <c r="D63" s="572">
        <f>C63/C64-1</f>
        <v/>
      </c>
      <c r="E63" s="270" t="n">
        <v>69993.72</v>
      </c>
      <c r="F63" s="572">
        <f>E63/E64-1</f>
        <v/>
      </c>
      <c r="G63" s="270" t="n">
        <v>24865.7</v>
      </c>
      <c r="H63" s="572">
        <f>G63/G64-1</f>
        <v/>
      </c>
      <c r="J63" s="269" t="n">
        <v>45760</v>
      </c>
      <c r="K63" s="270" t="n">
        <v>3064.45</v>
      </c>
      <c r="L63" s="572">
        <f>K63/K64-1</f>
        <v/>
      </c>
      <c r="M63" s="270" t="n">
        <v>58545.93</v>
      </c>
      <c r="N63" s="572">
        <f>M63/M64-1</f>
        <v/>
      </c>
      <c r="O63" s="270" t="n">
        <v>22828.55</v>
      </c>
      <c r="P63" s="572">
        <f>O63/O64-1</f>
        <v/>
      </c>
      <c r="R63" s="269" t="n">
        <v>44377</v>
      </c>
      <c r="S63" s="270" t="n">
        <v>432.5</v>
      </c>
      <c r="T63" s="60" t="n"/>
      <c r="U63" s="270" t="n">
        <v>22948.98</v>
      </c>
      <c r="V63" s="60" t="n"/>
      <c r="W63" s="270" t="n">
        <v>15721.5</v>
      </c>
      <c r="X63" s="60" t="n"/>
    </row>
    <row r="64">
      <c r="B64" s="269" t="n">
        <v>46080</v>
      </c>
      <c r="C64" s="270" t="n">
        <v>1571.2</v>
      </c>
      <c r="D64" s="572">
        <f>C64/C65-1</f>
        <v/>
      </c>
      <c r="E64" s="270" t="n">
        <v>70454.47</v>
      </c>
      <c r="F64" s="572">
        <f>E64/E65-1</f>
        <v/>
      </c>
      <c r="G64" s="270" t="n">
        <v>25178.65</v>
      </c>
      <c r="H64" s="572">
        <f>G64/G65-1</f>
        <v/>
      </c>
      <c r="J64" s="269" t="n">
        <v>45753</v>
      </c>
      <c r="K64" s="270" t="n">
        <v>3178</v>
      </c>
      <c r="L64" s="572">
        <f>K64/K65-1</f>
        <v/>
      </c>
      <c r="M64" s="270" t="n">
        <v>59643.57</v>
      </c>
      <c r="N64" s="572">
        <f>M64/M65-1</f>
        <v/>
      </c>
      <c r="O64" s="270" t="n">
        <v>22904.45</v>
      </c>
      <c r="P64" s="572">
        <f>O64/O65-1</f>
        <v/>
      </c>
    </row>
    <row r="65">
      <c r="B65" s="269" t="n">
        <v>46079</v>
      </c>
      <c r="C65" s="270" t="n">
        <v>1613.3</v>
      </c>
      <c r="D65" s="572">
        <f>C65/C66-1</f>
        <v/>
      </c>
      <c r="E65" s="270" t="n">
        <v>70804.27</v>
      </c>
      <c r="F65" s="572">
        <f>E65/E66-1</f>
        <v/>
      </c>
      <c r="G65" s="270" t="n">
        <v>25496.55</v>
      </c>
      <c r="H65" s="572">
        <f>G65/G66-1</f>
        <v/>
      </c>
      <c r="J65" s="269" t="n">
        <v>45746</v>
      </c>
      <c r="K65" s="270" t="n">
        <v>3475.5</v>
      </c>
      <c r="L65" s="572">
        <f>K65/K66-1</f>
        <v/>
      </c>
      <c r="M65" s="270" t="n">
        <v>62724.28</v>
      </c>
      <c r="N65" s="572">
        <f>M65/M66-1</f>
        <v/>
      </c>
      <c r="O65" s="270" t="n">
        <v>23519.35</v>
      </c>
      <c r="P65" s="572">
        <f>O65/O66-1</f>
        <v/>
      </c>
    </row>
    <row r="66">
      <c r="B66" s="269" t="n">
        <v>46078</v>
      </c>
      <c r="C66" s="270" t="n">
        <v>1586.2</v>
      </c>
      <c r="D66" s="572">
        <f>C66/C67-1</f>
        <v/>
      </c>
      <c r="E66" s="270" t="n">
        <v>70188.31</v>
      </c>
      <c r="F66" s="572">
        <f>E66/E67-1</f>
        <v/>
      </c>
      <c r="G66" s="270" t="n">
        <v>25482.5</v>
      </c>
      <c r="H66" s="572">
        <f>G66/G67-1</f>
        <v/>
      </c>
      <c r="J66" s="269" t="n">
        <v>45739</v>
      </c>
      <c r="K66" s="270" t="n">
        <v>3266.55</v>
      </c>
      <c r="L66" s="572">
        <f>K66/K67-1</f>
        <v/>
      </c>
      <c r="M66" s="270" t="n">
        <v>61901.78</v>
      </c>
      <c r="N66" s="572">
        <f>M66/M67-1</f>
        <v/>
      </c>
      <c r="O66" s="270" t="n">
        <v>23350.4</v>
      </c>
      <c r="P66" s="572">
        <f>O66/O67-1</f>
        <v/>
      </c>
    </row>
    <row r="67">
      <c r="B67" s="269" t="n">
        <v>46077</v>
      </c>
      <c r="C67" s="270" t="n">
        <v>1630.6</v>
      </c>
      <c r="D67" s="572">
        <f>C67/C68-1</f>
        <v/>
      </c>
      <c r="E67" s="270" t="n">
        <v>69999.42999999999</v>
      </c>
      <c r="F67" s="572">
        <f>E67/E68-1</f>
        <v/>
      </c>
      <c r="G67" s="270" t="n">
        <v>25424.65</v>
      </c>
      <c r="H67" s="572">
        <f>G67/G68-1</f>
        <v/>
      </c>
      <c r="J67" s="269" t="n">
        <v>45732</v>
      </c>
      <c r="K67" s="270" t="n">
        <v>2886.4</v>
      </c>
      <c r="L67" s="572">
        <f>K67/K68-1</f>
        <v/>
      </c>
      <c r="M67" s="270" t="n">
        <v>57756.79</v>
      </c>
      <c r="N67" s="572">
        <f>M67/M68-1</f>
        <v/>
      </c>
      <c r="O67" s="270" t="n">
        <v>22397.2</v>
      </c>
      <c r="P67" s="572">
        <f>O67/O68-1</f>
        <v/>
      </c>
    </row>
    <row r="68">
      <c r="B68" s="269" t="n">
        <v>46076</v>
      </c>
      <c r="C68" s="270" t="n">
        <v>1729.5</v>
      </c>
      <c r="D68" s="572">
        <f>C68/C69-1</f>
        <v/>
      </c>
      <c r="E68" s="270" t="n">
        <v>69774.05</v>
      </c>
      <c r="F68" s="572">
        <f>E68/E69-1</f>
        <v/>
      </c>
      <c r="G68" s="270" t="n">
        <v>25713</v>
      </c>
      <c r="H68" s="572">
        <f>G68/G69-1</f>
        <v/>
      </c>
      <c r="J68" s="269" t="n">
        <v>45725</v>
      </c>
      <c r="K68" s="270" t="n">
        <v>3057.95</v>
      </c>
      <c r="L68" s="572">
        <f>K68/K69-1</f>
        <v/>
      </c>
      <c r="M68" s="270" t="n">
        <v>58911.86</v>
      </c>
      <c r="N68" s="572">
        <f>M68/M69-1</f>
        <v/>
      </c>
      <c r="O68" s="270" t="n">
        <v>22552.5</v>
      </c>
      <c r="P68" s="572">
        <f>O68/O69-1</f>
        <v/>
      </c>
    </row>
    <row r="69">
      <c r="B69" s="269" t="n">
        <v>46073</v>
      </c>
      <c r="C69" s="270" t="n">
        <v>1700.5</v>
      </c>
      <c r="D69" s="572">
        <f>C69/C70-1</f>
        <v/>
      </c>
      <c r="E69" s="270" t="n">
        <v>69612.86</v>
      </c>
      <c r="F69" s="572">
        <f>E69/E70-1</f>
        <v/>
      </c>
      <c r="G69" s="270" t="n">
        <v>25571.25</v>
      </c>
      <c r="H69" s="572">
        <f>G69/G70-1</f>
        <v/>
      </c>
      <c r="J69" s="269" t="n">
        <v>45718</v>
      </c>
      <c r="K69" s="270" t="n">
        <v>2798.15</v>
      </c>
      <c r="L69" s="572">
        <f>K69/K70-1</f>
        <v/>
      </c>
      <c r="M69" s="270" t="n">
        <v>55241.12</v>
      </c>
      <c r="N69" s="572">
        <f>M69/M70-1</f>
        <v/>
      </c>
      <c r="O69" s="270" t="n">
        <v>22124.7</v>
      </c>
      <c r="P69" s="572">
        <f>O69/O70-1</f>
        <v/>
      </c>
    </row>
    <row r="70">
      <c r="B70" s="269" t="n">
        <v>46072</v>
      </c>
      <c r="C70" s="270" t="n">
        <v>1728.4</v>
      </c>
      <c r="D70" s="572">
        <f>C70/C71-1</f>
        <v/>
      </c>
      <c r="E70" s="270" t="n">
        <v>68578.35000000001</v>
      </c>
      <c r="F70" s="572">
        <f>E70/E71-1</f>
        <v/>
      </c>
      <c r="G70" s="270" t="n">
        <v>25454.35</v>
      </c>
      <c r="H70" s="572">
        <f>G70/G71-1</f>
        <v/>
      </c>
      <c r="J70" s="269" t="n">
        <v>45711</v>
      </c>
      <c r="K70" s="270" t="n">
        <v>3179.85</v>
      </c>
      <c r="L70" s="572">
        <f>K70/K71-1</f>
        <v/>
      </c>
      <c r="M70" s="270" t="n">
        <v>58398.81</v>
      </c>
      <c r="N70" s="572">
        <f>M70/M71-1</f>
        <v/>
      </c>
      <c r="O70" s="270" t="n">
        <v>22795.9</v>
      </c>
      <c r="P70" s="572">
        <f>O70/O71-1</f>
        <v/>
      </c>
    </row>
    <row r="71">
      <c r="B71" s="269" t="n">
        <v>46071</v>
      </c>
      <c r="C71" s="270" t="n">
        <v>1798.3</v>
      </c>
      <c r="D71" s="572">
        <f>C71/C72-1</f>
        <v/>
      </c>
      <c r="E71" s="270" t="n">
        <v>70104.62</v>
      </c>
      <c r="F71" s="572">
        <f>E71/E72-1</f>
        <v/>
      </c>
      <c r="G71" s="270" t="n">
        <v>25819.35</v>
      </c>
      <c r="H71" s="572">
        <f>G71/G72-1</f>
        <v/>
      </c>
      <c r="J71" s="269" t="n">
        <v>45704</v>
      </c>
      <c r="K71" s="270" t="n">
        <v>2732.1</v>
      </c>
      <c r="L71" s="572">
        <f>K71/K72-1</f>
        <v/>
      </c>
      <c r="M71" s="270" t="n">
        <v>57349.1</v>
      </c>
      <c r="N71" s="572">
        <f>M71/M72-1</f>
        <v/>
      </c>
      <c r="O71" s="270" t="n">
        <v>22929.25</v>
      </c>
      <c r="P71" s="572">
        <f>O71/O72-1</f>
        <v/>
      </c>
    </row>
    <row r="72">
      <c r="B72" s="269" t="n">
        <v>46070</v>
      </c>
      <c r="C72" s="270" t="n">
        <v>1796.4</v>
      </c>
      <c r="D72" s="572">
        <f>C72/C73-1</f>
        <v/>
      </c>
      <c r="E72" s="270" t="n">
        <v>69483.84</v>
      </c>
      <c r="F72" s="572">
        <f>E72/E73-1</f>
        <v/>
      </c>
      <c r="G72" s="270" t="n">
        <v>25725.4</v>
      </c>
      <c r="H72" s="572">
        <f>G72/G73-1</f>
        <v/>
      </c>
      <c r="J72" s="269" t="n">
        <v>45697</v>
      </c>
      <c r="K72" s="270" t="n">
        <v>2798.7</v>
      </c>
      <c r="L72" s="572">
        <f>K72/K73-1</f>
        <v/>
      </c>
      <c r="M72" s="270" t="n">
        <v>61074.9</v>
      </c>
      <c r="N72" s="572">
        <f>M72/M73-1</f>
        <v/>
      </c>
      <c r="O72" s="270" t="n">
        <v>23559.95</v>
      </c>
      <c r="P72" s="572">
        <f>O72/O73-1</f>
        <v/>
      </c>
    </row>
    <row r="73">
      <c r="B73" s="269" t="n">
        <v>46069</v>
      </c>
      <c r="C73" s="270" t="n">
        <v>1883.5</v>
      </c>
      <c r="D73" s="572">
        <f>C73/C74-1</f>
        <v/>
      </c>
      <c r="E73" s="270" t="n">
        <v>68957.07000000001</v>
      </c>
      <c r="F73" s="572">
        <f>E73/E74-1</f>
        <v/>
      </c>
      <c r="G73" s="270" t="n">
        <v>25682.75</v>
      </c>
      <c r="H73" s="572">
        <f>G73/G74-1</f>
        <v/>
      </c>
      <c r="J73" s="269" t="n">
        <v>45690</v>
      </c>
      <c r="K73" s="270" t="n">
        <v>3027.8</v>
      </c>
      <c r="L73" s="572">
        <f>K73/K74-1</f>
        <v/>
      </c>
      <c r="M73" s="270" t="n">
        <v>62581.73</v>
      </c>
      <c r="N73" s="572">
        <f>M73/M74-1</f>
        <v/>
      </c>
      <c r="O73" s="270" t="n">
        <v>23482.15</v>
      </c>
      <c r="P73" s="572">
        <f>O73/O74-1</f>
        <v/>
      </c>
    </row>
    <row r="74">
      <c r="B74" s="269" t="n">
        <v>46066</v>
      </c>
      <c r="C74" s="270" t="n">
        <v>1984.5</v>
      </c>
      <c r="D74" s="572">
        <f>C74/C75-1</f>
        <v/>
      </c>
      <c r="E74" s="270" t="n">
        <v>68243.17</v>
      </c>
      <c r="F74" s="572">
        <f>E74/E75-1</f>
        <v/>
      </c>
      <c r="G74" s="270" t="n">
        <v>25471.1</v>
      </c>
      <c r="H74" s="572">
        <f>G74/G75-1</f>
        <v/>
      </c>
      <c r="J74" s="269" t="n">
        <v>45683</v>
      </c>
      <c r="K74" s="270" t="n">
        <v>2950.9</v>
      </c>
      <c r="L74" s="572">
        <f>K74/K75-1</f>
        <v/>
      </c>
      <c r="M74" s="270" t="n">
        <v>62231.16</v>
      </c>
      <c r="N74" s="572">
        <f>M74/M75-1</f>
        <v/>
      </c>
      <c r="O74" s="270" t="n">
        <v>23092.2</v>
      </c>
      <c r="P74" s="572">
        <f>O74/O75-1</f>
        <v/>
      </c>
    </row>
    <row r="75">
      <c r="B75" s="269" t="n">
        <v>46065</v>
      </c>
      <c r="C75" s="270" t="n">
        <v>2046.4</v>
      </c>
      <c r="D75" s="572">
        <f>C75/C76-1</f>
        <v/>
      </c>
      <c r="E75" s="270" t="n">
        <v>69045.33</v>
      </c>
      <c r="F75" s="572">
        <f>E75/E76-1</f>
        <v/>
      </c>
      <c r="G75" s="270" t="n">
        <v>25807.2</v>
      </c>
      <c r="H75" s="572">
        <f>G75/G76-1</f>
        <v/>
      </c>
      <c r="J75" s="269" t="n">
        <v>45676</v>
      </c>
      <c r="K75" s="270" t="n">
        <v>3100.4</v>
      </c>
      <c r="L75" s="572">
        <f>K75/K76-1</f>
        <v/>
      </c>
      <c r="M75" s="270" t="n">
        <v>65179.63</v>
      </c>
      <c r="N75" s="572">
        <f>M75/M76-1</f>
        <v/>
      </c>
      <c r="O75" s="270" t="n">
        <v>23203.2</v>
      </c>
      <c r="P75" s="572">
        <f>O75/O76-1</f>
        <v/>
      </c>
    </row>
    <row r="76">
      <c r="B76" s="269" t="n">
        <v>46064</v>
      </c>
      <c r="C76" s="270" t="n">
        <v>2081.2</v>
      </c>
      <c r="D76" s="572">
        <f>C76/C77-1</f>
        <v/>
      </c>
      <c r="E76" s="270" t="n">
        <v>68997.95</v>
      </c>
      <c r="F76" s="572">
        <f>E76/E77-1</f>
        <v/>
      </c>
      <c r="G76" s="270" t="n">
        <v>25953.85</v>
      </c>
      <c r="H76" s="572">
        <f>G76/G77-1</f>
        <v/>
      </c>
      <c r="J76" s="269" t="n">
        <v>45669</v>
      </c>
      <c r="K76" s="270" t="n">
        <v>3092.7</v>
      </c>
      <c r="L76" s="572">
        <f>K76/K77-1</f>
        <v/>
      </c>
      <c r="M76" s="270" t="n">
        <v>64232.65</v>
      </c>
      <c r="N76" s="572">
        <f>M76/M77-1</f>
        <v/>
      </c>
      <c r="O76" s="270" t="n">
        <v>23431.5</v>
      </c>
      <c r="P76" s="572">
        <f>O76/O77-1</f>
        <v/>
      </c>
    </row>
    <row r="77">
      <c r="B77" s="269" t="n">
        <v>46063</v>
      </c>
      <c r="C77" s="270" t="n">
        <v>2115.5</v>
      </c>
      <c r="D77" s="572">
        <f>C77/C78-1</f>
        <v/>
      </c>
      <c r="E77" s="270" t="n">
        <v>68974.98</v>
      </c>
      <c r="F77" s="572">
        <f>E77/E78-1</f>
        <v/>
      </c>
      <c r="G77" s="270" t="n">
        <v>25935.15</v>
      </c>
      <c r="H77" s="572">
        <f>G77/G78-1</f>
        <v/>
      </c>
      <c r="J77" s="269" t="n">
        <v>45662</v>
      </c>
      <c r="K77" s="270" t="n">
        <v>3516.25</v>
      </c>
      <c r="L77" s="572">
        <f>K77/K78-1</f>
        <v/>
      </c>
      <c r="M77" s="270" t="n">
        <v>68211.21000000001</v>
      </c>
      <c r="N77" s="572">
        <f>M77/M78-1</f>
        <v/>
      </c>
      <c r="O77" s="270" t="n">
        <v>24004.75</v>
      </c>
      <c r="P77" s="572">
        <f>O77/O78-1</f>
        <v/>
      </c>
    </row>
    <row r="78">
      <c r="B78" s="269" t="n">
        <v>46062</v>
      </c>
      <c r="C78" s="270" t="n">
        <v>2019.3</v>
      </c>
      <c r="D78" s="572">
        <f>C78/C79-1</f>
        <v/>
      </c>
      <c r="E78" s="270" t="n">
        <v>69035.42</v>
      </c>
      <c r="F78" s="572">
        <f>E78/E79-1</f>
        <v/>
      </c>
      <c r="G78" s="270" t="n">
        <v>25867.3</v>
      </c>
      <c r="H78" s="572">
        <f>G78/G79-1</f>
        <v/>
      </c>
      <c r="J78" s="269" t="n">
        <v>45655</v>
      </c>
      <c r="K78" s="270" t="n">
        <v>3442.6</v>
      </c>
      <c r="L78" s="572">
        <f>K78/K79-1</f>
        <v/>
      </c>
      <c r="M78" s="270" t="n">
        <v>68160.14999999999</v>
      </c>
      <c r="N78" s="572">
        <f>M78/M79-1</f>
        <v/>
      </c>
      <c r="O78" s="270" t="n">
        <v>23813.4</v>
      </c>
      <c r="P78" s="572">
        <f>O78/O79-1</f>
        <v/>
      </c>
    </row>
    <row r="79">
      <c r="B79" s="269" t="n">
        <v>46059</v>
      </c>
      <c r="C79" s="270" t="n">
        <v>1933.7</v>
      </c>
      <c r="D79" s="572">
        <f>C79/C80-1</f>
        <v/>
      </c>
      <c r="E79" s="270" t="n">
        <v>67752.3</v>
      </c>
      <c r="F79" s="572">
        <f>E79/E80-1</f>
        <v/>
      </c>
      <c r="G79" s="270" t="n">
        <v>25693.7</v>
      </c>
      <c r="H79" s="572">
        <f>G79/G80-1</f>
        <v/>
      </c>
      <c r="J79" s="269" t="n">
        <v>45648</v>
      </c>
      <c r="K79" s="270" t="n">
        <v>3421.45</v>
      </c>
      <c r="L79" s="572">
        <f>K79/K80-1</f>
        <v/>
      </c>
      <c r="M79" s="270" t="n">
        <v>68557.39999999999</v>
      </c>
      <c r="N79" s="572">
        <f>M79/M80-1</f>
        <v/>
      </c>
      <c r="O79" s="270" t="n">
        <v>23587.5</v>
      </c>
      <c r="P79" s="572">
        <f>O79/O80-1</f>
        <v/>
      </c>
    </row>
    <row r="80">
      <c r="B80" s="269" t="n">
        <v>46058</v>
      </c>
      <c r="C80" s="270" t="n">
        <v>1900.4</v>
      </c>
      <c r="D80" s="572">
        <f>C80/C81-1</f>
        <v/>
      </c>
      <c r="E80" s="270" t="n">
        <v>67479.00999999999</v>
      </c>
      <c r="F80" s="572">
        <f>E80/E81-1</f>
        <v/>
      </c>
      <c r="G80" s="270" t="n">
        <v>25642.8</v>
      </c>
      <c r="H80" s="572">
        <f>G80/G81-1</f>
        <v/>
      </c>
      <c r="J80" s="269" t="n">
        <v>45641</v>
      </c>
      <c r="K80" s="270" t="n">
        <v>3730.55</v>
      </c>
      <c r="L80" s="572">
        <f>K80/K81-1</f>
        <v/>
      </c>
      <c r="M80" s="270" t="n">
        <v>73065.89</v>
      </c>
      <c r="N80" s="572">
        <f>M80/M81-1</f>
        <v/>
      </c>
      <c r="O80" s="270" t="n">
        <v>24768.3</v>
      </c>
      <c r="P80" s="572">
        <f>O80/O81-1</f>
        <v/>
      </c>
    </row>
    <row r="81">
      <c r="B81" s="269" t="n">
        <v>46057</v>
      </c>
      <c r="C81" s="270" t="n">
        <v>1938.2</v>
      </c>
      <c r="D81" s="572">
        <f>C81/C82-1</f>
        <v/>
      </c>
      <c r="E81" s="270" t="n">
        <v>68205.66</v>
      </c>
      <c r="F81" s="572">
        <f>E81/E82-1</f>
        <v/>
      </c>
      <c r="G81" s="270" t="n">
        <v>25776</v>
      </c>
      <c r="H81" s="572">
        <f>G81/G82-1</f>
        <v/>
      </c>
      <c r="J81" s="269" t="n">
        <v>45634</v>
      </c>
      <c r="K81" s="270" t="n">
        <v>3597.6</v>
      </c>
      <c r="L81" s="572">
        <f>K81/K82-1</f>
        <v/>
      </c>
      <c r="M81" s="270" t="n">
        <v>72814.67999999999</v>
      </c>
      <c r="N81" s="572">
        <f>M81/M82-1</f>
        <v/>
      </c>
      <c r="O81" s="270" t="n">
        <v>24677.8</v>
      </c>
      <c r="P81" s="572">
        <f>O81/O82-1</f>
        <v/>
      </c>
    </row>
    <row r="82">
      <c r="B82" s="269" t="n">
        <v>46056</v>
      </c>
      <c r="C82" s="270" t="n">
        <v>2072</v>
      </c>
      <c r="D82" s="572">
        <f>C82/C83-1</f>
        <v/>
      </c>
      <c r="E82" s="270" t="n">
        <v>68093.03</v>
      </c>
      <c r="F82" s="572">
        <f>E82/E83-1</f>
        <v/>
      </c>
      <c r="G82" s="270" t="n">
        <v>25727.55</v>
      </c>
      <c r="H82" s="572">
        <f>G82/G83-1</f>
        <v/>
      </c>
      <c r="J82" s="269" t="n">
        <v>45627</v>
      </c>
      <c r="K82" s="270" t="n">
        <v>3655.15</v>
      </c>
      <c r="L82" s="572">
        <f>K82/K83-1</f>
        <v/>
      </c>
      <c r="M82" s="270" t="n">
        <v>70700.25999999999</v>
      </c>
      <c r="N82" s="572">
        <f>M82/M83-1</f>
        <v/>
      </c>
      <c r="O82" s="270" t="n">
        <v>24131.1</v>
      </c>
      <c r="P82" s="572">
        <f>O82/O83-1</f>
        <v/>
      </c>
    </row>
    <row r="83">
      <c r="B83" s="269" t="n">
        <v>46055</v>
      </c>
      <c r="C83" s="270" t="n">
        <v>1776.6</v>
      </c>
      <c r="D83" s="572">
        <f>C83/C84-1</f>
        <v/>
      </c>
      <c r="E83" s="270" t="n">
        <v>65659.56</v>
      </c>
      <c r="F83" s="572">
        <f>E83/E84-1</f>
        <v/>
      </c>
      <c r="G83" s="270" t="n">
        <v>25088.4</v>
      </c>
      <c r="H83" s="572">
        <f>G83/G84-1</f>
        <v/>
      </c>
      <c r="J83" s="269" t="n">
        <v>45620</v>
      </c>
      <c r="K83" s="270" t="n">
        <v>3434.25</v>
      </c>
      <c r="L83" s="572">
        <f>K83/K84-1</f>
        <v/>
      </c>
      <c r="M83" s="270" t="n">
        <v>67417.28</v>
      </c>
      <c r="N83" s="572">
        <f>M83/M84-1</f>
        <v/>
      </c>
      <c r="O83" s="270" t="n">
        <v>23907.25</v>
      </c>
      <c r="P83" s="572">
        <f>O83/O84-1</f>
        <v/>
      </c>
    </row>
    <row r="84">
      <c r="B84" s="269" t="n">
        <v>46054</v>
      </c>
      <c r="C84" s="270" t="n">
        <v>1757.4</v>
      </c>
      <c r="D84" s="572">
        <f>C84/C85-1</f>
        <v/>
      </c>
      <c r="E84" s="270" t="n">
        <v>64655.41</v>
      </c>
      <c r="F84" s="572">
        <f>E84/E85-1</f>
        <v/>
      </c>
      <c r="G84" s="270" t="n">
        <v>24825.45</v>
      </c>
      <c r="H84" s="572">
        <f>G84/G85-1</f>
        <v/>
      </c>
      <c r="J84" s="269" t="n">
        <v>45613</v>
      </c>
      <c r="K84" s="270" t="n">
        <v>3534.35</v>
      </c>
      <c r="L84" s="572">
        <f>K84/K85-1</f>
        <v/>
      </c>
      <c r="M84" s="270" t="n">
        <v>66026.23</v>
      </c>
      <c r="N84" s="572">
        <f>M84/M85-1</f>
        <v/>
      </c>
      <c r="O84" s="270" t="n">
        <v>23532.7</v>
      </c>
      <c r="P84" s="572">
        <f>O84/O85-1</f>
        <v/>
      </c>
    </row>
    <row r="85">
      <c r="B85" s="269" t="n">
        <v>46052</v>
      </c>
      <c r="C85" s="270" t="n">
        <v>1771.2</v>
      </c>
      <c r="D85" s="572">
        <f>C85/C86-1</f>
        <v/>
      </c>
      <c r="E85" s="270" t="n">
        <v>66666.73</v>
      </c>
      <c r="F85" s="572">
        <f>E85/E86-1</f>
        <v/>
      </c>
      <c r="G85" s="270" t="n">
        <v>25320.65</v>
      </c>
      <c r="H85" s="572">
        <f>G85/G86-1</f>
        <v/>
      </c>
      <c r="J85" s="269" t="n">
        <v>45606</v>
      </c>
      <c r="K85" s="270" t="n">
        <v>3561.95</v>
      </c>
      <c r="L85" s="572">
        <f>K85/K86-1</f>
        <v/>
      </c>
      <c r="M85" s="270" t="n">
        <v>69479.42999999999</v>
      </c>
      <c r="N85" s="572">
        <f>M85/M86-1</f>
        <v/>
      </c>
      <c r="O85" s="270" t="n">
        <v>24148.2</v>
      </c>
      <c r="P85" s="572">
        <f>O85/O86-1</f>
        <v/>
      </c>
    </row>
    <row r="86">
      <c r="B86" s="269" t="n">
        <v>46051</v>
      </c>
      <c r="C86" s="270" t="n">
        <v>1731.3</v>
      </c>
      <c r="D86" s="572">
        <f>C86/C87-1</f>
        <v/>
      </c>
      <c r="E86" s="270" t="n">
        <v>66005.56</v>
      </c>
      <c r="F86" s="572">
        <f>E86/E87-1</f>
        <v/>
      </c>
      <c r="G86" s="270" t="n">
        <v>25418.9</v>
      </c>
      <c r="H86" s="572">
        <f>G86/G87-1</f>
        <v/>
      </c>
      <c r="J86" s="269" t="n">
        <v>45599</v>
      </c>
      <c r="K86" s="270" t="n">
        <v>3603.3</v>
      </c>
      <c r="L86" s="572">
        <f>K86/K87-1</f>
        <v/>
      </c>
      <c r="M86" s="270" t="n">
        <v>69577.84</v>
      </c>
      <c r="N86" s="572">
        <f>M86/M87-1</f>
        <v/>
      </c>
      <c r="O86" s="270" t="n">
        <v>24304.35</v>
      </c>
      <c r="P86" s="572">
        <f>O86/O87-1</f>
        <v/>
      </c>
    </row>
    <row r="87">
      <c r="B87" s="269" t="n">
        <v>46050</v>
      </c>
      <c r="C87" s="270" t="n">
        <v>1781.7</v>
      </c>
      <c r="D87" s="572">
        <f>C87/C88-1</f>
        <v/>
      </c>
      <c r="E87" s="270" t="n">
        <v>65596.27</v>
      </c>
      <c r="F87" s="572">
        <f>E87/E88-1</f>
        <v/>
      </c>
      <c r="G87" s="270" t="n">
        <v>25342.75</v>
      </c>
      <c r="H87" s="572">
        <f>G87/G88-1</f>
        <v/>
      </c>
      <c r="J87" s="269" t="n">
        <v>45592</v>
      </c>
      <c r="K87" s="270" t="n">
        <v>2743.05</v>
      </c>
      <c r="L87" s="572">
        <f>K87/K88-1</f>
        <v/>
      </c>
      <c r="M87" s="270" t="n">
        <v>66429.39999999999</v>
      </c>
      <c r="N87" s="572">
        <f>M87/M88-1</f>
        <v/>
      </c>
      <c r="O87" s="270" t="n">
        <v>24180.8</v>
      </c>
      <c r="P87" s="572">
        <f>O87/O88-1</f>
        <v/>
      </c>
    </row>
    <row r="88">
      <c r="B88" s="269" t="n">
        <v>46049</v>
      </c>
      <c r="C88" s="270" t="n">
        <v>1731.6</v>
      </c>
      <c r="D88" s="572">
        <f>C88/C89-1</f>
        <v/>
      </c>
      <c r="E88" s="270" t="n">
        <v>62280.26</v>
      </c>
      <c r="F88" s="572">
        <f>E88/E89-1</f>
        <v/>
      </c>
      <c r="G88" s="270" t="n">
        <v>25175.4</v>
      </c>
      <c r="H88" s="572">
        <f>G88/G89-1</f>
        <v/>
      </c>
      <c r="J88" s="269" t="n">
        <v>45585</v>
      </c>
      <c r="K88" s="270" t="n">
        <v>2699.15</v>
      </c>
      <c r="L88" s="572">
        <f>K88/K89-1</f>
        <v/>
      </c>
      <c r="M88" s="270" t="n">
        <v>71821.00999999999</v>
      </c>
      <c r="N88" s="572">
        <f>M88/M89-1</f>
        <v/>
      </c>
      <c r="O88" s="270" t="n">
        <v>24854.05</v>
      </c>
      <c r="P88" s="572">
        <f>O88/O89-1</f>
        <v/>
      </c>
    </row>
    <row r="89">
      <c r="B89" s="269" t="n">
        <v>46045</v>
      </c>
      <c r="C89" s="270" t="n">
        <v>1820</v>
      </c>
      <c r="D89" s="572">
        <f>C89/C90-1</f>
        <v/>
      </c>
      <c r="E89" s="270" t="n">
        <v>61781.41</v>
      </c>
      <c r="F89" s="572">
        <f>E89/E90-1</f>
        <v/>
      </c>
      <c r="G89" s="270" t="n">
        <v>25048.65</v>
      </c>
      <c r="H89" s="572">
        <f>G89/G90-1</f>
        <v/>
      </c>
      <c r="J89" s="269" t="n">
        <v>45578</v>
      </c>
      <c r="K89" s="270" t="n">
        <v>2735.15</v>
      </c>
      <c r="L89" s="572">
        <f>K89/K90-1</f>
        <v/>
      </c>
      <c r="M89" s="270" t="n">
        <v>71579.87</v>
      </c>
      <c r="N89" s="572">
        <f>M89/M90-1</f>
        <v/>
      </c>
      <c r="O89" s="270" t="n">
        <v>24964.25</v>
      </c>
      <c r="P89" s="572">
        <f>O89/O90-1</f>
        <v/>
      </c>
    </row>
    <row r="90">
      <c r="B90" s="269" t="n">
        <v>46044</v>
      </c>
      <c r="C90" s="270" t="n">
        <v>1875.3</v>
      </c>
      <c r="D90" s="572">
        <f>C90/C91-1</f>
        <v/>
      </c>
      <c r="E90" s="270" t="n">
        <v>63102.4</v>
      </c>
      <c r="F90" s="572">
        <f>E90/E91-1</f>
        <v/>
      </c>
      <c r="G90" s="270" t="n">
        <v>25289.9</v>
      </c>
      <c r="H90" s="572">
        <f>G90/G91-1</f>
        <v/>
      </c>
      <c r="J90" s="269" t="n">
        <v>45571</v>
      </c>
      <c r="K90" s="270" t="n">
        <v>2653.25</v>
      </c>
      <c r="L90" s="572">
        <f>K90/K91-1</f>
        <v/>
      </c>
      <c r="M90" s="270" t="n">
        <v>70301.10000000001</v>
      </c>
      <c r="N90" s="572">
        <f>M90/M91-1</f>
        <v/>
      </c>
      <c r="O90" s="270" t="n">
        <v>25014.6</v>
      </c>
      <c r="P90" s="572">
        <f>O90/O91-1</f>
        <v/>
      </c>
    </row>
    <row r="91">
      <c r="B91" s="269" t="n">
        <v>46043</v>
      </c>
      <c r="C91" s="270" t="n">
        <v>1838</v>
      </c>
      <c r="D91" s="572">
        <f>C91/C92-1</f>
        <v/>
      </c>
      <c r="E91" s="270" t="n">
        <v>61846.94</v>
      </c>
      <c r="F91" s="572">
        <f>E91/E92-1</f>
        <v/>
      </c>
      <c r="G91" s="270" t="n">
        <v>25157.5</v>
      </c>
      <c r="H91" s="572">
        <f>G91/G92-1</f>
        <v/>
      </c>
      <c r="J91" s="269" t="n">
        <v>45564</v>
      </c>
      <c r="K91" s="270" t="n">
        <v>2220.45</v>
      </c>
      <c r="L91" s="572">
        <f>K91/K92-1</f>
        <v/>
      </c>
      <c r="M91" s="270" t="n">
        <v>73704.11</v>
      </c>
      <c r="N91" s="572">
        <f>M91/M92-1</f>
        <v/>
      </c>
      <c r="O91" s="270" t="n">
        <v>26178.95</v>
      </c>
      <c r="P91" s="572">
        <f>O91/O92-1</f>
        <v/>
      </c>
    </row>
    <row r="92">
      <c r="B92" s="269" t="n">
        <v>46042</v>
      </c>
      <c r="C92" s="270" t="n">
        <v>1969.3</v>
      </c>
      <c r="D92" s="572">
        <f>C92/C93-1</f>
        <v/>
      </c>
      <c r="E92" s="270" t="n">
        <v>62420.06</v>
      </c>
      <c r="F92" s="572">
        <f>E92/E93-1</f>
        <v/>
      </c>
      <c r="G92" s="270" t="n">
        <v>25232.5</v>
      </c>
      <c r="H92" s="572">
        <f>G92/G93-1</f>
        <v/>
      </c>
      <c r="J92" s="269" t="n">
        <v>45557</v>
      </c>
      <c r="K92" s="270" t="n">
        <v>2226.75</v>
      </c>
      <c r="L92" s="572">
        <f>K92/K93-1</f>
        <v/>
      </c>
      <c r="M92" s="270" t="n">
        <v>73373.89</v>
      </c>
      <c r="N92" s="572">
        <f>M92/M93-1</f>
        <v/>
      </c>
      <c r="O92" s="270" t="n">
        <v>25790.95</v>
      </c>
      <c r="P92" s="572">
        <f>O92/O93-1</f>
        <v/>
      </c>
    </row>
    <row r="93">
      <c r="B93" s="269" t="n">
        <v>46041</v>
      </c>
      <c r="C93" s="270" t="n">
        <v>1986.9</v>
      </c>
      <c r="D93" s="572">
        <f>C93/C94-1</f>
        <v/>
      </c>
      <c r="E93" s="270" t="n">
        <v>64188.99</v>
      </c>
      <c r="F93" s="572">
        <f>E93/E94-1</f>
        <v/>
      </c>
      <c r="G93" s="270" t="n">
        <v>25585.5</v>
      </c>
      <c r="H93" s="572">
        <f>G93/G94-1</f>
        <v/>
      </c>
      <c r="J93" s="269" t="n">
        <v>45550</v>
      </c>
      <c r="K93" s="270" t="n">
        <v>2262.2</v>
      </c>
      <c r="L93" s="572">
        <f>K93/K94-1</f>
        <v/>
      </c>
      <c r="M93" s="270" t="n">
        <v>72654.00999999999</v>
      </c>
      <c r="N93" s="572">
        <f>M93/M94-1</f>
        <v/>
      </c>
      <c r="O93" s="270" t="n">
        <v>25356.5</v>
      </c>
      <c r="P93" s="572">
        <f>O93/O94-1</f>
        <v/>
      </c>
    </row>
    <row r="94">
      <c r="B94" s="269" t="n">
        <v>46038</v>
      </c>
      <c r="C94" s="270" t="n">
        <v>1972.7</v>
      </c>
      <c r="D94" s="572">
        <f>C94/C95-1</f>
        <v/>
      </c>
      <c r="E94" s="270" t="n">
        <v>63952.45</v>
      </c>
      <c r="F94" s="572">
        <f>E94/E95-1</f>
        <v/>
      </c>
      <c r="G94" s="270" t="n">
        <v>25694.35</v>
      </c>
      <c r="H94" s="572">
        <f>G94/G95-1</f>
        <v/>
      </c>
      <c r="J94" s="269" t="n">
        <v>45543</v>
      </c>
      <c r="K94" s="270" t="n">
        <v>2274</v>
      </c>
      <c r="L94" s="572">
        <f>K94/K95-1</f>
        <v/>
      </c>
      <c r="M94" s="270" t="n">
        <v>71143.39999999999</v>
      </c>
      <c r="N94" s="572">
        <f>M94/M95-1</f>
        <v/>
      </c>
      <c r="O94" s="270" t="n">
        <v>24852.15</v>
      </c>
      <c r="P94" s="572">
        <f>O94/O95-1</f>
        <v/>
      </c>
    </row>
    <row r="95">
      <c r="B95" s="269" t="n">
        <v>46036</v>
      </c>
      <c r="C95" s="270" t="n">
        <v>2001.9</v>
      </c>
      <c r="D95" s="572">
        <f>C95/C96-1</f>
        <v/>
      </c>
      <c r="E95" s="270" t="n">
        <v>64746.36</v>
      </c>
      <c r="F95" s="572">
        <f>E95/E96-1</f>
        <v/>
      </c>
      <c r="G95" s="270" t="n">
        <v>25665.6</v>
      </c>
      <c r="H95" s="572">
        <f>G95/G96-1</f>
        <v/>
      </c>
      <c r="J95" s="269" t="n">
        <v>45536</v>
      </c>
      <c r="K95" s="270" t="n">
        <v>2209.45</v>
      </c>
      <c r="L95" s="572">
        <f>K95/K96-1</f>
        <v/>
      </c>
      <c r="M95" s="270" t="n">
        <v>73169.37</v>
      </c>
      <c r="N95" s="572">
        <f>M95/M96-1</f>
        <v/>
      </c>
      <c r="O95" s="270" t="n">
        <v>25235.9</v>
      </c>
      <c r="P95" s="572">
        <f>O95/O96-1</f>
        <v/>
      </c>
    </row>
    <row r="96">
      <c r="B96" s="269" t="n">
        <v>46035</v>
      </c>
      <c r="C96" s="270" t="n">
        <v>2056.4</v>
      </c>
      <c r="D96" s="572">
        <f>C96/C97-1</f>
        <v/>
      </c>
      <c r="E96" s="270" t="n">
        <v>64611.74</v>
      </c>
      <c r="F96" s="572">
        <f>E96/E97-1</f>
        <v/>
      </c>
      <c r="G96" s="270" t="n">
        <v>25732.3</v>
      </c>
      <c r="H96" s="572">
        <f>G96/G97-1</f>
        <v/>
      </c>
      <c r="J96" s="269" t="n">
        <v>45529</v>
      </c>
      <c r="K96" s="270" t="n">
        <v>2009</v>
      </c>
      <c r="L96" s="572">
        <f>K96/K97-1</f>
        <v/>
      </c>
      <c r="M96" s="270" t="n">
        <v>73356.7</v>
      </c>
      <c r="N96" s="572">
        <f>M96/M97-1</f>
        <v/>
      </c>
      <c r="O96" s="270" t="n">
        <v>24823.15</v>
      </c>
      <c r="P96" s="572">
        <f>O96/O97-1</f>
        <v/>
      </c>
    </row>
    <row r="97">
      <c r="B97" s="269" t="n">
        <v>46034</v>
      </c>
      <c r="C97" s="270" t="n">
        <v>2120.4</v>
      </c>
      <c r="D97" s="572">
        <f>C97/C98-1</f>
        <v/>
      </c>
      <c r="E97" s="270" t="n">
        <v>65047.92</v>
      </c>
      <c r="F97" s="572">
        <f>E97/E98-1</f>
        <v/>
      </c>
      <c r="G97" s="270" t="n">
        <v>25790.25</v>
      </c>
      <c r="H97" s="572">
        <f>G97/G98-1</f>
        <v/>
      </c>
      <c r="J97" s="269" t="n">
        <v>45522</v>
      </c>
      <c r="K97" s="270" t="n">
        <v>1896.15</v>
      </c>
      <c r="L97" s="572">
        <f>K97/K98-1</f>
        <v/>
      </c>
      <c r="M97" s="270" t="n">
        <v>72847.57000000001</v>
      </c>
      <c r="N97" s="572">
        <f>M97/M98-1</f>
        <v/>
      </c>
      <c r="O97" s="270" t="n">
        <v>24541.15</v>
      </c>
      <c r="P97" s="572">
        <f>O97/O98-1</f>
        <v/>
      </c>
    </row>
    <row r="98">
      <c r="B98" s="269" t="n">
        <v>46031</v>
      </c>
      <c r="C98" s="270" t="n">
        <v>2163.6</v>
      </c>
      <c r="D98" s="572">
        <f>C98/C99-1</f>
        <v/>
      </c>
      <c r="E98" s="270" t="n">
        <v>65582.69</v>
      </c>
      <c r="F98" s="572">
        <f>E98/E99-1</f>
        <v/>
      </c>
      <c r="G98" s="270" t="n">
        <v>25683.3</v>
      </c>
      <c r="H98" s="572">
        <f>G98/G99-1</f>
        <v/>
      </c>
      <c r="J98" s="269" t="n">
        <v>45515</v>
      </c>
      <c r="K98" s="270" t="n">
        <v>1804.15</v>
      </c>
      <c r="L98" s="572">
        <f>K98/K99-1</f>
        <v/>
      </c>
      <c r="M98" s="270" t="n">
        <v>72526.33</v>
      </c>
      <c r="N98" s="572">
        <f>M98/M99-1</f>
        <v/>
      </c>
      <c r="O98" s="270" t="n">
        <v>24367.5</v>
      </c>
      <c r="P98" s="572">
        <f>O98/O99-1</f>
        <v/>
      </c>
    </row>
    <row r="99">
      <c r="B99" s="269" t="n">
        <v>46030</v>
      </c>
      <c r="C99" s="270" t="n">
        <v>2200</v>
      </c>
      <c r="D99" s="572">
        <f>C99/C100-1</f>
        <v/>
      </c>
      <c r="E99" s="270" t="n">
        <v>66267.64999999999</v>
      </c>
      <c r="F99" s="572">
        <f>E99/E100-1</f>
        <v/>
      </c>
      <c r="G99" s="270" t="n">
        <v>25876.85</v>
      </c>
      <c r="H99" s="572">
        <f>G99/G100-1</f>
        <v/>
      </c>
      <c r="J99" s="269" t="n">
        <v>45508</v>
      </c>
      <c r="K99" s="270" t="n">
        <v>1792.85</v>
      </c>
      <c r="L99" s="572">
        <f>K99/K100-1</f>
        <v/>
      </c>
      <c r="M99" s="270" t="n">
        <v>73478.11</v>
      </c>
      <c r="N99" s="572">
        <f>M99/M100-1</f>
        <v/>
      </c>
      <c r="O99" s="270" t="n">
        <v>24717.7</v>
      </c>
      <c r="P99" s="572">
        <f>O99/O100-1</f>
        <v/>
      </c>
    </row>
    <row r="100">
      <c r="B100" s="269" t="n">
        <v>46029</v>
      </c>
      <c r="C100" s="270" t="n">
        <v>2217.3</v>
      </c>
      <c r="D100" s="572">
        <f>C100/C101-1</f>
        <v/>
      </c>
      <c r="E100" s="270" t="n">
        <v>67836.44</v>
      </c>
      <c r="F100" s="572">
        <f>E100/E101-1</f>
        <v/>
      </c>
      <c r="G100" s="270" t="n">
        <v>26140.75</v>
      </c>
      <c r="H100" s="572">
        <f>G100/G101-1</f>
        <v/>
      </c>
      <c r="J100" s="269" t="n">
        <v>45501</v>
      </c>
      <c r="K100" s="270" t="n">
        <v>1803.1</v>
      </c>
      <c r="L100" s="572">
        <f>K100/K101-1</f>
        <v/>
      </c>
      <c r="M100" s="270" t="n">
        <v>73396.25999999999</v>
      </c>
      <c r="N100" s="572">
        <f>M100/M101-1</f>
        <v/>
      </c>
      <c r="O100" s="270" t="n">
        <v>24834.85</v>
      </c>
      <c r="P100" s="572">
        <f>O100/O101-1</f>
        <v/>
      </c>
    </row>
    <row r="101">
      <c r="B101" s="269" t="n">
        <v>46028</v>
      </c>
      <c r="C101" s="270" t="n">
        <v>2247.5</v>
      </c>
      <c r="D101" s="572">
        <f>C101/C102-1</f>
        <v/>
      </c>
      <c r="E101" s="270" t="n">
        <v>67556.71000000001</v>
      </c>
      <c r="F101" s="572">
        <f>E101/E102-1</f>
        <v/>
      </c>
      <c r="G101" s="270" t="n">
        <v>26178.7</v>
      </c>
      <c r="H101" s="572">
        <f>G101/G102-1</f>
        <v/>
      </c>
      <c r="J101" s="269" t="n">
        <v>45494</v>
      </c>
      <c r="K101" s="270" t="n">
        <v>1775.75</v>
      </c>
      <c r="L101" s="572">
        <f>K101/K102-1</f>
        <v/>
      </c>
      <c r="M101" s="270" t="n">
        <v>71599.17</v>
      </c>
      <c r="N101" s="572">
        <f>M101/M102-1</f>
        <v/>
      </c>
      <c r="O101" s="270" t="n">
        <v>24530.9</v>
      </c>
      <c r="P101" s="572">
        <f>O101/O102-1</f>
        <v/>
      </c>
    </row>
    <row r="102">
      <c r="B102" s="269" t="n">
        <v>46027</v>
      </c>
      <c r="C102" s="270" t="n">
        <v>2249.5</v>
      </c>
      <c r="D102" s="572">
        <f>C102/C103-1</f>
        <v/>
      </c>
      <c r="E102" s="270" t="n">
        <v>67987.75999999999</v>
      </c>
      <c r="F102" s="572">
        <f>E102/E103-1</f>
        <v/>
      </c>
      <c r="G102" s="270" t="n">
        <v>26250.3</v>
      </c>
      <c r="H102" s="572">
        <f>G102/G103-1</f>
        <v/>
      </c>
      <c r="J102" s="269" t="n">
        <v>45487</v>
      </c>
      <c r="K102" s="270" t="n">
        <v>1789.2</v>
      </c>
      <c r="L102" s="572">
        <f>K102/K103-1</f>
        <v/>
      </c>
      <c r="M102" s="270" t="n">
        <v>74950.89999999999</v>
      </c>
      <c r="N102" s="572">
        <f>M102/M103-1</f>
        <v/>
      </c>
      <c r="O102" s="270" t="n">
        <v>24502.15</v>
      </c>
      <c r="P102" s="572">
        <f>O102/O103-1</f>
        <v/>
      </c>
    </row>
    <row r="103">
      <c r="B103" s="269" t="n">
        <v>46024</v>
      </c>
      <c r="C103" s="270" t="n">
        <v>2256.4</v>
      </c>
      <c r="D103" s="572">
        <f>C103/C104-1</f>
        <v/>
      </c>
      <c r="E103" s="270" t="n">
        <v>67872.72</v>
      </c>
      <c r="F103" s="572">
        <f>E103/E104-1</f>
        <v/>
      </c>
      <c r="G103" s="270" t="n">
        <v>26328.55</v>
      </c>
      <c r="H103" s="572">
        <f>G103/G104-1</f>
        <v/>
      </c>
      <c r="J103" s="269" t="n">
        <v>45480</v>
      </c>
      <c r="K103" s="270" t="n">
        <v>1804.9</v>
      </c>
      <c r="L103" s="572">
        <f>K103/K104-1</f>
        <v/>
      </c>
      <c r="M103" s="270" t="n">
        <v>75131.42999999999</v>
      </c>
      <c r="N103" s="572">
        <f>M103/M104-1</f>
        <v/>
      </c>
      <c r="O103" s="270" t="n">
        <v>24323.85</v>
      </c>
      <c r="P103" s="572">
        <f>O103/O104-1</f>
        <v/>
      </c>
    </row>
    <row r="104">
      <c r="B104" s="269" t="n">
        <v>46023</v>
      </c>
      <c r="C104" s="270" t="n">
        <v>2231.8</v>
      </c>
      <c r="D104" s="572">
        <f>C104/C105-1</f>
        <v/>
      </c>
      <c r="E104" s="270" t="n">
        <v>67259.78</v>
      </c>
      <c r="F104" s="572">
        <f>E104/E105-1</f>
        <v/>
      </c>
      <c r="G104" s="270" t="n">
        <v>26146.55</v>
      </c>
      <c r="H104" s="572">
        <f>G104/G105-1</f>
        <v/>
      </c>
      <c r="J104" s="269" t="n">
        <v>45473</v>
      </c>
      <c r="K104" s="270" t="n">
        <v>1819.55</v>
      </c>
      <c r="L104" s="572">
        <f>K104/K105-1</f>
        <v/>
      </c>
      <c r="M104" s="270" t="n">
        <v>72324.41</v>
      </c>
      <c r="N104" s="572">
        <f>M104/M105-1</f>
        <v/>
      </c>
      <c r="O104" s="270" t="n">
        <v>24010.6</v>
      </c>
      <c r="P104" s="572">
        <f>O104/O105-1</f>
        <v/>
      </c>
    </row>
    <row r="105">
      <c r="B105" s="269" t="n">
        <v>46022</v>
      </c>
      <c r="C105" s="270" t="n">
        <v>2243.1</v>
      </c>
      <c r="D105" s="572">
        <f>C105/C106-1</f>
        <v/>
      </c>
      <c r="E105" s="270" t="n">
        <v>67112</v>
      </c>
      <c r="F105" s="572">
        <f>E105/E106-1</f>
        <v/>
      </c>
      <c r="G105" s="270" t="n">
        <v>26129.6</v>
      </c>
      <c r="H105" s="572">
        <f>G105/G106-1</f>
        <v/>
      </c>
      <c r="J105" s="269" t="n">
        <v>45466</v>
      </c>
      <c r="K105" s="270" t="n">
        <v>1910.05</v>
      </c>
      <c r="L105" s="572">
        <f>K105/K106-1</f>
        <v/>
      </c>
      <c r="M105" s="270" t="n">
        <v>71779.22</v>
      </c>
      <c r="N105" s="572">
        <f>M105/M106-1</f>
        <v/>
      </c>
      <c r="O105" s="270" t="n">
        <v>23501.1</v>
      </c>
      <c r="P105" s="572">
        <f>O105/O106-1</f>
        <v/>
      </c>
    </row>
    <row r="106">
      <c r="B106" s="269" t="n">
        <v>46021</v>
      </c>
      <c r="C106" s="270" t="n">
        <v>2227.9</v>
      </c>
      <c r="D106" s="572">
        <f>C106/C107-1</f>
        <v/>
      </c>
      <c r="E106" s="270" t="n">
        <v>66366.28</v>
      </c>
      <c r="F106" s="572">
        <f>E106/E107-1</f>
        <v/>
      </c>
      <c r="G106" s="270" t="n">
        <v>25938.85</v>
      </c>
      <c r="H106" s="572">
        <f>G106/G107-1</f>
        <v/>
      </c>
      <c r="J106" s="269" t="n">
        <v>45459</v>
      </c>
      <c r="K106" s="270" t="n">
        <v>1787.9</v>
      </c>
      <c r="L106" s="572">
        <f>K106/K107-1</f>
        <v/>
      </c>
      <c r="M106" s="270" t="n">
        <v>73255.72</v>
      </c>
      <c r="N106" s="572">
        <f>M106/M107-1</f>
        <v/>
      </c>
      <c r="O106" s="270" t="n">
        <v>23465.6</v>
      </c>
      <c r="P106" s="572">
        <f>O106/O107-1</f>
        <v/>
      </c>
    </row>
    <row r="107">
      <c r="B107" s="269" t="n">
        <v>46020</v>
      </c>
      <c r="C107" s="270" t="n">
        <v>2246.6</v>
      </c>
      <c r="D107" s="572">
        <f>C107/C108-1</f>
        <v/>
      </c>
      <c r="E107" s="270" t="n">
        <v>66665.39</v>
      </c>
      <c r="F107" s="572">
        <f>E107/E108-1</f>
        <v/>
      </c>
      <c r="G107" s="270" t="n">
        <v>25942.1</v>
      </c>
      <c r="H107" s="572">
        <f>G107/G108-1</f>
        <v/>
      </c>
      <c r="J107" s="269" t="n">
        <v>45452</v>
      </c>
      <c r="K107" s="270" t="n">
        <v>1763.65</v>
      </c>
      <c r="L107" s="572">
        <f>K107/K108-1</f>
        <v/>
      </c>
      <c r="M107" s="270" t="n">
        <v>68852.25999999999</v>
      </c>
      <c r="N107" s="572">
        <f>M107/M108-1</f>
        <v/>
      </c>
      <c r="O107" s="270" t="n">
        <v>23290.15</v>
      </c>
      <c r="P107" s="572">
        <f>O107/O108-1</f>
        <v/>
      </c>
    </row>
    <row r="108">
      <c r="B108" s="269" t="n">
        <v>46017</v>
      </c>
      <c r="C108" s="270" t="n">
        <v>2223.9</v>
      </c>
      <c r="D108" s="572">
        <f>C108/C109-1</f>
        <v/>
      </c>
      <c r="E108" s="270" t="n">
        <v>67141.56</v>
      </c>
      <c r="F108" s="572">
        <f>E108/E109-1</f>
        <v/>
      </c>
      <c r="G108" s="270" t="n">
        <v>26042.3</v>
      </c>
      <c r="H108" s="572">
        <f>G108/G109-1</f>
        <v/>
      </c>
      <c r="J108" s="269" t="n">
        <v>45445</v>
      </c>
      <c r="K108" s="270" t="n">
        <v>1727.05</v>
      </c>
      <c r="L108" s="572">
        <f>K108/K109-1</f>
        <v/>
      </c>
      <c r="M108" s="270" t="n">
        <v>70055.57000000001</v>
      </c>
      <c r="N108" s="572">
        <f>M108/M109-1</f>
        <v/>
      </c>
      <c r="O108" s="270" t="n">
        <v>22530.7</v>
      </c>
      <c r="P108" s="572">
        <f>O108/O109-1</f>
        <v/>
      </c>
    </row>
    <row r="109">
      <c r="B109" s="269" t="n">
        <v>46015</v>
      </c>
      <c r="C109" s="270" t="n">
        <v>2213.8</v>
      </c>
      <c r="D109" s="572">
        <f>C109/C110-1</f>
        <v/>
      </c>
      <c r="E109" s="270" t="n">
        <v>67503.78999999999</v>
      </c>
      <c r="F109" s="572">
        <f>E109/E110-1</f>
        <v/>
      </c>
      <c r="G109" s="270" t="n">
        <v>26142.1</v>
      </c>
      <c r="H109" s="572">
        <f>G109/G110-1</f>
        <v/>
      </c>
      <c r="J109" s="269" t="n">
        <v>45438</v>
      </c>
      <c r="K109" s="270" t="n">
        <v>1760.6</v>
      </c>
      <c r="L109" s="572">
        <f>K109/K110-1</f>
        <v/>
      </c>
      <c r="M109" s="270" t="n">
        <v>70235.49000000001</v>
      </c>
      <c r="N109" s="572">
        <f>M109/M110-1</f>
        <v/>
      </c>
      <c r="O109" s="270" t="n">
        <v>22957.1</v>
      </c>
      <c r="P109" s="572">
        <f>O109/O110-1</f>
        <v/>
      </c>
    </row>
    <row r="110">
      <c r="B110" s="269" t="n">
        <v>46014</v>
      </c>
      <c r="C110" s="270" t="n">
        <v>2205.1</v>
      </c>
      <c r="D110" s="572">
        <f>C110/C111-1</f>
        <v/>
      </c>
      <c r="E110" s="270" t="n">
        <v>67644.25</v>
      </c>
      <c r="F110" s="572">
        <f>E110/E111-1</f>
        <v/>
      </c>
      <c r="G110" s="270" t="n">
        <v>26177.15</v>
      </c>
      <c r="H110" s="572">
        <f>G110/G111-1</f>
        <v/>
      </c>
      <c r="J110" s="269" t="n">
        <v>45431</v>
      </c>
      <c r="K110" s="270" t="n">
        <v>1858</v>
      </c>
      <c r="L110" s="572">
        <f>K110/K111-1</f>
        <v/>
      </c>
      <c r="M110" s="270" t="n">
        <v>67082.55</v>
      </c>
      <c r="N110" s="572">
        <f>M110/M111-1</f>
        <v/>
      </c>
      <c r="O110" s="270" t="n">
        <v>22502</v>
      </c>
      <c r="P110" s="572">
        <f>O110/O111-1</f>
        <v/>
      </c>
    </row>
    <row r="111">
      <c r="B111" s="269" t="n">
        <v>46013</v>
      </c>
      <c r="C111" s="270" t="n">
        <v>2214.8</v>
      </c>
      <c r="D111" s="572">
        <f>C111/C112-1</f>
        <v/>
      </c>
      <c r="E111" s="270" t="n">
        <v>67631.67999999999</v>
      </c>
      <c r="F111" s="572">
        <f>E111/E112-1</f>
        <v/>
      </c>
      <c r="G111" s="270" t="n">
        <v>26172.4</v>
      </c>
      <c r="H111" s="572">
        <f>G111/G112-1</f>
        <v/>
      </c>
      <c r="J111" s="269" t="n">
        <v>45424</v>
      </c>
      <c r="K111" s="270" t="n">
        <v>1815.35</v>
      </c>
      <c r="L111" s="572">
        <f>K111/K112-1</f>
        <v/>
      </c>
      <c r="M111" s="270" t="n">
        <v>60987.48</v>
      </c>
      <c r="N111" s="572">
        <f>M111/M112-1</f>
        <v/>
      </c>
      <c r="O111" s="270" t="n">
        <v>22055.2</v>
      </c>
      <c r="P111" s="572">
        <f>O111/O112-1</f>
        <v/>
      </c>
    </row>
    <row r="112">
      <c r="B112" s="269" t="n">
        <v>46010</v>
      </c>
      <c r="C112" s="270" t="n">
        <v>2176.5</v>
      </c>
      <c r="D112" s="572">
        <f>C112/C113-1</f>
        <v/>
      </c>
      <c r="E112" s="270" t="n">
        <v>66534.02</v>
      </c>
      <c r="F112" s="572">
        <f>E112/E113-1</f>
        <v/>
      </c>
      <c r="G112" s="270" t="n">
        <v>25966.4</v>
      </c>
      <c r="H112" s="572">
        <f>G112/G113-1</f>
        <v/>
      </c>
      <c r="J112" s="269" t="n">
        <v>45417</v>
      </c>
      <c r="K112" s="270" t="n">
        <v>1836.3</v>
      </c>
      <c r="L112" s="572">
        <f>K112/K113-1</f>
        <v/>
      </c>
      <c r="M112" s="270" t="n">
        <v>62616.74</v>
      </c>
      <c r="N112" s="572">
        <f>M112/M113-1</f>
        <v/>
      </c>
      <c r="O112" s="270" t="n">
        <v>22475.85</v>
      </c>
      <c r="P112" s="572">
        <f>O112/O113-1</f>
        <v/>
      </c>
    </row>
    <row r="113">
      <c r="B113" s="269" t="n">
        <v>46009</v>
      </c>
      <c r="C113" s="270" t="n">
        <v>2154.1</v>
      </c>
      <c r="D113" s="572">
        <f>C113/C114-1</f>
        <v/>
      </c>
      <c r="E113" s="270" t="n">
        <v>65452.28</v>
      </c>
      <c r="F113" s="572">
        <f>E113/E114-1</f>
        <v/>
      </c>
      <c r="G113" s="270" t="n">
        <v>25815.55</v>
      </c>
      <c r="H113" s="572">
        <f>G113/G114-1</f>
        <v/>
      </c>
      <c r="J113" s="269" t="n">
        <v>45410</v>
      </c>
      <c r="K113" s="270" t="n">
        <v>1788.85</v>
      </c>
      <c r="L113" s="572">
        <f>K113/K114-1</f>
        <v/>
      </c>
      <c r="M113" s="270" t="n">
        <v>63115.05</v>
      </c>
      <c r="N113" s="572">
        <f>M113/M114-1</f>
        <v/>
      </c>
      <c r="O113" s="270" t="n">
        <v>22419.95</v>
      </c>
      <c r="P113" s="572">
        <f>O113/O114-1</f>
        <v/>
      </c>
    </row>
    <row r="114">
      <c r="B114" s="269" t="n">
        <v>46008</v>
      </c>
      <c r="C114" s="270" t="n">
        <v>2176.4</v>
      </c>
      <c r="D114" s="572">
        <f>C114/C115-1</f>
        <v/>
      </c>
      <c r="E114" s="270" t="n">
        <v>65981.82000000001</v>
      </c>
      <c r="F114" s="572">
        <f>E114/E115-1</f>
        <v/>
      </c>
      <c r="G114" s="270" t="n">
        <v>25818.55</v>
      </c>
      <c r="H114" s="572">
        <f>G114/G115-1</f>
        <v/>
      </c>
      <c r="J114" s="269" t="n">
        <v>45403</v>
      </c>
      <c r="K114" s="270" t="n">
        <v>1664.8</v>
      </c>
      <c r="L114" s="572">
        <f>K114/K115-1</f>
        <v/>
      </c>
      <c r="M114" s="270" t="n">
        <v>61035.39</v>
      </c>
      <c r="N114" s="572">
        <f>M114/M115-1</f>
        <v/>
      </c>
      <c r="O114" s="270" t="n">
        <v>22147</v>
      </c>
      <c r="P114" s="572">
        <f>O114/O115-1</f>
        <v/>
      </c>
    </row>
    <row r="115">
      <c r="B115" s="269" t="n">
        <v>46007</v>
      </c>
      <c r="C115" s="270" t="n">
        <v>2202.4</v>
      </c>
      <c r="D115" s="572">
        <f>C115/C116-1</f>
        <v/>
      </c>
      <c r="E115" s="270" t="n">
        <v>66618.39999999999</v>
      </c>
      <c r="F115" s="572">
        <f>E115/E116-1</f>
        <v/>
      </c>
      <c r="G115" s="270" t="n">
        <v>25860.1</v>
      </c>
      <c r="H115" s="572">
        <f>G115/G116-1</f>
        <v/>
      </c>
      <c r="J115" s="269" t="n">
        <v>45396</v>
      </c>
      <c r="K115" s="270" t="n">
        <v>1685.82</v>
      </c>
      <c r="L115" s="572">
        <f>K115/K116-1</f>
        <v/>
      </c>
      <c r="M115" s="270" t="n">
        <v>62251.73</v>
      </c>
      <c r="N115" s="572">
        <f>M115/M116-1</f>
        <v/>
      </c>
      <c r="O115" s="270" t="n">
        <v>22519.4</v>
      </c>
      <c r="P115" s="572">
        <f>O115/O116-1</f>
        <v/>
      </c>
    </row>
    <row r="116">
      <c r="B116" s="269" t="n">
        <v>46006</v>
      </c>
      <c r="C116" s="270" t="n">
        <v>2277.3</v>
      </c>
      <c r="D116" s="572">
        <f>C116/C117-1</f>
        <v/>
      </c>
      <c r="E116" s="270" t="n">
        <v>66959.27</v>
      </c>
      <c r="F116" s="572">
        <f>E116/E117-1</f>
        <v/>
      </c>
      <c r="G116" s="270" t="n">
        <v>26027.3</v>
      </c>
      <c r="H116" s="572">
        <f>G116/G117-1</f>
        <v/>
      </c>
      <c r="J116" s="269" t="n">
        <v>45389</v>
      </c>
      <c r="K116" s="270" t="n">
        <v>1689.7</v>
      </c>
      <c r="L116" s="572">
        <f>K116/K117-1</f>
        <v/>
      </c>
      <c r="M116" s="270" t="n">
        <v>62468.96</v>
      </c>
      <c r="N116" s="572">
        <f>M116/M117-1</f>
        <v/>
      </c>
      <c r="O116" s="270" t="n">
        <v>22513.7</v>
      </c>
      <c r="P116" s="572">
        <f>O116/O117-1</f>
        <v/>
      </c>
    </row>
    <row r="117">
      <c r="B117" s="269" t="n">
        <v>46003</v>
      </c>
      <c r="C117" s="270" t="n">
        <v>2218.6</v>
      </c>
      <c r="D117" s="572">
        <f>C117/C118-1</f>
        <v/>
      </c>
      <c r="E117" s="270" t="n">
        <v>66781.85000000001</v>
      </c>
      <c r="F117" s="572">
        <f>E117/E118-1</f>
        <v/>
      </c>
      <c r="G117" s="270" t="n">
        <v>26046.95</v>
      </c>
      <c r="H117" s="572">
        <f>G117/G118-1</f>
        <v/>
      </c>
      <c r="J117" s="269" t="n">
        <v>45382</v>
      </c>
      <c r="K117" s="270" t="n">
        <v>1579.28</v>
      </c>
      <c r="L117" s="572">
        <f>K117/K118-1</f>
        <v/>
      </c>
      <c r="M117" s="270" t="n">
        <v>60943.12</v>
      </c>
      <c r="N117" s="572">
        <f>M117/M118-1</f>
        <v/>
      </c>
      <c r="O117" s="270" t="n">
        <v>22326.9</v>
      </c>
      <c r="P117" s="572">
        <f>O117/O118-1</f>
        <v/>
      </c>
    </row>
    <row r="118">
      <c r="B118" s="269" t="n">
        <v>46002</v>
      </c>
      <c r="C118" s="270" t="n">
        <v>2220.4</v>
      </c>
      <c r="D118" s="572">
        <f>C118/C119-1</f>
        <v/>
      </c>
      <c r="E118" s="270" t="n">
        <v>66273.78</v>
      </c>
      <c r="F118" s="572">
        <f>E118/E119-1</f>
        <v/>
      </c>
      <c r="G118" s="270" t="n">
        <v>25898.55</v>
      </c>
      <c r="H118" s="572">
        <f>G118/G119-1</f>
        <v/>
      </c>
      <c r="J118" s="269" t="n">
        <v>45375</v>
      </c>
      <c r="K118" s="270" t="n">
        <v>1591.43</v>
      </c>
      <c r="L118" s="572">
        <f>K118/K119-1</f>
        <v/>
      </c>
      <c r="M118" s="270" t="n">
        <v>58726.35</v>
      </c>
      <c r="N118" s="572">
        <f>M118/M119-1</f>
        <v/>
      </c>
      <c r="O118" s="270" t="n">
        <v>22096.75</v>
      </c>
      <c r="P118" s="572">
        <f>O118/O119-1</f>
        <v/>
      </c>
    </row>
    <row r="119">
      <c r="B119" s="269" t="n">
        <v>46001</v>
      </c>
      <c r="C119" s="270" t="n">
        <v>2200.7</v>
      </c>
      <c r="D119" s="572">
        <f>C119/C120-1</f>
        <v/>
      </c>
      <c r="E119" s="270" t="n">
        <v>65909.02</v>
      </c>
      <c r="F119" s="572">
        <f>E119/E120-1</f>
        <v/>
      </c>
      <c r="G119" s="270" t="n">
        <v>25758</v>
      </c>
      <c r="H119" s="572">
        <f>G119/G120-1</f>
        <v/>
      </c>
      <c r="J119" s="269" t="n">
        <v>45368</v>
      </c>
      <c r="K119" s="270" t="n">
        <v>1357.12</v>
      </c>
      <c r="L119" s="572">
        <f>K119/K120-1</f>
        <v/>
      </c>
      <c r="M119" s="270" t="n">
        <v>56820.05</v>
      </c>
      <c r="N119" s="572">
        <f>M119/M120-1</f>
        <v/>
      </c>
      <c r="O119" s="270" t="n">
        <v>22023.35</v>
      </c>
      <c r="P119" s="572">
        <f>O119/O120-1</f>
        <v/>
      </c>
    </row>
    <row r="120">
      <c r="B120" s="269" t="n">
        <v>46000</v>
      </c>
      <c r="C120" s="270" t="n">
        <v>2218.4</v>
      </c>
      <c r="D120" s="572">
        <f>C120/C121-1</f>
        <v/>
      </c>
      <c r="E120" s="270" t="n">
        <v>66564.92999999999</v>
      </c>
      <c r="F120" s="572">
        <f>E120/E121-1</f>
        <v/>
      </c>
      <c r="G120" s="270" t="n">
        <v>25839.65</v>
      </c>
      <c r="H120" s="572">
        <f>G120/G121-1</f>
        <v/>
      </c>
      <c r="J120" s="269" t="n">
        <v>45361</v>
      </c>
      <c r="K120" s="270" t="n">
        <v>1406.95</v>
      </c>
      <c r="L120" s="572">
        <f>K120/K121-1</f>
        <v/>
      </c>
      <c r="M120" s="270" t="n">
        <v>59466.79</v>
      </c>
      <c r="N120" s="572">
        <f>M120/M121-1</f>
        <v/>
      </c>
      <c r="O120" s="270" t="n">
        <v>22493.55</v>
      </c>
      <c r="P120" s="572">
        <f>O120/O121-1</f>
        <v/>
      </c>
    </row>
    <row r="121">
      <c r="B121" s="269" t="n">
        <v>45999</v>
      </c>
      <c r="C121" s="270" t="n">
        <v>2248.4</v>
      </c>
      <c r="D121" s="572">
        <f>C121/C122-1</f>
        <v/>
      </c>
      <c r="E121" s="270" t="n">
        <v>65733.03999999999</v>
      </c>
      <c r="F121" s="572">
        <f>E121/E122-1</f>
        <v/>
      </c>
      <c r="G121" s="270" t="n">
        <v>25960.55</v>
      </c>
      <c r="H121" s="572">
        <f>G121/G122-1</f>
        <v/>
      </c>
      <c r="J121" s="269" t="n">
        <v>45354</v>
      </c>
      <c r="K121" s="270" t="n">
        <v>1389.62</v>
      </c>
      <c r="L121" s="572">
        <f>K121/K122-1</f>
        <v/>
      </c>
      <c r="M121" s="270" t="n">
        <v>59155.01</v>
      </c>
      <c r="N121" s="572">
        <f>M121/M122-1</f>
        <v/>
      </c>
      <c r="O121" s="270" t="n">
        <v>22378.4</v>
      </c>
      <c r="P121" s="572">
        <f>O121/O122-1</f>
        <v/>
      </c>
    </row>
    <row r="122">
      <c r="B122" s="269" t="n">
        <v>45996</v>
      </c>
      <c r="C122" s="270" t="n">
        <v>2184.4</v>
      </c>
      <c r="D122" s="572">
        <f>C122/C123-1</f>
        <v/>
      </c>
      <c r="E122" s="270" t="n">
        <v>67647.37</v>
      </c>
      <c r="F122" s="572">
        <f>E122/E123-1</f>
        <v/>
      </c>
      <c r="G122" s="270" t="n">
        <v>26186.45</v>
      </c>
      <c r="H122" s="572">
        <f>G122/G123-1</f>
        <v/>
      </c>
      <c r="J122" s="269" t="n">
        <v>45347</v>
      </c>
      <c r="K122" s="270" t="n">
        <v>1404.12</v>
      </c>
      <c r="L122" s="572">
        <f>K122/K123-1</f>
        <v/>
      </c>
      <c r="M122" s="270" t="n">
        <v>56732.11</v>
      </c>
      <c r="N122" s="572">
        <f>M122/M123-1</f>
        <v/>
      </c>
      <c r="O122" s="270" t="n">
        <v>22212.7</v>
      </c>
      <c r="P122" s="572">
        <f>O122/O123-1</f>
        <v/>
      </c>
    </row>
    <row r="123">
      <c r="B123" s="269" t="n">
        <v>45995</v>
      </c>
      <c r="C123" s="270" t="n">
        <v>2211.7</v>
      </c>
      <c r="D123" s="572">
        <f>C123/C124-1</f>
        <v/>
      </c>
      <c r="E123" s="270" t="n">
        <v>67933.24000000001</v>
      </c>
      <c r="F123" s="572">
        <f>E123/E124-1</f>
        <v/>
      </c>
      <c r="G123" s="270" t="n">
        <v>26033.75</v>
      </c>
      <c r="H123" s="572">
        <f>G123/G124-1</f>
        <v/>
      </c>
      <c r="J123" s="269" t="n">
        <v>45340</v>
      </c>
      <c r="K123" s="270" t="n">
        <v>1459.4</v>
      </c>
      <c r="L123" s="572">
        <f>K123/K124-1</f>
        <v/>
      </c>
      <c r="M123" s="270" t="n">
        <v>55999.37</v>
      </c>
      <c r="N123" s="572">
        <f>M123/M124-1</f>
        <v/>
      </c>
      <c r="O123" s="270" t="n">
        <v>22040.7</v>
      </c>
      <c r="P123" s="572">
        <f>O123/O124-1</f>
        <v/>
      </c>
    </row>
    <row r="124">
      <c r="B124" s="269" t="n">
        <v>45994</v>
      </c>
      <c r="C124" s="270" t="n">
        <v>2184.8</v>
      </c>
      <c r="D124" s="572">
        <f>C124/C125-1</f>
        <v/>
      </c>
      <c r="E124" s="270" t="n">
        <v>68074.46000000001</v>
      </c>
      <c r="F124" s="572">
        <f>E124/E125-1</f>
        <v/>
      </c>
      <c r="G124" s="270" t="n">
        <v>25986</v>
      </c>
      <c r="H124" s="572">
        <f>G124/G125-1</f>
        <v/>
      </c>
      <c r="J124" s="269" t="n">
        <v>45333</v>
      </c>
      <c r="K124" s="270" t="n">
        <v>1547.3</v>
      </c>
      <c r="L124" s="572">
        <f>K124/K125-1</f>
        <v/>
      </c>
      <c r="M124" s="270" t="n">
        <v>55451.74</v>
      </c>
      <c r="N124" s="572">
        <f>M124/M125-1</f>
        <v/>
      </c>
      <c r="O124" s="270" t="n">
        <v>21782.5</v>
      </c>
      <c r="P124" s="572">
        <f>O124/O125-1</f>
        <v/>
      </c>
    </row>
    <row r="125">
      <c r="B125" s="269" t="n">
        <v>45993</v>
      </c>
      <c r="C125" s="270" t="n">
        <v>2230.6</v>
      </c>
      <c r="D125" s="572">
        <f>C125/C126-1</f>
        <v/>
      </c>
      <c r="E125" s="270" t="n">
        <v>68980.36</v>
      </c>
      <c r="F125" s="572">
        <f>E125/E126-1</f>
        <v/>
      </c>
      <c r="G125" s="270" t="n">
        <v>26032.2</v>
      </c>
      <c r="H125" s="572">
        <f>G125/G126-1</f>
        <v/>
      </c>
      <c r="J125" s="269" t="n">
        <v>45326</v>
      </c>
      <c r="K125" s="270" t="n">
        <v>1507.5</v>
      </c>
      <c r="L125" s="572">
        <f>K125/K126-1</f>
        <v/>
      </c>
      <c r="M125" s="270" t="n">
        <v>56072.2</v>
      </c>
      <c r="N125" s="572">
        <f>M125/M126-1</f>
        <v/>
      </c>
      <c r="O125" s="270" t="n">
        <v>21853.8</v>
      </c>
      <c r="P125" s="572">
        <f>O125/O126-1</f>
        <v/>
      </c>
    </row>
    <row r="126">
      <c r="B126" s="269" t="n">
        <v>45992</v>
      </c>
      <c r="C126" s="270" t="n">
        <v>2257.4</v>
      </c>
      <c r="D126" s="572">
        <f>C126/C127-1</f>
        <v/>
      </c>
      <c r="E126" s="270" t="n">
        <v>69237.14</v>
      </c>
      <c r="F126" s="572">
        <f>E126/E127-1</f>
        <v/>
      </c>
      <c r="G126" s="270" t="n">
        <v>26175.75</v>
      </c>
      <c r="H126" s="572">
        <f>G126/G127-1</f>
        <v/>
      </c>
      <c r="J126" s="269" t="n">
        <v>45319</v>
      </c>
      <c r="K126" s="270" t="n">
        <v>1485.12</v>
      </c>
      <c r="L126" s="572">
        <f>K126/K127-1</f>
        <v/>
      </c>
      <c r="M126" s="270" t="n">
        <v>56903.79</v>
      </c>
      <c r="N126" s="572">
        <f>M126/M127-1</f>
        <v/>
      </c>
      <c r="O126" s="270" t="n">
        <v>21352.6</v>
      </c>
      <c r="P126" s="572">
        <f>O126/O127-1</f>
        <v/>
      </c>
    </row>
    <row r="127">
      <c r="B127" s="269" t="n">
        <v>45989</v>
      </c>
      <c r="C127" s="270" t="n">
        <v>2259.8</v>
      </c>
      <c r="D127" s="572">
        <f>C127/C128-1</f>
        <v/>
      </c>
      <c r="E127" s="270" t="n">
        <v>69208.59</v>
      </c>
      <c r="F127" s="572">
        <f>E127/E128-1</f>
        <v/>
      </c>
      <c r="G127" s="270" t="n">
        <v>26202.95</v>
      </c>
      <c r="H127" s="572">
        <f>G127/G128-1</f>
        <v/>
      </c>
      <c r="J127" s="269" t="n">
        <v>45312</v>
      </c>
      <c r="K127" s="270" t="n">
        <v>1499.22</v>
      </c>
      <c r="L127" s="572">
        <f>K127/K128-1</f>
        <v/>
      </c>
      <c r="M127" s="270" t="n">
        <v>57301.23</v>
      </c>
      <c r="N127" s="572">
        <f>M127/M128-1</f>
        <v/>
      </c>
      <c r="O127" s="270" t="n">
        <v>21571.8</v>
      </c>
      <c r="P127" s="572">
        <f>O127/O128-1</f>
        <v/>
      </c>
    </row>
    <row r="128">
      <c r="B128" s="269" t="n">
        <v>45988</v>
      </c>
      <c r="C128" s="270" t="n">
        <v>2279.4</v>
      </c>
      <c r="D128" s="572">
        <f>C128/C129-1</f>
        <v/>
      </c>
      <c r="E128" s="270" t="n">
        <v>69354.45</v>
      </c>
      <c r="F128" s="572">
        <f>E128/E129-1</f>
        <v/>
      </c>
      <c r="G128" s="270" t="n">
        <v>26215.55</v>
      </c>
      <c r="H128" s="572">
        <f>G128/G129-1</f>
        <v/>
      </c>
      <c r="J128" s="269" t="n">
        <v>45305</v>
      </c>
      <c r="K128" s="270" t="n">
        <v>1428.55</v>
      </c>
      <c r="L128" s="572">
        <f>K128/K129-1</f>
        <v/>
      </c>
      <c r="M128" s="270" t="n">
        <v>56416.1</v>
      </c>
      <c r="N128" s="572">
        <f>M128/M129-1</f>
        <v/>
      </c>
      <c r="O128" s="270" t="n">
        <v>21894.55</v>
      </c>
      <c r="P128" s="572">
        <f>O128/O129-1</f>
        <v/>
      </c>
    </row>
    <row r="129">
      <c r="B129" s="269" t="n">
        <v>45987</v>
      </c>
      <c r="C129" s="270" t="n">
        <v>2308.9</v>
      </c>
      <c r="D129" s="572">
        <f>C129/C130-1</f>
        <v/>
      </c>
      <c r="E129" s="270" t="n">
        <v>69691.3</v>
      </c>
      <c r="F129" s="572">
        <f>E129/E130-1</f>
        <v/>
      </c>
      <c r="G129" s="270" t="n">
        <v>26205.3</v>
      </c>
      <c r="H129" s="572">
        <f>G129/G130-1</f>
        <v/>
      </c>
      <c r="J129" s="269" t="n">
        <v>45298</v>
      </c>
      <c r="K129" s="270" t="n">
        <v>1354.22</v>
      </c>
      <c r="L129" s="572">
        <f>K129/K130-1</f>
        <v/>
      </c>
      <c r="M129" s="270" t="n">
        <v>56237.37</v>
      </c>
      <c r="N129" s="572">
        <f>M129/M130-1</f>
        <v/>
      </c>
      <c r="O129" s="270" t="n">
        <v>21710.8</v>
      </c>
      <c r="P129" s="572">
        <f>O129/O130-1</f>
        <v/>
      </c>
    </row>
    <row r="130">
      <c r="B130" s="269" t="n">
        <v>45986</v>
      </c>
      <c r="C130" s="270" t="n">
        <v>2272.2</v>
      </c>
      <c r="D130" s="572">
        <f>C130/C131-1</f>
        <v/>
      </c>
      <c r="E130" s="270" t="n">
        <v>68562.39999999999</v>
      </c>
      <c r="F130" s="572">
        <f>E130/E131-1</f>
        <v/>
      </c>
      <c r="G130" s="270" t="n">
        <v>25884.8</v>
      </c>
      <c r="H130" s="572">
        <f>G130/G131-1</f>
        <v/>
      </c>
      <c r="J130" s="269" t="n">
        <v>45291</v>
      </c>
      <c r="K130" s="270" t="n">
        <v>1360.05</v>
      </c>
      <c r="L130" s="572">
        <f>K130/K131-1</f>
        <v/>
      </c>
      <c r="M130" s="270" t="n">
        <v>55643.71</v>
      </c>
      <c r="N130" s="572">
        <f>M130/M131-1</f>
        <v/>
      </c>
      <c r="O130" s="270" t="n">
        <v>21731.4</v>
      </c>
      <c r="P130" s="572">
        <f>O130/O131-1</f>
        <v/>
      </c>
    </row>
    <row r="131">
      <c r="B131" s="269" t="n">
        <v>45985</v>
      </c>
      <c r="C131" s="270" t="n">
        <v>2268.7</v>
      </c>
      <c r="D131" s="572">
        <f>C131/C132-1</f>
        <v/>
      </c>
      <c r="E131" s="270" t="n">
        <v>68434.67</v>
      </c>
      <c r="F131" s="572">
        <f>E131/E132-1</f>
        <v/>
      </c>
      <c r="G131" s="270" t="n">
        <v>25959.5</v>
      </c>
      <c r="H131" s="572">
        <f>G131/G132-1</f>
        <v/>
      </c>
      <c r="J131" s="269" t="n">
        <v>45284</v>
      </c>
      <c r="K131" s="270" t="n">
        <v>1319</v>
      </c>
      <c r="L131" s="572">
        <f>K131/K132-1</f>
        <v/>
      </c>
      <c r="M131" s="270" t="n">
        <v>54342.89</v>
      </c>
      <c r="N131" s="572">
        <f>M131/M132-1</f>
        <v/>
      </c>
      <c r="O131" s="270" t="n">
        <v>21349.4</v>
      </c>
      <c r="P131" s="572">
        <f>O131/O132-1</f>
        <v/>
      </c>
    </row>
    <row r="132">
      <c r="B132" s="269" t="n">
        <v>45982</v>
      </c>
      <c r="C132" s="270" t="n">
        <v>2313.1</v>
      </c>
      <c r="D132" s="572">
        <f>C132/C133-1</f>
        <v/>
      </c>
      <c r="E132" s="270" t="n">
        <v>69364.00999999999</v>
      </c>
      <c r="F132" s="572">
        <f>E132/E133-1</f>
        <v/>
      </c>
      <c r="G132" s="270" t="n">
        <v>26068.15</v>
      </c>
      <c r="H132" s="572">
        <f>G132/G133-1</f>
        <v/>
      </c>
      <c r="J132" s="269" t="n">
        <v>45277</v>
      </c>
      <c r="K132" s="270" t="n">
        <v>1362.28</v>
      </c>
      <c r="L132" s="572">
        <f>K132/K133-1</f>
        <v/>
      </c>
      <c r="M132" s="270" t="n">
        <v>54490.52</v>
      </c>
      <c r="N132" s="572">
        <f>M132/M133-1</f>
        <v/>
      </c>
      <c r="O132" s="270" t="n">
        <v>21456.65</v>
      </c>
      <c r="P132" s="572">
        <f>O132/O133-1</f>
        <v/>
      </c>
    </row>
    <row r="133">
      <c r="B133" s="269" t="n">
        <v>45981</v>
      </c>
      <c r="C133" s="270" t="n">
        <v>2402.8</v>
      </c>
      <c r="D133" s="572">
        <f>C133/C134-1</f>
        <v/>
      </c>
      <c r="E133" s="270" t="n">
        <v>70628.67</v>
      </c>
      <c r="F133" s="572">
        <f>E133/E134-1</f>
        <v/>
      </c>
      <c r="G133" s="270" t="n">
        <v>26192.15</v>
      </c>
      <c r="H133" s="572">
        <f>G133/G134-1</f>
        <v/>
      </c>
      <c r="J133" s="269" t="n">
        <v>45270</v>
      </c>
      <c r="K133" s="270" t="n">
        <v>1333.53</v>
      </c>
      <c r="L133" s="572">
        <f>K133/K134-1</f>
        <v/>
      </c>
      <c r="M133" s="270" t="n">
        <v>53203.28</v>
      </c>
      <c r="N133" s="572">
        <f>M133/M134-1</f>
        <v/>
      </c>
      <c r="O133" s="270" t="n">
        <v>20969.4</v>
      </c>
      <c r="P133" s="572">
        <f>O133/O134-1</f>
        <v/>
      </c>
    </row>
    <row r="134">
      <c r="B134" s="269" t="n">
        <v>45980</v>
      </c>
      <c r="C134" s="270" t="n">
        <v>2397.1</v>
      </c>
      <c r="D134" s="572">
        <f>C134/C135-1</f>
        <v/>
      </c>
      <c r="E134" s="270" t="n">
        <v>70389.52</v>
      </c>
      <c r="F134" s="572">
        <f>E134/E135-1</f>
        <v/>
      </c>
      <c r="G134" s="270" t="n">
        <v>26052.65</v>
      </c>
      <c r="H134" s="572">
        <f>G134/G135-1</f>
        <v/>
      </c>
      <c r="J134" s="269" t="n">
        <v>45263</v>
      </c>
      <c r="K134" s="270" t="n">
        <v>1287.3</v>
      </c>
      <c r="L134" s="572">
        <f>K134/K135-1</f>
        <v/>
      </c>
      <c r="M134" s="270" t="n">
        <v>50745.21</v>
      </c>
      <c r="N134" s="572">
        <f>M134/M135-1</f>
        <v/>
      </c>
      <c r="O134" s="270" t="n">
        <v>20267.9</v>
      </c>
      <c r="P134" s="572">
        <f>O134/O135-1</f>
        <v/>
      </c>
    </row>
    <row r="135">
      <c r="B135" s="269" t="n">
        <v>45979</v>
      </c>
      <c r="C135" s="270" t="n">
        <v>2435.2</v>
      </c>
      <c r="D135" s="572">
        <f>C135/C136-1</f>
        <v/>
      </c>
      <c r="E135" s="270" t="n">
        <v>70530.08</v>
      </c>
      <c r="F135" s="572">
        <f>E135/E136-1</f>
        <v/>
      </c>
      <c r="G135" s="270" t="n">
        <v>25910.05</v>
      </c>
      <c r="H135" s="572">
        <f>G135/G136-1</f>
        <v/>
      </c>
      <c r="J135" s="269" t="n">
        <v>45256</v>
      </c>
      <c r="K135" s="270" t="n">
        <v>1357.35</v>
      </c>
      <c r="L135" s="572">
        <f>K135/K136-1</f>
        <v/>
      </c>
      <c r="M135" s="270" t="n">
        <v>48950.58</v>
      </c>
      <c r="N135" s="572">
        <f>M135/M136-1</f>
        <v/>
      </c>
      <c r="O135" s="270" t="n">
        <v>19794.7</v>
      </c>
      <c r="P135" s="572">
        <f>O135/O136-1</f>
        <v/>
      </c>
    </row>
    <row r="136">
      <c r="B136" s="269" t="n">
        <v>45978</v>
      </c>
      <c r="C136" s="270" t="n">
        <v>2447.1</v>
      </c>
      <c r="D136" s="572">
        <f>C136/C137-1</f>
        <v/>
      </c>
      <c r="E136" s="270" t="n">
        <v>71201.71000000001</v>
      </c>
      <c r="F136" s="572">
        <f>E136/E137-1</f>
        <v/>
      </c>
      <c r="G136" s="270" t="n">
        <v>26013.45</v>
      </c>
      <c r="H136" s="572">
        <f>G136/G137-1</f>
        <v/>
      </c>
      <c r="J136" s="269" t="n">
        <v>45249</v>
      </c>
      <c r="K136" s="270" t="n">
        <v>1349.03</v>
      </c>
      <c r="L136" s="572">
        <f>K136/K137-1</f>
        <v/>
      </c>
      <c r="M136" s="270" t="n">
        <v>49115.47</v>
      </c>
      <c r="N136" s="572">
        <f>M136/M137-1</f>
        <v/>
      </c>
      <c r="O136" s="270" t="n">
        <v>19731.8</v>
      </c>
      <c r="P136" s="572">
        <f>O136/O137-1</f>
        <v/>
      </c>
    </row>
    <row r="137">
      <c r="B137" s="269" t="n">
        <v>45975</v>
      </c>
      <c r="C137" s="270" t="n">
        <v>2449.9</v>
      </c>
      <c r="D137" s="572">
        <f>C137/C138-1</f>
        <v/>
      </c>
      <c r="E137" s="270" t="n">
        <v>70775.41</v>
      </c>
      <c r="F137" s="572">
        <f>E137/E138-1</f>
        <v/>
      </c>
      <c r="G137" s="270" t="n">
        <v>25910.05</v>
      </c>
      <c r="H137" s="572">
        <f>G137/G138-1</f>
        <v/>
      </c>
      <c r="J137" s="269" t="n">
        <v>45242</v>
      </c>
      <c r="K137" s="270" t="n">
        <v>1402.43</v>
      </c>
      <c r="L137" s="572">
        <f>K137/K138-1</f>
        <v/>
      </c>
      <c r="M137" s="270" t="n">
        <v>48009.5</v>
      </c>
      <c r="N137" s="572">
        <f>M137/M138-1</f>
        <v/>
      </c>
      <c r="O137" s="270" t="n">
        <v>19525.55</v>
      </c>
      <c r="P137" s="572">
        <f>O137/O138-1</f>
        <v/>
      </c>
    </row>
    <row r="138">
      <c r="B138" s="269" t="n">
        <v>45974</v>
      </c>
      <c r="C138" s="270" t="n">
        <v>2447.3</v>
      </c>
      <c r="D138" s="572">
        <f>C138/C139-1</f>
        <v/>
      </c>
      <c r="E138" s="270" t="n">
        <v>70665.82000000001</v>
      </c>
      <c r="F138" s="572">
        <f>E138/E139-1</f>
        <v/>
      </c>
      <c r="G138" s="270" t="n">
        <v>25879.15</v>
      </c>
      <c r="H138" s="572">
        <f>G138/G139-1</f>
        <v/>
      </c>
      <c r="J138" s="269" t="n">
        <v>45235</v>
      </c>
      <c r="K138" s="270" t="n">
        <v>1237.9</v>
      </c>
      <c r="L138" s="572">
        <f>K138/K139-1</f>
        <v/>
      </c>
      <c r="M138" s="270" t="n">
        <v>46225.69</v>
      </c>
      <c r="N138" s="572">
        <f>M138/M139-1</f>
        <v/>
      </c>
      <c r="O138" s="270" t="n">
        <v>19230.6</v>
      </c>
      <c r="P138" s="572">
        <f>O138/O139-1</f>
        <v/>
      </c>
    </row>
    <row r="139">
      <c r="B139" s="269" t="n">
        <v>45973</v>
      </c>
      <c r="C139" s="270" t="n">
        <v>2417.5</v>
      </c>
      <c r="D139" s="572">
        <f>C139/C140-1</f>
        <v/>
      </c>
      <c r="E139" s="270" t="n">
        <v>71167.22</v>
      </c>
      <c r="F139" s="572">
        <f>E139/E140-1</f>
        <v/>
      </c>
      <c r="G139" s="270" t="n">
        <v>25875.8</v>
      </c>
      <c r="H139" s="572">
        <f>G139/G140-1</f>
        <v/>
      </c>
      <c r="J139" s="269" t="n">
        <v>45228</v>
      </c>
      <c r="K139" s="270" t="n">
        <v>1068.32</v>
      </c>
      <c r="L139" s="572">
        <f>K139/K140-1</f>
        <v/>
      </c>
      <c r="M139" s="270" t="n">
        <v>45766.82</v>
      </c>
      <c r="N139" s="572">
        <f>M139/M140-1</f>
        <v/>
      </c>
      <c r="O139" s="270" t="n">
        <v>19047.25</v>
      </c>
      <c r="P139" s="572">
        <f>O139/O140-1</f>
        <v/>
      </c>
    </row>
    <row r="140">
      <c r="B140" s="269" t="n">
        <v>45972</v>
      </c>
      <c r="C140" s="270" t="n">
        <v>2402.6</v>
      </c>
      <c r="D140" s="572">
        <f>C140/C141-1</f>
        <v/>
      </c>
      <c r="E140" s="270" t="n">
        <v>71061.62</v>
      </c>
      <c r="F140" s="572">
        <f>E140/E141-1</f>
        <v/>
      </c>
      <c r="G140" s="270" t="n">
        <v>25694.95</v>
      </c>
      <c r="H140" s="572">
        <f>G140/G141-1</f>
        <v/>
      </c>
      <c r="J140" s="269" t="n">
        <v>45221</v>
      </c>
      <c r="K140" s="270" t="n">
        <v>1061.6</v>
      </c>
      <c r="L140" s="572">
        <f>K140/K141-1</f>
        <v/>
      </c>
      <c r="M140" s="270" t="n">
        <v>47213.11</v>
      </c>
      <c r="N140" s="572">
        <f>M140/M141-1</f>
        <v/>
      </c>
      <c r="O140" s="270" t="n">
        <v>19542.65</v>
      </c>
      <c r="P140" s="572">
        <f>O140/O141-1</f>
        <v/>
      </c>
    </row>
    <row r="141">
      <c r="B141" s="269" t="n">
        <v>45971</v>
      </c>
      <c r="C141" s="270" t="n">
        <v>2397.7</v>
      </c>
      <c r="D141" s="572">
        <f>C141/C142-1</f>
        <v/>
      </c>
      <c r="E141" s="270" t="n">
        <v>70225.64</v>
      </c>
      <c r="F141" s="572">
        <f>E141/E142-1</f>
        <v/>
      </c>
      <c r="G141" s="270" t="n">
        <v>25574.35</v>
      </c>
      <c r="H141" s="572">
        <f>G141/G142-1</f>
        <v/>
      </c>
      <c r="J141" s="269" t="n">
        <v>45214</v>
      </c>
      <c r="K141" s="270" t="n">
        <v>1034.93</v>
      </c>
      <c r="L141" s="572">
        <f>K141/K142-1</f>
        <v/>
      </c>
      <c r="M141" s="270" t="n">
        <v>47898.94</v>
      </c>
      <c r="N141" s="572">
        <f>M141/M142-1</f>
        <v/>
      </c>
      <c r="O141" s="270" t="n">
        <v>19751.05</v>
      </c>
      <c r="P141" s="572">
        <f>O141/O142-1</f>
        <v/>
      </c>
    </row>
    <row r="142">
      <c r="B142" s="269" t="n">
        <v>45968</v>
      </c>
      <c r="C142" s="270" t="n">
        <v>2313</v>
      </c>
      <c r="D142" s="572">
        <f>C142/C143-1</f>
        <v/>
      </c>
      <c r="E142" s="270" t="n">
        <v>69366.03999999999</v>
      </c>
      <c r="F142" s="572">
        <f>E142/E143-1</f>
        <v/>
      </c>
      <c r="G142" s="270" t="n">
        <v>25492.3</v>
      </c>
      <c r="H142" s="572">
        <f>G142/G143-1</f>
        <v/>
      </c>
      <c r="J142" s="269" t="n">
        <v>45207</v>
      </c>
      <c r="K142" s="270" t="n">
        <v>1001.4</v>
      </c>
      <c r="L142" s="572">
        <f>K142/K143-1</f>
        <v/>
      </c>
      <c r="M142" s="270" t="n">
        <v>48205.14</v>
      </c>
      <c r="N142" s="572">
        <f>M142/M143-1</f>
        <v/>
      </c>
      <c r="O142" s="270" t="n">
        <v>19653.5</v>
      </c>
      <c r="P142" s="572">
        <f>O142/O143-1</f>
        <v/>
      </c>
    </row>
    <row r="143">
      <c r="B143" s="269" t="n">
        <v>45967</v>
      </c>
      <c r="C143" s="270" t="n">
        <v>2293.9</v>
      </c>
      <c r="D143" s="572">
        <f>C143/C144-1</f>
        <v/>
      </c>
      <c r="E143" s="270" t="n">
        <v>69508.07000000001</v>
      </c>
      <c r="F143" s="572">
        <f>E143/E144-1</f>
        <v/>
      </c>
      <c r="G143" s="270" t="n">
        <v>25509.7</v>
      </c>
      <c r="H143" s="572">
        <f>G143/G144-1</f>
        <v/>
      </c>
      <c r="J143" s="269" t="n">
        <v>45200</v>
      </c>
      <c r="K143" s="270" t="n">
        <v>991.35</v>
      </c>
      <c r="L143" s="572">
        <f>K143/K144-1</f>
        <v/>
      </c>
      <c r="M143" s="270" t="n">
        <v>47729.02</v>
      </c>
      <c r="N143" s="572">
        <f>M143/M144-1</f>
        <v/>
      </c>
      <c r="O143" s="270" t="n">
        <v>19638.3</v>
      </c>
      <c r="P143" s="572">
        <f>O143/O144-1</f>
        <v/>
      </c>
    </row>
    <row r="144">
      <c r="B144" s="269" t="n">
        <v>45965</v>
      </c>
      <c r="C144" s="270" t="n">
        <v>2328.3</v>
      </c>
      <c r="D144" s="572">
        <f>C144/C145-1</f>
        <v/>
      </c>
      <c r="E144" s="270" t="n">
        <v>70385.53999999999</v>
      </c>
      <c r="F144" s="572">
        <f>E144/E145-1</f>
        <v/>
      </c>
      <c r="G144" s="270" t="n">
        <v>25597.65</v>
      </c>
      <c r="H144" s="572">
        <f>G144/G145-1</f>
        <v/>
      </c>
      <c r="J144" s="269" t="n">
        <v>45193</v>
      </c>
      <c r="K144" s="270" t="n">
        <v>1004.65</v>
      </c>
      <c r="L144" s="572">
        <f>K144/K145-1</f>
        <v/>
      </c>
      <c r="M144" s="270" t="n">
        <v>46719.77</v>
      </c>
      <c r="N144" s="572">
        <f>M144/M145-1</f>
        <v/>
      </c>
      <c r="O144" s="270" t="n">
        <v>19674.25</v>
      </c>
      <c r="P144" s="572">
        <f>O144/O145-1</f>
        <v/>
      </c>
    </row>
    <row r="145">
      <c r="B145" s="269" t="n">
        <v>45964</v>
      </c>
      <c r="C145" s="270" t="n">
        <v>2359.4</v>
      </c>
      <c r="D145" s="572">
        <f>C145/C146-1</f>
        <v/>
      </c>
      <c r="E145" s="270" t="n">
        <v>70525.60000000001</v>
      </c>
      <c r="F145" s="572">
        <f>E145/E146-1</f>
        <v/>
      </c>
      <c r="G145" s="270" t="n">
        <v>25763.35</v>
      </c>
      <c r="H145" s="572">
        <f>G145/G146-1</f>
        <v/>
      </c>
      <c r="J145" s="269" t="n">
        <v>45186</v>
      </c>
      <c r="K145" s="270" t="n">
        <v>1093.68</v>
      </c>
      <c r="L145" s="572">
        <f>K145/K146-1</f>
        <v/>
      </c>
      <c r="M145" s="270" t="n">
        <v>47045.67</v>
      </c>
      <c r="N145" s="572">
        <f>M145/M146-1</f>
        <v/>
      </c>
      <c r="O145" s="270" t="n">
        <v>20192.35</v>
      </c>
      <c r="P145" s="572">
        <f>O145/O146-1</f>
        <v/>
      </c>
    </row>
    <row r="146">
      <c r="B146" s="269" t="n">
        <v>45961</v>
      </c>
      <c r="C146" s="270" t="n">
        <v>2307.2</v>
      </c>
      <c r="D146" s="572">
        <f>C146/C147-1</f>
        <v/>
      </c>
      <c r="E146" s="270" t="n">
        <v>70404.39</v>
      </c>
      <c r="F146" s="572">
        <f>E146/E147-1</f>
        <v/>
      </c>
      <c r="G146" s="270" t="n">
        <v>25722.1</v>
      </c>
      <c r="H146" s="572">
        <f>G146/G147-1</f>
        <v/>
      </c>
      <c r="J146" s="269" t="n">
        <v>45179</v>
      </c>
      <c r="K146" s="270" t="n">
        <v>1088.75</v>
      </c>
      <c r="L146" s="572">
        <f>K146/K147-1</f>
        <v/>
      </c>
      <c r="M146" s="270" t="n">
        <v>47604.04</v>
      </c>
      <c r="N146" s="572">
        <f>M146/M147-1</f>
        <v/>
      </c>
      <c r="O146" s="270" t="n">
        <v>19819.95</v>
      </c>
      <c r="P146" s="572">
        <f>O146/O147-1</f>
        <v/>
      </c>
    </row>
    <row r="147">
      <c r="B147" s="269" t="n">
        <v>45960</v>
      </c>
      <c r="C147" s="270" t="n">
        <v>2341.7</v>
      </c>
      <c r="D147" s="572">
        <f>C147/C148-1</f>
        <v/>
      </c>
      <c r="E147" s="270" t="n">
        <v>70119.5</v>
      </c>
      <c r="F147" s="572">
        <f>E147/E148-1</f>
        <v/>
      </c>
      <c r="G147" s="270" t="n">
        <v>25877.85</v>
      </c>
      <c r="H147" s="572">
        <f>G147/G148-1</f>
        <v/>
      </c>
      <c r="J147" s="269" t="n">
        <v>45172</v>
      </c>
      <c r="K147" s="270" t="n">
        <v>1083.8</v>
      </c>
      <c r="L147" s="572">
        <f>K147/K148-1</f>
        <v/>
      </c>
      <c r="M147" s="270" t="n">
        <v>45406.56</v>
      </c>
      <c r="N147" s="572">
        <f>M147/M148-1</f>
        <v/>
      </c>
      <c r="O147" s="270" t="n">
        <v>19435.3</v>
      </c>
      <c r="P147" s="572">
        <f>O147/O148-1</f>
        <v/>
      </c>
    </row>
    <row r="148">
      <c r="B148" s="269" t="n">
        <v>45959</v>
      </c>
      <c r="C148" s="270" t="n">
        <v>2303.1</v>
      </c>
      <c r="D148" s="572">
        <f>C148/C149-1</f>
        <v/>
      </c>
      <c r="E148" s="270" t="n">
        <v>70021.69</v>
      </c>
      <c r="F148" s="572">
        <f>E148/E149-1</f>
        <v/>
      </c>
      <c r="G148" s="270" t="n">
        <v>26053.9</v>
      </c>
      <c r="H148" s="572">
        <f>G148/G149-1</f>
        <v/>
      </c>
      <c r="J148" s="269" t="n">
        <v>45165</v>
      </c>
      <c r="K148" s="270" t="n">
        <v>1093.68</v>
      </c>
      <c r="L148" s="572">
        <f>K148/K149-1</f>
        <v/>
      </c>
      <c r="M148" s="270" t="n">
        <v>43991.7</v>
      </c>
      <c r="N148" s="572">
        <f>M148/M149-1</f>
        <v/>
      </c>
      <c r="O148" s="270" t="n">
        <v>19265.8</v>
      </c>
      <c r="P148" s="572">
        <f>O148/O149-1</f>
        <v/>
      </c>
    </row>
    <row r="149">
      <c r="B149" s="269" t="n">
        <v>45958</v>
      </c>
      <c r="C149" s="270" t="n">
        <v>2299.8</v>
      </c>
      <c r="D149" s="572">
        <f>C149/C150-1</f>
        <v/>
      </c>
      <c r="E149" s="270" t="n">
        <v>69321.56</v>
      </c>
      <c r="F149" s="572">
        <f>E149/E150-1</f>
        <v/>
      </c>
      <c r="G149" s="270" t="n">
        <v>25936.2</v>
      </c>
      <c r="H149" s="572">
        <f>G149/G150-1</f>
        <v/>
      </c>
      <c r="J149" s="269" t="n">
        <v>45158</v>
      </c>
      <c r="K149" s="270" t="n">
        <v>1068.88</v>
      </c>
      <c r="L149" s="572">
        <f>K149/K150-1</f>
        <v/>
      </c>
      <c r="M149" s="270" t="n">
        <v>43172.89</v>
      </c>
      <c r="N149" s="572">
        <f>M149/M150-1</f>
        <v/>
      </c>
      <c r="O149" s="270" t="n">
        <v>19310.15</v>
      </c>
      <c r="P149" s="572">
        <f>O149/O150-1</f>
        <v/>
      </c>
    </row>
    <row r="150">
      <c r="B150" s="269" t="n">
        <v>45957</v>
      </c>
      <c r="C150" s="270" t="n">
        <v>2298.3</v>
      </c>
      <c r="D150" s="572">
        <f>C150/C151-1</f>
        <v/>
      </c>
      <c r="E150" s="270" t="n">
        <v>69419.02</v>
      </c>
      <c r="F150" s="572">
        <f>E150/E151-1</f>
        <v/>
      </c>
      <c r="G150" s="270" t="n">
        <v>25966.05</v>
      </c>
      <c r="H150" s="572">
        <f>G150/G151-1</f>
        <v/>
      </c>
      <c r="J150" s="269" t="n">
        <v>45151</v>
      </c>
      <c r="K150" s="270" t="n">
        <v>1047.45</v>
      </c>
      <c r="L150" s="572">
        <f>K150/K151-1</f>
        <v/>
      </c>
      <c r="M150" s="270" t="n">
        <v>43417.31</v>
      </c>
      <c r="N150" s="572">
        <f>M150/M151-1</f>
        <v/>
      </c>
      <c r="O150" s="270" t="n">
        <v>19428.3</v>
      </c>
      <c r="P150" s="572">
        <f>O150/O151-1</f>
        <v/>
      </c>
    </row>
    <row r="151">
      <c r="B151" s="269" t="n">
        <v>45954</v>
      </c>
      <c r="C151" s="270" t="n">
        <v>2316.3</v>
      </c>
      <c r="D151" s="572">
        <f>C151/C152-1</f>
        <v/>
      </c>
      <c r="E151" s="270" t="n">
        <v>69322.24000000001</v>
      </c>
      <c r="F151" s="572">
        <f>E151/E152-1</f>
        <v/>
      </c>
      <c r="G151" s="270" t="n">
        <v>25795.15</v>
      </c>
      <c r="H151" s="572">
        <f>G151/G152-1</f>
        <v/>
      </c>
      <c r="J151" s="269" t="n">
        <v>45144</v>
      </c>
      <c r="K151" s="270" t="n">
        <v>1060.8</v>
      </c>
      <c r="L151" s="572">
        <f>K151/K152-1</f>
        <v/>
      </c>
      <c r="M151" s="270" t="n">
        <v>43070.04</v>
      </c>
      <c r="N151" s="572">
        <f>M151/M152-1</f>
        <v/>
      </c>
      <c r="O151" s="270" t="n">
        <v>19517</v>
      </c>
      <c r="P151" s="572">
        <f>O151/O152-1</f>
        <v/>
      </c>
    </row>
    <row r="152">
      <c r="B152" s="269" t="n">
        <v>45953</v>
      </c>
      <c r="C152" s="270" t="n">
        <v>2333.5</v>
      </c>
      <c r="D152" s="572">
        <f>C152/C153-1</f>
        <v/>
      </c>
      <c r="E152" s="270" t="n">
        <v>69255.19</v>
      </c>
      <c r="F152" s="572">
        <f>E152/E153-1</f>
        <v/>
      </c>
      <c r="G152" s="270" t="n">
        <v>25891.4</v>
      </c>
      <c r="H152" s="572">
        <f>G152/G153-1</f>
        <v/>
      </c>
      <c r="J152" s="269" t="n">
        <v>45137</v>
      </c>
      <c r="K152" s="270" t="n">
        <v>1001.4</v>
      </c>
      <c r="L152" s="572">
        <f>K152/K153-1</f>
        <v/>
      </c>
      <c r="M152" s="270" t="n">
        <v>43473.75</v>
      </c>
      <c r="N152" s="572">
        <f>M152/M153-1</f>
        <v/>
      </c>
      <c r="O152" s="270" t="n">
        <v>19646.05</v>
      </c>
      <c r="P152" s="572">
        <f>O152/O153-1</f>
        <v/>
      </c>
    </row>
    <row r="153">
      <c r="B153" s="269" t="n">
        <v>45951</v>
      </c>
      <c r="C153" s="270" t="n">
        <v>2320.8</v>
      </c>
      <c r="D153" s="572">
        <f>C153/C154-1</f>
        <v/>
      </c>
      <c r="E153" s="270" t="n">
        <v>69450.41</v>
      </c>
      <c r="F153" s="572">
        <f>E153/E154-1</f>
        <v/>
      </c>
      <c r="G153" s="270" t="n">
        <v>25868.6</v>
      </c>
      <c r="H153" s="572">
        <f>G153/G154-1</f>
        <v/>
      </c>
      <c r="J153" s="269" t="n">
        <v>45130</v>
      </c>
      <c r="K153" s="270" t="n">
        <v>966.85</v>
      </c>
      <c r="L153" s="572">
        <f>K153/K154-1</f>
        <v/>
      </c>
      <c r="M153" s="270" t="n">
        <v>42401.94</v>
      </c>
      <c r="N153" s="572">
        <f>M153/M154-1</f>
        <v/>
      </c>
      <c r="O153" s="270" t="n">
        <v>19745</v>
      </c>
      <c r="P153" s="572">
        <f>O153/O154-1</f>
        <v/>
      </c>
    </row>
    <row r="154">
      <c r="B154" s="269" t="n">
        <v>45950</v>
      </c>
      <c r="C154" s="270" t="n">
        <v>2344.4</v>
      </c>
      <c r="D154" s="572">
        <f>C154/C155-1</f>
        <v/>
      </c>
      <c r="E154" s="270" t="n">
        <v>69173.98</v>
      </c>
      <c r="F154" s="572">
        <f>E154/E155-1</f>
        <v/>
      </c>
      <c r="G154" s="270" t="n">
        <v>25843.15</v>
      </c>
      <c r="H154" s="572">
        <f>G154/G155-1</f>
        <v/>
      </c>
      <c r="J154" s="269" t="n">
        <v>45123</v>
      </c>
      <c r="K154" s="270" t="n">
        <v>934.22</v>
      </c>
      <c r="L154" s="572">
        <f>K154/K155-1</f>
        <v/>
      </c>
      <c r="M154" s="270" t="n">
        <v>41347.43</v>
      </c>
      <c r="N154" s="572">
        <f>M154/M155-1</f>
        <v/>
      </c>
      <c r="O154" s="270" t="n">
        <v>19564.5</v>
      </c>
      <c r="P154" s="572">
        <f>O154/O155-1</f>
        <v/>
      </c>
    </row>
    <row r="155">
      <c r="B155" s="269" t="n">
        <v>45947</v>
      </c>
      <c r="C155" s="270" t="n">
        <v>2384.5</v>
      </c>
      <c r="D155" s="572">
        <f>C155/C156-1</f>
        <v/>
      </c>
      <c r="E155" s="270" t="n">
        <v>69061.86</v>
      </c>
      <c r="F155" s="572">
        <f>E155/E156-1</f>
        <v/>
      </c>
      <c r="G155" s="270" t="n">
        <v>25709.85</v>
      </c>
      <c r="H155" s="572">
        <f>G155/G156-1</f>
        <v/>
      </c>
      <c r="J155" s="269" t="n">
        <v>45116</v>
      </c>
      <c r="K155" s="270" t="n">
        <v>919.15</v>
      </c>
      <c r="L155" s="572">
        <f>K155/K156-1</f>
        <v/>
      </c>
      <c r="M155" s="270" t="n">
        <v>40670.38</v>
      </c>
      <c r="N155" s="572">
        <f>M155/M156-1</f>
        <v/>
      </c>
      <c r="O155" s="270" t="n">
        <v>19331.8</v>
      </c>
      <c r="P155" s="572">
        <f>O155/O156-1</f>
        <v/>
      </c>
    </row>
    <row r="156">
      <c r="B156" s="269" t="n">
        <v>45946</v>
      </c>
      <c r="C156" s="270" t="n">
        <v>2383.5</v>
      </c>
      <c r="D156" s="572">
        <f>C156/C157-1</f>
        <v/>
      </c>
      <c r="E156" s="270" t="n">
        <v>69238.22</v>
      </c>
      <c r="F156" s="572">
        <f>E156/E157-1</f>
        <v/>
      </c>
      <c r="G156" s="270" t="n">
        <v>25585.3</v>
      </c>
      <c r="H156" s="572">
        <f>G156/G157-1</f>
        <v/>
      </c>
      <c r="J156" s="269" t="n">
        <v>45109</v>
      </c>
      <c r="K156" s="270" t="n">
        <v>878.7</v>
      </c>
      <c r="L156" s="572">
        <f>K156/K157-1</f>
        <v/>
      </c>
      <c r="M156" s="270" t="n">
        <v>40725.76</v>
      </c>
      <c r="N156" s="572">
        <f>M156/M157-1</f>
        <v/>
      </c>
      <c r="O156" s="270" t="n">
        <v>19189.05</v>
      </c>
      <c r="P156" s="572">
        <f>O156/O157-1</f>
        <v/>
      </c>
    </row>
    <row r="157">
      <c r="B157" s="269" t="n">
        <v>45945</v>
      </c>
      <c r="C157" s="270" t="n">
        <v>2332.9</v>
      </c>
      <c r="D157" s="572">
        <f>C157/C158-1</f>
        <v/>
      </c>
      <c r="E157" s="270" t="n">
        <v>69086.67999999999</v>
      </c>
      <c r="F157" s="572">
        <f>E157/E158-1</f>
        <v/>
      </c>
      <c r="G157" s="270" t="n">
        <v>25323.55</v>
      </c>
      <c r="H157" s="572">
        <f>G157/G158-1</f>
        <v/>
      </c>
      <c r="J157" s="269" t="n">
        <v>45102</v>
      </c>
      <c r="K157" s="270" t="n">
        <v>803.05</v>
      </c>
      <c r="L157" s="572">
        <f>K157/K158-1</f>
        <v/>
      </c>
      <c r="M157" s="270" t="n">
        <v>39476.76</v>
      </c>
      <c r="N157" s="572">
        <f>M157/M158-1</f>
        <v/>
      </c>
      <c r="O157" s="270" t="n">
        <v>18665.5</v>
      </c>
      <c r="P157" s="572">
        <f>O157/O158-1</f>
        <v/>
      </c>
    </row>
    <row r="158">
      <c r="B158" s="269" t="n">
        <v>45944</v>
      </c>
      <c r="C158" s="270" t="n">
        <v>2310.5</v>
      </c>
      <c r="D158" s="572">
        <f>C158/C159-1</f>
        <v/>
      </c>
      <c r="E158" s="270" t="n">
        <v>68488.7</v>
      </c>
      <c r="F158" s="572">
        <f>E158/E159-1</f>
        <v/>
      </c>
      <c r="G158" s="270" t="n">
        <v>25145.5</v>
      </c>
      <c r="H158" s="572">
        <f>G158/G159-1</f>
        <v/>
      </c>
      <c r="J158" s="269" t="n">
        <v>45095</v>
      </c>
      <c r="K158" s="270" t="n">
        <v>815.65</v>
      </c>
      <c r="L158" s="572">
        <f>K158/K159-1</f>
        <v/>
      </c>
      <c r="M158" s="270" t="n">
        <v>39929.68</v>
      </c>
      <c r="N158" s="572">
        <f>M158/M159-1</f>
        <v/>
      </c>
      <c r="O158" s="270" t="n">
        <v>18826</v>
      </c>
      <c r="P158" s="572">
        <f>O158/O159-1</f>
        <v/>
      </c>
    </row>
    <row r="159">
      <c r="B159" s="269" t="n">
        <v>45943</v>
      </c>
      <c r="C159" s="270" t="n">
        <v>2349.3</v>
      </c>
      <c r="D159" s="572">
        <f>C159/C160-1</f>
        <v/>
      </c>
      <c r="E159" s="270" t="n">
        <v>68963.2</v>
      </c>
      <c r="F159" s="572">
        <f>E159/E160-1</f>
        <v/>
      </c>
      <c r="G159" s="270" t="n">
        <v>25227.35</v>
      </c>
      <c r="H159" s="572">
        <f>G159/G160-1</f>
        <v/>
      </c>
      <c r="J159" s="269" t="n">
        <v>45088</v>
      </c>
      <c r="K159" s="270" t="n">
        <v>803</v>
      </c>
      <c r="L159" s="572">
        <f>K159/K160-1</f>
        <v/>
      </c>
      <c r="M159" s="270" t="n">
        <v>39412.48</v>
      </c>
      <c r="N159" s="572">
        <f>M159/M160-1</f>
        <v/>
      </c>
      <c r="O159" s="270" t="n">
        <v>18563.4</v>
      </c>
      <c r="P159" s="572">
        <f>O159/O160-1</f>
        <v/>
      </c>
    </row>
    <row r="160">
      <c r="B160" s="269" t="n">
        <v>45940</v>
      </c>
      <c r="C160" s="270" t="n">
        <v>2398.3</v>
      </c>
      <c r="D160" s="572">
        <f>C160/C161-1</f>
        <v/>
      </c>
      <c r="E160" s="270" t="n">
        <v>69552.59</v>
      </c>
      <c r="F160" s="572">
        <f>E160/E161-1</f>
        <v/>
      </c>
      <c r="G160" s="270" t="n">
        <v>25285.35</v>
      </c>
      <c r="H160" s="572">
        <f>G160/G161-1</f>
        <v/>
      </c>
      <c r="J160" s="269" t="n">
        <v>45081</v>
      </c>
      <c r="K160" s="270" t="n">
        <v>790.95</v>
      </c>
      <c r="L160" s="572">
        <f>K160/K161-1</f>
        <v/>
      </c>
      <c r="M160" s="270" t="n">
        <v>37501.54</v>
      </c>
      <c r="N160" s="572">
        <f>M160/M161-1</f>
        <v/>
      </c>
      <c r="O160" s="270" t="n">
        <v>18534.1</v>
      </c>
      <c r="P160" s="572">
        <f>O160/O161-1</f>
        <v/>
      </c>
    </row>
    <row r="161">
      <c r="B161" s="269" t="n">
        <v>45939</v>
      </c>
      <c r="C161" s="270" t="n">
        <v>2394.4</v>
      </c>
      <c r="D161" s="572">
        <f>C161/C162-1</f>
        <v/>
      </c>
      <c r="E161" s="270" t="n">
        <v>69224.75</v>
      </c>
      <c r="F161" s="572">
        <f>E161/E162-1</f>
        <v/>
      </c>
      <c r="G161" s="270" t="n">
        <v>25181.8</v>
      </c>
      <c r="H161" s="572">
        <f>G161/G162-1</f>
        <v/>
      </c>
      <c r="J161" s="269" t="n">
        <v>45074</v>
      </c>
      <c r="K161" s="270" t="n">
        <v>702.2</v>
      </c>
      <c r="L161" s="572">
        <f>K161/K162-1</f>
        <v/>
      </c>
      <c r="M161" s="270" t="n">
        <v>36966.55</v>
      </c>
      <c r="N161" s="572">
        <f>M161/M162-1</f>
        <v/>
      </c>
      <c r="O161" s="270" t="n">
        <v>18499.35</v>
      </c>
      <c r="P161" s="572">
        <f>O161/O162-1</f>
        <v/>
      </c>
    </row>
    <row r="162">
      <c r="B162" s="269" t="n">
        <v>45938</v>
      </c>
      <c r="C162" s="270" t="n">
        <v>2382.5</v>
      </c>
      <c r="D162" s="572">
        <f>C162/C163-1</f>
        <v/>
      </c>
      <c r="E162" s="270" t="n">
        <v>68690.2</v>
      </c>
      <c r="F162" s="572">
        <f>E162/E163-1</f>
        <v/>
      </c>
      <c r="G162" s="270" t="n">
        <v>25046.15</v>
      </c>
      <c r="H162" s="572">
        <f>G162/G163-1</f>
        <v/>
      </c>
      <c r="J162" s="269" t="n">
        <v>45067</v>
      </c>
      <c r="K162" s="270" t="n">
        <v>711.22</v>
      </c>
      <c r="L162" s="572">
        <f>K162/K163-1</f>
        <v/>
      </c>
      <c r="M162" s="270" t="n">
        <v>36423.03</v>
      </c>
      <c r="N162" s="572">
        <f>M162/M163-1</f>
        <v/>
      </c>
      <c r="O162" s="270" t="n">
        <v>18203.4</v>
      </c>
      <c r="P162" s="572">
        <f>O162/O163-1</f>
        <v/>
      </c>
    </row>
    <row r="163">
      <c r="B163" s="269" t="n">
        <v>45937</v>
      </c>
      <c r="C163" s="270" t="n">
        <v>2480.8</v>
      </c>
      <c r="D163" s="572">
        <f>C163/C164-1</f>
        <v/>
      </c>
      <c r="E163" s="270" t="n">
        <v>69521.5</v>
      </c>
      <c r="F163" s="572">
        <f>E163/E164-1</f>
        <v/>
      </c>
      <c r="G163" s="270" t="n">
        <v>25108.3</v>
      </c>
      <c r="H163" s="572">
        <f>G163/G164-1</f>
        <v/>
      </c>
      <c r="J163" s="269" t="n">
        <v>45060</v>
      </c>
      <c r="K163" s="270" t="n">
        <v>624.3</v>
      </c>
      <c r="L163" s="572">
        <f>K163/K164-1</f>
        <v/>
      </c>
      <c r="M163" s="270" t="n">
        <v>36541.95</v>
      </c>
      <c r="N163" s="572">
        <f>M163/M164-1</f>
        <v/>
      </c>
      <c r="O163" s="270" t="n">
        <v>18314.8</v>
      </c>
      <c r="P163" s="572">
        <f>O163/O164-1</f>
        <v/>
      </c>
    </row>
    <row r="164">
      <c r="B164" s="269" t="n">
        <v>45936</v>
      </c>
      <c r="C164" s="270" t="n">
        <v>2492.5</v>
      </c>
      <c r="D164" s="572">
        <f>C164/C165-1</f>
        <v/>
      </c>
      <c r="E164" s="270" t="n">
        <v>69564.12</v>
      </c>
      <c r="F164" s="572">
        <f>E164/E165-1</f>
        <v/>
      </c>
      <c r="G164" s="270" t="n">
        <v>25077.65</v>
      </c>
      <c r="H164" s="572">
        <f>G164/G165-1</f>
        <v/>
      </c>
      <c r="J164" s="269" t="n">
        <v>45053</v>
      </c>
      <c r="K164" s="270" t="n">
        <v>577.38</v>
      </c>
      <c r="L164" s="572">
        <f>K164/K165-1</f>
        <v/>
      </c>
      <c r="M164" s="270" t="n">
        <v>37174.69</v>
      </c>
      <c r="N164" s="572">
        <f>M164/M165-1</f>
        <v/>
      </c>
      <c r="O164" s="270" t="n">
        <v>18069</v>
      </c>
      <c r="P164" s="572">
        <f>O164/O165-1</f>
        <v/>
      </c>
    </row>
    <row r="165">
      <c r="B165" s="269" t="n">
        <v>45933</v>
      </c>
      <c r="C165" s="270" t="n">
        <v>2325.3</v>
      </c>
      <c r="D165" s="572">
        <f>C165/C166-1</f>
        <v/>
      </c>
      <c r="E165" s="270" t="n">
        <v>69458.21000000001</v>
      </c>
      <c r="F165" s="572">
        <f>E165/E166-1</f>
        <v/>
      </c>
      <c r="G165" s="270" t="n">
        <v>24894.25</v>
      </c>
      <c r="H165" s="572">
        <f>G165/G166-1</f>
        <v/>
      </c>
      <c r="J165" s="269" t="n">
        <v>45046</v>
      </c>
      <c r="K165" s="270" t="n">
        <v>568.35</v>
      </c>
      <c r="L165" s="572">
        <f>K165/K166-1</f>
        <v/>
      </c>
      <c r="M165" s="270" t="n">
        <v>36738.88</v>
      </c>
      <c r="N165" s="572">
        <f>M165/M166-1</f>
        <v/>
      </c>
      <c r="O165" s="270" t="n">
        <v>18065</v>
      </c>
      <c r="P165" s="572">
        <f>O165/O166-1</f>
        <v/>
      </c>
    </row>
    <row r="166">
      <c r="B166" s="269" t="n">
        <v>45931</v>
      </c>
      <c r="C166" s="270" t="n">
        <v>2323.2</v>
      </c>
      <c r="D166" s="572">
        <f>C166/C167-1</f>
        <v/>
      </c>
      <c r="E166" s="270" t="n">
        <v>68758.5</v>
      </c>
      <c r="F166" s="572">
        <f>E166/E167-1</f>
        <v/>
      </c>
      <c r="G166" s="270" t="n">
        <v>24836.3</v>
      </c>
      <c r="H166" s="572">
        <f>G166/G167-1</f>
        <v/>
      </c>
      <c r="J166" s="269" t="n">
        <v>45039</v>
      </c>
      <c r="K166" s="270" t="n">
        <v>542.53</v>
      </c>
      <c r="L166" s="572">
        <f>K166/K167-1</f>
        <v/>
      </c>
      <c r="M166" s="270" t="n">
        <v>35173.57</v>
      </c>
      <c r="N166" s="572">
        <f>M166/M167-1</f>
        <v/>
      </c>
      <c r="O166" s="270" t="n">
        <v>17624.05</v>
      </c>
      <c r="P166" s="572">
        <f>O166/O167-1</f>
        <v/>
      </c>
    </row>
    <row r="167">
      <c r="B167" s="269" t="n">
        <v>45930</v>
      </c>
      <c r="C167" s="270" t="n">
        <v>2347.1</v>
      </c>
      <c r="D167" s="572">
        <f>C167/C168-1</f>
        <v/>
      </c>
      <c r="E167" s="270" t="n">
        <v>68289.99000000001</v>
      </c>
      <c r="F167" s="572">
        <f>E167/E168-1</f>
        <v/>
      </c>
      <c r="G167" s="270" t="n">
        <v>24611.1</v>
      </c>
      <c r="H167" s="572">
        <f>G167/G168-1</f>
        <v/>
      </c>
      <c r="J167" s="269" t="n">
        <v>45032</v>
      </c>
      <c r="K167" s="270" t="n">
        <v>523.95</v>
      </c>
      <c r="L167" s="572">
        <f>K167/K168-1</f>
        <v/>
      </c>
      <c r="M167" s="270" t="n">
        <v>35459.6</v>
      </c>
      <c r="N167" s="572">
        <f>M167/M168-1</f>
        <v/>
      </c>
      <c r="O167" s="270" t="n">
        <v>17828</v>
      </c>
      <c r="P167" s="572">
        <f>O167/O168-1</f>
        <v/>
      </c>
    </row>
    <row r="168">
      <c r="B168" s="269" t="n">
        <v>45929</v>
      </c>
      <c r="C168" s="270" t="n">
        <v>2303.6</v>
      </c>
      <c r="D168" s="572">
        <f>C168/C169-1</f>
        <v/>
      </c>
      <c r="E168" s="270" t="n">
        <v>68283.11</v>
      </c>
      <c r="F168" s="572">
        <f>E168/E169-1</f>
        <v/>
      </c>
      <c r="G168" s="270" t="n">
        <v>24634.9</v>
      </c>
      <c r="H168" s="572">
        <f>G168/G169-1</f>
        <v/>
      </c>
      <c r="J168" s="269" t="n">
        <v>45025</v>
      </c>
      <c r="K168" s="270" t="n">
        <v>527.22</v>
      </c>
      <c r="L168" s="572">
        <f>K168/K169-1</f>
        <v/>
      </c>
      <c r="M168" s="270" t="n">
        <v>35466.43</v>
      </c>
      <c r="N168" s="572">
        <f>M168/M169-1</f>
        <v/>
      </c>
      <c r="O168" s="270" t="n">
        <v>17599.15</v>
      </c>
      <c r="P168" s="572">
        <f>O168/O169-1</f>
        <v/>
      </c>
    </row>
    <row r="169">
      <c r="B169" s="269" t="n">
        <v>45926</v>
      </c>
      <c r="C169" s="270" t="n">
        <v>2292.7</v>
      </c>
      <c r="D169" s="572">
        <f>C169/C170-1</f>
        <v/>
      </c>
      <c r="E169" s="270" t="n">
        <v>68345.94</v>
      </c>
      <c r="F169" s="572">
        <f>E169/E170-1</f>
        <v/>
      </c>
      <c r="G169" s="270" t="n">
        <v>24654.7</v>
      </c>
      <c r="H169" s="572">
        <f>G169/G170-1</f>
        <v/>
      </c>
      <c r="J169" s="269" t="n">
        <v>45018</v>
      </c>
      <c r="K169" s="270" t="n">
        <v>500.85</v>
      </c>
      <c r="L169" s="572">
        <f>K169/K170-1</f>
        <v/>
      </c>
      <c r="M169" s="270" t="n">
        <v>34369.7</v>
      </c>
      <c r="N169" s="572">
        <f>M169/M170-1</f>
        <v/>
      </c>
      <c r="O169" s="270" t="n">
        <v>17359.75</v>
      </c>
      <c r="P169" s="572">
        <f>O169/O170-1</f>
        <v/>
      </c>
    </row>
    <row r="170">
      <c r="B170" s="269" t="n">
        <v>45925</v>
      </c>
      <c r="C170" s="270" t="n">
        <v>2364.4</v>
      </c>
      <c r="D170" s="572">
        <f>C170/C171-1</f>
        <v/>
      </c>
      <c r="E170" s="270" t="n">
        <v>69582.38</v>
      </c>
      <c r="F170" s="572">
        <f>E170/E171-1</f>
        <v/>
      </c>
      <c r="G170" s="270" t="n">
        <v>24890.85</v>
      </c>
      <c r="H170" s="572">
        <f>G170/G171-1</f>
        <v/>
      </c>
      <c r="J170" s="269" t="n">
        <v>45011</v>
      </c>
      <c r="K170" s="270" t="n">
        <v>482.08</v>
      </c>
      <c r="L170" s="572">
        <f>K170/K171-1</f>
        <v/>
      </c>
      <c r="M170" s="270" t="n">
        <v>33932.14</v>
      </c>
      <c r="N170" s="572">
        <f>M170/M171-1</f>
        <v/>
      </c>
      <c r="O170" s="270" t="n">
        <v>16945.05</v>
      </c>
      <c r="P170" s="572">
        <f>O170/O171-1</f>
        <v/>
      </c>
    </row>
    <row r="171">
      <c r="B171" s="269" t="n">
        <v>45924</v>
      </c>
      <c r="C171" s="270" t="n">
        <v>2412.8</v>
      </c>
      <c r="D171" s="572">
        <f>C171/C172-1</f>
        <v/>
      </c>
      <c r="E171" s="270" t="n">
        <v>69646.5</v>
      </c>
      <c r="F171" s="572">
        <f>E171/E172-1</f>
        <v/>
      </c>
      <c r="G171" s="270" t="n">
        <v>25056.9</v>
      </c>
      <c r="H171" s="572">
        <f>G171/G172-1</f>
        <v/>
      </c>
      <c r="J171" s="269" t="n">
        <v>45004</v>
      </c>
      <c r="K171" s="270" t="n">
        <v>497.8</v>
      </c>
      <c r="L171" s="572">
        <f>K171/K172-1</f>
        <v/>
      </c>
      <c r="M171" s="270" t="n">
        <v>34567.22</v>
      </c>
      <c r="N171" s="572">
        <f>M171/M172-1</f>
        <v/>
      </c>
      <c r="O171" s="270" t="n">
        <v>17100.05</v>
      </c>
      <c r="P171" s="572">
        <f>O171/O172-1</f>
        <v/>
      </c>
    </row>
    <row r="172">
      <c r="B172" s="269" t="n">
        <v>45923</v>
      </c>
      <c r="C172" s="270" t="n">
        <v>2446.6</v>
      </c>
      <c r="D172" s="572">
        <f>C172/C173-1</f>
        <v/>
      </c>
      <c r="E172" s="270" t="n">
        <v>70417.12</v>
      </c>
      <c r="F172" s="572">
        <f>E172/E173-1</f>
        <v/>
      </c>
      <c r="G172" s="270" t="n">
        <v>25169.5</v>
      </c>
      <c r="H172" s="572">
        <f>G172/G173-1</f>
        <v/>
      </c>
      <c r="J172" s="269" t="n">
        <v>44997</v>
      </c>
      <c r="K172" s="270" t="n">
        <v>531.3</v>
      </c>
      <c r="L172" s="572">
        <f>K172/K173-1</f>
        <v/>
      </c>
      <c r="M172" s="270" t="n">
        <v>34537.31</v>
      </c>
      <c r="N172" s="572">
        <f>M172/M173-1</f>
        <v/>
      </c>
      <c r="O172" s="270" t="n">
        <v>17412.9</v>
      </c>
      <c r="P172" s="572">
        <f>O172/O173-1</f>
        <v/>
      </c>
    </row>
    <row r="173">
      <c r="B173" s="269" t="n">
        <v>45922</v>
      </c>
      <c r="C173" s="270" t="n">
        <v>2493.5</v>
      </c>
      <c r="D173" s="572">
        <f>C173/C174-1</f>
        <v/>
      </c>
      <c r="E173" s="270" t="n">
        <v>70686.14</v>
      </c>
      <c r="F173" s="572">
        <f>E173/E174-1</f>
        <v/>
      </c>
      <c r="G173" s="270" t="n">
        <v>25202.35</v>
      </c>
      <c r="H173" s="572">
        <f>G173/G174-1</f>
        <v/>
      </c>
      <c r="J173" s="269" t="n">
        <v>44990</v>
      </c>
      <c r="K173" s="270" t="n">
        <v>545.47</v>
      </c>
      <c r="L173" s="572">
        <f>K173/K174-1</f>
        <v/>
      </c>
      <c r="M173" s="270" t="n">
        <v>34405.22</v>
      </c>
      <c r="N173" s="572">
        <f>M173/M174-1</f>
        <v/>
      </c>
      <c r="O173" s="270" t="n">
        <v>17594.35</v>
      </c>
      <c r="P173" s="572">
        <f>O173/O174-1</f>
        <v/>
      </c>
    </row>
    <row r="174">
      <c r="B174" s="269" t="n">
        <v>45919</v>
      </c>
      <c r="C174" s="270" t="n">
        <v>2536.7</v>
      </c>
      <c r="D174" s="572">
        <f>C174/C175-1</f>
        <v/>
      </c>
      <c r="E174" s="270" t="n">
        <v>71231.16</v>
      </c>
      <c r="F174" s="572">
        <f>E174/E175-1</f>
        <v/>
      </c>
      <c r="G174" s="270" t="n">
        <v>25327.05</v>
      </c>
      <c r="H174" s="572">
        <f>G174/G175-1</f>
        <v/>
      </c>
      <c r="J174" s="269" t="n">
        <v>44983</v>
      </c>
      <c r="K174" s="270" t="n">
        <v>582.25</v>
      </c>
      <c r="L174" s="572">
        <f>K174/K175-1</f>
        <v/>
      </c>
      <c r="M174" s="270" t="n">
        <v>34131.78</v>
      </c>
      <c r="N174" s="572">
        <f>M174/M175-1</f>
        <v/>
      </c>
      <c r="O174" s="270" t="n">
        <v>17465.8</v>
      </c>
      <c r="P174" s="572">
        <f>O174/O175-1</f>
        <v/>
      </c>
    </row>
    <row r="175">
      <c r="B175" s="269" t="n">
        <v>45918</v>
      </c>
      <c r="C175" s="270" t="n">
        <v>2278.6</v>
      </c>
      <c r="D175" s="572">
        <f>C175/C176-1</f>
        <v/>
      </c>
      <c r="E175" s="270" t="n">
        <v>71179.98</v>
      </c>
      <c r="F175" s="572">
        <f>E175/E176-1</f>
        <v/>
      </c>
      <c r="G175" s="270" t="n">
        <v>25423.6</v>
      </c>
      <c r="H175" s="572">
        <f>G175/G176-1</f>
        <v/>
      </c>
      <c r="J175" s="269" t="n">
        <v>44976</v>
      </c>
      <c r="K175" s="270" t="n">
        <v>560.78</v>
      </c>
      <c r="L175" s="572">
        <f>K175/K176-1</f>
        <v/>
      </c>
      <c r="M175" s="270" t="n">
        <v>35122.42</v>
      </c>
      <c r="N175" s="572">
        <f>M175/M176-1</f>
        <v/>
      </c>
      <c r="O175" s="270" t="n">
        <v>17944.2</v>
      </c>
      <c r="P175" s="572">
        <f>O175/O176-1</f>
        <v/>
      </c>
    </row>
    <row r="176">
      <c r="B176" s="269" t="n">
        <v>45917</v>
      </c>
      <c r="C176" s="270" t="n">
        <v>2310.6</v>
      </c>
      <c r="D176" s="572">
        <f>C176/C177-1</f>
        <v/>
      </c>
      <c r="E176" s="270" t="n">
        <v>71414.69</v>
      </c>
      <c r="F176" s="572">
        <f>E176/E177-1</f>
        <v/>
      </c>
      <c r="G176" s="270" t="n">
        <v>25330.25</v>
      </c>
      <c r="H176" s="572">
        <f>G176/G177-1</f>
        <v/>
      </c>
      <c r="J176" s="269" t="n">
        <v>44969</v>
      </c>
      <c r="K176" s="270" t="n">
        <v>569.97</v>
      </c>
      <c r="L176" s="572">
        <f>K176/K177-1</f>
        <v/>
      </c>
      <c r="M176" s="270" t="n">
        <v>34554.19</v>
      </c>
      <c r="N176" s="572">
        <f>M176/M177-1</f>
        <v/>
      </c>
      <c r="O176" s="270" t="n">
        <v>17856.5</v>
      </c>
      <c r="P176" s="572">
        <f>O176/O177-1</f>
        <v/>
      </c>
    </row>
    <row r="177">
      <c r="B177" s="269" t="n">
        <v>45916</v>
      </c>
      <c r="C177" s="270" t="n">
        <v>2312.8</v>
      </c>
      <c r="D177" s="572">
        <f>C177/C178-1</f>
        <v/>
      </c>
      <c r="E177" s="270" t="n">
        <v>70738.19</v>
      </c>
      <c r="F177" s="572">
        <f>E177/E178-1</f>
        <v/>
      </c>
      <c r="G177" s="270" t="n">
        <v>25239.1</v>
      </c>
      <c r="H177" s="572">
        <f>G177/G178-1</f>
        <v/>
      </c>
      <c r="J177" s="269" t="n">
        <v>44962</v>
      </c>
      <c r="K177" s="270" t="n">
        <v>558.55</v>
      </c>
      <c r="L177" s="572">
        <f>K177/K178-1</f>
        <v/>
      </c>
      <c r="M177" s="270" t="n">
        <v>34001.23</v>
      </c>
      <c r="N177" s="572">
        <f>M177/M178-1</f>
        <v/>
      </c>
      <c r="O177" s="270" t="n">
        <v>17854.05</v>
      </c>
      <c r="P177" s="572">
        <f>O177/O178-1</f>
        <v/>
      </c>
    </row>
    <row r="178">
      <c r="B178" s="269" t="n">
        <v>45915</v>
      </c>
      <c r="C178" s="270" t="n">
        <v>2299.1</v>
      </c>
      <c r="D178" s="572">
        <f>C178/C179-1</f>
        <v/>
      </c>
      <c r="E178" s="270" t="n">
        <v>70115.39</v>
      </c>
      <c r="F178" s="572">
        <f>E178/E179-1</f>
        <v/>
      </c>
      <c r="G178" s="270" t="n">
        <v>25069.2</v>
      </c>
      <c r="H178" s="572">
        <f>G178/G179-1</f>
        <v/>
      </c>
      <c r="J178" s="269" t="n">
        <v>44955</v>
      </c>
      <c r="K178" s="270" t="n">
        <v>507.7</v>
      </c>
      <c r="L178" s="572">
        <f>K178/K179-1</f>
        <v/>
      </c>
      <c r="M178" s="270" t="n">
        <v>33681.31</v>
      </c>
      <c r="N178" s="572">
        <f>M178/M179-1</f>
        <v/>
      </c>
      <c r="O178" s="270" t="n">
        <v>17604.35</v>
      </c>
      <c r="P178" s="572">
        <f>O178/O179-1</f>
        <v/>
      </c>
    </row>
    <row r="179">
      <c r="B179" s="269" t="n">
        <v>45912</v>
      </c>
      <c r="C179" s="270" t="n">
        <v>2275.2</v>
      </c>
      <c r="D179" s="572">
        <f>C179/C180-1</f>
        <v/>
      </c>
      <c r="E179" s="270" t="n">
        <v>69691.78999999999</v>
      </c>
      <c r="F179" s="572">
        <f>E179/E180-1</f>
        <v/>
      </c>
      <c r="G179" s="270" t="n">
        <v>25114</v>
      </c>
      <c r="H179" s="572">
        <f>G179/G180-1</f>
        <v/>
      </c>
      <c r="J179" s="269" t="n">
        <v>44948</v>
      </c>
      <c r="K179" s="270" t="n">
        <v>530.17</v>
      </c>
      <c r="L179" s="572">
        <f>K179/K180-1</f>
        <v/>
      </c>
      <c r="M179" s="270" t="n">
        <v>34864.46</v>
      </c>
      <c r="N179" s="572">
        <f>M179/M180-1</f>
        <v/>
      </c>
      <c r="O179" s="270" t="n">
        <v>18027.65</v>
      </c>
      <c r="P179" s="572">
        <f>O179/O180-1</f>
        <v/>
      </c>
    </row>
    <row r="180">
      <c r="B180" s="269" t="n">
        <v>45911</v>
      </c>
      <c r="C180" s="270" t="n">
        <v>2288.5</v>
      </c>
      <c r="D180" s="572">
        <f>C180/C181-1</f>
        <v/>
      </c>
      <c r="E180" s="270" t="n">
        <v>68487.66</v>
      </c>
      <c r="F180" s="572">
        <f>E180/E181-1</f>
        <v/>
      </c>
      <c r="G180" s="270" t="n">
        <v>25005.5</v>
      </c>
      <c r="H180" s="572">
        <f>G180/G181-1</f>
        <v/>
      </c>
      <c r="J180" s="269" t="n">
        <v>44941</v>
      </c>
      <c r="K180" s="270" t="n">
        <v>475.5</v>
      </c>
      <c r="L180" s="572">
        <f>K180/K181-1</f>
        <v/>
      </c>
      <c r="M180" s="270" t="n">
        <v>34148.43</v>
      </c>
      <c r="N180" s="572">
        <f>M180/M181-1</f>
        <v/>
      </c>
      <c r="O180" s="270" t="n">
        <v>17956.6</v>
      </c>
      <c r="P180" s="572">
        <f>O180/O181-1</f>
        <v/>
      </c>
    </row>
    <row r="181">
      <c r="B181" s="269" t="n">
        <v>45910</v>
      </c>
      <c r="C181" s="270" t="n">
        <v>2292.5</v>
      </c>
      <c r="D181" s="572">
        <f>C181/C182-1</f>
        <v/>
      </c>
      <c r="E181" s="270" t="n">
        <v>68366.25</v>
      </c>
      <c r="F181" s="572">
        <f>E181/E182-1</f>
        <v/>
      </c>
      <c r="G181" s="270" t="n">
        <v>24973.1</v>
      </c>
      <c r="H181" s="572">
        <f>G181/G182-1</f>
        <v/>
      </c>
      <c r="J181" s="269" t="n">
        <v>44934</v>
      </c>
      <c r="K181" s="270" t="n">
        <v>465.75</v>
      </c>
      <c r="L181" s="572">
        <f>K181/K182-1</f>
        <v/>
      </c>
      <c r="M181" s="270" t="n">
        <v>33400.83</v>
      </c>
      <c r="N181" s="572">
        <f>M181/M182-1</f>
        <v/>
      </c>
      <c r="O181" s="270" t="n">
        <v>17859.45</v>
      </c>
      <c r="P181" s="572">
        <f>O181/O182-1</f>
        <v/>
      </c>
    </row>
    <row r="182">
      <c r="B182" s="269" t="n">
        <v>45909</v>
      </c>
      <c r="C182" s="270" t="n">
        <v>2245.1</v>
      </c>
      <c r="D182" s="572">
        <f>C182/C183-1</f>
        <v/>
      </c>
      <c r="E182" s="270" t="n">
        <v>67104.56</v>
      </c>
      <c r="F182" s="572">
        <f>E182/E183-1</f>
        <v/>
      </c>
      <c r="G182" s="270" t="n">
        <v>24868.6</v>
      </c>
      <c r="H182" s="572">
        <f>G182/G183-1</f>
        <v/>
      </c>
      <c r="J182" s="269" t="n">
        <v>44927</v>
      </c>
      <c r="K182" s="270" t="n">
        <v>432.4</v>
      </c>
      <c r="L182" s="572">
        <f>K182/K183-1</f>
        <v/>
      </c>
      <c r="M182" s="270" t="n">
        <v>33342.22</v>
      </c>
      <c r="N182" s="572">
        <f>M182/M183-1</f>
        <v/>
      </c>
      <c r="O182" s="270" t="n">
        <v>18105.3</v>
      </c>
      <c r="P182" s="572">
        <f>O182/O183-1</f>
        <v/>
      </c>
    </row>
    <row r="183">
      <c r="B183" s="269" t="n">
        <v>45908</v>
      </c>
      <c r="C183" s="270" t="n">
        <v>2264.2</v>
      </c>
      <c r="D183" s="572">
        <f>C183/C184-1</f>
        <v/>
      </c>
      <c r="E183" s="270" t="n">
        <v>67101.3</v>
      </c>
      <c r="F183" s="572">
        <f>E183/E184-1</f>
        <v/>
      </c>
      <c r="G183" s="270" t="n">
        <v>24773.15</v>
      </c>
      <c r="H183" s="572">
        <f>G183/G184-1</f>
        <v/>
      </c>
      <c r="J183" s="269" t="n">
        <v>44920</v>
      </c>
      <c r="K183" s="270" t="n">
        <v>413.3</v>
      </c>
      <c r="L183" s="572">
        <f>K183/K184-1</f>
        <v/>
      </c>
      <c r="M183" s="270" t="n">
        <v>32603.59</v>
      </c>
      <c r="N183" s="572">
        <f>M183/M184-1</f>
        <v/>
      </c>
      <c r="O183" s="270" t="n">
        <v>17806.8</v>
      </c>
      <c r="P183" s="572">
        <f>O183/O184-1</f>
        <v/>
      </c>
    </row>
    <row r="184">
      <c r="B184" s="269" t="n">
        <v>45905</v>
      </c>
      <c r="C184" s="270" t="n">
        <v>2261.3</v>
      </c>
      <c r="D184" s="572">
        <f>C184/C185-1</f>
        <v/>
      </c>
      <c r="E184" s="270" t="n">
        <v>66852.58</v>
      </c>
      <c r="F184" s="572">
        <f>E184/E185-1</f>
        <v/>
      </c>
      <c r="G184" s="270" t="n">
        <v>24741</v>
      </c>
      <c r="H184" s="572">
        <f>G184/G185-1</f>
        <v/>
      </c>
      <c r="J184" s="269" t="n">
        <v>44913</v>
      </c>
      <c r="K184" s="270" t="n">
        <v>427.35</v>
      </c>
      <c r="L184" s="572">
        <f>K184/K185-1</f>
        <v/>
      </c>
      <c r="M184" s="270" t="n">
        <v>34535.07</v>
      </c>
      <c r="N184" s="572">
        <f>M184/M185-1</f>
        <v/>
      </c>
      <c r="O184" s="270" t="n">
        <v>18269</v>
      </c>
      <c r="P184" s="572">
        <f>O184/O185-1</f>
        <v/>
      </c>
    </row>
    <row r="185">
      <c r="B185" s="269" t="n">
        <v>45904</v>
      </c>
      <c r="C185" s="270" t="n">
        <v>2325.7</v>
      </c>
      <c r="D185" s="572">
        <f>C185/C186-1</f>
        <v/>
      </c>
      <c r="E185" s="270" t="n">
        <v>67021.45</v>
      </c>
      <c r="F185" s="572">
        <f>E185/E186-1</f>
        <v/>
      </c>
      <c r="G185" s="270" t="n">
        <v>24734.3</v>
      </c>
      <c r="H185" s="572">
        <f>G185/G186-1</f>
        <v/>
      </c>
      <c r="J185" s="269" t="n">
        <v>44906</v>
      </c>
      <c r="K185" s="270" t="n">
        <v>434.27</v>
      </c>
      <c r="L185" s="572">
        <f>K185/K186-1</f>
        <v/>
      </c>
      <c r="M185" s="270" t="n">
        <v>34726.56</v>
      </c>
      <c r="N185" s="572">
        <f>M185/M186-1</f>
        <v/>
      </c>
      <c r="O185" s="270" t="n">
        <v>18496.6</v>
      </c>
      <c r="P185" s="572">
        <f>O185/O186-1</f>
        <v/>
      </c>
    </row>
    <row r="186">
      <c r="B186" s="269" t="n">
        <v>45903</v>
      </c>
      <c r="C186" s="270" t="n">
        <v>2317.5</v>
      </c>
      <c r="D186" s="572">
        <f>C186/C187-1</f>
        <v/>
      </c>
      <c r="E186" s="270" t="n">
        <v>67412.13</v>
      </c>
      <c r="F186" s="572">
        <f>E186/E187-1</f>
        <v/>
      </c>
      <c r="G186" s="270" t="n">
        <v>24715.05</v>
      </c>
      <c r="H186" s="572">
        <f>G186/G187-1</f>
        <v/>
      </c>
      <c r="J186" s="269" t="n">
        <v>44899</v>
      </c>
      <c r="K186" s="270" t="n">
        <v>440.23</v>
      </c>
      <c r="L186" s="572">
        <f>K186/K187-1</f>
        <v/>
      </c>
      <c r="M186" s="270" t="n">
        <v>34164.61</v>
      </c>
      <c r="N186" s="572">
        <f>M186/M187-1</f>
        <v/>
      </c>
      <c r="O186" s="270" t="n">
        <v>18696.1</v>
      </c>
      <c r="P186" s="572">
        <f>O186/O187-1</f>
        <v/>
      </c>
    </row>
    <row r="187">
      <c r="B187" s="269" t="n">
        <v>45902</v>
      </c>
      <c r="C187" s="270" t="n">
        <v>2310.6</v>
      </c>
      <c r="D187" s="572">
        <f>C187/C188-1</f>
        <v/>
      </c>
      <c r="E187" s="270" t="n">
        <v>67209.64999999999</v>
      </c>
      <c r="F187" s="572">
        <f>E187/E188-1</f>
        <v/>
      </c>
      <c r="G187" s="270" t="n">
        <v>24579.6</v>
      </c>
      <c r="H187" s="572">
        <f>G187/G188-1</f>
        <v/>
      </c>
      <c r="J187" s="269" t="n">
        <v>44892</v>
      </c>
      <c r="K187" s="270" t="n">
        <v>435.35</v>
      </c>
      <c r="L187" s="572">
        <f>K187/K188-1</f>
        <v/>
      </c>
      <c r="M187" s="270" t="n">
        <v>33839.9</v>
      </c>
      <c r="N187" s="572">
        <f>M187/M188-1</f>
        <v/>
      </c>
      <c r="O187" s="270" t="n">
        <v>18512.75</v>
      </c>
      <c r="P187" s="572">
        <f>O187/O188-1</f>
        <v/>
      </c>
    </row>
    <row r="188">
      <c r="B188" s="269" t="n">
        <v>45901</v>
      </c>
      <c r="C188" s="270" t="n">
        <v>2248.7</v>
      </c>
      <c r="D188" s="572">
        <f>C188/C189-1</f>
        <v/>
      </c>
      <c r="E188" s="270" t="n">
        <v>66677.09</v>
      </c>
      <c r="F188" s="572">
        <f>E188/E189-1</f>
        <v/>
      </c>
      <c r="G188" s="270" t="n">
        <v>24625.05</v>
      </c>
      <c r="H188" s="572">
        <f>G188/G189-1</f>
        <v/>
      </c>
      <c r="J188" s="269" t="n">
        <v>44885</v>
      </c>
      <c r="K188" s="270" t="n">
        <v>453.17</v>
      </c>
      <c r="L188" s="572">
        <f>K188/K189-1</f>
        <v/>
      </c>
      <c r="M188" s="270" t="n">
        <v>33372.59</v>
      </c>
      <c r="N188" s="572">
        <f>M188/M189-1</f>
        <v/>
      </c>
      <c r="O188" s="270" t="n">
        <v>18307.65</v>
      </c>
      <c r="P188" s="572">
        <f>O188/O189-1</f>
        <v/>
      </c>
    </row>
    <row r="189">
      <c r="B189" s="269" t="n">
        <v>45898</v>
      </c>
      <c r="C189" s="270" t="n">
        <v>2214.7</v>
      </c>
      <c r="D189" s="572">
        <f>C189/C190-1</f>
        <v/>
      </c>
      <c r="E189" s="270" t="n">
        <v>65417.08</v>
      </c>
      <c r="F189" s="572">
        <f>E189/E190-1</f>
        <v/>
      </c>
      <c r="G189" s="270" t="n">
        <v>24426.85</v>
      </c>
      <c r="H189" s="572">
        <f>G189/G190-1</f>
        <v/>
      </c>
      <c r="J189" s="269" t="n">
        <v>44878</v>
      </c>
      <c r="K189" s="270" t="n">
        <v>437.77</v>
      </c>
      <c r="L189" s="572">
        <f>K189/K190-1</f>
        <v/>
      </c>
      <c r="M189" s="270" t="n">
        <v>33409.82</v>
      </c>
      <c r="N189" s="572">
        <f>M189/M190-1</f>
        <v/>
      </c>
      <c r="O189" s="270" t="n">
        <v>18349.7</v>
      </c>
      <c r="P189" s="572">
        <f>O189/O190-1</f>
        <v/>
      </c>
    </row>
    <row r="190">
      <c r="B190" s="269" t="n">
        <v>45897</v>
      </c>
      <c r="C190" s="270" t="n">
        <v>2239.2</v>
      </c>
      <c r="D190" s="572">
        <f>C190/C191-1</f>
        <v/>
      </c>
      <c r="E190" s="270" t="n">
        <v>65274.23</v>
      </c>
      <c r="F190" s="572">
        <f>E190/E191-1</f>
        <v/>
      </c>
      <c r="G190" s="270" t="n">
        <v>24500.9</v>
      </c>
      <c r="H190" s="572">
        <f>G190/G191-1</f>
        <v/>
      </c>
      <c r="J190" s="269" t="n">
        <v>44871</v>
      </c>
      <c r="K190" s="270" t="n">
        <v>422.62</v>
      </c>
      <c r="L190" s="572">
        <f>K190/K191-1</f>
        <v/>
      </c>
      <c r="M190" s="270" t="n">
        <v>33521.95</v>
      </c>
      <c r="N190" s="572">
        <f>M190/M191-1</f>
        <v/>
      </c>
      <c r="O190" s="270" t="n">
        <v>18117.15</v>
      </c>
      <c r="P190" s="572">
        <f>O190/O191-1</f>
        <v/>
      </c>
    </row>
    <row r="191">
      <c r="B191" s="269" t="n">
        <v>45895</v>
      </c>
      <c r="C191" s="270" t="n">
        <v>2236.4</v>
      </c>
      <c r="D191" s="572">
        <f>C191/C192-1</f>
        <v/>
      </c>
      <c r="E191" s="270" t="n">
        <v>65879.32000000001</v>
      </c>
      <c r="F191" s="572">
        <f>E191/E192-1</f>
        <v/>
      </c>
      <c r="G191" s="270" t="n">
        <v>24712.05</v>
      </c>
      <c r="H191" s="572">
        <f>G191/G192-1</f>
        <v/>
      </c>
      <c r="J191" s="269" t="n">
        <v>44864</v>
      </c>
      <c r="K191" s="270" t="n">
        <v>420</v>
      </c>
      <c r="L191" s="572">
        <f>K191/K192-1</f>
        <v/>
      </c>
      <c r="M191" s="270" t="n">
        <v>32761.68</v>
      </c>
      <c r="N191" s="572">
        <f>M191/M192-1</f>
        <v/>
      </c>
      <c r="O191" s="270" t="n">
        <v>17786.8</v>
      </c>
      <c r="P191" s="572">
        <f>O191/O192-1</f>
        <v/>
      </c>
    </row>
    <row r="192">
      <c r="B192" s="269" t="n">
        <v>45894</v>
      </c>
      <c r="C192" s="270" t="n">
        <v>2283</v>
      </c>
      <c r="D192" s="572">
        <f>C192/C193-1</f>
        <v/>
      </c>
      <c r="E192" s="270" t="n">
        <v>66871.05</v>
      </c>
      <c r="F192" s="572">
        <f>E192/E193-1</f>
        <v/>
      </c>
      <c r="G192" s="270" t="n">
        <v>24967.75</v>
      </c>
      <c r="H192" s="572">
        <f>G192/G193-1</f>
        <v/>
      </c>
      <c r="J192" s="269" t="n">
        <v>44857</v>
      </c>
      <c r="K192" s="270" t="n">
        <v>425.3</v>
      </c>
      <c r="L192" s="572">
        <f>K192/K193-1</f>
        <v/>
      </c>
      <c r="M192" s="270" t="n">
        <v>31739.02</v>
      </c>
      <c r="N192" s="572">
        <f>M192/M193-1</f>
        <v/>
      </c>
      <c r="O192" s="270" t="n">
        <v>17576.3</v>
      </c>
      <c r="P192" s="572">
        <f>O192/O193-1</f>
        <v/>
      </c>
    </row>
    <row r="193">
      <c r="B193" s="269" t="n">
        <v>45891</v>
      </c>
      <c r="C193" s="270" t="n">
        <v>2287</v>
      </c>
      <c r="D193" s="572">
        <f>C193/C194-1</f>
        <v/>
      </c>
      <c r="E193" s="270" t="n">
        <v>67151.02</v>
      </c>
      <c r="F193" s="572">
        <f>E193/E194-1</f>
        <v/>
      </c>
      <c r="G193" s="270" t="n">
        <v>24870.1</v>
      </c>
      <c r="H193" s="572">
        <f>G193/G194-1</f>
        <v/>
      </c>
      <c r="J193" s="269" t="n">
        <v>44850</v>
      </c>
      <c r="K193" s="270" t="n">
        <v>433.3</v>
      </c>
      <c r="L193" s="572">
        <f>K193/K194-1</f>
        <v/>
      </c>
      <c r="M193" s="270" t="n">
        <v>31670.4</v>
      </c>
      <c r="N193" s="572">
        <f>M193/M194-1</f>
        <v/>
      </c>
      <c r="O193" s="270" t="n">
        <v>17185.7</v>
      </c>
      <c r="P193" s="572">
        <f>O193/O194-1</f>
        <v/>
      </c>
    </row>
    <row r="194">
      <c r="B194" s="269" t="n">
        <v>45890</v>
      </c>
      <c r="C194" s="270" t="n">
        <v>2309.3</v>
      </c>
      <c r="D194" s="572">
        <f>C194/C195-1</f>
        <v/>
      </c>
      <c r="E194" s="270" t="n">
        <v>67096.53</v>
      </c>
      <c r="F194" s="572">
        <f>E194/E195-1</f>
        <v/>
      </c>
      <c r="G194" s="270" t="n">
        <v>25083.75</v>
      </c>
      <c r="H194" s="572">
        <f>G194/G195-1</f>
        <v/>
      </c>
      <c r="J194" s="269" t="n">
        <v>44843</v>
      </c>
      <c r="K194" s="270" t="n">
        <v>448.2</v>
      </c>
      <c r="L194" s="572">
        <f>K194/K195-1</f>
        <v/>
      </c>
      <c r="M194" s="270" t="n">
        <v>32346.02</v>
      </c>
      <c r="N194" s="572">
        <f>M194/M195-1</f>
        <v/>
      </c>
      <c r="O194" s="270" t="n">
        <v>17314.65</v>
      </c>
      <c r="P194" s="572">
        <f>O194/O195-1</f>
        <v/>
      </c>
    </row>
    <row r="195">
      <c r="B195" s="269" t="n">
        <v>45889</v>
      </c>
      <c r="C195" s="270" t="n">
        <v>2326.8</v>
      </c>
      <c r="D195" s="572">
        <f>C195/C196-1</f>
        <v/>
      </c>
      <c r="E195" s="270" t="n">
        <v>67127.00999999999</v>
      </c>
      <c r="F195" s="572">
        <f>E195/E196-1</f>
        <v/>
      </c>
      <c r="G195" s="270" t="n">
        <v>25050.55</v>
      </c>
      <c r="H195" s="572">
        <f>G195/G196-1</f>
        <v/>
      </c>
      <c r="J195" s="269" t="n">
        <v>44836</v>
      </c>
      <c r="K195" s="270" t="n">
        <v>413.12</v>
      </c>
      <c r="L195" s="572">
        <f>K195/K196-1</f>
        <v/>
      </c>
      <c r="M195" s="270" t="n">
        <v>31217.82</v>
      </c>
      <c r="N195" s="572">
        <f>M195/M196-1</f>
        <v/>
      </c>
      <c r="O195" s="270" t="n">
        <v>17094.35</v>
      </c>
      <c r="P195" s="572">
        <f>O195/O196-1</f>
        <v/>
      </c>
    </row>
    <row r="196">
      <c r="B196" s="269" t="n">
        <v>45888</v>
      </c>
      <c r="C196" s="270" t="n">
        <v>2305.4</v>
      </c>
      <c r="D196" s="572">
        <f>C196/C197-1</f>
        <v/>
      </c>
      <c r="E196" s="270" t="n">
        <v>67038.83</v>
      </c>
      <c r="F196" s="572">
        <f>E196/E197-1</f>
        <v/>
      </c>
      <c r="G196" s="270" t="n">
        <v>24980.65</v>
      </c>
      <c r="H196" s="572">
        <f>G196/G197-1</f>
        <v/>
      </c>
      <c r="J196" s="269" t="n">
        <v>44829</v>
      </c>
      <c r="K196" s="270" t="n">
        <v>453.2</v>
      </c>
      <c r="L196" s="572">
        <f>K196/K197-1</f>
        <v/>
      </c>
      <c r="M196" s="270" t="n">
        <v>31697.86</v>
      </c>
      <c r="N196" s="572">
        <f>M196/M197-1</f>
        <v/>
      </c>
      <c r="O196" s="270" t="n">
        <v>17327.35</v>
      </c>
      <c r="P196" s="572">
        <f>O196/O197-1</f>
        <v/>
      </c>
    </row>
    <row r="197">
      <c r="B197" s="269" t="n">
        <v>45887</v>
      </c>
      <c r="C197" s="270" t="n">
        <v>2348.8</v>
      </c>
      <c r="D197" s="572">
        <f>C197/C198-1</f>
        <v/>
      </c>
      <c r="E197" s="270" t="n">
        <v>66773.05</v>
      </c>
      <c r="F197" s="572">
        <f>E197/E198-1</f>
        <v/>
      </c>
      <c r="G197" s="270" t="n">
        <v>24876.95</v>
      </c>
      <c r="H197" s="572">
        <f>G197/G198-1</f>
        <v/>
      </c>
      <c r="J197" s="269" t="n">
        <v>44822</v>
      </c>
      <c r="K197" s="270" t="n">
        <v>474.6</v>
      </c>
      <c r="L197" s="572">
        <f>K197/K198-1</f>
        <v/>
      </c>
      <c r="M197" s="270" t="n">
        <v>32683.27</v>
      </c>
      <c r="N197" s="572">
        <f>M197/M198-1</f>
        <v/>
      </c>
      <c r="O197" s="270" t="n">
        <v>17530.85</v>
      </c>
      <c r="P197" s="572">
        <f>O197/O198-1</f>
        <v/>
      </c>
    </row>
    <row r="198">
      <c r="B198" s="269" t="n">
        <v>45883</v>
      </c>
      <c r="C198" s="270" t="n">
        <v>2219.8</v>
      </c>
      <c r="D198" s="572">
        <f>C198/C199-1</f>
        <v/>
      </c>
      <c r="E198" s="270" t="n">
        <v>66761.32000000001</v>
      </c>
      <c r="F198" s="572">
        <f>E198/E199-1</f>
        <v/>
      </c>
      <c r="G198" s="270" t="n">
        <v>24631.3</v>
      </c>
      <c r="H198" s="572">
        <f>G198/G199-1</f>
        <v/>
      </c>
      <c r="J198" s="269" t="n">
        <v>44815</v>
      </c>
      <c r="K198" s="270" t="n">
        <v>470.4</v>
      </c>
      <c r="L198" s="572">
        <f>K198/K199-1</f>
        <v/>
      </c>
      <c r="M198" s="270" t="n">
        <v>33327.79</v>
      </c>
      <c r="N198" s="572">
        <f>M198/M199-1</f>
        <v/>
      </c>
      <c r="O198" s="270" t="n">
        <v>17833.35</v>
      </c>
      <c r="P198" s="572">
        <f>O198/O199-1</f>
        <v/>
      </c>
    </row>
    <row r="199">
      <c r="B199" s="269" t="n">
        <v>45882</v>
      </c>
      <c r="C199" s="270" t="n">
        <v>2250.1</v>
      </c>
      <c r="D199" s="572">
        <f>C199/C200-1</f>
        <v/>
      </c>
      <c r="E199" s="270" t="n">
        <v>67133.03</v>
      </c>
      <c r="F199" s="572">
        <f>E199/E200-1</f>
        <v/>
      </c>
      <c r="G199" s="270" t="n">
        <v>24619.35</v>
      </c>
      <c r="H199" s="572">
        <f>G199/G200-1</f>
        <v/>
      </c>
      <c r="J199" s="269" t="n">
        <v>44808</v>
      </c>
      <c r="K199" s="270" t="n">
        <v>445.85</v>
      </c>
      <c r="L199" s="572">
        <f>K199/K200-1</f>
        <v/>
      </c>
      <c r="M199" s="270" t="n">
        <v>32818.08</v>
      </c>
      <c r="N199" s="572">
        <f>M199/M200-1</f>
        <v/>
      </c>
      <c r="O199" s="270" t="n">
        <v>17539.45</v>
      </c>
      <c r="P199" s="572">
        <f>O199/O200-1</f>
        <v/>
      </c>
    </row>
    <row r="200">
      <c r="B200" s="269" t="n">
        <v>45881</v>
      </c>
      <c r="C200" s="270" t="n">
        <v>2246.8</v>
      </c>
      <c r="D200" s="572">
        <f>C200/C201-1</f>
        <v/>
      </c>
      <c r="E200" s="270" t="n">
        <v>66460.66</v>
      </c>
      <c r="F200" s="572">
        <f>E200/E201-1</f>
        <v/>
      </c>
      <c r="G200" s="270" t="n">
        <v>24487.4</v>
      </c>
      <c r="H200" s="572">
        <f>G200/G201-1</f>
        <v/>
      </c>
      <c r="J200" s="269" t="n">
        <v>44801</v>
      </c>
      <c r="K200" s="270" t="n">
        <v>440.42</v>
      </c>
      <c r="L200" s="572">
        <f>K200/K201-1</f>
        <v/>
      </c>
      <c r="M200" s="270" t="n">
        <v>31940.68</v>
      </c>
      <c r="N200" s="572">
        <f>M200/M201-1</f>
        <v/>
      </c>
      <c r="O200" s="270" t="n">
        <v>17558.9</v>
      </c>
      <c r="P200" s="572">
        <f>O200/O201-1</f>
        <v/>
      </c>
    </row>
    <row r="201">
      <c r="B201" s="269" t="n">
        <v>45880</v>
      </c>
      <c r="C201" s="270" t="n">
        <v>2322.9</v>
      </c>
      <c r="D201" s="572">
        <f>C201/C202-1</f>
        <v/>
      </c>
      <c r="E201" s="270" t="n">
        <v>66966.61</v>
      </c>
      <c r="F201" s="572">
        <f>E201/E202-1</f>
        <v/>
      </c>
      <c r="G201" s="270" t="n">
        <v>24585.05</v>
      </c>
      <c r="H201" s="572">
        <f>G201/G202-1</f>
        <v/>
      </c>
      <c r="J201" s="269" t="n">
        <v>44794</v>
      </c>
      <c r="K201" s="270" t="n">
        <v>430.15</v>
      </c>
      <c r="L201" s="572">
        <f>K201/K202-1</f>
        <v/>
      </c>
      <c r="M201" s="270" t="n">
        <v>31496.7</v>
      </c>
      <c r="N201" s="572">
        <f>M201/M202-1</f>
        <v/>
      </c>
      <c r="O201" s="270" t="n">
        <v>17758.45</v>
      </c>
      <c r="P201" s="572">
        <f>O201/O202-1</f>
        <v/>
      </c>
    </row>
    <row r="202">
      <c r="B202" s="269" t="n">
        <v>45877</v>
      </c>
      <c r="C202" s="270" t="n">
        <v>2310.2</v>
      </c>
      <c r="D202" s="572">
        <f>C202/C203-1</f>
        <v/>
      </c>
      <c r="E202" s="270" t="n">
        <v>66751.25999999999</v>
      </c>
      <c r="F202" s="572">
        <f>E202/E203-1</f>
        <v/>
      </c>
      <c r="G202" s="270" t="n">
        <v>24363.3</v>
      </c>
      <c r="H202" s="572">
        <f>G202/G203-1</f>
        <v/>
      </c>
      <c r="J202" s="269" t="n">
        <v>44787</v>
      </c>
      <c r="K202" s="270" t="n">
        <v>419.35</v>
      </c>
      <c r="L202" s="572">
        <f>K202/K203-1</f>
        <v/>
      </c>
      <c r="M202" s="270" t="n">
        <v>30944.07</v>
      </c>
      <c r="N202" s="572">
        <f>M202/M203-1</f>
        <v/>
      </c>
      <c r="O202" s="270" t="n">
        <v>17698.15</v>
      </c>
      <c r="P202" s="572">
        <f>O202/O203-1</f>
        <v/>
      </c>
    </row>
    <row r="203">
      <c r="B203" s="269" t="n">
        <v>45876</v>
      </c>
      <c r="C203" s="270" t="n">
        <v>2354.8</v>
      </c>
      <c r="D203" s="572">
        <f>C203/C204-1</f>
        <v/>
      </c>
      <c r="E203" s="270" t="n">
        <v>67848.75999999999</v>
      </c>
      <c r="F203" s="572">
        <f>E203/E204-1</f>
        <v/>
      </c>
      <c r="G203" s="270" t="n">
        <v>24596.15</v>
      </c>
      <c r="H203" s="572">
        <f>G203/G204-1</f>
        <v/>
      </c>
      <c r="J203" s="269" t="n">
        <v>44780</v>
      </c>
      <c r="K203" s="270" t="n">
        <v>425.3</v>
      </c>
      <c r="L203" s="572">
        <f>K203/K204-1</f>
        <v/>
      </c>
      <c r="M203" s="270" t="n">
        <v>29698.73</v>
      </c>
      <c r="N203" s="572">
        <f>M203/M204-1</f>
        <v/>
      </c>
      <c r="O203" s="270" t="n">
        <v>17397.5</v>
      </c>
      <c r="P203" s="572">
        <f>O203/O204-1</f>
        <v/>
      </c>
    </row>
    <row r="204">
      <c r="B204" s="269" t="n">
        <v>45875</v>
      </c>
      <c r="C204" s="270" t="n">
        <v>2452.4</v>
      </c>
      <c r="D204" s="572">
        <f>C204/C205-1</f>
        <v/>
      </c>
      <c r="E204" s="270" t="n">
        <v>68131.45</v>
      </c>
      <c r="F204" s="572">
        <f>E204/E205-1</f>
        <v/>
      </c>
      <c r="G204" s="270" t="n">
        <v>24574.2</v>
      </c>
      <c r="H204" s="572">
        <f>G204/G205-1</f>
        <v/>
      </c>
      <c r="J204" s="269" t="n">
        <v>44773</v>
      </c>
      <c r="K204" s="270" t="n">
        <v>434.23</v>
      </c>
      <c r="L204" s="572">
        <f>K204/K205-1</f>
        <v/>
      </c>
      <c r="M204" s="270" t="n">
        <v>29717.26</v>
      </c>
      <c r="N204" s="572">
        <f>M204/M205-1</f>
        <v/>
      </c>
      <c r="O204" s="270" t="n">
        <v>17158.25</v>
      </c>
      <c r="P204" s="572">
        <f>O204/O205-1</f>
        <v/>
      </c>
    </row>
    <row r="205">
      <c r="B205" s="269" t="n">
        <v>45874</v>
      </c>
      <c r="C205" s="270" t="n">
        <v>2618.8</v>
      </c>
      <c r="D205" s="572">
        <f>C205/C206-1</f>
        <v/>
      </c>
      <c r="E205" s="270" t="n">
        <v>68700.82000000001</v>
      </c>
      <c r="F205" s="572">
        <f>E205/E206-1</f>
        <v/>
      </c>
      <c r="G205" s="270" t="n">
        <v>24649.55</v>
      </c>
      <c r="H205" s="572">
        <f>G205/G206-1</f>
        <v/>
      </c>
      <c r="J205" s="269" t="n">
        <v>44766</v>
      </c>
      <c r="K205" s="270" t="n">
        <v>427.65</v>
      </c>
      <c r="L205" s="572">
        <f>K205/K206-1</f>
        <v/>
      </c>
      <c r="M205" s="270" t="n">
        <v>29009.37</v>
      </c>
      <c r="N205" s="572">
        <f>M205/M206-1</f>
        <v/>
      </c>
      <c r="O205" s="270" t="n">
        <v>16719.45</v>
      </c>
      <c r="P205" s="572">
        <f>O205/O206-1</f>
        <v/>
      </c>
    </row>
    <row r="206">
      <c r="B206" s="269" t="n">
        <v>45873</v>
      </c>
      <c r="C206" s="270" t="n">
        <v>2663.2</v>
      </c>
      <c r="D206" s="572">
        <f>C206/C207-1</f>
        <v/>
      </c>
      <c r="E206" s="270" t="n">
        <v>68505.5</v>
      </c>
      <c r="F206" s="572">
        <f>E206/E207-1</f>
        <v/>
      </c>
      <c r="G206" s="270" t="n">
        <v>24722.75</v>
      </c>
      <c r="H206" s="572">
        <f>G206/G207-1</f>
        <v/>
      </c>
      <c r="J206" s="269" t="n">
        <v>44759</v>
      </c>
      <c r="K206" s="270" t="n">
        <v>403.5</v>
      </c>
      <c r="L206" s="572">
        <f>K206/K207-1</f>
        <v/>
      </c>
      <c r="M206" s="270" t="n">
        <v>27634.84</v>
      </c>
      <c r="N206" s="572">
        <f>M206/M207-1</f>
        <v/>
      </c>
      <c r="O206" s="270" t="n">
        <v>16049.2</v>
      </c>
      <c r="P206" s="572">
        <f>O206/O207-1</f>
        <v/>
      </c>
    </row>
    <row r="207">
      <c r="B207" s="269" t="n">
        <v>45870</v>
      </c>
      <c r="C207" s="270" t="n">
        <v>2609.9</v>
      </c>
      <c r="D207" s="572">
        <f>C207/C208-1</f>
        <v/>
      </c>
      <c r="E207" s="270" t="n">
        <v>67850.22</v>
      </c>
      <c r="F207" s="572">
        <f>E207/E208-1</f>
        <v/>
      </c>
      <c r="G207" s="270" t="n">
        <v>24565.35</v>
      </c>
      <c r="H207" s="572">
        <f>G207/G208-1</f>
        <v/>
      </c>
      <c r="J207" s="269" t="n">
        <v>44752</v>
      </c>
      <c r="K207" s="270" t="n">
        <v>394.08</v>
      </c>
      <c r="L207" s="572">
        <f>K207/K208-1</f>
        <v/>
      </c>
      <c r="M207" s="270" t="n">
        <v>27580.51</v>
      </c>
      <c r="N207" s="572">
        <f>M207/M208-1</f>
        <v/>
      </c>
      <c r="O207" s="270" t="n">
        <v>16220.6</v>
      </c>
      <c r="P207" s="572">
        <f>O207/O208-1</f>
        <v/>
      </c>
    </row>
    <row r="208">
      <c r="B208" s="269" t="n">
        <v>45869</v>
      </c>
      <c r="C208" s="270" t="n">
        <v>2645.3</v>
      </c>
      <c r="D208" s="572">
        <f>C208/C209-1</f>
        <v/>
      </c>
      <c r="E208" s="270" t="n">
        <v>68236.66</v>
      </c>
      <c r="F208" s="572">
        <f>E208/E209-1</f>
        <v/>
      </c>
      <c r="G208" s="270" t="n">
        <v>24768.35</v>
      </c>
      <c r="H208" s="572">
        <f>G208/G209-1</f>
        <v/>
      </c>
      <c r="J208" s="269" t="n">
        <v>44745</v>
      </c>
      <c r="K208" s="270" t="n">
        <v>379.5</v>
      </c>
      <c r="L208" s="572">
        <f>K208/K209-1</f>
        <v/>
      </c>
      <c r="M208" s="270" t="n">
        <v>26027.08</v>
      </c>
      <c r="N208" s="572">
        <f>M208/M209-1</f>
        <v/>
      </c>
      <c r="O208" s="270" t="n">
        <v>15752.05</v>
      </c>
      <c r="P208" s="572">
        <f>O208/O209-1</f>
        <v/>
      </c>
    </row>
    <row r="209">
      <c r="B209" s="269" t="n">
        <v>45868</v>
      </c>
      <c r="C209" s="270" t="n">
        <v>2695.8</v>
      </c>
      <c r="D209" s="572">
        <f>C209/C210-1</f>
        <v/>
      </c>
      <c r="E209" s="270" t="n">
        <v>68692.77</v>
      </c>
      <c r="F209" s="572">
        <f>E209/E210-1</f>
        <v/>
      </c>
      <c r="G209" s="270" t="n">
        <v>24855.05</v>
      </c>
      <c r="H209" s="572">
        <f>G209/G210-1</f>
        <v/>
      </c>
      <c r="J209" s="269" t="n">
        <v>44738</v>
      </c>
      <c r="K209" s="270" t="n">
        <v>341.5</v>
      </c>
      <c r="L209" s="572">
        <f>K209/K210-1</f>
        <v/>
      </c>
      <c r="M209" s="270" t="n">
        <v>25368.8</v>
      </c>
      <c r="N209" s="572">
        <f>M209/M210-1</f>
        <v/>
      </c>
      <c r="O209" s="270" t="n">
        <v>15699.25</v>
      </c>
      <c r="P209" s="572">
        <f>O209/O210-1</f>
        <v/>
      </c>
    </row>
    <row r="210">
      <c r="B210" s="269" t="n">
        <v>45867</v>
      </c>
      <c r="C210" s="270" t="n">
        <v>2692.9</v>
      </c>
      <c r="D210" s="572">
        <f>C210/C211-1</f>
        <v/>
      </c>
      <c r="E210" s="270" t="n">
        <v>68509.5</v>
      </c>
      <c r="F210" s="572">
        <f>E210/E211-1</f>
        <v/>
      </c>
      <c r="G210" s="270" t="n">
        <v>24821.1</v>
      </c>
      <c r="H210" s="572">
        <f>G210/G211-1</f>
        <v/>
      </c>
      <c r="J210" s="269" t="n">
        <v>44731</v>
      </c>
      <c r="K210" s="270" t="n">
        <v>332.6</v>
      </c>
      <c r="L210" s="572">
        <f>K210/K211-1</f>
        <v/>
      </c>
      <c r="M210" s="270" t="n">
        <v>25230.66</v>
      </c>
      <c r="N210" s="572">
        <f>M210/M211-1</f>
        <v/>
      </c>
      <c r="O210" s="270" t="n">
        <v>15293.5</v>
      </c>
      <c r="P210" s="572">
        <f>O210/O211-1</f>
        <v/>
      </c>
    </row>
    <row r="211">
      <c r="B211" s="269" t="n">
        <v>45866</v>
      </c>
      <c r="C211" s="270" t="n">
        <v>2564.2</v>
      </c>
      <c r="D211" s="572">
        <f>C211/C212-1</f>
        <v/>
      </c>
      <c r="E211" s="270" t="n">
        <v>68106.02</v>
      </c>
      <c r="F211" s="572">
        <f>E211/E212-1</f>
        <v/>
      </c>
      <c r="G211" s="270" t="n">
        <v>24680.9</v>
      </c>
      <c r="H211" s="572">
        <f>G211/G212-1</f>
        <v/>
      </c>
      <c r="J211" s="269" t="n">
        <v>44724</v>
      </c>
      <c r="K211" s="270" t="n">
        <v>331.3</v>
      </c>
      <c r="L211" s="572">
        <f>K211/K212-1</f>
        <v/>
      </c>
      <c r="M211" s="270" t="n">
        <v>26596.83</v>
      </c>
      <c r="N211" s="572">
        <f>M211/M212-1</f>
        <v/>
      </c>
      <c r="O211" s="270" t="n">
        <v>16201.8</v>
      </c>
      <c r="P211" s="572">
        <f>O211/O212-1</f>
        <v/>
      </c>
    </row>
    <row r="212">
      <c r="B212" s="269" t="n">
        <v>45863</v>
      </c>
      <c r="C212" s="270" t="n">
        <v>2650</v>
      </c>
      <c r="D212" s="572">
        <f>C212/C213-1</f>
        <v/>
      </c>
      <c r="E212" s="270" t="n">
        <v>69136.11</v>
      </c>
      <c r="F212" s="572">
        <f>E212/E213-1</f>
        <v/>
      </c>
      <c r="G212" s="270" t="n">
        <v>24837</v>
      </c>
      <c r="H212" s="572">
        <f>G212/G213-1</f>
        <v/>
      </c>
      <c r="J212" s="269" t="n">
        <v>44717</v>
      </c>
      <c r="K212" s="270" t="n">
        <v>365</v>
      </c>
      <c r="L212" s="572">
        <f>K212/K213-1</f>
        <v/>
      </c>
      <c r="M212" s="270" t="n">
        <v>27122.36</v>
      </c>
      <c r="N212" s="572">
        <f>M212/M213-1</f>
        <v/>
      </c>
      <c r="O212" s="270" t="n">
        <v>16584.3</v>
      </c>
      <c r="P212" s="572">
        <f>O212/O213-1</f>
        <v/>
      </c>
    </row>
    <row r="213">
      <c r="B213" s="269" t="n">
        <v>45862</v>
      </c>
      <c r="C213" s="270" t="n">
        <v>2712.1</v>
      </c>
      <c r="D213" s="572">
        <f>C213/C214-1</f>
        <v/>
      </c>
      <c r="E213" s="270" t="n">
        <v>70428.28999999999</v>
      </c>
      <c r="F213" s="572">
        <f>E213/E214-1</f>
        <v/>
      </c>
      <c r="G213" s="270" t="n">
        <v>25062.1</v>
      </c>
      <c r="H213" s="572">
        <f>G213/G214-1</f>
        <v/>
      </c>
      <c r="J213" s="269" t="n">
        <v>44710</v>
      </c>
      <c r="K213" s="270" t="n">
        <v>370.05</v>
      </c>
      <c r="L213" s="572">
        <f>K213/K214-1</f>
        <v/>
      </c>
      <c r="M213" s="270" t="n">
        <v>26240.26</v>
      </c>
      <c r="N213" s="572">
        <f>M213/M214-1</f>
        <v/>
      </c>
      <c r="O213" s="270" t="n">
        <v>16352.45</v>
      </c>
      <c r="P213" s="572">
        <f>O213/O214-1</f>
        <v/>
      </c>
    </row>
    <row r="214">
      <c r="B214" s="269" t="n">
        <v>45861</v>
      </c>
      <c r="C214" s="270" t="n">
        <v>2745.3</v>
      </c>
      <c r="D214" s="572">
        <f>C214/C215-1</f>
        <v/>
      </c>
      <c r="E214" s="270" t="n">
        <v>70773.22</v>
      </c>
      <c r="F214" s="572">
        <f>E214/E215-1</f>
        <v/>
      </c>
      <c r="G214" s="270" t="n">
        <v>25219.9</v>
      </c>
      <c r="H214" s="572">
        <f>G214/G215-1</f>
        <v/>
      </c>
      <c r="J214" s="269" t="n">
        <v>44703</v>
      </c>
      <c r="K214" s="270" t="n">
        <v>400.45</v>
      </c>
      <c r="L214" s="572">
        <f>K214/K215-1</f>
        <v/>
      </c>
      <c r="M214" s="270" t="n">
        <v>26419.73</v>
      </c>
      <c r="N214" s="572">
        <f>M214/M215-1</f>
        <v/>
      </c>
      <c r="O214" s="270" t="n">
        <v>16266.15</v>
      </c>
      <c r="P214" s="572">
        <f>O214/O215-1</f>
        <v/>
      </c>
    </row>
    <row r="215">
      <c r="B215" s="269" t="n">
        <v>45860</v>
      </c>
      <c r="C215" s="270" t="n">
        <v>2720.3</v>
      </c>
      <c r="D215" s="572">
        <f>C215/C216-1</f>
        <v/>
      </c>
      <c r="E215" s="270" t="n">
        <v>70990.36</v>
      </c>
      <c r="F215" s="572">
        <f>E215/E216-1</f>
        <v/>
      </c>
      <c r="G215" s="270" t="n">
        <v>25060.9</v>
      </c>
      <c r="H215" s="572">
        <f>G215/G216-1</f>
        <v/>
      </c>
      <c r="J215" s="269" t="n">
        <v>44696</v>
      </c>
      <c r="K215" s="270" t="n">
        <v>399.17</v>
      </c>
      <c r="L215" s="572">
        <f>K215/K216-1</f>
        <v/>
      </c>
      <c r="M215" s="270" t="n">
        <v>25079.4</v>
      </c>
      <c r="N215" s="572">
        <f>M215/M216-1</f>
        <v/>
      </c>
      <c r="O215" s="270" t="n">
        <v>15782.15</v>
      </c>
      <c r="P215" s="572">
        <f>O215/O216-1</f>
        <v/>
      </c>
    </row>
    <row r="216">
      <c r="B216" s="269" t="n">
        <v>45859</v>
      </c>
      <c r="C216" s="270" t="n">
        <v>2787.6</v>
      </c>
      <c r="D216" s="572">
        <f>C216/C217-1</f>
        <v/>
      </c>
      <c r="E216" s="270" t="n">
        <v>71135.53</v>
      </c>
      <c r="F216" s="572">
        <f>E216/E217-1</f>
        <v/>
      </c>
      <c r="G216" s="270" t="n">
        <v>25090.7</v>
      </c>
      <c r="H216" s="572">
        <f>G216/G217-1</f>
        <v/>
      </c>
      <c r="J216" s="269" t="n">
        <v>44689</v>
      </c>
      <c r="K216" s="270" t="n">
        <v>411.2</v>
      </c>
      <c r="L216" s="572">
        <f>K216/K217-1</f>
        <v/>
      </c>
      <c r="M216" s="270" t="n">
        <v>26323.94</v>
      </c>
      <c r="N216" s="572">
        <f>M216/M217-1</f>
        <v/>
      </c>
      <c r="O216" s="270" t="n">
        <v>16411.25</v>
      </c>
      <c r="P216" s="572">
        <f>O216/O217-1</f>
        <v/>
      </c>
    </row>
    <row r="217">
      <c r="B217" s="269" t="n">
        <v>45856</v>
      </c>
      <c r="C217" s="270" t="n">
        <v>2814.7</v>
      </c>
      <c r="D217" s="572">
        <f>C217/C218-1</f>
        <v/>
      </c>
      <c r="E217" s="270" t="n">
        <v>70200.61</v>
      </c>
      <c r="F217" s="572">
        <f>E217/E218-1</f>
        <v/>
      </c>
      <c r="G217" s="270" t="n">
        <v>24968.4</v>
      </c>
      <c r="H217" s="572">
        <f>G217/G218-1</f>
        <v/>
      </c>
      <c r="J217" s="269" t="n">
        <v>44682</v>
      </c>
      <c r="K217" s="270" t="n">
        <v>430.05</v>
      </c>
      <c r="L217" s="572">
        <f>K217/K218-1</f>
        <v/>
      </c>
      <c r="M217" s="270" t="n">
        <v>27370.68</v>
      </c>
      <c r="N217" s="572">
        <f>M217/M218-1</f>
        <v/>
      </c>
      <c r="O217" s="270" t="n">
        <v>17102.55</v>
      </c>
      <c r="P217" s="572">
        <f>O217/O218-1</f>
        <v/>
      </c>
    </row>
    <row r="218">
      <c r="B218" s="269" t="n">
        <v>45855</v>
      </c>
      <c r="C218" s="270" t="n">
        <v>2870.6</v>
      </c>
      <c r="D218" s="572">
        <f>C218/C219-1</f>
        <v/>
      </c>
      <c r="E218" s="270" t="n">
        <v>71271.41</v>
      </c>
      <c r="F218" s="572">
        <f>E218/E219-1</f>
        <v/>
      </c>
      <c r="G218" s="270" t="n">
        <v>25111.45</v>
      </c>
      <c r="H218" s="572">
        <f>G218/G219-1</f>
        <v/>
      </c>
      <c r="J218" s="269" t="n">
        <v>44675</v>
      </c>
      <c r="K218" s="270" t="n">
        <v>452.27</v>
      </c>
      <c r="L218" s="572">
        <f>K218/K219-1</f>
        <v/>
      </c>
      <c r="M218" s="270" t="n">
        <v>27626.33</v>
      </c>
      <c r="N218" s="572">
        <f>M218/M219-1</f>
        <v/>
      </c>
      <c r="O218" s="270" t="n">
        <v>17171.95</v>
      </c>
      <c r="P218" s="572">
        <f>O218/O219-1</f>
        <v/>
      </c>
    </row>
    <row r="219">
      <c r="B219" s="269" t="n">
        <v>45854</v>
      </c>
      <c r="C219" s="270" t="n">
        <v>2845.9</v>
      </c>
      <c r="D219" s="572">
        <f>C219/C220-1</f>
        <v/>
      </c>
      <c r="E219" s="270" t="n">
        <v>71236.84</v>
      </c>
      <c r="F219" s="572">
        <f>E219/E220-1</f>
        <v/>
      </c>
      <c r="G219" s="270" t="n">
        <v>25212.05</v>
      </c>
      <c r="H219" s="572">
        <f>G219/G220-1</f>
        <v/>
      </c>
      <c r="J219" s="269" t="n">
        <v>44668</v>
      </c>
      <c r="K219" s="270" t="n">
        <v>456.2</v>
      </c>
      <c r="L219" s="572">
        <f>K219/K220-1</f>
        <v/>
      </c>
      <c r="M219" s="270" t="n">
        <v>28283.01</v>
      </c>
      <c r="N219" s="572">
        <f>M219/M220-1</f>
        <v/>
      </c>
      <c r="O219" s="270" t="n">
        <v>17475.65</v>
      </c>
      <c r="P219" s="572">
        <f>O219/O220-1</f>
        <v/>
      </c>
    </row>
    <row r="220">
      <c r="B220" s="269" t="n">
        <v>45853</v>
      </c>
      <c r="C220" s="270" t="n">
        <v>2911.9</v>
      </c>
      <c r="D220" s="572">
        <f>C220/C221-1</f>
        <v/>
      </c>
      <c r="E220" s="270" t="n">
        <v>71408.92999999999</v>
      </c>
      <c r="F220" s="572">
        <f>E220/E221-1</f>
        <v/>
      </c>
      <c r="G220" s="270" t="n">
        <v>25195.8</v>
      </c>
      <c r="H220" s="572">
        <f>G220/G221-1</f>
        <v/>
      </c>
      <c r="J220" s="269" t="n">
        <v>44661</v>
      </c>
      <c r="K220" s="270" t="n">
        <v>446.2</v>
      </c>
      <c r="L220" s="572">
        <f>K220/K221-1</f>
        <v/>
      </c>
      <c r="M220" s="270" t="n">
        <v>28844.47</v>
      </c>
      <c r="N220" s="572">
        <f>M220/M221-1</f>
        <v/>
      </c>
      <c r="O220" s="270" t="n">
        <v>17784.35</v>
      </c>
      <c r="P220" s="572">
        <f>O220/O221-1</f>
        <v/>
      </c>
    </row>
    <row r="221">
      <c r="B221" s="269" t="n">
        <v>45852</v>
      </c>
      <c r="C221" s="270" t="n">
        <v>2872.2</v>
      </c>
      <c r="D221" s="572">
        <f>C221/C222-1</f>
        <v/>
      </c>
      <c r="E221" s="270" t="n">
        <v>70916.10000000001</v>
      </c>
      <c r="F221" s="572">
        <f>E221/E222-1</f>
        <v/>
      </c>
      <c r="G221" s="270" t="n">
        <v>25082.3</v>
      </c>
      <c r="H221" s="572">
        <f>G221/G222-1</f>
        <v/>
      </c>
      <c r="J221" s="269" t="n">
        <v>44654</v>
      </c>
      <c r="K221" s="270" t="n">
        <v>412.35</v>
      </c>
      <c r="L221" s="572">
        <f>K221/K222-1</f>
        <v/>
      </c>
      <c r="M221" s="270" t="n">
        <v>27820.13</v>
      </c>
      <c r="N221" s="572">
        <f>M221/M222-1</f>
        <v/>
      </c>
      <c r="O221" s="270" t="n">
        <v>17670.45</v>
      </c>
      <c r="P221" s="572">
        <f>O221/O222-1</f>
        <v/>
      </c>
    </row>
    <row r="222">
      <c r="B222" s="269" t="n">
        <v>45849</v>
      </c>
      <c r="C222" s="270" t="n">
        <v>2849.4</v>
      </c>
      <c r="D222" s="572">
        <f>C222/C223-1</f>
        <v/>
      </c>
      <c r="E222" s="270" t="n">
        <v>70967.03999999999</v>
      </c>
      <c r="F222" s="572">
        <f>E222/E223-1</f>
        <v/>
      </c>
      <c r="G222" s="270" t="n">
        <v>25149.85</v>
      </c>
      <c r="H222" s="572">
        <f>G222/G223-1</f>
        <v/>
      </c>
      <c r="J222" s="269" t="n">
        <v>44647</v>
      </c>
      <c r="K222" s="270" t="n">
        <v>416.7</v>
      </c>
      <c r="L222" s="572">
        <f>K222/K223-1</f>
        <v/>
      </c>
      <c r="M222" s="270" t="n">
        <v>27079.96</v>
      </c>
      <c r="N222" s="572">
        <f>M222/M223-1</f>
        <v/>
      </c>
      <c r="O222" s="270" t="n">
        <v>17153</v>
      </c>
      <c r="P222" s="572">
        <f>O222/O223-1</f>
        <v/>
      </c>
    </row>
    <row r="223">
      <c r="B223" s="269" t="n">
        <v>45848</v>
      </c>
      <c r="C223" s="270" t="n">
        <v>2868.5</v>
      </c>
      <c r="D223" s="572">
        <f>C223/C224-1</f>
        <v/>
      </c>
      <c r="E223" s="270" t="n">
        <v>71835.52</v>
      </c>
      <c r="F223" s="572">
        <f>E223/E224-1</f>
        <v/>
      </c>
      <c r="G223" s="270" t="n">
        <v>25355.25</v>
      </c>
      <c r="H223" s="572">
        <f>G223/G224-1</f>
        <v/>
      </c>
      <c r="J223" s="269" t="n">
        <v>44640</v>
      </c>
      <c r="K223" s="270" t="n">
        <v>426</v>
      </c>
      <c r="L223" s="572">
        <f>K223/K224-1</f>
        <v/>
      </c>
      <c r="M223" s="270" t="n">
        <v>27644.48</v>
      </c>
      <c r="N223" s="572">
        <f>M223/M224-1</f>
        <v/>
      </c>
      <c r="O223" s="270" t="n">
        <v>17287.05</v>
      </c>
      <c r="P223" s="572">
        <f>O223/O224-1</f>
        <v/>
      </c>
    </row>
    <row r="224">
      <c r="B224" s="269" t="n">
        <v>45847</v>
      </c>
      <c r="C224" s="270" t="n">
        <v>2897.7</v>
      </c>
      <c r="D224" s="572">
        <f>C224/C225-1</f>
        <v/>
      </c>
      <c r="E224" s="270" t="n">
        <v>72147.97</v>
      </c>
      <c r="F224" s="572">
        <f>E224/E225-1</f>
        <v/>
      </c>
      <c r="G224" s="270" t="n">
        <v>25476.1</v>
      </c>
      <c r="H224" s="572">
        <f>G224/G225-1</f>
        <v/>
      </c>
      <c r="J224" s="269" t="n">
        <v>44633</v>
      </c>
      <c r="K224" s="270" t="n">
        <v>410.58</v>
      </c>
      <c r="L224" s="572">
        <f>K224/K225-1</f>
        <v/>
      </c>
      <c r="M224" s="270" t="n">
        <v>26943.92</v>
      </c>
      <c r="N224" s="572">
        <f>M224/M225-1</f>
        <v/>
      </c>
      <c r="O224" s="270" t="n">
        <v>16630.45</v>
      </c>
      <c r="P224" s="572">
        <f>O224/O225-1</f>
        <v/>
      </c>
    </row>
    <row r="225">
      <c r="B225" s="269" t="n">
        <v>45846</v>
      </c>
      <c r="C225" s="270" t="n">
        <v>2851.9</v>
      </c>
      <c r="D225" s="572">
        <f>C225/C226-1</f>
        <v/>
      </c>
      <c r="E225" s="270" t="n">
        <v>72153.56</v>
      </c>
      <c r="F225" s="572">
        <f>E225/E226-1</f>
        <v/>
      </c>
      <c r="G225" s="270" t="n">
        <v>25522.5</v>
      </c>
      <c r="H225" s="572">
        <f>G225/G226-1</f>
        <v/>
      </c>
      <c r="J225" s="269" t="n">
        <v>44626</v>
      </c>
      <c r="K225" s="270" t="n">
        <v>409.02</v>
      </c>
      <c r="L225" s="572">
        <f>K225/K226-1</f>
        <v/>
      </c>
      <c r="M225" s="270" t="n">
        <v>26550.11</v>
      </c>
      <c r="N225" s="572">
        <f>M225/M226-1</f>
        <v/>
      </c>
      <c r="O225" s="270" t="n">
        <v>16245.35</v>
      </c>
      <c r="P225" s="572">
        <f>O225/O226-1</f>
        <v/>
      </c>
    </row>
    <row r="226">
      <c r="B226" s="269" t="n">
        <v>45845</v>
      </c>
      <c r="C226" s="270" t="n">
        <v>2795</v>
      </c>
      <c r="D226" s="572">
        <f>C226/C227-1</f>
        <v/>
      </c>
      <c r="E226" s="270" t="n">
        <v>72000.88</v>
      </c>
      <c r="F226" s="572">
        <f>E226/E227-1</f>
        <v/>
      </c>
      <c r="G226" s="270" t="n">
        <v>25461.3</v>
      </c>
      <c r="H226" s="572">
        <f>G226/G227-1</f>
        <v/>
      </c>
      <c r="J226" s="269" t="n">
        <v>44619</v>
      </c>
      <c r="K226" s="270" t="n">
        <v>406.52</v>
      </c>
      <c r="L226" s="572">
        <f>K226/K227-1</f>
        <v/>
      </c>
      <c r="M226" s="270" t="n">
        <v>27183.68</v>
      </c>
      <c r="N226" s="572">
        <f>M226/M227-1</f>
        <v/>
      </c>
      <c r="O226" s="270" t="n">
        <v>16658.4</v>
      </c>
      <c r="P226" s="572">
        <f>O226/O227-1</f>
        <v/>
      </c>
    </row>
    <row r="227">
      <c r="B227" s="269" t="n">
        <v>45842</v>
      </c>
      <c r="C227" s="270" t="n">
        <v>2760.4</v>
      </c>
      <c r="D227" s="572">
        <f>C227/C228-1</f>
        <v/>
      </c>
      <c r="E227" s="270" t="n">
        <v>72322.41</v>
      </c>
      <c r="F227" s="572">
        <f>E227/E228-1</f>
        <v/>
      </c>
      <c r="G227" s="270" t="n">
        <v>25461</v>
      </c>
      <c r="H227" s="572">
        <f>G227/G228-1</f>
        <v/>
      </c>
      <c r="J227" s="269" t="n">
        <v>44612</v>
      </c>
      <c r="K227" s="270" t="n">
        <v>430.83</v>
      </c>
      <c r="L227" s="572">
        <f>K227/K228-1</f>
        <v/>
      </c>
      <c r="M227" s="270" t="n">
        <v>28432.07</v>
      </c>
      <c r="N227" s="572">
        <f>M227/M228-1</f>
        <v/>
      </c>
      <c r="O227" s="270" t="n">
        <v>17276.3</v>
      </c>
      <c r="P227" s="572">
        <f>O227/O228-1</f>
        <v/>
      </c>
    </row>
    <row r="228">
      <c r="B228" s="269" t="n">
        <v>45841</v>
      </c>
      <c r="C228" s="270" t="n">
        <v>2780.9</v>
      </c>
      <c r="D228" s="572">
        <f>C228/C229-1</f>
        <v/>
      </c>
      <c r="E228" s="270" t="n">
        <v>72127.75</v>
      </c>
      <c r="F228" s="572">
        <f>E228/E229-1</f>
        <v/>
      </c>
      <c r="G228" s="270" t="n">
        <v>25405.3</v>
      </c>
      <c r="H228" s="572">
        <f>G228/G229-1</f>
        <v/>
      </c>
      <c r="J228" s="269" t="n">
        <v>44605</v>
      </c>
      <c r="K228" s="270" t="n">
        <v>449.6</v>
      </c>
      <c r="L228" s="572">
        <f>K228/K229-1</f>
        <v/>
      </c>
      <c r="M228" s="270" t="n">
        <v>28551.59</v>
      </c>
      <c r="N228" s="572">
        <f>M228/M229-1</f>
        <v/>
      </c>
      <c r="O228" s="270" t="n">
        <v>17374.75</v>
      </c>
      <c r="P228" s="572">
        <f>O228/O229-1</f>
        <v/>
      </c>
    </row>
    <row r="229">
      <c r="B229" s="269" t="n">
        <v>45840</v>
      </c>
      <c r="C229" s="270" t="n">
        <v>2763.6</v>
      </c>
      <c r="D229" s="572">
        <f>C229/C230-1</f>
        <v/>
      </c>
      <c r="E229" s="270" t="n">
        <v>72033.14</v>
      </c>
      <c r="F229" s="572">
        <f>E229/E230-1</f>
        <v/>
      </c>
      <c r="G229" s="270" t="n">
        <v>25453.4</v>
      </c>
      <c r="H229" s="572">
        <f>G229/G230-1</f>
        <v/>
      </c>
      <c r="J229" s="269" t="n">
        <v>44598</v>
      </c>
      <c r="K229" s="270" t="n">
        <v>462.48</v>
      </c>
      <c r="L229" s="572">
        <f>K229/K230-1</f>
        <v/>
      </c>
      <c r="M229" s="270" t="n">
        <v>29673.16</v>
      </c>
      <c r="N229" s="572">
        <f>M229/M230-1</f>
        <v/>
      </c>
      <c r="O229" s="270" t="n">
        <v>17516.3</v>
      </c>
      <c r="P229" s="572">
        <f>O229/O230-1</f>
        <v/>
      </c>
    </row>
    <row r="230">
      <c r="B230" s="269" t="n">
        <v>45839</v>
      </c>
      <c r="C230" s="270" t="n">
        <v>2749.5</v>
      </c>
      <c r="D230" s="572">
        <f>C230/C231-1</f>
        <v/>
      </c>
      <c r="E230" s="270" t="n">
        <v>72533.47</v>
      </c>
      <c r="F230" s="572">
        <f>E230/E231-1</f>
        <v/>
      </c>
      <c r="G230" s="270" t="n">
        <v>25541.8</v>
      </c>
      <c r="H230" s="572">
        <f>G230/G231-1</f>
        <v/>
      </c>
      <c r="J230" s="269" t="n">
        <v>44591</v>
      </c>
      <c r="K230" s="270" t="n">
        <v>455.5</v>
      </c>
      <c r="L230" s="572">
        <f>K230/K231-1</f>
        <v/>
      </c>
      <c r="M230" s="270" t="n">
        <v>28878.58</v>
      </c>
      <c r="N230" s="572">
        <f>M230/M231-1</f>
        <v/>
      </c>
      <c r="O230" s="270" t="n">
        <v>17101.95</v>
      </c>
      <c r="P230" s="572">
        <f>O230/O231-1</f>
        <v/>
      </c>
    </row>
    <row r="231">
      <c r="B231" s="269" t="n">
        <v>45838</v>
      </c>
      <c r="C231" s="270" t="n">
        <v>2769.1</v>
      </c>
      <c r="D231" s="572">
        <f>C231/C232-1</f>
        <v/>
      </c>
      <c r="E231" s="270" t="n">
        <v>72332.77</v>
      </c>
      <c r="F231" s="572">
        <f>E231/E232-1</f>
        <v/>
      </c>
      <c r="G231" s="270" t="n">
        <v>25517.05</v>
      </c>
      <c r="H231" s="572">
        <f>G231/G232-1</f>
        <v/>
      </c>
      <c r="J231" s="269" t="n">
        <v>44584</v>
      </c>
      <c r="K231" s="270" t="n">
        <v>476.77</v>
      </c>
      <c r="L231" s="572">
        <f>K231/K232-1</f>
        <v/>
      </c>
      <c r="M231" s="270" t="n">
        <v>29733.81</v>
      </c>
      <c r="N231" s="572">
        <f>M231/M232-1</f>
        <v/>
      </c>
      <c r="O231" s="270" t="n">
        <v>17617.15</v>
      </c>
      <c r="P231" s="572">
        <f>O231/O232-1</f>
        <v/>
      </c>
    </row>
    <row r="232">
      <c r="B232" s="269" t="n">
        <v>45835</v>
      </c>
      <c r="C232" s="270" t="n">
        <v>2709.4</v>
      </c>
      <c r="D232" s="572">
        <f>C232/C233-1</f>
        <v/>
      </c>
      <c r="E232" s="270" t="n">
        <v>71548.78</v>
      </c>
      <c r="F232" s="572">
        <f>E232/E233-1</f>
        <v/>
      </c>
      <c r="G232" s="270" t="n">
        <v>25637.8</v>
      </c>
      <c r="H232" s="572">
        <f>G232/G233-1</f>
        <v/>
      </c>
      <c r="J232" s="269" t="n">
        <v>44577</v>
      </c>
      <c r="K232" s="270" t="n">
        <v>583.05</v>
      </c>
      <c r="L232" s="572">
        <f>K232/K233-1</f>
        <v/>
      </c>
      <c r="M232" s="270" t="n">
        <v>30875.16</v>
      </c>
      <c r="N232" s="572">
        <f>M232/M233-1</f>
        <v/>
      </c>
      <c r="O232" s="270" t="n">
        <v>18255.75</v>
      </c>
      <c r="P232" s="572">
        <f>O232/O233-1</f>
        <v/>
      </c>
    </row>
    <row r="233">
      <c r="B233" s="269" t="n">
        <v>45834</v>
      </c>
      <c r="C233" s="270" t="n">
        <v>2615.4</v>
      </c>
      <c r="D233" s="572">
        <f>C233/C234-1</f>
        <v/>
      </c>
      <c r="E233" s="270" t="n">
        <v>70957.2</v>
      </c>
      <c r="F233" s="572">
        <f>E233/E234-1</f>
        <v/>
      </c>
      <c r="G233" s="270" t="n">
        <v>25549</v>
      </c>
      <c r="H233" s="572">
        <f>G233/G234-1</f>
        <v/>
      </c>
      <c r="J233" s="269" t="n">
        <v>44570</v>
      </c>
      <c r="K233" s="270" t="n">
        <v>517.33</v>
      </c>
      <c r="L233" s="572">
        <f>K233/K234-1</f>
        <v/>
      </c>
      <c r="M233" s="270" t="n">
        <v>29088.76</v>
      </c>
      <c r="N233" s="572">
        <f>M233/M234-1</f>
        <v/>
      </c>
      <c r="O233" s="270" t="n">
        <v>17812.7</v>
      </c>
      <c r="P233" s="572">
        <f>O233/O234-1</f>
        <v/>
      </c>
    </row>
    <row r="234">
      <c r="B234" s="269" t="n">
        <v>45833</v>
      </c>
      <c r="C234" s="270" t="n">
        <v>2667.7</v>
      </c>
      <c r="D234" s="572">
        <f>C234/C235-1</f>
        <v/>
      </c>
      <c r="E234" s="270" t="n">
        <v>70703.12</v>
      </c>
      <c r="F234" s="572">
        <f>E234/E235-1</f>
        <v/>
      </c>
      <c r="G234" s="270" t="n">
        <v>25244.75</v>
      </c>
      <c r="H234" s="572">
        <f>G234/G235-1</f>
        <v/>
      </c>
      <c r="J234" s="269" t="n">
        <v>44563</v>
      </c>
      <c r="K234" s="270" t="n">
        <v>506.75</v>
      </c>
      <c r="L234" s="572">
        <f>K234/K235-1</f>
        <v/>
      </c>
      <c r="M234" s="270" t="n">
        <v>28750.72</v>
      </c>
      <c r="N234" s="572">
        <f>M234/M235-1</f>
        <v/>
      </c>
      <c r="O234" s="270" t="n">
        <v>17354.05</v>
      </c>
      <c r="P234" s="572">
        <f>O234/O235-1</f>
        <v/>
      </c>
    </row>
    <row r="235">
      <c r="B235" s="269" t="n">
        <v>45832</v>
      </c>
      <c r="C235" s="270" t="n">
        <v>2586.5</v>
      </c>
      <c r="D235" s="572">
        <f>C235/C236-1</f>
        <v/>
      </c>
      <c r="E235" s="270" t="n">
        <v>71087.25</v>
      </c>
      <c r="F235" s="572">
        <f>E235/E236-1</f>
        <v/>
      </c>
      <c r="G235" s="270" t="n">
        <v>25044.35</v>
      </c>
      <c r="H235" s="572">
        <f>G235/G236-1</f>
        <v/>
      </c>
      <c r="J235" s="269" t="n">
        <v>44556</v>
      </c>
      <c r="K235" s="270" t="n">
        <v>506.4</v>
      </c>
      <c r="L235" s="572">
        <f>K235/K236-1</f>
        <v/>
      </c>
      <c r="M235" s="270" t="n">
        <v>28032.57</v>
      </c>
      <c r="N235" s="572">
        <f>M235/M236-1</f>
        <v/>
      </c>
      <c r="O235" s="270" t="n">
        <v>17003.75</v>
      </c>
      <c r="P235" s="572">
        <f>O235/O236-1</f>
        <v/>
      </c>
    </row>
    <row r="236">
      <c r="B236" s="269" t="n">
        <v>45831</v>
      </c>
      <c r="C236" s="270" t="n">
        <v>2583.6</v>
      </c>
      <c r="D236" s="572">
        <f>C236/C237-1</f>
        <v/>
      </c>
      <c r="E236" s="270" t="n">
        <v>70903.38</v>
      </c>
      <c r="F236" s="572">
        <f>E236/E237-1</f>
        <v/>
      </c>
      <c r="G236" s="270" t="n">
        <v>24971.9</v>
      </c>
      <c r="H236" s="572">
        <f>G236/G237-1</f>
        <v/>
      </c>
      <c r="J236" s="269" t="n">
        <v>44549</v>
      </c>
      <c r="K236" s="270" t="n">
        <v>518.15</v>
      </c>
      <c r="L236" s="572">
        <f>K236/K237-1</f>
        <v/>
      </c>
      <c r="M236" s="270" t="n">
        <v>28057.45</v>
      </c>
      <c r="N236" s="572">
        <f>M236/M237-1</f>
        <v/>
      </c>
      <c r="O236" s="270" t="n">
        <v>16985.2</v>
      </c>
      <c r="P236" s="572">
        <f>O236/O237-1</f>
        <v/>
      </c>
    </row>
    <row r="237">
      <c r="B237" s="269" t="n">
        <v>45828</v>
      </c>
      <c r="C237" s="270" t="n">
        <v>2589.6</v>
      </c>
      <c r="D237" s="572">
        <f>C237/C238-1</f>
        <v/>
      </c>
      <c r="E237" s="270" t="n">
        <v>70243.36</v>
      </c>
      <c r="F237" s="572">
        <f>E237/E238-1</f>
        <v/>
      </c>
      <c r="G237" s="270" t="n">
        <v>25112.4</v>
      </c>
      <c r="H237" s="572">
        <f>G237/G238-1</f>
        <v/>
      </c>
      <c r="J237" s="269" t="n">
        <v>44542</v>
      </c>
      <c r="K237" s="270" t="n">
        <v>508.95</v>
      </c>
      <c r="L237" s="572">
        <f>K237/K238-1</f>
        <v/>
      </c>
      <c r="M237" s="270" t="n">
        <v>28500.4</v>
      </c>
      <c r="N237" s="572">
        <f>M237/M238-1</f>
        <v/>
      </c>
      <c r="O237" s="270" t="n">
        <v>17511.3</v>
      </c>
      <c r="P237" s="572">
        <f>O237/O238-1</f>
        <v/>
      </c>
    </row>
    <row r="238">
      <c r="B238" s="269" t="n">
        <v>45827</v>
      </c>
      <c r="C238" s="270" t="n">
        <v>2599.7</v>
      </c>
      <c r="D238" s="572">
        <f>C238/C239-1</f>
        <v/>
      </c>
      <c r="E238" s="270" t="n">
        <v>69446.7</v>
      </c>
      <c r="F238" s="572">
        <f>E238/E239-1</f>
        <v/>
      </c>
      <c r="G238" s="270" t="n">
        <v>24793.25</v>
      </c>
      <c r="H238" s="572">
        <f>G238/G239-1</f>
        <v/>
      </c>
      <c r="J238" s="269" t="n">
        <v>44535</v>
      </c>
      <c r="K238" s="270" t="n">
        <v>500.08</v>
      </c>
      <c r="L238" s="572">
        <f>K238/K239-1</f>
        <v/>
      </c>
      <c r="M238" s="270" t="n">
        <v>27568.69</v>
      </c>
      <c r="N238" s="572">
        <f>M238/M239-1</f>
        <v/>
      </c>
      <c r="O238" s="270" t="n">
        <v>17196.7</v>
      </c>
      <c r="P238" s="572">
        <f>O238/O239-1</f>
        <v/>
      </c>
    </row>
    <row r="239">
      <c r="B239" s="269" t="n">
        <v>45826</v>
      </c>
      <c r="C239" s="270" t="n">
        <v>2645.2</v>
      </c>
      <c r="D239" s="572">
        <f>C239/C240-1</f>
        <v/>
      </c>
      <c r="E239" s="270" t="n">
        <v>69846.72</v>
      </c>
      <c r="F239" s="572">
        <f>E239/E240-1</f>
        <v/>
      </c>
      <c r="G239" s="270" t="n">
        <v>24812.05</v>
      </c>
      <c r="H239" s="572">
        <f>G239/G240-1</f>
        <v/>
      </c>
      <c r="J239" s="269" t="n">
        <v>44528</v>
      </c>
      <c r="K239" s="270" t="n">
        <v>484.92</v>
      </c>
      <c r="L239" s="572">
        <f>K239/K240-1</f>
        <v/>
      </c>
      <c r="M239" s="270" t="n">
        <v>27058.85</v>
      </c>
      <c r="N239" s="572">
        <f>M239/M240-1</f>
        <v/>
      </c>
      <c r="O239" s="270" t="n">
        <v>17026.45</v>
      </c>
      <c r="P239" s="572">
        <f>O239/O240-1</f>
        <v/>
      </c>
    </row>
    <row r="240">
      <c r="B240" s="269" t="n">
        <v>45825</v>
      </c>
      <c r="C240" s="270" t="n">
        <v>2667</v>
      </c>
      <c r="D240" s="572">
        <f>C240/C241-1</f>
        <v/>
      </c>
      <c r="E240" s="270" t="n">
        <v>70180.69</v>
      </c>
      <c r="F240" s="572">
        <f>E240/E241-1</f>
        <v/>
      </c>
      <c r="G240" s="270" t="n">
        <v>24853.4</v>
      </c>
      <c r="H240" s="572">
        <f>G240/G241-1</f>
        <v/>
      </c>
      <c r="J240" s="269" t="n">
        <v>44521</v>
      </c>
      <c r="K240" s="270" t="n">
        <v>506.77</v>
      </c>
      <c r="L240" s="572">
        <f>K240/K241-1</f>
        <v/>
      </c>
      <c r="M240" s="270" t="n">
        <v>28487.64</v>
      </c>
      <c r="N240" s="572">
        <f>M240/M241-1</f>
        <v/>
      </c>
      <c r="O240" s="270" t="n">
        <v>17764.8</v>
      </c>
      <c r="P240" s="572">
        <f>O240/O241-1</f>
        <v/>
      </c>
    </row>
    <row r="241">
      <c r="B241" s="269" t="n">
        <v>45824</v>
      </c>
      <c r="C241" s="270" t="n">
        <v>2721.3</v>
      </c>
      <c r="D241" s="572">
        <f>C241/C242-1</f>
        <v/>
      </c>
      <c r="E241" s="270" t="n">
        <v>70336.95</v>
      </c>
      <c r="F241" s="572">
        <f>E241/E242-1</f>
        <v/>
      </c>
      <c r="G241" s="270" t="n">
        <v>24946.5</v>
      </c>
      <c r="H241" s="572">
        <f>G241/G242-1</f>
        <v/>
      </c>
      <c r="J241" s="269" t="n">
        <v>44514</v>
      </c>
      <c r="K241" s="270" t="n">
        <v>519.88</v>
      </c>
      <c r="L241" s="572">
        <f>K241/K242-1</f>
        <v/>
      </c>
      <c r="M241" s="270" t="n">
        <v>29105.32</v>
      </c>
      <c r="N241" s="572">
        <f>M241/M242-1</f>
        <v/>
      </c>
      <c r="O241" s="270" t="n">
        <v>18102.75</v>
      </c>
      <c r="P241" s="572">
        <f>O241/O242-1</f>
        <v/>
      </c>
    </row>
    <row r="242">
      <c r="B242" s="269" t="n">
        <v>45821</v>
      </c>
      <c r="C242" s="270" t="n">
        <v>2735</v>
      </c>
      <c r="D242" s="572">
        <f>C242/C243-1</f>
        <v/>
      </c>
      <c r="E242" s="270" t="n">
        <v>69767.45</v>
      </c>
      <c r="F242" s="572">
        <f>E242/E243-1</f>
        <v/>
      </c>
      <c r="G242" s="270" t="n">
        <v>24718.6</v>
      </c>
      <c r="H242" s="572">
        <f>G242/G243-1</f>
        <v/>
      </c>
      <c r="J242" s="269" t="n">
        <v>44507</v>
      </c>
      <c r="K242" s="270" t="n">
        <v>526.4</v>
      </c>
      <c r="L242" s="572">
        <f>K242/K243-1</f>
        <v/>
      </c>
      <c r="M242" s="270" t="n">
        <v>28103.05</v>
      </c>
      <c r="N242" s="572">
        <f>M242/M243-1</f>
        <v/>
      </c>
      <c r="O242" s="270" t="n">
        <v>17916.8</v>
      </c>
      <c r="P242" s="572">
        <f>O242/O243-1</f>
        <v/>
      </c>
    </row>
    <row r="243">
      <c r="B243" s="269" t="n">
        <v>45820</v>
      </c>
      <c r="C243" s="270" t="n">
        <v>2721.2</v>
      </c>
      <c r="D243" s="572">
        <f>C243/C244-1</f>
        <v/>
      </c>
      <c r="E243" s="270" t="n">
        <v>69774.57000000001</v>
      </c>
      <c r="F243" s="572">
        <f>E243/E244-1</f>
        <v/>
      </c>
      <c r="G243" s="270" t="n">
        <v>24888.2</v>
      </c>
      <c r="H243" s="572">
        <f>G243/G244-1</f>
        <v/>
      </c>
      <c r="J243" s="269" t="n">
        <v>44500</v>
      </c>
      <c r="K243" s="270" t="n">
        <v>505.85</v>
      </c>
      <c r="L243" s="572">
        <f>K243/K244-1</f>
        <v/>
      </c>
      <c r="M243" s="270" t="n">
        <v>26673.33</v>
      </c>
      <c r="N243" s="572">
        <f>M243/M244-1</f>
        <v/>
      </c>
      <c r="O243" s="270" t="n">
        <v>17671.65</v>
      </c>
      <c r="P243" s="572">
        <f>O243/O244-1</f>
        <v/>
      </c>
    </row>
    <row r="244">
      <c r="B244" s="269" t="n">
        <v>45819</v>
      </c>
      <c r="C244" s="270" t="n">
        <v>2760.4</v>
      </c>
      <c r="D244" s="572">
        <f>C244/C245-1</f>
        <v/>
      </c>
      <c r="E244" s="270" t="n">
        <v>71160.97</v>
      </c>
      <c r="F244" s="572">
        <f>E244/E245-1</f>
        <v/>
      </c>
      <c r="G244" s="270" t="n">
        <v>25141.4</v>
      </c>
      <c r="H244" s="572">
        <f>G244/G245-1</f>
        <v/>
      </c>
      <c r="J244" s="269" t="n">
        <v>44493</v>
      </c>
      <c r="K244" s="270" t="n">
        <v>466.25</v>
      </c>
      <c r="L244" s="572">
        <f>K244/K245-1</f>
        <v/>
      </c>
      <c r="M244" s="270" t="n">
        <v>26835.21</v>
      </c>
      <c r="N244" s="572">
        <f>M244/M245-1</f>
        <v/>
      </c>
      <c r="O244" s="270" t="n">
        <v>18114.9</v>
      </c>
      <c r="P244" s="572">
        <f>O244/O245-1</f>
        <v/>
      </c>
    </row>
    <row r="245">
      <c r="B245" s="269" t="n">
        <v>45818</v>
      </c>
      <c r="C245" s="270" t="n">
        <v>2772.3</v>
      </c>
      <c r="D245" s="572">
        <f>C245/C246-1</f>
        <v/>
      </c>
      <c r="E245" s="270" t="n">
        <v>71464.12</v>
      </c>
      <c r="F245" s="572">
        <f>E245/E246-1</f>
        <v/>
      </c>
      <c r="G245" s="270" t="n">
        <v>25104.25</v>
      </c>
      <c r="H245" s="572">
        <f>G245/G246-1</f>
        <v/>
      </c>
      <c r="J245" s="269" t="n">
        <v>44486</v>
      </c>
      <c r="K245" s="270" t="n">
        <v>488.23</v>
      </c>
      <c r="L245" s="572">
        <f>K245/K246-1</f>
        <v/>
      </c>
      <c r="M245" s="270" t="n">
        <v>27255.85</v>
      </c>
      <c r="N245" s="572">
        <f>M245/M246-1</f>
        <v/>
      </c>
      <c r="O245" s="270" t="n">
        <v>18338.55</v>
      </c>
      <c r="P245" s="572">
        <f>O245/O246-1</f>
        <v/>
      </c>
    </row>
    <row r="246">
      <c r="B246" s="269" t="n">
        <v>45817</v>
      </c>
      <c r="C246" s="270" t="n">
        <v>2798.4</v>
      </c>
      <c r="D246" s="572">
        <f>C246/C247-1</f>
        <v/>
      </c>
      <c r="E246" s="270" t="n">
        <v>71316.58</v>
      </c>
      <c r="F246" s="572">
        <f>E246/E247-1</f>
        <v/>
      </c>
      <c r="G246" s="270" t="n">
        <v>25103.2</v>
      </c>
      <c r="H246" s="572">
        <f>G246/G247-1</f>
        <v/>
      </c>
      <c r="J246" s="269" t="n">
        <v>44479</v>
      </c>
      <c r="K246" s="270" t="n">
        <v>489.55</v>
      </c>
      <c r="L246" s="572">
        <f>K246/K247-1</f>
        <v/>
      </c>
      <c r="M246" s="270" t="n">
        <v>26332.63</v>
      </c>
      <c r="N246" s="572">
        <f>M246/M247-1</f>
        <v/>
      </c>
      <c r="O246" s="270" t="n">
        <v>17895.2</v>
      </c>
      <c r="P246" s="572">
        <f>O246/O247-1</f>
        <v/>
      </c>
    </row>
    <row r="247">
      <c r="B247" s="269" t="n">
        <v>45814</v>
      </c>
      <c r="C247" s="270" t="n">
        <v>2796.4</v>
      </c>
      <c r="D247" s="572">
        <f>C247/C248-1</f>
        <v/>
      </c>
      <c r="E247" s="270" t="n">
        <v>70797.7</v>
      </c>
      <c r="F247" s="572">
        <f>E247/E248-1</f>
        <v/>
      </c>
      <c r="G247" s="270" t="n">
        <v>25003.05</v>
      </c>
      <c r="H247" s="572">
        <f>G247/G248-1</f>
        <v/>
      </c>
      <c r="J247" s="269" t="n">
        <v>44472</v>
      </c>
      <c r="K247" s="270" t="n">
        <v>473</v>
      </c>
      <c r="L247" s="572">
        <f>K247/K248-1</f>
        <v/>
      </c>
      <c r="M247" s="270" t="n">
        <v>25912.59</v>
      </c>
      <c r="N247" s="572">
        <f>M247/M248-1</f>
        <v/>
      </c>
      <c r="O247" s="270" t="n">
        <v>17532.05</v>
      </c>
      <c r="P247" s="572">
        <f>O247/O248-1</f>
        <v/>
      </c>
    </row>
    <row r="248">
      <c r="B248" s="269" t="n">
        <v>45813</v>
      </c>
      <c r="C248" s="270" t="n">
        <v>2805.7</v>
      </c>
      <c r="D248" s="572">
        <f>C248/C249-1</f>
        <v/>
      </c>
      <c r="E248" s="270" t="n">
        <v>71008.42</v>
      </c>
      <c r="F248" s="572">
        <f>E248/E249-1</f>
        <v/>
      </c>
      <c r="G248" s="270" t="n">
        <v>24750.9</v>
      </c>
      <c r="H248" s="572">
        <f>G248/G249-1</f>
        <v/>
      </c>
      <c r="J248" s="269" t="n">
        <v>44465</v>
      </c>
      <c r="K248" s="270" t="n">
        <v>482.52</v>
      </c>
      <c r="L248" s="572">
        <f>K248/K249-1</f>
        <v/>
      </c>
      <c r="M248" s="270" t="n">
        <v>26356.3</v>
      </c>
      <c r="N248" s="572">
        <f>M248/M249-1</f>
        <v/>
      </c>
      <c r="O248" s="270" t="n">
        <v>17853.2</v>
      </c>
      <c r="P248" s="572">
        <f>O248/O249-1</f>
        <v/>
      </c>
    </row>
    <row r="249">
      <c r="B249" s="269" t="n">
        <v>45812</v>
      </c>
      <c r="C249" s="270" t="n">
        <v>2780.4</v>
      </c>
      <c r="D249" s="572">
        <f>C249/C250-1</f>
        <v/>
      </c>
      <c r="E249" s="270" t="n">
        <v>70713.45</v>
      </c>
      <c r="F249" s="572">
        <f>E249/E250-1</f>
        <v/>
      </c>
      <c r="G249" s="270" t="n">
        <v>24620.2</v>
      </c>
      <c r="H249" s="572">
        <f>G249/G250-1</f>
        <v/>
      </c>
      <c r="J249" s="269" t="n">
        <v>44458</v>
      </c>
      <c r="K249" s="270" t="n">
        <v>525.67</v>
      </c>
      <c r="L249" s="572">
        <f>K249/K250-1</f>
        <v/>
      </c>
      <c r="M249" s="270" t="n">
        <v>26041.36</v>
      </c>
      <c r="N249" s="572">
        <f>M249/M250-1</f>
        <v/>
      </c>
      <c r="O249" s="270" t="n">
        <v>17585.15</v>
      </c>
      <c r="P249" s="572">
        <f>O249/O250-1</f>
        <v/>
      </c>
    </row>
    <row r="250">
      <c r="B250" s="269" t="n">
        <v>45811</v>
      </c>
      <c r="C250" s="270" t="n">
        <v>2795.4</v>
      </c>
      <c r="D250" s="572">
        <f>C250/C251-1</f>
        <v/>
      </c>
      <c r="E250" s="270" t="n">
        <v>70588.39999999999</v>
      </c>
      <c r="F250" s="572">
        <f>E250/E251-1</f>
        <v/>
      </c>
      <c r="G250" s="270" t="n">
        <v>24542.5</v>
      </c>
      <c r="H250" s="572">
        <f>G250/G251-1</f>
        <v/>
      </c>
      <c r="J250" s="269" t="n">
        <v>44451</v>
      </c>
      <c r="K250" s="270" t="n">
        <v>525.8</v>
      </c>
      <c r="L250" s="572">
        <f>K250/K251-1</f>
        <v/>
      </c>
      <c r="M250" s="270" t="n">
        <v>25767.11</v>
      </c>
      <c r="N250" s="572">
        <f>M250/M251-1</f>
        <v/>
      </c>
      <c r="O250" s="270" t="n">
        <v>17369.25</v>
      </c>
      <c r="P250" s="572">
        <f>O250/O251-1</f>
        <v/>
      </c>
    </row>
    <row r="251">
      <c r="B251" s="269" t="n">
        <v>45810</v>
      </c>
      <c r="C251" s="270" t="n">
        <v>2731.4</v>
      </c>
      <c r="D251" s="572">
        <f>C251/C252-1</f>
        <v/>
      </c>
      <c r="E251" s="270" t="n">
        <v>71210.89999999999</v>
      </c>
      <c r="F251" s="572">
        <f>E251/E252-1</f>
        <v/>
      </c>
      <c r="G251" s="270" t="n">
        <v>24716.6</v>
      </c>
      <c r="H251" s="572">
        <f>G251/G252-1</f>
        <v/>
      </c>
      <c r="J251" s="269" t="n">
        <v>44444</v>
      </c>
      <c r="K251" s="270" t="n">
        <v>501.67</v>
      </c>
      <c r="L251" s="572">
        <f>K251/K252-1</f>
        <v/>
      </c>
      <c r="M251" s="270" t="n">
        <v>25559.98</v>
      </c>
      <c r="N251" s="572">
        <f>M251/M252-1</f>
        <v/>
      </c>
      <c r="O251" s="270" t="n">
        <v>17323.6</v>
      </c>
      <c r="P251" s="572">
        <f>O251/O252-1</f>
        <v/>
      </c>
    </row>
    <row r="252">
      <c r="B252" s="269" t="n">
        <v>45807</v>
      </c>
      <c r="C252" s="270" t="n">
        <v>2778.2</v>
      </c>
      <c r="D252" s="572">
        <f>C252/C253-1</f>
        <v/>
      </c>
      <c r="E252" s="270" t="n">
        <v>71089.64</v>
      </c>
      <c r="F252" s="572">
        <f>E252/E253-1</f>
        <v/>
      </c>
      <c r="G252" s="270" t="n">
        <v>24750.7</v>
      </c>
      <c r="H252" s="572">
        <f>G252/G253-1</f>
        <v/>
      </c>
      <c r="J252" s="269" t="n">
        <v>44437</v>
      </c>
      <c r="K252" s="270" t="n">
        <v>474.12</v>
      </c>
      <c r="L252" s="572">
        <f>K252/K253-1</f>
        <v/>
      </c>
      <c r="M252" s="270" t="n">
        <v>24470.52</v>
      </c>
      <c r="N252" s="572">
        <f>M252/M253-1</f>
        <v/>
      </c>
      <c r="O252" s="270" t="n">
        <v>16705.2</v>
      </c>
      <c r="P252" s="572">
        <f>O252/O253-1</f>
        <v/>
      </c>
    </row>
    <row r="253">
      <c r="B253" s="269" t="n">
        <v>45806</v>
      </c>
      <c r="C253" s="270" t="n">
        <v>2796.4</v>
      </c>
      <c r="D253" s="572">
        <f>C253/C254-1</f>
        <v/>
      </c>
      <c r="E253" s="270" t="n">
        <v>70650.14999999999</v>
      </c>
      <c r="F253" s="572">
        <f>E253/E254-1</f>
        <v/>
      </c>
      <c r="G253" s="270" t="n">
        <v>24833.6</v>
      </c>
      <c r="H253" s="572">
        <f>G253/G254-1</f>
        <v/>
      </c>
      <c r="J253" s="269" t="n">
        <v>44430</v>
      </c>
      <c r="K253" s="270" t="n">
        <v>482.17</v>
      </c>
      <c r="L253" s="572">
        <f>K253/K254-1</f>
        <v/>
      </c>
      <c r="M253" s="270" t="n">
        <v>23548.46</v>
      </c>
      <c r="N253" s="572">
        <f>M253/M254-1</f>
        <v/>
      </c>
      <c r="O253" s="270" t="n">
        <v>16450.5</v>
      </c>
      <c r="P253" s="572">
        <f>O253/O254-1</f>
        <v/>
      </c>
    </row>
    <row r="254">
      <c r="B254" s="269" t="n">
        <v>45805</v>
      </c>
      <c r="C254" s="270" t="n">
        <v>2815.1</v>
      </c>
      <c r="D254" s="572">
        <f>C254/C255-1</f>
        <v/>
      </c>
      <c r="E254" s="270" t="n">
        <v>70430.91</v>
      </c>
      <c r="F254" s="572">
        <f>E254/E255-1</f>
        <v/>
      </c>
      <c r="G254" s="270" t="n">
        <v>24752.45</v>
      </c>
      <c r="H254" s="572">
        <f>G254/G255-1</f>
        <v/>
      </c>
      <c r="J254" s="269" t="n">
        <v>44423</v>
      </c>
      <c r="K254" s="270" t="n">
        <v>500.15</v>
      </c>
      <c r="L254" s="572">
        <f>K254/K255-1</f>
        <v/>
      </c>
      <c r="M254" s="270" t="n">
        <v>24317.29</v>
      </c>
      <c r="N254" s="572">
        <f>M254/M255-1</f>
        <v/>
      </c>
      <c r="O254" s="270" t="n">
        <v>16529.1</v>
      </c>
      <c r="P254" s="572">
        <f>O254/O255-1</f>
        <v/>
      </c>
    </row>
    <row r="255">
      <c r="B255" s="269" t="n">
        <v>45804</v>
      </c>
      <c r="C255" s="270" t="n">
        <v>2824</v>
      </c>
      <c r="D255" s="572">
        <f>C255/C256-1</f>
        <v/>
      </c>
      <c r="E255" s="270" t="n">
        <v>70168.14999999999</v>
      </c>
      <c r="F255" s="572">
        <f>E255/E256-1</f>
        <v/>
      </c>
      <c r="G255" s="270" t="n">
        <v>24826.2</v>
      </c>
      <c r="H255" s="572">
        <f>G255/G256-1</f>
        <v/>
      </c>
      <c r="J255" s="269" t="n">
        <v>44416</v>
      </c>
      <c r="K255" s="270" t="n">
        <v>503.45</v>
      </c>
      <c r="L255" s="572">
        <f>K255/K256-1</f>
        <v/>
      </c>
      <c r="M255" s="270" t="n">
        <v>23782.4</v>
      </c>
      <c r="N255" s="572">
        <f>M255/M256-1</f>
        <v/>
      </c>
      <c r="O255" s="270" t="n">
        <v>16238.2</v>
      </c>
      <c r="P255" s="572">
        <f>O255/O256-1</f>
        <v/>
      </c>
    </row>
    <row r="256">
      <c r="B256" s="269" t="n">
        <v>45803</v>
      </c>
      <c r="C256" s="270" t="n">
        <v>2801.5</v>
      </c>
      <c r="D256" s="572">
        <f>C256/C257-1</f>
        <v/>
      </c>
      <c r="E256" s="270" t="n">
        <v>69874.85000000001</v>
      </c>
      <c r="F256" s="572">
        <f>E256/E257-1</f>
        <v/>
      </c>
      <c r="G256" s="270" t="n">
        <v>25001.15</v>
      </c>
      <c r="H256" s="572">
        <f>G256/G257-1</f>
        <v/>
      </c>
      <c r="J256" s="269" t="n">
        <v>44409</v>
      </c>
      <c r="K256" s="270" t="n">
        <v>513.88</v>
      </c>
      <c r="L256" s="572">
        <f>K256/K257-1</f>
        <v/>
      </c>
      <c r="M256" s="270" t="n">
        <v>23671.73</v>
      </c>
      <c r="N256" s="572">
        <f>M256/M257-1</f>
        <v/>
      </c>
      <c r="O256" s="270" t="n">
        <v>15763.05</v>
      </c>
      <c r="P256" s="572">
        <f>O256/O257-1</f>
        <v/>
      </c>
    </row>
    <row r="257">
      <c r="B257" s="269" t="n">
        <v>45800</v>
      </c>
      <c r="C257" s="270" t="n">
        <v>2782.2</v>
      </c>
      <c r="D257" s="572">
        <f>C257/C258-1</f>
        <v/>
      </c>
      <c r="E257" s="270" t="n">
        <v>69246.03</v>
      </c>
      <c r="F257" s="572">
        <f>E257/E258-1</f>
        <v/>
      </c>
      <c r="G257" s="270" t="n">
        <v>24853.15</v>
      </c>
      <c r="H257" s="572">
        <f>G257/G258-1</f>
        <v/>
      </c>
      <c r="J257" s="269" t="n">
        <v>44402</v>
      </c>
      <c r="K257" s="270" t="n">
        <v>484.58</v>
      </c>
      <c r="L257" s="572">
        <f>K257/K258-1</f>
        <v/>
      </c>
      <c r="M257" s="270" t="n">
        <v>23845.96</v>
      </c>
      <c r="N257" s="572">
        <f>M257/M258-1</f>
        <v/>
      </c>
      <c r="O257" s="270" t="n">
        <v>15856.05</v>
      </c>
      <c r="P257" s="572">
        <f>O257/O258-1</f>
        <v/>
      </c>
    </row>
    <row r="258">
      <c r="B258" s="269" t="n">
        <v>45799</v>
      </c>
      <c r="C258" s="270" t="n">
        <v>2808</v>
      </c>
      <c r="D258" s="572">
        <f>C258/C259-1</f>
        <v/>
      </c>
      <c r="E258" s="270" t="n">
        <v>68952.2</v>
      </c>
      <c r="F258" s="572">
        <f>E258/E259-1</f>
        <v/>
      </c>
      <c r="G258" s="270" t="n">
        <v>24609.7</v>
      </c>
      <c r="H258" s="572">
        <f>G258/G259-1</f>
        <v/>
      </c>
      <c r="J258" s="269" t="n">
        <v>44395</v>
      </c>
      <c r="K258" s="270" t="n">
        <v>485.48</v>
      </c>
      <c r="L258" s="572">
        <f>K258/K259-1</f>
        <v/>
      </c>
      <c r="M258" s="270" t="n">
        <v>23868.71</v>
      </c>
      <c r="N258" s="572">
        <f>M258/M259-1</f>
        <v/>
      </c>
      <c r="O258" s="270" t="n">
        <v>15923.4</v>
      </c>
      <c r="P258" s="572">
        <f>O258/O259-1</f>
        <v/>
      </c>
    </row>
    <row r="259">
      <c r="B259" s="269" t="n">
        <v>45798</v>
      </c>
      <c r="C259" s="270" t="n">
        <v>2847.7</v>
      </c>
      <c r="D259" s="572">
        <f>C259/C260-1</f>
        <v/>
      </c>
      <c r="E259" s="270" t="n">
        <v>69097.16</v>
      </c>
      <c r="F259" s="572">
        <f>E259/E260-1</f>
        <v/>
      </c>
      <c r="G259" s="270" t="n">
        <v>24813.45</v>
      </c>
      <c r="H259" s="572">
        <f>G259/G260-1</f>
        <v/>
      </c>
      <c r="J259" s="269" t="n">
        <v>44388</v>
      </c>
      <c r="K259" s="270" t="n">
        <v>433.67</v>
      </c>
      <c r="L259" s="572">
        <f>K259/K260-1</f>
        <v/>
      </c>
      <c r="M259" s="270" t="n">
        <v>22960.64</v>
      </c>
      <c r="N259" s="572">
        <f>M259/M260-1</f>
        <v/>
      </c>
      <c r="O259" s="270" t="n">
        <v>15689.8</v>
      </c>
      <c r="P259" s="572">
        <f>O259/O260-1</f>
        <v/>
      </c>
    </row>
    <row r="260">
      <c r="B260" s="269" t="n">
        <v>45797</v>
      </c>
      <c r="C260" s="270" t="n">
        <v>2865.1</v>
      </c>
      <c r="D260" s="572">
        <f>C260/C261-1</f>
        <v/>
      </c>
      <c r="E260" s="270" t="n">
        <v>67978.24000000001</v>
      </c>
      <c r="F260" s="572">
        <f>E260/E261-1</f>
        <v/>
      </c>
      <c r="G260" s="270" t="n">
        <v>24683.9</v>
      </c>
      <c r="H260" s="572">
        <f>G260/G261-1</f>
        <v/>
      </c>
      <c r="J260" s="269" t="n">
        <v>44381</v>
      </c>
      <c r="K260" s="270" t="n">
        <v>434.27</v>
      </c>
      <c r="L260" s="572">
        <f>K260/K261-1</f>
        <v/>
      </c>
      <c r="M260" s="270" t="n">
        <v>22776.12</v>
      </c>
      <c r="N260" s="572">
        <f>M260/M261-1</f>
        <v/>
      </c>
      <c r="O260" s="270" t="n">
        <v>15722.2</v>
      </c>
      <c r="P260" s="572">
        <f>O260/O261-1</f>
        <v/>
      </c>
    </row>
    <row r="261">
      <c r="B261" s="269" t="n">
        <v>45796</v>
      </c>
      <c r="C261" s="270" t="n">
        <v>2934.8</v>
      </c>
      <c r="D261" s="572">
        <f>C261/C262-1</f>
        <v/>
      </c>
      <c r="E261" s="270" t="n">
        <v>68800.35000000001</v>
      </c>
      <c r="F261" s="572">
        <f>E261/E262-1</f>
        <v/>
      </c>
      <c r="G261" s="270" t="n">
        <v>24945.45</v>
      </c>
      <c r="H261" s="572">
        <f>G261/G262-1</f>
        <v/>
      </c>
      <c r="J261" s="269" t="n">
        <v>44374</v>
      </c>
      <c r="K261" s="270" t="n">
        <v>435.23</v>
      </c>
      <c r="L261" s="572">
        <f>K261/K262-1</f>
        <v/>
      </c>
      <c r="M261" s="270" t="n">
        <v>23084.23</v>
      </c>
      <c r="N261" s="572">
        <f>M261/M262-1</f>
        <v/>
      </c>
      <c r="O261" s="270" t="n">
        <v>15860.35</v>
      </c>
      <c r="P261" s="572">
        <f>O261/O262-1</f>
        <v/>
      </c>
    </row>
    <row r="262">
      <c r="B262" s="269" t="n">
        <v>45793</v>
      </c>
      <c r="C262" s="270" t="n">
        <v>2991.2</v>
      </c>
      <c r="D262" s="572">
        <f>C262/C263-1</f>
        <v/>
      </c>
      <c r="E262" s="270" t="n">
        <v>68909.14</v>
      </c>
      <c r="F262" s="572">
        <f>E262/E263-1</f>
        <v/>
      </c>
      <c r="G262" s="270" t="n">
        <v>25019.8</v>
      </c>
      <c r="H262" s="572">
        <f>G262/G263-1</f>
        <v/>
      </c>
      <c r="J262" s="269" t="n">
        <v>44367</v>
      </c>
      <c r="K262" s="270" t="n">
        <v>425.02</v>
      </c>
      <c r="L262" s="572">
        <f>K262/K263-1</f>
        <v/>
      </c>
      <c r="M262" s="270" t="n">
        <v>22182.89</v>
      </c>
      <c r="N262" s="572">
        <f>M262/M263-1</f>
        <v/>
      </c>
      <c r="O262" s="270" t="n">
        <v>15683.35</v>
      </c>
      <c r="P262" s="572">
        <f>O262/O263-1</f>
        <v/>
      </c>
    </row>
    <row r="263">
      <c r="B263" s="269" t="n">
        <v>45792</v>
      </c>
      <c r="C263" s="270" t="n">
        <v>2979.8</v>
      </c>
      <c r="D263" s="572">
        <f>C263/C264-1</f>
        <v/>
      </c>
      <c r="E263" s="270" t="n">
        <v>67802.23</v>
      </c>
      <c r="F263" s="572">
        <f>E263/E264-1</f>
        <v/>
      </c>
      <c r="G263" s="270" t="n">
        <v>25062.1</v>
      </c>
      <c r="H263" s="572">
        <f>G263/G264-1</f>
        <v/>
      </c>
      <c r="J263" s="269" t="n">
        <v>44360</v>
      </c>
      <c r="K263" s="270" t="n">
        <v>444.35</v>
      </c>
      <c r="L263" s="572">
        <f>K263/K264-1</f>
        <v/>
      </c>
      <c r="M263" s="270" t="n">
        <v>22917.69</v>
      </c>
      <c r="N263" s="572">
        <f>M263/M264-1</f>
        <v/>
      </c>
      <c r="O263" s="270" t="n">
        <v>15799.35</v>
      </c>
      <c r="P263" s="572">
        <f>O263/O264-1</f>
        <v/>
      </c>
    </row>
    <row r="264">
      <c r="B264" s="269" t="n">
        <v>45791</v>
      </c>
      <c r="C264" s="270" t="n">
        <v>2993.8</v>
      </c>
      <c r="D264" s="572">
        <f>C264/C265-1</f>
        <v/>
      </c>
      <c r="E264" s="270" t="n">
        <v>66938.23</v>
      </c>
      <c r="F264" s="572">
        <f>E264/E265-1</f>
        <v/>
      </c>
      <c r="G264" s="270" t="n">
        <v>24666.9</v>
      </c>
      <c r="H264" s="572">
        <f>G264/G265-1</f>
        <v/>
      </c>
      <c r="J264" s="269" t="n">
        <v>44353</v>
      </c>
      <c r="K264" s="270" t="n">
        <v>446.1</v>
      </c>
      <c r="L264" s="572" t="n"/>
      <c r="M264" s="270" t="n">
        <v>23279.53</v>
      </c>
      <c r="N264" s="270" t="n"/>
      <c r="O264" s="270" t="n">
        <v>15670.25</v>
      </c>
      <c r="P264" s="60" t="n"/>
    </row>
    <row r="265">
      <c r="B265" s="269" t="n">
        <v>45790</v>
      </c>
      <c r="C265" s="270" t="n">
        <v>3025.2</v>
      </c>
      <c r="D265" s="572">
        <f>C265/C266-1</f>
        <v/>
      </c>
      <c r="E265" s="270" t="n">
        <v>65952.78</v>
      </c>
      <c r="F265" s="572">
        <f>E265/E266-1</f>
        <v/>
      </c>
      <c r="G265" s="270" t="n">
        <v>24578.35</v>
      </c>
      <c r="H265" s="572">
        <f>G265/G266-1</f>
        <v/>
      </c>
    </row>
    <row r="266">
      <c r="B266" s="269" t="n">
        <v>45789</v>
      </c>
      <c r="C266" s="270" t="n">
        <v>3301.8</v>
      </c>
      <c r="D266" s="572">
        <f>C266/C267-1</f>
        <v/>
      </c>
      <c r="E266" s="270" t="n">
        <v>65274.44</v>
      </c>
      <c r="F266" s="572">
        <f>E266/E267-1</f>
        <v/>
      </c>
      <c r="G266" s="270" t="n">
        <v>24924.7</v>
      </c>
      <c r="H266" s="572">
        <f>G266/G267-1</f>
        <v/>
      </c>
    </row>
    <row r="267">
      <c r="B267" s="269" t="n">
        <v>45786</v>
      </c>
      <c r="C267" s="270" t="n">
        <v>3158</v>
      </c>
      <c r="D267" s="572">
        <f>C267/C268-1</f>
        <v/>
      </c>
      <c r="E267" s="270" t="n">
        <v>62852.21</v>
      </c>
      <c r="F267" s="572">
        <f>E267/E268-1</f>
        <v/>
      </c>
      <c r="G267" s="270" t="n">
        <v>24008</v>
      </c>
      <c r="H267" s="572">
        <f>G267/G268-1</f>
        <v/>
      </c>
    </row>
    <row r="268">
      <c r="B268" s="269" t="n">
        <v>45785</v>
      </c>
      <c r="C268" s="270" t="n">
        <v>3093.6</v>
      </c>
      <c r="D268" s="572">
        <f>C268/C269-1</f>
        <v/>
      </c>
      <c r="E268" s="270" t="n">
        <v>61820.63</v>
      </c>
      <c r="F268" s="572">
        <f>E268/E269-1</f>
        <v/>
      </c>
      <c r="G268" s="270" t="n">
        <v>24273.8</v>
      </c>
      <c r="H268" s="572">
        <f>G268/G269-1</f>
        <v/>
      </c>
    </row>
    <row r="269">
      <c r="B269" s="269" t="n">
        <v>45784</v>
      </c>
      <c r="C269" s="270" t="n">
        <v>3119.5</v>
      </c>
      <c r="D269" s="572">
        <f>C269/C270-1</f>
        <v/>
      </c>
      <c r="E269" s="270" t="n">
        <v>62384</v>
      </c>
      <c r="F269" s="572">
        <f>E269/E270-1</f>
        <v/>
      </c>
      <c r="G269" s="270" t="n">
        <v>24414.4</v>
      </c>
      <c r="H269" s="572">
        <f>G269/G270-1</f>
        <v/>
      </c>
    </row>
    <row r="270">
      <c r="B270" s="269" t="n">
        <v>45783</v>
      </c>
      <c r="C270" s="270" t="n">
        <v>3041.4</v>
      </c>
      <c r="D270" s="572">
        <f>C270/C271-1</f>
        <v/>
      </c>
      <c r="E270" s="270" t="n">
        <v>62117.06</v>
      </c>
      <c r="F270" s="572">
        <f>E270/E271-1</f>
        <v/>
      </c>
      <c r="G270" s="270" t="n">
        <v>24379.6</v>
      </c>
      <c r="H270" s="572">
        <f>G270/G271-1</f>
        <v/>
      </c>
    </row>
    <row r="271">
      <c r="B271" s="269" t="n">
        <v>45782</v>
      </c>
      <c r="C271" s="270" t="n">
        <v>3115.8</v>
      </c>
      <c r="D271" s="572">
        <f>C271/C272-1</f>
        <v/>
      </c>
      <c r="E271" s="270" t="n">
        <v>63200.61</v>
      </c>
      <c r="F271" s="572">
        <f>E271/E272-1</f>
        <v/>
      </c>
      <c r="G271" s="270" t="n">
        <v>24461.15</v>
      </c>
      <c r="H271" s="572">
        <f>G271/G272-1</f>
        <v/>
      </c>
    </row>
    <row r="272">
      <c r="B272" s="269" t="n">
        <v>45779</v>
      </c>
      <c r="C272" s="270" t="n">
        <v>2914.1</v>
      </c>
      <c r="D272" s="572">
        <f>C272/C273-1</f>
        <v/>
      </c>
      <c r="E272" s="270" t="n">
        <v>62668.31</v>
      </c>
      <c r="F272" s="572">
        <f>E272/E273-1</f>
        <v/>
      </c>
      <c r="G272" s="270" t="n">
        <v>24346.7</v>
      </c>
      <c r="H272" s="572">
        <f>G272/G273-1</f>
        <v/>
      </c>
    </row>
    <row r="273">
      <c r="B273" s="269" t="n">
        <v>45777</v>
      </c>
      <c r="C273" s="270" t="n">
        <v>2989.4</v>
      </c>
      <c r="D273" s="572">
        <f>C273/C274-1</f>
        <v/>
      </c>
      <c r="E273" s="270" t="n">
        <v>62780.39</v>
      </c>
      <c r="F273" s="572">
        <f>E273/E274-1</f>
        <v/>
      </c>
      <c r="G273" s="270" t="n">
        <v>24334.2</v>
      </c>
      <c r="H273" s="572">
        <f>G273/G274-1</f>
        <v/>
      </c>
    </row>
    <row r="274">
      <c r="B274" s="269" t="n">
        <v>45776</v>
      </c>
      <c r="C274" s="270" t="n">
        <v>3089.4</v>
      </c>
      <c r="D274" s="572">
        <f>C274/C275-1</f>
        <v/>
      </c>
      <c r="E274" s="270" t="n">
        <v>63289.87</v>
      </c>
      <c r="F274" s="572">
        <f>E274/E275-1</f>
        <v/>
      </c>
      <c r="G274" s="270" t="n">
        <v>24335.95</v>
      </c>
      <c r="H274" s="572">
        <f>G274/G275-1</f>
        <v/>
      </c>
    </row>
    <row r="275">
      <c r="B275" s="269" t="n">
        <v>45775</v>
      </c>
      <c r="C275" s="270" t="n">
        <v>3018</v>
      </c>
      <c r="D275" s="572">
        <f>C275/C276-1</f>
        <v/>
      </c>
      <c r="E275" s="270" t="n">
        <v>62698.43</v>
      </c>
      <c r="F275" s="572">
        <f>E275/E276-1</f>
        <v/>
      </c>
      <c r="G275" s="270" t="n">
        <v>24328.5</v>
      </c>
      <c r="H275" s="572">
        <f>G275/G276-1</f>
        <v/>
      </c>
    </row>
    <row r="276">
      <c r="B276" s="269" t="n">
        <v>45772</v>
      </c>
      <c r="C276" s="270" t="n">
        <v>3035.3</v>
      </c>
      <c r="D276" s="572">
        <f>C276/C277-1</f>
        <v/>
      </c>
      <c r="E276" s="270" t="n">
        <v>61508.96</v>
      </c>
      <c r="F276" s="572">
        <f>E276/E277-1</f>
        <v/>
      </c>
      <c r="G276" s="270" t="n">
        <v>24039.35</v>
      </c>
      <c r="H276" s="572">
        <f>G276/G277-1</f>
        <v/>
      </c>
    </row>
    <row r="277">
      <c r="B277" s="269" t="n">
        <v>45771</v>
      </c>
      <c r="C277" s="270" t="n">
        <v>3082.7</v>
      </c>
      <c r="D277" s="572">
        <f>C277/C278-1</f>
        <v/>
      </c>
      <c r="E277" s="270" t="n">
        <v>62802.62</v>
      </c>
      <c r="F277" s="572">
        <f>E277/E278-1</f>
        <v/>
      </c>
      <c r="G277" s="270" t="n">
        <v>24246.7</v>
      </c>
      <c r="H277" s="572">
        <f>G277/G278-1</f>
        <v/>
      </c>
    </row>
    <row r="278">
      <c r="B278" s="269" t="n">
        <v>45770</v>
      </c>
      <c r="C278" s="270" t="n">
        <v>3158.7</v>
      </c>
      <c r="D278" s="572">
        <f>C278/C279-1</f>
        <v/>
      </c>
      <c r="E278" s="270" t="n">
        <v>62829.74</v>
      </c>
      <c r="F278" s="572">
        <f>E278/E279-1</f>
        <v/>
      </c>
      <c r="G278" s="270" t="n">
        <v>24328.95</v>
      </c>
      <c r="H278" s="572">
        <f>G278/G279-1</f>
        <v/>
      </c>
    </row>
    <row r="279">
      <c r="B279" s="269" t="n">
        <v>45769</v>
      </c>
      <c r="C279" s="270" t="n">
        <v>3231.1</v>
      </c>
      <c r="D279" s="572">
        <f>C279/C280-1</f>
        <v/>
      </c>
      <c r="E279" s="270" t="n">
        <v>62189.75</v>
      </c>
      <c r="F279" s="572">
        <f>E279/E280-1</f>
        <v/>
      </c>
      <c r="G279" s="270" t="n">
        <v>24167.25</v>
      </c>
      <c r="H279" s="572">
        <f>G279/G280-1</f>
        <v/>
      </c>
    </row>
    <row r="280">
      <c r="B280" s="269" t="n">
        <v>45768</v>
      </c>
      <c r="C280" s="270" t="n">
        <v>3327.9</v>
      </c>
      <c r="D280" s="572">
        <f>C280/C281-1</f>
        <v/>
      </c>
      <c r="E280" s="270" t="n">
        <v>62275.41</v>
      </c>
      <c r="F280" s="572">
        <f>E280/E281-1</f>
        <v/>
      </c>
      <c r="G280" s="270" t="n">
        <v>24125.55</v>
      </c>
      <c r="H280" s="572">
        <f>G280/G281-1</f>
        <v/>
      </c>
    </row>
    <row r="281">
      <c r="B281" s="269" t="n">
        <v>45764</v>
      </c>
      <c r="C281" s="270" t="n">
        <v>3167.1</v>
      </c>
      <c r="D281" s="572">
        <f>C281/C282-1</f>
        <v/>
      </c>
      <c r="E281" s="270" t="n">
        <v>61111.69</v>
      </c>
      <c r="F281" s="572">
        <f>E281/E282-1</f>
        <v/>
      </c>
      <c r="G281" s="270" t="n">
        <v>23851.65</v>
      </c>
      <c r="H281" s="572">
        <f>G281/G282-1</f>
        <v/>
      </c>
    </row>
    <row r="282">
      <c r="B282" s="269" t="n">
        <v>45763</v>
      </c>
      <c r="C282" s="270" t="n">
        <v>3153</v>
      </c>
      <c r="D282" s="572">
        <f>C282/C283-1</f>
        <v/>
      </c>
      <c r="E282" s="270" t="n">
        <v>60654.34</v>
      </c>
      <c r="F282" s="572">
        <f>E282/E283-1</f>
        <v/>
      </c>
      <c r="G282" s="270" t="n">
        <v>23437.2</v>
      </c>
      <c r="H282" s="572">
        <f>G282/G283-1</f>
        <v/>
      </c>
    </row>
    <row r="283">
      <c r="B283" s="269" t="n">
        <v>45762</v>
      </c>
      <c r="C283" s="270" t="n">
        <v>3190.6</v>
      </c>
      <c r="D283" s="572">
        <f>C283/C284-1</f>
        <v/>
      </c>
      <c r="E283" s="270" t="n">
        <v>60696.06</v>
      </c>
      <c r="F283" s="572">
        <f>E283/E284-1</f>
        <v/>
      </c>
      <c r="G283" s="270" t="n">
        <v>23328.55</v>
      </c>
      <c r="H283" s="572">
        <f>G283/G284-1</f>
        <v/>
      </c>
    </row>
    <row r="284">
      <c r="B284" s="269" t="n">
        <v>45758</v>
      </c>
      <c r="C284" s="270" t="n">
        <v>3064.45</v>
      </c>
      <c r="D284" s="572">
        <f>C284/C285-1</f>
        <v/>
      </c>
      <c r="E284" s="270" t="n">
        <v>58545.93</v>
      </c>
      <c r="F284" s="572">
        <f>E284/E285-1</f>
        <v/>
      </c>
      <c r="G284" s="270" t="n">
        <v>22828.55</v>
      </c>
      <c r="H284" s="572">
        <f>G284/G285-1</f>
        <v/>
      </c>
    </row>
    <row r="285">
      <c r="B285" s="269" t="n">
        <v>45756</v>
      </c>
      <c r="C285" s="270" t="n">
        <v>2908</v>
      </c>
      <c r="D285" s="572">
        <f>C285/C286-1</f>
        <v/>
      </c>
      <c r="E285" s="270" t="n">
        <v>57314.96</v>
      </c>
      <c r="F285" s="572">
        <f>E285/E286-1</f>
        <v/>
      </c>
      <c r="G285" s="270" t="n">
        <v>22399.15</v>
      </c>
      <c r="H285" s="572">
        <f>G285/G286-1</f>
        <v/>
      </c>
    </row>
    <row r="286">
      <c r="B286" s="269" t="n">
        <v>45755</v>
      </c>
      <c r="C286" s="270" t="n">
        <v>3050.5</v>
      </c>
      <c r="D286" s="572">
        <f>C286/C287-1</f>
        <v/>
      </c>
      <c r="E286" s="270" t="n">
        <v>58275.98</v>
      </c>
      <c r="F286" s="572">
        <f>E286/E287-1</f>
        <v/>
      </c>
      <c r="G286" s="270" t="n">
        <v>22535.85</v>
      </c>
      <c r="H286" s="572">
        <f>G286/G287-1</f>
        <v/>
      </c>
    </row>
    <row r="287">
      <c r="B287" s="269" t="n">
        <v>45754</v>
      </c>
      <c r="C287" s="270" t="n">
        <v>2985.05</v>
      </c>
      <c r="D287" s="572">
        <f>C287/C288-1</f>
        <v/>
      </c>
      <c r="E287" s="270" t="n">
        <v>57055.91</v>
      </c>
      <c r="F287" s="572">
        <f>E287/E288-1</f>
        <v/>
      </c>
      <c r="G287" s="270" t="n">
        <v>22161.6</v>
      </c>
      <c r="H287" s="572">
        <f>G287/G288-1</f>
        <v/>
      </c>
    </row>
    <row r="288">
      <c r="B288" s="269" t="n">
        <v>45751</v>
      </c>
      <c r="C288" s="270" t="n">
        <v>3178</v>
      </c>
      <c r="D288" s="572">
        <f>C288/C289-1</f>
        <v/>
      </c>
      <c r="E288" s="270" t="n">
        <v>59643.57</v>
      </c>
      <c r="F288" s="572">
        <f>E288/E289-1</f>
        <v/>
      </c>
      <c r="G288" s="270" t="n">
        <v>22904.45</v>
      </c>
      <c r="H288" s="572">
        <f>G288/G289-1</f>
        <v/>
      </c>
    </row>
    <row r="289">
      <c r="B289" s="269" t="n">
        <v>45750</v>
      </c>
      <c r="C289" s="270" t="n">
        <v>3420.85</v>
      </c>
      <c r="D289" s="572">
        <f>C289/C290-1</f>
        <v/>
      </c>
      <c r="E289" s="270" t="n">
        <v>62121.12</v>
      </c>
      <c r="F289" s="572">
        <f>E289/E290-1</f>
        <v/>
      </c>
      <c r="G289" s="270" t="n">
        <v>23250.1</v>
      </c>
      <c r="H289" s="572">
        <f>G289/G290-1</f>
        <v/>
      </c>
    </row>
    <row r="290">
      <c r="B290" s="269" t="n">
        <v>45749</v>
      </c>
      <c r="C290" s="270" t="n">
        <v>3390.6</v>
      </c>
      <c r="D290" s="572">
        <f>C290/C291-1</f>
        <v/>
      </c>
      <c r="E290" s="270" t="n">
        <v>61893.92</v>
      </c>
      <c r="F290" s="572">
        <f>E290/E291-1</f>
        <v/>
      </c>
      <c r="G290" s="270" t="n">
        <v>23332.35</v>
      </c>
      <c r="H290" s="572">
        <f>G290/G291-1</f>
        <v/>
      </c>
    </row>
    <row r="291">
      <c r="B291" s="269" t="n">
        <v>45748</v>
      </c>
      <c r="C291" s="270" t="n">
        <v>3393.05</v>
      </c>
      <c r="D291" s="572">
        <f>C291/C292-1</f>
        <v/>
      </c>
      <c r="E291" s="270" t="n">
        <v>61802.95</v>
      </c>
      <c r="F291" s="572">
        <f>E291/E292-1</f>
        <v/>
      </c>
      <c r="G291" s="270" t="n">
        <v>23165.7</v>
      </c>
      <c r="H291" s="572">
        <f>G291/G292-1</f>
        <v/>
      </c>
    </row>
    <row r="292">
      <c r="B292" s="269" t="n">
        <v>45744</v>
      </c>
      <c r="C292" s="270" t="n">
        <v>3475.5</v>
      </c>
      <c r="D292" s="572">
        <f>C292/C293-1</f>
        <v/>
      </c>
      <c r="E292" s="270" t="n">
        <v>62724.28</v>
      </c>
      <c r="F292" s="572">
        <f>E292/E293-1</f>
        <v/>
      </c>
      <c r="G292" s="270" t="n">
        <v>23519.35</v>
      </c>
      <c r="H292" s="572">
        <f>G292/G293-1</f>
        <v/>
      </c>
    </row>
    <row r="293">
      <c r="B293" s="269" t="n">
        <v>45743</v>
      </c>
      <c r="C293" s="270" t="n">
        <v>3546.6</v>
      </c>
      <c r="D293" s="572">
        <f>C293/C294-1</f>
        <v/>
      </c>
      <c r="E293" s="270" t="n">
        <v>62817.33</v>
      </c>
      <c r="F293" s="572">
        <f>E293/E294-1</f>
        <v/>
      </c>
      <c r="G293" s="270" t="n">
        <v>23591.95</v>
      </c>
      <c r="H293" s="572">
        <f>G293/G294-1</f>
        <v/>
      </c>
    </row>
    <row r="294">
      <c r="B294" s="269" t="n">
        <v>45742</v>
      </c>
      <c r="C294" s="270" t="n">
        <v>3363.9</v>
      </c>
      <c r="D294" s="572">
        <f>C294/C295-1</f>
        <v/>
      </c>
      <c r="E294" s="270" t="n">
        <v>62499.96</v>
      </c>
      <c r="F294" s="572">
        <f>E294/E295-1</f>
        <v/>
      </c>
      <c r="G294" s="270" t="n">
        <v>23486.85</v>
      </c>
      <c r="H294" s="572">
        <f>G294/G295-1</f>
        <v/>
      </c>
    </row>
    <row r="295">
      <c r="B295" s="269" t="n">
        <v>45741</v>
      </c>
      <c r="C295" s="270" t="n">
        <v>3290.65</v>
      </c>
      <c r="D295" s="572">
        <f>C295/C296-1</f>
        <v/>
      </c>
      <c r="E295" s="270" t="n">
        <v>62468.01</v>
      </c>
      <c r="F295" s="572">
        <f>E295/E296-1</f>
        <v/>
      </c>
      <c r="G295" s="270" t="n">
        <v>23668.65</v>
      </c>
      <c r="H295" s="572">
        <f>G295/G296-1</f>
        <v/>
      </c>
    </row>
    <row r="296">
      <c r="B296" s="269" t="n">
        <v>45740</v>
      </c>
      <c r="C296" s="270" t="n">
        <v>3371.1</v>
      </c>
      <c r="D296" s="572">
        <f>C296/C297-1</f>
        <v/>
      </c>
      <c r="E296" s="270" t="n">
        <v>63106.78</v>
      </c>
      <c r="F296" s="572">
        <f>E296/E297-1</f>
        <v/>
      </c>
      <c r="G296" s="270" t="n">
        <v>23658.35</v>
      </c>
      <c r="H296" s="572">
        <f>G296/G297-1</f>
        <v/>
      </c>
    </row>
    <row r="297">
      <c r="B297" s="269" t="n">
        <v>45737</v>
      </c>
      <c r="C297" s="270" t="n">
        <v>3266.55</v>
      </c>
      <c r="D297" s="572">
        <f>C297/C298-1</f>
        <v/>
      </c>
      <c r="E297" s="270" t="n">
        <v>61901.78</v>
      </c>
      <c r="F297" s="572">
        <f>E297/E298-1</f>
        <v/>
      </c>
      <c r="G297" s="270" t="n">
        <v>23350.4</v>
      </c>
      <c r="H297" s="572">
        <f>G297/G298-1</f>
        <v/>
      </c>
    </row>
    <row r="298">
      <c r="B298" s="269" t="n">
        <v>45736</v>
      </c>
      <c r="C298" s="270" t="n">
        <v>3135.7</v>
      </c>
      <c r="D298" s="572">
        <f>C298/C299-1</f>
        <v/>
      </c>
      <c r="E298" s="270" t="n">
        <v>61290.7</v>
      </c>
      <c r="F298" s="572">
        <f>E298/E299-1</f>
        <v/>
      </c>
      <c r="G298" s="270" t="n">
        <v>23190.65</v>
      </c>
      <c r="H298" s="572">
        <f>G298/G299-1</f>
        <v/>
      </c>
    </row>
    <row r="299">
      <c r="B299" s="269" t="n">
        <v>45735</v>
      </c>
      <c r="C299" s="270" t="n">
        <v>3172.85</v>
      </c>
      <c r="D299" s="572">
        <f>C299/C300-1</f>
        <v/>
      </c>
      <c r="E299" s="270" t="n">
        <v>60768.04</v>
      </c>
      <c r="F299" s="572">
        <f>E299/E300-1</f>
        <v/>
      </c>
      <c r="G299" s="270" t="n">
        <v>22907.6</v>
      </c>
      <c r="H299" s="572">
        <f>G299/G300-1</f>
        <v/>
      </c>
    </row>
    <row r="300">
      <c r="B300" s="269" t="n">
        <v>45734</v>
      </c>
      <c r="C300" s="270" t="n">
        <v>3167.95</v>
      </c>
      <c r="D300" s="572">
        <f>C300/C301-1</f>
        <v/>
      </c>
      <c r="E300" s="270" t="n">
        <v>59437.56</v>
      </c>
      <c r="F300" s="572">
        <f>E300/E301-1</f>
        <v/>
      </c>
      <c r="G300" s="270" t="n">
        <v>22834.3</v>
      </c>
      <c r="H300" s="572">
        <f>G300/G301-1</f>
        <v/>
      </c>
    </row>
    <row r="301">
      <c r="B301" s="269" t="n">
        <v>45733</v>
      </c>
      <c r="C301" s="270" t="n">
        <v>3075.2</v>
      </c>
      <c r="D301" s="572">
        <f>C301/C302-1</f>
        <v/>
      </c>
      <c r="E301" s="270" t="n">
        <v>58020.05</v>
      </c>
      <c r="F301" s="572">
        <f>E301/E302-1</f>
        <v/>
      </c>
      <c r="G301" s="270" t="n">
        <v>22508.75</v>
      </c>
      <c r="H301" s="572">
        <f>G301/G302-1</f>
        <v/>
      </c>
    </row>
    <row r="302">
      <c r="B302" s="269" t="n">
        <v>45729</v>
      </c>
      <c r="C302" s="270" t="n">
        <v>2886.4</v>
      </c>
      <c r="D302" s="572">
        <f>C302/C303-1</f>
        <v/>
      </c>
      <c r="E302" s="270" t="n">
        <v>57756.79</v>
      </c>
      <c r="F302" s="572">
        <f>E302/E303-1</f>
        <v/>
      </c>
      <c r="G302" s="270" t="n">
        <v>22397.2</v>
      </c>
      <c r="H302" s="572">
        <f>G302/G303-1</f>
        <v/>
      </c>
    </row>
    <row r="303">
      <c r="B303" s="269" t="n">
        <v>45728</v>
      </c>
      <c r="C303" s="270" t="n">
        <v>2976.45</v>
      </c>
      <c r="D303" s="572">
        <f>C303/C304-1</f>
        <v/>
      </c>
      <c r="E303" s="270" t="n">
        <v>57791.87</v>
      </c>
      <c r="F303" s="572">
        <f>E303/E304-1</f>
        <v/>
      </c>
      <c r="G303" s="270" t="n">
        <v>22470.5</v>
      </c>
      <c r="H303" s="572">
        <f>G303/G304-1</f>
        <v/>
      </c>
    </row>
    <row r="304">
      <c r="B304" s="269" t="n">
        <v>45727</v>
      </c>
      <c r="C304" s="270" t="n">
        <v>3012.7</v>
      </c>
      <c r="D304" s="572">
        <f>C304/C305-1</f>
        <v/>
      </c>
      <c r="E304" s="270" t="n">
        <v>57968.72</v>
      </c>
      <c r="F304" s="572">
        <f>E304/E305-1</f>
        <v/>
      </c>
      <c r="G304" s="270" t="n">
        <v>22497.9</v>
      </c>
      <c r="H304" s="572">
        <f>G304/G305-1</f>
        <v/>
      </c>
    </row>
    <row r="305">
      <c r="B305" s="269" t="n">
        <v>45726</v>
      </c>
      <c r="C305" s="270" t="n">
        <v>3014.25</v>
      </c>
      <c r="D305" s="572">
        <f>C305/C306-1</f>
        <v/>
      </c>
      <c r="E305" s="270" t="n">
        <v>57697.55</v>
      </c>
      <c r="F305" s="572">
        <f>E305/E306-1</f>
        <v/>
      </c>
      <c r="G305" s="270" t="n">
        <v>22460.3</v>
      </c>
      <c r="H305" s="572">
        <f>G305/G306-1</f>
        <v/>
      </c>
    </row>
    <row r="306">
      <c r="B306" s="269" t="n">
        <v>45723</v>
      </c>
      <c r="C306" s="270" t="n">
        <v>3057.95</v>
      </c>
      <c r="D306" s="572">
        <f>C306/C307-1</f>
        <v/>
      </c>
      <c r="E306" s="270" t="n">
        <v>58911.86</v>
      </c>
      <c r="F306" s="572">
        <f>E306/E307-1</f>
        <v/>
      </c>
      <c r="G306" s="270" t="n">
        <v>22552.5</v>
      </c>
      <c r="H306" s="572">
        <f>G306/G307-1</f>
        <v/>
      </c>
    </row>
    <row r="307">
      <c r="B307" s="269" t="n">
        <v>45722</v>
      </c>
      <c r="C307" s="270" t="n">
        <v>3069.45</v>
      </c>
      <c r="D307" s="572">
        <f>C307/C308-1</f>
        <v/>
      </c>
      <c r="E307" s="270" t="n">
        <v>58634.88</v>
      </c>
      <c r="F307" s="572">
        <f>E307/E308-1</f>
        <v/>
      </c>
      <c r="G307" s="270" t="n">
        <v>22544.7</v>
      </c>
      <c r="H307" s="572">
        <f>G307/G308-1</f>
        <v/>
      </c>
    </row>
    <row r="308">
      <c r="B308" s="269" t="n">
        <v>45721</v>
      </c>
      <c r="C308" s="270" t="n">
        <v>2841.35</v>
      </c>
      <c r="D308" s="572">
        <f>C308/C309-1</f>
        <v/>
      </c>
      <c r="E308" s="270" t="n">
        <v>58160.24</v>
      </c>
      <c r="F308" s="572">
        <f>E308/E309-1</f>
        <v/>
      </c>
      <c r="G308" s="270" t="n">
        <v>22337.3</v>
      </c>
      <c r="H308" s="572">
        <f>G308/G309-1</f>
        <v/>
      </c>
    </row>
    <row r="309">
      <c r="B309" s="269" t="n">
        <v>45720</v>
      </c>
      <c r="C309" s="270" t="n">
        <v>2751.65</v>
      </c>
      <c r="D309" s="572">
        <f>C309/C310-1</f>
        <v/>
      </c>
      <c r="E309" s="270" t="n">
        <v>56876.17</v>
      </c>
      <c r="F309" s="572">
        <f>E309/E310-1</f>
        <v/>
      </c>
      <c r="G309" s="270" t="n">
        <v>22082.65</v>
      </c>
      <c r="H309" s="572">
        <f>G309/G310-1</f>
        <v/>
      </c>
    </row>
    <row r="310">
      <c r="B310" s="269" t="n">
        <v>45719</v>
      </c>
      <c r="C310" s="270" t="n">
        <v>2742.4</v>
      </c>
      <c r="D310" s="572">
        <f>C310/C311-1</f>
        <v/>
      </c>
      <c r="E310" s="270" t="n">
        <v>56083.57</v>
      </c>
      <c r="F310" s="572">
        <f>E310/E311-1</f>
        <v/>
      </c>
      <c r="G310" s="270" t="n">
        <v>22119.3</v>
      </c>
      <c r="H310" s="572">
        <f>G310/G311-1</f>
        <v/>
      </c>
    </row>
    <row r="311">
      <c r="B311" s="269" t="n">
        <v>45716</v>
      </c>
      <c r="C311" s="270" t="n">
        <v>2798.15</v>
      </c>
      <c r="D311" s="572">
        <f>C311/C312-1</f>
        <v/>
      </c>
      <c r="E311" s="270" t="n">
        <v>55241.12</v>
      </c>
      <c r="F311" s="572">
        <f>E311/E312-1</f>
        <v/>
      </c>
      <c r="G311" s="270" t="n">
        <v>22124.7</v>
      </c>
      <c r="H311" s="572">
        <f>G311/G312-1</f>
        <v/>
      </c>
    </row>
    <row r="312">
      <c r="B312" s="269" t="n">
        <v>45715</v>
      </c>
      <c r="C312" s="270" t="n">
        <v>2915.25</v>
      </c>
      <c r="D312" s="572">
        <f>C312/C313-1</f>
        <v/>
      </c>
      <c r="E312" s="270" t="n">
        <v>56493.23</v>
      </c>
      <c r="F312" s="572">
        <f>E312/E313-1</f>
        <v/>
      </c>
      <c r="G312" s="270" t="n">
        <v>22545.05</v>
      </c>
      <c r="H312" s="572">
        <f>G312/G313-1</f>
        <v/>
      </c>
    </row>
    <row r="313">
      <c r="B313" s="269" t="n">
        <v>45713</v>
      </c>
      <c r="C313" s="270" t="n">
        <v>3046.5</v>
      </c>
      <c r="D313" s="572">
        <f>C313/C314-1</f>
        <v/>
      </c>
      <c r="E313" s="270" t="n">
        <v>57399.52</v>
      </c>
      <c r="F313" s="572">
        <f>E313/E314-1</f>
        <v/>
      </c>
      <c r="G313" s="270" t="n">
        <v>22547.55</v>
      </c>
      <c r="H313" s="572">
        <f>G313/G314-1</f>
        <v/>
      </c>
    </row>
    <row r="314">
      <c r="B314" s="269" t="n">
        <v>45712</v>
      </c>
      <c r="C314" s="270" t="n">
        <v>3215.9</v>
      </c>
      <c r="D314" s="572">
        <f>C314/C315-1</f>
        <v/>
      </c>
      <c r="E314" s="270" t="n">
        <v>57758.47</v>
      </c>
      <c r="F314" s="572">
        <f>E314/E315-1</f>
        <v/>
      </c>
      <c r="G314" s="270" t="n">
        <v>22553.35</v>
      </c>
      <c r="H314" s="572">
        <f>G314/G315-1</f>
        <v/>
      </c>
    </row>
    <row r="315">
      <c r="B315" s="269" t="n">
        <v>45709</v>
      </c>
      <c r="C315" s="270" t="n">
        <v>3179.85</v>
      </c>
      <c r="D315" s="572">
        <f>C315/C316-1</f>
        <v/>
      </c>
      <c r="E315" s="270" t="n">
        <v>58398.81</v>
      </c>
      <c r="F315" s="572">
        <f>E315/E316-1</f>
        <v/>
      </c>
      <c r="G315" s="270" t="n">
        <v>22795.9</v>
      </c>
      <c r="H315" s="572">
        <f>G315/G316-1</f>
        <v/>
      </c>
    </row>
    <row r="316">
      <c r="B316" s="269" t="n">
        <v>45708</v>
      </c>
      <c r="C316" s="270" t="n">
        <v>3106.45</v>
      </c>
      <c r="D316" s="572">
        <f>C316/C317-1</f>
        <v/>
      </c>
      <c r="E316" s="270" t="n">
        <v>58435.58</v>
      </c>
      <c r="F316" s="572">
        <f>E316/E317-1</f>
        <v/>
      </c>
      <c r="G316" s="270" t="n">
        <v>22913.15</v>
      </c>
      <c r="H316" s="572">
        <f>G316/G317-1</f>
        <v/>
      </c>
    </row>
    <row r="317">
      <c r="B317" s="269" t="n">
        <v>45707</v>
      </c>
      <c r="C317" s="270" t="n">
        <v>3087.65</v>
      </c>
      <c r="D317" s="572">
        <f>C317/C318-1</f>
        <v/>
      </c>
      <c r="E317" s="270" t="n">
        <v>57780.05</v>
      </c>
      <c r="F317" s="572">
        <f>E317/E318-1</f>
        <v/>
      </c>
      <c r="G317" s="270" t="n">
        <v>22932.9</v>
      </c>
      <c r="H317" s="572">
        <f>G317/G318-1</f>
        <v/>
      </c>
    </row>
    <row r="318">
      <c r="B318" s="269" t="n">
        <v>45706</v>
      </c>
      <c r="C318" s="270" t="n">
        <v>2845.25</v>
      </c>
      <c r="D318" s="572">
        <f>C318/C319-1</f>
        <v/>
      </c>
      <c r="E318" s="270" t="n">
        <v>56543.09</v>
      </c>
      <c r="F318" s="572">
        <f>E318/E319-1</f>
        <v/>
      </c>
      <c r="G318" s="270" t="n">
        <v>22945.3</v>
      </c>
      <c r="H318" s="572">
        <f>G318/G319-1</f>
        <v/>
      </c>
    </row>
    <row r="319">
      <c r="B319" s="269" t="n">
        <v>45705</v>
      </c>
      <c r="C319" s="270" t="n">
        <v>2843.4</v>
      </c>
      <c r="D319" s="572">
        <f>C319/C320-1</f>
        <v/>
      </c>
      <c r="E319" s="270" t="n">
        <v>57063.92</v>
      </c>
      <c r="F319" s="572">
        <f>E319/E320-1</f>
        <v/>
      </c>
      <c r="G319" s="270" t="n">
        <v>22959.5</v>
      </c>
      <c r="H319" s="572">
        <f>G319/G320-1</f>
        <v/>
      </c>
    </row>
    <row r="320">
      <c r="B320" s="269" t="n">
        <v>45702</v>
      </c>
      <c r="C320" s="270" t="n">
        <v>2732.1</v>
      </c>
      <c r="D320" s="572">
        <f>C320/C321-1</f>
        <v/>
      </c>
      <c r="E320" s="270" t="n">
        <v>57349.1</v>
      </c>
      <c r="F320" s="572">
        <f>E320/E321-1</f>
        <v/>
      </c>
      <c r="G320" s="270" t="n">
        <v>22929.25</v>
      </c>
      <c r="H320" s="572">
        <f>G320/G321-1</f>
        <v/>
      </c>
    </row>
    <row r="321">
      <c r="B321" s="269" t="n">
        <v>45701</v>
      </c>
      <c r="C321" s="270" t="n">
        <v>2812.25</v>
      </c>
      <c r="D321" s="572">
        <f>C321/C322-1</f>
        <v/>
      </c>
      <c r="E321" s="270" t="n">
        <v>58979.79</v>
      </c>
      <c r="F321" s="572">
        <f>E321/E322-1</f>
        <v/>
      </c>
      <c r="G321" s="270" t="n">
        <v>23031.4</v>
      </c>
      <c r="H321" s="572">
        <f>G321/G322-1</f>
        <v/>
      </c>
    </row>
    <row r="322">
      <c r="B322" s="269" t="n">
        <v>45700</v>
      </c>
      <c r="C322" s="270" t="n">
        <v>2669.95</v>
      </c>
      <c r="D322" s="572">
        <f>C322/C323-1</f>
        <v/>
      </c>
      <c r="E322" s="270" t="n">
        <v>58923.77</v>
      </c>
      <c r="F322" s="572">
        <f>E322/E323-1</f>
        <v/>
      </c>
      <c r="G322" s="270" t="n">
        <v>23045.25</v>
      </c>
      <c r="H322" s="572">
        <f>G322/G323-1</f>
        <v/>
      </c>
    </row>
    <row r="323">
      <c r="B323" s="269" t="n">
        <v>45699</v>
      </c>
      <c r="C323" s="270" t="n">
        <v>2688</v>
      </c>
      <c r="D323" s="572">
        <f>C323/C324-1</f>
        <v/>
      </c>
      <c r="E323" s="270" t="n">
        <v>58827.26</v>
      </c>
      <c r="F323" s="572">
        <f>E323/E324-1</f>
        <v/>
      </c>
      <c r="G323" s="270" t="n">
        <v>23071.8</v>
      </c>
      <c r="H323" s="572">
        <f>G323/G324-1</f>
        <v/>
      </c>
    </row>
    <row r="324">
      <c r="B324" s="269" t="n">
        <v>45698</v>
      </c>
      <c r="C324" s="270" t="n">
        <v>2820.95</v>
      </c>
      <c r="D324" s="572">
        <f>C324/C325-1</f>
        <v/>
      </c>
      <c r="E324" s="270" t="n">
        <v>60391.27</v>
      </c>
      <c r="F324" s="572">
        <f>E324/E325-1</f>
        <v/>
      </c>
      <c r="G324" s="270" t="n">
        <v>23381.6</v>
      </c>
      <c r="H324" s="572">
        <f>G324/G325-1</f>
        <v/>
      </c>
    </row>
    <row r="325">
      <c r="B325" s="269" t="n">
        <v>45695</v>
      </c>
      <c r="C325" s="270" t="n">
        <v>2798.7</v>
      </c>
      <c r="D325" s="572">
        <f>C325/C326-1</f>
        <v/>
      </c>
      <c r="E325" s="270" t="n">
        <v>61074.9</v>
      </c>
      <c r="F325" s="572">
        <f>E325/E326-1</f>
        <v/>
      </c>
      <c r="G325" s="270" t="n">
        <v>23559.95</v>
      </c>
      <c r="H325" s="572">
        <f>G325/G326-1</f>
        <v/>
      </c>
    </row>
    <row r="326">
      <c r="B326" s="269" t="n">
        <v>45694</v>
      </c>
      <c r="C326" s="270" t="n">
        <v>2815.65</v>
      </c>
      <c r="D326" s="572">
        <f>C326/C327-1</f>
        <v/>
      </c>
      <c r="E326" s="270" t="n">
        <v>61525.05</v>
      </c>
      <c r="F326" s="572">
        <f>E326/E327-1</f>
        <v/>
      </c>
      <c r="G326" s="270" t="n">
        <v>23603.35</v>
      </c>
      <c r="H326" s="572">
        <f>G326/G327-1</f>
        <v/>
      </c>
    </row>
    <row r="327">
      <c r="B327" s="269" t="n">
        <v>45693</v>
      </c>
      <c r="C327" s="270" t="n">
        <v>2832.15</v>
      </c>
      <c r="D327" s="572">
        <f>C327/C328-1</f>
        <v/>
      </c>
      <c r="E327" s="270" t="n">
        <v>62048.08</v>
      </c>
      <c r="F327" s="572">
        <f>E327/E328-1</f>
        <v/>
      </c>
      <c r="G327" s="270" t="n">
        <v>23696.3</v>
      </c>
      <c r="H327" s="572">
        <f>G327/G328-1</f>
        <v/>
      </c>
    </row>
    <row r="328">
      <c r="B328" s="269" t="n">
        <v>45692</v>
      </c>
      <c r="C328" s="270" t="n">
        <v>2835.3</v>
      </c>
      <c r="D328" s="572">
        <f>C328/C329-1</f>
        <v/>
      </c>
      <c r="E328" s="270" t="n">
        <v>61947.54</v>
      </c>
      <c r="F328" s="572">
        <f>E328/E329-1</f>
        <v/>
      </c>
      <c r="G328" s="270" t="n">
        <v>23739.25</v>
      </c>
      <c r="H328" s="572">
        <f>G328/G329-1</f>
        <v/>
      </c>
    </row>
    <row r="329">
      <c r="B329" s="269" t="n">
        <v>45691</v>
      </c>
      <c r="C329" s="270" t="n">
        <v>2938.2</v>
      </c>
      <c r="D329" s="572">
        <f>C329/C330-1</f>
        <v/>
      </c>
      <c r="E329" s="270" t="n">
        <v>59898.65</v>
      </c>
      <c r="F329" s="572">
        <f>E329/E330-1</f>
        <v/>
      </c>
      <c r="G329" s="270" t="n">
        <v>23361.05</v>
      </c>
      <c r="H329" s="572">
        <f>G329/G330-1</f>
        <v/>
      </c>
    </row>
    <row r="330">
      <c r="B330" s="269" t="n">
        <v>45689</v>
      </c>
      <c r="C330" s="270" t="n">
        <v>3027.8</v>
      </c>
      <c r="D330" s="572">
        <f>C330/C331-1</f>
        <v/>
      </c>
      <c r="E330" s="270" t="n">
        <v>62581.73</v>
      </c>
      <c r="F330" s="572">
        <f>E330/E331-1</f>
        <v/>
      </c>
      <c r="G330" s="270" t="n">
        <v>23482.15</v>
      </c>
      <c r="H330" s="572">
        <f>G330/G331-1</f>
        <v/>
      </c>
    </row>
    <row r="331">
      <c r="B331" s="269" t="n">
        <v>45688</v>
      </c>
      <c r="C331" s="270" t="n">
        <v>2824.6</v>
      </c>
      <c r="D331" s="572">
        <f>C331/C332-1</f>
        <v/>
      </c>
      <c r="E331" s="270" t="n">
        <v>64529.77</v>
      </c>
      <c r="F331" s="572">
        <f>E331/E332-1</f>
        <v/>
      </c>
      <c r="G331" s="270" t="n">
        <v>23508.4</v>
      </c>
      <c r="H331" s="572">
        <f>G331/G332-1</f>
        <v/>
      </c>
    </row>
    <row r="332">
      <c r="B332" s="269" t="n">
        <v>45687</v>
      </c>
      <c r="C332" s="270" t="n">
        <v>2994.3</v>
      </c>
      <c r="D332" s="572">
        <f>C332/C333-1</f>
        <v/>
      </c>
      <c r="E332" s="270" t="n">
        <v>62112.3</v>
      </c>
      <c r="F332" s="572">
        <f>E332/E333-1</f>
        <v/>
      </c>
      <c r="G332" s="270" t="n">
        <v>23249.5</v>
      </c>
      <c r="H332" s="572">
        <f>G332/G333-1</f>
        <v/>
      </c>
    </row>
    <row r="333">
      <c r="B333" s="269" t="n">
        <v>45686</v>
      </c>
      <c r="C333" s="270" t="n">
        <v>3063.95</v>
      </c>
      <c r="D333" s="572">
        <f>C333/C334-1</f>
        <v/>
      </c>
      <c r="E333" s="270" t="n">
        <v>61759.35</v>
      </c>
      <c r="F333" s="572">
        <f>E333/E334-1</f>
        <v/>
      </c>
      <c r="G333" s="270" t="n">
        <v>23163.1</v>
      </c>
      <c r="H333" s="572">
        <f>G333/G334-1</f>
        <v/>
      </c>
    </row>
    <row r="334">
      <c r="B334" s="269" t="n">
        <v>45685</v>
      </c>
      <c r="C334" s="270" t="n">
        <v>2961.2</v>
      </c>
      <c r="D334" s="572">
        <f>C334/C335-1</f>
        <v/>
      </c>
      <c r="E334" s="270" t="n">
        <v>60136.27</v>
      </c>
      <c r="F334" s="572">
        <f>E334/E335-1</f>
        <v/>
      </c>
      <c r="G334" s="270" t="n">
        <v>22957.25</v>
      </c>
      <c r="H334" s="572">
        <f>G334/G335-1</f>
        <v/>
      </c>
    </row>
    <row r="335">
      <c r="B335" s="269" t="n">
        <v>45684</v>
      </c>
      <c r="C335" s="270" t="n">
        <v>2838.35</v>
      </c>
      <c r="D335" s="572">
        <f>C335/C336-1</f>
        <v/>
      </c>
      <c r="E335" s="270" t="n">
        <v>61101.85</v>
      </c>
      <c r="F335" s="572">
        <f>E335/E336-1</f>
        <v/>
      </c>
      <c r="G335" s="270" t="n">
        <v>22829.15</v>
      </c>
      <c r="H335" s="572">
        <f>G335/G336-1</f>
        <v/>
      </c>
    </row>
    <row r="336">
      <c r="B336" s="269" t="n">
        <v>45681</v>
      </c>
      <c r="C336" s="270" t="n">
        <v>2950.9</v>
      </c>
      <c r="D336" s="572">
        <f>C336/C337-1</f>
        <v/>
      </c>
      <c r="E336" s="270" t="n">
        <v>62231.16</v>
      </c>
      <c r="F336" s="572">
        <f>E336/E337-1</f>
        <v/>
      </c>
      <c r="G336" s="270" t="n">
        <v>23092.2</v>
      </c>
      <c r="H336" s="572">
        <f>G336/G337-1</f>
        <v/>
      </c>
    </row>
    <row r="337">
      <c r="B337" s="269" t="n">
        <v>45680</v>
      </c>
      <c r="C337" s="270" t="n">
        <v>3073.5</v>
      </c>
      <c r="D337" s="572">
        <f>C337/C338-1</f>
        <v/>
      </c>
      <c r="E337" s="270" t="n">
        <v>63429.75</v>
      </c>
      <c r="F337" s="572">
        <f>E337/E338-1</f>
        <v/>
      </c>
      <c r="G337" s="270" t="n">
        <v>23205.35</v>
      </c>
      <c r="H337" s="572">
        <f>G337/G338-1</f>
        <v/>
      </c>
    </row>
    <row r="338">
      <c r="B338" s="269" t="n">
        <v>45679</v>
      </c>
      <c r="C338" s="270" t="n">
        <v>3027.1</v>
      </c>
      <c r="D338" s="572">
        <f>C338/C339-1</f>
        <v/>
      </c>
      <c r="E338" s="270" t="n">
        <v>63215.31</v>
      </c>
      <c r="F338" s="572">
        <f>E338/E339-1</f>
        <v/>
      </c>
      <c r="G338" s="270" t="n">
        <v>23155.35</v>
      </c>
      <c r="H338" s="572">
        <f>G338/G339-1</f>
        <v/>
      </c>
    </row>
    <row r="339">
      <c r="B339" s="269" t="n">
        <v>45678</v>
      </c>
      <c r="C339" s="270" t="n">
        <v>3024.45</v>
      </c>
      <c r="D339" s="572">
        <f>C339/C340-1</f>
        <v/>
      </c>
      <c r="E339" s="270" t="n">
        <v>64384.37</v>
      </c>
      <c r="F339" s="572">
        <f>E339/E340-1</f>
        <v/>
      </c>
      <c r="G339" s="270" t="n">
        <v>23024.65</v>
      </c>
      <c r="H339" s="572">
        <f>G339/G340-1</f>
        <v/>
      </c>
    </row>
    <row r="340">
      <c r="B340" s="269" t="n">
        <v>45677</v>
      </c>
      <c r="C340" s="270" t="n">
        <v>3114</v>
      </c>
      <c r="D340" s="572">
        <f>C340/C341-1</f>
        <v/>
      </c>
      <c r="E340" s="270" t="n">
        <v>65807.60000000001</v>
      </c>
      <c r="F340" s="572">
        <f>E340/E341-1</f>
        <v/>
      </c>
      <c r="G340" s="270" t="n">
        <v>23344.75</v>
      </c>
      <c r="H340" s="572">
        <f>G340/G341-1</f>
        <v/>
      </c>
    </row>
    <row r="341">
      <c r="B341" s="269" t="n">
        <v>45674</v>
      </c>
      <c r="C341" s="270" t="n">
        <v>3100.4</v>
      </c>
      <c r="D341" s="572">
        <f>C341/C342-1</f>
        <v/>
      </c>
      <c r="E341" s="270" t="n">
        <v>65179.63</v>
      </c>
      <c r="F341" s="572">
        <f>E341/E342-1</f>
        <v/>
      </c>
      <c r="G341" s="270" t="n">
        <v>23203.2</v>
      </c>
      <c r="H341" s="572">
        <f>G341/G342-1</f>
        <v/>
      </c>
    </row>
    <row r="342">
      <c r="B342" s="269" t="n">
        <v>45673</v>
      </c>
      <c r="C342" s="270" t="n">
        <v>3097.55</v>
      </c>
      <c r="D342" s="572">
        <f>C342/C343-1</f>
        <v/>
      </c>
      <c r="E342" s="270" t="n">
        <v>64158.49</v>
      </c>
      <c r="F342" s="572">
        <f>E342/E343-1</f>
        <v/>
      </c>
      <c r="G342" s="270" t="n">
        <v>23311.8</v>
      </c>
      <c r="H342" s="572">
        <f>G342/G343-1</f>
        <v/>
      </c>
    </row>
    <row r="343">
      <c r="B343" s="269" t="n">
        <v>45672</v>
      </c>
      <c r="C343" s="270" t="n">
        <v>3044.4</v>
      </c>
      <c r="D343" s="572">
        <f>C343/C344-1</f>
        <v/>
      </c>
      <c r="E343" s="270" t="n">
        <v>63175.87</v>
      </c>
      <c r="F343" s="572">
        <f>E343/E344-1</f>
        <v/>
      </c>
      <c r="G343" s="270" t="n">
        <v>23213.2</v>
      </c>
      <c r="H343" s="572">
        <f>G343/G344-1</f>
        <v/>
      </c>
    </row>
    <row r="344">
      <c r="B344" s="269" t="n">
        <v>45671</v>
      </c>
      <c r="C344" s="270" t="n">
        <v>3118.75</v>
      </c>
      <c r="D344" s="572">
        <f>C344/C345-1</f>
        <v/>
      </c>
      <c r="E344" s="270" t="n">
        <v>62951.74</v>
      </c>
      <c r="F344" s="572">
        <f>E344/E345-1</f>
        <v/>
      </c>
      <c r="G344" s="270" t="n">
        <v>23176.05</v>
      </c>
      <c r="H344" s="572">
        <f>G344/G345-1</f>
        <v/>
      </c>
    </row>
    <row r="345">
      <c r="B345" s="269" t="n">
        <v>45670</v>
      </c>
      <c r="C345" s="270" t="n">
        <v>2892.2</v>
      </c>
      <c r="D345" s="572">
        <f>C345/C346-1</f>
        <v/>
      </c>
      <c r="E345" s="270" t="n">
        <v>61931.11</v>
      </c>
      <c r="F345" s="572">
        <f>E345/E346-1</f>
        <v/>
      </c>
      <c r="G345" s="270" t="n">
        <v>23085.95</v>
      </c>
      <c r="H345" s="572">
        <f>G345/G346-1</f>
        <v/>
      </c>
    </row>
    <row r="346">
      <c r="B346" s="269" t="n">
        <v>45667</v>
      </c>
      <c r="C346" s="270" t="n">
        <v>3092.7</v>
      </c>
      <c r="D346" s="572">
        <f>C346/C347-1</f>
        <v/>
      </c>
      <c r="E346" s="270" t="n">
        <v>64232.65</v>
      </c>
      <c r="F346" s="572">
        <f>E346/E347-1</f>
        <v/>
      </c>
      <c r="G346" s="270" t="n">
        <v>23431.5</v>
      </c>
      <c r="H346" s="572">
        <f>G346/G347-1</f>
        <v/>
      </c>
    </row>
    <row r="347">
      <c r="B347" s="269" t="n">
        <v>45666</v>
      </c>
      <c r="C347" s="270" t="n">
        <v>3293.65</v>
      </c>
      <c r="D347" s="572">
        <f>C347/C348-1</f>
        <v/>
      </c>
      <c r="E347" s="270" t="n">
        <v>65355.69</v>
      </c>
      <c r="F347" s="572">
        <f>E347/E348-1</f>
        <v/>
      </c>
      <c r="G347" s="270" t="n">
        <v>23526.5</v>
      </c>
      <c r="H347" s="572">
        <f>G347/G348-1</f>
        <v/>
      </c>
    </row>
    <row r="348">
      <c r="B348" s="269" t="n">
        <v>45665</v>
      </c>
      <c r="C348" s="270" t="n">
        <v>3426.65</v>
      </c>
      <c r="D348" s="572">
        <f>C348/C349-1</f>
        <v/>
      </c>
      <c r="E348" s="270" t="n">
        <v>66375.31</v>
      </c>
      <c r="F348" s="572">
        <f>E348/E349-1</f>
        <v/>
      </c>
      <c r="G348" s="270" t="n">
        <v>23688.95</v>
      </c>
      <c r="H348" s="572">
        <f>G348/G349-1</f>
        <v/>
      </c>
    </row>
    <row r="349">
      <c r="B349" s="269" t="n">
        <v>45664</v>
      </c>
      <c r="C349" s="270" t="n">
        <v>3492.85</v>
      </c>
      <c r="D349" s="572">
        <f>C349/C350-1</f>
        <v/>
      </c>
      <c r="E349" s="270" t="n">
        <v>67277.50999999999</v>
      </c>
      <c r="F349" s="572">
        <f>E349/E350-1</f>
        <v/>
      </c>
      <c r="G349" s="270" t="n">
        <v>23707.9</v>
      </c>
      <c r="H349" s="572">
        <f>G349/G350-1</f>
        <v/>
      </c>
    </row>
    <row r="350">
      <c r="B350" s="269" t="n">
        <v>45663</v>
      </c>
      <c r="C350" s="270" t="n">
        <v>3435.85</v>
      </c>
      <c r="D350" s="572">
        <f>C350/C351-1</f>
        <v/>
      </c>
      <c r="E350" s="270" t="n">
        <v>66521.96000000001</v>
      </c>
      <c r="F350" s="572">
        <f>E350/E351-1</f>
        <v/>
      </c>
      <c r="G350" s="270" t="n">
        <v>23616.05</v>
      </c>
      <c r="H350" s="572">
        <f>G350/G351-1</f>
        <v/>
      </c>
    </row>
    <row r="351">
      <c r="B351" s="269" t="n">
        <v>45660</v>
      </c>
      <c r="C351" s="270" t="n">
        <v>3516.25</v>
      </c>
      <c r="D351" s="572">
        <f>C351/C352-1</f>
        <v/>
      </c>
      <c r="E351" s="270" t="n">
        <v>68211.21000000001</v>
      </c>
      <c r="F351" s="572">
        <f>E351/E352-1</f>
        <v/>
      </c>
      <c r="G351" s="270" t="n">
        <v>24004.75</v>
      </c>
      <c r="H351" s="572">
        <f>G351/G352-1</f>
        <v/>
      </c>
    </row>
    <row r="352">
      <c r="B352" s="269" t="n">
        <v>45659</v>
      </c>
      <c r="C352" s="270" t="n">
        <v>3542.8</v>
      </c>
      <c r="D352" s="572">
        <f>C352/C353-1</f>
        <v/>
      </c>
      <c r="E352" s="270" t="n">
        <v>68938.92</v>
      </c>
      <c r="F352" s="572">
        <f>E352/E353-1</f>
        <v/>
      </c>
      <c r="G352" s="270" t="n">
        <v>24188.65</v>
      </c>
      <c r="H352" s="572">
        <f>G352/G353-1</f>
        <v/>
      </c>
    </row>
    <row r="353">
      <c r="B353" s="269" t="n">
        <v>45658</v>
      </c>
      <c r="C353" s="270" t="n">
        <v>3491.75</v>
      </c>
      <c r="D353" s="572">
        <f>C353/C354-1</f>
        <v/>
      </c>
      <c r="E353" s="270" t="n">
        <v>68604.11</v>
      </c>
      <c r="F353" s="572">
        <f>E353/E354-1</f>
        <v/>
      </c>
      <c r="G353" s="270" t="n">
        <v>23742.9</v>
      </c>
      <c r="H353" s="572">
        <f>G353/G354-1</f>
        <v/>
      </c>
    </row>
    <row r="354">
      <c r="B354" s="269" t="n">
        <v>45657</v>
      </c>
      <c r="C354" s="270" t="n">
        <v>3498.65</v>
      </c>
      <c r="D354" s="572">
        <f>C354/C355-1</f>
        <v/>
      </c>
      <c r="E354" s="270" t="n">
        <v>67779.5</v>
      </c>
      <c r="F354" s="572">
        <f>E354/E355-1</f>
        <v/>
      </c>
      <c r="G354" s="270" t="n">
        <v>23644.8</v>
      </c>
      <c r="H354" s="572">
        <f>G354/G355-1</f>
        <v/>
      </c>
    </row>
    <row r="355">
      <c r="B355" s="269" t="n">
        <v>45656</v>
      </c>
      <c r="C355" s="270" t="n">
        <v>3473.55</v>
      </c>
      <c r="D355" s="572">
        <f>C355/C356-1</f>
        <v/>
      </c>
      <c r="E355" s="270" t="n">
        <v>66904.27</v>
      </c>
      <c r="F355" s="572">
        <f>E355/E356-1</f>
        <v/>
      </c>
      <c r="G355" s="270" t="n">
        <v>23644.9</v>
      </c>
      <c r="H355" s="572">
        <f>G355/G356-1</f>
        <v/>
      </c>
    </row>
    <row r="356">
      <c r="B356" s="269" t="n">
        <v>45653</v>
      </c>
      <c r="C356" s="270" t="n">
        <v>3442.6</v>
      </c>
      <c r="D356" s="572">
        <f>C356/C357-1</f>
        <v/>
      </c>
      <c r="E356" s="270" t="n">
        <v>68160.14999999999</v>
      </c>
      <c r="F356" s="572">
        <f>E356/E357-1</f>
        <v/>
      </c>
      <c r="G356" s="270" t="n">
        <v>23813.4</v>
      </c>
      <c r="H356" s="572">
        <f>G356/G357-1</f>
        <v/>
      </c>
    </row>
    <row r="357">
      <c r="B357" s="269" t="n">
        <v>45652</v>
      </c>
      <c r="C357" s="270" t="n">
        <v>3499.65</v>
      </c>
      <c r="D357" s="572">
        <f>C357/C358-1</f>
        <v/>
      </c>
      <c r="E357" s="270" t="n">
        <v>68576.74000000001</v>
      </c>
      <c r="F357" s="572">
        <f>E357/E358-1</f>
        <v/>
      </c>
      <c r="G357" s="270" t="n">
        <v>23750.2</v>
      </c>
      <c r="H357" s="572">
        <f>G357/G358-1</f>
        <v/>
      </c>
    </row>
    <row r="358">
      <c r="B358" s="269" t="n">
        <v>45650</v>
      </c>
      <c r="C358" s="270" t="n">
        <v>3381.95</v>
      </c>
      <c r="D358" s="572">
        <f>C358/C359-1</f>
        <v/>
      </c>
      <c r="E358" s="270" t="n">
        <v>68551.06</v>
      </c>
      <c r="F358" s="572">
        <f>E358/E359-1</f>
        <v/>
      </c>
      <c r="G358" s="270" t="n">
        <v>23727.65</v>
      </c>
      <c r="H358" s="572">
        <f>G358/G359-1</f>
        <v/>
      </c>
    </row>
    <row r="359">
      <c r="B359" s="269" t="n">
        <v>45649</v>
      </c>
      <c r="C359" s="270" t="n">
        <v>3427.25</v>
      </c>
      <c r="D359" s="572">
        <f>C359/C360-1</f>
        <v/>
      </c>
      <c r="E359" s="270" t="n">
        <v>68616.42</v>
      </c>
      <c r="F359" s="572">
        <f>E359/E360-1</f>
        <v/>
      </c>
      <c r="G359" s="270" t="n">
        <v>23753.45</v>
      </c>
      <c r="H359" s="572">
        <f>G359/G360-1</f>
        <v/>
      </c>
    </row>
    <row r="360">
      <c r="B360" s="269" t="n">
        <v>45646</v>
      </c>
      <c r="C360" s="270" t="n">
        <v>3421.45</v>
      </c>
      <c r="D360" s="572">
        <f>C360/C361-1</f>
        <v/>
      </c>
      <c r="E360" s="270" t="n">
        <v>68557.39999999999</v>
      </c>
      <c r="F360" s="572">
        <f>E360/E361-1</f>
        <v/>
      </c>
      <c r="G360" s="270" t="n">
        <v>23587.5</v>
      </c>
      <c r="H360" s="572">
        <f>G360/G361-1</f>
        <v/>
      </c>
    </row>
    <row r="361">
      <c r="B361" s="269" t="n">
        <v>45645</v>
      </c>
      <c r="C361" s="270" t="n">
        <v>3445.3</v>
      </c>
      <c r="D361" s="572">
        <f>C361/C362-1</f>
        <v/>
      </c>
      <c r="E361" s="270" t="n">
        <v>70695.45</v>
      </c>
      <c r="F361" s="572">
        <f>E361/E362-1</f>
        <v/>
      </c>
      <c r="G361" s="270" t="n">
        <v>23951.7</v>
      </c>
      <c r="H361" s="572">
        <f>G361/G362-1</f>
        <v/>
      </c>
    </row>
    <row r="362">
      <c r="B362" s="269" t="n">
        <v>45644</v>
      </c>
      <c r="C362" s="270" t="n">
        <v>3397.9</v>
      </c>
      <c r="D362" s="572">
        <f>C362/C363-1</f>
        <v/>
      </c>
      <c r="E362" s="270" t="n">
        <v>71462.08</v>
      </c>
      <c r="F362" s="572">
        <f>E362/E363-1</f>
        <v/>
      </c>
      <c r="G362" s="270" t="n">
        <v>24198.85</v>
      </c>
      <c r="H362" s="572">
        <f>G362/G363-1</f>
        <v/>
      </c>
    </row>
    <row r="363">
      <c r="B363" s="269" t="n">
        <v>45643</v>
      </c>
      <c r="C363" s="270" t="n">
        <v>3615.1</v>
      </c>
      <c r="D363" s="572">
        <f>C363/C364-1</f>
        <v/>
      </c>
      <c r="E363" s="270" t="n">
        <v>72597.2</v>
      </c>
      <c r="F363" s="572">
        <f>E363/E364-1</f>
        <v/>
      </c>
      <c r="G363" s="270" t="n">
        <v>24336</v>
      </c>
      <c r="H363" s="572">
        <f>G363/G364-1</f>
        <v/>
      </c>
    </row>
    <row r="364">
      <c r="B364" s="269" t="n">
        <v>45642</v>
      </c>
      <c r="C364" s="270" t="n">
        <v>3679.6</v>
      </c>
      <c r="D364" s="572">
        <f>C364/C365-1</f>
        <v/>
      </c>
      <c r="E364" s="270" t="n">
        <v>73345.09</v>
      </c>
      <c r="F364" s="572">
        <f>E364/E365-1</f>
        <v/>
      </c>
      <c r="G364" s="270" t="n">
        <v>24668.25</v>
      </c>
      <c r="H364" s="572">
        <f>G364/G365-1</f>
        <v/>
      </c>
    </row>
    <row r="365">
      <c r="B365" s="269" t="n">
        <v>45639</v>
      </c>
      <c r="C365" s="270" t="n">
        <v>3730.55</v>
      </c>
      <c r="D365" s="572">
        <f>C365/C366-1</f>
        <v/>
      </c>
      <c r="E365" s="270" t="n">
        <v>73065.89</v>
      </c>
      <c r="F365" s="572">
        <f>E365/E366-1</f>
        <v/>
      </c>
      <c r="G365" s="270" t="n">
        <v>24768.3</v>
      </c>
      <c r="H365" s="572">
        <f>G365/G366-1</f>
        <v/>
      </c>
    </row>
    <row r="366">
      <c r="B366" s="269" t="n">
        <v>45638</v>
      </c>
      <c r="C366" s="270" t="n">
        <v>3741.75</v>
      </c>
      <c r="D366" s="572">
        <f>C366/C367-1</f>
        <v/>
      </c>
      <c r="E366" s="270" t="n">
        <v>72932.67999999999</v>
      </c>
      <c r="F366" s="572">
        <f>E366/E367-1</f>
        <v/>
      </c>
      <c r="G366" s="270" t="n">
        <v>24548.7</v>
      </c>
      <c r="H366" s="572">
        <f>G366/G367-1</f>
        <v/>
      </c>
    </row>
    <row r="367">
      <c r="B367" s="269" t="n">
        <v>45637</v>
      </c>
      <c r="C367" s="270" t="n">
        <v>3628.6</v>
      </c>
      <c r="D367" s="572">
        <f>C367/C368-1</f>
        <v/>
      </c>
      <c r="E367" s="270" t="n">
        <v>73519.41</v>
      </c>
      <c r="F367" s="572">
        <f>E367/E368-1</f>
        <v/>
      </c>
      <c r="G367" s="270" t="n">
        <v>24641.8</v>
      </c>
      <c r="H367" s="572">
        <f>G367/G368-1</f>
        <v/>
      </c>
    </row>
    <row r="368">
      <c r="B368" s="269" t="n">
        <v>45636</v>
      </c>
      <c r="C368" s="270" t="n">
        <v>3576.05</v>
      </c>
      <c r="D368" s="572">
        <f>C368/C369-1</f>
        <v/>
      </c>
      <c r="E368" s="270" t="n">
        <v>73346.25</v>
      </c>
      <c r="F368" s="572">
        <f>E368/E369-1</f>
        <v/>
      </c>
      <c r="G368" s="270" t="n">
        <v>24610.05</v>
      </c>
      <c r="H368" s="572">
        <f>G368/G369-1</f>
        <v/>
      </c>
    </row>
    <row r="369">
      <c r="B369" s="269" t="n">
        <v>45635</v>
      </c>
      <c r="C369" s="270" t="n">
        <v>3686.9</v>
      </c>
      <c r="D369" s="572">
        <f>C369/C370-1</f>
        <v/>
      </c>
      <c r="E369" s="270" t="n">
        <v>73601.8</v>
      </c>
      <c r="F369" s="572">
        <f>E369/E370-1</f>
        <v/>
      </c>
      <c r="G369" s="270" t="n">
        <v>24619</v>
      </c>
      <c r="H369" s="572">
        <f>G369/G370-1</f>
        <v/>
      </c>
    </row>
    <row r="370">
      <c r="B370" s="269" t="n">
        <v>45632</v>
      </c>
      <c r="C370" s="270" t="n">
        <v>3597.6</v>
      </c>
      <c r="D370" s="572">
        <f>C370/C371-1</f>
        <v/>
      </c>
      <c r="E370" s="270" t="n">
        <v>72814.67999999999</v>
      </c>
      <c r="F370" s="572">
        <f>E370/E371-1</f>
        <v/>
      </c>
      <c r="G370" s="270" t="n">
        <v>24677.8</v>
      </c>
      <c r="H370" s="572">
        <f>G370/G371-1</f>
        <v/>
      </c>
    </row>
    <row r="371">
      <c r="B371" s="269" t="n">
        <v>45631</v>
      </c>
      <c r="C371" s="270" t="n">
        <v>3634.9</v>
      </c>
      <c r="D371" s="572">
        <f>C371/C372-1</f>
        <v/>
      </c>
      <c r="E371" s="270" t="n">
        <v>72612.92</v>
      </c>
      <c r="F371" s="572">
        <f>E371/E372-1</f>
        <v/>
      </c>
      <c r="G371" s="270" t="n">
        <v>24708.4</v>
      </c>
      <c r="H371" s="572">
        <f>G371/G372-1</f>
        <v/>
      </c>
    </row>
    <row r="372">
      <c r="B372" s="269" t="n">
        <v>45630</v>
      </c>
      <c r="C372" s="270" t="n">
        <v>3702.55</v>
      </c>
      <c r="D372" s="572">
        <f>C372/C373-1</f>
        <v/>
      </c>
      <c r="E372" s="270" t="n">
        <v>72231.45</v>
      </c>
      <c r="F372" s="572">
        <f>E372/E373-1</f>
        <v/>
      </c>
      <c r="G372" s="270" t="n">
        <v>24467.45</v>
      </c>
      <c r="H372" s="572">
        <f>G372/G373-1</f>
        <v/>
      </c>
    </row>
    <row r="373">
      <c r="B373" s="269" t="n">
        <v>45629</v>
      </c>
      <c r="C373" s="270" t="n">
        <v>3562.7</v>
      </c>
      <c r="D373" s="572">
        <f>C373/C374-1</f>
        <v/>
      </c>
      <c r="E373" s="270" t="n">
        <v>71834.69</v>
      </c>
      <c r="F373" s="572">
        <f>E373/E374-1</f>
        <v/>
      </c>
      <c r="G373" s="270" t="n">
        <v>24457.15</v>
      </c>
      <c r="H373" s="572">
        <f>G373/G374-1</f>
        <v/>
      </c>
    </row>
    <row r="374">
      <c r="B374" s="269" t="n">
        <v>45628</v>
      </c>
      <c r="C374" s="270" t="n">
        <v>3595.2</v>
      </c>
      <c r="D374" s="572">
        <f>C374/C375-1</f>
        <v/>
      </c>
      <c r="E374" s="270" t="n">
        <v>70962.89999999999</v>
      </c>
      <c r="F374" s="572">
        <f>E374/E375-1</f>
        <v/>
      </c>
      <c r="G374" s="270" t="n">
        <v>24276.05</v>
      </c>
      <c r="H374" s="572">
        <f>G374/G375-1</f>
        <v/>
      </c>
    </row>
    <row r="375">
      <c r="B375" s="269" t="n">
        <v>45625</v>
      </c>
      <c r="C375" s="270" t="n">
        <v>3655.15</v>
      </c>
      <c r="D375" s="572">
        <f>C375/C376-1</f>
        <v/>
      </c>
      <c r="E375" s="270" t="n">
        <v>70700.25999999999</v>
      </c>
      <c r="F375" s="572">
        <f>E375/E376-1</f>
        <v/>
      </c>
      <c r="G375" s="270" t="n">
        <v>24131.1</v>
      </c>
      <c r="H375" s="572">
        <f>G375/G376-1</f>
        <v/>
      </c>
    </row>
    <row r="376">
      <c r="B376" s="269" t="n">
        <v>45624</v>
      </c>
      <c r="C376" s="270" t="n">
        <v>3480.4</v>
      </c>
      <c r="D376" s="572">
        <f>C376/C377-1</f>
        <v/>
      </c>
      <c r="E376" s="270" t="n">
        <v>70167.37</v>
      </c>
      <c r="F376" s="572">
        <f>E376/E377-1</f>
        <v/>
      </c>
      <c r="G376" s="270" t="n">
        <v>23914.15</v>
      </c>
      <c r="H376" s="572">
        <f>G376/G377-1</f>
        <v/>
      </c>
    </row>
    <row r="377">
      <c r="B377" s="269" t="n">
        <v>45623</v>
      </c>
      <c r="C377" s="270" t="n">
        <v>3470.75</v>
      </c>
      <c r="D377" s="572">
        <f>C377/C378-1</f>
        <v/>
      </c>
      <c r="E377" s="270" t="n">
        <v>70332.46000000001</v>
      </c>
      <c r="F377" s="572">
        <f>E377/E378-1</f>
        <v/>
      </c>
      <c r="G377" s="270" t="n">
        <v>24274.9</v>
      </c>
      <c r="H377" s="572">
        <f>G377/G378-1</f>
        <v/>
      </c>
    </row>
    <row r="378">
      <c r="B378" s="269" t="n">
        <v>45622</v>
      </c>
      <c r="C378" s="270" t="n">
        <v>3578.3</v>
      </c>
      <c r="D378" s="572">
        <f>C378/C379-1</f>
        <v/>
      </c>
      <c r="E378" s="270" t="n">
        <v>69547.61</v>
      </c>
      <c r="F378" s="572">
        <f>E378/E379-1</f>
        <v/>
      </c>
      <c r="G378" s="270" t="n">
        <v>24194.5</v>
      </c>
      <c r="H378" s="572">
        <f>G378/G379-1</f>
        <v/>
      </c>
    </row>
    <row r="379">
      <c r="B379" s="269" t="n">
        <v>45621</v>
      </c>
      <c r="C379" s="270" t="n">
        <v>3679.45</v>
      </c>
      <c r="D379" s="572">
        <f>C379/C380-1</f>
        <v/>
      </c>
      <c r="E379" s="270" t="n">
        <v>69622.05</v>
      </c>
      <c r="F379" s="572">
        <f>E379/E380-1</f>
        <v/>
      </c>
      <c r="G379" s="270" t="n">
        <v>24221.9</v>
      </c>
      <c r="H379" s="572">
        <f>G379/G380-1</f>
        <v/>
      </c>
    </row>
    <row r="380">
      <c r="B380" s="269" t="n">
        <v>45618</v>
      </c>
      <c r="C380" s="270" t="n">
        <v>3434.25</v>
      </c>
      <c r="D380" s="572">
        <f>C380/C381-1</f>
        <v/>
      </c>
      <c r="E380" s="270" t="n">
        <v>67417.28</v>
      </c>
      <c r="F380" s="572">
        <f>E380/E381-1</f>
        <v/>
      </c>
      <c r="G380" s="270" t="n">
        <v>23907.25</v>
      </c>
      <c r="H380" s="572">
        <f>G380/G381-1</f>
        <v/>
      </c>
    </row>
    <row r="381">
      <c r="B381" s="269" t="n">
        <v>45617</v>
      </c>
      <c r="C381" s="270" t="n">
        <v>3488.35</v>
      </c>
      <c r="D381" s="572">
        <f>C381/C382-1</f>
        <v/>
      </c>
      <c r="E381" s="270" t="n">
        <v>65862.63</v>
      </c>
      <c r="F381" s="572">
        <f>E381/E382-1</f>
        <v/>
      </c>
      <c r="G381" s="270" t="n">
        <v>23349.9</v>
      </c>
      <c r="H381" s="572">
        <f>G381/G382-1</f>
        <v/>
      </c>
    </row>
    <row r="382">
      <c r="B382" s="269" t="n">
        <v>45615</v>
      </c>
      <c r="C382" s="270" t="n">
        <v>3413.85</v>
      </c>
      <c r="D382" s="572">
        <f>C382/C383-1</f>
        <v/>
      </c>
      <c r="E382" s="270" t="n">
        <v>66327.89999999999</v>
      </c>
      <c r="F382" s="572">
        <f>E382/E383-1</f>
        <v/>
      </c>
      <c r="G382" s="270" t="n">
        <v>23518.5</v>
      </c>
      <c r="H382" s="572">
        <f>G382/G383-1</f>
        <v/>
      </c>
    </row>
    <row r="383">
      <c r="B383" s="269" t="n">
        <v>45614</v>
      </c>
      <c r="C383" s="270" t="n">
        <v>3270.8</v>
      </c>
      <c r="D383" s="572">
        <f>C383/C384-1</f>
        <v/>
      </c>
      <c r="E383" s="270" t="n">
        <v>66067.53999999999</v>
      </c>
      <c r="F383" s="572">
        <f>E383/E384-1</f>
        <v/>
      </c>
      <c r="G383" s="270" t="n">
        <v>23453.8</v>
      </c>
      <c r="H383" s="572">
        <f>G383/G384-1</f>
        <v/>
      </c>
    </row>
    <row r="384">
      <c r="B384" s="269" t="n">
        <v>45610</v>
      </c>
      <c r="C384" s="270" t="n">
        <v>3534.35</v>
      </c>
      <c r="D384" s="572">
        <f>C384/C385-1</f>
        <v/>
      </c>
      <c r="E384" s="270" t="n">
        <v>66026.23</v>
      </c>
      <c r="F384" s="572">
        <f>E384/E385-1</f>
        <v/>
      </c>
      <c r="G384" s="270" t="n">
        <v>23532.7</v>
      </c>
      <c r="H384" s="572">
        <f>G384/G385-1</f>
        <v/>
      </c>
    </row>
    <row r="385">
      <c r="B385" s="269" t="n">
        <v>45609</v>
      </c>
      <c r="C385" s="270" t="n">
        <v>3243.85</v>
      </c>
      <c r="D385" s="572">
        <f>C385/C386-1</f>
        <v/>
      </c>
      <c r="E385" s="270" t="n">
        <v>65927.52</v>
      </c>
      <c r="F385" s="572">
        <f>E385/E386-1</f>
        <v/>
      </c>
      <c r="G385" s="270" t="n">
        <v>23559.05</v>
      </c>
      <c r="H385" s="572">
        <f>G385/G386-1</f>
        <v/>
      </c>
    </row>
    <row r="386">
      <c r="B386" s="269" t="n">
        <v>45608</v>
      </c>
      <c r="C386" s="270" t="n">
        <v>3500.05</v>
      </c>
      <c r="D386" s="572">
        <f>C386/C387-1</f>
        <v/>
      </c>
      <c r="E386" s="270" t="n">
        <v>67767.53</v>
      </c>
      <c r="F386" s="572">
        <f>E386/E387-1</f>
        <v/>
      </c>
      <c r="G386" s="270" t="n">
        <v>23883.45</v>
      </c>
      <c r="H386" s="572">
        <f>G386/G387-1</f>
        <v/>
      </c>
    </row>
    <row r="387">
      <c r="B387" s="269" t="n">
        <v>45607</v>
      </c>
      <c r="C387" s="270" t="n">
        <v>3394.55</v>
      </c>
      <c r="D387" s="572">
        <f>C387/C388-1</f>
        <v/>
      </c>
      <c r="E387" s="270" t="n">
        <v>69247.60000000001</v>
      </c>
      <c r="F387" s="572">
        <f>E387/E388-1</f>
        <v/>
      </c>
      <c r="G387" s="270" t="n">
        <v>24141.3</v>
      </c>
      <c r="H387" s="572">
        <f>G387/G388-1</f>
        <v/>
      </c>
    </row>
    <row r="388">
      <c r="B388" s="269" t="n">
        <v>45604</v>
      </c>
      <c r="C388" s="270" t="n">
        <v>3561.95</v>
      </c>
      <c r="D388" s="572">
        <f>C388/C389-1</f>
        <v/>
      </c>
      <c r="E388" s="270" t="n">
        <v>69479.42999999999</v>
      </c>
      <c r="F388" s="572">
        <f>E388/E389-1</f>
        <v/>
      </c>
      <c r="G388" s="270" t="n">
        <v>24148.2</v>
      </c>
      <c r="H388" s="572">
        <f>G388/G389-1</f>
        <v/>
      </c>
    </row>
    <row r="389">
      <c r="B389" s="269" t="n">
        <v>45603</v>
      </c>
      <c r="C389" s="270" t="n">
        <v>3519.7</v>
      </c>
      <c r="D389" s="572">
        <f>C389/C390-1</f>
        <v/>
      </c>
      <c r="E389" s="270" t="n">
        <v>70113.61</v>
      </c>
      <c r="F389" s="572">
        <f>E389/E390-1</f>
        <v/>
      </c>
      <c r="G389" s="270" t="n">
        <v>24199.35</v>
      </c>
      <c r="H389" s="572">
        <f>G389/G390-1</f>
        <v/>
      </c>
    </row>
    <row r="390">
      <c r="B390" s="269" t="n">
        <v>45602</v>
      </c>
      <c r="C390" s="270" t="n">
        <v>3558.65</v>
      </c>
      <c r="D390" s="572">
        <f>C390/C391-1</f>
        <v/>
      </c>
      <c r="E390" s="270" t="n">
        <v>70472.21000000001</v>
      </c>
      <c r="F390" s="572">
        <f>E390/E391-1</f>
        <v/>
      </c>
      <c r="G390" s="270" t="n">
        <v>24484.05</v>
      </c>
      <c r="H390" s="572">
        <f>G390/G391-1</f>
        <v/>
      </c>
    </row>
    <row r="391">
      <c r="B391" s="269" t="n">
        <v>45601</v>
      </c>
      <c r="C391" s="270" t="n">
        <v>3273.35</v>
      </c>
      <c r="D391" s="572">
        <f>C391/C392-1</f>
        <v/>
      </c>
      <c r="E391" s="270" t="n">
        <v>68635.28</v>
      </c>
      <c r="F391" s="572">
        <f>E391/E392-1</f>
        <v/>
      </c>
      <c r="G391" s="270" t="n">
        <v>24213.3</v>
      </c>
      <c r="H391" s="572">
        <f>G391/G392-1</f>
        <v/>
      </c>
    </row>
    <row r="392">
      <c r="B392" s="269" t="n">
        <v>45600</v>
      </c>
      <c r="C392" s="270" t="n">
        <v>3309.55</v>
      </c>
      <c r="D392" s="572">
        <f>C392/C393-1</f>
        <v/>
      </c>
      <c r="E392" s="270" t="n">
        <v>68523.98</v>
      </c>
      <c r="F392" s="572">
        <f>E392/E393-1</f>
        <v/>
      </c>
      <c r="G392" s="270" t="n">
        <v>23995.35</v>
      </c>
      <c r="H392" s="572">
        <f>G392/G393-1</f>
        <v/>
      </c>
    </row>
    <row r="393">
      <c r="B393" s="269" t="n">
        <v>45597</v>
      </c>
      <c r="C393" s="270" t="n">
        <v>3603.3</v>
      </c>
      <c r="D393" s="572">
        <f>C393/C394-1</f>
        <v/>
      </c>
      <c r="E393" s="270" t="n">
        <v>69577.84</v>
      </c>
      <c r="F393" s="572">
        <f>E393/E394-1</f>
        <v/>
      </c>
      <c r="G393" s="270" t="n">
        <v>24304.35</v>
      </c>
      <c r="H393" s="572">
        <f>G393/G394-1</f>
        <v/>
      </c>
    </row>
    <row r="394">
      <c r="B394" s="269" t="n">
        <v>45596</v>
      </c>
      <c r="C394" s="270" t="n">
        <v>3481.6</v>
      </c>
      <c r="D394" s="572">
        <f>C394/C395-1</f>
        <v/>
      </c>
      <c r="E394" s="270" t="n">
        <v>69105.8</v>
      </c>
      <c r="F394" s="572">
        <f>E394/E395-1</f>
        <v/>
      </c>
      <c r="G394" s="270" t="n">
        <v>24205.35</v>
      </c>
      <c r="H394" s="572">
        <f>G394/G395-1</f>
        <v/>
      </c>
    </row>
    <row r="395">
      <c r="B395" s="269" t="n">
        <v>45595</v>
      </c>
      <c r="C395" s="270" t="n">
        <v>3110.6</v>
      </c>
      <c r="D395" s="572">
        <f>C395/C396-1</f>
        <v/>
      </c>
      <c r="E395" s="270" t="n">
        <v>67659.63</v>
      </c>
      <c r="F395" s="572">
        <f>E395/E396-1</f>
        <v/>
      </c>
      <c r="G395" s="270" t="n">
        <v>24340.85</v>
      </c>
      <c r="H395" s="572">
        <f>G395/G396-1</f>
        <v/>
      </c>
    </row>
    <row r="396">
      <c r="B396" s="269" t="n">
        <v>45594</v>
      </c>
      <c r="C396" s="270" t="n">
        <v>3148.85</v>
      </c>
      <c r="D396" s="572">
        <f>C396/C397-1</f>
        <v/>
      </c>
      <c r="E396" s="270" t="n">
        <v>67271.8</v>
      </c>
      <c r="F396" s="572">
        <f>E396/E397-1</f>
        <v/>
      </c>
      <c r="G396" s="270" t="n">
        <v>24466.85</v>
      </c>
      <c r="H396" s="572">
        <f>G396/G397-1</f>
        <v/>
      </c>
    </row>
    <row r="397">
      <c r="B397" s="269" t="n">
        <v>45593</v>
      </c>
      <c r="C397" s="270" t="n">
        <v>2740.55</v>
      </c>
      <c r="D397" s="572">
        <f>C397/C398-1</f>
        <v/>
      </c>
      <c r="E397" s="270" t="n">
        <v>66422.59</v>
      </c>
      <c r="F397" s="572">
        <f>E397/E398-1</f>
        <v/>
      </c>
      <c r="G397" s="270" t="n">
        <v>24339.15</v>
      </c>
      <c r="H397" s="572">
        <f>G397/G398-1</f>
        <v/>
      </c>
    </row>
    <row r="398">
      <c r="B398" s="269" t="n">
        <v>45590</v>
      </c>
      <c r="C398" s="270" t="n">
        <v>2743.05</v>
      </c>
      <c r="D398" s="572">
        <f>C398/C399-1</f>
        <v/>
      </c>
      <c r="E398" s="270" t="n">
        <v>66429.39999999999</v>
      </c>
      <c r="F398" s="572">
        <f>E398/E399-1</f>
        <v/>
      </c>
      <c r="G398" s="270" t="n">
        <v>24180.8</v>
      </c>
      <c r="H398" s="572">
        <f>G398/G399-1</f>
        <v/>
      </c>
    </row>
    <row r="399">
      <c r="B399" s="269" t="n">
        <v>45589</v>
      </c>
      <c r="C399" s="270" t="n">
        <v>2746.65</v>
      </c>
      <c r="D399" s="572">
        <f>C399/C400-1</f>
        <v/>
      </c>
      <c r="E399" s="270" t="n">
        <v>67941.69</v>
      </c>
      <c r="F399" s="572">
        <f>E399/E400-1</f>
        <v/>
      </c>
      <c r="G399" s="270" t="n">
        <v>24399.4</v>
      </c>
      <c r="H399" s="572">
        <f>G399/G400-1</f>
        <v/>
      </c>
    </row>
    <row r="400">
      <c r="B400" s="269" t="n">
        <v>45588</v>
      </c>
      <c r="C400" s="270" t="n">
        <v>2744.3</v>
      </c>
      <c r="D400" s="572">
        <f>C400/C401-1</f>
        <v/>
      </c>
      <c r="E400" s="270" t="n">
        <v>67908.97</v>
      </c>
      <c r="F400" s="572">
        <f>E400/E401-1</f>
        <v/>
      </c>
      <c r="G400" s="270" t="n">
        <v>24435.5</v>
      </c>
      <c r="H400" s="572">
        <f>G400/G401-1</f>
        <v/>
      </c>
    </row>
    <row r="401">
      <c r="B401" s="269" t="n">
        <v>45587</v>
      </c>
      <c r="C401" s="270" t="n">
        <v>2773.45</v>
      </c>
      <c r="D401" s="572">
        <f>C401/C402-1</f>
        <v/>
      </c>
      <c r="E401" s="270" t="n">
        <v>68715.52</v>
      </c>
      <c r="F401" s="572">
        <f>E401/E402-1</f>
        <v/>
      </c>
      <c r="G401" s="270" t="n">
        <v>24472.1</v>
      </c>
      <c r="H401" s="572">
        <f>G401/G402-1</f>
        <v/>
      </c>
    </row>
    <row r="402">
      <c r="B402" s="269" t="n">
        <v>45586</v>
      </c>
      <c r="C402" s="270" t="n">
        <v>2808.35</v>
      </c>
      <c r="D402" s="572">
        <f>C402/C403-1</f>
        <v/>
      </c>
      <c r="E402" s="270" t="n">
        <v>70806.56</v>
      </c>
      <c r="F402" s="572">
        <f>E402/E403-1</f>
        <v/>
      </c>
      <c r="G402" s="270" t="n">
        <v>24781.1</v>
      </c>
      <c r="H402" s="572">
        <f>G402/G403-1</f>
        <v/>
      </c>
    </row>
    <row r="403">
      <c r="B403" s="269" t="n">
        <v>45583</v>
      </c>
      <c r="C403" s="270" t="n">
        <v>2699.15</v>
      </c>
      <c r="D403" s="572">
        <f>C403/C404-1</f>
        <v/>
      </c>
      <c r="E403" s="270" t="n">
        <v>71821.00999999999</v>
      </c>
      <c r="F403" s="572">
        <f>E403/E404-1</f>
        <v/>
      </c>
      <c r="G403" s="270" t="n">
        <v>24854.05</v>
      </c>
      <c r="H403" s="572">
        <f>G403/G404-1</f>
        <v/>
      </c>
    </row>
    <row r="404">
      <c r="B404" s="269" t="n">
        <v>45582</v>
      </c>
      <c r="C404" s="270" t="n">
        <v>2718.5</v>
      </c>
      <c r="D404" s="572">
        <f>C404/C405-1</f>
        <v/>
      </c>
      <c r="E404" s="270" t="n">
        <v>71818.25999999999</v>
      </c>
      <c r="F404" s="572">
        <f>E404/E405-1</f>
        <v/>
      </c>
      <c r="G404" s="270" t="n">
        <v>24749.85</v>
      </c>
      <c r="H404" s="572">
        <f>G404/G405-1</f>
        <v/>
      </c>
    </row>
    <row r="405">
      <c r="B405" s="269" t="n">
        <v>45581</v>
      </c>
      <c r="C405" s="270" t="n">
        <v>2734.75</v>
      </c>
      <c r="D405" s="572">
        <f>C405/C406-1</f>
        <v/>
      </c>
      <c r="E405" s="270" t="n">
        <v>72350.42</v>
      </c>
      <c r="F405" s="572">
        <f>E405/E406-1</f>
        <v/>
      </c>
      <c r="G405" s="270" t="n">
        <v>24971.3</v>
      </c>
      <c r="H405" s="572">
        <f>G405/G406-1</f>
        <v/>
      </c>
    </row>
    <row r="406">
      <c r="B406" s="269" t="n">
        <v>45580</v>
      </c>
      <c r="C406" s="270" t="n">
        <v>2685.1</v>
      </c>
      <c r="D406" s="572">
        <f>C406/C407-1</f>
        <v/>
      </c>
      <c r="E406" s="270" t="n">
        <v>72355.75</v>
      </c>
      <c r="F406" s="572">
        <f>E406/E407-1</f>
        <v/>
      </c>
      <c r="G406" s="270" t="n">
        <v>25057.35</v>
      </c>
      <c r="H406" s="572">
        <f>G406/G407-1</f>
        <v/>
      </c>
    </row>
    <row r="407">
      <c r="B407" s="269" t="n">
        <v>45579</v>
      </c>
      <c r="C407" s="270" t="n">
        <v>2733.9</v>
      </c>
      <c r="D407" s="572">
        <f>C407/C408-1</f>
        <v/>
      </c>
      <c r="E407" s="270" t="n">
        <v>72061.17</v>
      </c>
      <c r="F407" s="572">
        <f>E407/E408-1</f>
        <v/>
      </c>
      <c r="G407" s="270" t="n">
        <v>25127.95</v>
      </c>
      <c r="H407" s="572">
        <f>G407/G408-1</f>
        <v/>
      </c>
    </row>
    <row r="408">
      <c r="B408" s="269" t="n">
        <v>45576</v>
      </c>
      <c r="C408" s="270" t="n">
        <v>2735.15</v>
      </c>
      <c r="D408" s="572">
        <f>C408/C409-1</f>
        <v/>
      </c>
      <c r="E408" s="270" t="n">
        <v>71579.87</v>
      </c>
      <c r="F408" s="572">
        <f>E408/E409-1</f>
        <v/>
      </c>
      <c r="G408" s="270" t="n">
        <v>24964.25</v>
      </c>
      <c r="H408" s="572">
        <f>G408/G409-1</f>
        <v/>
      </c>
    </row>
    <row r="409">
      <c r="B409" s="269" t="n">
        <v>45575</v>
      </c>
      <c r="C409" s="270" t="n">
        <v>2738.1</v>
      </c>
      <c r="D409" s="572">
        <f>C409/C410-1</f>
        <v/>
      </c>
      <c r="E409" s="270" t="n">
        <v>71507.19</v>
      </c>
      <c r="F409" s="572">
        <f>E409/E410-1</f>
        <v/>
      </c>
      <c r="G409" s="270" t="n">
        <v>24998.45</v>
      </c>
      <c r="H409" s="572">
        <f>G409/G410-1</f>
        <v/>
      </c>
    </row>
    <row r="410">
      <c r="B410" s="269" t="n">
        <v>45574</v>
      </c>
      <c r="C410" s="270" t="n">
        <v>2752.2</v>
      </c>
      <c r="D410" s="572">
        <f>C410/C411-1</f>
        <v/>
      </c>
      <c r="E410" s="270" t="n">
        <v>71238.45</v>
      </c>
      <c r="F410" s="572">
        <f>E410/E411-1</f>
        <v/>
      </c>
      <c r="G410" s="270" t="n">
        <v>24981.95</v>
      </c>
      <c r="H410" s="572">
        <f>G410/G411-1</f>
        <v/>
      </c>
    </row>
    <row r="411">
      <c r="B411" s="269" t="n">
        <v>45573</v>
      </c>
      <c r="C411" s="270" t="n">
        <v>2808.1</v>
      </c>
      <c r="D411" s="572">
        <f>C411/C412-1</f>
        <v/>
      </c>
      <c r="E411" s="270" t="n">
        <v>70731.14</v>
      </c>
      <c r="F411" s="572">
        <f>E411/E412-1</f>
        <v/>
      </c>
      <c r="G411" s="270" t="n">
        <v>25013.15</v>
      </c>
      <c r="H411" s="572">
        <f>G411/G412-1</f>
        <v/>
      </c>
    </row>
    <row r="412">
      <c r="B412" s="269" t="n">
        <v>45572</v>
      </c>
      <c r="C412" s="270" t="n">
        <v>2743.9</v>
      </c>
      <c r="D412" s="572">
        <f>C412/C413-1</f>
        <v/>
      </c>
      <c r="E412" s="270" t="n">
        <v>68792.24000000001</v>
      </c>
      <c r="F412" s="572">
        <f>E412/E413-1</f>
        <v/>
      </c>
      <c r="G412" s="270" t="n">
        <v>24795.75</v>
      </c>
      <c r="H412" s="572">
        <f>G412/G413-1</f>
        <v/>
      </c>
    </row>
    <row r="413">
      <c r="B413" s="269" t="n">
        <v>45569</v>
      </c>
      <c r="C413" s="270" t="n">
        <v>2653.25</v>
      </c>
      <c r="D413" s="572">
        <f>C413/C414-1</f>
        <v/>
      </c>
      <c r="E413" s="270" t="n">
        <v>70301.10000000001</v>
      </c>
      <c r="F413" s="572">
        <f>E413/E414-1</f>
        <v/>
      </c>
      <c r="G413" s="270" t="n">
        <v>25014.6</v>
      </c>
      <c r="H413" s="572">
        <f>G413/G414-1</f>
        <v/>
      </c>
    </row>
    <row r="414">
      <c r="B414" s="269" t="n">
        <v>45568</v>
      </c>
      <c r="C414" s="270" t="n">
        <v>2607.35</v>
      </c>
      <c r="D414" s="572">
        <f>C414/C415-1</f>
        <v/>
      </c>
      <c r="E414" s="270" t="n">
        <v>70751.67</v>
      </c>
      <c r="F414" s="572">
        <f>E414/E415-1</f>
        <v/>
      </c>
      <c r="G414" s="270" t="n">
        <v>25250.1</v>
      </c>
      <c r="H414" s="572">
        <f>G414/G415-1</f>
        <v/>
      </c>
    </row>
    <row r="415">
      <c r="B415" s="269" t="n">
        <v>45566</v>
      </c>
      <c r="C415" s="270" t="n">
        <v>2329.25</v>
      </c>
      <c r="D415" s="572">
        <f>C415/C416-1</f>
        <v/>
      </c>
      <c r="E415" s="270" t="n">
        <v>73078.03</v>
      </c>
      <c r="F415" s="572">
        <f>E415/E416-1</f>
        <v/>
      </c>
      <c r="G415" s="270" t="n">
        <v>25796.9</v>
      </c>
      <c r="H415" s="572">
        <f>G415/G416-1</f>
        <v/>
      </c>
    </row>
    <row r="416">
      <c r="B416" s="269" t="n">
        <v>45565</v>
      </c>
      <c r="C416" s="270" t="n">
        <v>2323.25</v>
      </c>
      <c r="D416" s="572">
        <f>C416/C417-1</f>
        <v/>
      </c>
      <c r="E416" s="270" t="n">
        <v>73107</v>
      </c>
      <c r="F416" s="572">
        <f>E416/E417-1</f>
        <v/>
      </c>
      <c r="G416" s="270" t="n">
        <v>25810.85</v>
      </c>
      <c r="H416" s="572">
        <f>G416/G417-1</f>
        <v/>
      </c>
    </row>
    <row r="417">
      <c r="B417" s="269" t="n">
        <v>45562</v>
      </c>
      <c r="C417" s="270" t="n">
        <v>2220.45</v>
      </c>
      <c r="D417" s="572">
        <f>C417/C418-1</f>
        <v/>
      </c>
      <c r="E417" s="270" t="n">
        <v>73704.11</v>
      </c>
      <c r="F417" s="572">
        <f>E417/E418-1</f>
        <v/>
      </c>
      <c r="G417" s="270" t="n">
        <v>26178.95</v>
      </c>
      <c r="H417" s="572">
        <f>G417/G418-1</f>
        <v/>
      </c>
    </row>
    <row r="418">
      <c r="B418" s="269" t="n">
        <v>45561</v>
      </c>
      <c r="C418" s="270" t="n">
        <v>2238.8</v>
      </c>
      <c r="D418" s="572">
        <f>C418/C419-1</f>
        <v/>
      </c>
      <c r="E418" s="270" t="n">
        <v>73584.88</v>
      </c>
      <c r="F418" s="572">
        <f>E418/E419-1</f>
        <v/>
      </c>
      <c r="G418" s="270" t="n">
        <v>26216.05</v>
      </c>
      <c r="H418" s="572">
        <f>G418/G419-1</f>
        <v/>
      </c>
    </row>
    <row r="419">
      <c r="B419" s="269" t="n">
        <v>45560</v>
      </c>
      <c r="C419" s="270" t="n">
        <v>2180.2</v>
      </c>
      <c r="D419" s="572">
        <f>C419/C420-1</f>
        <v/>
      </c>
      <c r="E419" s="270" t="n">
        <v>74066.2</v>
      </c>
      <c r="F419" s="572">
        <f>E419/E420-1</f>
        <v/>
      </c>
      <c r="G419" s="270" t="n">
        <v>26004.15</v>
      </c>
      <c r="H419" s="572">
        <f>G419/G420-1</f>
        <v/>
      </c>
    </row>
    <row r="420">
      <c r="B420" s="269" t="n">
        <v>45559</v>
      </c>
      <c r="C420" s="270" t="n">
        <v>2204.8</v>
      </c>
      <c r="D420" s="572">
        <f>C420/C421-1</f>
        <v/>
      </c>
      <c r="E420" s="270" t="n">
        <v>74265.69</v>
      </c>
      <c r="F420" s="572">
        <f>E420/E421-1</f>
        <v/>
      </c>
      <c r="G420" s="270" t="n">
        <v>25940.4</v>
      </c>
      <c r="H420" s="572">
        <f>G420/G421-1</f>
        <v/>
      </c>
    </row>
    <row r="421">
      <c r="B421" s="269" t="n">
        <v>45558</v>
      </c>
      <c r="C421" s="270" t="n">
        <v>2254.5</v>
      </c>
      <c r="D421" s="572">
        <f>C421/C422-1</f>
        <v/>
      </c>
      <c r="E421" s="270" t="n">
        <v>73907.84</v>
      </c>
      <c r="F421" s="572">
        <f>E421/E422-1</f>
        <v/>
      </c>
      <c r="G421" s="270" t="n">
        <v>25939.05</v>
      </c>
      <c r="H421" s="572">
        <f>G421/G422-1</f>
        <v/>
      </c>
    </row>
    <row r="422">
      <c r="B422" s="269" t="n">
        <v>45555</v>
      </c>
      <c r="C422" s="270" t="n">
        <v>2226.75</v>
      </c>
      <c r="D422" s="572">
        <f>C422/C423-1</f>
        <v/>
      </c>
      <c r="E422" s="270" t="n">
        <v>73373.89</v>
      </c>
      <c r="F422" s="572">
        <f>E422/E423-1</f>
        <v/>
      </c>
      <c r="G422" s="270" t="n">
        <v>25790.95</v>
      </c>
      <c r="H422" s="572">
        <f>G422/G423-1</f>
        <v/>
      </c>
    </row>
    <row r="423">
      <c r="B423" s="269" t="n">
        <v>45554</v>
      </c>
      <c r="C423" s="270" t="n">
        <v>2152.95</v>
      </c>
      <c r="D423" s="572">
        <f>C423/C424-1</f>
        <v/>
      </c>
      <c r="E423" s="270" t="n">
        <v>71712.98</v>
      </c>
      <c r="F423" s="572">
        <f>E423/E424-1</f>
        <v/>
      </c>
      <c r="G423" s="270" t="n">
        <v>25415.8</v>
      </c>
      <c r="H423" s="572">
        <f>G423/G424-1</f>
        <v/>
      </c>
    </row>
    <row r="424">
      <c r="B424" s="269" t="n">
        <v>45553</v>
      </c>
      <c r="C424" s="270" t="n">
        <v>2213.45</v>
      </c>
      <c r="D424" s="572">
        <f>C424/C425-1</f>
        <v/>
      </c>
      <c r="E424" s="270" t="n">
        <v>72778.83</v>
      </c>
      <c r="F424" s="572">
        <f>E424/E425-1</f>
        <v/>
      </c>
      <c r="G424" s="270" t="n">
        <v>25377.55</v>
      </c>
      <c r="H424" s="572">
        <f>G424/G425-1</f>
        <v/>
      </c>
    </row>
    <row r="425">
      <c r="B425" s="269" t="n">
        <v>45552</v>
      </c>
      <c r="C425" s="270" t="n">
        <v>2255.9</v>
      </c>
      <c r="D425" s="572">
        <f>C425/C426-1</f>
        <v/>
      </c>
      <c r="E425" s="270" t="n">
        <v>72921.12</v>
      </c>
      <c r="F425" s="572">
        <f>E425/E426-1</f>
        <v/>
      </c>
      <c r="G425" s="270" t="n">
        <v>25418.55</v>
      </c>
      <c r="H425" s="572">
        <f>G425/G426-1</f>
        <v/>
      </c>
    </row>
    <row r="426">
      <c r="B426" s="269" t="n">
        <v>45551</v>
      </c>
      <c r="C426" s="270" t="n">
        <v>2229.25</v>
      </c>
      <c r="D426" s="572">
        <f>C426/C427-1</f>
        <v/>
      </c>
      <c r="E426" s="270" t="n">
        <v>73057.77</v>
      </c>
      <c r="F426" s="572">
        <f>E426/E427-1</f>
        <v/>
      </c>
      <c r="G426" s="270" t="n">
        <v>25383.75</v>
      </c>
      <c r="H426" s="572">
        <f>G426/G427-1</f>
        <v/>
      </c>
    </row>
    <row r="427">
      <c r="B427" s="269" t="n">
        <v>45548</v>
      </c>
      <c r="C427" s="270" t="n">
        <v>2262.2</v>
      </c>
      <c r="D427" s="572">
        <f>C427/C428-1</f>
        <v/>
      </c>
      <c r="E427" s="270" t="n">
        <v>72654.00999999999</v>
      </c>
      <c r="F427" s="572">
        <f>E427/E428-1</f>
        <v/>
      </c>
      <c r="G427" s="270" t="n">
        <v>25356.5</v>
      </c>
      <c r="H427" s="572">
        <f>G427/G428-1</f>
        <v/>
      </c>
    </row>
    <row r="428">
      <c r="B428" s="269" t="n">
        <v>45547</v>
      </c>
      <c r="C428" s="270" t="n">
        <v>2224.65</v>
      </c>
      <c r="D428" s="572">
        <f>C428/C429-1</f>
        <v/>
      </c>
      <c r="E428" s="270" t="n">
        <v>72606.75999999999</v>
      </c>
      <c r="F428" s="572">
        <f>E428/E429-1</f>
        <v/>
      </c>
      <c r="G428" s="270" t="n">
        <v>25388.9</v>
      </c>
      <c r="H428" s="572">
        <f>G428/G429-1</f>
        <v/>
      </c>
    </row>
    <row r="429">
      <c r="B429" s="269" t="n">
        <v>45546</v>
      </c>
      <c r="C429" s="270" t="n">
        <v>2279.25</v>
      </c>
      <c r="D429" s="572">
        <f>C429/C430-1</f>
        <v/>
      </c>
      <c r="E429" s="270" t="n">
        <v>71434.47</v>
      </c>
      <c r="F429" s="572">
        <f>E429/E430-1</f>
        <v/>
      </c>
      <c r="G429" s="270" t="n">
        <v>24918.45</v>
      </c>
      <c r="H429" s="572">
        <f>G429/G430-1</f>
        <v/>
      </c>
    </row>
    <row r="430">
      <c r="B430" s="269" t="n">
        <v>45545</v>
      </c>
      <c r="C430" s="270" t="n">
        <v>2283.7</v>
      </c>
      <c r="D430" s="572">
        <f>C430/C431-1</f>
        <v/>
      </c>
      <c r="E430" s="270" t="n">
        <v>71558.05</v>
      </c>
      <c r="F430" s="572">
        <f>E430/E431-1</f>
        <v/>
      </c>
      <c r="G430" s="270" t="n">
        <v>25041.1</v>
      </c>
      <c r="H430" s="572">
        <f>G430/G431-1</f>
        <v/>
      </c>
    </row>
    <row r="431">
      <c r="B431" s="269" t="n">
        <v>45544</v>
      </c>
      <c r="C431" s="270" t="n">
        <v>2241.15</v>
      </c>
      <c r="D431" s="572">
        <f>C431/C432-1</f>
        <v/>
      </c>
      <c r="E431" s="270" t="n">
        <v>70797.44</v>
      </c>
      <c r="F431" s="572">
        <f>E431/E432-1</f>
        <v/>
      </c>
      <c r="G431" s="270" t="n">
        <v>24936.4</v>
      </c>
      <c r="H431" s="572">
        <f>G431/G432-1</f>
        <v/>
      </c>
    </row>
    <row r="432">
      <c r="B432" s="269" t="n">
        <v>45541</v>
      </c>
      <c r="C432" s="270" t="n">
        <v>2274</v>
      </c>
      <c r="D432" s="572">
        <f>C432/C433-1</f>
        <v/>
      </c>
      <c r="E432" s="270" t="n">
        <v>71143.39999999999</v>
      </c>
      <c r="F432" s="572">
        <f>E432/E433-1</f>
        <v/>
      </c>
      <c r="G432" s="270" t="n">
        <v>24852.15</v>
      </c>
      <c r="H432" s="572">
        <f>G432/G433-1</f>
        <v/>
      </c>
    </row>
    <row r="433">
      <c r="B433" s="269" t="n">
        <v>45540</v>
      </c>
      <c r="C433" s="270" t="n">
        <v>2326.2</v>
      </c>
      <c r="D433" s="572">
        <f>C433/C434-1</f>
        <v/>
      </c>
      <c r="E433" s="270" t="n">
        <v>72375.50999999999</v>
      </c>
      <c r="F433" s="572">
        <f>E433/E434-1</f>
        <v/>
      </c>
      <c r="G433" s="270" t="n">
        <v>25145.1</v>
      </c>
      <c r="H433" s="572">
        <f>G433/G434-1</f>
        <v/>
      </c>
    </row>
    <row r="434">
      <c r="B434" s="269" t="n">
        <v>45539</v>
      </c>
      <c r="C434" s="270" t="n">
        <v>2289.35</v>
      </c>
      <c r="D434" s="572">
        <f>C434/C435-1</f>
        <v/>
      </c>
      <c r="E434" s="270" t="n">
        <v>72820.21000000001</v>
      </c>
      <c r="F434" s="572">
        <f>E434/E435-1</f>
        <v/>
      </c>
      <c r="G434" s="270" t="n">
        <v>25198.7</v>
      </c>
      <c r="H434" s="572">
        <f>G434/G435-1</f>
        <v/>
      </c>
    </row>
    <row r="435">
      <c r="B435" s="269" t="n">
        <v>45538</v>
      </c>
      <c r="C435" s="270" t="n">
        <v>2238.95</v>
      </c>
      <c r="D435" s="572">
        <f>C435/C436-1</f>
        <v/>
      </c>
      <c r="E435" s="270" t="n">
        <v>73026.95</v>
      </c>
      <c r="F435" s="572">
        <f>E435/E436-1</f>
        <v/>
      </c>
      <c r="G435" s="270" t="n">
        <v>25279.85</v>
      </c>
      <c r="H435" s="572">
        <f>G435/G436-1</f>
        <v/>
      </c>
    </row>
    <row r="436">
      <c r="B436" s="269" t="n">
        <v>45537</v>
      </c>
      <c r="C436" s="270" t="n">
        <v>2224.4</v>
      </c>
      <c r="D436" s="572">
        <f>C436/C437-1</f>
        <v/>
      </c>
      <c r="E436" s="270" t="n">
        <v>72574.09</v>
      </c>
      <c r="F436" s="572">
        <f>E436/E437-1</f>
        <v/>
      </c>
      <c r="G436" s="270" t="n">
        <v>25278.7</v>
      </c>
      <c r="H436" s="572">
        <f>G436/G437-1</f>
        <v/>
      </c>
    </row>
    <row r="437">
      <c r="B437" s="269" t="n">
        <v>45534</v>
      </c>
      <c r="C437" s="270" t="n">
        <v>2209.45</v>
      </c>
      <c r="D437" s="572">
        <f>C437/C438-1</f>
        <v/>
      </c>
      <c r="E437" s="270" t="n">
        <v>73169.37</v>
      </c>
      <c r="F437" s="572">
        <f>E437/E438-1</f>
        <v/>
      </c>
      <c r="G437" s="270" t="n">
        <v>25235.9</v>
      </c>
      <c r="H437" s="572">
        <f>G437/G438-1</f>
        <v/>
      </c>
    </row>
    <row r="438">
      <c r="B438" s="269" t="n">
        <v>45533</v>
      </c>
      <c r="C438" s="270" t="n">
        <v>2212.65</v>
      </c>
      <c r="D438" s="572">
        <f>C438/C439-1</f>
        <v/>
      </c>
      <c r="E438" s="270" t="n">
        <v>72788.64999999999</v>
      </c>
      <c r="F438" s="572">
        <f>E438/E439-1</f>
        <v/>
      </c>
      <c r="G438" s="270" t="n">
        <v>25151.95</v>
      </c>
      <c r="H438" s="572">
        <f>G438/G439-1</f>
        <v/>
      </c>
    </row>
    <row r="439">
      <c r="B439" s="269" t="n">
        <v>45532</v>
      </c>
      <c r="C439" s="270" t="n">
        <v>2204.1</v>
      </c>
      <c r="D439" s="572">
        <f>C439/C440-1</f>
        <v/>
      </c>
      <c r="E439" s="270" t="n">
        <v>73440.63</v>
      </c>
      <c r="F439" s="572">
        <f>E439/E440-1</f>
        <v/>
      </c>
      <c r="G439" s="270" t="n">
        <v>25052.35</v>
      </c>
      <c r="H439" s="572">
        <f>G439/G440-1</f>
        <v/>
      </c>
    </row>
    <row r="440">
      <c r="B440" s="269" t="n">
        <v>45531</v>
      </c>
      <c r="C440" s="270" t="n">
        <v>2222.05</v>
      </c>
      <c r="D440" s="572">
        <f>C440/C441-1</f>
        <v/>
      </c>
      <c r="E440" s="270" t="n">
        <v>73668.42</v>
      </c>
      <c r="F440" s="572">
        <f>E440/E441-1</f>
        <v/>
      </c>
      <c r="G440" s="270" t="n">
        <v>25017.75</v>
      </c>
      <c r="H440" s="572">
        <f>G440/G441-1</f>
        <v/>
      </c>
    </row>
    <row r="441">
      <c r="B441" s="269" t="n">
        <v>45530</v>
      </c>
      <c r="C441" s="270" t="n">
        <v>2012.7</v>
      </c>
      <c r="D441" s="572">
        <f>C441/C442-1</f>
        <v/>
      </c>
      <c r="E441" s="270" t="n">
        <v>73474.33</v>
      </c>
      <c r="F441" s="572">
        <f>E441/E442-1</f>
        <v/>
      </c>
      <c r="G441" s="270" t="n">
        <v>25010.6</v>
      </c>
      <c r="H441" s="572">
        <f>G441/G442-1</f>
        <v/>
      </c>
    </row>
    <row r="442">
      <c r="B442" s="269" t="n">
        <v>45527</v>
      </c>
      <c r="C442" s="270" t="n">
        <v>2009</v>
      </c>
      <c r="D442" s="572">
        <f>C442/C443-1</f>
        <v/>
      </c>
      <c r="E442" s="270" t="n">
        <v>73356.7</v>
      </c>
      <c r="F442" s="572">
        <f>E442/E443-1</f>
        <v/>
      </c>
      <c r="G442" s="270" t="n">
        <v>24823.15</v>
      </c>
      <c r="H442" s="572">
        <f>G442/G443-1</f>
        <v/>
      </c>
    </row>
    <row r="443">
      <c r="B443" s="269" t="n">
        <v>45526</v>
      </c>
      <c r="C443" s="270" t="n">
        <v>1984.35</v>
      </c>
      <c r="D443" s="572">
        <f>C443/C444-1</f>
        <v/>
      </c>
      <c r="E443" s="270" t="n">
        <v>73185.32000000001</v>
      </c>
      <c r="F443" s="572">
        <f>E443/E444-1</f>
        <v/>
      </c>
      <c r="G443" s="270" t="n">
        <v>24811.5</v>
      </c>
      <c r="H443" s="572">
        <f>G443/G444-1</f>
        <v/>
      </c>
    </row>
    <row r="444">
      <c r="B444" s="269" t="n">
        <v>45525</v>
      </c>
      <c r="C444" s="270" t="n">
        <v>1975.65</v>
      </c>
      <c r="D444" s="572">
        <f>C444/C445-1</f>
        <v/>
      </c>
      <c r="E444" s="270" t="n">
        <v>73121.12</v>
      </c>
      <c r="F444" s="572">
        <f>E444/E445-1</f>
        <v/>
      </c>
      <c r="G444" s="270" t="n">
        <v>24770.2</v>
      </c>
      <c r="H444" s="572">
        <f>G444/G445-1</f>
        <v/>
      </c>
    </row>
    <row r="445">
      <c r="B445" s="269" t="n">
        <v>45524</v>
      </c>
      <c r="C445" s="270" t="n">
        <v>1945.55</v>
      </c>
      <c r="D445" s="572">
        <f>C445/C446-1</f>
        <v/>
      </c>
      <c r="E445" s="270" t="n">
        <v>72804.05</v>
      </c>
      <c r="F445" s="572">
        <f>E445/E446-1</f>
        <v/>
      </c>
      <c r="G445" s="270" t="n">
        <v>24698.85</v>
      </c>
      <c r="H445" s="572">
        <f>G445/G446-1</f>
        <v/>
      </c>
    </row>
    <row r="446">
      <c r="B446" s="269" t="n">
        <v>45523</v>
      </c>
      <c r="C446" s="270" t="n">
        <v>1936.05</v>
      </c>
      <c r="D446" s="572">
        <f>C446/C447-1</f>
        <v/>
      </c>
      <c r="E446" s="270" t="n">
        <v>72813.23</v>
      </c>
      <c r="F446" s="572">
        <f>E446/E447-1</f>
        <v/>
      </c>
      <c r="G446" s="270" t="n">
        <v>24572.65</v>
      </c>
      <c r="H446" s="572">
        <f>G446/G447-1</f>
        <v/>
      </c>
    </row>
    <row r="447">
      <c r="B447" s="269" t="n">
        <v>45520</v>
      </c>
      <c r="C447" s="270" t="n">
        <v>1896.15</v>
      </c>
      <c r="D447" s="572">
        <f>C447/C448-1</f>
        <v/>
      </c>
      <c r="E447" s="270" t="n">
        <v>72847.57000000001</v>
      </c>
      <c r="F447" s="572">
        <f>E447/E448-1</f>
        <v/>
      </c>
      <c r="G447" s="270" t="n">
        <v>24541.15</v>
      </c>
      <c r="H447" s="572">
        <f>G447/G448-1</f>
        <v/>
      </c>
    </row>
    <row r="448">
      <c r="B448" s="269" t="n">
        <v>45518</v>
      </c>
      <c r="C448" s="270" t="n">
        <v>1903.4</v>
      </c>
      <c r="D448" s="572">
        <f>C448/C449-1</f>
        <v/>
      </c>
      <c r="E448" s="270" t="n">
        <v>71539.53</v>
      </c>
      <c r="F448" s="572">
        <f>E448/E449-1</f>
        <v/>
      </c>
      <c r="G448" s="270" t="n">
        <v>24143.75</v>
      </c>
      <c r="H448" s="572">
        <f>G448/G449-1</f>
        <v/>
      </c>
    </row>
    <row r="449">
      <c r="B449" s="269" t="n">
        <v>45517</v>
      </c>
      <c r="C449" s="270" t="n">
        <v>1889.45</v>
      </c>
      <c r="D449" s="572">
        <f>C449/C450-1</f>
        <v/>
      </c>
      <c r="E449" s="270" t="n">
        <v>71952.03999999999</v>
      </c>
      <c r="F449" s="572">
        <f>E449/E450-1</f>
        <v/>
      </c>
      <c r="G449" s="270" t="n">
        <v>24139</v>
      </c>
      <c r="H449" s="572">
        <f>G449/G450-1</f>
        <v/>
      </c>
    </row>
    <row r="450">
      <c r="B450" s="269" t="n">
        <v>45516</v>
      </c>
      <c r="C450" s="270" t="n">
        <v>1855.8</v>
      </c>
      <c r="D450" s="572">
        <f>C450/C451-1</f>
        <v/>
      </c>
      <c r="E450" s="270" t="n">
        <v>72564.23</v>
      </c>
      <c r="F450" s="572">
        <f>E450/E451-1</f>
        <v/>
      </c>
      <c r="G450" s="270" t="n">
        <v>24347</v>
      </c>
      <c r="H450" s="572">
        <f>G450/G451-1</f>
        <v/>
      </c>
    </row>
    <row r="451">
      <c r="B451" s="269" t="n">
        <v>45513</v>
      </c>
      <c r="C451" s="270" t="n">
        <v>1804.15</v>
      </c>
      <c r="D451" s="572">
        <f>C451/C452-1</f>
        <v/>
      </c>
      <c r="E451" s="270" t="n">
        <v>72526.33</v>
      </c>
      <c r="F451" s="572">
        <f>E451/E452-1</f>
        <v/>
      </c>
      <c r="G451" s="270" t="n">
        <v>24367.5</v>
      </c>
      <c r="H451" s="572">
        <f>G451/G452-1</f>
        <v/>
      </c>
    </row>
    <row r="452">
      <c r="B452" s="269" t="n">
        <v>45512</v>
      </c>
      <c r="C452" s="270" t="n">
        <v>1744.05</v>
      </c>
      <c r="D452" s="572">
        <f>C452/C453-1</f>
        <v/>
      </c>
      <c r="E452" s="270" t="n">
        <v>71548.05</v>
      </c>
      <c r="F452" s="572">
        <f>E452/E453-1</f>
        <v/>
      </c>
      <c r="G452" s="270" t="n">
        <v>24117</v>
      </c>
      <c r="H452" s="572">
        <f>G452/G453-1</f>
        <v/>
      </c>
    </row>
    <row r="453">
      <c r="B453" s="269" t="n">
        <v>45511</v>
      </c>
      <c r="C453" s="270" t="n">
        <v>1711.55</v>
      </c>
      <c r="D453" s="572">
        <f>C453/C454-1</f>
        <v/>
      </c>
      <c r="E453" s="270" t="n">
        <v>72188.42</v>
      </c>
      <c r="F453" s="572">
        <f>E453/E454-1</f>
        <v/>
      </c>
      <c r="G453" s="270" t="n">
        <v>24297.5</v>
      </c>
      <c r="H453" s="572">
        <f>G453/G454-1</f>
        <v/>
      </c>
    </row>
    <row r="454">
      <c r="B454" s="269" t="n">
        <v>45510</v>
      </c>
      <c r="C454" s="270" t="n">
        <v>1692</v>
      </c>
      <c r="D454" s="572">
        <f>C454/C455-1</f>
        <v/>
      </c>
      <c r="E454" s="270" t="n">
        <v>70161.39</v>
      </c>
      <c r="F454" s="572">
        <f>E454/E455-1</f>
        <v/>
      </c>
      <c r="G454" s="270" t="n">
        <v>23992.55</v>
      </c>
      <c r="H454" s="572">
        <f>G454/G455-1</f>
        <v/>
      </c>
    </row>
    <row r="455">
      <c r="B455" s="269" t="n">
        <v>45509</v>
      </c>
      <c r="C455" s="270" t="n">
        <v>1695.95</v>
      </c>
      <c r="D455" s="572">
        <f>C455/C456-1</f>
        <v/>
      </c>
      <c r="E455" s="270" t="n">
        <v>70443.47</v>
      </c>
      <c r="F455" s="572">
        <f>E455/E456-1</f>
        <v/>
      </c>
      <c r="G455" s="270" t="n">
        <v>24055.6</v>
      </c>
      <c r="H455" s="572">
        <f>G455/G456-1</f>
        <v/>
      </c>
    </row>
    <row r="456">
      <c r="B456" s="269" t="n">
        <v>45506</v>
      </c>
      <c r="C456" s="270" t="n">
        <v>1792.85</v>
      </c>
      <c r="D456" s="572">
        <f>C456/C457-1</f>
        <v/>
      </c>
      <c r="E456" s="270" t="n">
        <v>73478.11</v>
      </c>
      <c r="F456" s="572">
        <f>E456/E457-1</f>
        <v/>
      </c>
      <c r="G456" s="270" t="n">
        <v>24717.7</v>
      </c>
      <c r="H456" s="572">
        <f>G456/G457-1</f>
        <v/>
      </c>
    </row>
    <row r="457">
      <c r="B457" s="269" t="n">
        <v>45505</v>
      </c>
      <c r="C457" s="270" t="n">
        <v>1789.35</v>
      </c>
      <c r="D457" s="572">
        <f>C457/C458-1</f>
        <v/>
      </c>
      <c r="E457" s="270" t="n">
        <v>74751.14999999999</v>
      </c>
      <c r="F457" s="572">
        <f>E457/E458-1</f>
        <v/>
      </c>
      <c r="G457" s="270" t="n">
        <v>25010.9</v>
      </c>
      <c r="H457" s="572">
        <f>G457/G458-1</f>
        <v/>
      </c>
    </row>
    <row r="458">
      <c r="B458" s="269" t="n">
        <v>45504</v>
      </c>
      <c r="C458" s="270" t="n">
        <v>1789.7</v>
      </c>
      <c r="D458" s="572">
        <f>C458/C459-1</f>
        <v/>
      </c>
      <c r="E458" s="270" t="n">
        <v>75640.12</v>
      </c>
      <c r="F458" s="572">
        <f>E458/E459-1</f>
        <v/>
      </c>
      <c r="G458" s="270" t="n">
        <v>24951.15</v>
      </c>
      <c r="H458" s="572">
        <f>G458/G459-1</f>
        <v/>
      </c>
    </row>
    <row r="459">
      <c r="B459" s="269" t="n">
        <v>45503</v>
      </c>
      <c r="C459" s="270" t="n">
        <v>1812.6</v>
      </c>
      <c r="D459" s="572">
        <f>C459/C460-1</f>
        <v/>
      </c>
      <c r="E459" s="270" t="n">
        <v>75488.44</v>
      </c>
      <c r="F459" s="572">
        <f>E459/E460-1</f>
        <v/>
      </c>
      <c r="G459" s="270" t="n">
        <v>24857.3</v>
      </c>
      <c r="H459" s="572">
        <f>G459/G460-1</f>
        <v/>
      </c>
    </row>
    <row r="460">
      <c r="B460" s="269" t="n">
        <v>45502</v>
      </c>
      <c r="C460" s="270" t="n">
        <v>1795.95</v>
      </c>
      <c r="D460" s="572">
        <f>C460/C461-1</f>
        <v/>
      </c>
      <c r="E460" s="270" t="n">
        <v>75403.36</v>
      </c>
      <c r="F460" s="572">
        <f>E460/E461-1</f>
        <v/>
      </c>
      <c r="G460" s="270" t="n">
        <v>24836.1</v>
      </c>
      <c r="H460" s="572">
        <f>G460/G461-1</f>
        <v/>
      </c>
    </row>
    <row r="461">
      <c r="B461" s="269" t="n">
        <v>45499</v>
      </c>
      <c r="C461" s="270" t="n">
        <v>1803.1</v>
      </c>
      <c r="D461" s="572">
        <f>C461/C462-1</f>
        <v/>
      </c>
      <c r="E461" s="270" t="n">
        <v>73396.25999999999</v>
      </c>
      <c r="F461" s="572">
        <f>E461/E462-1</f>
        <v/>
      </c>
      <c r="G461" s="270" t="n">
        <v>24834.85</v>
      </c>
      <c r="H461" s="572">
        <f>G461/G462-1</f>
        <v/>
      </c>
    </row>
    <row r="462">
      <c r="B462" s="269" t="n">
        <v>45498</v>
      </c>
      <c r="C462" s="270" t="n">
        <v>1809.35</v>
      </c>
      <c r="D462" s="572">
        <f>C462/C463-1</f>
        <v/>
      </c>
      <c r="E462" s="270" t="n">
        <v>72305.61</v>
      </c>
      <c r="F462" s="572">
        <f>E462/E463-1</f>
        <v/>
      </c>
      <c r="G462" s="270" t="n">
        <v>24406.1</v>
      </c>
      <c r="H462" s="572">
        <f>G462/G463-1</f>
        <v/>
      </c>
    </row>
    <row r="463">
      <c r="B463" s="269" t="n">
        <v>45497</v>
      </c>
      <c r="C463" s="270" t="n">
        <v>1818.8</v>
      </c>
      <c r="D463" s="572">
        <f>C463/C464-1</f>
        <v/>
      </c>
      <c r="E463" s="270" t="n">
        <v>71559.42</v>
      </c>
      <c r="F463" s="572">
        <f>E463/E464-1</f>
        <v/>
      </c>
      <c r="G463" s="270" t="n">
        <v>24413.5</v>
      </c>
      <c r="H463" s="572">
        <f>G463/G464-1</f>
        <v/>
      </c>
    </row>
    <row r="464">
      <c r="B464" s="269" t="n">
        <v>45496</v>
      </c>
      <c r="C464" s="270" t="n">
        <v>1762.05</v>
      </c>
      <c r="D464" s="572">
        <f>C464/C465-1</f>
        <v/>
      </c>
      <c r="E464" s="270" t="n">
        <v>71199.03</v>
      </c>
      <c r="F464" s="572">
        <f>E464/E465-1</f>
        <v/>
      </c>
      <c r="G464" s="270" t="n">
        <v>24479.05</v>
      </c>
      <c r="H464" s="572">
        <f>G464/G465-1</f>
        <v/>
      </c>
    </row>
    <row r="465">
      <c r="B465" s="269" t="n">
        <v>45495</v>
      </c>
      <c r="C465" s="270" t="n">
        <v>1764.55</v>
      </c>
      <c r="D465" s="572">
        <f>C465/C466-1</f>
        <v/>
      </c>
      <c r="E465" s="270" t="n">
        <v>72677.78</v>
      </c>
      <c r="F465" s="572">
        <f>E465/E466-1</f>
        <v/>
      </c>
      <c r="G465" s="270" t="n">
        <v>24509.25</v>
      </c>
      <c r="H465" s="572">
        <f>G465/G466-1</f>
        <v/>
      </c>
    </row>
    <row r="466">
      <c r="B466" s="269" t="n">
        <v>45492</v>
      </c>
      <c r="C466" s="270" t="n">
        <v>1775.75</v>
      </c>
      <c r="D466" s="572">
        <f>C466/C467-1</f>
        <v/>
      </c>
      <c r="E466" s="270" t="n">
        <v>71599.17</v>
      </c>
      <c r="F466" s="572">
        <f>E466/E467-1</f>
        <v/>
      </c>
      <c r="G466" s="270" t="n">
        <v>24530.9</v>
      </c>
      <c r="H466" s="572">
        <f>G466/G467-1</f>
        <v/>
      </c>
    </row>
    <row r="467">
      <c r="B467" s="269" t="n">
        <v>45491</v>
      </c>
      <c r="C467" s="270" t="n">
        <v>1813.8</v>
      </c>
      <c r="D467" s="572">
        <f>C467/C468-1</f>
        <v/>
      </c>
      <c r="E467" s="270" t="n">
        <v>72945.66</v>
      </c>
      <c r="F467" s="572">
        <f>E467/E468-1</f>
        <v/>
      </c>
      <c r="G467" s="270" t="n">
        <v>24800.85</v>
      </c>
      <c r="H467" s="572">
        <f>G467/G468-1</f>
        <v/>
      </c>
    </row>
    <row r="468">
      <c r="B468" s="269" t="n">
        <v>45489</v>
      </c>
      <c r="C468" s="270" t="n">
        <v>1831.65</v>
      </c>
      <c r="D468" s="572">
        <f>C468/C469-1</f>
        <v/>
      </c>
      <c r="E468" s="270" t="n">
        <v>74460.06</v>
      </c>
      <c r="F468" s="572">
        <f>E468/E469-1</f>
        <v/>
      </c>
      <c r="G468" s="270" t="n">
        <v>24613</v>
      </c>
      <c r="H468" s="572">
        <f>G468/G469-1</f>
        <v/>
      </c>
    </row>
    <row r="469">
      <c r="B469" s="269" t="n">
        <v>45488</v>
      </c>
      <c r="C469" s="270" t="n">
        <v>1807.9</v>
      </c>
      <c r="D469" s="572">
        <f>C469/C470-1</f>
        <v/>
      </c>
      <c r="E469" s="270" t="n">
        <v>74859.8</v>
      </c>
      <c r="F469" s="572">
        <f>E469/E470-1</f>
        <v/>
      </c>
      <c r="G469" s="270" t="n">
        <v>24586.7</v>
      </c>
      <c r="H469" s="572">
        <f>G469/G470-1</f>
        <v/>
      </c>
    </row>
    <row r="470">
      <c r="B470" s="269" t="n">
        <v>45485</v>
      </c>
      <c r="C470" s="270" t="n">
        <v>1789.2</v>
      </c>
      <c r="D470" s="572">
        <f>C470/C471-1</f>
        <v/>
      </c>
      <c r="E470" s="270" t="n">
        <v>74950.89999999999</v>
      </c>
      <c r="F470" s="572">
        <f>E470/E471-1</f>
        <v/>
      </c>
      <c r="G470" s="270" t="n">
        <v>24502.15</v>
      </c>
      <c r="H470" s="572">
        <f>G470/G471-1</f>
        <v/>
      </c>
    </row>
    <row r="471">
      <c r="B471" s="269" t="n">
        <v>45484</v>
      </c>
      <c r="C471" s="270" t="n">
        <v>1778.2</v>
      </c>
      <c r="D471" s="572">
        <f>C471/C472-1</f>
        <v/>
      </c>
      <c r="E471" s="270" t="n">
        <v>75381.58</v>
      </c>
      <c r="F471" s="572">
        <f>E471/E472-1</f>
        <v/>
      </c>
      <c r="G471" s="270" t="n">
        <v>24315.95</v>
      </c>
      <c r="H471" s="572">
        <f>G471/G472-1</f>
        <v/>
      </c>
    </row>
    <row r="472">
      <c r="B472" s="269" t="n">
        <v>45483</v>
      </c>
      <c r="C472" s="270" t="n">
        <v>1775.15</v>
      </c>
      <c r="D472" s="572">
        <f>C472/C473-1</f>
        <v/>
      </c>
      <c r="E472" s="270" t="n">
        <v>75207.69</v>
      </c>
      <c r="F472" s="572">
        <f>E472/E473-1</f>
        <v/>
      </c>
      <c r="G472" s="270" t="n">
        <v>24324.45</v>
      </c>
      <c r="H472" s="572">
        <f>G472/G473-1</f>
        <v/>
      </c>
    </row>
    <row r="473">
      <c r="B473" s="269" t="n">
        <v>45482</v>
      </c>
      <c r="C473" s="270" t="n">
        <v>1800.35</v>
      </c>
      <c r="D473" s="572">
        <f>C473/C474-1</f>
        <v/>
      </c>
      <c r="E473" s="270" t="n">
        <v>75536.57000000001</v>
      </c>
      <c r="F473" s="572">
        <f>E473/E474-1</f>
        <v/>
      </c>
      <c r="G473" s="270" t="n">
        <v>24433.2</v>
      </c>
      <c r="H473" s="572">
        <f>G473/G474-1</f>
        <v/>
      </c>
    </row>
    <row r="474">
      <c r="B474" s="269" t="n">
        <v>45481</v>
      </c>
      <c r="C474" s="270" t="n">
        <v>1769.55</v>
      </c>
      <c r="D474" s="572">
        <f>C474/C475-1</f>
        <v/>
      </c>
      <c r="E474" s="270" t="n">
        <v>75620.11</v>
      </c>
      <c r="F474" s="572">
        <f>E474/E475-1</f>
        <v/>
      </c>
      <c r="G474" s="270" t="n">
        <v>24320.55</v>
      </c>
      <c r="H474" s="572">
        <f>G474/G475-1</f>
        <v/>
      </c>
    </row>
    <row r="475">
      <c r="B475" s="269" t="n">
        <v>45478</v>
      </c>
      <c r="C475" s="270" t="n">
        <v>1804.9</v>
      </c>
      <c r="D475" s="572">
        <f>C475/C476-1</f>
        <v/>
      </c>
      <c r="E475" s="270" t="n">
        <v>75131.42999999999</v>
      </c>
      <c r="F475" s="572">
        <f>E475/E476-1</f>
        <v/>
      </c>
      <c r="G475" s="270" t="n">
        <v>24323.85</v>
      </c>
      <c r="H475" s="572">
        <f>G475/G476-1</f>
        <v/>
      </c>
    </row>
    <row r="476">
      <c r="B476" s="269" t="n">
        <v>45477</v>
      </c>
      <c r="C476" s="270" t="n">
        <v>1799</v>
      </c>
      <c r="D476" s="572">
        <f>C476/C477-1</f>
        <v/>
      </c>
      <c r="E476" s="270" t="n">
        <v>73985.28999999999</v>
      </c>
      <c r="F476" s="572">
        <f>E476/E477-1</f>
        <v/>
      </c>
      <c r="G476" s="270" t="n">
        <v>24302.15</v>
      </c>
      <c r="H476" s="572">
        <f>G476/G477-1</f>
        <v/>
      </c>
    </row>
    <row r="477">
      <c r="B477" s="269" t="n">
        <v>45476</v>
      </c>
      <c r="C477" s="270" t="n">
        <v>1818.3</v>
      </c>
      <c r="D477" s="572">
        <f>C477/C478-1</f>
        <v/>
      </c>
      <c r="E477" s="270" t="n">
        <v>73757.67</v>
      </c>
      <c r="F477" s="572">
        <f>E477/E478-1</f>
        <v/>
      </c>
      <c r="G477" s="270" t="n">
        <v>24286.5</v>
      </c>
      <c r="H477" s="572">
        <f>G477/G478-1</f>
        <v/>
      </c>
    </row>
    <row r="478">
      <c r="B478" s="269" t="n">
        <v>45475</v>
      </c>
      <c r="C478" s="270" t="n">
        <v>1814.05</v>
      </c>
      <c r="D478" s="572">
        <f>C478/C479-1</f>
        <v/>
      </c>
      <c r="E478" s="270" t="n">
        <v>73044.87</v>
      </c>
      <c r="F478" s="572">
        <f>E478/E479-1</f>
        <v/>
      </c>
      <c r="G478" s="270" t="n">
        <v>24123.85</v>
      </c>
      <c r="H478" s="572">
        <f>G478/G479-1</f>
        <v/>
      </c>
    </row>
    <row r="479">
      <c r="B479" s="269" t="n">
        <v>45474</v>
      </c>
      <c r="C479" s="270" t="n">
        <v>1819.2</v>
      </c>
      <c r="D479" s="572">
        <f>C479/C480-1</f>
        <v/>
      </c>
      <c r="E479" s="270" t="n">
        <v>72726.60000000001</v>
      </c>
      <c r="F479" s="572">
        <f>E479/E480-1</f>
        <v/>
      </c>
      <c r="G479" s="270" t="n">
        <v>24141.95</v>
      </c>
      <c r="H479" s="572">
        <f>G479/G480-1</f>
        <v/>
      </c>
    </row>
    <row r="480">
      <c r="B480" s="269" t="n">
        <v>45471</v>
      </c>
      <c r="C480" s="270" t="n">
        <v>1819.55</v>
      </c>
      <c r="D480" s="572">
        <f>C480/C481-1</f>
        <v/>
      </c>
      <c r="E480" s="270" t="n">
        <v>72324.41</v>
      </c>
      <c r="F480" s="572">
        <f>E480/E481-1</f>
        <v/>
      </c>
      <c r="G480" s="270" t="n">
        <v>24010.6</v>
      </c>
      <c r="H480" s="572">
        <f>G480/G481-1</f>
        <v/>
      </c>
    </row>
    <row r="481">
      <c r="B481" s="269" t="n">
        <v>45470</v>
      </c>
      <c r="C481" s="270" t="n">
        <v>1783.45</v>
      </c>
      <c r="D481" s="572">
        <f>C481/C482-1</f>
        <v/>
      </c>
      <c r="E481" s="270" t="n">
        <v>72628.78</v>
      </c>
      <c r="F481" s="572">
        <f>E481/E482-1</f>
        <v/>
      </c>
      <c r="G481" s="270" t="n">
        <v>24044.5</v>
      </c>
      <c r="H481" s="572">
        <f>G481/G482-1</f>
        <v/>
      </c>
    </row>
    <row r="482">
      <c r="B482" s="269" t="n">
        <v>45469</v>
      </c>
      <c r="C482" s="270" t="n">
        <v>1803</v>
      </c>
      <c r="D482" s="572">
        <f>C482/C483-1</f>
        <v/>
      </c>
      <c r="E482" s="270" t="n">
        <v>72683.19</v>
      </c>
      <c r="F482" s="572">
        <f>E482/E483-1</f>
        <v/>
      </c>
      <c r="G482" s="270" t="n">
        <v>23868.8</v>
      </c>
      <c r="H482" s="572">
        <f>G482/G483-1</f>
        <v/>
      </c>
    </row>
    <row r="483">
      <c r="B483" s="269" t="n">
        <v>45468</v>
      </c>
      <c r="C483" s="270" t="n">
        <v>1906.5</v>
      </c>
      <c r="D483" s="572">
        <f>C483/C484-1</f>
        <v/>
      </c>
      <c r="E483" s="270" t="n">
        <v>72694.07000000001</v>
      </c>
      <c r="F483" s="572">
        <f>E483/E484-1</f>
        <v/>
      </c>
      <c r="G483" s="270" t="n">
        <v>23721.3</v>
      </c>
      <c r="H483" s="572">
        <f>G483/G484-1</f>
        <v/>
      </c>
    </row>
    <row r="484">
      <c r="B484" s="269" t="n">
        <v>45467</v>
      </c>
      <c r="C484" s="270" t="n">
        <v>1929.15</v>
      </c>
      <c r="D484" s="572">
        <f>C484/C485-1</f>
        <v/>
      </c>
      <c r="E484" s="270" t="n">
        <v>72489.21000000001</v>
      </c>
      <c r="F484" s="572">
        <f>E484/E485-1</f>
        <v/>
      </c>
      <c r="G484" s="270" t="n">
        <v>23537.85</v>
      </c>
      <c r="H484" s="572">
        <f>G484/G485-1</f>
        <v/>
      </c>
    </row>
    <row r="485">
      <c r="B485" s="269" t="n">
        <v>45464</v>
      </c>
      <c r="C485" s="270" t="n">
        <v>1910.05</v>
      </c>
      <c r="D485" s="572">
        <f>C485/C486-1</f>
        <v/>
      </c>
      <c r="E485" s="270" t="n">
        <v>71779.22</v>
      </c>
      <c r="F485" s="572">
        <f>E485/E486-1</f>
        <v/>
      </c>
      <c r="G485" s="270" t="n">
        <v>23501.1</v>
      </c>
      <c r="H485" s="572">
        <f>G485/G486-1</f>
        <v/>
      </c>
    </row>
    <row r="486">
      <c r="B486" s="269" t="n">
        <v>45463</v>
      </c>
      <c r="C486" s="270" t="n">
        <v>1930.05</v>
      </c>
      <c r="D486" s="572">
        <f>C486/C487-1</f>
        <v/>
      </c>
      <c r="E486" s="270" t="n">
        <v>72473.56</v>
      </c>
      <c r="F486" s="572">
        <f>E486/E487-1</f>
        <v/>
      </c>
      <c r="G486" s="270" t="n">
        <v>23567</v>
      </c>
      <c r="H486" s="572">
        <f>G486/G487-1</f>
        <v/>
      </c>
    </row>
    <row r="487">
      <c r="B487" s="269" t="n">
        <v>45462</v>
      </c>
      <c r="C487" s="270" t="n">
        <v>1946.9</v>
      </c>
      <c r="D487" s="572">
        <f>C487/C488-1</f>
        <v/>
      </c>
      <c r="E487" s="270" t="n">
        <v>72206.83</v>
      </c>
      <c r="F487" s="572">
        <f>E487/E488-1</f>
        <v/>
      </c>
      <c r="G487" s="270" t="n">
        <v>23516</v>
      </c>
      <c r="H487" s="572">
        <f>G487/G488-1</f>
        <v/>
      </c>
    </row>
    <row r="488">
      <c r="B488" s="269" t="n">
        <v>45461</v>
      </c>
      <c r="C488" s="270" t="n">
        <v>1977.95</v>
      </c>
      <c r="D488" s="572">
        <f>C488/C489-1</f>
        <v/>
      </c>
      <c r="E488" s="270" t="n">
        <v>73790.16</v>
      </c>
      <c r="F488" s="572">
        <f>E488/E489-1</f>
        <v/>
      </c>
      <c r="G488" s="270" t="n">
        <v>23557.9</v>
      </c>
      <c r="H488" s="572">
        <f>G488/G489-1</f>
        <v/>
      </c>
    </row>
    <row r="489">
      <c r="B489" s="269" t="n">
        <v>45457</v>
      </c>
      <c r="C489" s="270" t="n">
        <v>1787.9</v>
      </c>
      <c r="D489" s="572">
        <f>C489/C490-1</f>
        <v/>
      </c>
      <c r="E489" s="270" t="n">
        <v>73255.72</v>
      </c>
      <c r="F489" s="572">
        <f>E489/E490-1</f>
        <v/>
      </c>
      <c r="G489" s="270" t="n">
        <v>23465.6</v>
      </c>
      <c r="H489" s="572">
        <f>G489/G490-1</f>
        <v/>
      </c>
    </row>
    <row r="490">
      <c r="B490" s="269" t="n">
        <v>45456</v>
      </c>
      <c r="C490" s="270" t="n">
        <v>1808.35</v>
      </c>
      <c r="D490" s="572">
        <f>C490/C491-1</f>
        <v/>
      </c>
      <c r="E490" s="270" t="n">
        <v>72088.2</v>
      </c>
      <c r="F490" s="572">
        <f>E490/E491-1</f>
        <v/>
      </c>
      <c r="G490" s="270" t="n">
        <v>23398.9</v>
      </c>
      <c r="H490" s="572">
        <f>G490/G491-1</f>
        <v/>
      </c>
    </row>
    <row r="491">
      <c r="B491" s="269" t="n">
        <v>45455</v>
      </c>
      <c r="C491" s="270" t="n">
        <v>1793.65</v>
      </c>
      <c r="D491" s="572">
        <f>C491/C492-1</f>
        <v/>
      </c>
      <c r="E491" s="270" t="n">
        <v>70639.28999999999</v>
      </c>
      <c r="F491" s="572">
        <f>E491/E492-1</f>
        <v/>
      </c>
      <c r="G491" s="270" t="n">
        <v>23322.95</v>
      </c>
      <c r="H491" s="572">
        <f>G491/G492-1</f>
        <v/>
      </c>
    </row>
    <row r="492">
      <c r="B492" s="269" t="n">
        <v>45454</v>
      </c>
      <c r="C492" s="270" t="n">
        <v>1792.05</v>
      </c>
      <c r="D492" s="572">
        <f>C492/C493-1</f>
        <v/>
      </c>
      <c r="E492" s="270" t="n">
        <v>69810.96000000001</v>
      </c>
      <c r="F492" s="572">
        <f>E492/E493-1</f>
        <v/>
      </c>
      <c r="G492" s="270" t="n">
        <v>23264.85</v>
      </c>
      <c r="H492" s="572">
        <f>G492/G493-1</f>
        <v/>
      </c>
    </row>
    <row r="493">
      <c r="B493" s="269" t="n">
        <v>45453</v>
      </c>
      <c r="C493" s="270" t="n">
        <v>1791.55</v>
      </c>
      <c r="D493" s="572">
        <f>C493/C494-1</f>
        <v/>
      </c>
      <c r="E493" s="270" t="n">
        <v>68853.12</v>
      </c>
      <c r="F493" s="572">
        <f>E493/E494-1</f>
        <v/>
      </c>
      <c r="G493" s="270" t="n">
        <v>23259.2</v>
      </c>
      <c r="H493" s="572">
        <f>G493/G494-1</f>
        <v/>
      </c>
    </row>
    <row r="494">
      <c r="B494" s="269" t="n">
        <v>45450</v>
      </c>
      <c r="C494" s="270" t="n">
        <v>1763.65</v>
      </c>
      <c r="D494" s="572">
        <f>C494/C495-1</f>
        <v/>
      </c>
      <c r="E494" s="270" t="n">
        <v>68852.25999999999</v>
      </c>
      <c r="F494" s="572">
        <f>E494/E495-1</f>
        <v/>
      </c>
      <c r="G494" s="270" t="n">
        <v>23290.15</v>
      </c>
      <c r="H494" s="572">
        <f>G494/G495-1</f>
        <v/>
      </c>
    </row>
    <row r="495">
      <c r="B495" s="269" t="n">
        <v>45449</v>
      </c>
      <c r="C495" s="270" t="n">
        <v>1789.75</v>
      </c>
      <c r="D495" s="572">
        <f>C495/C496-1</f>
        <v/>
      </c>
      <c r="E495" s="270" t="n">
        <v>67886.67</v>
      </c>
      <c r="F495" s="572">
        <f>E495/E496-1</f>
        <v/>
      </c>
      <c r="G495" s="270" t="n">
        <v>22821.4</v>
      </c>
      <c r="H495" s="572">
        <f>G495/G496-1</f>
        <v/>
      </c>
    </row>
    <row r="496">
      <c r="B496" s="269" t="n">
        <v>45448</v>
      </c>
      <c r="C496" s="270" t="n">
        <v>1748.75</v>
      </c>
      <c r="D496" s="572">
        <f>C496/C497-1</f>
        <v/>
      </c>
      <c r="E496" s="270" t="n">
        <v>65643.28</v>
      </c>
      <c r="F496" s="572">
        <f>E496/E497-1</f>
        <v/>
      </c>
      <c r="G496" s="270" t="n">
        <v>22620.35</v>
      </c>
      <c r="H496" s="572">
        <f>G496/G497-1</f>
        <v/>
      </c>
    </row>
    <row r="497">
      <c r="B497" s="269" t="n">
        <v>45447</v>
      </c>
      <c r="C497" s="270" t="n">
        <v>1609.3</v>
      </c>
      <c r="D497" s="572">
        <f>C497/C498-1</f>
        <v/>
      </c>
      <c r="E497" s="270" t="n">
        <v>64829.31</v>
      </c>
      <c r="F497" s="572">
        <f>E497/E498-1</f>
        <v/>
      </c>
      <c r="G497" s="270" t="n">
        <v>21884.5</v>
      </c>
      <c r="H497" s="572">
        <f>G497/G498-1</f>
        <v/>
      </c>
    </row>
    <row r="498">
      <c r="B498" s="269" t="n">
        <v>45446</v>
      </c>
      <c r="C498" s="270" t="n">
        <v>1742.1</v>
      </c>
      <c r="D498" s="572">
        <f>C498/C499-1</f>
        <v/>
      </c>
      <c r="E498" s="270" t="n">
        <v>73722.27</v>
      </c>
      <c r="F498" s="572">
        <f>E498/E499-1</f>
        <v/>
      </c>
      <c r="G498" s="270" t="n">
        <v>23263.9</v>
      </c>
      <c r="H498" s="572">
        <f>G498/G499-1</f>
        <v/>
      </c>
    </row>
    <row r="499">
      <c r="B499" s="269" t="n">
        <v>45443</v>
      </c>
      <c r="C499" s="270" t="n">
        <v>1727.05</v>
      </c>
      <c r="D499" s="572">
        <f>C499/C500-1</f>
        <v/>
      </c>
      <c r="E499" s="270" t="n">
        <v>70055.57000000001</v>
      </c>
      <c r="F499" s="572">
        <f>E499/E500-1</f>
        <v/>
      </c>
      <c r="G499" s="270" t="n">
        <v>22530.7</v>
      </c>
      <c r="H499" s="572">
        <f>G499/G500-1</f>
        <v/>
      </c>
    </row>
    <row r="500">
      <c r="B500" s="269" t="n">
        <v>45442</v>
      </c>
      <c r="C500" s="270" t="n">
        <v>1705.3</v>
      </c>
      <c r="D500" s="572">
        <f>C500/C501-1</f>
        <v/>
      </c>
      <c r="E500" s="270" t="n">
        <v>69423.88</v>
      </c>
      <c r="F500" s="572">
        <f>E500/E501-1</f>
        <v/>
      </c>
      <c r="G500" s="270" t="n">
        <v>22488.65</v>
      </c>
      <c r="H500" s="572">
        <f>G500/G501-1</f>
        <v/>
      </c>
    </row>
    <row r="501">
      <c r="B501" s="269" t="n">
        <v>45441</v>
      </c>
      <c r="C501" s="270" t="n">
        <v>1724.45</v>
      </c>
      <c r="D501" s="572">
        <f>C501/C502-1</f>
        <v/>
      </c>
      <c r="E501" s="270" t="n">
        <v>69740.63</v>
      </c>
      <c r="F501" s="572">
        <f>E501/E502-1</f>
        <v/>
      </c>
      <c r="G501" s="270" t="n">
        <v>22704.7</v>
      </c>
      <c r="H501" s="572">
        <f>G501/G502-1</f>
        <v/>
      </c>
    </row>
    <row r="502">
      <c r="B502" s="269" t="n">
        <v>45440</v>
      </c>
      <c r="C502" s="270" t="n">
        <v>1703.75</v>
      </c>
      <c r="D502" s="572">
        <f>C502/C503-1</f>
        <v/>
      </c>
      <c r="E502" s="270" t="n">
        <v>69637.96000000001</v>
      </c>
      <c r="F502" s="572">
        <f>E502/E503-1</f>
        <v/>
      </c>
      <c r="G502" s="270" t="n">
        <v>22888.15</v>
      </c>
      <c r="H502" s="572">
        <f>G502/G503-1</f>
        <v/>
      </c>
    </row>
    <row r="503">
      <c r="B503" s="269" t="n">
        <v>45439</v>
      </c>
      <c r="C503" s="270" t="n">
        <v>1736.4</v>
      </c>
      <c r="D503" s="572">
        <f>C503/C504-1</f>
        <v/>
      </c>
      <c r="E503" s="270" t="n">
        <v>70303.19</v>
      </c>
      <c r="F503" s="572">
        <f>E503/E504-1</f>
        <v/>
      </c>
      <c r="G503" s="270" t="n">
        <v>22932.45</v>
      </c>
      <c r="H503" s="572">
        <f>G503/G504-1</f>
        <v/>
      </c>
    </row>
    <row r="504">
      <c r="B504" s="269" t="n">
        <v>45436</v>
      </c>
      <c r="C504" s="270" t="n">
        <v>1760.6</v>
      </c>
      <c r="D504" s="572">
        <f>C504/C505-1</f>
        <v/>
      </c>
      <c r="E504" s="270" t="n">
        <v>70235.49000000001</v>
      </c>
      <c r="F504" s="572">
        <f>E504/E505-1</f>
        <v/>
      </c>
      <c r="G504" s="270" t="n">
        <v>22957.1</v>
      </c>
      <c r="H504" s="572">
        <f>G504/G505-1</f>
        <v/>
      </c>
    </row>
    <row r="505">
      <c r="B505" s="269" t="n">
        <v>45435</v>
      </c>
      <c r="C505" s="270" t="n">
        <v>1773.45</v>
      </c>
      <c r="D505" s="572">
        <f>C505/C506-1</f>
        <v/>
      </c>
      <c r="E505" s="270" t="n">
        <v>69487.42</v>
      </c>
      <c r="F505" s="572">
        <f>E505/E506-1</f>
        <v/>
      </c>
      <c r="G505" s="270" t="n">
        <v>22967.65</v>
      </c>
      <c r="H505" s="572">
        <f>G505/G506-1</f>
        <v/>
      </c>
    </row>
    <row r="506">
      <c r="B506" s="269" t="n">
        <v>45434</v>
      </c>
      <c r="C506" s="270" t="n">
        <v>1790.85</v>
      </c>
      <c r="D506" s="572">
        <f>C506/C507-1</f>
        <v/>
      </c>
      <c r="E506" s="270" t="n">
        <v>68041.34</v>
      </c>
      <c r="F506" s="572">
        <f>E506/E507-1</f>
        <v/>
      </c>
      <c r="G506" s="270" t="n">
        <v>22597.8</v>
      </c>
      <c r="H506" s="572">
        <f>G506/G507-1</f>
        <v/>
      </c>
    </row>
    <row r="507">
      <c r="B507" s="269" t="n">
        <v>45433</v>
      </c>
      <c r="C507" s="270" t="n">
        <v>1821.75</v>
      </c>
      <c r="D507" s="572">
        <f>C507/C508-1</f>
        <v/>
      </c>
      <c r="E507" s="270" t="n">
        <v>67649.13</v>
      </c>
      <c r="F507" s="572">
        <f>E507/E508-1</f>
        <v/>
      </c>
      <c r="G507" s="270" t="n">
        <v>22529.05</v>
      </c>
      <c r="H507" s="572">
        <f>G507/G508-1</f>
        <v/>
      </c>
    </row>
    <row r="508">
      <c r="B508" s="269" t="n">
        <v>45430</v>
      </c>
      <c r="C508" s="270" t="n">
        <v>1858</v>
      </c>
      <c r="D508" s="572">
        <f>C508/C509-1</f>
        <v/>
      </c>
      <c r="E508" s="270" t="n">
        <v>67082.55</v>
      </c>
      <c r="F508" s="572">
        <f>E508/E509-1</f>
        <v/>
      </c>
      <c r="G508" s="270" t="n">
        <v>22502</v>
      </c>
      <c r="H508" s="572">
        <f>G508/G509-1</f>
        <v/>
      </c>
    </row>
    <row r="509">
      <c r="B509" s="269" t="n">
        <v>45429</v>
      </c>
      <c r="C509" s="270" t="n">
        <v>1860.1</v>
      </c>
      <c r="D509" s="572">
        <f>C509/C510-1</f>
        <v/>
      </c>
      <c r="E509" s="270" t="n">
        <v>66292.53</v>
      </c>
      <c r="F509" s="572">
        <f>E509/E510-1</f>
        <v/>
      </c>
      <c r="G509" s="270" t="n">
        <v>22466.1</v>
      </c>
      <c r="H509" s="572">
        <f>G509/G510-1</f>
        <v/>
      </c>
    </row>
    <row r="510">
      <c r="B510" s="269" t="n">
        <v>45428</v>
      </c>
      <c r="C510" s="270" t="n">
        <v>1808</v>
      </c>
      <c r="D510" s="572">
        <f>C510/C511-1</f>
        <v/>
      </c>
      <c r="E510" s="270" t="n">
        <v>65777.05</v>
      </c>
      <c r="F510" s="572">
        <f>E510/E511-1</f>
        <v/>
      </c>
      <c r="G510" s="270" t="n">
        <v>22403.85</v>
      </c>
      <c r="H510" s="572">
        <f>G510/G511-1</f>
        <v/>
      </c>
    </row>
    <row r="511">
      <c r="B511" s="269" t="n">
        <v>45427</v>
      </c>
      <c r="C511" s="270" t="n">
        <v>1817</v>
      </c>
      <c r="D511" s="572">
        <f>C511/C512-1</f>
        <v/>
      </c>
      <c r="E511" s="270" t="n">
        <v>64454.19</v>
      </c>
      <c r="F511" s="572">
        <f>E511/E512-1</f>
        <v/>
      </c>
      <c r="G511" s="270" t="n">
        <v>22200.55</v>
      </c>
      <c r="H511" s="572">
        <f>G511/G512-1</f>
        <v/>
      </c>
    </row>
    <row r="512">
      <c r="B512" s="269" t="n">
        <v>45426</v>
      </c>
      <c r="C512" s="270" t="n">
        <v>1819.85</v>
      </c>
      <c r="D512" s="572">
        <f>C512/C513-1</f>
        <v/>
      </c>
      <c r="E512" s="270" t="n">
        <v>63107.88</v>
      </c>
      <c r="F512" s="572">
        <f>E512/E513-1</f>
        <v/>
      </c>
      <c r="G512" s="270" t="n">
        <v>22217.85</v>
      </c>
      <c r="H512" s="572">
        <f>G512/G513-1</f>
        <v/>
      </c>
    </row>
    <row r="513">
      <c r="B513" s="269" t="n">
        <v>45425</v>
      </c>
      <c r="C513" s="270" t="n">
        <v>1778.1</v>
      </c>
      <c r="D513" s="572">
        <f>C513/C514-1</f>
        <v/>
      </c>
      <c r="E513" s="270" t="n">
        <v>61805.04</v>
      </c>
      <c r="F513" s="572">
        <f>E513/E514-1</f>
        <v/>
      </c>
      <c r="G513" s="270" t="n">
        <v>22104.05</v>
      </c>
      <c r="H513" s="572">
        <f>G513/G514-1</f>
        <v/>
      </c>
    </row>
    <row r="514">
      <c r="B514" s="269" t="n">
        <v>45422</v>
      </c>
      <c r="C514" s="270" t="n">
        <v>1815.35</v>
      </c>
      <c r="D514" s="572">
        <f>C514/C515-1</f>
        <v/>
      </c>
      <c r="E514" s="270" t="n">
        <v>60987.48</v>
      </c>
      <c r="F514" s="572">
        <f>E514/E515-1</f>
        <v/>
      </c>
      <c r="G514" s="270" t="n">
        <v>22055.2</v>
      </c>
      <c r="H514" s="572">
        <f>G514/G515-1</f>
        <v/>
      </c>
    </row>
    <row r="515">
      <c r="B515" s="269" t="n">
        <v>45421</v>
      </c>
      <c r="C515" s="270" t="n">
        <v>1889.3</v>
      </c>
      <c r="D515" s="572">
        <f>C515/C516-1</f>
        <v/>
      </c>
      <c r="E515" s="270" t="n">
        <v>60727.28</v>
      </c>
      <c r="F515" s="572">
        <f>E515/E516-1</f>
        <v/>
      </c>
      <c r="G515" s="270" t="n">
        <v>21957.5</v>
      </c>
      <c r="H515" s="572">
        <f>G515/G516-1</f>
        <v/>
      </c>
    </row>
    <row r="516">
      <c r="B516" s="269" t="n">
        <v>45420</v>
      </c>
      <c r="C516" s="270" t="n">
        <v>1967.8</v>
      </c>
      <c r="D516" s="572">
        <f>C516/C517-1</f>
        <v/>
      </c>
      <c r="E516" s="270" t="n">
        <v>62848.24</v>
      </c>
      <c r="F516" s="572">
        <f>E516/E517-1</f>
        <v/>
      </c>
      <c r="G516" s="270" t="n">
        <v>22302.5</v>
      </c>
      <c r="H516" s="572">
        <f>G516/G517-1</f>
        <v/>
      </c>
    </row>
    <row r="517">
      <c r="B517" s="269" t="n">
        <v>45419</v>
      </c>
      <c r="C517" s="270" t="n">
        <v>1949.25</v>
      </c>
      <c r="D517" s="572">
        <f>C517/C518-1</f>
        <v/>
      </c>
      <c r="E517" s="270" t="n">
        <v>61537.27</v>
      </c>
      <c r="F517" s="572">
        <f>E517/E518-1</f>
        <v/>
      </c>
      <c r="G517" s="270" t="n">
        <v>22302.5</v>
      </c>
      <c r="H517" s="572">
        <f>G517/G518-1</f>
        <v/>
      </c>
    </row>
    <row r="518">
      <c r="B518" s="269" t="n">
        <v>45418</v>
      </c>
      <c r="C518" s="270" t="n">
        <v>2063.7</v>
      </c>
      <c r="D518" s="572">
        <f>C518/C519-1</f>
        <v/>
      </c>
      <c r="E518" s="270" t="n">
        <v>62223.11</v>
      </c>
      <c r="F518" s="572">
        <f>E518/E519-1</f>
        <v/>
      </c>
      <c r="G518" s="270" t="n">
        <v>22442.7</v>
      </c>
      <c r="H518" s="572">
        <f>G518/G519-1</f>
        <v/>
      </c>
    </row>
    <row r="519">
      <c r="B519" s="269" t="n">
        <v>45415</v>
      </c>
      <c r="C519" s="270" t="n">
        <v>1836.3</v>
      </c>
      <c r="D519" s="572">
        <f>C519/C520-1</f>
        <v/>
      </c>
      <c r="E519" s="270" t="n">
        <v>62616.74</v>
      </c>
      <c r="F519" s="572">
        <f>E519/E520-1</f>
        <v/>
      </c>
      <c r="G519" s="270" t="n">
        <v>22475.85</v>
      </c>
      <c r="H519" s="572">
        <f>G519/G520-1</f>
        <v/>
      </c>
    </row>
    <row r="520">
      <c r="B520" s="269" t="n">
        <v>45414</v>
      </c>
      <c r="C520" s="270" t="n">
        <v>1808.85</v>
      </c>
      <c r="D520" s="572">
        <f>C520/C521-1</f>
        <v/>
      </c>
      <c r="E520" s="270" t="n">
        <v>63366.24</v>
      </c>
      <c r="F520" s="572">
        <f>E520/E521-1</f>
        <v/>
      </c>
      <c r="G520" s="270" t="n">
        <v>22648.2</v>
      </c>
      <c r="H520" s="572">
        <f>G520/G521-1</f>
        <v/>
      </c>
    </row>
    <row r="521">
      <c r="B521" s="269" t="n">
        <v>45412</v>
      </c>
      <c r="C521" s="270" t="n">
        <v>1782.15</v>
      </c>
      <c r="D521" s="572">
        <f>C521/C522-1</f>
        <v/>
      </c>
      <c r="E521" s="270" t="n">
        <v>63024.94</v>
      </c>
      <c r="F521" s="572">
        <f>E521/E522-1</f>
        <v/>
      </c>
      <c r="G521" s="270" t="n">
        <v>22604.85</v>
      </c>
      <c r="H521" s="572">
        <f>G521/G522-1</f>
        <v/>
      </c>
    </row>
    <row r="522">
      <c r="B522" s="269" t="n">
        <v>45411</v>
      </c>
      <c r="C522" s="270" t="n">
        <v>1777.35</v>
      </c>
      <c r="D522" s="572">
        <f>C522/C523-1</f>
        <v/>
      </c>
      <c r="E522" s="270" t="n">
        <v>63236.61</v>
      </c>
      <c r="F522" s="572">
        <f>E522/E523-1</f>
        <v/>
      </c>
      <c r="G522" s="270" t="n">
        <v>22643.4</v>
      </c>
      <c r="H522" s="572">
        <f>G522/G523-1</f>
        <v/>
      </c>
    </row>
    <row r="523">
      <c r="B523" s="269" t="n">
        <v>45408</v>
      </c>
      <c r="C523" s="270" t="n">
        <v>1788.85</v>
      </c>
      <c r="D523" s="572">
        <f>C523/C524-1</f>
        <v/>
      </c>
      <c r="E523" s="270" t="n">
        <v>63115.05</v>
      </c>
      <c r="F523" s="572">
        <f>E523/E524-1</f>
        <v/>
      </c>
      <c r="G523" s="270" t="n">
        <v>22419.95</v>
      </c>
      <c r="H523" s="572">
        <f>G523/G524-1</f>
        <v/>
      </c>
    </row>
    <row r="524">
      <c r="B524" s="269" t="n">
        <v>45407</v>
      </c>
      <c r="C524" s="270" t="n">
        <v>1816.25</v>
      </c>
      <c r="D524" s="572">
        <f>C524/C525-1</f>
        <v/>
      </c>
      <c r="E524" s="270" t="n">
        <v>63249.93</v>
      </c>
      <c r="F524" s="572">
        <f>E524/E525-1</f>
        <v/>
      </c>
      <c r="G524" s="270" t="n">
        <v>22570.35</v>
      </c>
      <c r="H524" s="572">
        <f>G524/G525-1</f>
        <v/>
      </c>
    </row>
    <row r="525">
      <c r="B525" s="269" t="n">
        <v>45406</v>
      </c>
      <c r="C525" s="270" t="n">
        <v>1754.1</v>
      </c>
      <c r="D525" s="572">
        <f>C525/C526-1</f>
        <v/>
      </c>
      <c r="E525" s="270" t="n">
        <v>62705.1</v>
      </c>
      <c r="F525" s="572">
        <f>E525/E526-1</f>
        <v/>
      </c>
      <c r="G525" s="270" t="n">
        <v>22402.4</v>
      </c>
      <c r="H525" s="572">
        <f>G525/G526-1</f>
        <v/>
      </c>
    </row>
    <row r="526">
      <c r="B526" s="269" t="n">
        <v>45405</v>
      </c>
      <c r="C526" s="270" t="n">
        <v>1827.25</v>
      </c>
      <c r="D526" s="572">
        <f>C526/C527-1</f>
        <v/>
      </c>
      <c r="E526" s="270" t="n">
        <v>62143.58</v>
      </c>
      <c r="F526" s="572">
        <f>E526/E527-1</f>
        <v/>
      </c>
      <c r="G526" s="270" t="n">
        <v>22368</v>
      </c>
      <c r="H526" s="572">
        <f>G526/G527-1</f>
        <v/>
      </c>
    </row>
    <row r="527">
      <c r="B527" s="269" t="n">
        <v>45404</v>
      </c>
      <c r="C527" s="270" t="n">
        <v>1798.2</v>
      </c>
      <c r="D527" s="572">
        <f>C527/C528-1</f>
        <v/>
      </c>
      <c r="E527" s="270" t="n">
        <v>62042.67</v>
      </c>
      <c r="F527" s="572">
        <f>E527/E528-1</f>
        <v/>
      </c>
      <c r="G527" s="270" t="n">
        <v>22336.4</v>
      </c>
      <c r="H527" s="572">
        <f>G527/G528-1</f>
        <v/>
      </c>
    </row>
    <row r="528">
      <c r="B528" s="269" t="n">
        <v>45401</v>
      </c>
      <c r="C528" s="270" t="n">
        <v>1664.8</v>
      </c>
      <c r="D528" s="572">
        <f>C528/C529-1</f>
        <v/>
      </c>
      <c r="E528" s="270" t="n">
        <v>61035.39</v>
      </c>
      <c r="F528" s="572">
        <f>E528/E529-1</f>
        <v/>
      </c>
      <c r="G528" s="270" t="n">
        <v>22147</v>
      </c>
      <c r="H528" s="572">
        <f>G528/G529-1</f>
        <v/>
      </c>
    </row>
    <row r="529">
      <c r="B529" s="269" t="n">
        <v>45400</v>
      </c>
      <c r="C529" s="270" t="n">
        <v>1679.45</v>
      </c>
      <c r="D529" s="572">
        <f>C529/C530-1</f>
        <v/>
      </c>
      <c r="E529" s="270" t="n">
        <v>61156.62</v>
      </c>
      <c r="F529" s="572">
        <f>E529/E530-1</f>
        <v/>
      </c>
      <c r="G529" s="270" t="n">
        <v>21995.85</v>
      </c>
      <c r="H529" s="572">
        <f>G529/G530-1</f>
        <v/>
      </c>
    </row>
    <row r="530">
      <c r="B530" s="269" t="n">
        <v>45398</v>
      </c>
      <c r="C530" s="270" t="n">
        <v>1668.07</v>
      </c>
      <c r="D530" s="572">
        <f>C530/C531-1</f>
        <v/>
      </c>
      <c r="E530" s="270" t="n">
        <v>61164.62</v>
      </c>
      <c r="F530" s="572">
        <f>E530/E531-1</f>
        <v/>
      </c>
      <c r="G530" s="270" t="n">
        <v>22147.9</v>
      </c>
      <c r="H530" s="572">
        <f>G530/G531-1</f>
        <v/>
      </c>
    </row>
    <row r="531">
      <c r="B531" s="269" t="n">
        <v>45397</v>
      </c>
      <c r="C531" s="270" t="n">
        <v>1672.22</v>
      </c>
      <c r="D531" s="572">
        <f>C531/C532-1</f>
        <v/>
      </c>
      <c r="E531" s="270" t="n">
        <v>61322.44</v>
      </c>
      <c r="F531" s="572">
        <f>E531/E532-1</f>
        <v/>
      </c>
      <c r="G531" s="270" t="n">
        <v>22272.5</v>
      </c>
      <c r="H531" s="572">
        <f>G531/G532-1</f>
        <v/>
      </c>
    </row>
    <row r="532">
      <c r="B532" s="269" t="n">
        <v>45394</v>
      </c>
      <c r="C532" s="270" t="n">
        <v>1685.82</v>
      </c>
      <c r="D532" s="572">
        <f>C532/C533-1</f>
        <v/>
      </c>
      <c r="E532" s="270" t="n">
        <v>62251.73</v>
      </c>
      <c r="F532" s="572">
        <f>E532/E533-1</f>
        <v/>
      </c>
      <c r="G532" s="270" t="n">
        <v>22519.4</v>
      </c>
      <c r="H532" s="572">
        <f>G532/G533-1</f>
        <v/>
      </c>
    </row>
    <row r="533">
      <c r="B533" s="269" t="n">
        <v>45392</v>
      </c>
      <c r="C533" s="270" t="n">
        <v>1686.75</v>
      </c>
      <c r="D533" s="572">
        <f>C533/C534-1</f>
        <v/>
      </c>
      <c r="E533" s="270" t="n">
        <v>62556.26</v>
      </c>
      <c r="F533" s="572">
        <f>E533/E534-1</f>
        <v/>
      </c>
      <c r="G533" s="270" t="n">
        <v>22753.8</v>
      </c>
      <c r="H533" s="572">
        <f>G533/G534-1</f>
        <v/>
      </c>
    </row>
    <row r="534">
      <c r="B534" s="269" t="n">
        <v>45391</v>
      </c>
      <c r="C534" s="270" t="n">
        <v>1689.6</v>
      </c>
      <c r="D534" s="572">
        <f>C534/C535-1</f>
        <v/>
      </c>
      <c r="E534" s="270" t="n">
        <v>62484.13</v>
      </c>
      <c r="F534" s="572">
        <f>E534/E535-1</f>
        <v/>
      </c>
      <c r="G534" s="270" t="n">
        <v>22642.75</v>
      </c>
      <c r="H534" s="572">
        <f>G534/G535-1</f>
        <v/>
      </c>
    </row>
    <row r="535">
      <c r="B535" s="269" t="n">
        <v>45390</v>
      </c>
      <c r="C535" s="270" t="n">
        <v>1694.6</v>
      </c>
      <c r="D535" s="572">
        <f>C535/C536-1</f>
        <v/>
      </c>
      <c r="E535" s="270" t="n">
        <v>62786.46</v>
      </c>
      <c r="F535" s="572">
        <f>E535/E536-1</f>
        <v/>
      </c>
      <c r="G535" s="270" t="n">
        <v>22666.3</v>
      </c>
      <c r="H535" s="572">
        <f>G535/G536-1</f>
        <v/>
      </c>
    </row>
    <row r="536">
      <c r="B536" s="269" t="n">
        <v>45387</v>
      </c>
      <c r="C536" s="270" t="n">
        <v>1689.7</v>
      </c>
      <c r="D536" s="572">
        <f>C536/C537-1</f>
        <v/>
      </c>
      <c r="E536" s="270" t="n">
        <v>62468.96</v>
      </c>
      <c r="F536" s="572">
        <f>E536/E537-1</f>
        <v/>
      </c>
      <c r="G536" s="270" t="n">
        <v>22513.7</v>
      </c>
      <c r="H536" s="572">
        <f>G536/G537-1</f>
        <v/>
      </c>
    </row>
    <row r="537">
      <c r="B537" s="269" t="n">
        <v>45386</v>
      </c>
      <c r="C537" s="270" t="n">
        <v>1714.03</v>
      </c>
      <c r="D537" s="572">
        <f>C537/C538-1</f>
        <v/>
      </c>
      <c r="E537" s="270" t="n">
        <v>62605.37</v>
      </c>
      <c r="F537" s="572">
        <f>E537/E538-1</f>
        <v/>
      </c>
      <c r="G537" s="270" t="n">
        <v>22514.65</v>
      </c>
      <c r="H537" s="572">
        <f>G537/G538-1</f>
        <v/>
      </c>
    </row>
    <row r="538">
      <c r="B538" s="269" t="n">
        <v>45385</v>
      </c>
      <c r="C538" s="270" t="n">
        <v>1610.6</v>
      </c>
      <c r="D538" s="572">
        <f>C538/C539-1</f>
        <v/>
      </c>
      <c r="E538" s="270" t="n">
        <v>62502.16</v>
      </c>
      <c r="F538" s="572">
        <f>E538/E539-1</f>
        <v/>
      </c>
      <c r="G538" s="270" t="n">
        <v>22434.65</v>
      </c>
      <c r="H538" s="572">
        <f>G538/G539-1</f>
        <v/>
      </c>
    </row>
    <row r="539">
      <c r="B539" s="269" t="n">
        <v>45384</v>
      </c>
      <c r="C539" s="270" t="n">
        <v>1573.65</v>
      </c>
      <c r="D539" s="572">
        <f>C539/C540-1</f>
        <v/>
      </c>
      <c r="E539" s="270" t="n">
        <v>62433.75</v>
      </c>
      <c r="F539" s="572">
        <f>E539/E540-1</f>
        <v/>
      </c>
      <c r="G539" s="270" t="n">
        <v>22453.3</v>
      </c>
      <c r="H539" s="572">
        <f>G539/G540-1</f>
        <v/>
      </c>
    </row>
    <row r="540">
      <c r="B540" s="269" t="n">
        <v>45383</v>
      </c>
      <c r="C540" s="270" t="n">
        <v>1580.05</v>
      </c>
      <c r="D540" s="572">
        <f>C540/C541-1</f>
        <v/>
      </c>
      <c r="E540" s="270" t="n">
        <v>61992.07</v>
      </c>
      <c r="F540" s="572">
        <f>E540/E541-1</f>
        <v/>
      </c>
      <c r="G540" s="270" t="n">
        <v>22462</v>
      </c>
      <c r="H540" s="572">
        <f>G540/G541-1</f>
        <v/>
      </c>
    </row>
    <row r="541">
      <c r="B541" s="269" t="n">
        <v>45379</v>
      </c>
      <c r="C541" s="270" t="n">
        <v>1579.28</v>
      </c>
      <c r="D541" s="572">
        <f>C541/C542-1</f>
        <v/>
      </c>
      <c r="E541" s="270" t="n">
        <v>60943.12</v>
      </c>
      <c r="F541" s="572">
        <f>E541/E542-1</f>
        <v/>
      </c>
      <c r="G541" s="270" t="n">
        <v>22326.9</v>
      </c>
      <c r="H541" s="572">
        <f>G541/G542-1</f>
        <v/>
      </c>
    </row>
    <row r="542">
      <c r="B542" s="269" t="n">
        <v>45378</v>
      </c>
      <c r="C542" s="270" t="n">
        <v>1587.15</v>
      </c>
      <c r="D542" s="572">
        <f>C542/C543-1</f>
        <v/>
      </c>
      <c r="E542" s="270" t="n">
        <v>60018.27</v>
      </c>
      <c r="F542" s="572">
        <f>E542/E543-1</f>
        <v/>
      </c>
      <c r="G542" s="270" t="n">
        <v>22123.65</v>
      </c>
      <c r="H542" s="572">
        <f>G542/G543-1</f>
        <v/>
      </c>
    </row>
    <row r="543">
      <c r="B543" s="269" t="n">
        <v>45377</v>
      </c>
      <c r="C543" s="270" t="n">
        <v>1597.5</v>
      </c>
      <c r="D543" s="572">
        <f>C543/C544-1</f>
        <v/>
      </c>
      <c r="E543" s="270" t="n">
        <v>59424.92</v>
      </c>
      <c r="F543" s="572">
        <f>E543/E544-1</f>
        <v/>
      </c>
      <c r="G543" s="270" t="n">
        <v>22004.7</v>
      </c>
      <c r="H543" s="572">
        <f>G543/G544-1</f>
        <v/>
      </c>
    </row>
    <row r="544">
      <c r="B544" s="269" t="n">
        <v>45373</v>
      </c>
      <c r="C544" s="270" t="n">
        <v>1591.43</v>
      </c>
      <c r="D544" s="572">
        <f>C544/C545-1</f>
        <v/>
      </c>
      <c r="E544" s="270" t="n">
        <v>58726.35</v>
      </c>
      <c r="F544" s="572">
        <f>E544/E545-1</f>
        <v/>
      </c>
      <c r="G544" s="270" t="n">
        <v>22096.75</v>
      </c>
      <c r="H544" s="572">
        <f>G544/G545-1</f>
        <v/>
      </c>
    </row>
    <row r="545">
      <c r="B545" s="269" t="n">
        <v>45372</v>
      </c>
      <c r="C545" s="270" t="n">
        <v>1571</v>
      </c>
      <c r="D545" s="572">
        <f>C545/C546-1</f>
        <v/>
      </c>
      <c r="E545" s="270" t="n">
        <v>58046</v>
      </c>
      <c r="F545" s="572">
        <f>E545/E546-1</f>
        <v/>
      </c>
      <c r="G545" s="270" t="n">
        <v>22011.95</v>
      </c>
      <c r="H545" s="572">
        <f>G545/G546-1</f>
        <v/>
      </c>
    </row>
    <row r="546">
      <c r="B546" s="269" t="n">
        <v>45371</v>
      </c>
      <c r="C546" s="270" t="n">
        <v>1521.18</v>
      </c>
      <c r="D546" s="572">
        <f>C546/C547-1</f>
        <v/>
      </c>
      <c r="E546" s="270" t="n">
        <v>56480.48</v>
      </c>
      <c r="F546" s="572">
        <f>E546/E547-1</f>
        <v/>
      </c>
      <c r="G546" s="270" t="n">
        <v>21839.1</v>
      </c>
      <c r="H546" s="572">
        <f>G546/G547-1</f>
        <v/>
      </c>
    </row>
    <row r="547">
      <c r="B547" s="269" t="n">
        <v>45370</v>
      </c>
      <c r="C547" s="270" t="n">
        <v>1636.1</v>
      </c>
      <c r="D547" s="572">
        <f>C547/C548-1</f>
        <v/>
      </c>
      <c r="E547" s="270" t="n">
        <v>56354.05</v>
      </c>
      <c r="F547" s="572">
        <f>E547/E548-1</f>
        <v/>
      </c>
      <c r="G547" s="270" t="n">
        <v>21817.45</v>
      </c>
      <c r="H547" s="572">
        <f>G547/G548-1</f>
        <v/>
      </c>
    </row>
    <row r="548">
      <c r="B548" s="269" t="n">
        <v>45369</v>
      </c>
      <c r="C548" s="270" t="n">
        <v>1557.47</v>
      </c>
      <c r="D548" s="572">
        <f>C548/C549-1</f>
        <v/>
      </c>
      <c r="E548" s="270" t="n">
        <v>57197.72</v>
      </c>
      <c r="F548" s="572">
        <f>E548/E549-1</f>
        <v/>
      </c>
      <c r="G548" s="270" t="n">
        <v>22055.7</v>
      </c>
      <c r="H548" s="572">
        <f>G548/G549-1</f>
        <v/>
      </c>
    </row>
    <row r="549">
      <c r="B549" s="269" t="n">
        <v>45366</v>
      </c>
      <c r="C549" s="270" t="n">
        <v>1357.12</v>
      </c>
      <c r="D549" s="572">
        <f>C549/C550-1</f>
        <v/>
      </c>
      <c r="E549" s="270" t="n">
        <v>56820.05</v>
      </c>
      <c r="F549" s="572">
        <f>E549/E550-1</f>
        <v/>
      </c>
      <c r="G549" s="270" t="n">
        <v>22023.35</v>
      </c>
      <c r="H549" s="572">
        <f>G549/G550-1</f>
        <v/>
      </c>
    </row>
    <row r="550">
      <c r="B550" s="269" t="n">
        <v>45365</v>
      </c>
      <c r="C550" s="270" t="n">
        <v>1288.78</v>
      </c>
      <c r="D550" s="572">
        <f>C550/C551-1</f>
        <v/>
      </c>
      <c r="E550" s="270" t="n">
        <v>57538.62</v>
      </c>
      <c r="F550" s="572">
        <f>E550/E551-1</f>
        <v/>
      </c>
      <c r="G550" s="270" t="n">
        <v>22146.65</v>
      </c>
      <c r="H550" s="572">
        <f>G550/G551-1</f>
        <v/>
      </c>
    </row>
    <row r="551">
      <c r="B551" s="269" t="n">
        <v>45364</v>
      </c>
      <c r="C551" s="270" t="n">
        <v>1286.47</v>
      </c>
      <c r="D551" s="572">
        <f>C551/C552-1</f>
        <v/>
      </c>
      <c r="E551" s="270" t="n">
        <v>56408.35</v>
      </c>
      <c r="F551" s="572">
        <f>E551/E552-1</f>
        <v/>
      </c>
      <c r="G551" s="270" t="n">
        <v>21997.7</v>
      </c>
      <c r="H551" s="572">
        <f>G551/G552-1</f>
        <v/>
      </c>
    </row>
    <row r="552">
      <c r="B552" s="269" t="n">
        <v>45363</v>
      </c>
      <c r="C552" s="270" t="n">
        <v>1360.43</v>
      </c>
      <c r="D552" s="572">
        <f>C552/C553-1</f>
        <v/>
      </c>
      <c r="E552" s="270" t="n">
        <v>58353.09</v>
      </c>
      <c r="F552" s="572">
        <f>E552/E553-1</f>
        <v/>
      </c>
      <c r="G552" s="270" t="n">
        <v>22335.7</v>
      </c>
      <c r="H552" s="572">
        <f>G552/G553-1</f>
        <v/>
      </c>
    </row>
    <row r="553">
      <c r="B553" s="269" t="n">
        <v>45362</v>
      </c>
      <c r="C553" s="270" t="n">
        <v>1374.32</v>
      </c>
      <c r="D553" s="572">
        <f>C553/C554-1</f>
        <v/>
      </c>
      <c r="E553" s="270" t="n">
        <v>59133.86</v>
      </c>
      <c r="F553" s="572">
        <f>E553/E554-1</f>
        <v/>
      </c>
      <c r="G553" s="270" t="n">
        <v>22332.65</v>
      </c>
      <c r="H553" s="572">
        <f>G553/G554-1</f>
        <v/>
      </c>
    </row>
    <row r="554">
      <c r="B554" s="269" t="n">
        <v>45358</v>
      </c>
      <c r="C554" s="270" t="n">
        <v>1406.95</v>
      </c>
      <c r="D554" s="572">
        <f>C554/C555-1</f>
        <v/>
      </c>
      <c r="E554" s="270" t="n">
        <v>59466.79</v>
      </c>
      <c r="F554" s="572">
        <f>E554/E555-1</f>
        <v/>
      </c>
      <c r="G554" s="270" t="n">
        <v>22493.55</v>
      </c>
      <c r="H554" s="572">
        <f>G554/G555-1</f>
        <v/>
      </c>
    </row>
    <row r="555">
      <c r="B555" s="269" t="n">
        <v>45357</v>
      </c>
      <c r="C555" s="270" t="n">
        <v>1368.6</v>
      </c>
      <c r="D555" s="572">
        <f>C555/C556-1</f>
        <v/>
      </c>
      <c r="E555" s="270" t="n">
        <v>58849.55</v>
      </c>
      <c r="F555" s="572">
        <f>E555/E556-1</f>
        <v/>
      </c>
      <c r="G555" s="270" t="n">
        <v>22474.05</v>
      </c>
      <c r="H555" s="572">
        <f>G555/G556-1</f>
        <v/>
      </c>
    </row>
    <row r="556">
      <c r="B556" s="269" t="n">
        <v>45356</v>
      </c>
      <c r="C556" s="270" t="n">
        <v>1404.05</v>
      </c>
      <c r="D556" s="572">
        <f>C556/C557-1</f>
        <v/>
      </c>
      <c r="E556" s="270" t="n">
        <v>59033.27</v>
      </c>
      <c r="F556" s="572">
        <f>E556/E557-1</f>
        <v/>
      </c>
      <c r="G556" s="270" t="n">
        <v>22356.3</v>
      </c>
      <c r="H556" s="572">
        <f>G556/G557-1</f>
        <v/>
      </c>
    </row>
    <row r="557">
      <c r="B557" s="269" t="n">
        <v>45355</v>
      </c>
      <c r="C557" s="270" t="n">
        <v>1380.57</v>
      </c>
      <c r="D557" s="572">
        <f>C557/C558-1</f>
        <v/>
      </c>
      <c r="E557" s="270" t="n">
        <v>59253.83</v>
      </c>
      <c r="F557" s="572">
        <f>E557/E558-1</f>
        <v/>
      </c>
      <c r="G557" s="270" t="n">
        <v>22405.6</v>
      </c>
      <c r="H557" s="572">
        <f>G557/G558-1</f>
        <v/>
      </c>
    </row>
    <row r="558">
      <c r="B558" s="269" t="n">
        <v>45353</v>
      </c>
      <c r="C558" s="270" t="n">
        <v>1389.62</v>
      </c>
      <c r="D558" s="572">
        <f>C558/C559-1</f>
        <v/>
      </c>
      <c r="E558" s="270" t="n">
        <v>59155.01</v>
      </c>
      <c r="F558" s="572">
        <f>E558/E559-1</f>
        <v/>
      </c>
      <c r="G558" s="270" t="n">
        <v>22378.4</v>
      </c>
      <c r="H558" s="572">
        <f>G558/G559-1</f>
        <v/>
      </c>
    </row>
    <row r="559">
      <c r="B559" s="269" t="n">
        <v>45352</v>
      </c>
      <c r="C559" s="270" t="n">
        <v>1389.55</v>
      </c>
      <c r="D559" s="572">
        <f>C559/C560-1</f>
        <v/>
      </c>
      <c r="E559" s="270" t="n">
        <v>58842.59</v>
      </c>
      <c r="F559" s="572">
        <f>E559/E560-1</f>
        <v/>
      </c>
      <c r="G559" s="270" t="n">
        <v>22338.75</v>
      </c>
      <c r="H559" s="572">
        <f>G559/G560-1</f>
        <v/>
      </c>
    </row>
    <row r="560">
      <c r="B560" s="269" t="n">
        <v>45351</v>
      </c>
      <c r="C560" s="270" t="n">
        <v>1407.28</v>
      </c>
      <c r="D560" s="572">
        <f>C560/C561-1</f>
        <v/>
      </c>
      <c r="E560" s="270" t="n">
        <v>57414.63</v>
      </c>
      <c r="F560" s="572">
        <f>E560/E561-1</f>
        <v/>
      </c>
      <c r="G560" s="270" t="n">
        <v>21982.8</v>
      </c>
      <c r="H560" s="572">
        <f>G560/G561-1</f>
        <v/>
      </c>
    </row>
    <row r="561">
      <c r="B561" s="269" t="n">
        <v>45350</v>
      </c>
      <c r="C561" s="270" t="n">
        <v>1399.15</v>
      </c>
      <c r="D561" s="572">
        <f>C561/C562-1</f>
        <v/>
      </c>
      <c r="E561" s="270" t="n">
        <v>57046.15</v>
      </c>
      <c r="F561" s="572">
        <f>E561/E562-1</f>
        <v/>
      </c>
      <c r="G561" s="270" t="n">
        <v>21951.15</v>
      </c>
      <c r="H561" s="572">
        <f>G561/G562-1</f>
        <v/>
      </c>
    </row>
    <row r="562">
      <c r="B562" s="269" t="n">
        <v>45349</v>
      </c>
      <c r="C562" s="270" t="n">
        <v>1393.12</v>
      </c>
      <c r="D562" s="572">
        <f>C562/C563-1</f>
        <v/>
      </c>
      <c r="E562" s="270" t="n">
        <v>57661.34</v>
      </c>
      <c r="F562" s="572">
        <f>E562/E563-1</f>
        <v/>
      </c>
      <c r="G562" s="270" t="n">
        <v>22198.35</v>
      </c>
      <c r="H562" s="572">
        <f>G562/G563-1</f>
        <v/>
      </c>
    </row>
    <row r="563">
      <c r="B563" s="269" t="n">
        <v>45348</v>
      </c>
      <c r="C563" s="270" t="n">
        <v>1393.45</v>
      </c>
      <c r="D563" s="572">
        <f>C563/C564-1</f>
        <v/>
      </c>
      <c r="E563" s="270" t="n">
        <v>57207.7</v>
      </c>
      <c r="F563" s="572">
        <f>E563/E564-1</f>
        <v/>
      </c>
      <c r="G563" s="270" t="n">
        <v>22122.05</v>
      </c>
      <c r="H563" s="572">
        <f>G563/G564-1</f>
        <v/>
      </c>
    </row>
    <row r="564">
      <c r="B564" s="269" t="n">
        <v>45345</v>
      </c>
      <c r="C564" s="270" t="n">
        <v>1404.12</v>
      </c>
      <c r="D564" s="572">
        <f>C564/C565-1</f>
        <v/>
      </c>
      <c r="E564" s="270" t="n">
        <v>56732.11</v>
      </c>
      <c r="F564" s="572">
        <f>E564/E565-1</f>
        <v/>
      </c>
      <c r="G564" s="270" t="n">
        <v>22212.7</v>
      </c>
      <c r="H564" s="572">
        <f>G564/G565-1</f>
        <v/>
      </c>
    </row>
    <row r="565">
      <c r="B565" s="269" t="n">
        <v>45344</v>
      </c>
      <c r="C565" s="270" t="n">
        <v>1399.4</v>
      </c>
      <c r="D565" s="572">
        <f>C565/C566-1</f>
        <v/>
      </c>
      <c r="E565" s="270" t="n">
        <v>56071.1</v>
      </c>
      <c r="F565" s="572">
        <f>E565/E566-1</f>
        <v/>
      </c>
      <c r="G565" s="270" t="n">
        <v>22217.45</v>
      </c>
      <c r="H565" s="572">
        <f>G565/G566-1</f>
        <v/>
      </c>
    </row>
    <row r="566">
      <c r="B566" s="269" t="n">
        <v>45343</v>
      </c>
      <c r="C566" s="270" t="n">
        <v>1411</v>
      </c>
      <c r="D566" s="572">
        <f>C566/C567-1</f>
        <v/>
      </c>
      <c r="E566" s="270" t="n">
        <v>55078.23</v>
      </c>
      <c r="F566" s="572">
        <f>E566/E567-1</f>
        <v/>
      </c>
      <c r="G566" s="270" t="n">
        <v>22055.05</v>
      </c>
      <c r="H566" s="572">
        <f>G566/G567-1</f>
        <v/>
      </c>
    </row>
    <row r="567">
      <c r="B567" s="269" t="n">
        <v>45342</v>
      </c>
      <c r="C567" s="270" t="n">
        <v>1405.65</v>
      </c>
      <c r="D567" s="572">
        <f>C567/C568-1</f>
        <v/>
      </c>
      <c r="E567" s="270" t="n">
        <v>55766.74</v>
      </c>
      <c r="F567" s="572">
        <f>E567/E568-1</f>
        <v/>
      </c>
      <c r="G567" s="270" t="n">
        <v>22196.95</v>
      </c>
      <c r="H567" s="572">
        <f>G567/G568-1</f>
        <v/>
      </c>
    </row>
    <row r="568">
      <c r="B568" s="269" t="n">
        <v>45341</v>
      </c>
      <c r="C568" s="270" t="n">
        <v>1428.57</v>
      </c>
      <c r="D568" s="572">
        <f>C568/C569-1</f>
        <v/>
      </c>
      <c r="E568" s="270" t="n">
        <v>55650.13</v>
      </c>
      <c r="F568" s="572">
        <f>E568/E569-1</f>
        <v/>
      </c>
      <c r="G568" s="270" t="n">
        <v>22122.25</v>
      </c>
      <c r="H568" s="572">
        <f>G568/G569-1</f>
        <v/>
      </c>
    </row>
    <row r="569">
      <c r="B569" s="269" t="n">
        <v>45338</v>
      </c>
      <c r="C569" s="270" t="n">
        <v>1459.4</v>
      </c>
      <c r="D569" s="572">
        <f>C569/C570-1</f>
        <v/>
      </c>
      <c r="E569" s="270" t="n">
        <v>55999.37</v>
      </c>
      <c r="F569" s="572">
        <f>E569/E570-1</f>
        <v/>
      </c>
      <c r="G569" s="270" t="n">
        <v>22040.7</v>
      </c>
      <c r="H569" s="572">
        <f>G569/G570-1</f>
        <v/>
      </c>
    </row>
    <row r="570">
      <c r="B570" s="269" t="n">
        <v>45337</v>
      </c>
      <c r="C570" s="270" t="n">
        <v>1370.2</v>
      </c>
      <c r="D570" s="572">
        <f>C570/C571-1</f>
        <v/>
      </c>
      <c r="E570" s="270" t="n">
        <v>55237.29</v>
      </c>
      <c r="F570" s="572">
        <f>E570/E571-1</f>
        <v/>
      </c>
      <c r="G570" s="270" t="n">
        <v>21910.75</v>
      </c>
      <c r="H570" s="572">
        <f>G570/G571-1</f>
        <v/>
      </c>
    </row>
    <row r="571">
      <c r="B571" s="269" t="n">
        <v>45336</v>
      </c>
      <c r="C571" s="270" t="n">
        <v>1344.15</v>
      </c>
      <c r="D571" s="572">
        <f>C571/C572-1</f>
        <v/>
      </c>
      <c r="E571" s="270" t="n">
        <v>54978.54</v>
      </c>
      <c r="F571" s="572">
        <f>E571/E572-1</f>
        <v/>
      </c>
      <c r="G571" s="270" t="n">
        <v>21840.05</v>
      </c>
      <c r="H571" s="572">
        <f>G571/G572-1</f>
        <v/>
      </c>
    </row>
    <row r="572">
      <c r="B572" s="269" t="n">
        <v>45335</v>
      </c>
      <c r="C572" s="270" t="n">
        <v>1324.53</v>
      </c>
      <c r="D572" s="572">
        <f>C572/C573-1</f>
        <v/>
      </c>
      <c r="E572" s="270" t="n">
        <v>54400.27</v>
      </c>
      <c r="F572" s="572">
        <f>E572/E573-1</f>
        <v/>
      </c>
      <c r="G572" s="270" t="n">
        <v>21743.25</v>
      </c>
      <c r="H572" s="572">
        <f>G572/G573-1</f>
        <v/>
      </c>
    </row>
    <row r="573">
      <c r="B573" s="269" t="n">
        <v>45334</v>
      </c>
      <c r="C573" s="270" t="n">
        <v>1347.88</v>
      </c>
      <c r="D573" s="572">
        <f>C573/C574-1</f>
        <v/>
      </c>
      <c r="E573" s="270" t="n">
        <v>54193.71</v>
      </c>
      <c r="F573" s="572">
        <f>E573/E574-1</f>
        <v/>
      </c>
      <c r="G573" s="270" t="n">
        <v>21616.05</v>
      </c>
      <c r="H573" s="572">
        <f>G573/G574-1</f>
        <v/>
      </c>
    </row>
    <row r="574">
      <c r="B574" s="269" t="n">
        <v>45331</v>
      </c>
      <c r="C574" s="270" t="n">
        <v>1547.3</v>
      </c>
      <c r="D574" s="572">
        <f>C574/C575-1</f>
        <v/>
      </c>
      <c r="E574" s="270" t="n">
        <v>55451.74</v>
      </c>
      <c r="F574" s="572">
        <f>E574/E575-1</f>
        <v/>
      </c>
      <c r="G574" s="270" t="n">
        <v>21782.5</v>
      </c>
      <c r="H574" s="572">
        <f>G574/G575-1</f>
        <v/>
      </c>
    </row>
    <row r="575">
      <c r="B575" s="269" t="n">
        <v>45330</v>
      </c>
      <c r="C575" s="270" t="n">
        <v>1553.4</v>
      </c>
      <c r="D575" s="572">
        <f>C575/C576-1</f>
        <v/>
      </c>
      <c r="E575" s="270" t="n">
        <v>55931.93</v>
      </c>
      <c r="F575" s="572">
        <f>E575/E576-1</f>
        <v/>
      </c>
      <c r="G575" s="270" t="n">
        <v>21717.95</v>
      </c>
      <c r="H575" s="572">
        <f>G575/G576-1</f>
        <v/>
      </c>
    </row>
    <row r="576">
      <c r="B576" s="269" t="n">
        <v>45329</v>
      </c>
      <c r="C576" s="270" t="n">
        <v>1500.57</v>
      </c>
      <c r="D576" s="572">
        <f>C576/C577-1</f>
        <v/>
      </c>
      <c r="E576" s="270" t="n">
        <v>56311.74</v>
      </c>
      <c r="F576" s="572">
        <f>E576/E577-1</f>
        <v/>
      </c>
      <c r="G576" s="270" t="n">
        <v>21930.5</v>
      </c>
      <c r="H576" s="572">
        <f>G576/G577-1</f>
        <v/>
      </c>
    </row>
    <row r="577">
      <c r="B577" s="269" t="n">
        <v>45328</v>
      </c>
      <c r="C577" s="270" t="n">
        <v>1490.25</v>
      </c>
      <c r="D577" s="572">
        <f>C577/C578-1</f>
        <v/>
      </c>
      <c r="E577" s="270" t="n">
        <v>56485.86</v>
      </c>
      <c r="F577" s="572">
        <f>E577/E578-1</f>
        <v/>
      </c>
      <c r="G577" s="270" t="n">
        <v>21929.4</v>
      </c>
      <c r="H577" s="572">
        <f>G577/G578-1</f>
        <v/>
      </c>
    </row>
    <row r="578">
      <c r="B578" s="269" t="n">
        <v>45327</v>
      </c>
      <c r="C578" s="270" t="n">
        <v>1466.7</v>
      </c>
      <c r="D578" s="572">
        <f>C578/C579-1</f>
        <v/>
      </c>
      <c r="E578" s="270" t="n">
        <v>55590.94</v>
      </c>
      <c r="F578" s="572">
        <f>E578/E579-1</f>
        <v/>
      </c>
      <c r="G578" s="270" t="n">
        <v>21771.7</v>
      </c>
      <c r="H578" s="572">
        <f>G578/G579-1</f>
        <v/>
      </c>
    </row>
    <row r="579">
      <c r="B579" s="269" t="n">
        <v>45324</v>
      </c>
      <c r="C579" s="270" t="n">
        <v>1507.5</v>
      </c>
      <c r="D579" s="572">
        <f>C579/C580-1</f>
        <v/>
      </c>
      <c r="E579" s="270" t="n">
        <v>56072.2</v>
      </c>
      <c r="F579" s="572">
        <f>E579/E580-1</f>
        <v/>
      </c>
      <c r="G579" s="270" t="n">
        <v>21853.8</v>
      </c>
      <c r="H579" s="572">
        <f>G579/G580-1</f>
        <v/>
      </c>
    </row>
    <row r="580">
      <c r="B580" s="269" t="n">
        <v>45323</v>
      </c>
      <c r="C580" s="270" t="n">
        <v>1472.35</v>
      </c>
      <c r="D580" s="572">
        <f>C580/C581-1</f>
        <v/>
      </c>
      <c r="E580" s="270" t="n">
        <v>56054.42</v>
      </c>
      <c r="F580" s="572">
        <f>E580/E581-1</f>
        <v/>
      </c>
      <c r="G580" s="270" t="n">
        <v>21697.45</v>
      </c>
      <c r="H580" s="572">
        <f>G580/G581-1</f>
        <v/>
      </c>
    </row>
    <row r="581">
      <c r="B581" s="269" t="n">
        <v>45322</v>
      </c>
      <c r="C581" s="270" t="n">
        <v>1471.35</v>
      </c>
      <c r="D581" s="572">
        <f>C581/C582-1</f>
        <v/>
      </c>
      <c r="E581" s="270" t="n">
        <v>56689.83</v>
      </c>
      <c r="F581" s="572">
        <f>E581/E582-1</f>
        <v/>
      </c>
      <c r="G581" s="270" t="n">
        <v>21725.7</v>
      </c>
      <c r="H581" s="572">
        <f>G581/G582-1</f>
        <v/>
      </c>
    </row>
    <row r="582">
      <c r="B582" s="269" t="n">
        <v>45321</v>
      </c>
      <c r="C582" s="270" t="n">
        <v>1467.55</v>
      </c>
      <c r="D582" s="572">
        <f>C582/C583-1</f>
        <v/>
      </c>
      <c r="E582" s="270" t="n">
        <v>57397.68</v>
      </c>
      <c r="F582" s="572">
        <f>E582/E583-1</f>
        <v/>
      </c>
      <c r="G582" s="270" t="n">
        <v>21522.1</v>
      </c>
      <c r="H582" s="572">
        <f>G582/G583-1</f>
        <v/>
      </c>
    </row>
    <row r="583">
      <c r="B583" s="269" t="n">
        <v>45320</v>
      </c>
      <c r="C583" s="270" t="n">
        <v>1465.75</v>
      </c>
      <c r="D583" s="572">
        <f>C583/C584-1</f>
        <v/>
      </c>
      <c r="E583" s="270" t="n">
        <v>58116.38</v>
      </c>
      <c r="F583" s="572">
        <f>E583/E584-1</f>
        <v/>
      </c>
      <c r="G583" s="270" t="n">
        <v>21737.6</v>
      </c>
      <c r="H583" s="572">
        <f>G583/G584-1</f>
        <v/>
      </c>
    </row>
    <row r="584">
      <c r="B584" s="269" t="n">
        <v>45316</v>
      </c>
      <c r="C584" s="270" t="n">
        <v>1485.12</v>
      </c>
      <c r="D584" s="572">
        <f>C584/C585-1</f>
        <v/>
      </c>
      <c r="E584" s="270" t="n">
        <v>56903.79</v>
      </c>
      <c r="F584" s="572">
        <f>E584/E585-1</f>
        <v/>
      </c>
      <c r="G584" s="270" t="n">
        <v>21352.6</v>
      </c>
      <c r="H584" s="572">
        <f>G584/G585-1</f>
        <v/>
      </c>
    </row>
    <row r="585">
      <c r="B585" s="269" t="n">
        <v>45315</v>
      </c>
      <c r="C585" s="270" t="n">
        <v>1499.75</v>
      </c>
      <c r="D585" s="572">
        <f>C585/C586-1</f>
        <v/>
      </c>
      <c r="E585" s="270" t="n">
        <v>56661.23</v>
      </c>
      <c r="F585" s="572">
        <f>E585/E586-1</f>
        <v/>
      </c>
      <c r="G585" s="270" t="n">
        <v>21453.95</v>
      </c>
      <c r="H585" s="572">
        <f>G585/G586-1</f>
        <v/>
      </c>
    </row>
    <row r="586">
      <c r="B586" s="269" t="n">
        <v>45314</v>
      </c>
      <c r="C586" s="270" t="n">
        <v>1491.75</v>
      </c>
      <c r="D586" s="572">
        <f>C586/C587-1</f>
        <v/>
      </c>
      <c r="E586" s="270" t="n">
        <v>55860.01</v>
      </c>
      <c r="F586" s="572">
        <f>E586/E587-1</f>
        <v/>
      </c>
      <c r="G586" s="270" t="n">
        <v>21238.8</v>
      </c>
      <c r="H586" s="572">
        <f>G586/G587-1</f>
        <v/>
      </c>
    </row>
    <row r="587">
      <c r="B587" s="269" t="n">
        <v>45311</v>
      </c>
      <c r="C587" s="270" t="n">
        <v>1499.22</v>
      </c>
      <c r="D587" s="572">
        <f>C587/C588-1</f>
        <v/>
      </c>
      <c r="E587" s="270" t="n">
        <v>57301.23</v>
      </c>
      <c r="F587" s="572">
        <f>E587/E588-1</f>
        <v/>
      </c>
      <c r="G587" s="270" t="n">
        <v>21571.8</v>
      </c>
      <c r="H587" s="572">
        <f>G587/G588-1</f>
        <v/>
      </c>
    </row>
    <row r="588">
      <c r="B588" s="269" t="n">
        <v>45310</v>
      </c>
      <c r="C588" s="270" t="n">
        <v>1496.1</v>
      </c>
      <c r="D588" s="572">
        <f>C588/C589-1</f>
        <v/>
      </c>
      <c r="E588" s="270" t="n">
        <v>57410.67</v>
      </c>
      <c r="F588" s="572">
        <f>E588/E589-1</f>
        <v/>
      </c>
      <c r="G588" s="270" t="n">
        <v>21622.4</v>
      </c>
      <c r="H588" s="572">
        <f>G588/G589-1</f>
        <v/>
      </c>
    </row>
    <row r="589">
      <c r="B589" s="269" t="n">
        <v>45309</v>
      </c>
      <c r="C589" s="270" t="n">
        <v>1430.2</v>
      </c>
      <c r="D589" s="572">
        <f>C589/C590-1</f>
        <v/>
      </c>
      <c r="E589" s="270" t="n">
        <v>56590.04</v>
      </c>
      <c r="F589" s="572">
        <f>E589/E590-1</f>
        <v/>
      </c>
      <c r="G589" s="270" t="n">
        <v>21462.25</v>
      </c>
      <c r="H589" s="572">
        <f>G589/G590-1</f>
        <v/>
      </c>
    </row>
    <row r="590">
      <c r="B590" s="269" t="n">
        <v>45308</v>
      </c>
      <c r="C590" s="270" t="n">
        <v>1413</v>
      </c>
      <c r="D590" s="572">
        <f>C590/C591-1</f>
        <v/>
      </c>
      <c r="E590" s="270" t="n">
        <v>56322.83</v>
      </c>
      <c r="F590" s="572">
        <f>E590/E591-1</f>
        <v/>
      </c>
      <c r="G590" s="270" t="n">
        <v>21571.95</v>
      </c>
      <c r="H590" s="572">
        <f>G590/G591-1</f>
        <v/>
      </c>
    </row>
    <row r="591">
      <c r="B591" s="269" t="n">
        <v>45307</v>
      </c>
      <c r="C591" s="270" t="n">
        <v>1385.25</v>
      </c>
      <c r="D591" s="572">
        <f>C591/C592-1</f>
        <v/>
      </c>
      <c r="E591" s="270" t="n">
        <v>56427.47</v>
      </c>
      <c r="F591" s="572">
        <f>E591/E592-1</f>
        <v/>
      </c>
      <c r="G591" s="270" t="n">
        <v>22032.3</v>
      </c>
      <c r="H591" s="572">
        <f>G591/G592-1</f>
        <v/>
      </c>
    </row>
    <row r="592">
      <c r="B592" s="269" t="n">
        <v>45306</v>
      </c>
      <c r="C592" s="270" t="n">
        <v>1408.5</v>
      </c>
      <c r="D592" s="572">
        <f>C592/C593-1</f>
        <v/>
      </c>
      <c r="E592" s="270" t="n">
        <v>56432.98</v>
      </c>
      <c r="F592" s="572">
        <f>E592/E593-1</f>
        <v/>
      </c>
      <c r="G592" s="270" t="n">
        <v>22097.45</v>
      </c>
      <c r="H592" s="572">
        <f>G592/G593-1</f>
        <v/>
      </c>
    </row>
    <row r="593">
      <c r="B593" s="269" t="n">
        <v>45303</v>
      </c>
      <c r="C593" s="270" t="n">
        <v>1428.55</v>
      </c>
      <c r="D593" s="572">
        <f>C593/C594-1</f>
        <v/>
      </c>
      <c r="E593" s="270" t="n">
        <v>56416.1</v>
      </c>
      <c r="F593" s="572">
        <f>E593/E594-1</f>
        <v/>
      </c>
      <c r="G593" s="270" t="n">
        <v>21894.55</v>
      </c>
      <c r="H593" s="572">
        <f>G593/G594-1</f>
        <v/>
      </c>
    </row>
    <row r="594">
      <c r="B594" s="269" t="n">
        <v>45302</v>
      </c>
      <c r="C594" s="270" t="n">
        <v>1469.15</v>
      </c>
      <c r="D594" s="572">
        <f>C594/C595-1</f>
        <v/>
      </c>
      <c r="E594" s="270" t="n">
        <v>55985.84</v>
      </c>
      <c r="F594" s="572">
        <f>E594/E595-1</f>
        <v/>
      </c>
      <c r="G594" s="270" t="n">
        <v>21647.2</v>
      </c>
      <c r="H594" s="572">
        <f>G594/G595-1</f>
        <v/>
      </c>
    </row>
    <row r="595">
      <c r="B595" s="269" t="n">
        <v>45301</v>
      </c>
      <c r="C595" s="270" t="n">
        <v>1451.57</v>
      </c>
      <c r="D595" s="572">
        <f>C595/C596-1</f>
        <v/>
      </c>
      <c r="E595" s="270" t="n">
        <v>56666.44</v>
      </c>
      <c r="F595" s="572">
        <f>E595/E596-1</f>
        <v/>
      </c>
      <c r="G595" s="270" t="n">
        <v>21618.7</v>
      </c>
      <c r="H595" s="572">
        <f>G595/G596-1</f>
        <v/>
      </c>
    </row>
    <row r="596">
      <c r="B596" s="269" t="n">
        <v>45300</v>
      </c>
      <c r="C596" s="270" t="n">
        <v>1433.8</v>
      </c>
      <c r="D596" s="572">
        <f>C596/C597-1</f>
        <v/>
      </c>
      <c r="E596" s="270" t="n">
        <v>56561.9</v>
      </c>
      <c r="F596" s="572">
        <f>E596/E597-1</f>
        <v/>
      </c>
      <c r="G596" s="270" t="n">
        <v>21544.85</v>
      </c>
      <c r="H596" s="572">
        <f>G596/G597-1</f>
        <v/>
      </c>
    </row>
    <row r="597">
      <c r="B597" s="269" t="n">
        <v>45299</v>
      </c>
      <c r="C597" s="270" t="n">
        <v>1423.75</v>
      </c>
      <c r="D597" s="572">
        <f>C597/C598-1</f>
        <v/>
      </c>
      <c r="E597" s="270" t="n">
        <v>56061.73</v>
      </c>
      <c r="F597" s="572">
        <f>E597/E598-1</f>
        <v/>
      </c>
      <c r="G597" s="270" t="n">
        <v>21513</v>
      </c>
      <c r="H597" s="572">
        <f>G597/G598-1</f>
        <v/>
      </c>
    </row>
    <row r="598">
      <c r="B598" s="269" t="n">
        <v>45296</v>
      </c>
      <c r="C598" s="270" t="n">
        <v>1354.22</v>
      </c>
      <c r="D598" s="572">
        <f>C598/C599-1</f>
        <v/>
      </c>
      <c r="E598" s="270" t="n">
        <v>56237.37</v>
      </c>
      <c r="F598" s="572">
        <f>E598/E599-1</f>
        <v/>
      </c>
      <c r="G598" s="270" t="n">
        <v>21710.8</v>
      </c>
      <c r="H598" s="572">
        <f>G598/G599-1</f>
        <v/>
      </c>
    </row>
    <row r="599">
      <c r="B599" s="269" t="n">
        <v>45295</v>
      </c>
      <c r="C599" s="270" t="n">
        <v>1354.68</v>
      </c>
      <c r="D599" s="572">
        <f>C599/C600-1</f>
        <v/>
      </c>
      <c r="E599" s="270" t="n">
        <v>55533.67</v>
      </c>
      <c r="F599" s="572">
        <f>E599/E600-1</f>
        <v/>
      </c>
      <c r="G599" s="270" t="n">
        <v>21658.6</v>
      </c>
      <c r="H599" s="572">
        <f>G599/G600-1</f>
        <v/>
      </c>
    </row>
    <row r="600">
      <c r="B600" s="269" t="n">
        <v>45294</v>
      </c>
      <c r="C600" s="270" t="n">
        <v>1354.4</v>
      </c>
      <c r="D600" s="572">
        <f>C600/C601-1</f>
        <v/>
      </c>
      <c r="E600" s="270" t="n">
        <v>55028.32</v>
      </c>
      <c r="F600" s="572">
        <f>E600/E601-1</f>
        <v/>
      </c>
      <c r="G600" s="270" t="n">
        <v>21517.35</v>
      </c>
      <c r="H600" s="572">
        <f>G600/G601-1</f>
        <v/>
      </c>
    </row>
    <row r="601">
      <c r="B601" s="269" t="n">
        <v>45293</v>
      </c>
      <c r="C601" s="270" t="n">
        <v>1333.85</v>
      </c>
      <c r="D601" s="572">
        <f>C601/C602-1</f>
        <v/>
      </c>
      <c r="E601" s="270" t="n">
        <v>54914.38</v>
      </c>
      <c r="F601" s="572">
        <f>E601/E602-1</f>
        <v/>
      </c>
      <c r="G601" s="270" t="n">
        <v>21665.8</v>
      </c>
      <c r="H601" s="572">
        <f>G601/G602-1</f>
        <v/>
      </c>
    </row>
    <row r="602">
      <c r="B602" s="269" t="n">
        <v>45292</v>
      </c>
      <c r="C602" s="270" t="n">
        <v>1349.62</v>
      </c>
      <c r="D602" s="572">
        <f>C602/C603-1</f>
        <v/>
      </c>
      <c r="E602" s="270" t="n">
        <v>55707.35</v>
      </c>
      <c r="F602" s="572">
        <f>E602/E603-1</f>
        <v/>
      </c>
      <c r="G602" s="270" t="n">
        <v>21741.9</v>
      </c>
      <c r="H602" s="572">
        <f>G602/G603-1</f>
        <v/>
      </c>
    </row>
    <row r="603">
      <c r="B603" s="269" t="n">
        <v>45289</v>
      </c>
      <c r="C603" s="270" t="n">
        <v>1360.05</v>
      </c>
      <c r="D603" s="572">
        <f>C603/C604-1</f>
        <v/>
      </c>
      <c r="E603" s="270" t="n">
        <v>55643.71</v>
      </c>
      <c r="F603" s="572">
        <f>E603/E604-1</f>
        <v/>
      </c>
      <c r="G603" s="270" t="n">
        <v>21731.4</v>
      </c>
      <c r="H603" s="572">
        <f>G603/G604-1</f>
        <v/>
      </c>
    </row>
    <row r="604">
      <c r="B604" s="269" t="n">
        <v>45288</v>
      </c>
      <c r="C604" s="270" t="n">
        <v>1382.47</v>
      </c>
      <c r="D604" s="572">
        <f>C604/C605-1</f>
        <v/>
      </c>
      <c r="E604" s="270" t="n">
        <v>55287.11</v>
      </c>
      <c r="F604" s="572">
        <f>E604/E605-1</f>
        <v/>
      </c>
      <c r="G604" s="270" t="n">
        <v>21778.7</v>
      </c>
      <c r="H604" s="572">
        <f>G604/G605-1</f>
        <v/>
      </c>
    </row>
    <row r="605">
      <c r="B605" s="269" t="n">
        <v>45287</v>
      </c>
      <c r="C605" s="270" t="n">
        <v>1365.22</v>
      </c>
      <c r="D605" s="572">
        <f>C605/C606-1</f>
        <v/>
      </c>
      <c r="E605" s="270" t="n">
        <v>55151.29</v>
      </c>
      <c r="F605" s="572">
        <f>E605/E606-1</f>
        <v/>
      </c>
      <c r="G605" s="270" t="n">
        <v>21654.75</v>
      </c>
      <c r="H605" s="572">
        <f>G605/G606-1</f>
        <v/>
      </c>
    </row>
    <row r="606">
      <c r="B606" s="269" t="n">
        <v>45286</v>
      </c>
      <c r="C606" s="270" t="n">
        <v>1366</v>
      </c>
      <c r="D606" s="572">
        <f>C606/C607-1</f>
        <v/>
      </c>
      <c r="E606" s="270" t="n">
        <v>54786.19</v>
      </c>
      <c r="F606" s="572">
        <f>E606/E607-1</f>
        <v/>
      </c>
      <c r="G606" s="270" t="n">
        <v>21441.35</v>
      </c>
      <c r="H606" s="572">
        <f>G606/G607-1</f>
        <v/>
      </c>
    </row>
    <row r="607">
      <c r="B607" s="269" t="n">
        <v>45282</v>
      </c>
      <c r="C607" s="270" t="n">
        <v>1319</v>
      </c>
      <c r="D607" s="572">
        <f>C607/C608-1</f>
        <v/>
      </c>
      <c r="E607" s="270" t="n">
        <v>54342.89</v>
      </c>
      <c r="F607" s="572">
        <f>E607/E608-1</f>
        <v/>
      </c>
      <c r="G607" s="270" t="n">
        <v>21349.4</v>
      </c>
      <c r="H607" s="572">
        <f>G607/G608-1</f>
        <v/>
      </c>
    </row>
    <row r="608">
      <c r="B608" s="269" t="n">
        <v>45281</v>
      </c>
      <c r="C608" s="270" t="n">
        <v>1305.68</v>
      </c>
      <c r="D608" s="572">
        <f>C608/C609-1</f>
        <v/>
      </c>
      <c r="E608" s="270" t="n">
        <v>53773.13</v>
      </c>
      <c r="F608" s="572">
        <f>E608/E609-1</f>
        <v/>
      </c>
      <c r="G608" s="270" t="n">
        <v>21255.05</v>
      </c>
      <c r="H608" s="572">
        <f>G608/G609-1</f>
        <v/>
      </c>
    </row>
    <row r="609">
      <c r="B609" s="269" t="n">
        <v>45280</v>
      </c>
      <c r="C609" s="270" t="n">
        <v>1324.5</v>
      </c>
      <c r="D609" s="572">
        <f>C609/C610-1</f>
        <v/>
      </c>
      <c r="E609" s="270" t="n">
        <v>53192.04</v>
      </c>
      <c r="F609" s="572">
        <f>E609/E610-1</f>
        <v/>
      </c>
      <c r="G609" s="270" t="n">
        <v>21150.15</v>
      </c>
      <c r="H609" s="572">
        <f>G609/G610-1</f>
        <v/>
      </c>
    </row>
    <row r="610">
      <c r="B610" s="269" t="n">
        <v>45279</v>
      </c>
      <c r="C610" s="270" t="n">
        <v>1343.12</v>
      </c>
      <c r="D610" s="572">
        <f>C610/C611-1</f>
        <v/>
      </c>
      <c r="E610" s="270" t="n">
        <v>54738.68</v>
      </c>
      <c r="F610" s="572">
        <f>E610/E611-1</f>
        <v/>
      </c>
      <c r="G610" s="270" t="n">
        <v>21453.1</v>
      </c>
      <c r="H610" s="572">
        <f>G610/G611-1</f>
        <v/>
      </c>
    </row>
    <row r="611">
      <c r="B611" s="269" t="n">
        <v>45278</v>
      </c>
      <c r="C611" s="270" t="n">
        <v>1369.97</v>
      </c>
      <c r="D611" s="572">
        <f>C611/C612-1</f>
        <v/>
      </c>
      <c r="E611" s="270" t="n">
        <v>54899.26</v>
      </c>
      <c r="F611" s="572">
        <f>E611/E612-1</f>
        <v/>
      </c>
      <c r="G611" s="270" t="n">
        <v>21418.65</v>
      </c>
      <c r="H611" s="572">
        <f>G611/G612-1</f>
        <v/>
      </c>
    </row>
    <row r="612">
      <c r="B612" s="269" t="n">
        <v>45275</v>
      </c>
      <c r="C612" s="270" t="n">
        <v>1362.28</v>
      </c>
      <c r="D612" s="572">
        <f>C612/C613-1</f>
        <v/>
      </c>
      <c r="E612" s="270" t="n">
        <v>54490.52</v>
      </c>
      <c r="F612" s="572">
        <f>E612/E613-1</f>
        <v/>
      </c>
      <c r="G612" s="270" t="n">
        <v>21456.65</v>
      </c>
      <c r="H612" s="572">
        <f>G612/G613-1</f>
        <v/>
      </c>
    </row>
    <row r="613">
      <c r="B613" s="269" t="n">
        <v>45274</v>
      </c>
      <c r="C613" s="270" t="n">
        <v>1371.82</v>
      </c>
      <c r="D613" s="572">
        <f>C613/C614-1</f>
        <v/>
      </c>
      <c r="E613" s="270" t="n">
        <v>53925.83</v>
      </c>
      <c r="F613" s="572">
        <f>E613/E614-1</f>
        <v/>
      </c>
      <c r="G613" s="270" t="n">
        <v>21182.7</v>
      </c>
      <c r="H613" s="572">
        <f>G613/G614-1</f>
        <v/>
      </c>
    </row>
    <row r="614">
      <c r="B614" s="269" t="n">
        <v>45273</v>
      </c>
      <c r="C614" s="270" t="n">
        <v>1386.53</v>
      </c>
      <c r="D614" s="572">
        <f>C614/C615-1</f>
        <v/>
      </c>
      <c r="E614" s="270" t="n">
        <v>53672.25</v>
      </c>
      <c r="F614" s="572">
        <f>E614/E615-1</f>
        <v/>
      </c>
      <c r="G614" s="270" t="n">
        <v>20926.35</v>
      </c>
      <c r="H614" s="572">
        <f>G614/G615-1</f>
        <v/>
      </c>
    </row>
    <row r="615">
      <c r="B615" s="269" t="n">
        <v>45272</v>
      </c>
      <c r="C615" s="270" t="n">
        <v>1366.35</v>
      </c>
      <c r="D615" s="572">
        <f>C615/C616-1</f>
        <v/>
      </c>
      <c r="E615" s="270" t="n">
        <v>53018.39</v>
      </c>
      <c r="F615" s="572">
        <f>E615/E616-1</f>
        <v/>
      </c>
      <c r="G615" s="270" t="n">
        <v>20906.4</v>
      </c>
      <c r="H615" s="572">
        <f>G615/G616-1</f>
        <v/>
      </c>
    </row>
    <row r="616">
      <c r="B616" s="269" t="n">
        <v>45271</v>
      </c>
      <c r="C616" s="270" t="n">
        <v>1387.03</v>
      </c>
      <c r="D616" s="572">
        <f>C616/C617-1</f>
        <v/>
      </c>
      <c r="E616" s="270" t="n">
        <v>53606.38</v>
      </c>
      <c r="F616" s="572">
        <f>E616/E617-1</f>
        <v/>
      </c>
      <c r="G616" s="270" t="n">
        <v>20997.1</v>
      </c>
      <c r="H616" s="572">
        <f>G616/G617-1</f>
        <v/>
      </c>
    </row>
    <row r="617">
      <c r="B617" s="269" t="n">
        <v>45268</v>
      </c>
      <c r="C617" s="270" t="n">
        <v>1333.53</v>
      </c>
      <c r="D617" s="572">
        <f>C617/C618-1</f>
        <v/>
      </c>
      <c r="E617" s="270" t="n">
        <v>53203.28</v>
      </c>
      <c r="F617" s="572">
        <f>E617/E618-1</f>
        <v/>
      </c>
      <c r="G617" s="270" t="n">
        <v>20969.4</v>
      </c>
      <c r="H617" s="572">
        <f>G617/G618-1</f>
        <v/>
      </c>
    </row>
    <row r="618">
      <c r="B618" s="269" t="n">
        <v>45267</v>
      </c>
      <c r="C618" s="270" t="n">
        <v>1311.93</v>
      </c>
      <c r="D618" s="572">
        <f>C618/C619-1</f>
        <v/>
      </c>
      <c r="E618" s="270" t="n">
        <v>53059.53</v>
      </c>
      <c r="F618" s="572">
        <f>E618/E619-1</f>
        <v/>
      </c>
      <c r="G618" s="270" t="n">
        <v>20901.15</v>
      </c>
      <c r="H618" s="572">
        <f>G618/G619-1</f>
        <v/>
      </c>
    </row>
    <row r="619">
      <c r="B619" s="269" t="n">
        <v>45266</v>
      </c>
      <c r="C619" s="270" t="n">
        <v>1259.05</v>
      </c>
      <c r="D619" s="572">
        <f>C619/C620-1</f>
        <v/>
      </c>
      <c r="E619" s="270" t="n">
        <v>53120.13</v>
      </c>
      <c r="F619" s="572">
        <f>E619/E620-1</f>
        <v/>
      </c>
      <c r="G619" s="270" t="n">
        <v>20937.7</v>
      </c>
      <c r="H619" s="572">
        <f>G619/G620-1</f>
        <v/>
      </c>
    </row>
    <row r="620">
      <c r="B620" s="269" t="n">
        <v>45265</v>
      </c>
      <c r="C620" s="270" t="n">
        <v>1291.9</v>
      </c>
      <c r="D620" s="572">
        <f>C620/C621-1</f>
        <v/>
      </c>
      <c r="E620" s="270" t="n">
        <v>52466.53</v>
      </c>
      <c r="F620" s="572">
        <f>E620/E621-1</f>
        <v/>
      </c>
      <c r="G620" s="270" t="n">
        <v>20855.1</v>
      </c>
      <c r="H620" s="572">
        <f>G620/G621-1</f>
        <v/>
      </c>
    </row>
    <row r="621">
      <c r="B621" s="269" t="n">
        <v>45264</v>
      </c>
      <c r="C621" s="270" t="n">
        <v>1311.72</v>
      </c>
      <c r="D621" s="572">
        <f>C621/C622-1</f>
        <v/>
      </c>
      <c r="E621" s="270" t="n">
        <v>52224.49</v>
      </c>
      <c r="F621" s="572">
        <f>E621/E622-1</f>
        <v/>
      </c>
      <c r="G621" s="270" t="n">
        <v>20686.8</v>
      </c>
      <c r="H621" s="572">
        <f>G621/G622-1</f>
        <v/>
      </c>
    </row>
    <row r="622">
      <c r="B622" s="269" t="n">
        <v>45261</v>
      </c>
      <c r="C622" s="270" t="n">
        <v>1287.3</v>
      </c>
      <c r="D622" s="572">
        <f>C622/C623-1</f>
        <v/>
      </c>
      <c r="E622" s="270" t="n">
        <v>50745.21</v>
      </c>
      <c r="F622" s="572">
        <f>E622/E623-1</f>
        <v/>
      </c>
      <c r="G622" s="270" t="n">
        <v>20267.9</v>
      </c>
      <c r="H622" s="572">
        <f>G622/G623-1</f>
        <v/>
      </c>
    </row>
    <row r="623">
      <c r="B623" s="269" t="n">
        <v>45260</v>
      </c>
      <c r="C623" s="270" t="n">
        <v>1273.78</v>
      </c>
      <c r="D623" s="572">
        <f>C623/C624-1</f>
        <v/>
      </c>
      <c r="E623" s="270" t="n">
        <v>49989.66</v>
      </c>
      <c r="F623" s="572">
        <f>E623/E624-1</f>
        <v/>
      </c>
      <c r="G623" s="270" t="n">
        <v>20133.15</v>
      </c>
      <c r="H623" s="572">
        <f>G623/G624-1</f>
        <v/>
      </c>
    </row>
    <row r="624">
      <c r="B624" s="269" t="n">
        <v>45259</v>
      </c>
      <c r="C624" s="270" t="n">
        <v>1300.35</v>
      </c>
      <c r="D624" s="572">
        <f>C624/C625-1</f>
        <v/>
      </c>
      <c r="E624" s="270" t="n">
        <v>49302.73</v>
      </c>
      <c r="F624" s="572">
        <f>E624/E625-1</f>
        <v/>
      </c>
      <c r="G624" s="270" t="n">
        <v>20096.6</v>
      </c>
      <c r="H624" s="572">
        <f>G624/G625-1</f>
        <v/>
      </c>
    </row>
    <row r="625">
      <c r="B625" s="269" t="n">
        <v>45258</v>
      </c>
      <c r="C625" s="270" t="n">
        <v>1313.72</v>
      </c>
      <c r="D625" s="572">
        <f>C625/C626-1</f>
        <v/>
      </c>
      <c r="E625" s="270" t="n">
        <v>48868.62</v>
      </c>
      <c r="F625" s="572">
        <f>E625/E626-1</f>
        <v/>
      </c>
      <c r="G625" s="270" t="n">
        <v>19889.7</v>
      </c>
      <c r="H625" s="572">
        <f>G625/G626-1</f>
        <v/>
      </c>
    </row>
    <row r="626">
      <c r="B626" s="269" t="n">
        <v>45254</v>
      </c>
      <c r="C626" s="270" t="n">
        <v>1357.35</v>
      </c>
      <c r="D626" s="572">
        <f>C626/C627-1</f>
        <v/>
      </c>
      <c r="E626" s="270" t="n">
        <v>48950.58</v>
      </c>
      <c r="F626" s="572">
        <f>E626/E627-1</f>
        <v/>
      </c>
      <c r="G626" s="270" t="n">
        <v>19794.7</v>
      </c>
      <c r="H626" s="572">
        <f>G626/G627-1</f>
        <v/>
      </c>
    </row>
    <row r="627">
      <c r="B627" s="269" t="n">
        <v>45253</v>
      </c>
      <c r="C627" s="270" t="n">
        <v>1371.75</v>
      </c>
      <c r="D627" s="572">
        <f>C627/C628-1</f>
        <v/>
      </c>
      <c r="E627" s="270" t="n">
        <v>48665.41</v>
      </c>
      <c r="F627" s="572">
        <f>E627/E628-1</f>
        <v/>
      </c>
      <c r="G627" s="270" t="n">
        <v>19802</v>
      </c>
      <c r="H627" s="572">
        <f>G627/G628-1</f>
        <v/>
      </c>
    </row>
    <row r="628">
      <c r="B628" s="269" t="n">
        <v>45252</v>
      </c>
      <c r="C628" s="270" t="n">
        <v>1387.15</v>
      </c>
      <c r="D628" s="572">
        <f>C628/C629-1</f>
        <v/>
      </c>
      <c r="E628" s="270" t="n">
        <v>48793.2</v>
      </c>
      <c r="F628" s="572">
        <f>E628/E629-1</f>
        <v/>
      </c>
      <c r="G628" s="270" t="n">
        <v>19811.85</v>
      </c>
      <c r="H628" s="572">
        <f>G628/G629-1</f>
        <v/>
      </c>
    </row>
    <row r="629">
      <c r="B629" s="269" t="n">
        <v>45251</v>
      </c>
      <c r="C629" s="270" t="n">
        <v>1444.53</v>
      </c>
      <c r="D629" s="572">
        <f>C629/C630-1</f>
        <v/>
      </c>
      <c r="E629" s="270" t="n">
        <v>48608.66</v>
      </c>
      <c r="F629" s="572">
        <f>E629/E630-1</f>
        <v/>
      </c>
      <c r="G629" s="270" t="n">
        <v>19783.4</v>
      </c>
      <c r="H629" s="572">
        <f>G629/G630-1</f>
        <v/>
      </c>
    </row>
    <row r="630">
      <c r="B630" s="269" t="n">
        <v>45250</v>
      </c>
      <c r="C630" s="270" t="n">
        <v>1377.35</v>
      </c>
      <c r="D630" s="572">
        <f>C630/C631-1</f>
        <v/>
      </c>
      <c r="E630" s="270" t="n">
        <v>48904.91</v>
      </c>
      <c r="F630" s="572">
        <f>E630/E631-1</f>
        <v/>
      </c>
      <c r="G630" s="270" t="n">
        <v>19694</v>
      </c>
      <c r="H630" s="572">
        <f>G630/G631-1</f>
        <v/>
      </c>
    </row>
    <row r="631">
      <c r="B631" s="269" t="n">
        <v>45247</v>
      </c>
      <c r="C631" s="270" t="n">
        <v>1349.03</v>
      </c>
      <c r="D631" s="572">
        <f>C631/C632-1</f>
        <v/>
      </c>
      <c r="E631" s="270" t="n">
        <v>49115.47</v>
      </c>
      <c r="F631" s="572">
        <f>E631/E632-1</f>
        <v/>
      </c>
      <c r="G631" s="270" t="n">
        <v>19731.8</v>
      </c>
      <c r="H631" s="572">
        <f>G631/G632-1</f>
        <v/>
      </c>
    </row>
    <row r="632">
      <c r="B632" s="269" t="n">
        <v>45246</v>
      </c>
      <c r="C632" s="270" t="n">
        <v>1377.18</v>
      </c>
      <c r="D632" s="572">
        <f>C632/C633-1</f>
        <v/>
      </c>
      <c r="E632" s="270" t="n">
        <v>48489.39</v>
      </c>
      <c r="F632" s="572">
        <f>E632/E633-1</f>
        <v/>
      </c>
      <c r="G632" s="270" t="n">
        <v>19765.2</v>
      </c>
      <c r="H632" s="572">
        <f>G632/G633-1</f>
        <v/>
      </c>
    </row>
    <row r="633">
      <c r="B633" s="269" t="n">
        <v>45245</v>
      </c>
      <c r="C633" s="270" t="n">
        <v>1404.38</v>
      </c>
      <c r="D633" s="572">
        <f>C633/C634-1</f>
        <v/>
      </c>
      <c r="E633" s="270" t="n">
        <v>48474.93</v>
      </c>
      <c r="F633" s="572">
        <f>E633/E634-1</f>
        <v/>
      </c>
      <c r="G633" s="270" t="n">
        <v>19675.45</v>
      </c>
      <c r="H633" s="572">
        <f>G633/G634-1</f>
        <v/>
      </c>
    </row>
    <row r="634">
      <c r="B634" s="269" t="n">
        <v>45243</v>
      </c>
      <c r="C634" s="270" t="n">
        <v>1363.85</v>
      </c>
      <c r="D634" s="572">
        <f>C634/C635-1</f>
        <v/>
      </c>
      <c r="E634" s="270" t="n">
        <v>47959.52</v>
      </c>
      <c r="F634" s="572">
        <f>E634/E635-1</f>
        <v/>
      </c>
      <c r="G634" s="270" t="n">
        <v>19443.55</v>
      </c>
      <c r="H634" s="572">
        <f>G634/G635-1</f>
        <v/>
      </c>
    </row>
    <row r="635">
      <c r="B635" s="269" t="n">
        <v>45242</v>
      </c>
      <c r="C635" s="270" t="n">
        <v>1402.43</v>
      </c>
      <c r="D635" s="572">
        <f>C635/C636-1</f>
        <v/>
      </c>
      <c r="E635" s="270" t="n">
        <v>48009.5</v>
      </c>
      <c r="F635" s="572">
        <f>E635/E636-1</f>
        <v/>
      </c>
      <c r="G635" s="270" t="n">
        <v>19525.55</v>
      </c>
      <c r="H635" s="572">
        <f>G635/G636-1</f>
        <v/>
      </c>
    </row>
    <row r="636">
      <c r="B636" s="269" t="n">
        <v>45240</v>
      </c>
      <c r="C636" s="270" t="n">
        <v>1289.75</v>
      </c>
      <c r="D636" s="572">
        <f>C636/C637-1</f>
        <v/>
      </c>
      <c r="E636" s="270" t="n">
        <v>47710.7</v>
      </c>
      <c r="F636" s="572">
        <f>E636/E637-1</f>
        <v/>
      </c>
      <c r="G636" s="270" t="n">
        <v>19425.35</v>
      </c>
      <c r="H636" s="572">
        <f>G636/G637-1</f>
        <v/>
      </c>
    </row>
    <row r="637">
      <c r="B637" s="269" t="n">
        <v>45239</v>
      </c>
      <c r="C637" s="270" t="n">
        <v>1224.93</v>
      </c>
      <c r="D637" s="572">
        <f>C637/C638-1</f>
        <v/>
      </c>
      <c r="E637" s="270" t="n">
        <v>47536.58</v>
      </c>
      <c r="F637" s="572">
        <f>E637/E638-1</f>
        <v/>
      </c>
      <c r="G637" s="270" t="n">
        <v>19395.3</v>
      </c>
      <c r="H637" s="572">
        <f>G637/G638-1</f>
        <v/>
      </c>
    </row>
    <row r="638">
      <c r="B638" s="269" t="n">
        <v>45238</v>
      </c>
      <c r="C638" s="270" t="n">
        <v>1226.88</v>
      </c>
      <c r="D638" s="572">
        <f>C638/C639-1</f>
        <v/>
      </c>
      <c r="E638" s="270" t="n">
        <v>47451.9</v>
      </c>
      <c r="F638" s="572">
        <f>E638/E639-1</f>
        <v/>
      </c>
      <c r="G638" s="270" t="n">
        <v>19443.5</v>
      </c>
      <c r="H638" s="572">
        <f>G638/G639-1</f>
        <v/>
      </c>
    </row>
    <row r="639">
      <c r="B639" s="269" t="n">
        <v>45237</v>
      </c>
      <c r="C639" s="270" t="n">
        <v>1236.75</v>
      </c>
      <c r="D639" s="572">
        <f>C639/C640-1</f>
        <v/>
      </c>
      <c r="E639" s="270" t="n">
        <v>47047.24</v>
      </c>
      <c r="F639" s="572">
        <f>E639/E640-1</f>
        <v/>
      </c>
      <c r="G639" s="270" t="n">
        <v>19406.7</v>
      </c>
      <c r="H639" s="572">
        <f>G639/G640-1</f>
        <v/>
      </c>
    </row>
    <row r="640">
      <c r="B640" s="269" t="n">
        <v>45236</v>
      </c>
      <c r="C640" s="270" t="n">
        <v>1253.25</v>
      </c>
      <c r="D640" s="572">
        <f>C640/C641-1</f>
        <v/>
      </c>
      <c r="E640" s="270" t="n">
        <v>47002.73</v>
      </c>
      <c r="F640" s="572">
        <f>E640/E641-1</f>
        <v/>
      </c>
      <c r="G640" s="270" t="n">
        <v>19411.75</v>
      </c>
      <c r="H640" s="572">
        <f>G640/G641-1</f>
        <v/>
      </c>
    </row>
    <row r="641">
      <c r="B641" s="269" t="n">
        <v>45233</v>
      </c>
      <c r="C641" s="270" t="n">
        <v>1237.9</v>
      </c>
      <c r="D641" s="572">
        <f>C641/C642-1</f>
        <v/>
      </c>
      <c r="E641" s="270" t="n">
        <v>46225.69</v>
      </c>
      <c r="F641" s="572">
        <f>E641/E642-1</f>
        <v/>
      </c>
      <c r="G641" s="270" t="n">
        <v>19230.6</v>
      </c>
      <c r="H641" s="572">
        <f>G641/G642-1</f>
        <v/>
      </c>
    </row>
    <row r="642">
      <c r="B642" s="269" t="n">
        <v>45232</v>
      </c>
      <c r="C642" s="270" t="n">
        <v>1226.22</v>
      </c>
      <c r="D642" s="572">
        <f>C642/C643-1</f>
        <v/>
      </c>
      <c r="E642" s="270" t="n">
        <v>46035.54</v>
      </c>
      <c r="F642" s="572">
        <f>E642/E643-1</f>
        <v/>
      </c>
      <c r="G642" s="270" t="n">
        <v>19133.25</v>
      </c>
      <c r="H642" s="572">
        <f>G642/G643-1</f>
        <v/>
      </c>
    </row>
    <row r="643">
      <c r="B643" s="269" t="n">
        <v>45231</v>
      </c>
      <c r="C643" s="270" t="n">
        <v>1196.93</v>
      </c>
      <c r="D643" s="572">
        <f>C643/C644-1</f>
        <v/>
      </c>
      <c r="E643" s="270" t="n">
        <v>45514.39</v>
      </c>
      <c r="F643" s="572">
        <f>E643/E644-1</f>
        <v/>
      </c>
      <c r="G643" s="270" t="n">
        <v>18989.15</v>
      </c>
      <c r="H643" s="572">
        <f>G643/G644-1</f>
        <v/>
      </c>
    </row>
    <row r="644">
      <c r="B644" s="269" t="n">
        <v>45230</v>
      </c>
      <c r="C644" s="270" t="n">
        <v>1231.1</v>
      </c>
      <c r="D644" s="572">
        <f>C644/C645-1</f>
        <v/>
      </c>
      <c r="E644" s="270" t="n">
        <v>45784.43</v>
      </c>
      <c r="F644" s="572">
        <f>E644/E645-1</f>
        <v/>
      </c>
      <c r="G644" s="270" t="n">
        <v>19079.6</v>
      </c>
      <c r="H644" s="572">
        <f>G644/G645-1</f>
        <v/>
      </c>
    </row>
    <row r="645">
      <c r="B645" s="269" t="n">
        <v>45229</v>
      </c>
      <c r="C645" s="270" t="n">
        <v>1229.68</v>
      </c>
      <c r="D645" s="572">
        <f>C645/C646-1</f>
        <v/>
      </c>
      <c r="E645" s="270" t="n">
        <v>45914.51</v>
      </c>
      <c r="F645" s="572">
        <f>E645/E646-1</f>
        <v/>
      </c>
      <c r="G645" s="270" t="n">
        <v>19140.9</v>
      </c>
      <c r="H645" s="572">
        <f>G645/G646-1</f>
        <v/>
      </c>
    </row>
    <row r="646">
      <c r="B646" s="269" t="n">
        <v>45226</v>
      </c>
      <c r="C646" s="270" t="n">
        <v>1068.32</v>
      </c>
      <c r="D646" s="572">
        <f>C646/C647-1</f>
        <v/>
      </c>
      <c r="E646" s="270" t="n">
        <v>45766.82</v>
      </c>
      <c r="F646" s="572">
        <f>E646/E647-1</f>
        <v/>
      </c>
      <c r="G646" s="270" t="n">
        <v>19047.25</v>
      </c>
      <c r="H646" s="572">
        <f>G646/G647-1</f>
        <v/>
      </c>
    </row>
    <row r="647">
      <c r="B647" s="269" t="n">
        <v>45225</v>
      </c>
      <c r="C647" s="270" t="n">
        <v>1007.92</v>
      </c>
      <c r="D647" s="572">
        <f>C647/C648-1</f>
        <v/>
      </c>
      <c r="E647" s="270" t="n">
        <v>45132.87</v>
      </c>
      <c r="F647" s="572">
        <f>E647/E648-1</f>
        <v/>
      </c>
      <c r="G647" s="270" t="n">
        <v>18857.25</v>
      </c>
      <c r="H647" s="572">
        <f>G647/G648-1</f>
        <v/>
      </c>
    </row>
    <row r="648">
      <c r="B648" s="269" t="n">
        <v>45224</v>
      </c>
      <c r="C648" s="270" t="n">
        <v>1059.7</v>
      </c>
      <c r="D648" s="572">
        <f>C648/C649-1</f>
        <v/>
      </c>
      <c r="E648" s="270" t="n">
        <v>45605.37</v>
      </c>
      <c r="F648" s="572">
        <f>E648/E649-1</f>
        <v/>
      </c>
      <c r="G648" s="270" t="n">
        <v>19122.15</v>
      </c>
      <c r="H648" s="572">
        <f>G648/G649-1</f>
        <v/>
      </c>
    </row>
    <row r="649">
      <c r="B649" s="269" t="n">
        <v>45222</v>
      </c>
      <c r="C649" s="270" t="n">
        <v>1053.38</v>
      </c>
      <c r="D649" s="572">
        <f>C649/C650-1</f>
        <v/>
      </c>
      <c r="E649" s="270" t="n">
        <v>46119.3</v>
      </c>
      <c r="F649" s="572">
        <f>E649/E650-1</f>
        <v/>
      </c>
      <c r="G649" s="270" t="n">
        <v>19281.75</v>
      </c>
      <c r="H649" s="572">
        <f>G649/G650-1</f>
        <v/>
      </c>
    </row>
    <row r="650">
      <c r="B650" s="269" t="n">
        <v>45219</v>
      </c>
      <c r="C650" s="270" t="n">
        <v>1061.6</v>
      </c>
      <c r="D650" s="572">
        <f>C650/C651-1</f>
        <v/>
      </c>
      <c r="E650" s="270" t="n">
        <v>47213.11</v>
      </c>
      <c r="F650" s="572">
        <f>E650/E651-1</f>
        <v/>
      </c>
      <c r="G650" s="270" t="n">
        <v>19542.65</v>
      </c>
      <c r="H650" s="572">
        <f>G650/G651-1</f>
        <v/>
      </c>
    </row>
    <row r="651">
      <c r="B651" s="269" t="n">
        <v>45218</v>
      </c>
      <c r="C651" s="270" t="n">
        <v>1078.68</v>
      </c>
      <c r="D651" s="572">
        <f>C651/C652-1</f>
        <v/>
      </c>
      <c r="E651" s="270" t="n">
        <v>47679.52</v>
      </c>
      <c r="F651" s="572">
        <f>E651/E652-1</f>
        <v/>
      </c>
      <c r="G651" s="270" t="n">
        <v>19624.7</v>
      </c>
      <c r="H651" s="572">
        <f>G651/G652-1</f>
        <v/>
      </c>
    </row>
    <row r="652">
      <c r="B652" s="269" t="n">
        <v>45217</v>
      </c>
      <c r="C652" s="270" t="n">
        <v>1074.12</v>
      </c>
      <c r="D652" s="572">
        <f>C652/C653-1</f>
        <v/>
      </c>
      <c r="E652" s="270" t="n">
        <v>47715.61</v>
      </c>
      <c r="F652" s="572">
        <f>E652/E653-1</f>
        <v/>
      </c>
      <c r="G652" s="270" t="n">
        <v>19671.1</v>
      </c>
      <c r="H652" s="572">
        <f>G652/G653-1</f>
        <v/>
      </c>
    </row>
    <row r="653">
      <c r="B653" s="269" t="n">
        <v>45216</v>
      </c>
      <c r="C653" s="270" t="n">
        <v>1052.93</v>
      </c>
      <c r="D653" s="572">
        <f>C653/C654-1</f>
        <v/>
      </c>
      <c r="E653" s="270" t="n">
        <v>48057.92</v>
      </c>
      <c r="F653" s="572">
        <f>E653/E654-1</f>
        <v/>
      </c>
      <c r="G653" s="270" t="n">
        <v>19811.5</v>
      </c>
      <c r="H653" s="572">
        <f>G653/G654-1</f>
        <v/>
      </c>
    </row>
    <row r="654">
      <c r="B654" s="269" t="n">
        <v>45215</v>
      </c>
      <c r="C654" s="270" t="n">
        <v>1065.57</v>
      </c>
      <c r="D654" s="572">
        <f>C654/C655-1</f>
        <v/>
      </c>
      <c r="E654" s="270" t="n">
        <v>48111.58</v>
      </c>
      <c r="F654" s="572">
        <f>E654/E655-1</f>
        <v/>
      </c>
      <c r="G654" s="270" t="n">
        <v>19731.75</v>
      </c>
      <c r="H654" s="572">
        <f>G654/G655-1</f>
        <v/>
      </c>
    </row>
    <row r="655">
      <c r="B655" s="269" t="n">
        <v>45212</v>
      </c>
      <c r="C655" s="270" t="n">
        <v>1034.93</v>
      </c>
      <c r="D655" s="572">
        <f>C655/C656-1</f>
        <v/>
      </c>
      <c r="E655" s="270" t="n">
        <v>47898.94</v>
      </c>
      <c r="F655" s="572">
        <f>E655/E656-1</f>
        <v/>
      </c>
      <c r="G655" s="270" t="n">
        <v>19751.05</v>
      </c>
      <c r="H655" s="572">
        <f>G655/G656-1</f>
        <v/>
      </c>
    </row>
    <row r="656">
      <c r="B656" s="269" t="n">
        <v>45211</v>
      </c>
      <c r="C656" s="270" t="n">
        <v>1023.45</v>
      </c>
      <c r="D656" s="572">
        <f>C656/C657-1</f>
        <v/>
      </c>
      <c r="E656" s="270" t="n">
        <v>47907.59</v>
      </c>
      <c r="F656" s="572">
        <f>E656/E657-1</f>
        <v/>
      </c>
      <c r="G656" s="270" t="n">
        <v>19794</v>
      </c>
      <c r="H656" s="572">
        <f>G656/G657-1</f>
        <v/>
      </c>
    </row>
    <row r="657">
      <c r="B657" s="269" t="n">
        <v>45210</v>
      </c>
      <c r="C657" s="270" t="n">
        <v>1034.38</v>
      </c>
      <c r="D657" s="572">
        <f>C657/C658-1</f>
        <v/>
      </c>
      <c r="E657" s="270" t="n">
        <v>47961.67</v>
      </c>
      <c r="F657" s="572">
        <f>E657/E658-1</f>
        <v/>
      </c>
      <c r="G657" s="270" t="n">
        <v>19811.35</v>
      </c>
      <c r="H657" s="572">
        <f>G657/G658-1</f>
        <v/>
      </c>
    </row>
    <row r="658">
      <c r="B658" s="269" t="n">
        <v>45209</v>
      </c>
      <c r="C658" s="270" t="n">
        <v>1025.3</v>
      </c>
      <c r="D658" s="572">
        <f>C658/C659-1</f>
        <v/>
      </c>
      <c r="E658" s="270" t="n">
        <v>47809.77</v>
      </c>
      <c r="F658" s="572">
        <f>E658/E659-1</f>
        <v/>
      </c>
      <c r="G658" s="270" t="n">
        <v>19689.85</v>
      </c>
      <c r="H658" s="572">
        <f>G658/G659-1</f>
        <v/>
      </c>
    </row>
    <row r="659">
      <c r="B659" s="269" t="n">
        <v>45208</v>
      </c>
      <c r="C659" s="270" t="n">
        <v>1018</v>
      </c>
      <c r="D659" s="572">
        <f>C659/C660-1</f>
        <v/>
      </c>
      <c r="E659" s="270" t="n">
        <v>47558.73</v>
      </c>
      <c r="F659" s="572">
        <f>E659/E660-1</f>
        <v/>
      </c>
      <c r="G659" s="270" t="n">
        <v>19512.35</v>
      </c>
      <c r="H659" s="572">
        <f>G659/G660-1</f>
        <v/>
      </c>
    </row>
    <row r="660">
      <c r="B660" s="269" t="n">
        <v>45205</v>
      </c>
      <c r="C660" s="270" t="n">
        <v>1001.4</v>
      </c>
      <c r="D660" s="572">
        <f>C660/C661-1</f>
        <v/>
      </c>
      <c r="E660" s="270" t="n">
        <v>48205.14</v>
      </c>
      <c r="F660" s="572">
        <f>E660/E661-1</f>
        <v/>
      </c>
      <c r="G660" s="270" t="n">
        <v>19653.5</v>
      </c>
      <c r="H660" s="572">
        <f>G660/G661-1</f>
        <v/>
      </c>
    </row>
    <row r="661">
      <c r="B661" s="269" t="n">
        <v>45204</v>
      </c>
      <c r="C661" s="270" t="n">
        <v>984.53</v>
      </c>
      <c r="D661" s="572">
        <f>C661/C662-1</f>
        <v/>
      </c>
      <c r="E661" s="270" t="n">
        <v>48193.51</v>
      </c>
      <c r="F661" s="572">
        <f>E661/E662-1</f>
        <v/>
      </c>
      <c r="G661" s="270" t="n">
        <v>19545.75</v>
      </c>
      <c r="H661" s="572">
        <f>G661/G662-1</f>
        <v/>
      </c>
    </row>
    <row r="662">
      <c r="B662" s="269" t="n">
        <v>45203</v>
      </c>
      <c r="C662" s="270" t="n">
        <v>979.62</v>
      </c>
      <c r="D662" s="572">
        <f>C662/C663-1</f>
        <v/>
      </c>
      <c r="E662" s="270" t="n">
        <v>47570.01</v>
      </c>
      <c r="F662" s="572">
        <f>E662/E663-1</f>
        <v/>
      </c>
      <c r="G662" s="270" t="n">
        <v>19436.1</v>
      </c>
      <c r="H662" s="572">
        <f>G662/G663-1</f>
        <v/>
      </c>
    </row>
    <row r="663">
      <c r="B663" s="269" t="n">
        <v>45202</v>
      </c>
      <c r="C663" s="270" t="n">
        <v>981.17</v>
      </c>
      <c r="D663" s="572">
        <f>C663/C664-1</f>
        <v/>
      </c>
      <c r="E663" s="270" t="n">
        <v>48209.12</v>
      </c>
      <c r="F663" s="572">
        <f>E663/E664-1</f>
        <v/>
      </c>
      <c r="G663" s="270" t="n">
        <v>19528.75</v>
      </c>
      <c r="H663" s="572">
        <f>G663/G664-1</f>
        <v/>
      </c>
    </row>
    <row r="664">
      <c r="B664" s="269" t="n">
        <v>45198</v>
      </c>
      <c r="C664" s="270" t="n">
        <v>991.35</v>
      </c>
      <c r="D664" s="572">
        <f>C664/C665-1</f>
        <v/>
      </c>
      <c r="E664" s="270" t="n">
        <v>47729.02</v>
      </c>
      <c r="F664" s="572">
        <f>E664/E665-1</f>
        <v/>
      </c>
      <c r="G664" s="270" t="n">
        <v>19638.3</v>
      </c>
      <c r="H664" s="572">
        <f>G664/G665-1</f>
        <v/>
      </c>
    </row>
    <row r="665">
      <c r="B665" s="269" t="n">
        <v>45197</v>
      </c>
      <c r="C665" s="270" t="n">
        <v>974.75</v>
      </c>
      <c r="D665" s="572">
        <f>C665/C666-1</f>
        <v/>
      </c>
      <c r="E665" s="270" t="n">
        <v>47363.35</v>
      </c>
      <c r="F665" s="572">
        <f>E665/E666-1</f>
        <v/>
      </c>
      <c r="G665" s="270" t="n">
        <v>19523.55</v>
      </c>
      <c r="H665" s="572">
        <f>G665/G666-1</f>
        <v/>
      </c>
    </row>
    <row r="666">
      <c r="B666" s="269" t="n">
        <v>45196</v>
      </c>
      <c r="C666" s="270" t="n">
        <v>983.53</v>
      </c>
      <c r="D666" s="572">
        <f>C666/C667-1</f>
        <v/>
      </c>
      <c r="E666" s="270" t="n">
        <v>47225.59</v>
      </c>
      <c r="F666" s="572">
        <f>E666/E667-1</f>
        <v/>
      </c>
      <c r="G666" s="270" t="n">
        <v>19716.45</v>
      </c>
      <c r="H666" s="572">
        <f>G666/G667-1</f>
        <v/>
      </c>
    </row>
    <row r="667">
      <c r="B667" s="269" t="n">
        <v>45195</v>
      </c>
      <c r="C667" s="270" t="n">
        <v>990.12</v>
      </c>
      <c r="D667" s="572">
        <f>C667/C668-1</f>
        <v/>
      </c>
      <c r="E667" s="270" t="n">
        <v>46692.67</v>
      </c>
      <c r="F667" s="572">
        <f>E667/E668-1</f>
        <v/>
      </c>
      <c r="G667" s="270" t="n">
        <v>19664.7</v>
      </c>
      <c r="H667" s="572">
        <f>G667/G668-1</f>
        <v/>
      </c>
    </row>
    <row r="668">
      <c r="B668" s="269" t="n">
        <v>45194</v>
      </c>
      <c r="C668" s="270" t="n">
        <v>991.7</v>
      </c>
      <c r="D668" s="572">
        <f>C668/C669-1</f>
        <v/>
      </c>
      <c r="E668" s="270" t="n">
        <v>46582.24</v>
      </c>
      <c r="F668" s="572">
        <f>E668/E669-1</f>
        <v/>
      </c>
      <c r="G668" s="270" t="n">
        <v>19674.55</v>
      </c>
      <c r="H668" s="572">
        <f>G668/G669-1</f>
        <v/>
      </c>
    </row>
    <row r="669">
      <c r="B669" s="269" t="n">
        <v>45191</v>
      </c>
      <c r="C669" s="270" t="n">
        <v>1004.65</v>
      </c>
      <c r="D669" s="572">
        <f>C669/C670-1</f>
        <v/>
      </c>
      <c r="E669" s="270" t="n">
        <v>46719.77</v>
      </c>
      <c r="F669" s="572">
        <f>E669/E670-1</f>
        <v/>
      </c>
      <c r="G669" s="270" t="n">
        <v>19674.25</v>
      </c>
      <c r="H669" s="572">
        <f>G669/G670-1</f>
        <v/>
      </c>
    </row>
    <row r="670">
      <c r="B670" s="269" t="n">
        <v>45190</v>
      </c>
      <c r="C670" s="270" t="n">
        <v>1026.97</v>
      </c>
      <c r="D670" s="572">
        <f>C670/C671-1</f>
        <v/>
      </c>
      <c r="E670" s="270" t="n">
        <v>46652.18</v>
      </c>
      <c r="F670" s="572">
        <f>E670/E671-1</f>
        <v/>
      </c>
      <c r="G670" s="270" t="n">
        <v>19742.35</v>
      </c>
      <c r="H670" s="572">
        <f>G670/G671-1</f>
        <v/>
      </c>
    </row>
    <row r="671">
      <c r="B671" s="269" t="n">
        <v>45189</v>
      </c>
      <c r="C671" s="270" t="n">
        <v>1045.8</v>
      </c>
      <c r="D671" s="572">
        <f>C671/C672-1</f>
        <v/>
      </c>
      <c r="E671" s="270" t="n">
        <v>46903.08</v>
      </c>
      <c r="F671" s="572">
        <f>E671/E672-1</f>
        <v/>
      </c>
      <c r="G671" s="270" t="n">
        <v>19901.4</v>
      </c>
      <c r="H671" s="572">
        <f>G671/G672-1</f>
        <v/>
      </c>
    </row>
    <row r="672">
      <c r="B672" s="269" t="n">
        <v>45187</v>
      </c>
      <c r="C672" s="270" t="n">
        <v>1064.7</v>
      </c>
      <c r="D672" s="572">
        <f>C672/C673-1</f>
        <v/>
      </c>
      <c r="E672" s="270" t="n">
        <v>47095.38</v>
      </c>
      <c r="F672" s="572">
        <f>E672/E673-1</f>
        <v/>
      </c>
      <c r="G672" s="270" t="n">
        <v>20133.3</v>
      </c>
      <c r="H672" s="572">
        <f>G672/G673-1</f>
        <v/>
      </c>
    </row>
    <row r="673">
      <c r="B673" s="269" t="n">
        <v>45184</v>
      </c>
      <c r="C673" s="270" t="n">
        <v>1093.68</v>
      </c>
      <c r="D673" s="572">
        <f>C673/C674-1</f>
        <v/>
      </c>
      <c r="E673" s="270" t="n">
        <v>47045.67</v>
      </c>
      <c r="F673" s="572">
        <f>E673/E674-1</f>
        <v/>
      </c>
      <c r="G673" s="270" t="n">
        <v>20192.35</v>
      </c>
      <c r="H673" s="572">
        <f>G673/G674-1</f>
        <v/>
      </c>
    </row>
    <row r="674">
      <c r="B674" s="269" t="n">
        <v>45183</v>
      </c>
      <c r="C674" s="270" t="n">
        <v>1069.78</v>
      </c>
      <c r="D674" s="572">
        <f>C674/C675-1</f>
        <v/>
      </c>
      <c r="E674" s="270" t="n">
        <v>47063.51</v>
      </c>
      <c r="F674" s="572">
        <f>E674/E675-1</f>
        <v/>
      </c>
      <c r="G674" s="270" t="n">
        <v>20103.1</v>
      </c>
      <c r="H674" s="572">
        <f>G674/G675-1</f>
        <v/>
      </c>
    </row>
    <row r="675">
      <c r="B675" s="269" t="n">
        <v>45182</v>
      </c>
      <c r="C675" s="270" t="n">
        <v>1049.38</v>
      </c>
      <c r="D675" s="572">
        <f>C675/C676-1</f>
        <v/>
      </c>
      <c r="E675" s="270" t="n">
        <v>46739.4</v>
      </c>
      <c r="F675" s="572">
        <f>E675/E676-1</f>
        <v/>
      </c>
      <c r="G675" s="270" t="n">
        <v>20070</v>
      </c>
      <c r="H675" s="572">
        <f>G675/G676-1</f>
        <v/>
      </c>
    </row>
    <row r="676">
      <c r="B676" s="269" t="n">
        <v>45181</v>
      </c>
      <c r="C676" s="270" t="n">
        <v>1035.57</v>
      </c>
      <c r="D676" s="572">
        <f>C676/C677-1</f>
        <v/>
      </c>
      <c r="E676" s="270" t="n">
        <v>46983.64</v>
      </c>
      <c r="F676" s="572">
        <f>E676/E677-1</f>
        <v/>
      </c>
      <c r="G676" s="270" t="n">
        <v>19993.2</v>
      </c>
      <c r="H676" s="572">
        <f>G676/G677-1</f>
        <v/>
      </c>
    </row>
    <row r="677">
      <c r="B677" s="269" t="n">
        <v>45180</v>
      </c>
      <c r="C677" s="270" t="n">
        <v>1068.7</v>
      </c>
      <c r="D677" s="572">
        <f>C677/C678-1</f>
        <v/>
      </c>
      <c r="E677" s="270" t="n">
        <v>47746.4</v>
      </c>
      <c r="F677" s="572">
        <f>E677/E678-1</f>
        <v/>
      </c>
      <c r="G677" s="270" t="n">
        <v>19996.35</v>
      </c>
      <c r="H677" s="572">
        <f>G677/G678-1</f>
        <v/>
      </c>
    </row>
    <row r="678">
      <c r="B678" s="269" t="n">
        <v>45177</v>
      </c>
      <c r="C678" s="270" t="n">
        <v>1088.75</v>
      </c>
      <c r="D678" s="572">
        <f>C678/C679-1</f>
        <v/>
      </c>
      <c r="E678" s="270" t="n">
        <v>47604.04</v>
      </c>
      <c r="F678" s="572">
        <f>E678/E679-1</f>
        <v/>
      </c>
      <c r="G678" s="270" t="n">
        <v>19819.95</v>
      </c>
      <c r="H678" s="572">
        <f>G678/G679-1</f>
        <v/>
      </c>
    </row>
    <row r="679">
      <c r="B679" s="269" t="n">
        <v>45176</v>
      </c>
      <c r="C679" s="270" t="n">
        <v>1079.4</v>
      </c>
      <c r="D679" s="572">
        <f>C679/C680-1</f>
        <v/>
      </c>
      <c r="E679" s="270" t="n">
        <v>46895.02</v>
      </c>
      <c r="F679" s="572">
        <f>E679/E680-1</f>
        <v/>
      </c>
      <c r="G679" s="270" t="n">
        <v>19727.05</v>
      </c>
      <c r="H679" s="572">
        <f>G679/G680-1</f>
        <v/>
      </c>
    </row>
    <row r="680">
      <c r="B680" s="269" t="n">
        <v>45175</v>
      </c>
      <c r="C680" s="270" t="n">
        <v>1065.43</v>
      </c>
      <c r="D680" s="572">
        <f>C680/C681-1</f>
        <v/>
      </c>
      <c r="E680" s="270" t="n">
        <v>45845.02</v>
      </c>
      <c r="F680" s="572">
        <f>E680/E681-1</f>
        <v/>
      </c>
      <c r="G680" s="270" t="n">
        <v>19611.05</v>
      </c>
      <c r="H680" s="572">
        <f>G680/G681-1</f>
        <v/>
      </c>
    </row>
    <row r="681">
      <c r="B681" s="269" t="n">
        <v>45174</v>
      </c>
      <c r="C681" s="270" t="n">
        <v>1076.05</v>
      </c>
      <c r="D681" s="572">
        <f>C681/C682-1</f>
        <v/>
      </c>
      <c r="E681" s="270" t="n">
        <v>45901.86</v>
      </c>
      <c r="F681" s="572">
        <f>E681/E682-1</f>
        <v/>
      </c>
      <c r="G681" s="270" t="n">
        <v>19574.9</v>
      </c>
      <c r="H681" s="572">
        <f>G681/G682-1</f>
        <v/>
      </c>
    </row>
    <row r="682">
      <c r="B682" s="269" t="n">
        <v>45173</v>
      </c>
      <c r="C682" s="270" t="n">
        <v>1073.82</v>
      </c>
      <c r="D682" s="572">
        <f>C682/C683-1</f>
        <v/>
      </c>
      <c r="E682" s="270" t="n">
        <v>45617.41</v>
      </c>
      <c r="F682" s="572">
        <f>E682/E683-1</f>
        <v/>
      </c>
      <c r="G682" s="270" t="n">
        <v>19528.8</v>
      </c>
      <c r="H682" s="572">
        <f>G682/G683-1</f>
        <v/>
      </c>
    </row>
    <row r="683">
      <c r="B683" s="269" t="n">
        <v>45170</v>
      </c>
      <c r="C683" s="270" t="n">
        <v>1083.8</v>
      </c>
      <c r="D683" s="572">
        <f>C683/C684-1</f>
        <v/>
      </c>
      <c r="E683" s="270" t="n">
        <v>45406.56</v>
      </c>
      <c r="F683" s="572">
        <f>E683/E684-1</f>
        <v/>
      </c>
      <c r="G683" s="270" t="n">
        <v>19435.3</v>
      </c>
      <c r="H683" s="572">
        <f>G683/G684-1</f>
        <v/>
      </c>
    </row>
    <row r="684">
      <c r="B684" s="269" t="n">
        <v>45169</v>
      </c>
      <c r="C684" s="270" t="n">
        <v>1112.57</v>
      </c>
      <c r="D684" s="572">
        <f>C684/C685-1</f>
        <v/>
      </c>
      <c r="E684" s="270" t="n">
        <v>45215.72</v>
      </c>
      <c r="F684" s="572">
        <f>E684/E685-1</f>
        <v/>
      </c>
      <c r="G684" s="270" t="n">
        <v>19253.8</v>
      </c>
      <c r="H684" s="572">
        <f>G684/G685-1</f>
        <v/>
      </c>
    </row>
    <row r="685">
      <c r="B685" s="269" t="n">
        <v>45168</v>
      </c>
      <c r="C685" s="270" t="n">
        <v>1081.9</v>
      </c>
      <c r="D685" s="572">
        <f>C685/C686-1</f>
        <v/>
      </c>
      <c r="E685" s="270" t="n">
        <v>45016.37</v>
      </c>
      <c r="F685" s="572">
        <f>E685/E686-1</f>
        <v/>
      </c>
      <c r="G685" s="270" t="n">
        <v>19347.45</v>
      </c>
      <c r="H685" s="572">
        <f>G685/G686-1</f>
        <v/>
      </c>
    </row>
    <row r="686">
      <c r="B686" s="269" t="n">
        <v>45167</v>
      </c>
      <c r="C686" s="270" t="n">
        <v>1067.85</v>
      </c>
      <c r="D686" s="572">
        <f>C686/C687-1</f>
        <v/>
      </c>
      <c r="E686" s="270" t="n">
        <v>44941</v>
      </c>
      <c r="F686" s="572">
        <f>E686/E687-1</f>
        <v/>
      </c>
      <c r="G686" s="270" t="n">
        <v>19342.65</v>
      </c>
      <c r="H686" s="572">
        <f>G686/G687-1</f>
        <v/>
      </c>
    </row>
    <row r="687">
      <c r="B687" s="269" t="n">
        <v>45166</v>
      </c>
      <c r="C687" s="270" t="n">
        <v>1066.9</v>
      </c>
      <c r="D687" s="572">
        <f>C687/C688-1</f>
        <v/>
      </c>
      <c r="E687" s="270" t="n">
        <v>44593.16</v>
      </c>
      <c r="F687" s="572">
        <f>E687/E688-1</f>
        <v/>
      </c>
      <c r="G687" s="270" t="n">
        <v>19306.05</v>
      </c>
      <c r="H687" s="572">
        <f>G687/G688-1</f>
        <v/>
      </c>
    </row>
    <row r="688">
      <c r="B688" s="269" t="n">
        <v>45163</v>
      </c>
      <c r="C688" s="270" t="n">
        <v>1093.68</v>
      </c>
      <c r="D688" s="572">
        <f>C688/C689-1</f>
        <v/>
      </c>
      <c r="E688" s="270" t="n">
        <v>43991.7</v>
      </c>
      <c r="F688" s="572">
        <f>E688/E689-1</f>
        <v/>
      </c>
      <c r="G688" s="270" t="n">
        <v>19265.8</v>
      </c>
      <c r="H688" s="572">
        <f>G688/G689-1</f>
        <v/>
      </c>
    </row>
    <row r="689">
      <c r="B689" s="269" t="n">
        <v>45162</v>
      </c>
      <c r="C689" s="270" t="n">
        <v>1108.5</v>
      </c>
      <c r="D689" s="572">
        <f>C689/C690-1</f>
        <v/>
      </c>
      <c r="E689" s="270" t="n">
        <v>44565.43</v>
      </c>
      <c r="F689" s="572">
        <f>E689/E690-1</f>
        <v/>
      </c>
      <c r="G689" s="270" t="n">
        <v>19386.7</v>
      </c>
      <c r="H689" s="572">
        <f>G689/G690-1</f>
        <v/>
      </c>
    </row>
    <row r="690">
      <c r="B690" s="269" t="n">
        <v>45161</v>
      </c>
      <c r="C690" s="270" t="n">
        <v>1100.55</v>
      </c>
      <c r="D690" s="572">
        <f>C690/C691-1</f>
        <v/>
      </c>
      <c r="E690" s="270" t="n">
        <v>44700.88</v>
      </c>
      <c r="F690" s="572">
        <f>E690/E691-1</f>
        <v/>
      </c>
      <c r="G690" s="270" t="n">
        <v>19444</v>
      </c>
      <c r="H690" s="572">
        <f>G690/G691-1</f>
        <v/>
      </c>
    </row>
    <row r="691">
      <c r="B691" s="269" t="n">
        <v>45160</v>
      </c>
      <c r="C691" s="270" t="n">
        <v>1108.4</v>
      </c>
      <c r="D691" s="572">
        <f>C691/C692-1</f>
        <v/>
      </c>
      <c r="E691" s="270" t="n">
        <v>44186.94</v>
      </c>
      <c r="F691" s="572">
        <f>E691/E692-1</f>
        <v/>
      </c>
      <c r="G691" s="270" t="n">
        <v>19396.45</v>
      </c>
      <c r="H691" s="572">
        <f>G691/G692-1</f>
        <v/>
      </c>
    </row>
    <row r="692">
      <c r="B692" s="269" t="n">
        <v>45159</v>
      </c>
      <c r="C692" s="270" t="n">
        <v>1087.18</v>
      </c>
      <c r="D692" s="572">
        <f>C692/C693-1</f>
        <v/>
      </c>
      <c r="E692" s="270" t="n">
        <v>43641.72</v>
      </c>
      <c r="F692" s="572">
        <f>E692/E693-1</f>
        <v/>
      </c>
      <c r="G692" s="270" t="n">
        <v>19393.6</v>
      </c>
      <c r="H692" s="572">
        <f>G692/G693-1</f>
        <v/>
      </c>
    </row>
    <row r="693">
      <c r="B693" s="269" t="n">
        <v>45156</v>
      </c>
      <c r="C693" s="270" t="n">
        <v>1068.88</v>
      </c>
      <c r="D693" s="572">
        <f>C693/C694-1</f>
        <v/>
      </c>
      <c r="E693" s="270" t="n">
        <v>43172.89</v>
      </c>
      <c r="F693" s="572">
        <f>E693/E694-1</f>
        <v/>
      </c>
      <c r="G693" s="270" t="n">
        <v>19310.15</v>
      </c>
      <c r="H693" s="572">
        <f>G693/G694-1</f>
        <v/>
      </c>
    </row>
    <row r="694">
      <c r="B694" s="269" t="n">
        <v>45155</v>
      </c>
      <c r="C694" s="270" t="n">
        <v>1071.22</v>
      </c>
      <c r="D694" s="572">
        <f>C694/C695-1</f>
        <v/>
      </c>
      <c r="E694" s="270" t="n">
        <v>43278.23</v>
      </c>
      <c r="F694" s="572">
        <f>E694/E695-1</f>
        <v/>
      </c>
      <c r="G694" s="270" t="n">
        <v>19365.25</v>
      </c>
      <c r="H694" s="572">
        <f>G694/G695-1</f>
        <v/>
      </c>
    </row>
    <row r="695">
      <c r="B695" s="269" t="n">
        <v>45154</v>
      </c>
      <c r="C695" s="270" t="n">
        <v>1073.68</v>
      </c>
      <c r="D695" s="572">
        <f>C695/C696-1</f>
        <v/>
      </c>
      <c r="E695" s="270" t="n">
        <v>43606.61</v>
      </c>
      <c r="F695" s="572">
        <f>E695/E696-1</f>
        <v/>
      </c>
      <c r="G695" s="270" t="n">
        <v>19465</v>
      </c>
      <c r="H695" s="572">
        <f>G695/G696-1</f>
        <v/>
      </c>
    </row>
    <row r="696">
      <c r="B696" s="269" t="n">
        <v>45152</v>
      </c>
      <c r="C696" s="270" t="n">
        <v>1054.4</v>
      </c>
      <c r="D696" s="572">
        <f>C696/C697-1</f>
        <v/>
      </c>
      <c r="E696" s="270" t="n">
        <v>43332.6</v>
      </c>
      <c r="F696" s="572">
        <f>E696/E697-1</f>
        <v/>
      </c>
      <c r="G696" s="270" t="n">
        <v>19434.55</v>
      </c>
      <c r="H696" s="572">
        <f>G696/G697-1</f>
        <v/>
      </c>
    </row>
    <row r="697">
      <c r="B697" s="269" t="n">
        <v>45149</v>
      </c>
      <c r="C697" s="270" t="n">
        <v>1047.45</v>
      </c>
      <c r="D697" s="572">
        <f>C697/C698-1</f>
        <v/>
      </c>
      <c r="E697" s="270" t="n">
        <v>43417.31</v>
      </c>
      <c r="F697" s="572">
        <f>E697/E698-1</f>
        <v/>
      </c>
      <c r="G697" s="270" t="n">
        <v>19428.3</v>
      </c>
      <c r="H697" s="572">
        <f>G697/G698-1</f>
        <v/>
      </c>
    </row>
    <row r="698">
      <c r="B698" s="269" t="n">
        <v>45148</v>
      </c>
      <c r="C698" s="270" t="n">
        <v>1055.85</v>
      </c>
      <c r="D698" s="572">
        <f>C698/C699-1</f>
        <v/>
      </c>
      <c r="E698" s="270" t="n">
        <v>43351.12</v>
      </c>
      <c r="F698" s="572">
        <f>E698/E699-1</f>
        <v/>
      </c>
      <c r="G698" s="270" t="n">
        <v>19543.1</v>
      </c>
      <c r="H698" s="572">
        <f>G698/G699-1</f>
        <v/>
      </c>
    </row>
    <row r="699">
      <c r="B699" s="269" t="n">
        <v>45147</v>
      </c>
      <c r="C699" s="270" t="n">
        <v>1056.72</v>
      </c>
      <c r="D699" s="572">
        <f>C699/C700-1</f>
        <v/>
      </c>
      <c r="E699" s="270" t="n">
        <v>43553.3</v>
      </c>
      <c r="F699" s="572">
        <f>E699/E700-1</f>
        <v/>
      </c>
      <c r="G699" s="270" t="n">
        <v>19632.55</v>
      </c>
      <c r="H699" s="572">
        <f>G699/G700-1</f>
        <v/>
      </c>
    </row>
    <row r="700">
      <c r="B700" s="269" t="n">
        <v>45146</v>
      </c>
      <c r="C700" s="270" t="n">
        <v>1073.47</v>
      </c>
      <c r="D700" s="572">
        <f>C700/C701-1</f>
        <v/>
      </c>
      <c r="E700" s="270" t="n">
        <v>43202.81</v>
      </c>
      <c r="F700" s="572">
        <f>E700/E701-1</f>
        <v/>
      </c>
      <c r="G700" s="270" t="n">
        <v>19570.85</v>
      </c>
      <c r="H700" s="572">
        <f>G700/G701-1</f>
        <v/>
      </c>
    </row>
    <row r="701">
      <c r="B701" s="269" t="n">
        <v>45145</v>
      </c>
      <c r="C701" s="270" t="n">
        <v>1075.18</v>
      </c>
      <c r="D701" s="572">
        <f>C701/C702-1</f>
        <v/>
      </c>
      <c r="E701" s="270" t="n">
        <v>43182.81</v>
      </c>
      <c r="F701" s="572">
        <f>E701/E702-1</f>
        <v/>
      </c>
      <c r="G701" s="270" t="n">
        <v>19597.3</v>
      </c>
      <c r="H701" s="572">
        <f>G701/G702-1</f>
        <v/>
      </c>
    </row>
    <row r="702">
      <c r="B702" s="269" t="n">
        <v>45142</v>
      </c>
      <c r="C702" s="270" t="n">
        <v>1060.8</v>
      </c>
      <c r="D702" s="572">
        <f>C702/C703-1</f>
        <v/>
      </c>
      <c r="E702" s="270" t="n">
        <v>43070.04</v>
      </c>
      <c r="F702" s="572">
        <f>E702/E703-1</f>
        <v/>
      </c>
      <c r="G702" s="270" t="n">
        <v>19517</v>
      </c>
      <c r="H702" s="572">
        <f>G702/G703-1</f>
        <v/>
      </c>
    </row>
    <row r="703">
      <c r="B703" s="269" t="n">
        <v>45141</v>
      </c>
      <c r="C703" s="270" t="n">
        <v>1085.78</v>
      </c>
      <c r="D703" s="572">
        <f>C703/C704-1</f>
        <v/>
      </c>
      <c r="E703" s="270" t="n">
        <v>42786.17</v>
      </c>
      <c r="F703" s="572">
        <f>E703/E704-1</f>
        <v/>
      </c>
      <c r="G703" s="270" t="n">
        <v>19381.65</v>
      </c>
      <c r="H703" s="572">
        <f>G703/G704-1</f>
        <v/>
      </c>
    </row>
    <row r="704">
      <c r="B704" s="269" t="n">
        <v>45140</v>
      </c>
      <c r="C704" s="270" t="n">
        <v>1087.78</v>
      </c>
      <c r="D704" s="572">
        <f>C704/C705-1</f>
        <v/>
      </c>
      <c r="E704" s="270" t="n">
        <v>43066.53</v>
      </c>
      <c r="F704" s="572">
        <f>E704/E705-1</f>
        <v/>
      </c>
      <c r="G704" s="270" t="n">
        <v>19526.55</v>
      </c>
      <c r="H704" s="572">
        <f>G704/G705-1</f>
        <v/>
      </c>
    </row>
    <row r="705">
      <c r="B705" s="269" t="n">
        <v>45139</v>
      </c>
      <c r="C705" s="270" t="n">
        <v>1119.65</v>
      </c>
      <c r="D705" s="572">
        <f>C705/C706-1</f>
        <v/>
      </c>
      <c r="E705" s="270" t="n">
        <v>43869.48</v>
      </c>
      <c r="F705" s="572">
        <f>E705/E706-1</f>
        <v/>
      </c>
      <c r="G705" s="270" t="n">
        <v>19733.55</v>
      </c>
      <c r="H705" s="572">
        <f>G705/G706-1</f>
        <v/>
      </c>
    </row>
    <row r="706">
      <c r="B706" s="269" t="n">
        <v>45138</v>
      </c>
      <c r="C706" s="270" t="n">
        <v>1047.65</v>
      </c>
      <c r="D706" s="572">
        <f>C706/C707-1</f>
        <v/>
      </c>
      <c r="E706" s="270" t="n">
        <v>44045.93</v>
      </c>
      <c r="F706" s="572">
        <f>E706/E707-1</f>
        <v/>
      </c>
      <c r="G706" s="270" t="n">
        <v>19753.8</v>
      </c>
      <c r="H706" s="572">
        <f>G706/G707-1</f>
        <v/>
      </c>
    </row>
    <row r="707">
      <c r="B707" s="269" t="n">
        <v>45135</v>
      </c>
      <c r="C707" s="270" t="n">
        <v>1001.4</v>
      </c>
      <c r="D707" s="572">
        <f>C707/C708-1</f>
        <v/>
      </c>
      <c r="E707" s="270" t="n">
        <v>43473.75</v>
      </c>
      <c r="F707" s="572">
        <f>E707/E708-1</f>
        <v/>
      </c>
      <c r="G707" s="270" t="n">
        <v>19646.05</v>
      </c>
      <c r="H707" s="572">
        <f>G707/G708-1</f>
        <v/>
      </c>
    </row>
    <row r="708">
      <c r="B708" s="269" t="n">
        <v>45134</v>
      </c>
      <c r="C708" s="270" t="n">
        <v>988.78</v>
      </c>
      <c r="D708" s="572">
        <f>C708/C709-1</f>
        <v/>
      </c>
      <c r="E708" s="270" t="n">
        <v>43267.64</v>
      </c>
      <c r="F708" s="572">
        <f>E708/E709-1</f>
        <v/>
      </c>
      <c r="G708" s="270" t="n">
        <v>19659.9</v>
      </c>
      <c r="H708" s="572">
        <f>G708/G709-1</f>
        <v/>
      </c>
    </row>
    <row r="709">
      <c r="B709" s="269" t="n">
        <v>45133</v>
      </c>
      <c r="C709" s="270" t="n">
        <v>982.38</v>
      </c>
      <c r="D709" s="572">
        <f>C709/C710-1</f>
        <v/>
      </c>
      <c r="E709" s="270" t="n">
        <v>43132.88</v>
      </c>
      <c r="F709" s="572">
        <f>E709/E710-1</f>
        <v/>
      </c>
      <c r="G709" s="270" t="n">
        <v>19778.3</v>
      </c>
      <c r="H709" s="572">
        <f>G709/G710-1</f>
        <v/>
      </c>
    </row>
    <row r="710">
      <c r="B710" s="269" t="n">
        <v>45132</v>
      </c>
      <c r="C710" s="270" t="n">
        <v>982.7</v>
      </c>
      <c r="D710" s="572">
        <f>C710/C711-1</f>
        <v/>
      </c>
      <c r="E710" s="270" t="n">
        <v>42459.12</v>
      </c>
      <c r="F710" s="572">
        <f>E710/E711-1</f>
        <v/>
      </c>
      <c r="G710" s="270" t="n">
        <v>19680.6</v>
      </c>
      <c r="H710" s="572">
        <f>G710/G711-1</f>
        <v/>
      </c>
    </row>
    <row r="711">
      <c r="B711" s="269" t="n">
        <v>45131</v>
      </c>
      <c r="C711" s="270" t="n">
        <v>946.65</v>
      </c>
      <c r="D711" s="572">
        <f>C711/C712-1</f>
        <v/>
      </c>
      <c r="E711" s="270" t="n">
        <v>42734.23</v>
      </c>
      <c r="F711" s="572">
        <f>E711/E712-1</f>
        <v/>
      </c>
      <c r="G711" s="270" t="n">
        <v>19672.35</v>
      </c>
      <c r="H711" s="572">
        <f>G711/G712-1</f>
        <v/>
      </c>
    </row>
    <row r="712">
      <c r="B712" s="269" t="n">
        <v>45128</v>
      </c>
      <c r="C712" s="270" t="n">
        <v>966.85</v>
      </c>
      <c r="D712" s="572">
        <f>C712/C713-1</f>
        <v/>
      </c>
      <c r="E712" s="270" t="n">
        <v>42401.94</v>
      </c>
      <c r="F712" s="572">
        <f>E712/E713-1</f>
        <v/>
      </c>
      <c r="G712" s="270" t="n">
        <v>19745</v>
      </c>
      <c r="H712" s="572">
        <f>G712/G713-1</f>
        <v/>
      </c>
    </row>
    <row r="713">
      <c r="B713" s="269" t="n">
        <v>45127</v>
      </c>
      <c r="C713" s="270" t="n">
        <v>971.92</v>
      </c>
      <c r="D713" s="572">
        <f>C713/C714-1</f>
        <v/>
      </c>
      <c r="E713" s="270" t="n">
        <v>41698.21</v>
      </c>
      <c r="F713" s="572">
        <f>E713/E714-1</f>
        <v/>
      </c>
      <c r="G713" s="270" t="n">
        <v>19979.15</v>
      </c>
      <c r="H713" s="572">
        <f>G713/G714-1</f>
        <v/>
      </c>
    </row>
    <row r="714">
      <c r="B714" s="269" t="n">
        <v>45126</v>
      </c>
      <c r="C714" s="270" t="n">
        <v>941</v>
      </c>
      <c r="D714" s="572">
        <f>C714/C715-1</f>
        <v/>
      </c>
      <c r="E714" s="270" t="n">
        <v>41819.7</v>
      </c>
      <c r="F714" s="572">
        <f>E714/E715-1</f>
        <v/>
      </c>
      <c r="G714" s="270" t="n">
        <v>19833.15</v>
      </c>
      <c r="H714" s="572">
        <f>G714/G715-1</f>
        <v/>
      </c>
    </row>
    <row r="715">
      <c r="B715" s="269" t="n">
        <v>45125</v>
      </c>
      <c r="C715" s="270" t="n">
        <v>925.28</v>
      </c>
      <c r="D715" s="572">
        <f>C715/C716-1</f>
        <v/>
      </c>
      <c r="E715" s="270" t="n">
        <v>41608.84</v>
      </c>
      <c r="F715" s="572">
        <f>E715/E716-1</f>
        <v/>
      </c>
      <c r="G715" s="270" t="n">
        <v>19749.25</v>
      </c>
      <c r="H715" s="572">
        <f>G715/G716-1</f>
        <v/>
      </c>
    </row>
    <row r="716">
      <c r="B716" s="269" t="n">
        <v>45124</v>
      </c>
      <c r="C716" s="270" t="n">
        <v>947.7</v>
      </c>
      <c r="D716" s="572">
        <f>C716/C717-1</f>
        <v/>
      </c>
      <c r="E716" s="270" t="n">
        <v>41426.73</v>
      </c>
      <c r="F716" s="572">
        <f>E716/E717-1</f>
        <v/>
      </c>
      <c r="G716" s="270" t="n">
        <v>19711.45</v>
      </c>
      <c r="H716" s="572">
        <f>G716/G717-1</f>
        <v/>
      </c>
    </row>
    <row r="717">
      <c r="B717" s="269" t="n">
        <v>45121</v>
      </c>
      <c r="C717" s="270" t="n">
        <v>934.22</v>
      </c>
      <c r="D717" s="572">
        <f>C717/C718-1</f>
        <v/>
      </c>
      <c r="E717" s="270" t="n">
        <v>41347.43</v>
      </c>
      <c r="F717" s="572">
        <f>E717/E718-1</f>
        <v/>
      </c>
      <c r="G717" s="270" t="n">
        <v>19564.5</v>
      </c>
      <c r="H717" s="572">
        <f>G717/G718-1</f>
        <v/>
      </c>
    </row>
    <row r="718">
      <c r="B718" s="269" t="n">
        <v>45120</v>
      </c>
      <c r="C718" s="270" t="n">
        <v>939.25</v>
      </c>
      <c r="D718" s="572">
        <f>C718/C719-1</f>
        <v/>
      </c>
      <c r="E718" s="270" t="n">
        <v>41084.21</v>
      </c>
      <c r="F718" s="572">
        <f>E718/E719-1</f>
        <v/>
      </c>
      <c r="G718" s="270" t="n">
        <v>19413.75</v>
      </c>
      <c r="H718" s="572">
        <f>G718/G719-1</f>
        <v/>
      </c>
    </row>
    <row r="719">
      <c r="B719" s="269" t="n">
        <v>45119</v>
      </c>
      <c r="C719" s="270" t="n">
        <v>956.72</v>
      </c>
      <c r="D719" s="572">
        <f>C719/C720-1</f>
        <v/>
      </c>
      <c r="E719" s="270" t="n">
        <v>41312.15</v>
      </c>
      <c r="F719" s="572">
        <f>E719/E720-1</f>
        <v/>
      </c>
      <c r="G719" s="270" t="n">
        <v>19384.3</v>
      </c>
      <c r="H719" s="572">
        <f>G719/G720-1</f>
        <v/>
      </c>
    </row>
    <row r="720">
      <c r="B720" s="269" t="n">
        <v>45118</v>
      </c>
      <c r="C720" s="270" t="n">
        <v>978.65</v>
      </c>
      <c r="D720" s="572">
        <f>C720/C721-1</f>
        <v/>
      </c>
      <c r="E720" s="270" t="n">
        <v>41308.69</v>
      </c>
      <c r="F720" s="572">
        <f>E720/E721-1</f>
        <v/>
      </c>
      <c r="G720" s="270" t="n">
        <v>19439.4</v>
      </c>
      <c r="H720" s="572">
        <f>G720/G721-1</f>
        <v/>
      </c>
    </row>
    <row r="721">
      <c r="B721" s="269" t="n">
        <v>45117</v>
      </c>
      <c r="C721" s="270" t="n">
        <v>927.4</v>
      </c>
      <c r="D721" s="572">
        <f>C721/C722-1</f>
        <v/>
      </c>
      <c r="E721" s="270" t="n">
        <v>40584.04</v>
      </c>
      <c r="F721" s="572">
        <f>E721/E722-1</f>
        <v/>
      </c>
      <c r="G721" s="270" t="n">
        <v>19355.9</v>
      </c>
      <c r="H721" s="572">
        <f>G721/G722-1</f>
        <v/>
      </c>
    </row>
    <row r="722">
      <c r="B722" s="269" t="n">
        <v>45114</v>
      </c>
      <c r="C722" s="270" t="n">
        <v>919.15</v>
      </c>
      <c r="D722" s="572">
        <f>C722/C723-1</f>
        <v/>
      </c>
      <c r="E722" s="270" t="n">
        <v>40670.38</v>
      </c>
      <c r="F722" s="572">
        <f>E722/E723-1</f>
        <v/>
      </c>
      <c r="G722" s="270" t="n">
        <v>19331.8</v>
      </c>
      <c r="H722" s="572">
        <f>G722/G723-1</f>
        <v/>
      </c>
    </row>
    <row r="723">
      <c r="B723" s="269" t="n">
        <v>45113</v>
      </c>
      <c r="C723" s="270" t="n">
        <v>931.65</v>
      </c>
      <c r="D723" s="572">
        <f>C723/C724-1</f>
        <v/>
      </c>
      <c r="E723" s="270" t="n">
        <v>41003.49</v>
      </c>
      <c r="F723" s="572">
        <f>E723/E724-1</f>
        <v/>
      </c>
      <c r="G723" s="270" t="n">
        <v>19497.3</v>
      </c>
      <c r="H723" s="572">
        <f>G723/G724-1</f>
        <v/>
      </c>
    </row>
    <row r="724">
      <c r="B724" s="269" t="n">
        <v>45112</v>
      </c>
      <c r="C724" s="270" t="n">
        <v>877.78</v>
      </c>
      <c r="D724" s="572">
        <f>C724/C725-1</f>
        <v/>
      </c>
      <c r="E724" s="270" t="n">
        <v>40720.36</v>
      </c>
      <c r="F724" s="572">
        <f>E724/E725-1</f>
        <v/>
      </c>
      <c r="G724" s="270" t="n">
        <v>19398.5</v>
      </c>
      <c r="H724" s="572">
        <f>G724/G725-1</f>
        <v/>
      </c>
    </row>
    <row r="725">
      <c r="B725" s="269" t="n">
        <v>45111</v>
      </c>
      <c r="C725" s="270" t="n">
        <v>862.45</v>
      </c>
      <c r="D725" s="572">
        <f>C725/C726-1</f>
        <v/>
      </c>
      <c r="E725" s="270" t="n">
        <v>40532.35</v>
      </c>
      <c r="F725" s="572">
        <f>E725/E726-1</f>
        <v/>
      </c>
      <c r="G725" s="270" t="n">
        <v>19389</v>
      </c>
      <c r="H725" s="572">
        <f>G725/G726-1</f>
        <v/>
      </c>
    </row>
    <row r="726">
      <c r="B726" s="269" t="n">
        <v>45110</v>
      </c>
      <c r="C726" s="270" t="n">
        <v>870.25</v>
      </c>
      <c r="D726" s="572">
        <f>C726/C727-1</f>
        <v/>
      </c>
      <c r="E726" s="270" t="n">
        <v>40540.25</v>
      </c>
      <c r="F726" s="572">
        <f>E726/E727-1</f>
        <v/>
      </c>
      <c r="G726" s="270" t="n">
        <v>19322.55</v>
      </c>
      <c r="H726" s="572">
        <f>G726/G727-1</f>
        <v/>
      </c>
    </row>
    <row r="727">
      <c r="B727" s="269" t="n">
        <v>45107</v>
      </c>
      <c r="C727" s="270" t="n">
        <v>878.7</v>
      </c>
      <c r="D727" s="572">
        <f>C727/C728-1</f>
        <v/>
      </c>
      <c r="E727" s="270" t="n">
        <v>40725.76</v>
      </c>
      <c r="F727" s="572">
        <f>E727/E728-1</f>
        <v/>
      </c>
      <c r="G727" s="270" t="n">
        <v>19189.05</v>
      </c>
      <c r="H727" s="572">
        <f>G727/G728-1</f>
        <v/>
      </c>
    </row>
    <row r="728">
      <c r="B728" s="269" t="n">
        <v>45105</v>
      </c>
      <c r="C728" s="270" t="n">
        <v>821.7</v>
      </c>
      <c r="D728" s="572">
        <f>C728/C729-1</f>
        <v/>
      </c>
      <c r="E728" s="270" t="n">
        <v>40035.07</v>
      </c>
      <c r="F728" s="572">
        <f>E728/E729-1</f>
        <v/>
      </c>
      <c r="G728" s="270" t="n">
        <v>18972.1</v>
      </c>
      <c r="H728" s="572">
        <f>G728/G729-1</f>
        <v/>
      </c>
    </row>
    <row r="729">
      <c r="B729" s="269" t="n">
        <v>45104</v>
      </c>
      <c r="C729" s="270" t="n">
        <v>827.97</v>
      </c>
      <c r="D729" s="572">
        <f>C729/C730-1</f>
        <v/>
      </c>
      <c r="E729" s="270" t="n">
        <v>39585.25</v>
      </c>
      <c r="F729" s="572">
        <f>E729/E730-1</f>
        <v/>
      </c>
      <c r="G729" s="270" t="n">
        <v>18817.4</v>
      </c>
      <c r="H729" s="572">
        <f>G729/G730-1</f>
        <v/>
      </c>
    </row>
    <row r="730">
      <c r="B730" s="269" t="n">
        <v>45103</v>
      </c>
      <c r="C730" s="270" t="n">
        <v>809.67</v>
      </c>
      <c r="D730" s="572">
        <f>C730/C731-1</f>
        <v/>
      </c>
      <c r="E730" s="270" t="n">
        <v>39563.32</v>
      </c>
      <c r="F730" s="572">
        <f>E730/E731-1</f>
        <v/>
      </c>
      <c r="G730" s="270" t="n">
        <v>18691.2</v>
      </c>
      <c r="H730" s="572">
        <f>G730/G731-1</f>
        <v/>
      </c>
    </row>
    <row r="731">
      <c r="B731" s="269" t="n">
        <v>45100</v>
      </c>
      <c r="C731" s="270" t="n">
        <v>803.05</v>
      </c>
      <c r="D731" s="572">
        <f>C731/C732-1</f>
        <v/>
      </c>
      <c r="E731" s="270" t="n">
        <v>39476.76</v>
      </c>
      <c r="F731" s="572">
        <f>E731/E732-1</f>
        <v/>
      </c>
      <c r="G731" s="270" t="n">
        <v>18665.5</v>
      </c>
      <c r="H731" s="572">
        <f>G731/G732-1</f>
        <v/>
      </c>
    </row>
    <row r="732">
      <c r="B732" s="269" t="n">
        <v>45099</v>
      </c>
      <c r="C732" s="270" t="n">
        <v>815.72</v>
      </c>
      <c r="D732" s="572">
        <f>C732/C733-1</f>
        <v/>
      </c>
      <c r="E732" s="270" t="n">
        <v>39916.5</v>
      </c>
      <c r="F732" s="572">
        <f>E732/E733-1</f>
        <v/>
      </c>
      <c r="G732" s="270" t="n">
        <v>18771.25</v>
      </c>
      <c r="H732" s="572">
        <f>G732/G733-1</f>
        <v/>
      </c>
    </row>
    <row r="733">
      <c r="B733" s="269" t="n">
        <v>45098</v>
      </c>
      <c r="C733" s="270" t="n">
        <v>840.1</v>
      </c>
      <c r="D733" s="572">
        <f>C733/C734-1</f>
        <v/>
      </c>
      <c r="E733" s="270" t="n">
        <v>39945.74</v>
      </c>
      <c r="F733" s="572">
        <f>E733/E734-1</f>
        <v/>
      </c>
      <c r="G733" s="270" t="n">
        <v>18856.85</v>
      </c>
      <c r="H733" s="572">
        <f>G733/G734-1</f>
        <v/>
      </c>
    </row>
    <row r="734">
      <c r="B734" s="269" t="n">
        <v>45097</v>
      </c>
      <c r="C734" s="270" t="n">
        <v>842.78</v>
      </c>
      <c r="D734" s="572">
        <f>C734/C735-1</f>
        <v/>
      </c>
      <c r="E734" s="270" t="n">
        <v>39944.11</v>
      </c>
      <c r="F734" s="572">
        <f>E734/E735-1</f>
        <v/>
      </c>
      <c r="G734" s="270" t="n">
        <v>18816.7</v>
      </c>
      <c r="H734" s="572">
        <f>G734/G735-1</f>
        <v/>
      </c>
    </row>
    <row r="735">
      <c r="B735" s="269" t="n">
        <v>45096</v>
      </c>
      <c r="C735" s="270" t="n">
        <v>831.08</v>
      </c>
      <c r="D735" s="572">
        <f>C735/C736-1</f>
        <v/>
      </c>
      <c r="E735" s="270" t="n">
        <v>39820.24</v>
      </c>
      <c r="F735" s="572">
        <f>E735/E736-1</f>
        <v/>
      </c>
      <c r="G735" s="270" t="n">
        <v>18755.45</v>
      </c>
      <c r="H735" s="572">
        <f>G735/G736-1</f>
        <v/>
      </c>
    </row>
    <row r="736">
      <c r="B736" s="269" t="n">
        <v>45093</v>
      </c>
      <c r="C736" s="270" t="n">
        <v>815.65</v>
      </c>
      <c r="D736" s="572">
        <f>C736/C737-1</f>
        <v/>
      </c>
      <c r="E736" s="270" t="n">
        <v>39929.68</v>
      </c>
      <c r="F736" s="572">
        <f>E736/E737-1</f>
        <v/>
      </c>
      <c r="G736" s="270" t="n">
        <v>18826</v>
      </c>
      <c r="H736" s="572">
        <f>G736/G737-1</f>
        <v/>
      </c>
    </row>
    <row r="737">
      <c r="B737" s="269" t="n">
        <v>45092</v>
      </c>
      <c r="C737" s="270" t="n">
        <v>819.03</v>
      </c>
      <c r="D737" s="572">
        <f>C737/C738-1</f>
        <v/>
      </c>
      <c r="E737" s="270" t="n">
        <v>39527.51</v>
      </c>
      <c r="F737" s="572">
        <f>E737/E738-1</f>
        <v/>
      </c>
      <c r="G737" s="270" t="n">
        <v>18688.1</v>
      </c>
      <c r="H737" s="572">
        <f>G737/G738-1</f>
        <v/>
      </c>
    </row>
    <row r="738">
      <c r="B738" s="269" t="n">
        <v>45091</v>
      </c>
      <c r="C738" s="270" t="n">
        <v>807.33</v>
      </c>
      <c r="D738" s="572">
        <f>C738/C739-1</f>
        <v/>
      </c>
      <c r="E738" s="270" t="n">
        <v>39497.44</v>
      </c>
      <c r="F738" s="572">
        <f>E738/E739-1</f>
        <v/>
      </c>
      <c r="G738" s="270" t="n">
        <v>18755.9</v>
      </c>
      <c r="H738" s="572">
        <f>G738/G739-1</f>
        <v/>
      </c>
    </row>
    <row r="739">
      <c r="B739" s="269" t="n">
        <v>45090</v>
      </c>
      <c r="C739" s="270" t="n">
        <v>803.03</v>
      </c>
      <c r="D739" s="572">
        <f>C739/C740-1</f>
        <v/>
      </c>
      <c r="E739" s="270" t="n">
        <v>39514.13</v>
      </c>
      <c r="F739" s="572">
        <f>E739/E740-1</f>
        <v/>
      </c>
      <c r="G739" s="270" t="n">
        <v>18716.15</v>
      </c>
      <c r="H739" s="572">
        <f>G739/G740-1</f>
        <v/>
      </c>
    </row>
    <row r="740">
      <c r="B740" s="269" t="n">
        <v>45089</v>
      </c>
      <c r="C740" s="270" t="n">
        <v>823.53</v>
      </c>
      <c r="D740" s="572">
        <f>C740/C741-1</f>
        <v/>
      </c>
      <c r="E740" s="270" t="n">
        <v>39203.64</v>
      </c>
      <c r="F740" s="572">
        <f>E740/E741-1</f>
        <v/>
      </c>
      <c r="G740" s="270" t="n">
        <v>18601.5</v>
      </c>
      <c r="H740" s="572">
        <f>G740/G741-1</f>
        <v/>
      </c>
    </row>
    <row r="741">
      <c r="B741" s="269" t="n">
        <v>45086</v>
      </c>
      <c r="C741" s="270" t="n">
        <v>803</v>
      </c>
      <c r="D741" s="572">
        <f>C741/C742-1</f>
        <v/>
      </c>
      <c r="E741" s="270" t="n">
        <v>39412.48</v>
      </c>
      <c r="F741" s="572">
        <f>E741/E742-1</f>
        <v/>
      </c>
      <c r="G741" s="270" t="n">
        <v>18563.4</v>
      </c>
      <c r="H741" s="572">
        <f>G741/G742-1</f>
        <v/>
      </c>
    </row>
    <row r="742">
      <c r="B742" s="269" t="n">
        <v>45085</v>
      </c>
      <c r="C742" s="270" t="n">
        <v>811.35</v>
      </c>
      <c r="D742" s="572">
        <f>C742/C743-1</f>
        <v/>
      </c>
      <c r="E742" s="270" t="n">
        <v>38964.22</v>
      </c>
      <c r="F742" s="572">
        <f>E742/E743-1</f>
        <v/>
      </c>
      <c r="G742" s="270" t="n">
        <v>18634.55</v>
      </c>
      <c r="H742" s="572">
        <f>G742/G743-1</f>
        <v/>
      </c>
    </row>
    <row r="743">
      <c r="B743" s="269" t="n">
        <v>45084</v>
      </c>
      <c r="C743" s="270" t="n">
        <v>826.28</v>
      </c>
      <c r="D743" s="572">
        <f>C743/C744-1</f>
        <v/>
      </c>
      <c r="E743" s="270" t="n">
        <v>38798.43</v>
      </c>
      <c r="F743" s="572">
        <f>E743/E744-1</f>
        <v/>
      </c>
      <c r="G743" s="270" t="n">
        <v>18726.4</v>
      </c>
      <c r="H743" s="572">
        <f>G743/G744-1</f>
        <v/>
      </c>
    </row>
    <row r="744">
      <c r="B744" s="269" t="n">
        <v>45083</v>
      </c>
      <c r="C744" s="270" t="n">
        <v>804.05</v>
      </c>
      <c r="D744" s="572">
        <f>C744/C745-1</f>
        <v/>
      </c>
      <c r="E744" s="270" t="n">
        <v>38163.13</v>
      </c>
      <c r="F744" s="572">
        <f>E744/E745-1</f>
        <v/>
      </c>
      <c r="G744" s="270" t="n">
        <v>18599</v>
      </c>
      <c r="H744" s="572">
        <f>G744/G745-1</f>
        <v/>
      </c>
    </row>
    <row r="745">
      <c r="B745" s="269" t="n">
        <v>45082</v>
      </c>
      <c r="C745" s="270" t="n">
        <v>793.12</v>
      </c>
      <c r="D745" s="572">
        <f>C745/C746-1</f>
        <v/>
      </c>
      <c r="E745" s="270" t="n">
        <v>37929.99</v>
      </c>
      <c r="F745" s="572">
        <f>E745/E746-1</f>
        <v/>
      </c>
      <c r="G745" s="270" t="n">
        <v>18593.85</v>
      </c>
      <c r="H745" s="572">
        <f>G745/G746-1</f>
        <v/>
      </c>
    </row>
    <row r="746">
      <c r="B746" s="269" t="n">
        <v>45079</v>
      </c>
      <c r="C746" s="270" t="n">
        <v>790.95</v>
      </c>
      <c r="D746" s="572">
        <f>C746/C747-1</f>
        <v/>
      </c>
      <c r="E746" s="270" t="n">
        <v>37501.54</v>
      </c>
      <c r="F746" s="572">
        <f>E746/E747-1</f>
        <v/>
      </c>
      <c r="G746" s="270" t="n">
        <v>18534.1</v>
      </c>
      <c r="H746" s="572">
        <f>G746/G747-1</f>
        <v/>
      </c>
    </row>
    <row r="747">
      <c r="B747" s="269" t="n">
        <v>45078</v>
      </c>
      <c r="C747" s="270" t="n">
        <v>772.05</v>
      </c>
      <c r="D747" s="572">
        <f>C747/C748-1</f>
        <v/>
      </c>
      <c r="E747" s="270" t="n">
        <v>37191.27</v>
      </c>
      <c r="F747" s="572">
        <f>E747/E748-1</f>
        <v/>
      </c>
      <c r="G747" s="270" t="n">
        <v>18487.75</v>
      </c>
      <c r="H747" s="572">
        <f>G747/G748-1</f>
        <v/>
      </c>
    </row>
    <row r="748">
      <c r="B748" s="269" t="n">
        <v>45077</v>
      </c>
      <c r="C748" s="270" t="n">
        <v>774.4</v>
      </c>
      <c r="D748" s="572">
        <f>C748/C749-1</f>
        <v/>
      </c>
      <c r="E748" s="270" t="n">
        <v>37220.98</v>
      </c>
      <c r="F748" s="572">
        <f>E748/E749-1</f>
        <v/>
      </c>
      <c r="G748" s="270" t="n">
        <v>18534.4</v>
      </c>
      <c r="H748" s="572">
        <f>G748/G749-1</f>
        <v/>
      </c>
    </row>
    <row r="749">
      <c r="B749" s="269" t="n">
        <v>45076</v>
      </c>
      <c r="C749" s="270" t="n">
        <v>730.05</v>
      </c>
      <c r="D749" s="572">
        <f>C749/C750-1</f>
        <v/>
      </c>
      <c r="E749" s="270" t="n">
        <v>37094.76</v>
      </c>
      <c r="F749" s="572">
        <f>E749/E750-1</f>
        <v/>
      </c>
      <c r="G749" s="270" t="n">
        <v>18633.85</v>
      </c>
      <c r="H749" s="572">
        <f>G749/G750-1</f>
        <v/>
      </c>
    </row>
    <row r="750">
      <c r="B750" s="269" t="n">
        <v>45075</v>
      </c>
      <c r="C750" s="270" t="n">
        <v>718.62</v>
      </c>
      <c r="D750" s="572">
        <f>C750/C751-1</f>
        <v/>
      </c>
      <c r="E750" s="270" t="n">
        <v>37051.08</v>
      </c>
      <c r="F750" s="572">
        <f>E750/E751-1</f>
        <v/>
      </c>
      <c r="G750" s="270" t="n">
        <v>18598.65</v>
      </c>
      <c r="H750" s="572">
        <f>G750/G751-1</f>
        <v/>
      </c>
    </row>
    <row r="751">
      <c r="B751" s="269" t="n">
        <v>45072</v>
      </c>
      <c r="C751" s="270" t="n">
        <v>702.2</v>
      </c>
      <c r="D751" s="572">
        <f>C751/C752-1</f>
        <v/>
      </c>
      <c r="E751" s="270" t="n">
        <v>36966.55</v>
      </c>
      <c r="F751" s="572">
        <f>E751/E752-1</f>
        <v/>
      </c>
      <c r="G751" s="270" t="n">
        <v>18499.35</v>
      </c>
      <c r="H751" s="572">
        <f>G751/G752-1</f>
        <v/>
      </c>
    </row>
    <row r="752">
      <c r="B752" s="269" t="n">
        <v>45071</v>
      </c>
      <c r="C752" s="270" t="n">
        <v>668.53</v>
      </c>
      <c r="D752" s="572">
        <f>C752/C753-1</f>
        <v/>
      </c>
      <c r="E752" s="270" t="n">
        <v>36731.38</v>
      </c>
      <c r="F752" s="572">
        <f>E752/E753-1</f>
        <v/>
      </c>
      <c r="G752" s="270" t="n">
        <v>18321.15</v>
      </c>
      <c r="H752" s="572">
        <f>G752/G753-1</f>
        <v/>
      </c>
    </row>
    <row r="753">
      <c r="B753" s="269" t="n">
        <v>45070</v>
      </c>
      <c r="C753" s="270" t="n">
        <v>688.67</v>
      </c>
      <c r="D753" s="572">
        <f>C753/C754-1</f>
        <v/>
      </c>
      <c r="E753" s="270" t="n">
        <v>36477.02</v>
      </c>
      <c r="F753" s="572">
        <f>E753/E754-1</f>
        <v/>
      </c>
      <c r="G753" s="270" t="n">
        <v>18285.4</v>
      </c>
      <c r="H753" s="572">
        <f>G753/G754-1</f>
        <v/>
      </c>
    </row>
    <row r="754">
      <c r="B754" s="269" t="n">
        <v>45069</v>
      </c>
      <c r="C754" s="270" t="n">
        <v>674.03</v>
      </c>
      <c r="D754" s="572">
        <f>C754/C755-1</f>
        <v/>
      </c>
      <c r="E754" s="270" t="n">
        <v>36527.57</v>
      </c>
      <c r="F754" s="572">
        <f>E754/E755-1</f>
        <v/>
      </c>
      <c r="G754" s="270" t="n">
        <v>18348</v>
      </c>
      <c r="H754" s="572">
        <f>G754/G755-1</f>
        <v/>
      </c>
    </row>
    <row r="755">
      <c r="B755" s="269" t="n">
        <v>45068</v>
      </c>
      <c r="C755" s="270" t="n">
        <v>699.45</v>
      </c>
      <c r="D755" s="572">
        <f>C755/C756-1</f>
        <v/>
      </c>
      <c r="E755" s="270" t="n">
        <v>36760.32</v>
      </c>
      <c r="F755" s="572">
        <f>E755/E756-1</f>
        <v/>
      </c>
      <c r="G755" s="270" t="n">
        <v>18314.4</v>
      </c>
      <c r="H755" s="572">
        <f>G755/G756-1</f>
        <v/>
      </c>
    </row>
    <row r="756">
      <c r="B756" s="269" t="n">
        <v>45065</v>
      </c>
      <c r="C756" s="270" t="n">
        <v>711.22</v>
      </c>
      <c r="D756" s="572">
        <f>C756/C757-1</f>
        <v/>
      </c>
      <c r="E756" s="270" t="n">
        <v>36423.03</v>
      </c>
      <c r="F756" s="572">
        <f>E756/E757-1</f>
        <v/>
      </c>
      <c r="G756" s="270" t="n">
        <v>18203.4</v>
      </c>
      <c r="H756" s="572">
        <f>G756/G757-1</f>
        <v/>
      </c>
    </row>
    <row r="757">
      <c r="B757" s="269" t="n">
        <v>45064</v>
      </c>
      <c r="C757" s="270" t="n">
        <v>732.45</v>
      </c>
      <c r="D757" s="572">
        <f>C757/C758-1</f>
        <v/>
      </c>
      <c r="E757" s="270" t="n">
        <v>36472.05</v>
      </c>
      <c r="F757" s="572">
        <f>E757/E758-1</f>
        <v/>
      </c>
      <c r="G757" s="270" t="n">
        <v>18129.95</v>
      </c>
      <c r="H757" s="572">
        <f>G757/G758-1</f>
        <v/>
      </c>
    </row>
    <row r="758">
      <c r="B758" s="269" t="n">
        <v>45063</v>
      </c>
      <c r="C758" s="270" t="n">
        <v>649.15</v>
      </c>
      <c r="D758" s="572">
        <f>C758/C759-1</f>
        <v/>
      </c>
      <c r="E758" s="270" t="n">
        <v>36845.41</v>
      </c>
      <c r="F758" s="572">
        <f>E758/E759-1</f>
        <v/>
      </c>
      <c r="G758" s="270" t="n">
        <v>18181.75</v>
      </c>
      <c r="H758" s="572">
        <f>G758/G759-1</f>
        <v/>
      </c>
    </row>
    <row r="759">
      <c r="B759" s="269" t="n">
        <v>45062</v>
      </c>
      <c r="C759" s="270" t="n">
        <v>626.8</v>
      </c>
      <c r="D759" s="572">
        <f>C759/C760-1</f>
        <v/>
      </c>
      <c r="E759" s="270" t="n">
        <v>36865.57</v>
      </c>
      <c r="F759" s="572">
        <f>E759/E760-1</f>
        <v/>
      </c>
      <c r="G759" s="270" t="n">
        <v>18286.5</v>
      </c>
      <c r="H759" s="572">
        <f>G759/G760-1</f>
        <v/>
      </c>
    </row>
    <row r="760">
      <c r="B760" s="269" t="n">
        <v>45061</v>
      </c>
      <c r="C760" s="270" t="n">
        <v>623.4</v>
      </c>
      <c r="D760" s="572">
        <f>C760/C761-1</f>
        <v/>
      </c>
      <c r="E760" s="270" t="n">
        <v>36796.14</v>
      </c>
      <c r="F760" s="572">
        <f>E760/E761-1</f>
        <v/>
      </c>
      <c r="G760" s="270" t="n">
        <v>18398.85</v>
      </c>
      <c r="H760" s="572">
        <f>G760/G761-1</f>
        <v/>
      </c>
    </row>
    <row r="761">
      <c r="B761" s="269" t="n">
        <v>45058</v>
      </c>
      <c r="C761" s="270" t="n">
        <v>624.3</v>
      </c>
      <c r="D761" s="572">
        <f>C761/C762-1</f>
        <v/>
      </c>
      <c r="E761" s="270" t="n">
        <v>36541.95</v>
      </c>
      <c r="F761" s="572">
        <f>E761/E762-1</f>
        <v/>
      </c>
      <c r="G761" s="270" t="n">
        <v>18314.8</v>
      </c>
      <c r="H761" s="572">
        <f>G761/G762-1</f>
        <v/>
      </c>
    </row>
    <row r="762">
      <c r="B762" s="269" t="n">
        <v>45057</v>
      </c>
      <c r="C762" s="270" t="n">
        <v>584.08</v>
      </c>
      <c r="D762" s="572">
        <f>C762/C763-1</f>
        <v/>
      </c>
      <c r="E762" s="270" t="n">
        <v>36660.18</v>
      </c>
      <c r="F762" s="572">
        <f>E762/E763-1</f>
        <v/>
      </c>
      <c r="G762" s="270" t="n">
        <v>18297</v>
      </c>
      <c r="H762" s="572">
        <f>G762/G763-1</f>
        <v/>
      </c>
    </row>
    <row r="763">
      <c r="B763" s="269" t="n">
        <v>45056</v>
      </c>
      <c r="C763" s="270" t="n">
        <v>586.33</v>
      </c>
      <c r="D763" s="572">
        <f>C763/C764-1</f>
        <v/>
      </c>
      <c r="E763" s="270" t="n">
        <v>37385.74</v>
      </c>
      <c r="F763" s="572">
        <f>E763/E764-1</f>
        <v/>
      </c>
      <c r="G763" s="270" t="n">
        <v>18315.1</v>
      </c>
      <c r="H763" s="572">
        <f>G763/G764-1</f>
        <v/>
      </c>
    </row>
    <row r="764">
      <c r="B764" s="269" t="n">
        <v>45055</v>
      </c>
      <c r="C764" s="270" t="n">
        <v>568.55</v>
      </c>
      <c r="D764" s="572">
        <f>C764/C765-1</f>
        <v/>
      </c>
      <c r="E764" s="270" t="n">
        <v>37316.27</v>
      </c>
      <c r="F764" s="572">
        <f>E764/E765-1</f>
        <v/>
      </c>
      <c r="G764" s="270" t="n">
        <v>18265.95</v>
      </c>
      <c r="H764" s="572">
        <f>G764/G765-1</f>
        <v/>
      </c>
    </row>
    <row r="765">
      <c r="B765" s="269" t="n">
        <v>45054</v>
      </c>
      <c r="C765" s="270" t="n">
        <v>575.62</v>
      </c>
      <c r="D765" s="572">
        <f>C765/C766-1</f>
        <v/>
      </c>
      <c r="E765" s="270" t="n">
        <v>37287.57</v>
      </c>
      <c r="F765" s="572">
        <f>E765/E766-1</f>
        <v/>
      </c>
      <c r="G765" s="270" t="n">
        <v>18264.4</v>
      </c>
      <c r="H765" s="572">
        <f>G765/G766-1</f>
        <v/>
      </c>
    </row>
    <row r="766">
      <c r="B766" s="269" t="n">
        <v>45051</v>
      </c>
      <c r="C766" s="270" t="n">
        <v>577.38</v>
      </c>
      <c r="D766" s="572">
        <f>C766/C767-1</f>
        <v/>
      </c>
      <c r="E766" s="270" t="n">
        <v>37174.69</v>
      </c>
      <c r="F766" s="572">
        <f>E766/E767-1</f>
        <v/>
      </c>
      <c r="G766" s="270" t="n">
        <v>18069</v>
      </c>
      <c r="H766" s="572">
        <f>G766/G767-1</f>
        <v/>
      </c>
    </row>
    <row r="767">
      <c r="B767" s="269" t="n">
        <v>45050</v>
      </c>
      <c r="C767" s="270" t="n">
        <v>580.88</v>
      </c>
      <c r="D767" s="572">
        <f>C767/C768-1</f>
        <v/>
      </c>
      <c r="E767" s="270" t="n">
        <v>37128.46</v>
      </c>
      <c r="F767" s="572">
        <f>E767/E768-1</f>
        <v/>
      </c>
      <c r="G767" s="270" t="n">
        <v>18255.8</v>
      </c>
      <c r="H767" s="572">
        <f>G767/G768-1</f>
        <v/>
      </c>
    </row>
    <row r="768">
      <c r="B768" s="269" t="n">
        <v>45049</v>
      </c>
      <c r="C768" s="270" t="n">
        <v>570.5</v>
      </c>
      <c r="D768" s="572">
        <f>C768/C769-1</f>
        <v/>
      </c>
      <c r="E768" s="270" t="n">
        <v>36990.44</v>
      </c>
      <c r="F768" s="572">
        <f>E768/E769-1</f>
        <v/>
      </c>
      <c r="G768" s="270" t="n">
        <v>18089.85</v>
      </c>
      <c r="H768" s="572">
        <f>G768/G769-1</f>
        <v/>
      </c>
    </row>
    <row r="769">
      <c r="B769" s="269" t="n">
        <v>45048</v>
      </c>
      <c r="C769" s="270" t="n">
        <v>560.85</v>
      </c>
      <c r="D769" s="572">
        <f>C769/C770-1</f>
        <v/>
      </c>
      <c r="E769" s="270" t="n">
        <v>37010.6</v>
      </c>
      <c r="F769" s="572">
        <f>E769/E770-1</f>
        <v/>
      </c>
      <c r="G769" s="270" t="n">
        <v>18147.65</v>
      </c>
      <c r="H769" s="572">
        <f>G769/G770-1</f>
        <v/>
      </c>
    </row>
    <row r="770">
      <c r="B770" s="269" t="n">
        <v>45044</v>
      </c>
      <c r="C770" s="270" t="n">
        <v>568.35</v>
      </c>
      <c r="D770" s="572">
        <f>C770/C771-1</f>
        <v/>
      </c>
      <c r="E770" s="270" t="n">
        <v>36738.88</v>
      </c>
      <c r="F770" s="572">
        <f>E770/E771-1</f>
        <v/>
      </c>
      <c r="G770" s="270" t="n">
        <v>18065</v>
      </c>
      <c r="H770" s="572">
        <f>G770/G771-1</f>
        <v/>
      </c>
    </row>
    <row r="771">
      <c r="B771" s="269" t="n">
        <v>45043</v>
      </c>
      <c r="C771" s="270" t="n">
        <v>554.8</v>
      </c>
      <c r="D771" s="572">
        <f>C771/C772-1</f>
        <v/>
      </c>
      <c r="E771" s="270" t="n">
        <v>36109.1</v>
      </c>
      <c r="F771" s="572">
        <f>E771/E772-1</f>
        <v/>
      </c>
      <c r="G771" s="270" t="n">
        <v>17915.05</v>
      </c>
      <c r="H771" s="572">
        <f>G771/G772-1</f>
        <v/>
      </c>
    </row>
    <row r="772">
      <c r="B772" s="269" t="n">
        <v>45042</v>
      </c>
      <c r="C772" s="270" t="n">
        <v>557.9</v>
      </c>
      <c r="D772" s="572">
        <f>C772/C773-1</f>
        <v/>
      </c>
      <c r="E772" s="270" t="n">
        <v>35849.56</v>
      </c>
      <c r="F772" s="572">
        <f>E772/E773-1</f>
        <v/>
      </c>
      <c r="G772" s="270" t="n">
        <v>17813.6</v>
      </c>
      <c r="H772" s="572">
        <f>G772/G773-1</f>
        <v/>
      </c>
    </row>
    <row r="773">
      <c r="B773" s="269" t="n">
        <v>45041</v>
      </c>
      <c r="C773" s="270" t="n">
        <v>553.85</v>
      </c>
      <c r="D773" s="572">
        <f>C773/C774-1</f>
        <v/>
      </c>
      <c r="E773" s="270" t="n">
        <v>35495.82</v>
      </c>
      <c r="F773" s="572">
        <f>E773/E774-1</f>
        <v/>
      </c>
      <c r="G773" s="270" t="n">
        <v>17769.25</v>
      </c>
      <c r="H773" s="572">
        <f>G773/G774-1</f>
        <v/>
      </c>
    </row>
    <row r="774">
      <c r="B774" s="269" t="n">
        <v>45040</v>
      </c>
      <c r="C774" s="270" t="n">
        <v>550.1</v>
      </c>
      <c r="D774" s="572">
        <f>C774/C775-1</f>
        <v/>
      </c>
      <c r="E774" s="270" t="n">
        <v>35290.25</v>
      </c>
      <c r="F774" s="572">
        <f>E774/E775-1</f>
        <v/>
      </c>
      <c r="G774" s="270" t="n">
        <v>17743.4</v>
      </c>
      <c r="H774" s="572">
        <f>G774/G775-1</f>
        <v/>
      </c>
    </row>
    <row r="775">
      <c r="B775" s="269" t="n">
        <v>45037</v>
      </c>
      <c r="C775" s="270" t="n">
        <v>542.53</v>
      </c>
      <c r="D775" s="572">
        <f>C775/C776-1</f>
        <v/>
      </c>
      <c r="E775" s="270" t="n">
        <v>35173.57</v>
      </c>
      <c r="F775" s="572">
        <f>E775/E776-1</f>
        <v/>
      </c>
      <c r="G775" s="270" t="n">
        <v>17624.05</v>
      </c>
      <c r="H775" s="572">
        <f>G775/G776-1</f>
        <v/>
      </c>
    </row>
    <row r="776">
      <c r="B776" s="269" t="n">
        <v>45036</v>
      </c>
      <c r="C776" s="270" t="n">
        <v>552.65</v>
      </c>
      <c r="D776" s="572">
        <f>C776/C777-1</f>
        <v/>
      </c>
      <c r="E776" s="270" t="n">
        <v>35388.1</v>
      </c>
      <c r="F776" s="572">
        <f>E776/E777-1</f>
        <v/>
      </c>
      <c r="G776" s="270" t="n">
        <v>17624.45</v>
      </c>
      <c r="H776" s="572">
        <f>G776/G777-1</f>
        <v/>
      </c>
    </row>
    <row r="777">
      <c r="B777" s="269" t="n">
        <v>45035</v>
      </c>
      <c r="C777" s="270" t="n">
        <v>540.53</v>
      </c>
      <c r="D777" s="572">
        <f>C777/C778-1</f>
        <v/>
      </c>
      <c r="E777" s="270" t="n">
        <v>35182.37</v>
      </c>
      <c r="F777" s="572">
        <f>E777/E778-1</f>
        <v/>
      </c>
      <c r="G777" s="270" t="n">
        <v>17618.75</v>
      </c>
      <c r="H777" s="572">
        <f>G777/G778-1</f>
        <v/>
      </c>
    </row>
    <row r="778">
      <c r="B778" s="269" t="n">
        <v>45034</v>
      </c>
      <c r="C778" s="270" t="n">
        <v>546.05</v>
      </c>
      <c r="D778" s="572">
        <f>C778/C779-1</f>
        <v/>
      </c>
      <c r="E778" s="270" t="n">
        <v>35287.11</v>
      </c>
      <c r="F778" s="572">
        <f>E778/E779-1</f>
        <v/>
      </c>
      <c r="G778" s="270" t="n">
        <v>17660.15</v>
      </c>
      <c r="H778" s="572">
        <f>G778/G779-1</f>
        <v/>
      </c>
    </row>
    <row r="779">
      <c r="B779" s="269" t="n">
        <v>45033</v>
      </c>
      <c r="C779" s="270" t="n">
        <v>534.95</v>
      </c>
      <c r="D779" s="572">
        <f>C779/C780-1</f>
        <v/>
      </c>
      <c r="E779" s="270" t="n">
        <v>35227.15</v>
      </c>
      <c r="F779" s="572">
        <f>E779/E780-1</f>
        <v/>
      </c>
      <c r="G779" s="270" t="n">
        <v>17706.85</v>
      </c>
      <c r="H779" s="572">
        <f>G779/G780-1</f>
        <v/>
      </c>
    </row>
    <row r="780">
      <c r="B780" s="269" t="n">
        <v>45029</v>
      </c>
      <c r="C780" s="270" t="n">
        <v>523.95</v>
      </c>
      <c r="D780" s="572">
        <f>C780/C781-1</f>
        <v/>
      </c>
      <c r="E780" s="270" t="n">
        <v>35459.6</v>
      </c>
      <c r="F780" s="572">
        <f>E780/E781-1</f>
        <v/>
      </c>
      <c r="G780" s="270" t="n">
        <v>17828</v>
      </c>
      <c r="H780" s="572">
        <f>G780/G781-1</f>
        <v/>
      </c>
    </row>
    <row r="781">
      <c r="B781" s="269" t="n">
        <v>45028</v>
      </c>
      <c r="C781" s="270" t="n">
        <v>521.65</v>
      </c>
      <c r="D781" s="572">
        <f>C781/C782-1</f>
        <v/>
      </c>
      <c r="E781" s="270" t="n">
        <v>35663.47</v>
      </c>
      <c r="F781" s="572">
        <f>E781/E782-1</f>
        <v/>
      </c>
      <c r="G781" s="270" t="n">
        <v>17812.4</v>
      </c>
      <c r="H781" s="572">
        <f>G781/G782-1</f>
        <v/>
      </c>
    </row>
    <row r="782">
      <c r="B782" s="269" t="n">
        <v>45027</v>
      </c>
      <c r="C782" s="270" t="n">
        <v>512.35</v>
      </c>
      <c r="D782" s="572">
        <f>C782/C783-1</f>
        <v/>
      </c>
      <c r="E782" s="270" t="n">
        <v>35739.27</v>
      </c>
      <c r="F782" s="572">
        <f>E782/E783-1</f>
        <v/>
      </c>
      <c r="G782" s="270" t="n">
        <v>17722.3</v>
      </c>
      <c r="H782" s="572">
        <f>G782/G783-1</f>
        <v/>
      </c>
    </row>
    <row r="783">
      <c r="B783" s="269" t="n">
        <v>45026</v>
      </c>
      <c r="C783" s="270" t="n">
        <v>514.3</v>
      </c>
      <c r="D783" s="572">
        <f>C783/C784-1</f>
        <v/>
      </c>
      <c r="E783" s="270" t="n">
        <v>35761.93</v>
      </c>
      <c r="F783" s="572">
        <f>E783/E784-1</f>
        <v/>
      </c>
      <c r="G783" s="270" t="n">
        <v>17624.05</v>
      </c>
      <c r="H783" s="572">
        <f>G783/G784-1</f>
        <v/>
      </c>
    </row>
    <row r="784">
      <c r="B784" s="269" t="n">
        <v>45022</v>
      </c>
      <c r="C784" s="270" t="n">
        <v>527.22</v>
      </c>
      <c r="D784" s="572">
        <f>C784/C785-1</f>
        <v/>
      </c>
      <c r="E784" s="270" t="n">
        <v>35466.43</v>
      </c>
      <c r="F784" s="572">
        <f>E784/E785-1</f>
        <v/>
      </c>
      <c r="G784" s="270" t="n">
        <v>17599.15</v>
      </c>
      <c r="H784" s="572">
        <f>G784/G785-1</f>
        <v/>
      </c>
    </row>
    <row r="785">
      <c r="B785" s="269" t="n">
        <v>45021</v>
      </c>
      <c r="C785" s="270" t="n">
        <v>519.88</v>
      </c>
      <c r="D785" s="572">
        <f>C785/C786-1</f>
        <v/>
      </c>
      <c r="E785" s="270" t="n">
        <v>35214.85</v>
      </c>
      <c r="F785" s="572">
        <f>E785/E786-1</f>
        <v/>
      </c>
      <c r="G785" s="270" t="n">
        <v>17557.05</v>
      </c>
      <c r="H785" s="572">
        <f>G785/G786-1</f>
        <v/>
      </c>
    </row>
    <row r="786">
      <c r="B786" s="269" t="n">
        <v>45019</v>
      </c>
      <c r="C786" s="270" t="n">
        <v>532.22</v>
      </c>
      <c r="D786" s="572">
        <f>C786/C787-1</f>
        <v/>
      </c>
      <c r="E786" s="270" t="n">
        <v>34497.16</v>
      </c>
      <c r="F786" s="572">
        <f>E786/E787-1</f>
        <v/>
      </c>
      <c r="G786" s="270" t="n">
        <v>17398.05</v>
      </c>
      <c r="H786" s="572">
        <f>G786/G787-1</f>
        <v/>
      </c>
    </row>
    <row r="787">
      <c r="B787" s="269" t="n">
        <v>45016</v>
      </c>
      <c r="C787" s="270" t="n">
        <v>500.85</v>
      </c>
      <c r="D787" s="572">
        <f>C787/C788-1</f>
        <v/>
      </c>
      <c r="E787" s="270" t="n">
        <v>34369.7</v>
      </c>
      <c r="F787" s="572">
        <f>E787/E788-1</f>
        <v/>
      </c>
      <c r="G787" s="270" t="n">
        <v>17359.75</v>
      </c>
      <c r="H787" s="572">
        <f>G787/G788-1</f>
        <v/>
      </c>
    </row>
    <row r="788">
      <c r="B788" s="269" t="n">
        <v>45014</v>
      </c>
      <c r="C788" s="270" t="n">
        <v>488.35</v>
      </c>
      <c r="D788" s="572">
        <f>C788/C789-1</f>
        <v/>
      </c>
      <c r="E788" s="270" t="n">
        <v>33964.19</v>
      </c>
      <c r="F788" s="572">
        <f>E788/E789-1</f>
        <v/>
      </c>
      <c r="G788" s="270" t="n">
        <v>17080.7</v>
      </c>
      <c r="H788" s="572">
        <f>G788/G789-1</f>
        <v/>
      </c>
    </row>
    <row r="789">
      <c r="B789" s="269" t="n">
        <v>45013</v>
      </c>
      <c r="C789" s="270" t="n">
        <v>494.4</v>
      </c>
      <c r="D789" s="572">
        <f>C789/C790-1</f>
        <v/>
      </c>
      <c r="E789" s="270" t="n">
        <v>33487.82</v>
      </c>
      <c r="F789" s="572">
        <f>E789/E790-1</f>
        <v/>
      </c>
      <c r="G789" s="270" t="n">
        <v>16951.7</v>
      </c>
      <c r="H789" s="572">
        <f>G789/G790-1</f>
        <v/>
      </c>
    </row>
    <row r="790">
      <c r="B790" s="269" t="n">
        <v>45012</v>
      </c>
      <c r="C790" s="270" t="n">
        <v>488.3</v>
      </c>
      <c r="D790" s="572">
        <f>C790/C791-1</f>
        <v/>
      </c>
      <c r="E790" s="270" t="n">
        <v>33750.18</v>
      </c>
      <c r="F790" s="572">
        <f>E790/E791-1</f>
        <v/>
      </c>
      <c r="G790" s="270" t="n">
        <v>16985.7</v>
      </c>
      <c r="H790" s="572">
        <f>G790/G791-1</f>
        <v/>
      </c>
    </row>
    <row r="791">
      <c r="B791" s="269" t="n">
        <v>45009</v>
      </c>
      <c r="C791" s="270" t="n">
        <v>482.08</v>
      </c>
      <c r="D791" s="572">
        <f>C791/C792-1</f>
        <v/>
      </c>
      <c r="E791" s="270" t="n">
        <v>33932.14</v>
      </c>
      <c r="F791" s="572">
        <f>E791/E792-1</f>
        <v/>
      </c>
      <c r="G791" s="270" t="n">
        <v>16945.05</v>
      </c>
      <c r="H791" s="572">
        <f>G791/G792-1</f>
        <v/>
      </c>
    </row>
    <row r="792">
      <c r="B792" s="269" t="n">
        <v>45008</v>
      </c>
      <c r="C792" s="270" t="n">
        <v>489.25</v>
      </c>
      <c r="D792" s="572">
        <f>C792/C793-1</f>
        <v/>
      </c>
      <c r="E792" s="270" t="n">
        <v>34386.6</v>
      </c>
      <c r="F792" s="572">
        <f>E792/E793-1</f>
        <v/>
      </c>
      <c r="G792" s="270" t="n">
        <v>17076.9</v>
      </c>
      <c r="H792" s="572">
        <f>G792/G793-1</f>
        <v/>
      </c>
    </row>
    <row r="793">
      <c r="B793" s="269" t="n">
        <v>45007</v>
      </c>
      <c r="C793" s="270" t="n">
        <v>488.55</v>
      </c>
      <c r="D793" s="572">
        <f>C793/C794-1</f>
        <v/>
      </c>
      <c r="E793" s="270" t="n">
        <v>34511.59</v>
      </c>
      <c r="F793" s="572">
        <f>E793/E794-1</f>
        <v/>
      </c>
      <c r="G793" s="270" t="n">
        <v>17151.9</v>
      </c>
      <c r="H793" s="572">
        <f>G793/G794-1</f>
        <v/>
      </c>
    </row>
    <row r="794">
      <c r="B794" s="269" t="n">
        <v>45006</v>
      </c>
      <c r="C794" s="270" t="n">
        <v>495.83</v>
      </c>
      <c r="D794" s="572">
        <f>C794/C795-1</f>
        <v/>
      </c>
      <c r="E794" s="270" t="n">
        <v>34509.18</v>
      </c>
      <c r="F794" s="572">
        <f>E794/E795-1</f>
        <v/>
      </c>
      <c r="G794" s="270" t="n">
        <v>17107.5</v>
      </c>
      <c r="H794" s="572">
        <f>G794/G795-1</f>
        <v/>
      </c>
    </row>
    <row r="795">
      <c r="B795" s="269" t="n">
        <v>45005</v>
      </c>
      <c r="C795" s="270" t="n">
        <v>494.58</v>
      </c>
      <c r="D795" s="572">
        <f>C795/C796-1</f>
        <v/>
      </c>
      <c r="E795" s="270" t="n">
        <v>34200.84</v>
      </c>
      <c r="F795" s="572">
        <f>E795/E796-1</f>
        <v/>
      </c>
      <c r="G795" s="270" t="n">
        <v>16988.4</v>
      </c>
      <c r="H795" s="572">
        <f>G795/G796-1</f>
        <v/>
      </c>
    </row>
    <row r="796">
      <c r="B796" s="269" t="n">
        <v>45002</v>
      </c>
      <c r="C796" s="270" t="n">
        <v>497.8</v>
      </c>
      <c r="D796" s="572">
        <f>C796/C797-1</f>
        <v/>
      </c>
      <c r="E796" s="270" t="n">
        <v>34567.22</v>
      </c>
      <c r="F796" s="572">
        <f>E796/E797-1</f>
        <v/>
      </c>
      <c r="G796" s="270" t="n">
        <v>17100.05</v>
      </c>
      <c r="H796" s="572">
        <f>G796/G797-1</f>
        <v/>
      </c>
    </row>
    <row r="797">
      <c r="B797" s="269" t="n">
        <v>45001</v>
      </c>
      <c r="C797" s="270" t="n">
        <v>488.8</v>
      </c>
      <c r="D797" s="572">
        <f>C797/C798-1</f>
        <v/>
      </c>
      <c r="E797" s="270" t="n">
        <v>34252.48</v>
      </c>
      <c r="F797" s="572">
        <f>E797/E798-1</f>
        <v/>
      </c>
      <c r="G797" s="270" t="n">
        <v>16985.6</v>
      </c>
      <c r="H797" s="572">
        <f>G797/G798-1</f>
        <v/>
      </c>
    </row>
    <row r="798">
      <c r="B798" s="269" t="n">
        <v>45000</v>
      </c>
      <c r="C798" s="270" t="n">
        <v>499.42</v>
      </c>
      <c r="D798" s="572">
        <f>C798/C799-1</f>
        <v/>
      </c>
      <c r="E798" s="270" t="n">
        <v>34358.37</v>
      </c>
      <c r="F798" s="572">
        <f>E798/E799-1</f>
        <v/>
      </c>
      <c r="G798" s="270" t="n">
        <v>16972.15</v>
      </c>
      <c r="H798" s="572">
        <f>G798/G799-1</f>
        <v/>
      </c>
    </row>
    <row r="799">
      <c r="B799" s="269" t="n">
        <v>44999</v>
      </c>
      <c r="C799" s="270" t="n">
        <v>504.25</v>
      </c>
      <c r="D799" s="572">
        <f>C799/C800-1</f>
        <v/>
      </c>
      <c r="E799" s="270" t="n">
        <v>34048.31</v>
      </c>
      <c r="F799" s="572">
        <f>E799/E800-1</f>
        <v/>
      </c>
      <c r="G799" s="270" t="n">
        <v>17043.3</v>
      </c>
      <c r="H799" s="572">
        <f>G799/G800-1</f>
        <v/>
      </c>
    </row>
    <row r="800">
      <c r="B800" s="269" t="n">
        <v>44998</v>
      </c>
      <c r="C800" s="270" t="n">
        <v>507.98</v>
      </c>
      <c r="D800" s="572">
        <f>C800/C801-1</f>
        <v/>
      </c>
      <c r="E800" s="270" t="n">
        <v>34008.52</v>
      </c>
      <c r="F800" s="572">
        <f>E800/E801-1</f>
        <v/>
      </c>
      <c r="G800" s="270" t="n">
        <v>17154.3</v>
      </c>
      <c r="H800" s="572">
        <f>G800/G801-1</f>
        <v/>
      </c>
    </row>
    <row r="801">
      <c r="B801" s="269" t="n">
        <v>44995</v>
      </c>
      <c r="C801" s="270" t="n">
        <v>531.3</v>
      </c>
      <c r="D801" s="572">
        <f>C801/C802-1</f>
        <v/>
      </c>
      <c r="E801" s="270" t="n">
        <v>34537.31</v>
      </c>
      <c r="F801" s="572">
        <f>E801/E802-1</f>
        <v/>
      </c>
      <c r="G801" s="270" t="n">
        <v>17412.9</v>
      </c>
      <c r="H801" s="572">
        <f>G801/G802-1</f>
        <v/>
      </c>
    </row>
    <row r="802">
      <c r="B802" s="269" t="n">
        <v>44994</v>
      </c>
      <c r="C802" s="270" t="n">
        <v>539.78</v>
      </c>
      <c r="D802" s="572">
        <f>C802/C803-1</f>
        <v/>
      </c>
      <c r="E802" s="270" t="n">
        <v>34914.57</v>
      </c>
      <c r="F802" s="572">
        <f>E802/E803-1</f>
        <v/>
      </c>
      <c r="G802" s="270" t="n">
        <v>17589.6</v>
      </c>
      <c r="H802" s="572">
        <f>G802/G803-1</f>
        <v/>
      </c>
    </row>
    <row r="803">
      <c r="B803" s="269" t="n">
        <v>44993</v>
      </c>
      <c r="C803" s="270" t="n">
        <v>548.15</v>
      </c>
      <c r="D803" s="572">
        <f>C803/C804-1</f>
        <v/>
      </c>
      <c r="E803" s="270" t="n">
        <v>34813.43</v>
      </c>
      <c r="F803" s="572">
        <f>E803/E804-1</f>
        <v/>
      </c>
      <c r="G803" s="270" t="n">
        <v>17754.4</v>
      </c>
      <c r="H803" s="572">
        <f>G803/G804-1</f>
        <v/>
      </c>
    </row>
    <row r="804">
      <c r="B804" s="269" t="n">
        <v>44991</v>
      </c>
      <c r="C804" s="270" t="n">
        <v>549.17</v>
      </c>
      <c r="D804" s="572">
        <f>C804/C805-1</f>
        <v/>
      </c>
      <c r="E804" s="270" t="n">
        <v>34389.79</v>
      </c>
      <c r="F804" s="572">
        <f>E804/E805-1</f>
        <v/>
      </c>
      <c r="G804" s="270" t="n">
        <v>17711.45</v>
      </c>
      <c r="H804" s="572">
        <f>G804/G805-1</f>
        <v/>
      </c>
    </row>
    <row r="805">
      <c r="B805" s="269" t="n">
        <v>44988</v>
      </c>
      <c r="C805" s="270" t="n">
        <v>545.47</v>
      </c>
      <c r="D805" s="572">
        <f>C805/C806-1</f>
        <v/>
      </c>
      <c r="E805" s="270" t="n">
        <v>34405.22</v>
      </c>
      <c r="F805" s="572">
        <f>E805/E806-1</f>
        <v/>
      </c>
      <c r="G805" s="270" t="n">
        <v>17594.35</v>
      </c>
      <c r="H805" s="572">
        <f>G805/G806-1</f>
        <v/>
      </c>
    </row>
    <row r="806">
      <c r="B806" s="269" t="n">
        <v>44987</v>
      </c>
      <c r="C806" s="270" t="n">
        <v>544.17</v>
      </c>
      <c r="D806" s="572">
        <f>C806/C807-1</f>
        <v/>
      </c>
      <c r="E806" s="270" t="n">
        <v>34191.58</v>
      </c>
      <c r="F806" s="572">
        <f>E806/E807-1</f>
        <v/>
      </c>
      <c r="G806" s="270" t="n">
        <v>17321.9</v>
      </c>
      <c r="H806" s="572">
        <f>G806/G807-1</f>
        <v/>
      </c>
    </row>
    <row r="807">
      <c r="B807" s="269" t="n">
        <v>44986</v>
      </c>
      <c r="C807" s="270" t="n">
        <v>555.85</v>
      </c>
      <c r="D807" s="572">
        <f>C807/C808-1</f>
        <v/>
      </c>
      <c r="E807" s="270" t="n">
        <v>34239.55</v>
      </c>
      <c r="F807" s="572">
        <f>E807/E808-1</f>
        <v/>
      </c>
      <c r="G807" s="270" t="n">
        <v>17450.9</v>
      </c>
      <c r="H807" s="572">
        <f>G807/G808-1</f>
        <v/>
      </c>
    </row>
    <row r="808">
      <c r="B808" s="269" t="n">
        <v>44985</v>
      </c>
      <c r="C808" s="270" t="n">
        <v>584.1</v>
      </c>
      <c r="D808" s="572">
        <f>C808/C809-1</f>
        <v/>
      </c>
      <c r="E808" s="270" t="n">
        <v>33862.7</v>
      </c>
      <c r="F808" s="572">
        <f>E808/E809-1</f>
        <v/>
      </c>
      <c r="G808" s="270" t="n">
        <v>17303.95</v>
      </c>
      <c r="H808" s="572">
        <f>G808/G809-1</f>
        <v/>
      </c>
    </row>
    <row r="809">
      <c r="B809" s="269" t="n">
        <v>44984</v>
      </c>
      <c r="C809" s="270" t="n">
        <v>571.55</v>
      </c>
      <c r="D809" s="572">
        <f>C809/C810-1</f>
        <v/>
      </c>
      <c r="E809" s="270" t="n">
        <v>33807.5</v>
      </c>
      <c r="F809" s="572">
        <f>E809/E810-1</f>
        <v/>
      </c>
      <c r="G809" s="270" t="n">
        <v>17392.7</v>
      </c>
      <c r="H809" s="572">
        <f>G809/G810-1</f>
        <v/>
      </c>
    </row>
    <row r="810">
      <c r="B810" s="269" t="n">
        <v>44981</v>
      </c>
      <c r="C810" s="270" t="n">
        <v>582.25</v>
      </c>
      <c r="D810" s="572">
        <f>C810/C811-1</f>
        <v/>
      </c>
      <c r="E810" s="270" t="n">
        <v>34131.78</v>
      </c>
      <c r="F810" s="572">
        <f>E810/E811-1</f>
        <v/>
      </c>
      <c r="G810" s="270" t="n">
        <v>17465.8</v>
      </c>
      <c r="H810" s="572">
        <f>G810/G811-1</f>
        <v/>
      </c>
    </row>
    <row r="811">
      <c r="B811" s="269" t="n">
        <v>44980</v>
      </c>
      <c r="C811" s="270" t="n">
        <v>576.97</v>
      </c>
      <c r="D811" s="572">
        <f>C811/C812-1</f>
        <v/>
      </c>
      <c r="E811" s="270" t="n">
        <v>34369.75</v>
      </c>
      <c r="F811" s="572">
        <f>E811/E812-1</f>
        <v/>
      </c>
      <c r="G811" s="270" t="n">
        <v>17511.25</v>
      </c>
      <c r="H811" s="572">
        <f>G811/G812-1</f>
        <v/>
      </c>
    </row>
    <row r="812">
      <c r="B812" s="269" t="n">
        <v>44979</v>
      </c>
      <c r="C812" s="270" t="n">
        <v>574.55</v>
      </c>
      <c r="D812" s="572">
        <f>C812/C813-1</f>
        <v/>
      </c>
      <c r="E812" s="270" t="n">
        <v>34660.95</v>
      </c>
      <c r="F812" s="572">
        <f>E812/E813-1</f>
        <v/>
      </c>
      <c r="G812" s="270" t="n">
        <v>17554.3</v>
      </c>
      <c r="H812" s="572">
        <f>G812/G813-1</f>
        <v/>
      </c>
    </row>
    <row r="813">
      <c r="B813" s="269" t="n">
        <v>44978</v>
      </c>
      <c r="C813" s="270" t="n">
        <v>582.1</v>
      </c>
      <c r="D813" s="572">
        <f>C813/C814-1</f>
        <v/>
      </c>
      <c r="E813" s="270" t="n">
        <v>35086.99</v>
      </c>
      <c r="F813" s="572">
        <f>E813/E814-1</f>
        <v/>
      </c>
      <c r="G813" s="270" t="n">
        <v>17826.7</v>
      </c>
      <c r="H813" s="572">
        <f>G813/G814-1</f>
        <v/>
      </c>
    </row>
    <row r="814">
      <c r="B814" s="269" t="n">
        <v>44977</v>
      </c>
      <c r="C814" s="270" t="n">
        <v>565.55</v>
      </c>
      <c r="D814" s="572">
        <f>C814/C815-1</f>
        <v/>
      </c>
      <c r="E814" s="270" t="n">
        <v>35006.35</v>
      </c>
      <c r="F814" s="572">
        <f>E814/E815-1</f>
        <v/>
      </c>
      <c r="G814" s="270" t="n">
        <v>17844.6</v>
      </c>
      <c r="H814" s="572">
        <f>G814/G815-1</f>
        <v/>
      </c>
    </row>
    <row r="815">
      <c r="B815" s="269" t="n">
        <v>44974</v>
      </c>
      <c r="C815" s="270" t="n">
        <v>560.78</v>
      </c>
      <c r="D815" s="572">
        <f>C815/C816-1</f>
        <v/>
      </c>
      <c r="E815" s="270" t="n">
        <v>35122.42</v>
      </c>
      <c r="F815" s="572">
        <f>E815/E816-1</f>
        <v/>
      </c>
      <c r="G815" s="270" t="n">
        <v>17944.2</v>
      </c>
      <c r="H815" s="572">
        <f>G815/G816-1</f>
        <v/>
      </c>
    </row>
    <row r="816">
      <c r="B816" s="269" t="n">
        <v>44973</v>
      </c>
      <c r="C816" s="270" t="n">
        <v>569.47</v>
      </c>
      <c r="D816" s="572">
        <f>C816/C817-1</f>
        <v/>
      </c>
      <c r="E816" s="270" t="n">
        <v>34812.32</v>
      </c>
      <c r="F816" s="572">
        <f>E816/E817-1</f>
        <v/>
      </c>
      <c r="G816" s="270" t="n">
        <v>18035.85</v>
      </c>
      <c r="H816" s="572">
        <f>G816/G817-1</f>
        <v/>
      </c>
    </row>
    <row r="817">
      <c r="B817" s="269" t="n">
        <v>44972</v>
      </c>
      <c r="C817" s="270" t="n">
        <v>576.4</v>
      </c>
      <c r="D817" s="572">
        <f>C817/C818-1</f>
        <v/>
      </c>
      <c r="E817" s="270" t="n">
        <v>34479.12</v>
      </c>
      <c r="F817" s="572">
        <f>E817/E818-1</f>
        <v/>
      </c>
      <c r="G817" s="270" t="n">
        <v>18015.85</v>
      </c>
      <c r="H817" s="572">
        <f>G817/G818-1</f>
        <v/>
      </c>
    </row>
    <row r="818">
      <c r="B818" s="269" t="n">
        <v>44971</v>
      </c>
      <c r="C818" s="270" t="n">
        <v>565</v>
      </c>
      <c r="D818" s="572">
        <f>C818/C819-1</f>
        <v/>
      </c>
      <c r="E818" s="270" t="n">
        <v>34603.75</v>
      </c>
      <c r="F818" s="572">
        <f>E818/E819-1</f>
        <v/>
      </c>
      <c r="G818" s="270" t="n">
        <v>17929.85</v>
      </c>
      <c r="H818" s="572">
        <f>G818/G819-1</f>
        <v/>
      </c>
    </row>
    <row r="819">
      <c r="B819" s="269" t="n">
        <v>44970</v>
      </c>
      <c r="C819" s="270" t="n">
        <v>559.67</v>
      </c>
      <c r="D819" s="572">
        <f>C819/C820-1</f>
        <v/>
      </c>
      <c r="E819" s="270" t="n">
        <v>34747.25</v>
      </c>
      <c r="F819" s="572">
        <f>E819/E820-1</f>
        <v/>
      </c>
      <c r="G819" s="270" t="n">
        <v>17770.9</v>
      </c>
      <c r="H819" s="572">
        <f>G819/G820-1</f>
        <v/>
      </c>
    </row>
    <row r="820">
      <c r="B820" s="269" t="n">
        <v>44967</v>
      </c>
      <c r="C820" s="270" t="n">
        <v>569.97</v>
      </c>
      <c r="D820" s="572">
        <f>C820/C821-1</f>
        <v/>
      </c>
      <c r="E820" s="270" t="n">
        <v>34554.19</v>
      </c>
      <c r="F820" s="572">
        <f>E820/E821-1</f>
        <v/>
      </c>
      <c r="G820" s="270" t="n">
        <v>17856.5</v>
      </c>
      <c r="H820" s="572">
        <f>G820/G821-1</f>
        <v/>
      </c>
    </row>
    <row r="821">
      <c r="B821" s="269" t="n">
        <v>44966</v>
      </c>
      <c r="C821" s="270" t="n">
        <v>589.92</v>
      </c>
      <c r="D821" s="572">
        <f>C821/C822-1</f>
        <v/>
      </c>
      <c r="E821" s="270" t="n">
        <v>34300.67</v>
      </c>
      <c r="F821" s="572">
        <f>E821/E822-1</f>
        <v/>
      </c>
      <c r="G821" s="270" t="n">
        <v>17893.45</v>
      </c>
      <c r="H821" s="572">
        <f>G821/G822-1</f>
        <v/>
      </c>
    </row>
    <row r="822">
      <c r="B822" s="269" t="n">
        <v>44965</v>
      </c>
      <c r="C822" s="270" t="n">
        <v>556.85</v>
      </c>
      <c r="D822" s="572">
        <f>C822/C823-1</f>
        <v/>
      </c>
      <c r="E822" s="270" t="n">
        <v>34212.11</v>
      </c>
      <c r="F822" s="572">
        <f>E822/E823-1</f>
        <v/>
      </c>
      <c r="G822" s="270" t="n">
        <v>17871.7</v>
      </c>
      <c r="H822" s="572">
        <f>G822/G823-1</f>
        <v/>
      </c>
    </row>
    <row r="823">
      <c r="B823" s="269" t="n">
        <v>44964</v>
      </c>
      <c r="C823" s="270" t="n">
        <v>565.1</v>
      </c>
      <c r="D823" s="572">
        <f>C823/C824-1</f>
        <v/>
      </c>
      <c r="E823" s="270" t="n">
        <v>34325.43</v>
      </c>
      <c r="F823" s="572">
        <f>E823/E824-1</f>
        <v/>
      </c>
      <c r="G823" s="270" t="n">
        <v>17721.5</v>
      </c>
      <c r="H823" s="572">
        <f>G823/G824-1</f>
        <v/>
      </c>
    </row>
    <row r="824">
      <c r="B824" s="269" t="n">
        <v>44963</v>
      </c>
      <c r="C824" s="270" t="n">
        <v>558.53</v>
      </c>
      <c r="D824" s="572">
        <f>C824/C825-1</f>
        <v/>
      </c>
      <c r="E824" s="270" t="n">
        <v>34159.31</v>
      </c>
      <c r="F824" s="572">
        <f>E824/E825-1</f>
        <v/>
      </c>
      <c r="G824" s="270" t="n">
        <v>17764.6</v>
      </c>
      <c r="H824" s="572">
        <f>G824/G825-1</f>
        <v/>
      </c>
    </row>
    <row r="825">
      <c r="B825" s="269" t="n">
        <v>44960</v>
      </c>
      <c r="C825" s="270" t="n">
        <v>558.55</v>
      </c>
      <c r="D825" s="572">
        <f>C825/C826-1</f>
        <v/>
      </c>
      <c r="E825" s="270" t="n">
        <v>34001.23</v>
      </c>
      <c r="F825" s="572">
        <f>E825/E826-1</f>
        <v/>
      </c>
      <c r="G825" s="270" t="n">
        <v>17854.05</v>
      </c>
      <c r="H825" s="572">
        <f>G825/G826-1</f>
        <v/>
      </c>
    </row>
    <row r="826">
      <c r="B826" s="269" t="n">
        <v>44959</v>
      </c>
      <c r="C826" s="270" t="n">
        <v>570.53</v>
      </c>
      <c r="D826" s="572">
        <f>C826/C827-1</f>
        <v/>
      </c>
      <c r="E826" s="270" t="n">
        <v>33799.76</v>
      </c>
      <c r="F826" s="572">
        <f>E826/E827-1</f>
        <v/>
      </c>
      <c r="G826" s="270" t="n">
        <v>17610.4</v>
      </c>
      <c r="H826" s="572">
        <f>G826/G827-1</f>
        <v/>
      </c>
    </row>
    <row r="827">
      <c r="B827" s="269" t="n">
        <v>44958</v>
      </c>
      <c r="C827" s="270" t="n">
        <v>543.12</v>
      </c>
      <c r="D827" s="572">
        <f>C827/C828-1</f>
        <v/>
      </c>
      <c r="E827" s="270" t="n">
        <v>33750.05</v>
      </c>
      <c r="F827" s="572">
        <f>E827/E828-1</f>
        <v/>
      </c>
      <c r="G827" s="270" t="n">
        <v>17616.3</v>
      </c>
      <c r="H827" s="572">
        <f>G827/G828-1</f>
        <v/>
      </c>
    </row>
    <row r="828">
      <c r="B828" s="269" t="n">
        <v>44957</v>
      </c>
      <c r="C828" s="270" t="n">
        <v>525.22</v>
      </c>
      <c r="D828" s="572">
        <f>C828/C829-1</f>
        <v/>
      </c>
      <c r="E828" s="270" t="n">
        <v>33806.17</v>
      </c>
      <c r="F828" s="572">
        <f>E828/E829-1</f>
        <v/>
      </c>
      <c r="G828" s="270" t="n">
        <v>17662.15</v>
      </c>
      <c r="H828" s="572">
        <f>G828/G829-1</f>
        <v/>
      </c>
    </row>
    <row r="829">
      <c r="B829" s="269" t="n">
        <v>44956</v>
      </c>
      <c r="C829" s="270" t="n">
        <v>516.58</v>
      </c>
      <c r="D829" s="572">
        <f>C829/C830-1</f>
        <v/>
      </c>
      <c r="E829" s="270" t="n">
        <v>33242.2</v>
      </c>
      <c r="F829" s="572">
        <f>E829/E830-1</f>
        <v/>
      </c>
      <c r="G829" s="270" t="n">
        <v>17648.95</v>
      </c>
      <c r="H829" s="572">
        <f>G829/G830-1</f>
        <v/>
      </c>
    </row>
    <row r="830">
      <c r="B830" s="269" t="n">
        <v>44953</v>
      </c>
      <c r="C830" s="270" t="n">
        <v>507.7</v>
      </c>
      <c r="D830" s="572">
        <f>C830/C831-1</f>
        <v/>
      </c>
      <c r="E830" s="270" t="n">
        <v>33681.31</v>
      </c>
      <c r="F830" s="572">
        <f>E830/E831-1</f>
        <v/>
      </c>
      <c r="G830" s="270" t="n">
        <v>17604.35</v>
      </c>
      <c r="H830" s="572">
        <f>G830/G831-1</f>
        <v/>
      </c>
    </row>
    <row r="831">
      <c r="B831" s="269" t="n">
        <v>44951</v>
      </c>
      <c r="C831" s="270" t="n">
        <v>527.15</v>
      </c>
      <c r="D831" s="572">
        <f>C831/C832-1</f>
        <v/>
      </c>
      <c r="E831" s="270" t="n">
        <v>34140.12</v>
      </c>
      <c r="F831" s="572">
        <f>E831/E832-1</f>
        <v/>
      </c>
      <c r="G831" s="270" t="n">
        <v>17891.95</v>
      </c>
      <c r="H831" s="572">
        <f>G831/G832-1</f>
        <v/>
      </c>
    </row>
    <row r="832">
      <c r="B832" s="269" t="n">
        <v>44950</v>
      </c>
      <c r="C832" s="270" t="n">
        <v>519.67</v>
      </c>
      <c r="D832" s="572">
        <f>C832/C833-1</f>
        <v/>
      </c>
      <c r="E832" s="270" t="n">
        <v>34504.92</v>
      </c>
      <c r="F832" s="572">
        <f>E832/E833-1</f>
        <v/>
      </c>
      <c r="G832" s="270" t="n">
        <v>18118.3</v>
      </c>
      <c r="H832" s="572">
        <f>G832/G833-1</f>
        <v/>
      </c>
    </row>
    <row r="833">
      <c r="B833" s="269" t="n">
        <v>44949</v>
      </c>
      <c r="C833" s="270" t="n">
        <v>516.25</v>
      </c>
      <c r="D833" s="572">
        <f>C833/C834-1</f>
        <v/>
      </c>
      <c r="E833" s="270" t="n">
        <v>34764.03</v>
      </c>
      <c r="F833" s="572">
        <f>E833/E834-1</f>
        <v/>
      </c>
      <c r="G833" s="270" t="n">
        <v>18118.55</v>
      </c>
      <c r="H833" s="572">
        <f>G833/G834-1</f>
        <v/>
      </c>
    </row>
    <row r="834">
      <c r="B834" s="269" t="n">
        <v>44946</v>
      </c>
      <c r="C834" s="270" t="n">
        <v>530.17</v>
      </c>
      <c r="D834" s="572">
        <f>C834/C835-1</f>
        <v/>
      </c>
      <c r="E834" s="270" t="n">
        <v>34864.46</v>
      </c>
      <c r="F834" s="572">
        <f>E834/E835-1</f>
        <v/>
      </c>
      <c r="G834" s="270" t="n">
        <v>18027.65</v>
      </c>
      <c r="H834" s="572">
        <f>G834/G835-1</f>
        <v/>
      </c>
    </row>
    <row r="835">
      <c r="B835" s="269" t="n">
        <v>44945</v>
      </c>
      <c r="C835" s="270" t="n">
        <v>518.25</v>
      </c>
      <c r="D835" s="572">
        <f>C835/C836-1</f>
        <v/>
      </c>
      <c r="E835" s="270" t="n">
        <v>35138.99</v>
      </c>
      <c r="F835" s="572">
        <f>E835/E836-1</f>
        <v/>
      </c>
      <c r="G835" s="270" t="n">
        <v>18107.85</v>
      </c>
      <c r="H835" s="572">
        <f>G835/G836-1</f>
        <v/>
      </c>
    </row>
    <row r="836">
      <c r="B836" s="269" t="n">
        <v>44944</v>
      </c>
      <c r="C836" s="270" t="n">
        <v>509.92</v>
      </c>
      <c r="D836" s="572">
        <f>C836/C837-1</f>
        <v/>
      </c>
      <c r="E836" s="270" t="n">
        <v>35061.46</v>
      </c>
      <c r="F836" s="572">
        <f>E836/E837-1</f>
        <v/>
      </c>
      <c r="G836" s="270" t="n">
        <v>18165.35</v>
      </c>
      <c r="H836" s="572">
        <f>G836/G837-1</f>
        <v/>
      </c>
    </row>
    <row r="837">
      <c r="B837" s="269" t="n">
        <v>44943</v>
      </c>
      <c r="C837" s="270" t="n">
        <v>482.27</v>
      </c>
      <c r="D837" s="572">
        <f>C837/C838-1</f>
        <v/>
      </c>
      <c r="E837" s="270" t="n">
        <v>34558.3</v>
      </c>
      <c r="F837" s="572">
        <f>E837/E838-1</f>
        <v/>
      </c>
      <c r="G837" s="270" t="n">
        <v>18053.3</v>
      </c>
      <c r="H837" s="572">
        <f>G837/G838-1</f>
        <v/>
      </c>
    </row>
    <row r="838">
      <c r="B838" s="269" t="n">
        <v>44942</v>
      </c>
      <c r="C838" s="270" t="n">
        <v>500.77</v>
      </c>
      <c r="D838" s="572">
        <f>C838/C839-1</f>
        <v/>
      </c>
      <c r="E838" s="270" t="n">
        <v>34009.45</v>
      </c>
      <c r="F838" s="572">
        <f>E838/E839-1</f>
        <v/>
      </c>
      <c r="G838" s="270" t="n">
        <v>17894.85</v>
      </c>
      <c r="H838" s="572">
        <f>G838/G839-1</f>
        <v/>
      </c>
    </row>
    <row r="839">
      <c r="B839" s="269" t="n">
        <v>44939</v>
      </c>
      <c r="C839" s="270" t="n">
        <v>475.5</v>
      </c>
      <c r="D839" s="572">
        <f>C839/C840-1</f>
        <v/>
      </c>
      <c r="E839" s="270" t="n">
        <v>34148.43</v>
      </c>
      <c r="F839" s="572">
        <f>E839/E840-1</f>
        <v/>
      </c>
      <c r="G839" s="270" t="n">
        <v>17956.6</v>
      </c>
      <c r="H839" s="572">
        <f>G839/G840-1</f>
        <v/>
      </c>
    </row>
    <row r="840">
      <c r="B840" s="269" t="n">
        <v>44938</v>
      </c>
      <c r="C840" s="270" t="n">
        <v>480.45</v>
      </c>
      <c r="D840" s="572">
        <f>C840/C841-1</f>
        <v/>
      </c>
      <c r="E840" s="270" t="n">
        <v>34159.24</v>
      </c>
      <c r="F840" s="572">
        <f>E840/E841-1</f>
        <v/>
      </c>
      <c r="G840" s="270" t="n">
        <v>17858.2</v>
      </c>
      <c r="H840" s="572">
        <f>G840/G841-1</f>
        <v/>
      </c>
    </row>
    <row r="841">
      <c r="B841" s="269" t="n">
        <v>44937</v>
      </c>
      <c r="C841" s="270" t="n">
        <v>458.73</v>
      </c>
      <c r="D841" s="572">
        <f>C841/C842-1</f>
        <v/>
      </c>
      <c r="E841" s="270" t="n">
        <v>33886.67</v>
      </c>
      <c r="F841" s="572">
        <f>E841/E842-1</f>
        <v/>
      </c>
      <c r="G841" s="270" t="n">
        <v>17895.7</v>
      </c>
      <c r="H841" s="572">
        <f>G841/G842-1</f>
        <v/>
      </c>
    </row>
    <row r="842">
      <c r="B842" s="269" t="n">
        <v>44936</v>
      </c>
      <c r="C842" s="270" t="n">
        <v>462.3</v>
      </c>
      <c r="D842" s="572">
        <f>C842/C843-1</f>
        <v/>
      </c>
      <c r="E842" s="270" t="n">
        <v>33699.98</v>
      </c>
      <c r="F842" s="572">
        <f>E842/E843-1</f>
        <v/>
      </c>
      <c r="G842" s="270" t="n">
        <v>17914.15</v>
      </c>
      <c r="H842" s="572">
        <f>G842/G843-1</f>
        <v/>
      </c>
    </row>
    <row r="843">
      <c r="B843" s="269" t="n">
        <v>44935</v>
      </c>
      <c r="C843" s="270" t="n">
        <v>465.75</v>
      </c>
      <c r="D843" s="572">
        <f>C843/C844-1</f>
        <v/>
      </c>
      <c r="E843" s="270" t="n">
        <v>33826.75</v>
      </c>
      <c r="F843" s="572">
        <f>E843/E844-1</f>
        <v/>
      </c>
      <c r="G843" s="270" t="n">
        <v>18101.2</v>
      </c>
      <c r="H843" s="572">
        <f>G843/G844-1</f>
        <v/>
      </c>
    </row>
    <row r="844">
      <c r="B844" s="269" t="n">
        <v>44932</v>
      </c>
      <c r="C844" s="270" t="n">
        <v>465.75</v>
      </c>
      <c r="D844" s="572">
        <f>C844/C845-1</f>
        <v/>
      </c>
      <c r="E844" s="270" t="n">
        <v>33400.83</v>
      </c>
      <c r="F844" s="572">
        <f>E844/E845-1</f>
        <v/>
      </c>
      <c r="G844" s="270" t="n">
        <v>17859.45</v>
      </c>
      <c r="H844" s="572">
        <f>G844/G845-1</f>
        <v/>
      </c>
    </row>
    <row r="845">
      <c r="B845" s="269" t="n">
        <v>44931</v>
      </c>
      <c r="C845" s="270" t="n">
        <v>459.9</v>
      </c>
      <c r="D845" s="572">
        <f>C845/C846-1</f>
        <v/>
      </c>
      <c r="E845" s="270" t="n">
        <v>33483.41</v>
      </c>
      <c r="F845" s="572">
        <f>E845/E846-1</f>
        <v/>
      </c>
      <c r="G845" s="270" t="n">
        <v>17992.15</v>
      </c>
      <c r="H845" s="572">
        <f>G845/G846-1</f>
        <v/>
      </c>
    </row>
    <row r="846">
      <c r="B846" s="269" t="n">
        <v>44930</v>
      </c>
      <c r="C846" s="270" t="n">
        <v>468</v>
      </c>
      <c r="D846" s="572">
        <f>C846/C847-1</f>
        <v/>
      </c>
      <c r="E846" s="270" t="n">
        <v>33208.39</v>
      </c>
      <c r="F846" s="572">
        <f>E846/E847-1</f>
        <v/>
      </c>
      <c r="G846" s="270" t="n">
        <v>18042.95</v>
      </c>
      <c r="H846" s="572">
        <f>G846/G847-1</f>
        <v/>
      </c>
    </row>
    <row r="847">
      <c r="B847" s="269" t="n">
        <v>44929</v>
      </c>
      <c r="C847" s="270" t="n">
        <v>474.92</v>
      </c>
      <c r="D847" s="572">
        <f>C847/C848-1</f>
        <v/>
      </c>
      <c r="E847" s="270" t="n">
        <v>33468.1</v>
      </c>
      <c r="F847" s="572">
        <f>E847/E848-1</f>
        <v/>
      </c>
      <c r="G847" s="270" t="n">
        <v>18232.55</v>
      </c>
      <c r="H847" s="572">
        <f>G847/G848-1</f>
        <v/>
      </c>
    </row>
    <row r="848">
      <c r="B848" s="269" t="n">
        <v>44928</v>
      </c>
      <c r="C848" s="270" t="n">
        <v>441.3</v>
      </c>
      <c r="D848" s="572">
        <f>C848/C849-1</f>
        <v/>
      </c>
      <c r="E848" s="270" t="n">
        <v>33446.16</v>
      </c>
      <c r="F848" s="572">
        <f>E848/E849-1</f>
        <v/>
      </c>
      <c r="G848" s="270" t="n">
        <v>18197.45</v>
      </c>
      <c r="H848" s="572">
        <f>G848/G849-1</f>
        <v/>
      </c>
    </row>
    <row r="849">
      <c r="B849" s="269" t="n">
        <v>44925</v>
      </c>
      <c r="C849" s="270" t="n">
        <v>432.4</v>
      </c>
      <c r="D849" s="572">
        <f>C849/C850-1</f>
        <v/>
      </c>
      <c r="E849" s="270" t="n">
        <v>33342.22</v>
      </c>
      <c r="F849" s="572">
        <f>E849/E850-1</f>
        <v/>
      </c>
      <c r="G849" s="270" t="n">
        <v>18105.3</v>
      </c>
      <c r="H849" s="572">
        <f>G849/G850-1</f>
        <v/>
      </c>
    </row>
    <row r="850">
      <c r="B850" s="269" t="n">
        <v>44924</v>
      </c>
      <c r="C850" s="270" t="n">
        <v>423.62</v>
      </c>
      <c r="D850" s="572">
        <f>C850/C851-1</f>
        <v/>
      </c>
      <c r="E850" s="270" t="n">
        <v>33437</v>
      </c>
      <c r="F850" s="572">
        <f>E850/E851-1</f>
        <v/>
      </c>
      <c r="G850" s="270" t="n">
        <v>18191</v>
      </c>
      <c r="H850" s="572">
        <f>G850/G851-1</f>
        <v/>
      </c>
    </row>
    <row r="851">
      <c r="B851" s="269" t="n">
        <v>44923</v>
      </c>
      <c r="C851" s="270" t="n">
        <v>426.02</v>
      </c>
      <c r="D851" s="572">
        <f>C851/C852-1</f>
        <v/>
      </c>
      <c r="E851" s="270" t="n">
        <v>33577.93</v>
      </c>
      <c r="F851" s="572">
        <f>E851/E852-1</f>
        <v/>
      </c>
      <c r="G851" s="270" t="n">
        <v>18122.5</v>
      </c>
      <c r="H851" s="572">
        <f>G851/G852-1</f>
        <v/>
      </c>
    </row>
    <row r="852">
      <c r="B852" s="269" t="n">
        <v>44922</v>
      </c>
      <c r="C852" s="270" t="n">
        <v>427.92</v>
      </c>
      <c r="D852" s="572">
        <f>C852/C853-1</f>
        <v/>
      </c>
      <c r="E852" s="270" t="n">
        <v>33668.28</v>
      </c>
      <c r="F852" s="572">
        <f>E852/E853-1</f>
        <v/>
      </c>
      <c r="G852" s="270" t="n">
        <v>18132.3</v>
      </c>
      <c r="H852" s="572">
        <f>G852/G853-1</f>
        <v/>
      </c>
    </row>
    <row r="853">
      <c r="B853" s="269" t="n">
        <v>44921</v>
      </c>
      <c r="C853" s="270" t="n">
        <v>427.65</v>
      </c>
      <c r="D853" s="572">
        <f>C853/C854-1</f>
        <v/>
      </c>
      <c r="E853" s="270" t="n">
        <v>33204.89</v>
      </c>
      <c r="F853" s="572">
        <f>E853/E854-1</f>
        <v/>
      </c>
      <c r="G853" s="270" t="n">
        <v>18014.6</v>
      </c>
      <c r="H853" s="572">
        <f>G853/G854-1</f>
        <v/>
      </c>
    </row>
    <row r="854">
      <c r="B854" s="269" t="n">
        <v>44918</v>
      </c>
      <c r="C854" s="270" t="n">
        <v>413.3</v>
      </c>
      <c r="D854" s="572">
        <f>C854/C855-1</f>
        <v/>
      </c>
      <c r="E854" s="270" t="n">
        <v>32603.59</v>
      </c>
      <c r="F854" s="572">
        <f>E854/E855-1</f>
        <v/>
      </c>
      <c r="G854" s="270" t="n">
        <v>17806.8</v>
      </c>
      <c r="H854" s="572">
        <f>G854/G855-1</f>
        <v/>
      </c>
    </row>
    <row r="855">
      <c r="B855" s="269" t="n">
        <v>44917</v>
      </c>
      <c r="C855" s="270" t="n">
        <v>428.02</v>
      </c>
      <c r="D855" s="572">
        <f>C855/C856-1</f>
        <v/>
      </c>
      <c r="E855" s="270" t="n">
        <v>33554.89</v>
      </c>
      <c r="F855" s="572">
        <f>E855/E856-1</f>
        <v/>
      </c>
      <c r="G855" s="270" t="n">
        <v>18127.35</v>
      </c>
      <c r="H855" s="572">
        <f>G855/G856-1</f>
        <v/>
      </c>
    </row>
    <row r="856">
      <c r="B856" s="269" t="n">
        <v>44916</v>
      </c>
      <c r="C856" s="270" t="n">
        <v>426.85</v>
      </c>
      <c r="D856" s="572">
        <f>C856/C857-1</f>
        <v/>
      </c>
      <c r="E856" s="270" t="n">
        <v>34091.22</v>
      </c>
      <c r="F856" s="572">
        <f>E856/E857-1</f>
        <v/>
      </c>
      <c r="G856" s="270" t="n">
        <v>18199.1</v>
      </c>
      <c r="H856" s="572">
        <f>G856/G857-1</f>
        <v/>
      </c>
    </row>
    <row r="857">
      <c r="B857" s="269" t="n">
        <v>44915</v>
      </c>
      <c r="C857" s="270" t="n">
        <v>421.17</v>
      </c>
      <c r="D857" s="572">
        <f>C857/C858-1</f>
        <v/>
      </c>
      <c r="E857" s="270" t="n">
        <v>34660.05</v>
      </c>
      <c r="F857" s="572">
        <f>E857/E858-1</f>
        <v/>
      </c>
      <c r="G857" s="270" t="n">
        <v>18385.3</v>
      </c>
      <c r="H857" s="572">
        <f>G857/G858-1</f>
        <v/>
      </c>
    </row>
    <row r="858">
      <c r="B858" s="269" t="n">
        <v>44914</v>
      </c>
      <c r="C858" s="270" t="n">
        <v>423.5</v>
      </c>
      <c r="D858" s="572">
        <f>C858/C859-1</f>
        <v/>
      </c>
      <c r="E858" s="270" t="n">
        <v>34798.91</v>
      </c>
      <c r="F858" s="572">
        <f>E858/E859-1</f>
        <v/>
      </c>
      <c r="G858" s="270" t="n">
        <v>18420.45</v>
      </c>
      <c r="H858" s="572">
        <f>G858/G859-1</f>
        <v/>
      </c>
    </row>
    <row r="859">
      <c r="B859" s="269" t="n">
        <v>44911</v>
      </c>
      <c r="C859" s="270" t="n">
        <v>427.35</v>
      </c>
      <c r="D859" s="572">
        <f>C859/C860-1</f>
        <v/>
      </c>
      <c r="E859" s="270" t="n">
        <v>34535.07</v>
      </c>
      <c r="F859" s="572">
        <f>E859/E860-1</f>
        <v/>
      </c>
      <c r="G859" s="270" t="n">
        <v>18269</v>
      </c>
      <c r="H859" s="572">
        <f>G859/G860-1</f>
        <v/>
      </c>
    </row>
    <row r="860">
      <c r="B860" s="269" t="n">
        <v>44910</v>
      </c>
      <c r="C860" s="270" t="n">
        <v>431.12</v>
      </c>
      <c r="D860" s="572">
        <f>C860/C861-1</f>
        <v/>
      </c>
      <c r="E860" s="270" t="n">
        <v>34977.3</v>
      </c>
      <c r="F860" s="572">
        <f>E860/E861-1</f>
        <v/>
      </c>
      <c r="G860" s="270" t="n">
        <v>18414.9</v>
      </c>
      <c r="H860" s="572">
        <f>G860/G861-1</f>
        <v/>
      </c>
    </row>
    <row r="861">
      <c r="B861" s="269" t="n">
        <v>44909</v>
      </c>
      <c r="C861" s="270" t="n">
        <v>430.42</v>
      </c>
      <c r="D861" s="572">
        <f>C861/C862-1</f>
        <v/>
      </c>
      <c r="E861" s="270" t="n">
        <v>35389.57</v>
      </c>
      <c r="F861" s="572">
        <f>E861/E862-1</f>
        <v/>
      </c>
      <c r="G861" s="270" t="n">
        <v>18660.3</v>
      </c>
      <c r="H861" s="572">
        <f>G861/G862-1</f>
        <v/>
      </c>
    </row>
    <row r="862">
      <c r="B862" s="269" t="n">
        <v>44908</v>
      </c>
      <c r="C862" s="270" t="n">
        <v>430.8</v>
      </c>
      <c r="D862" s="572">
        <f>C862/C863-1</f>
        <v/>
      </c>
      <c r="E862" s="270" t="n">
        <v>35065.9</v>
      </c>
      <c r="F862" s="572">
        <f>E862/E863-1</f>
        <v/>
      </c>
      <c r="G862" s="270" t="n">
        <v>18608</v>
      </c>
      <c r="H862" s="572">
        <f>G862/G863-1</f>
        <v/>
      </c>
    </row>
    <row r="863">
      <c r="B863" s="269" t="n">
        <v>44907</v>
      </c>
      <c r="C863" s="270" t="n">
        <v>433.33</v>
      </c>
      <c r="D863" s="572">
        <f>C863/C864-1</f>
        <v/>
      </c>
      <c r="E863" s="270" t="n">
        <v>34911.21</v>
      </c>
      <c r="F863" s="572">
        <f>E863/E864-1</f>
        <v/>
      </c>
      <c r="G863" s="270" t="n">
        <v>18497.15</v>
      </c>
      <c r="H863" s="572">
        <f>G863/G864-1</f>
        <v/>
      </c>
    </row>
    <row r="864">
      <c r="B864" s="269" t="n">
        <v>44904</v>
      </c>
      <c r="C864" s="270" t="n">
        <v>434.27</v>
      </c>
      <c r="D864" s="572">
        <f>C864/C865-1</f>
        <v/>
      </c>
      <c r="E864" s="270" t="n">
        <v>34726.56</v>
      </c>
      <c r="F864" s="572">
        <f>E864/E865-1</f>
        <v/>
      </c>
      <c r="G864" s="270" t="n">
        <v>18496.6</v>
      </c>
      <c r="H864" s="572">
        <f>G864/G865-1</f>
        <v/>
      </c>
    </row>
    <row r="865">
      <c r="B865" s="269" t="n">
        <v>44903</v>
      </c>
      <c r="C865" s="270" t="n">
        <v>444.7</v>
      </c>
      <c r="D865" s="572">
        <f>C865/C866-1</f>
        <v/>
      </c>
      <c r="E865" s="270" t="n">
        <v>34952.62</v>
      </c>
      <c r="F865" s="572">
        <f>E865/E866-1</f>
        <v/>
      </c>
      <c r="G865" s="270" t="n">
        <v>18609.35</v>
      </c>
      <c r="H865" s="572">
        <f>G865/G866-1</f>
        <v/>
      </c>
    </row>
    <row r="866">
      <c r="B866" s="269" t="n">
        <v>44902</v>
      </c>
      <c r="C866" s="270" t="n">
        <v>441.75</v>
      </c>
      <c r="D866" s="572">
        <f>C866/C867-1</f>
        <v/>
      </c>
      <c r="E866" s="270" t="n">
        <v>34454.43</v>
      </c>
      <c r="F866" s="572">
        <f>E866/E867-1</f>
        <v/>
      </c>
      <c r="G866" s="270" t="n">
        <v>18560.5</v>
      </c>
      <c r="H866" s="572">
        <f>G866/G867-1</f>
        <v/>
      </c>
    </row>
    <row r="867">
      <c r="B867" s="269" t="n">
        <v>44901</v>
      </c>
      <c r="C867" s="270" t="n">
        <v>444.67</v>
      </c>
      <c r="D867" s="572">
        <f>C867/C868-1</f>
        <v/>
      </c>
      <c r="E867" s="270" t="n">
        <v>34168.11</v>
      </c>
      <c r="F867" s="572">
        <f>E867/E868-1</f>
        <v/>
      </c>
      <c r="G867" s="270" t="n">
        <v>18642.75</v>
      </c>
      <c r="H867" s="572">
        <f>G867/G868-1</f>
        <v/>
      </c>
    </row>
    <row r="868">
      <c r="B868" s="269" t="n">
        <v>44900</v>
      </c>
      <c r="C868" s="270" t="n">
        <v>438.35</v>
      </c>
      <c r="D868" s="572">
        <f>C868/C869-1</f>
        <v/>
      </c>
      <c r="E868" s="270" t="n">
        <v>34153.27</v>
      </c>
      <c r="F868" s="572">
        <f>E868/E869-1</f>
        <v/>
      </c>
      <c r="G868" s="270" t="n">
        <v>18701.05</v>
      </c>
      <c r="H868" s="572">
        <f>G868/G869-1</f>
        <v/>
      </c>
    </row>
    <row r="869">
      <c r="B869" s="269" t="n">
        <v>44897</v>
      </c>
      <c r="C869" s="270" t="n">
        <v>440.23</v>
      </c>
      <c r="D869" s="572">
        <f>C869/C870-1</f>
        <v/>
      </c>
      <c r="E869" s="270" t="n">
        <v>34164.61</v>
      </c>
      <c r="F869" s="572">
        <f>E869/E870-1</f>
        <v/>
      </c>
      <c r="G869" s="270" t="n">
        <v>18696.1</v>
      </c>
      <c r="H869" s="572">
        <f>G869/G870-1</f>
        <v/>
      </c>
    </row>
    <row r="870">
      <c r="B870" s="269" t="n">
        <v>44896</v>
      </c>
      <c r="C870" s="270" t="n">
        <v>445.9</v>
      </c>
      <c r="D870" s="572">
        <f>C870/C871-1</f>
        <v/>
      </c>
      <c r="E870" s="270" t="n">
        <v>34137.28</v>
      </c>
      <c r="F870" s="572">
        <f>E870/E871-1</f>
        <v/>
      </c>
      <c r="G870" s="270" t="n">
        <v>18812.5</v>
      </c>
      <c r="H870" s="572">
        <f>G870/G871-1</f>
        <v/>
      </c>
    </row>
    <row r="871">
      <c r="B871" s="269" t="n">
        <v>44895</v>
      </c>
      <c r="C871" s="270" t="n">
        <v>447.9</v>
      </c>
      <c r="D871" s="572">
        <f>C871/C872-1</f>
        <v/>
      </c>
      <c r="E871" s="270" t="n">
        <v>33846.25</v>
      </c>
      <c r="F871" s="572">
        <f>E871/E872-1</f>
        <v/>
      </c>
      <c r="G871" s="270" t="n">
        <v>18758.35</v>
      </c>
      <c r="H871" s="572">
        <f>G871/G872-1</f>
        <v/>
      </c>
    </row>
    <row r="872">
      <c r="B872" s="269" t="n">
        <v>44894</v>
      </c>
      <c r="C872" s="270" t="n">
        <v>446.75</v>
      </c>
      <c r="D872" s="572">
        <f>C872/C873-1</f>
        <v/>
      </c>
      <c r="E872" s="270" t="n">
        <v>33636.9</v>
      </c>
      <c r="F872" s="572">
        <f>E872/E873-1</f>
        <v/>
      </c>
      <c r="G872" s="270" t="n">
        <v>18618.05</v>
      </c>
      <c r="H872" s="572">
        <f>G872/G873-1</f>
        <v/>
      </c>
    </row>
    <row r="873">
      <c r="B873" s="269" t="n">
        <v>44893</v>
      </c>
      <c r="C873" s="270" t="n">
        <v>437.08</v>
      </c>
      <c r="D873" s="572">
        <f>C873/C874-1</f>
        <v/>
      </c>
      <c r="E873" s="270" t="n">
        <v>33886.39</v>
      </c>
      <c r="F873" s="572">
        <f>E873/E874-1</f>
        <v/>
      </c>
      <c r="G873" s="270" t="n">
        <v>18562.75</v>
      </c>
      <c r="H873" s="572">
        <f>G873/G874-1</f>
        <v/>
      </c>
    </row>
    <row r="874">
      <c r="B874" s="269" t="n">
        <v>44890</v>
      </c>
      <c r="C874" s="270" t="n">
        <v>435.35</v>
      </c>
      <c r="D874" s="572">
        <f>C874/C875-1</f>
        <v/>
      </c>
      <c r="E874" s="270" t="n">
        <v>33839.9</v>
      </c>
      <c r="F874" s="572">
        <f>E874/E875-1</f>
        <v/>
      </c>
      <c r="G874" s="270" t="n">
        <v>18512.75</v>
      </c>
      <c r="H874" s="572">
        <f>G874/G875-1</f>
        <v/>
      </c>
    </row>
    <row r="875">
      <c r="B875" s="269" t="n">
        <v>44889</v>
      </c>
      <c r="C875" s="270" t="n">
        <v>427.88</v>
      </c>
      <c r="D875" s="572">
        <f>C875/C876-1</f>
        <v/>
      </c>
      <c r="E875" s="270" t="n">
        <v>33741.15</v>
      </c>
      <c r="F875" s="572">
        <f>E875/E876-1</f>
        <v/>
      </c>
      <c r="G875" s="270" t="n">
        <v>18484.1</v>
      </c>
      <c r="H875" s="572">
        <f>G875/G876-1</f>
        <v/>
      </c>
    </row>
    <row r="876">
      <c r="B876" s="269" t="n">
        <v>44888</v>
      </c>
      <c r="C876" s="270" t="n">
        <v>434.05</v>
      </c>
      <c r="D876" s="572">
        <f>C876/C877-1</f>
        <v/>
      </c>
      <c r="E876" s="270" t="n">
        <v>33412.21</v>
      </c>
      <c r="F876" s="572">
        <f>E876/E877-1</f>
        <v/>
      </c>
      <c r="G876" s="270" t="n">
        <v>18267.25</v>
      </c>
      <c r="H876" s="572">
        <f>G876/G877-1</f>
        <v/>
      </c>
    </row>
    <row r="877">
      <c r="B877" s="269" t="n">
        <v>44887</v>
      </c>
      <c r="C877" s="270" t="n">
        <v>432.52</v>
      </c>
      <c r="D877" s="572">
        <f>C877/C878-1</f>
        <v/>
      </c>
      <c r="E877" s="270" t="n">
        <v>33506.16</v>
      </c>
      <c r="F877" s="572">
        <f>E877/E878-1</f>
        <v/>
      </c>
      <c r="G877" s="270" t="n">
        <v>18244.2</v>
      </c>
      <c r="H877" s="572">
        <f>G877/G878-1</f>
        <v/>
      </c>
    </row>
    <row r="878">
      <c r="B878" s="269" t="n">
        <v>44886</v>
      </c>
      <c r="C878" s="270" t="n">
        <v>431.98</v>
      </c>
      <c r="D878" s="572">
        <f>C878/C879-1</f>
        <v/>
      </c>
      <c r="E878" s="270" t="n">
        <v>33326.77</v>
      </c>
      <c r="F878" s="572">
        <f>E878/E879-1</f>
        <v/>
      </c>
      <c r="G878" s="270" t="n">
        <v>18159.95</v>
      </c>
      <c r="H878" s="572">
        <f>G878/G879-1</f>
        <v/>
      </c>
    </row>
    <row r="879">
      <c r="B879" s="269" t="n">
        <v>44883</v>
      </c>
      <c r="C879" s="270" t="n">
        <v>453.17</v>
      </c>
      <c r="D879" s="572">
        <f>C879/C880-1</f>
        <v/>
      </c>
      <c r="E879" s="270" t="n">
        <v>33372.59</v>
      </c>
      <c r="F879" s="572">
        <f>E879/E880-1</f>
        <v/>
      </c>
      <c r="G879" s="270" t="n">
        <v>18307.65</v>
      </c>
      <c r="H879" s="572">
        <f>G879/G880-1</f>
        <v/>
      </c>
    </row>
    <row r="880">
      <c r="B880" s="269" t="n">
        <v>44882</v>
      </c>
      <c r="C880" s="270" t="n">
        <v>469.73</v>
      </c>
      <c r="D880" s="572">
        <f>C880/C881-1</f>
        <v/>
      </c>
      <c r="E880" s="270" t="n">
        <v>33570.59</v>
      </c>
      <c r="F880" s="572">
        <f>E880/E881-1</f>
        <v/>
      </c>
      <c r="G880" s="270" t="n">
        <v>18343.9</v>
      </c>
      <c r="H880" s="572">
        <f>G880/G881-1</f>
        <v/>
      </c>
    </row>
    <row r="881">
      <c r="B881" s="269" t="n">
        <v>44881</v>
      </c>
      <c r="C881" s="270" t="n">
        <v>465</v>
      </c>
      <c r="D881" s="572">
        <f>C881/C882-1</f>
        <v/>
      </c>
      <c r="E881" s="270" t="n">
        <v>33238.05</v>
      </c>
      <c r="F881" s="572">
        <f>E881/E882-1</f>
        <v/>
      </c>
      <c r="G881" s="270" t="n">
        <v>18409.65</v>
      </c>
      <c r="H881" s="572">
        <f>G881/G882-1</f>
        <v/>
      </c>
    </row>
    <row r="882">
      <c r="B882" s="269" t="n">
        <v>44880</v>
      </c>
      <c r="C882" s="270" t="n">
        <v>442.83</v>
      </c>
      <c r="D882" s="572">
        <f>C882/C883-1</f>
        <v/>
      </c>
      <c r="E882" s="270" t="n">
        <v>33120.1</v>
      </c>
      <c r="F882" s="572">
        <f>E882/E883-1</f>
        <v/>
      </c>
      <c r="G882" s="270" t="n">
        <v>18403.4</v>
      </c>
      <c r="H882" s="572">
        <f>G882/G883-1</f>
        <v/>
      </c>
    </row>
    <row r="883">
      <c r="B883" s="269" t="n">
        <v>44879</v>
      </c>
      <c r="C883" s="270" t="n">
        <v>437.05</v>
      </c>
      <c r="D883" s="572">
        <f>C883/C884-1</f>
        <v/>
      </c>
      <c r="E883" s="270" t="n">
        <v>33188.45</v>
      </c>
      <c r="F883" s="572">
        <f>E883/E884-1</f>
        <v/>
      </c>
      <c r="G883" s="270" t="n">
        <v>18329.15</v>
      </c>
      <c r="H883" s="572">
        <f>G883/G884-1</f>
        <v/>
      </c>
    </row>
    <row r="884">
      <c r="B884" s="269" t="n">
        <v>44876</v>
      </c>
      <c r="C884" s="270" t="n">
        <v>437.77</v>
      </c>
      <c r="D884" s="572">
        <f>C884/C885-1</f>
        <v/>
      </c>
      <c r="E884" s="270" t="n">
        <v>33409.82</v>
      </c>
      <c r="F884" s="572">
        <f>E884/E885-1</f>
        <v/>
      </c>
      <c r="G884" s="270" t="n">
        <v>18349.7</v>
      </c>
      <c r="H884" s="572">
        <f>G884/G885-1</f>
        <v/>
      </c>
    </row>
    <row r="885">
      <c r="B885" s="269" t="n">
        <v>44875</v>
      </c>
      <c r="C885" s="270" t="n">
        <v>435.35</v>
      </c>
      <c r="D885" s="572">
        <f>C885/C886-1</f>
        <v/>
      </c>
      <c r="E885" s="270" t="n">
        <v>33073.06</v>
      </c>
      <c r="F885" s="572">
        <f>E885/E886-1</f>
        <v/>
      </c>
      <c r="G885" s="270" t="n">
        <v>18028.2</v>
      </c>
      <c r="H885" s="572">
        <f>G885/G886-1</f>
        <v/>
      </c>
    </row>
    <row r="886">
      <c r="B886" s="269" t="n">
        <v>44874</v>
      </c>
      <c r="C886" s="270" t="n">
        <v>425.23</v>
      </c>
      <c r="D886" s="572">
        <f>C886/C887-1</f>
        <v/>
      </c>
      <c r="E886" s="270" t="n">
        <v>33351.68</v>
      </c>
      <c r="F886" s="572">
        <f>E886/E887-1</f>
        <v/>
      </c>
      <c r="G886" s="270" t="n">
        <v>18157</v>
      </c>
      <c r="H886" s="572">
        <f>G886/G887-1</f>
        <v/>
      </c>
    </row>
    <row r="887">
      <c r="B887" s="269" t="n">
        <v>44872</v>
      </c>
      <c r="C887" s="270" t="n">
        <v>424.5</v>
      </c>
      <c r="D887" s="572">
        <f>C887/C888-1</f>
        <v/>
      </c>
      <c r="E887" s="270" t="n">
        <v>33636.3</v>
      </c>
      <c r="F887" s="572">
        <f>E887/E888-1</f>
        <v/>
      </c>
      <c r="G887" s="270" t="n">
        <v>18202.8</v>
      </c>
      <c r="H887" s="572">
        <f>G887/G888-1</f>
        <v/>
      </c>
    </row>
    <row r="888">
      <c r="B888" s="269" t="n">
        <v>44869</v>
      </c>
      <c r="C888" s="270" t="n">
        <v>422.62</v>
      </c>
      <c r="D888" s="572">
        <f>C888/C889-1</f>
        <v/>
      </c>
      <c r="E888" s="270" t="n">
        <v>33521.95</v>
      </c>
      <c r="F888" s="572">
        <f>E888/E889-1</f>
        <v/>
      </c>
      <c r="G888" s="270" t="n">
        <v>18117.15</v>
      </c>
      <c r="H888" s="572">
        <f>G888/G889-1</f>
        <v/>
      </c>
    </row>
    <row r="889">
      <c r="B889" s="269" t="n">
        <v>44868</v>
      </c>
      <c r="C889" s="270" t="n">
        <v>424.95</v>
      </c>
      <c r="D889" s="572">
        <f>C889/C890-1</f>
        <v/>
      </c>
      <c r="E889" s="270" t="n">
        <v>33353.05</v>
      </c>
      <c r="F889" s="572">
        <f>E889/E890-1</f>
        <v/>
      </c>
      <c r="G889" s="270" t="n">
        <v>18052.7</v>
      </c>
      <c r="H889" s="572">
        <f>G889/G890-1</f>
        <v/>
      </c>
    </row>
    <row r="890">
      <c r="B890" s="269" t="n">
        <v>44867</v>
      </c>
      <c r="C890" s="270" t="n">
        <v>423.02</v>
      </c>
      <c r="D890" s="572">
        <f>C890/C891-1</f>
        <v/>
      </c>
      <c r="E890" s="270" t="n">
        <v>33321.46</v>
      </c>
      <c r="F890" s="572">
        <f>E890/E891-1</f>
        <v/>
      </c>
      <c r="G890" s="270" t="n">
        <v>18082.85</v>
      </c>
      <c r="H890" s="572">
        <f>G890/G891-1</f>
        <v/>
      </c>
    </row>
    <row r="891">
      <c r="B891" s="269" t="n">
        <v>44866</v>
      </c>
      <c r="C891" s="270" t="n">
        <v>421.12</v>
      </c>
      <c r="D891" s="572">
        <f>C891/C892-1</f>
        <v/>
      </c>
      <c r="E891" s="270" t="n">
        <v>33470.38</v>
      </c>
      <c r="F891" s="572">
        <f>E891/E892-1</f>
        <v/>
      </c>
      <c r="G891" s="270" t="n">
        <v>18145.4</v>
      </c>
      <c r="H891" s="572">
        <f>G891/G892-1</f>
        <v/>
      </c>
    </row>
    <row r="892">
      <c r="B892" s="269" t="n">
        <v>44865</v>
      </c>
      <c r="C892" s="270" t="n">
        <v>422.27</v>
      </c>
      <c r="D892" s="572">
        <f>C892/C893-1</f>
        <v/>
      </c>
      <c r="E892" s="270" t="n">
        <v>33266.16</v>
      </c>
      <c r="F892" s="572">
        <f>E892/E893-1</f>
        <v/>
      </c>
      <c r="G892" s="270" t="n">
        <v>18012.2</v>
      </c>
      <c r="H892" s="572">
        <f>G892/G893-1</f>
        <v/>
      </c>
    </row>
    <row r="893">
      <c r="B893" s="269" t="n">
        <v>44862</v>
      </c>
      <c r="C893" s="270" t="n">
        <v>420</v>
      </c>
      <c r="D893" s="572">
        <f>C893/C894-1</f>
        <v/>
      </c>
      <c r="E893" s="270" t="n">
        <v>32761.68</v>
      </c>
      <c r="F893" s="572">
        <f>E893/E894-1</f>
        <v/>
      </c>
      <c r="G893" s="270" t="n">
        <v>17786.8</v>
      </c>
      <c r="H893" s="572">
        <f>G893/G894-1</f>
        <v/>
      </c>
    </row>
    <row r="894">
      <c r="B894" s="269" t="n">
        <v>44861</v>
      </c>
      <c r="C894" s="270" t="n">
        <v>419.58</v>
      </c>
      <c r="D894" s="572">
        <f>C894/C895-1</f>
        <v/>
      </c>
      <c r="E894" s="270" t="n">
        <v>32819.06</v>
      </c>
      <c r="F894" s="572">
        <f>E894/E895-1</f>
        <v/>
      </c>
      <c r="G894" s="270" t="n">
        <v>17736.95</v>
      </c>
      <c r="H894" s="572">
        <f>G894/G895-1</f>
        <v/>
      </c>
    </row>
    <row r="895">
      <c r="B895" s="269" t="n">
        <v>44859</v>
      </c>
      <c r="C895" s="270" t="n">
        <v>421.2</v>
      </c>
      <c r="D895" s="572">
        <f>C895/C896-1</f>
        <v/>
      </c>
      <c r="E895" s="270" t="n">
        <v>32580.42</v>
      </c>
      <c r="F895" s="572">
        <f>E895/E896-1</f>
        <v/>
      </c>
      <c r="G895" s="270" t="n">
        <v>17656.35</v>
      </c>
      <c r="H895" s="572">
        <f>G895/G896-1</f>
        <v/>
      </c>
    </row>
    <row r="896">
      <c r="B896" s="269" t="n">
        <v>44858</v>
      </c>
      <c r="C896" s="270" t="n">
        <v>425.65</v>
      </c>
      <c r="D896" s="572">
        <f>C896/C897-1</f>
        <v/>
      </c>
      <c r="E896" s="270" t="n">
        <v>32179.91</v>
      </c>
      <c r="F896" s="572">
        <f>E896/E897-1</f>
        <v/>
      </c>
      <c r="G896" s="270" t="n">
        <v>17730.75</v>
      </c>
      <c r="H896" s="572">
        <f>G896/G897-1</f>
        <v/>
      </c>
    </row>
    <row r="897">
      <c r="B897" s="269" t="n">
        <v>44855</v>
      </c>
      <c r="C897" s="270" t="n">
        <v>425.3</v>
      </c>
      <c r="D897" s="572">
        <f>C897/C898-1</f>
        <v/>
      </c>
      <c r="E897" s="270" t="n">
        <v>31739.02</v>
      </c>
      <c r="F897" s="572">
        <f>E897/E898-1</f>
        <v/>
      </c>
      <c r="G897" s="270" t="n">
        <v>17576.3</v>
      </c>
      <c r="H897" s="572">
        <f>G897/G898-1</f>
        <v/>
      </c>
    </row>
    <row r="898">
      <c r="B898" s="269" t="n">
        <v>44854</v>
      </c>
      <c r="C898" s="270" t="n">
        <v>424.92</v>
      </c>
      <c r="D898" s="572">
        <f>C898/C899-1</f>
        <v/>
      </c>
      <c r="E898" s="270" t="n">
        <v>32099.52</v>
      </c>
      <c r="F898" s="572">
        <f>E898/E899-1</f>
        <v/>
      </c>
      <c r="G898" s="270" t="n">
        <v>17563.95</v>
      </c>
      <c r="H898" s="572">
        <f>G898/G899-1</f>
        <v/>
      </c>
    </row>
    <row r="899">
      <c r="B899" s="269" t="n">
        <v>44853</v>
      </c>
      <c r="C899" s="270" t="n">
        <v>431.08</v>
      </c>
      <c r="D899" s="572">
        <f>C899/C900-1</f>
        <v/>
      </c>
      <c r="E899" s="270" t="n">
        <v>32267.35</v>
      </c>
      <c r="F899" s="572">
        <f>E899/E900-1</f>
        <v/>
      </c>
      <c r="G899" s="270" t="n">
        <v>17512.25</v>
      </c>
      <c r="H899" s="572">
        <f>G899/G900-1</f>
        <v/>
      </c>
    </row>
    <row r="900">
      <c r="B900" s="269" t="n">
        <v>44852</v>
      </c>
      <c r="C900" s="270" t="n">
        <v>428.5</v>
      </c>
      <c r="D900" s="572">
        <f>C900/C901-1</f>
        <v/>
      </c>
      <c r="E900" s="270" t="n">
        <v>32228.99</v>
      </c>
      <c r="F900" s="572">
        <f>E900/E901-1</f>
        <v/>
      </c>
      <c r="G900" s="270" t="n">
        <v>17486.95</v>
      </c>
      <c r="H900" s="572">
        <f>G900/G901-1</f>
        <v/>
      </c>
    </row>
    <row r="901">
      <c r="B901" s="269" t="n">
        <v>44851</v>
      </c>
      <c r="C901" s="270" t="n">
        <v>426.83</v>
      </c>
      <c r="D901" s="572">
        <f>C901/C902-1</f>
        <v/>
      </c>
      <c r="E901" s="270" t="n">
        <v>31607.69</v>
      </c>
      <c r="F901" s="572">
        <f>E901/E902-1</f>
        <v/>
      </c>
      <c r="G901" s="270" t="n">
        <v>17311.8</v>
      </c>
      <c r="H901" s="572">
        <f>G901/G902-1</f>
        <v/>
      </c>
    </row>
    <row r="902">
      <c r="B902" s="269" t="n">
        <v>44848</v>
      </c>
      <c r="C902" s="270" t="n">
        <v>433.3</v>
      </c>
      <c r="D902" s="572">
        <f>C902/C903-1</f>
        <v/>
      </c>
      <c r="E902" s="270" t="n">
        <v>31670.4</v>
      </c>
      <c r="F902" s="572">
        <f>E902/E903-1</f>
        <v/>
      </c>
      <c r="G902" s="270" t="n">
        <v>17185.7</v>
      </c>
      <c r="H902" s="572">
        <f>G902/G903-1</f>
        <v/>
      </c>
    </row>
    <row r="903">
      <c r="B903" s="269" t="n">
        <v>44847</v>
      </c>
      <c r="C903" s="270" t="n">
        <v>448.25</v>
      </c>
      <c r="D903" s="572">
        <f>C903/C904-1</f>
        <v/>
      </c>
      <c r="E903" s="270" t="n">
        <v>31447.95</v>
      </c>
      <c r="F903" s="572">
        <f>E903/E904-1</f>
        <v/>
      </c>
      <c r="G903" s="270" t="n">
        <v>17014.35</v>
      </c>
      <c r="H903" s="572">
        <f>G903/G904-1</f>
        <v/>
      </c>
    </row>
    <row r="904">
      <c r="B904" s="269" t="n">
        <v>44846</v>
      </c>
      <c r="C904" s="270" t="n">
        <v>439.48</v>
      </c>
      <c r="D904" s="572">
        <f>C904/C905-1</f>
        <v/>
      </c>
      <c r="E904" s="270" t="n">
        <v>31836.07</v>
      </c>
      <c r="F904" s="572">
        <f>E904/E905-1</f>
        <v/>
      </c>
      <c r="G904" s="270" t="n">
        <v>17123.6</v>
      </c>
      <c r="H904" s="572">
        <f>G904/G905-1</f>
        <v/>
      </c>
    </row>
    <row r="905">
      <c r="B905" s="269" t="n">
        <v>44845</v>
      </c>
      <c r="C905" s="270" t="n">
        <v>433.58</v>
      </c>
      <c r="D905" s="572">
        <f>C905/C906-1</f>
        <v/>
      </c>
      <c r="E905" s="270" t="n">
        <v>31601.11</v>
      </c>
      <c r="F905" s="572">
        <f>E905/E906-1</f>
        <v/>
      </c>
      <c r="G905" s="270" t="n">
        <v>16983.55</v>
      </c>
      <c r="H905" s="572">
        <f>G905/G906-1</f>
        <v/>
      </c>
    </row>
    <row r="906">
      <c r="B906" s="269" t="n">
        <v>44844</v>
      </c>
      <c r="C906" s="270" t="n">
        <v>445.08</v>
      </c>
      <c r="D906" s="572">
        <f>C906/C907-1</f>
        <v/>
      </c>
      <c r="E906" s="270" t="n">
        <v>32030.18</v>
      </c>
      <c r="F906" s="572">
        <f>E906/E907-1</f>
        <v/>
      </c>
      <c r="G906" s="270" t="n">
        <v>17241</v>
      </c>
      <c r="H906" s="572">
        <f>G906/G907-1</f>
        <v/>
      </c>
    </row>
    <row r="907">
      <c r="B907" s="269" t="n">
        <v>44841</v>
      </c>
      <c r="C907" s="270" t="n">
        <v>448.2</v>
      </c>
      <c r="D907" s="572">
        <f>C907/C908-1</f>
        <v/>
      </c>
      <c r="E907" s="270" t="n">
        <v>32346.02</v>
      </c>
      <c r="F907" s="572">
        <f>E907/E908-1</f>
        <v/>
      </c>
      <c r="G907" s="270" t="n">
        <v>17314.65</v>
      </c>
      <c r="H907" s="572">
        <f>G907/G908-1</f>
        <v/>
      </c>
    </row>
    <row r="908">
      <c r="B908" s="269" t="n">
        <v>44840</v>
      </c>
      <c r="C908" s="270" t="n">
        <v>441.83</v>
      </c>
      <c r="D908" s="572">
        <f>C908/C909-1</f>
        <v/>
      </c>
      <c r="E908" s="270" t="n">
        <v>32231.61</v>
      </c>
      <c r="F908" s="572">
        <f>E908/E909-1</f>
        <v/>
      </c>
      <c r="G908" s="270" t="n">
        <v>17331.8</v>
      </c>
      <c r="H908" s="572">
        <f>G908/G909-1</f>
        <v/>
      </c>
    </row>
    <row r="909">
      <c r="B909" s="269" t="n">
        <v>44838</v>
      </c>
      <c r="C909" s="270" t="n">
        <v>426.65</v>
      </c>
      <c r="D909" s="572">
        <f>C909/C910-1</f>
        <v/>
      </c>
      <c r="E909" s="270" t="n">
        <v>31494.42</v>
      </c>
      <c r="F909" s="572">
        <f>E909/E910-1</f>
        <v/>
      </c>
      <c r="G909" s="270" t="n">
        <v>17274.3</v>
      </c>
      <c r="H909" s="572">
        <f>G909/G910-1</f>
        <v/>
      </c>
    </row>
    <row r="910">
      <c r="B910" s="269" t="n">
        <v>44837</v>
      </c>
      <c r="C910" s="270" t="n">
        <v>425.2</v>
      </c>
      <c r="D910" s="572">
        <f>C910/C911-1</f>
        <v/>
      </c>
      <c r="E910" s="270" t="n">
        <v>30780.44</v>
      </c>
      <c r="F910" s="572">
        <f>E910/E911-1</f>
        <v/>
      </c>
      <c r="G910" s="270" t="n">
        <v>16887.35</v>
      </c>
      <c r="H910" s="572">
        <f>G910/G911-1</f>
        <v/>
      </c>
    </row>
    <row r="911">
      <c r="B911" s="269" t="n">
        <v>44834</v>
      </c>
      <c r="C911" s="270" t="n">
        <v>413.12</v>
      </c>
      <c r="D911" s="572">
        <f>C911/C912-1</f>
        <v/>
      </c>
      <c r="E911" s="270" t="n">
        <v>31217.82</v>
      </c>
      <c r="F911" s="572">
        <f>E911/E912-1</f>
        <v/>
      </c>
      <c r="G911" s="270" t="n">
        <v>17094.35</v>
      </c>
      <c r="H911" s="572">
        <f>G911/G912-1</f>
        <v/>
      </c>
    </row>
    <row r="912">
      <c r="B912" s="269" t="n">
        <v>44833</v>
      </c>
      <c r="C912" s="270" t="n">
        <v>408.92</v>
      </c>
      <c r="D912" s="572">
        <f>C912/C913-1</f>
        <v/>
      </c>
      <c r="E912" s="270" t="n">
        <v>30683.66</v>
      </c>
      <c r="F912" s="572">
        <f>E912/E913-1</f>
        <v/>
      </c>
      <c r="G912" s="270" t="n">
        <v>16818.1</v>
      </c>
      <c r="H912" s="572">
        <f>G912/G913-1</f>
        <v/>
      </c>
    </row>
    <row r="913">
      <c r="B913" s="269" t="n">
        <v>44832</v>
      </c>
      <c r="C913" s="270" t="n">
        <v>405.23</v>
      </c>
      <c r="D913" s="572">
        <f>C913/C914-1</f>
        <v/>
      </c>
      <c r="E913" s="270" t="n">
        <v>30678.43</v>
      </c>
      <c r="F913" s="572">
        <f>E913/E914-1</f>
        <v/>
      </c>
      <c r="G913" s="270" t="n">
        <v>16858.6</v>
      </c>
      <c r="H913" s="572">
        <f>G913/G914-1</f>
        <v/>
      </c>
    </row>
    <row r="914">
      <c r="B914" s="269" t="n">
        <v>44831</v>
      </c>
      <c r="C914" s="270" t="n">
        <v>421.1</v>
      </c>
      <c r="D914" s="572">
        <f>C914/C915-1</f>
        <v/>
      </c>
      <c r="E914" s="270" t="n">
        <v>30817.11</v>
      </c>
      <c r="F914" s="572">
        <f>E914/E915-1</f>
        <v/>
      </c>
      <c r="G914" s="270" t="n">
        <v>17007.4</v>
      </c>
      <c r="H914" s="572">
        <f>G914/G915-1</f>
        <v/>
      </c>
    </row>
    <row r="915">
      <c r="B915" s="269" t="n">
        <v>44830</v>
      </c>
      <c r="C915" s="270" t="n">
        <v>420.1</v>
      </c>
      <c r="D915" s="572">
        <f>C915/C916-1</f>
        <v/>
      </c>
      <c r="E915" s="270" t="n">
        <v>31036.48</v>
      </c>
      <c r="F915" s="572">
        <f>E915/E916-1</f>
        <v/>
      </c>
      <c r="G915" s="270" t="n">
        <v>17016.3</v>
      </c>
      <c r="H915" s="572">
        <f>G915/G916-1</f>
        <v/>
      </c>
    </row>
    <row r="916">
      <c r="B916" s="269" t="n">
        <v>44827</v>
      </c>
      <c r="C916" s="270" t="n">
        <v>453.2</v>
      </c>
      <c r="D916" s="572">
        <f>C916/C917-1</f>
        <v/>
      </c>
      <c r="E916" s="270" t="n">
        <v>31697.86</v>
      </c>
      <c r="F916" s="572">
        <f>E916/E917-1</f>
        <v/>
      </c>
      <c r="G916" s="270" t="n">
        <v>17327.35</v>
      </c>
      <c r="H916" s="572">
        <f>G916/G917-1</f>
        <v/>
      </c>
    </row>
    <row r="917">
      <c r="B917" s="269" t="n">
        <v>44826</v>
      </c>
      <c r="C917" s="270" t="n">
        <v>459.6</v>
      </c>
      <c r="D917" s="572">
        <f>C917/C918-1</f>
        <v/>
      </c>
      <c r="E917" s="270" t="n">
        <v>32364.28</v>
      </c>
      <c r="F917" s="572">
        <f>E917/E918-1</f>
        <v/>
      </c>
      <c r="G917" s="270" t="n">
        <v>17629.8</v>
      </c>
      <c r="H917" s="572">
        <f>G917/G918-1</f>
        <v/>
      </c>
    </row>
    <row r="918">
      <c r="B918" s="269" t="n">
        <v>44825</v>
      </c>
      <c r="C918" s="270" t="n">
        <v>458.88</v>
      </c>
      <c r="D918" s="572">
        <f>C918/C919-1</f>
        <v/>
      </c>
      <c r="E918" s="270" t="n">
        <v>32293.57</v>
      </c>
      <c r="F918" s="572">
        <f>E918/E919-1</f>
        <v/>
      </c>
      <c r="G918" s="270" t="n">
        <v>17718.35</v>
      </c>
      <c r="H918" s="572">
        <f>G918/G919-1</f>
        <v/>
      </c>
    </row>
    <row r="919">
      <c r="B919" s="269" t="n">
        <v>44824</v>
      </c>
      <c r="C919" s="270" t="n">
        <v>462.92</v>
      </c>
      <c r="D919" s="572">
        <f>C919/C920-1</f>
        <v/>
      </c>
      <c r="E919" s="270" t="n">
        <v>32737.62</v>
      </c>
      <c r="F919" s="572">
        <f>E919/E920-1</f>
        <v/>
      </c>
      <c r="G919" s="270" t="n">
        <v>17816.25</v>
      </c>
      <c r="H919" s="572">
        <f>G919/G920-1</f>
        <v/>
      </c>
    </row>
    <row r="920">
      <c r="B920" s="269" t="n">
        <v>44823</v>
      </c>
      <c r="C920" s="270" t="n">
        <v>466.4</v>
      </c>
      <c r="D920" s="572">
        <f>C920/C921-1</f>
        <v/>
      </c>
      <c r="E920" s="270" t="n">
        <v>32450.04</v>
      </c>
      <c r="F920" s="572">
        <f>E920/E921-1</f>
        <v/>
      </c>
      <c r="G920" s="270" t="n">
        <v>17622.25</v>
      </c>
      <c r="H920" s="572">
        <f>G920/G921-1</f>
        <v/>
      </c>
    </row>
    <row r="921">
      <c r="B921" s="269" t="n">
        <v>44820</v>
      </c>
      <c r="C921" s="270" t="n">
        <v>474.6</v>
      </c>
      <c r="D921" s="572">
        <f>C921/C922-1</f>
        <v/>
      </c>
      <c r="E921" s="270" t="n">
        <v>32683.27</v>
      </c>
      <c r="F921" s="572">
        <f>E921/E922-1</f>
        <v/>
      </c>
      <c r="G921" s="270" t="n">
        <v>17530.85</v>
      </c>
      <c r="H921" s="572">
        <f>G921/G922-1</f>
        <v/>
      </c>
    </row>
    <row r="922">
      <c r="B922" s="269" t="n">
        <v>44819</v>
      </c>
      <c r="C922" s="270" t="n">
        <v>491.9</v>
      </c>
      <c r="D922" s="572">
        <f>C922/C923-1</f>
        <v/>
      </c>
      <c r="E922" s="270" t="n">
        <v>33438.15</v>
      </c>
      <c r="F922" s="572">
        <f>E922/E923-1</f>
        <v/>
      </c>
      <c r="G922" s="270" t="n">
        <v>17877.4</v>
      </c>
      <c r="H922" s="572">
        <f>G922/G923-1</f>
        <v/>
      </c>
    </row>
    <row r="923">
      <c r="B923" s="269" t="n">
        <v>44818</v>
      </c>
      <c r="C923" s="270" t="n">
        <v>487.75</v>
      </c>
      <c r="D923" s="572">
        <f>C923/C924-1</f>
        <v/>
      </c>
      <c r="E923" s="270" t="n">
        <v>33562.05</v>
      </c>
      <c r="F923" s="572">
        <f>E923/E924-1</f>
        <v/>
      </c>
      <c r="G923" s="270" t="n">
        <v>18003.75</v>
      </c>
      <c r="H923" s="572">
        <f>G923/G924-1</f>
        <v/>
      </c>
    </row>
    <row r="924">
      <c r="B924" s="269" t="n">
        <v>44817</v>
      </c>
      <c r="C924" s="270" t="n">
        <v>497.83</v>
      </c>
      <c r="D924" s="572">
        <f>C924/C925-1</f>
        <v/>
      </c>
      <c r="E924" s="270" t="n">
        <v>33841.4</v>
      </c>
      <c r="F924" s="572">
        <f>E924/E925-1</f>
        <v/>
      </c>
      <c r="G924" s="270" t="n">
        <v>18070.05</v>
      </c>
      <c r="H924" s="572">
        <f>G924/G925-1</f>
        <v/>
      </c>
    </row>
    <row r="925">
      <c r="B925" s="269" t="n">
        <v>44816</v>
      </c>
      <c r="C925" s="270" t="n">
        <v>492.35</v>
      </c>
      <c r="D925" s="572">
        <f>C925/C926-1</f>
        <v/>
      </c>
      <c r="E925" s="270" t="n">
        <v>33609.51</v>
      </c>
      <c r="F925" s="572">
        <f>E925/E926-1</f>
        <v/>
      </c>
      <c r="G925" s="270" t="n">
        <v>17936.35</v>
      </c>
      <c r="H925" s="572">
        <f>G925/G926-1</f>
        <v/>
      </c>
    </row>
    <row r="926">
      <c r="B926" s="269" t="n">
        <v>44813</v>
      </c>
      <c r="C926" s="270" t="n">
        <v>470.4</v>
      </c>
      <c r="D926" s="572">
        <f>C926/C927-1</f>
        <v/>
      </c>
      <c r="E926" s="270" t="n">
        <v>33327.79</v>
      </c>
      <c r="F926" s="572">
        <f>E926/E927-1</f>
        <v/>
      </c>
      <c r="G926" s="270" t="n">
        <v>17833.35</v>
      </c>
      <c r="H926" s="572">
        <f>G926/G927-1</f>
        <v/>
      </c>
    </row>
    <row r="927">
      <c r="B927" s="269" t="n">
        <v>44812</v>
      </c>
      <c r="C927" s="270" t="n">
        <v>455.08</v>
      </c>
      <c r="D927" s="572">
        <f>C927/C928-1</f>
        <v/>
      </c>
      <c r="E927" s="270" t="n">
        <v>33441.24</v>
      </c>
      <c r="F927" s="572">
        <f>E927/E928-1</f>
        <v/>
      </c>
      <c r="G927" s="270" t="n">
        <v>17798.75</v>
      </c>
      <c r="H927" s="572">
        <f>G927/G928-1</f>
        <v/>
      </c>
    </row>
    <row r="928">
      <c r="B928" s="269" t="n">
        <v>44811</v>
      </c>
      <c r="C928" s="270" t="n">
        <v>444.35</v>
      </c>
      <c r="D928" s="572">
        <f>C928/C929-1</f>
        <v/>
      </c>
      <c r="E928" s="270" t="n">
        <v>33224.32</v>
      </c>
      <c r="F928" s="572">
        <f>E928/E929-1</f>
        <v/>
      </c>
      <c r="G928" s="270" t="n">
        <v>17624.4</v>
      </c>
      <c r="H928" s="572">
        <f>G928/G929-1</f>
        <v/>
      </c>
    </row>
    <row r="929">
      <c r="B929" s="269" t="n">
        <v>44810</v>
      </c>
      <c r="C929" s="270" t="n">
        <v>435.95</v>
      </c>
      <c r="D929" s="572">
        <f>C929/C930-1</f>
        <v/>
      </c>
      <c r="E929" s="270" t="n">
        <v>33178.3</v>
      </c>
      <c r="F929" s="572">
        <f>E929/E930-1</f>
        <v/>
      </c>
      <c r="G929" s="270" t="n">
        <v>17655.6</v>
      </c>
      <c r="H929" s="572">
        <f>G929/G930-1</f>
        <v/>
      </c>
    </row>
    <row r="930">
      <c r="B930" s="269" t="n">
        <v>44809</v>
      </c>
      <c r="C930" s="270" t="n">
        <v>441.2</v>
      </c>
      <c r="D930" s="572">
        <f>C930/C931-1</f>
        <v/>
      </c>
      <c r="E930" s="270" t="n">
        <v>33170.43</v>
      </c>
      <c r="F930" s="572">
        <f>E930/E931-1</f>
        <v/>
      </c>
      <c r="G930" s="270" t="n">
        <v>17665.8</v>
      </c>
      <c r="H930" s="572">
        <f>G930/G931-1</f>
        <v/>
      </c>
    </row>
    <row r="931">
      <c r="B931" s="269" t="n">
        <v>44806</v>
      </c>
      <c r="C931" s="270" t="n">
        <v>445.85</v>
      </c>
      <c r="D931" s="572">
        <f>C931/C932-1</f>
        <v/>
      </c>
      <c r="E931" s="270" t="n">
        <v>32818.08</v>
      </c>
      <c r="F931" s="572">
        <f>E931/E932-1</f>
        <v/>
      </c>
      <c r="G931" s="270" t="n">
        <v>17539.45</v>
      </c>
      <c r="H931" s="572">
        <f>G931/G932-1</f>
        <v/>
      </c>
    </row>
    <row r="932">
      <c r="B932" s="269" t="n">
        <v>44805</v>
      </c>
      <c r="C932" s="270" t="n">
        <v>459.55</v>
      </c>
      <c r="D932" s="572">
        <f>C932/C933-1</f>
        <v/>
      </c>
      <c r="E932" s="270" t="n">
        <v>32449.82</v>
      </c>
      <c r="F932" s="572">
        <f>E932/E933-1</f>
        <v/>
      </c>
      <c r="G932" s="270" t="n">
        <v>17542.8</v>
      </c>
      <c r="H932" s="572">
        <f>G932/G933-1</f>
        <v/>
      </c>
    </row>
    <row r="933">
      <c r="B933" s="269" t="n">
        <v>44803</v>
      </c>
      <c r="C933" s="270" t="n">
        <v>471.3</v>
      </c>
      <c r="D933" s="572">
        <f>C933/C934-1</f>
        <v/>
      </c>
      <c r="E933" s="270" t="n">
        <v>32224.78</v>
      </c>
      <c r="F933" s="572">
        <f>E933/E934-1</f>
        <v/>
      </c>
      <c r="G933" s="270" t="n">
        <v>17759.3</v>
      </c>
      <c r="H933" s="572">
        <f>G933/G934-1</f>
        <v/>
      </c>
    </row>
    <row r="934">
      <c r="B934" s="269" t="n">
        <v>44802</v>
      </c>
      <c r="C934" s="270" t="n">
        <v>462</v>
      </c>
      <c r="D934" s="572">
        <f>C934/C935-1</f>
        <v/>
      </c>
      <c r="E934" s="270" t="n">
        <v>31731.87</v>
      </c>
      <c r="F934" s="572">
        <f>E934/E935-1</f>
        <v/>
      </c>
      <c r="G934" s="270" t="n">
        <v>17312.9</v>
      </c>
      <c r="H934" s="572">
        <f>G934/G935-1</f>
        <v/>
      </c>
    </row>
    <row r="935">
      <c r="B935" s="269" t="n">
        <v>44799</v>
      </c>
      <c r="C935" s="270" t="n">
        <v>440.42</v>
      </c>
      <c r="D935" s="572">
        <f>C935/C936-1</f>
        <v/>
      </c>
      <c r="E935" s="270" t="n">
        <v>31940.68</v>
      </c>
      <c r="F935" s="572">
        <f>E935/E936-1</f>
        <v/>
      </c>
      <c r="G935" s="270" t="n">
        <v>17558.9</v>
      </c>
      <c r="H935" s="572">
        <f>G935/G936-1</f>
        <v/>
      </c>
    </row>
    <row r="936">
      <c r="B936" s="269" t="n">
        <v>44798</v>
      </c>
      <c r="C936" s="270" t="n">
        <v>446.5</v>
      </c>
      <c r="D936" s="572">
        <f>C936/C937-1</f>
        <v/>
      </c>
      <c r="E936" s="270" t="n">
        <v>31546.06</v>
      </c>
      <c r="F936" s="572">
        <f>E936/E937-1</f>
        <v/>
      </c>
      <c r="G936" s="270" t="n">
        <v>17522.45</v>
      </c>
      <c r="H936" s="572">
        <f>G936/G937-1</f>
        <v/>
      </c>
    </row>
    <row r="937">
      <c r="B937" s="269" t="n">
        <v>44797</v>
      </c>
      <c r="C937" s="270" t="n">
        <v>432.38</v>
      </c>
      <c r="D937" s="572">
        <f>C937/C938-1</f>
        <v/>
      </c>
      <c r="E937" s="270" t="n">
        <v>31587.65</v>
      </c>
      <c r="F937" s="572">
        <f>E937/E938-1</f>
        <v/>
      </c>
      <c r="G937" s="270" t="n">
        <v>17604.95</v>
      </c>
      <c r="H937" s="572">
        <f>G937/G938-1</f>
        <v/>
      </c>
    </row>
    <row r="938">
      <c r="B938" s="269" t="n">
        <v>44796</v>
      </c>
      <c r="C938" s="270" t="n">
        <v>425.92</v>
      </c>
      <c r="D938" s="572">
        <f>C938/C939-1</f>
        <v/>
      </c>
      <c r="E938" s="270" t="n">
        <v>31336.45</v>
      </c>
      <c r="F938" s="572">
        <f>E938/E939-1</f>
        <v/>
      </c>
      <c r="G938" s="270" t="n">
        <v>17577.5</v>
      </c>
      <c r="H938" s="572">
        <f>G938/G939-1</f>
        <v/>
      </c>
    </row>
    <row r="939">
      <c r="B939" s="269" t="n">
        <v>44795</v>
      </c>
      <c r="C939" s="270" t="n">
        <v>431.73</v>
      </c>
      <c r="D939" s="572">
        <f>C939/C940-1</f>
        <v/>
      </c>
      <c r="E939" s="270" t="n">
        <v>31134.58</v>
      </c>
      <c r="F939" s="572">
        <f>E939/E940-1</f>
        <v/>
      </c>
      <c r="G939" s="270" t="n">
        <v>17490.7</v>
      </c>
      <c r="H939" s="572">
        <f>G939/G940-1</f>
        <v/>
      </c>
    </row>
    <row r="940">
      <c r="B940" s="269" t="n">
        <v>44792</v>
      </c>
      <c r="C940" s="270" t="n">
        <v>430.15</v>
      </c>
      <c r="D940" s="572">
        <f>C940/C941-1</f>
        <v/>
      </c>
      <c r="E940" s="270" t="n">
        <v>31496.7</v>
      </c>
      <c r="F940" s="572">
        <f>E940/E941-1</f>
        <v/>
      </c>
      <c r="G940" s="270" t="n">
        <v>17758.45</v>
      </c>
      <c r="H940" s="572">
        <f>G940/G941-1</f>
        <v/>
      </c>
    </row>
    <row r="941">
      <c r="B941" s="269" t="n">
        <v>44791</v>
      </c>
      <c r="C941" s="270" t="n">
        <v>411.05</v>
      </c>
      <c r="D941" s="572">
        <f>C941/C942-1</f>
        <v/>
      </c>
      <c r="E941" s="270" t="n">
        <v>31397.67</v>
      </c>
      <c r="F941" s="572">
        <f>E941/E942-1</f>
        <v/>
      </c>
      <c r="G941" s="270" t="n">
        <v>17956.5</v>
      </c>
      <c r="H941" s="572">
        <f>G941/G942-1</f>
        <v/>
      </c>
    </row>
    <row r="942">
      <c r="B942" s="269" t="n">
        <v>44790</v>
      </c>
      <c r="C942" s="270" t="n">
        <v>411.02</v>
      </c>
      <c r="D942" s="572">
        <f>C942/C943-1</f>
        <v/>
      </c>
      <c r="E942" s="270" t="n">
        <v>31115.37</v>
      </c>
      <c r="F942" s="572">
        <f>E942/E943-1</f>
        <v/>
      </c>
      <c r="G942" s="270" t="n">
        <v>17944.25</v>
      </c>
      <c r="H942" s="572">
        <f>G942/G943-1</f>
        <v/>
      </c>
    </row>
    <row r="943">
      <c r="B943" s="269" t="n">
        <v>44789</v>
      </c>
      <c r="C943" s="270" t="n">
        <v>411.55</v>
      </c>
      <c r="D943" s="572">
        <f>C943/C944-1</f>
        <v/>
      </c>
      <c r="E943" s="270" t="n">
        <v>31134.98</v>
      </c>
      <c r="F943" s="572">
        <f>E943/E944-1</f>
        <v/>
      </c>
      <c r="G943" s="270" t="n">
        <v>17825.25</v>
      </c>
      <c r="H943" s="572">
        <f>G943/G944-1</f>
        <v/>
      </c>
    </row>
    <row r="944">
      <c r="B944" s="269" t="n">
        <v>44785</v>
      </c>
      <c r="C944" s="270" t="n">
        <v>419.35</v>
      </c>
      <c r="D944" s="572">
        <f>C944/C945-1</f>
        <v/>
      </c>
      <c r="E944" s="270" t="n">
        <v>30944.07</v>
      </c>
      <c r="F944" s="572">
        <f>E944/E945-1</f>
        <v/>
      </c>
      <c r="G944" s="270" t="n">
        <v>17698.15</v>
      </c>
      <c r="H944" s="572">
        <f>G944/G945-1</f>
        <v/>
      </c>
    </row>
    <row r="945">
      <c r="B945" s="269" t="n">
        <v>44784</v>
      </c>
      <c r="C945" s="270" t="n">
        <v>408.9</v>
      </c>
      <c r="D945" s="572">
        <f>C945/C946-1</f>
        <v/>
      </c>
      <c r="E945" s="270" t="n">
        <v>30983.27</v>
      </c>
      <c r="F945" s="572">
        <f>E945/E946-1</f>
        <v/>
      </c>
      <c r="G945" s="270" t="n">
        <v>17659</v>
      </c>
      <c r="H945" s="572">
        <f>G945/G946-1</f>
        <v/>
      </c>
    </row>
    <row r="946">
      <c r="B946" s="269" t="n">
        <v>44783</v>
      </c>
      <c r="C946" s="270" t="n">
        <v>404.98</v>
      </c>
      <c r="D946" s="572">
        <f>C946/C947-1</f>
        <v/>
      </c>
      <c r="E946" s="270" t="n">
        <v>30683</v>
      </c>
      <c r="F946" s="572">
        <f>E946/E947-1</f>
        <v/>
      </c>
      <c r="G946" s="270" t="n">
        <v>17534.75</v>
      </c>
      <c r="H946" s="572">
        <f>G946/G947-1</f>
        <v/>
      </c>
    </row>
    <row r="947">
      <c r="B947" s="269" t="n">
        <v>44781</v>
      </c>
      <c r="C947" s="270" t="n">
        <v>427.4</v>
      </c>
      <c r="D947" s="572">
        <f>C947/C948-1</f>
        <v/>
      </c>
      <c r="E947" s="270" t="n">
        <v>30291.39</v>
      </c>
      <c r="F947" s="572">
        <f>E947/E948-1</f>
        <v/>
      </c>
      <c r="G947" s="270" t="n">
        <v>17525.1</v>
      </c>
      <c r="H947" s="572">
        <f>G947/G948-1</f>
        <v/>
      </c>
    </row>
    <row r="948">
      <c r="B948" s="269" t="n">
        <v>44778</v>
      </c>
      <c r="C948" s="270" t="n">
        <v>425.3</v>
      </c>
      <c r="D948" s="572">
        <f>C948/C949-1</f>
        <v/>
      </c>
      <c r="E948" s="270" t="n">
        <v>29698.73</v>
      </c>
      <c r="F948" s="572">
        <f>E948/E949-1</f>
        <v/>
      </c>
      <c r="G948" s="270" t="n">
        <v>17397.5</v>
      </c>
      <c r="H948" s="572">
        <f>G948/G949-1</f>
        <v/>
      </c>
    </row>
    <row r="949">
      <c r="B949" s="269" t="n">
        <v>44777</v>
      </c>
      <c r="C949" s="270" t="n">
        <v>417.85</v>
      </c>
      <c r="D949" s="572">
        <f>C949/C950-1</f>
        <v/>
      </c>
      <c r="E949" s="270" t="n">
        <v>29742.48</v>
      </c>
      <c r="F949" s="572">
        <f>E949/E950-1</f>
        <v/>
      </c>
      <c r="G949" s="270" t="n">
        <v>17382</v>
      </c>
      <c r="H949" s="572">
        <f>G949/G950-1</f>
        <v/>
      </c>
    </row>
    <row r="950">
      <c r="B950" s="269" t="n">
        <v>44776</v>
      </c>
      <c r="C950" s="270" t="n">
        <v>423.7</v>
      </c>
      <c r="D950" s="572">
        <f>C950/C951-1</f>
        <v/>
      </c>
      <c r="E950" s="270" t="n">
        <v>29808.1</v>
      </c>
      <c r="F950" s="572">
        <f>E950/E951-1</f>
        <v/>
      </c>
      <c r="G950" s="270" t="n">
        <v>17388.15</v>
      </c>
      <c r="H950" s="572">
        <f>G950/G951-1</f>
        <v/>
      </c>
    </row>
    <row r="951">
      <c r="B951" s="269" t="n">
        <v>44775</v>
      </c>
      <c r="C951" s="270" t="n">
        <v>423.5</v>
      </c>
      <c r="D951" s="572">
        <f>C951/C952-1</f>
        <v/>
      </c>
      <c r="E951" s="270" t="n">
        <v>30053.11</v>
      </c>
      <c r="F951" s="572">
        <f>E951/E952-1</f>
        <v/>
      </c>
      <c r="G951" s="270" t="n">
        <v>17345.45</v>
      </c>
      <c r="H951" s="572">
        <f>G951/G952-1</f>
        <v/>
      </c>
    </row>
    <row r="952">
      <c r="B952" s="269" t="n">
        <v>44774</v>
      </c>
      <c r="C952" s="270" t="n">
        <v>429.7</v>
      </c>
      <c r="D952" s="572">
        <f>C952/C953-1</f>
        <v/>
      </c>
      <c r="E952" s="270" t="n">
        <v>30170.5</v>
      </c>
      <c r="F952" s="572">
        <f>E952/E953-1</f>
        <v/>
      </c>
      <c r="G952" s="270" t="n">
        <v>17340.05</v>
      </c>
      <c r="H952" s="572">
        <f>G952/G953-1</f>
        <v/>
      </c>
    </row>
    <row r="953">
      <c r="B953" s="269" t="n">
        <v>44771</v>
      </c>
      <c r="C953" s="270" t="n">
        <v>434.23</v>
      </c>
      <c r="D953" s="572">
        <f>C953/C954-1</f>
        <v/>
      </c>
      <c r="E953" s="270" t="n">
        <v>29717.26</v>
      </c>
      <c r="F953" s="572">
        <f>E953/E954-1</f>
        <v/>
      </c>
      <c r="G953" s="270" t="n">
        <v>17158.25</v>
      </c>
      <c r="H953" s="572">
        <f>G953/G954-1</f>
        <v/>
      </c>
    </row>
    <row r="954">
      <c r="B954" s="269" t="n">
        <v>44770</v>
      </c>
      <c r="C954" s="270" t="n">
        <v>422.88</v>
      </c>
      <c r="D954" s="572">
        <f>C954/C955-1</f>
        <v/>
      </c>
      <c r="E954" s="270" t="n">
        <v>29462.88</v>
      </c>
      <c r="F954" s="572">
        <f>E954/E955-1</f>
        <v/>
      </c>
      <c r="G954" s="270" t="n">
        <v>16929.6</v>
      </c>
      <c r="H954" s="572">
        <f>G954/G955-1</f>
        <v/>
      </c>
    </row>
    <row r="955">
      <c r="B955" s="269" t="n">
        <v>44769</v>
      </c>
      <c r="C955" s="270" t="n">
        <v>426.77</v>
      </c>
      <c r="D955" s="572">
        <f>C955/C956-1</f>
        <v/>
      </c>
      <c r="E955" s="270" t="n">
        <v>29270.04</v>
      </c>
      <c r="F955" s="572">
        <f>E955/E956-1</f>
        <v/>
      </c>
      <c r="G955" s="270" t="n">
        <v>16641.8</v>
      </c>
      <c r="H955" s="572">
        <f>G955/G956-1</f>
        <v/>
      </c>
    </row>
    <row r="956">
      <c r="B956" s="269" t="n">
        <v>44768</v>
      </c>
      <c r="C956" s="270" t="n">
        <v>429.88</v>
      </c>
      <c r="D956" s="572">
        <f>C956/C957-1</f>
        <v/>
      </c>
      <c r="E956" s="270" t="n">
        <v>28785.4</v>
      </c>
      <c r="F956" s="572">
        <f>E956/E957-1</f>
        <v/>
      </c>
      <c r="G956" s="270" t="n">
        <v>16483.85</v>
      </c>
      <c r="H956" s="572">
        <f>G956/G957-1</f>
        <v/>
      </c>
    </row>
    <row r="957">
      <c r="B957" s="269" t="n">
        <v>44767</v>
      </c>
      <c r="C957" s="270" t="n">
        <v>438.95</v>
      </c>
      <c r="D957" s="572">
        <f>C957/C958-1</f>
        <v/>
      </c>
      <c r="E957" s="270" t="n">
        <v>29158.55</v>
      </c>
      <c r="F957" s="572">
        <f>E957/E958-1</f>
        <v/>
      </c>
      <c r="G957" s="270" t="n">
        <v>16631</v>
      </c>
      <c r="H957" s="572">
        <f>G957/G958-1</f>
        <v/>
      </c>
    </row>
    <row r="958">
      <c r="B958" s="269" t="n">
        <v>44764</v>
      </c>
      <c r="C958" s="270" t="n">
        <v>427.65</v>
      </c>
      <c r="D958" s="572">
        <f>C958/C959-1</f>
        <v/>
      </c>
      <c r="E958" s="270" t="n">
        <v>29009.37</v>
      </c>
      <c r="F958" s="572">
        <f>E958/E959-1</f>
        <v/>
      </c>
      <c r="G958" s="270" t="n">
        <v>16719.45</v>
      </c>
      <c r="H958" s="572">
        <f>G958/G959-1</f>
        <v/>
      </c>
    </row>
    <row r="959">
      <c r="B959" s="269" t="n">
        <v>44763</v>
      </c>
      <c r="C959" s="270" t="n">
        <v>424.2</v>
      </c>
      <c r="D959" s="572">
        <f>C959/C960-1</f>
        <v/>
      </c>
      <c r="E959" s="270" t="n">
        <v>29013.84</v>
      </c>
      <c r="F959" s="572">
        <f>E959/E960-1</f>
        <v/>
      </c>
      <c r="G959" s="270" t="n">
        <v>16605.25</v>
      </c>
      <c r="H959" s="572">
        <f>G959/G960-1</f>
        <v/>
      </c>
    </row>
    <row r="960">
      <c r="B960" s="269" t="n">
        <v>44762</v>
      </c>
      <c r="C960" s="270" t="n">
        <v>418.73</v>
      </c>
      <c r="D960" s="572">
        <f>C960/C961-1</f>
        <v/>
      </c>
      <c r="E960" s="270" t="n">
        <v>28421.82</v>
      </c>
      <c r="F960" s="572">
        <f>E960/E961-1</f>
        <v/>
      </c>
      <c r="G960" s="270" t="n">
        <v>16520.85</v>
      </c>
      <c r="H960" s="572">
        <f>G960/G961-1</f>
        <v/>
      </c>
    </row>
    <row r="961">
      <c r="B961" s="269" t="n">
        <v>44761</v>
      </c>
      <c r="C961" s="270" t="n">
        <v>414.3</v>
      </c>
      <c r="D961" s="572">
        <f>C961/C962-1</f>
        <v/>
      </c>
      <c r="E961" s="270" t="n">
        <v>28302</v>
      </c>
      <c r="F961" s="572">
        <f>E961/E962-1</f>
        <v/>
      </c>
      <c r="G961" s="270" t="n">
        <v>16340.55</v>
      </c>
      <c r="H961" s="572">
        <f>G961/G962-1</f>
        <v/>
      </c>
    </row>
    <row r="962">
      <c r="B962" s="269" t="n">
        <v>44760</v>
      </c>
      <c r="C962" s="270" t="n">
        <v>417.9</v>
      </c>
      <c r="D962" s="572">
        <f>C962/C963-1</f>
        <v/>
      </c>
      <c r="E962" s="270" t="n">
        <v>28175.51</v>
      </c>
      <c r="F962" s="572">
        <f>E962/E963-1</f>
        <v/>
      </c>
      <c r="G962" s="270" t="n">
        <v>16278.5</v>
      </c>
      <c r="H962" s="572">
        <f>G962/G963-1</f>
        <v/>
      </c>
    </row>
    <row r="963">
      <c r="B963" s="269" t="n">
        <v>44757</v>
      </c>
      <c r="C963" s="270" t="n">
        <v>403.5</v>
      </c>
      <c r="D963" s="572">
        <f>C963/C964-1</f>
        <v/>
      </c>
      <c r="E963" s="270" t="n">
        <v>27634.84</v>
      </c>
      <c r="F963" s="572">
        <f>E963/E964-1</f>
        <v/>
      </c>
      <c r="G963" s="270" t="n">
        <v>16049.2</v>
      </c>
      <c r="H963" s="572">
        <f>G963/G964-1</f>
        <v/>
      </c>
    </row>
    <row r="964">
      <c r="B964" s="269" t="n">
        <v>44756</v>
      </c>
      <c r="C964" s="270" t="n">
        <v>378.62</v>
      </c>
      <c r="D964" s="572">
        <f>C964/C965-1</f>
        <v/>
      </c>
      <c r="E964" s="270" t="n">
        <v>27233.22</v>
      </c>
      <c r="F964" s="572">
        <f>E964/E965-1</f>
        <v/>
      </c>
      <c r="G964" s="270" t="n">
        <v>15938.65</v>
      </c>
      <c r="H964" s="572">
        <f>G964/G965-1</f>
        <v/>
      </c>
    </row>
    <row r="965">
      <c r="B965" s="269" t="n">
        <v>44755</v>
      </c>
      <c r="C965" s="270" t="n">
        <v>383.83</v>
      </c>
      <c r="D965" s="572">
        <f>C965/C966-1</f>
        <v/>
      </c>
      <c r="E965" s="270" t="n">
        <v>27145.99</v>
      </c>
      <c r="F965" s="572">
        <f>E965/E966-1</f>
        <v/>
      </c>
      <c r="G965" s="270" t="n">
        <v>15966.65</v>
      </c>
      <c r="H965" s="572">
        <f>G965/G966-1</f>
        <v/>
      </c>
    </row>
    <row r="966">
      <c r="B966" s="269" t="n">
        <v>44754</v>
      </c>
      <c r="C966" s="270" t="n">
        <v>384.73</v>
      </c>
      <c r="D966" s="572">
        <f>C966/C967-1</f>
        <v/>
      </c>
      <c r="E966" s="270" t="n">
        <v>27225.42</v>
      </c>
      <c r="F966" s="572">
        <f>E966/E967-1</f>
        <v/>
      </c>
      <c r="G966" s="270" t="n">
        <v>16058.3</v>
      </c>
      <c r="H966" s="572">
        <f>G966/G967-1</f>
        <v/>
      </c>
    </row>
    <row r="967">
      <c r="B967" s="269" t="n">
        <v>44753</v>
      </c>
      <c r="C967" s="270" t="n">
        <v>387.23</v>
      </c>
      <c r="D967" s="572">
        <f>C967/C968-1</f>
        <v/>
      </c>
      <c r="E967" s="270" t="n">
        <v>27476.64</v>
      </c>
      <c r="F967" s="572">
        <f>E967/E968-1</f>
        <v/>
      </c>
      <c r="G967" s="270" t="n">
        <v>16216</v>
      </c>
      <c r="H967" s="572">
        <f>G967/G968-1</f>
        <v/>
      </c>
    </row>
    <row r="968">
      <c r="B968" s="269" t="n">
        <v>44750</v>
      </c>
      <c r="C968" s="270" t="n">
        <v>394.08</v>
      </c>
      <c r="D968" s="572">
        <f>C968/C969-1</f>
        <v/>
      </c>
      <c r="E968" s="270" t="n">
        <v>27580.51</v>
      </c>
      <c r="F968" s="572">
        <f>E968/E969-1</f>
        <v/>
      </c>
      <c r="G968" s="270" t="n">
        <v>16220.6</v>
      </c>
      <c r="H968" s="572">
        <f>G968/G969-1</f>
        <v/>
      </c>
    </row>
    <row r="969">
      <c r="B969" s="269" t="n">
        <v>44749</v>
      </c>
      <c r="C969" s="270" t="n">
        <v>388.8</v>
      </c>
      <c r="D969" s="572">
        <f>C969/C970-1</f>
        <v/>
      </c>
      <c r="E969" s="270" t="n">
        <v>26979.38</v>
      </c>
      <c r="F969" s="572">
        <f>E969/E970-1</f>
        <v/>
      </c>
      <c r="G969" s="270" t="n">
        <v>16132.9</v>
      </c>
      <c r="H969" s="572">
        <f>G969/G970-1</f>
        <v/>
      </c>
    </row>
    <row r="970">
      <c r="B970" s="269" t="n">
        <v>44748</v>
      </c>
      <c r="C970" s="270" t="n">
        <v>381.9</v>
      </c>
      <c r="D970" s="572">
        <f>C970/C971-1</f>
        <v/>
      </c>
      <c r="E970" s="270" t="n">
        <v>26447.45</v>
      </c>
      <c r="F970" s="572">
        <f>E970/E971-1</f>
        <v/>
      </c>
      <c r="G970" s="270" t="n">
        <v>15989.8</v>
      </c>
      <c r="H970" s="572">
        <f>G970/G971-1</f>
        <v/>
      </c>
    </row>
    <row r="971">
      <c r="B971" s="269" t="n">
        <v>44747</v>
      </c>
      <c r="C971" s="270" t="n">
        <v>380.48</v>
      </c>
      <c r="D971" s="572">
        <f>C971/C972-1</f>
        <v/>
      </c>
      <c r="E971" s="270" t="n">
        <v>26241.59</v>
      </c>
      <c r="F971" s="572">
        <f>E971/E972-1</f>
        <v/>
      </c>
      <c r="G971" s="270" t="n">
        <v>15810.85</v>
      </c>
      <c r="H971" s="572">
        <f>G971/G972-1</f>
        <v/>
      </c>
    </row>
    <row r="972">
      <c r="B972" s="269" t="n">
        <v>44746</v>
      </c>
      <c r="C972" s="270" t="n">
        <v>385.9</v>
      </c>
      <c r="D972" s="572">
        <f>C972/C973-1</f>
        <v/>
      </c>
      <c r="E972" s="270" t="n">
        <v>26280.26</v>
      </c>
      <c r="F972" s="572">
        <f>E972/E973-1</f>
        <v/>
      </c>
      <c r="G972" s="270" t="n">
        <v>15835.35</v>
      </c>
      <c r="H972" s="572">
        <f>G972/G973-1</f>
        <v/>
      </c>
    </row>
    <row r="973">
      <c r="B973" s="269" t="n">
        <v>44743</v>
      </c>
      <c r="C973" s="270" t="n">
        <v>379.5</v>
      </c>
      <c r="D973" s="572">
        <f>C973/C974-1</f>
        <v/>
      </c>
      <c r="E973" s="270" t="n">
        <v>26027.08</v>
      </c>
      <c r="F973" s="572">
        <f>E973/E974-1</f>
        <v/>
      </c>
      <c r="G973" s="270" t="n">
        <v>15752.05</v>
      </c>
      <c r="H973" s="572">
        <f>G973/G974-1</f>
        <v/>
      </c>
    </row>
    <row r="974">
      <c r="B974" s="269" t="n">
        <v>44742</v>
      </c>
      <c r="C974" s="270" t="n">
        <v>373.7</v>
      </c>
      <c r="D974" s="572">
        <f>C974/C975-1</f>
        <v/>
      </c>
      <c r="E974" s="270" t="n">
        <v>26025.5</v>
      </c>
      <c r="F974" s="572">
        <f>E974/E975-1</f>
        <v/>
      </c>
      <c r="G974" s="270" t="n">
        <v>15780.25</v>
      </c>
      <c r="H974" s="572">
        <f>G974/G975-1</f>
        <v/>
      </c>
    </row>
    <row r="975">
      <c r="B975" s="269" t="n">
        <v>44741</v>
      </c>
      <c r="C975" s="270" t="n">
        <v>367.08</v>
      </c>
      <c r="D975" s="572">
        <f>C975/C976-1</f>
        <v/>
      </c>
      <c r="E975" s="270" t="n">
        <v>25978.59</v>
      </c>
      <c r="F975" s="572">
        <f>E975/E976-1</f>
        <v/>
      </c>
      <c r="G975" s="270" t="n">
        <v>15799.1</v>
      </c>
      <c r="H975" s="572">
        <f>G975/G976-1</f>
        <v/>
      </c>
    </row>
    <row r="976">
      <c r="B976" s="269" t="n">
        <v>44740</v>
      </c>
      <c r="C976" s="270" t="n">
        <v>361.12</v>
      </c>
      <c r="D976" s="572">
        <f>C976/C977-1</f>
        <v/>
      </c>
      <c r="E976" s="270" t="n">
        <v>26066.25</v>
      </c>
      <c r="F976" s="572">
        <f>E976/E977-1</f>
        <v/>
      </c>
      <c r="G976" s="270" t="n">
        <v>15850.2</v>
      </c>
      <c r="H976" s="572">
        <f>G976/G977-1</f>
        <v/>
      </c>
    </row>
    <row r="977">
      <c r="B977" s="269" t="n">
        <v>44739</v>
      </c>
      <c r="C977" s="270" t="n">
        <v>345.38</v>
      </c>
      <c r="D977" s="572">
        <f>C977/C978-1</f>
        <v/>
      </c>
      <c r="E977" s="270" t="n">
        <v>25943.36</v>
      </c>
      <c r="F977" s="572">
        <f>E977/E978-1</f>
        <v/>
      </c>
      <c r="G977" s="270" t="n">
        <v>15832.05</v>
      </c>
      <c r="H977" s="572">
        <f>G977/G978-1</f>
        <v/>
      </c>
    </row>
    <row r="978">
      <c r="B978" s="269" t="n">
        <v>44736</v>
      </c>
      <c r="C978" s="270" t="n">
        <v>341.5</v>
      </c>
      <c r="D978" s="572">
        <f>C978/C979-1</f>
        <v/>
      </c>
      <c r="E978" s="270" t="n">
        <v>25368.8</v>
      </c>
      <c r="F978" s="572">
        <f>E978/E979-1</f>
        <v/>
      </c>
      <c r="G978" s="270" t="n">
        <v>15699.25</v>
      </c>
      <c r="H978" s="572">
        <f>G978/G979-1</f>
        <v/>
      </c>
    </row>
    <row r="979">
      <c r="B979" s="269" t="n">
        <v>44735</v>
      </c>
      <c r="C979" s="270" t="n">
        <v>341.88</v>
      </c>
      <c r="D979" s="572">
        <f>C979/C980-1</f>
        <v/>
      </c>
      <c r="E979" s="270" t="n">
        <v>25198.2</v>
      </c>
      <c r="F979" s="572">
        <f>E979/E980-1</f>
        <v/>
      </c>
      <c r="G979" s="270" t="n">
        <v>15556.65</v>
      </c>
      <c r="H979" s="572">
        <f>G979/G980-1</f>
        <v/>
      </c>
    </row>
    <row r="980">
      <c r="B980" s="269" t="n">
        <v>44734</v>
      </c>
      <c r="C980" s="270" t="n">
        <v>334.4</v>
      </c>
      <c r="D980" s="572">
        <f>C980/C981-1</f>
        <v/>
      </c>
      <c r="E980" s="270" t="n">
        <v>24879.65</v>
      </c>
      <c r="F980" s="572">
        <f>E980/E981-1</f>
        <v/>
      </c>
      <c r="G980" s="270" t="n">
        <v>15413.3</v>
      </c>
      <c r="H980" s="572">
        <f>G980/G981-1</f>
        <v/>
      </c>
    </row>
    <row r="981">
      <c r="B981" s="269" t="n">
        <v>44733</v>
      </c>
      <c r="C981" s="270" t="n">
        <v>332.75</v>
      </c>
      <c r="D981" s="572">
        <f>C981/C982-1</f>
        <v/>
      </c>
      <c r="E981" s="270" t="n">
        <v>25242.12</v>
      </c>
      <c r="F981" s="572">
        <f>E981/E982-1</f>
        <v/>
      </c>
      <c r="G981" s="270" t="n">
        <v>15638.8</v>
      </c>
      <c r="H981" s="572">
        <f>G981/G982-1</f>
        <v/>
      </c>
    </row>
    <row r="982">
      <c r="B982" s="269" t="n">
        <v>44732</v>
      </c>
      <c r="C982" s="270" t="n">
        <v>318.6</v>
      </c>
      <c r="D982" s="572">
        <f>C982/C983-1</f>
        <v/>
      </c>
      <c r="E982" s="270" t="n">
        <v>24689.68</v>
      </c>
      <c r="F982" s="572">
        <f>E982/E983-1</f>
        <v/>
      </c>
      <c r="G982" s="270" t="n">
        <v>15350.15</v>
      </c>
      <c r="H982" s="572">
        <f>G982/G983-1</f>
        <v/>
      </c>
    </row>
    <row r="983">
      <c r="B983" s="269" t="n">
        <v>44729</v>
      </c>
      <c r="C983" s="270" t="n">
        <v>332.6</v>
      </c>
      <c r="D983" s="572">
        <f>C983/C984-1</f>
        <v/>
      </c>
      <c r="E983" s="270" t="n">
        <v>25230.66</v>
      </c>
      <c r="F983" s="572">
        <f>E983/E984-1</f>
        <v/>
      </c>
      <c r="G983" s="270" t="n">
        <v>15293.5</v>
      </c>
      <c r="H983" s="572">
        <f>G983/G984-1</f>
        <v/>
      </c>
    </row>
    <row r="984">
      <c r="B984" s="269" t="n">
        <v>44728</v>
      </c>
      <c r="C984" s="270" t="n">
        <v>327.8</v>
      </c>
      <c r="D984" s="572">
        <f>C984/C985-1</f>
        <v/>
      </c>
      <c r="E984" s="270" t="n">
        <v>25525.07</v>
      </c>
      <c r="F984" s="572">
        <f>E984/E985-1</f>
        <v/>
      </c>
      <c r="G984" s="270" t="n">
        <v>15360.6</v>
      </c>
      <c r="H984" s="572">
        <f>G984/G985-1</f>
        <v/>
      </c>
    </row>
    <row r="985">
      <c r="B985" s="269" t="n">
        <v>44727</v>
      </c>
      <c r="C985" s="270" t="n">
        <v>326.45</v>
      </c>
      <c r="D985" s="572">
        <f>C985/C986-1</f>
        <v/>
      </c>
      <c r="E985" s="270" t="n">
        <v>26133.9</v>
      </c>
      <c r="F985" s="572">
        <f>E985/E986-1</f>
        <v/>
      </c>
      <c r="G985" s="270" t="n">
        <v>15692.15</v>
      </c>
      <c r="H985" s="572">
        <f>G985/G986-1</f>
        <v/>
      </c>
    </row>
    <row r="986">
      <c r="B986" s="269" t="n">
        <v>44726</v>
      </c>
      <c r="C986" s="270" t="n">
        <v>316.2</v>
      </c>
      <c r="D986" s="572">
        <f>C986/C987-1</f>
        <v/>
      </c>
      <c r="E986" s="270" t="n">
        <v>25985.56</v>
      </c>
      <c r="F986" s="572">
        <f>E986/E987-1</f>
        <v/>
      </c>
      <c r="G986" s="270" t="n">
        <v>15732.1</v>
      </c>
      <c r="H986" s="572">
        <f>G986/G987-1</f>
        <v/>
      </c>
    </row>
    <row r="987">
      <c r="B987" s="269" t="n">
        <v>44725</v>
      </c>
      <c r="C987" s="270" t="n">
        <v>310.17</v>
      </c>
      <c r="D987" s="572">
        <f>C987/C988-1</f>
        <v/>
      </c>
      <c r="E987" s="270" t="n">
        <v>25853.16</v>
      </c>
      <c r="F987" s="572">
        <f>E987/E988-1</f>
        <v/>
      </c>
      <c r="G987" s="270" t="n">
        <v>15774.4</v>
      </c>
      <c r="H987" s="572">
        <f>G987/G988-1</f>
        <v/>
      </c>
    </row>
    <row r="988">
      <c r="B988" s="269" t="n">
        <v>44722</v>
      </c>
      <c r="C988" s="270" t="n">
        <v>331.3</v>
      </c>
      <c r="D988" s="572">
        <f>C988/C989-1</f>
        <v/>
      </c>
      <c r="E988" s="270" t="n">
        <v>26596.83</v>
      </c>
      <c r="F988" s="572">
        <f>E988/E989-1</f>
        <v/>
      </c>
      <c r="G988" s="270" t="n">
        <v>16201.8</v>
      </c>
      <c r="H988" s="572">
        <f>G988/G989-1</f>
        <v/>
      </c>
    </row>
    <row r="989">
      <c r="B989" s="269" t="n">
        <v>44721</v>
      </c>
      <c r="C989" s="270" t="n">
        <v>335.77</v>
      </c>
      <c r="D989" s="572">
        <f>C989/C990-1</f>
        <v/>
      </c>
      <c r="E989" s="270" t="n">
        <v>26696.51</v>
      </c>
      <c r="F989" s="572">
        <f>E989/E990-1</f>
        <v/>
      </c>
      <c r="G989" s="270" t="n">
        <v>16478.1</v>
      </c>
      <c r="H989" s="572">
        <f>G989/G990-1</f>
        <v/>
      </c>
    </row>
    <row r="990">
      <c r="B990" s="269" t="n">
        <v>44720</v>
      </c>
      <c r="C990" s="270" t="n">
        <v>349.85</v>
      </c>
      <c r="D990" s="572">
        <f>C990/C991-1</f>
        <v/>
      </c>
      <c r="E990" s="270" t="n">
        <v>26517.49</v>
      </c>
      <c r="F990" s="572">
        <f>E990/E991-1</f>
        <v/>
      </c>
      <c r="G990" s="270" t="n">
        <v>16356.25</v>
      </c>
      <c r="H990" s="572">
        <f>G990/G991-1</f>
        <v/>
      </c>
    </row>
    <row r="991">
      <c r="B991" s="269" t="n">
        <v>44719</v>
      </c>
      <c r="C991" s="270" t="n">
        <v>361.23</v>
      </c>
      <c r="D991" s="572">
        <f>C991/C992-1</f>
        <v/>
      </c>
      <c r="E991" s="270" t="n">
        <v>26565.89</v>
      </c>
      <c r="F991" s="572">
        <f>E991/E992-1</f>
        <v/>
      </c>
      <c r="G991" s="270" t="n">
        <v>16416.35</v>
      </c>
      <c r="H991" s="572">
        <f>G991/G992-1</f>
        <v/>
      </c>
    </row>
    <row r="992">
      <c r="B992" s="269" t="n">
        <v>44718</v>
      </c>
      <c r="C992" s="270" t="n">
        <v>364.4</v>
      </c>
      <c r="D992" s="572">
        <f>C992/C993-1</f>
        <v/>
      </c>
      <c r="E992" s="270" t="n">
        <v>26979.53</v>
      </c>
      <c r="F992" s="572">
        <f>E992/E993-1</f>
        <v/>
      </c>
      <c r="G992" s="270" t="n">
        <v>16569.55</v>
      </c>
      <c r="H992" s="572">
        <f>G992/G993-1</f>
        <v/>
      </c>
    </row>
    <row r="993">
      <c r="B993" s="269" t="n">
        <v>44715</v>
      </c>
      <c r="C993" s="270" t="n">
        <v>365</v>
      </c>
      <c r="D993" s="572">
        <f>C993/C994-1</f>
        <v/>
      </c>
      <c r="E993" s="270" t="n">
        <v>27122.36</v>
      </c>
      <c r="F993" s="572">
        <f>E993/E994-1</f>
        <v/>
      </c>
      <c r="G993" s="270" t="n">
        <v>16584.3</v>
      </c>
      <c r="H993" s="572">
        <f>G993/G994-1</f>
        <v/>
      </c>
    </row>
    <row r="994">
      <c r="B994" s="269" t="n">
        <v>44714</v>
      </c>
      <c r="C994" s="270" t="n">
        <v>369.88</v>
      </c>
      <c r="D994" s="572">
        <f>C994/C995-1</f>
        <v/>
      </c>
      <c r="E994" s="270" t="n">
        <v>27248.63</v>
      </c>
      <c r="F994" s="572">
        <f>E994/E995-1</f>
        <v/>
      </c>
      <c r="G994" s="270" t="n">
        <v>16628</v>
      </c>
      <c r="H994" s="572">
        <f>G994/G995-1</f>
        <v/>
      </c>
    </row>
    <row r="995">
      <c r="B995" s="269" t="n">
        <v>44713</v>
      </c>
      <c r="C995" s="270" t="n">
        <v>373.45</v>
      </c>
      <c r="D995" s="572">
        <f>C995/C996-1</f>
        <v/>
      </c>
      <c r="E995" s="270" t="n">
        <v>27349.4</v>
      </c>
      <c r="F995" s="572">
        <f>E995/E996-1</f>
        <v/>
      </c>
      <c r="G995" s="270" t="n">
        <v>16522.75</v>
      </c>
      <c r="H995" s="572">
        <f>G995/G996-1</f>
        <v/>
      </c>
    </row>
    <row r="996">
      <c r="B996" s="269" t="n">
        <v>44712</v>
      </c>
      <c r="C996" s="270" t="n">
        <v>384.15</v>
      </c>
      <c r="D996" s="572">
        <f>C996/C997-1</f>
        <v/>
      </c>
      <c r="E996" s="270" t="n">
        <v>27144.6</v>
      </c>
      <c r="F996" s="572">
        <f>E996/E997-1</f>
        <v/>
      </c>
      <c r="G996" s="270" t="n">
        <v>16584.55</v>
      </c>
      <c r="H996" s="572">
        <f>G996/G997-1</f>
        <v/>
      </c>
    </row>
    <row r="997">
      <c r="B997" s="269" t="n">
        <v>44711</v>
      </c>
      <c r="C997" s="270" t="n">
        <v>376.6</v>
      </c>
      <c r="D997" s="572">
        <f>C997/C998-1</f>
        <v/>
      </c>
      <c r="E997" s="270" t="n">
        <v>27006.15</v>
      </c>
      <c r="F997" s="572">
        <f>E997/E998-1</f>
        <v/>
      </c>
      <c r="G997" s="270" t="n">
        <v>16661.4</v>
      </c>
      <c r="H997" s="572">
        <f>G997/G998-1</f>
        <v/>
      </c>
    </row>
    <row r="998">
      <c r="B998" s="269" t="n">
        <v>44708</v>
      </c>
      <c r="C998" s="270" t="n">
        <v>370.05</v>
      </c>
      <c r="D998" s="572">
        <f>C998/C999-1</f>
        <v/>
      </c>
      <c r="E998" s="270" t="n">
        <v>26240.26</v>
      </c>
      <c r="F998" s="572">
        <f>E998/E999-1</f>
        <v/>
      </c>
      <c r="G998" s="270" t="n">
        <v>16352.45</v>
      </c>
      <c r="H998" s="572">
        <f>G998/G999-1</f>
        <v/>
      </c>
    </row>
    <row r="999">
      <c r="B999" s="269" t="n">
        <v>44707</v>
      </c>
      <c r="C999" s="270" t="n">
        <v>362.25</v>
      </c>
      <c r="D999" s="572">
        <f>C999/C1000-1</f>
        <v/>
      </c>
      <c r="E999" s="270" t="n">
        <v>25804.49</v>
      </c>
      <c r="F999" s="572">
        <f>E999/E1000-1</f>
        <v/>
      </c>
      <c r="G999" s="270" t="n">
        <v>16170.15</v>
      </c>
      <c r="H999" s="572">
        <f>G999/G1000-1</f>
        <v/>
      </c>
    </row>
    <row r="1000">
      <c r="B1000" s="269" t="n">
        <v>44706</v>
      </c>
      <c r="C1000" s="270" t="n">
        <v>370.7</v>
      </c>
      <c r="D1000" s="572">
        <f>C1000/C1001-1</f>
        <v/>
      </c>
      <c r="E1000" s="270" t="n">
        <v>25793.51</v>
      </c>
      <c r="F1000" s="572">
        <f>E1000/E1001-1</f>
        <v/>
      </c>
      <c r="G1000" s="270" t="n">
        <v>16025.8</v>
      </c>
      <c r="H1000" s="572">
        <f>G1000/G1001-1</f>
        <v/>
      </c>
    </row>
    <row r="1001">
      <c r="B1001" s="269" t="n">
        <v>44705</v>
      </c>
      <c r="C1001" s="270" t="n">
        <v>388.3</v>
      </c>
      <c r="D1001" s="572">
        <f>C1001/C1002-1</f>
        <v/>
      </c>
      <c r="E1001" s="270" t="n">
        <v>26438.42</v>
      </c>
      <c r="F1001" s="572">
        <f>E1001/E1002-1</f>
        <v/>
      </c>
      <c r="G1001" s="270" t="n">
        <v>16125.15</v>
      </c>
      <c r="H1001" s="572">
        <f>G1001/G1002-1</f>
        <v/>
      </c>
    </row>
    <row r="1002">
      <c r="B1002" s="269" t="n">
        <v>44704</v>
      </c>
      <c r="C1002" s="270" t="n">
        <v>391.5</v>
      </c>
      <c r="D1002" s="572">
        <f>C1002/C1003-1</f>
        <v/>
      </c>
      <c r="E1002" s="270" t="n">
        <v>26660</v>
      </c>
      <c r="F1002" s="572">
        <f>E1002/E1003-1</f>
        <v/>
      </c>
      <c r="G1002" s="270" t="n">
        <v>16214.7</v>
      </c>
      <c r="H1002" s="572">
        <f>G1002/G1003-1</f>
        <v/>
      </c>
    </row>
    <row r="1003">
      <c r="B1003" s="269" t="n">
        <v>44701</v>
      </c>
      <c r="C1003" s="270" t="n">
        <v>400.45</v>
      </c>
      <c r="D1003" s="572">
        <f>C1003/C1004-1</f>
        <v/>
      </c>
      <c r="E1003" s="270" t="n">
        <v>26419.73</v>
      </c>
      <c r="F1003" s="572">
        <f>E1003/E1004-1</f>
        <v/>
      </c>
      <c r="G1003" s="270" t="n">
        <v>16266.15</v>
      </c>
      <c r="H1003" s="572">
        <f>G1003/G1004-1</f>
        <v/>
      </c>
    </row>
    <row r="1004">
      <c r="B1004" s="269" t="n">
        <v>44700</v>
      </c>
      <c r="C1004" s="270" t="n">
        <v>400.77</v>
      </c>
      <c r="D1004" s="572">
        <f>C1004/C1005-1</f>
        <v/>
      </c>
      <c r="E1004" s="270" t="n">
        <v>25614.5</v>
      </c>
      <c r="F1004" s="572">
        <f>E1004/E1005-1</f>
        <v/>
      </c>
      <c r="G1004" s="270" t="n">
        <v>15809.4</v>
      </c>
      <c r="H1004" s="572">
        <f>G1004/G1005-1</f>
        <v/>
      </c>
    </row>
    <row r="1005">
      <c r="B1005" s="269" t="n">
        <v>44699</v>
      </c>
      <c r="C1005" s="270" t="n">
        <v>404.52</v>
      </c>
      <c r="D1005" s="572">
        <f>C1005/C1006-1</f>
        <v/>
      </c>
      <c r="E1005" s="270" t="n">
        <v>26037.55</v>
      </c>
      <c r="F1005" s="572">
        <f>E1005/E1006-1</f>
        <v/>
      </c>
      <c r="G1005" s="270" t="n">
        <v>16240.3</v>
      </c>
      <c r="H1005" s="572">
        <f>G1005/G1006-1</f>
        <v/>
      </c>
    </row>
    <row r="1006">
      <c r="B1006" s="269" t="n">
        <v>44698</v>
      </c>
      <c r="C1006" s="270" t="n">
        <v>404.5</v>
      </c>
      <c r="D1006" s="572">
        <f>C1006/C1007-1</f>
        <v/>
      </c>
      <c r="E1006" s="270" t="n">
        <v>26189.77</v>
      </c>
      <c r="F1006" s="572">
        <f>E1006/E1007-1</f>
        <v/>
      </c>
      <c r="G1006" s="270" t="n">
        <v>16259.3</v>
      </c>
      <c r="H1006" s="572">
        <f>G1006/G1007-1</f>
        <v/>
      </c>
    </row>
    <row r="1007">
      <c r="B1007" s="269" t="n">
        <v>44697</v>
      </c>
      <c r="C1007" s="270" t="n">
        <v>405.88</v>
      </c>
      <c r="D1007" s="572">
        <f>C1007/C1008-1</f>
        <v/>
      </c>
      <c r="E1007" s="270" t="n">
        <v>25406.19</v>
      </c>
      <c r="F1007" s="572">
        <f>E1007/E1008-1</f>
        <v/>
      </c>
      <c r="G1007" s="270" t="n">
        <v>15842.3</v>
      </c>
      <c r="H1007" s="572">
        <f>G1007/G1008-1</f>
        <v/>
      </c>
    </row>
    <row r="1008">
      <c r="B1008" s="269" t="n">
        <v>44694</v>
      </c>
      <c r="C1008" s="270" t="n">
        <v>399.17</v>
      </c>
      <c r="D1008" s="572">
        <f>C1008/C1009-1</f>
        <v/>
      </c>
      <c r="E1008" s="270" t="n">
        <v>25079.4</v>
      </c>
      <c r="F1008" s="572">
        <f>E1008/E1009-1</f>
        <v/>
      </c>
      <c r="G1008" s="270" t="n">
        <v>15782.15</v>
      </c>
      <c r="H1008" s="572">
        <f>G1008/G1009-1</f>
        <v/>
      </c>
    </row>
    <row r="1009">
      <c r="B1009" s="269" t="n">
        <v>44693</v>
      </c>
      <c r="C1009" s="270" t="n">
        <v>397.35</v>
      </c>
      <c r="D1009" s="572">
        <f>C1009/C1010-1</f>
        <v/>
      </c>
      <c r="E1009" s="270" t="n">
        <v>24892.15</v>
      </c>
      <c r="F1009" s="572">
        <f>E1009/E1010-1</f>
        <v/>
      </c>
      <c r="G1009" s="270" t="n">
        <v>15808</v>
      </c>
      <c r="H1009" s="572">
        <f>G1009/G1010-1</f>
        <v/>
      </c>
    </row>
    <row r="1010">
      <c r="B1010" s="269" t="n">
        <v>44692</v>
      </c>
      <c r="C1010" s="270" t="n">
        <v>391.42</v>
      </c>
      <c r="D1010" s="572">
        <f>C1010/C1011-1</f>
        <v/>
      </c>
      <c r="E1010" s="270" t="n">
        <v>25521.05</v>
      </c>
      <c r="F1010" s="572">
        <f>E1010/E1011-1</f>
        <v/>
      </c>
      <c r="G1010" s="270" t="n">
        <v>16167.1</v>
      </c>
      <c r="H1010" s="572">
        <f>G1010/G1011-1</f>
        <v/>
      </c>
    </row>
    <row r="1011">
      <c r="B1011" s="269" t="n">
        <v>44691</v>
      </c>
      <c r="C1011" s="270" t="n">
        <v>389.58</v>
      </c>
      <c r="D1011" s="572">
        <f>C1011/C1012-1</f>
        <v/>
      </c>
      <c r="E1011" s="270" t="n">
        <v>25942.7</v>
      </c>
      <c r="F1011" s="572">
        <f>E1011/E1012-1</f>
        <v/>
      </c>
      <c r="G1011" s="270" t="n">
        <v>16240.05</v>
      </c>
      <c r="H1011" s="572">
        <f>G1011/G1012-1</f>
        <v/>
      </c>
    </row>
    <row r="1012">
      <c r="B1012" s="269" t="n">
        <v>44690</v>
      </c>
      <c r="C1012" s="270" t="n">
        <v>402.77</v>
      </c>
      <c r="D1012" s="572">
        <f>C1012/C1013-1</f>
        <v/>
      </c>
      <c r="E1012" s="270" t="n">
        <v>26105.58</v>
      </c>
      <c r="F1012" s="572">
        <f>E1012/E1013-1</f>
        <v/>
      </c>
      <c r="G1012" s="270" t="n">
        <v>16301.85</v>
      </c>
      <c r="H1012" s="572">
        <f>G1012/G1013-1</f>
        <v/>
      </c>
    </row>
    <row r="1013">
      <c r="B1013" s="269" t="n">
        <v>44687</v>
      </c>
      <c r="C1013" s="270" t="n">
        <v>411.2</v>
      </c>
      <c r="D1013" s="572">
        <f>C1013/C1014-1</f>
        <v/>
      </c>
      <c r="E1013" s="270" t="n">
        <v>26323.94</v>
      </c>
      <c r="F1013" s="572">
        <f>E1013/E1014-1</f>
        <v/>
      </c>
      <c r="G1013" s="270" t="n">
        <v>16411.25</v>
      </c>
      <c r="H1013" s="572">
        <f>G1013/G1014-1</f>
        <v/>
      </c>
    </row>
    <row r="1014">
      <c r="B1014" s="269" t="n">
        <v>44686</v>
      </c>
      <c r="C1014" s="270" t="n">
        <v>412.67</v>
      </c>
      <c r="D1014" s="572">
        <f>C1014/C1015-1</f>
        <v/>
      </c>
      <c r="E1014" s="270" t="n">
        <v>26737.38</v>
      </c>
      <c r="F1014" s="572">
        <f>E1014/E1015-1</f>
        <v/>
      </c>
      <c r="G1014" s="270" t="n">
        <v>16682.65</v>
      </c>
      <c r="H1014" s="572">
        <f>G1014/G1015-1</f>
        <v/>
      </c>
    </row>
    <row r="1015">
      <c r="B1015" s="269" t="n">
        <v>44685</v>
      </c>
      <c r="C1015" s="270" t="n">
        <v>413.52</v>
      </c>
      <c r="D1015" s="572">
        <f>C1015/C1016-1</f>
        <v/>
      </c>
      <c r="E1015" s="270" t="n">
        <v>26484.12</v>
      </c>
      <c r="F1015" s="572">
        <f>E1015/E1016-1</f>
        <v/>
      </c>
      <c r="G1015" s="270" t="n">
        <v>16677.6</v>
      </c>
      <c r="H1015" s="572">
        <f>G1015/G1016-1</f>
        <v/>
      </c>
    </row>
    <row r="1016">
      <c r="B1016" s="269" t="n">
        <v>44683</v>
      </c>
      <c r="C1016" s="270" t="n">
        <v>422.58</v>
      </c>
      <c r="D1016" s="572">
        <f>C1016/C1017-1</f>
        <v/>
      </c>
      <c r="E1016" s="270" t="n">
        <v>27085.79</v>
      </c>
      <c r="F1016" s="572">
        <f>E1016/E1017-1</f>
        <v/>
      </c>
      <c r="G1016" s="270" t="n">
        <v>17069.1</v>
      </c>
      <c r="H1016" s="572">
        <f>G1016/G1017-1</f>
        <v/>
      </c>
    </row>
    <row r="1017">
      <c r="B1017" s="269" t="n">
        <v>44680</v>
      </c>
      <c r="C1017" s="270" t="n">
        <v>430.05</v>
      </c>
      <c r="D1017" s="572">
        <f>C1017/C1018-1</f>
        <v/>
      </c>
      <c r="E1017" s="270" t="n">
        <v>27370.68</v>
      </c>
      <c r="F1017" s="572">
        <f>E1017/E1018-1</f>
        <v/>
      </c>
      <c r="G1017" s="270" t="n">
        <v>17102.55</v>
      </c>
      <c r="H1017" s="572">
        <f>G1017/G1018-1</f>
        <v/>
      </c>
    </row>
    <row r="1018">
      <c r="B1018" s="269" t="n">
        <v>44679</v>
      </c>
      <c r="C1018" s="270" t="n">
        <v>434.83</v>
      </c>
      <c r="D1018" s="572">
        <f>C1018/C1019-1</f>
        <v/>
      </c>
      <c r="E1018" s="270" t="n">
        <v>27741.59</v>
      </c>
      <c r="F1018" s="572">
        <f>E1018/E1019-1</f>
        <v/>
      </c>
      <c r="G1018" s="270" t="n">
        <v>17245.05</v>
      </c>
      <c r="H1018" s="572">
        <f>G1018/G1019-1</f>
        <v/>
      </c>
    </row>
    <row r="1019">
      <c r="B1019" s="269" t="n">
        <v>44678</v>
      </c>
      <c r="C1019" s="270" t="n">
        <v>436.25</v>
      </c>
      <c r="D1019" s="572">
        <f>C1019/C1020-1</f>
        <v/>
      </c>
      <c r="E1019" s="270" t="n">
        <v>27336.51</v>
      </c>
      <c r="F1019" s="572">
        <f>E1019/E1020-1</f>
        <v/>
      </c>
      <c r="G1019" s="270" t="n">
        <v>17038.4</v>
      </c>
      <c r="H1019" s="572">
        <f>G1019/G1020-1</f>
        <v/>
      </c>
    </row>
    <row r="1020">
      <c r="B1020" s="269" t="n">
        <v>44677</v>
      </c>
      <c r="C1020" s="270" t="n">
        <v>435.77</v>
      </c>
      <c r="D1020" s="572">
        <f>C1020/C1021-1</f>
        <v/>
      </c>
      <c r="E1020" s="270" t="n">
        <v>27542.87</v>
      </c>
      <c r="F1020" s="572">
        <f>E1020/E1021-1</f>
        <v/>
      </c>
      <c r="G1020" s="270" t="n">
        <v>17200.8</v>
      </c>
      <c r="H1020" s="572">
        <f>G1020/G1021-1</f>
        <v/>
      </c>
    </row>
    <row r="1021">
      <c r="B1021" s="269" t="n">
        <v>44676</v>
      </c>
      <c r="C1021" s="270" t="n">
        <v>444.02</v>
      </c>
      <c r="D1021" s="572">
        <f>C1021/C1022-1</f>
        <v/>
      </c>
      <c r="E1021" s="270" t="n">
        <v>27046.54</v>
      </c>
      <c r="F1021" s="572">
        <f>E1021/E1022-1</f>
        <v/>
      </c>
      <c r="G1021" s="270" t="n">
        <v>16953.95</v>
      </c>
      <c r="H1021" s="572">
        <f>G1021/G1022-1</f>
        <v/>
      </c>
    </row>
    <row r="1022">
      <c r="B1022" s="269" t="n">
        <v>44673</v>
      </c>
      <c r="C1022" s="270" t="n">
        <v>452.27</v>
      </c>
      <c r="D1022" s="572">
        <f>C1022/C1023-1</f>
        <v/>
      </c>
      <c r="E1022" s="270" t="n">
        <v>27626.33</v>
      </c>
      <c r="F1022" s="572">
        <f>E1022/E1023-1</f>
        <v/>
      </c>
      <c r="G1022" s="270" t="n">
        <v>17171.95</v>
      </c>
      <c r="H1022" s="572">
        <f>G1022/G1023-1</f>
        <v/>
      </c>
    </row>
    <row r="1023">
      <c r="B1023" s="269" t="n">
        <v>44672</v>
      </c>
      <c r="C1023" s="270" t="n">
        <v>445.27</v>
      </c>
      <c r="D1023" s="572">
        <f>C1023/C1024-1</f>
        <v/>
      </c>
      <c r="E1023" s="270" t="n">
        <v>27902.25</v>
      </c>
      <c r="F1023" s="572">
        <f>E1023/E1024-1</f>
        <v/>
      </c>
      <c r="G1023" s="270" t="n">
        <v>17392.6</v>
      </c>
      <c r="H1023" s="572">
        <f>G1023/G1024-1</f>
        <v/>
      </c>
    </row>
    <row r="1024">
      <c r="B1024" s="269" t="n">
        <v>44671</v>
      </c>
      <c r="C1024" s="270" t="n">
        <v>444.23</v>
      </c>
      <c r="D1024" s="572">
        <f>C1024/C1025-1</f>
        <v/>
      </c>
      <c r="E1024" s="270" t="n">
        <v>27597.02</v>
      </c>
      <c r="F1024" s="572">
        <f>E1024/E1025-1</f>
        <v/>
      </c>
      <c r="G1024" s="270" t="n">
        <v>17136.55</v>
      </c>
      <c r="H1024" s="572">
        <f>G1024/G1025-1</f>
        <v/>
      </c>
    </row>
    <row r="1025">
      <c r="B1025" s="269" t="n">
        <v>44670</v>
      </c>
      <c r="C1025" s="270" t="n">
        <v>445.45</v>
      </c>
      <c r="D1025" s="572">
        <f>C1025/C1026-1</f>
        <v/>
      </c>
      <c r="E1025" s="270" t="n">
        <v>27637.38</v>
      </c>
      <c r="F1025" s="572">
        <f>E1025/E1026-1</f>
        <v/>
      </c>
      <c r="G1025" s="270" t="n">
        <v>16958.65</v>
      </c>
      <c r="H1025" s="572">
        <f>G1025/G1026-1</f>
        <v/>
      </c>
    </row>
    <row r="1026">
      <c r="B1026" s="269" t="n">
        <v>44669</v>
      </c>
      <c r="C1026" s="270" t="n">
        <v>459.7</v>
      </c>
      <c r="D1026" s="572">
        <f>C1026/C1027-1</f>
        <v/>
      </c>
      <c r="E1026" s="270" t="n">
        <v>28102.96</v>
      </c>
      <c r="F1026" s="572">
        <f>E1026/E1027-1</f>
        <v/>
      </c>
      <c r="G1026" s="270" t="n">
        <v>17173.65</v>
      </c>
      <c r="H1026" s="572">
        <f>G1026/G1027-1</f>
        <v/>
      </c>
    </row>
    <row r="1027">
      <c r="B1027" s="269" t="n">
        <v>44664</v>
      </c>
      <c r="C1027" s="270" t="n">
        <v>456.2</v>
      </c>
      <c r="D1027" s="572">
        <f>C1027/C1028-1</f>
        <v/>
      </c>
      <c r="E1027" s="270" t="n">
        <v>28283.01</v>
      </c>
      <c r="F1027" s="572">
        <f>E1027/E1028-1</f>
        <v/>
      </c>
      <c r="G1027" s="270" t="n">
        <v>17475.65</v>
      </c>
      <c r="H1027" s="572">
        <f>G1027/G1028-1</f>
        <v/>
      </c>
    </row>
    <row r="1028">
      <c r="B1028" s="269" t="n">
        <v>44663</v>
      </c>
      <c r="C1028" s="270" t="n">
        <v>460.55</v>
      </c>
      <c r="D1028" s="572">
        <f>C1028/C1029-1</f>
        <v/>
      </c>
      <c r="E1028" s="270" t="n">
        <v>28059.34</v>
      </c>
      <c r="F1028" s="572">
        <f>E1028/E1029-1</f>
        <v/>
      </c>
      <c r="G1028" s="270" t="n">
        <v>17530.3</v>
      </c>
      <c r="H1028" s="572">
        <f>G1028/G1029-1</f>
        <v/>
      </c>
    </row>
    <row r="1029">
      <c r="B1029" s="269" t="n">
        <v>44662</v>
      </c>
      <c r="C1029" s="270" t="n">
        <v>445.92</v>
      </c>
      <c r="D1029" s="572">
        <f>C1029/C1030-1</f>
        <v/>
      </c>
      <c r="E1029" s="270" t="n">
        <v>28529.55</v>
      </c>
      <c r="F1029" s="572">
        <f>E1029/E1030-1</f>
        <v/>
      </c>
      <c r="G1029" s="270" t="n">
        <v>17674.95</v>
      </c>
      <c r="H1029" s="572">
        <f>G1029/G1030-1</f>
        <v/>
      </c>
    </row>
    <row r="1030">
      <c r="B1030" s="269" t="n">
        <v>44659</v>
      </c>
      <c r="C1030" s="270" t="n">
        <v>446.2</v>
      </c>
      <c r="D1030" s="572">
        <f>C1030/C1031-1</f>
        <v/>
      </c>
      <c r="E1030" s="270" t="n">
        <v>28844.47</v>
      </c>
      <c r="F1030" s="572">
        <f>E1030/E1031-1</f>
        <v/>
      </c>
      <c r="G1030" s="270" t="n">
        <v>17784.35</v>
      </c>
      <c r="H1030" s="572">
        <f>G1030/G1031-1</f>
        <v/>
      </c>
    </row>
    <row r="1031">
      <c r="B1031" s="269" t="n">
        <v>44658</v>
      </c>
      <c r="C1031" s="270" t="n">
        <v>446.15</v>
      </c>
      <c r="D1031" s="572">
        <f>C1031/C1032-1</f>
        <v/>
      </c>
      <c r="E1031" s="270" t="n">
        <v>28615.71</v>
      </c>
      <c r="F1031" s="572">
        <f>E1031/E1032-1</f>
        <v/>
      </c>
      <c r="G1031" s="270" t="n">
        <v>17639.55</v>
      </c>
      <c r="H1031" s="572">
        <f>G1031/G1032-1</f>
        <v/>
      </c>
    </row>
    <row r="1032">
      <c r="B1032" s="269" t="n">
        <v>44657</v>
      </c>
      <c r="C1032" s="270" t="n">
        <v>437.48</v>
      </c>
      <c r="D1032" s="572">
        <f>C1032/C1033-1</f>
        <v/>
      </c>
      <c r="E1032" s="270" t="n">
        <v>28741.64</v>
      </c>
      <c r="F1032" s="572">
        <f>E1032/E1033-1</f>
        <v/>
      </c>
      <c r="G1032" s="270" t="n">
        <v>17807.65</v>
      </c>
      <c r="H1032" s="572">
        <f>G1032/G1033-1</f>
        <v/>
      </c>
    </row>
    <row r="1033">
      <c r="B1033" s="269" t="n">
        <v>44656</v>
      </c>
      <c r="C1033" s="270" t="n">
        <v>439.92</v>
      </c>
      <c r="D1033" s="572">
        <f>C1033/C1034-1</f>
        <v/>
      </c>
      <c r="E1033" s="270" t="n">
        <v>28562.84</v>
      </c>
      <c r="F1033" s="572">
        <f>E1033/E1034-1</f>
        <v/>
      </c>
      <c r="G1033" s="270" t="n">
        <v>17957.4</v>
      </c>
      <c r="H1033" s="572">
        <f>G1033/G1034-1</f>
        <v/>
      </c>
    </row>
    <row r="1034">
      <c r="B1034" s="269" t="n">
        <v>44655</v>
      </c>
      <c r="C1034" s="270" t="n">
        <v>437</v>
      </c>
      <c r="D1034" s="572">
        <f>C1034/C1035-1</f>
        <v/>
      </c>
      <c r="E1034" s="270" t="n">
        <v>28319.02</v>
      </c>
      <c r="F1034" s="572">
        <f>E1034/E1035-1</f>
        <v/>
      </c>
      <c r="G1034" s="270" t="n">
        <v>18053.4</v>
      </c>
      <c r="H1034" s="572">
        <f>G1034/G1035-1</f>
        <v/>
      </c>
    </row>
    <row r="1035">
      <c r="B1035" s="269" t="n">
        <v>44652</v>
      </c>
      <c r="C1035" s="270" t="n">
        <v>412.35</v>
      </c>
      <c r="D1035" s="572">
        <f>C1035/C1036-1</f>
        <v/>
      </c>
      <c r="E1035" s="270" t="n">
        <v>27820.13</v>
      </c>
      <c r="F1035" s="572">
        <f>E1035/E1036-1</f>
        <v/>
      </c>
      <c r="G1035" s="270" t="n">
        <v>17670.45</v>
      </c>
      <c r="H1035" s="572">
        <f>G1035/G1036-1</f>
        <v/>
      </c>
    </row>
    <row r="1036">
      <c r="B1036" s="269" t="n">
        <v>44651</v>
      </c>
      <c r="C1036" s="270" t="n">
        <v>397.17</v>
      </c>
      <c r="D1036" s="572">
        <f>C1036/C1037-1</f>
        <v/>
      </c>
      <c r="E1036" s="270" t="n">
        <v>27506.04</v>
      </c>
      <c r="F1036" s="572">
        <f>E1036/E1037-1</f>
        <v/>
      </c>
      <c r="G1036" s="270" t="n">
        <v>17464.75</v>
      </c>
      <c r="H1036" s="572">
        <f>G1036/G1037-1</f>
        <v/>
      </c>
    </row>
    <row r="1037">
      <c r="B1037" s="269" t="n">
        <v>44650</v>
      </c>
      <c r="C1037" s="270" t="n">
        <v>398.05</v>
      </c>
      <c r="D1037" s="572">
        <f>C1037/C1038-1</f>
        <v/>
      </c>
      <c r="E1037" s="270" t="n">
        <v>27440.81</v>
      </c>
      <c r="F1037" s="572">
        <f>E1037/E1038-1</f>
        <v/>
      </c>
      <c r="G1037" s="270" t="n">
        <v>17498.25</v>
      </c>
      <c r="H1037" s="572">
        <f>G1037/G1038-1</f>
        <v/>
      </c>
    </row>
    <row r="1038">
      <c r="B1038" s="269" t="n">
        <v>44649</v>
      </c>
      <c r="C1038" s="270" t="n">
        <v>395.05</v>
      </c>
      <c r="D1038" s="572">
        <f>C1038/C1039-1</f>
        <v/>
      </c>
      <c r="E1038" s="270" t="n">
        <v>27132.3</v>
      </c>
      <c r="F1038" s="572">
        <f>E1038/E1039-1</f>
        <v/>
      </c>
      <c r="G1038" s="270" t="n">
        <v>17325.3</v>
      </c>
      <c r="H1038" s="572">
        <f>G1038/G1039-1</f>
        <v/>
      </c>
    </row>
    <row r="1039">
      <c r="B1039" s="269" t="n">
        <v>44648</v>
      </c>
      <c r="C1039" s="270" t="n">
        <v>404.33</v>
      </c>
      <c r="D1039" s="572">
        <f>C1039/C1040-1</f>
        <v/>
      </c>
      <c r="E1039" s="270" t="n">
        <v>26955.97</v>
      </c>
      <c r="F1039" s="572">
        <f>E1039/E1040-1</f>
        <v/>
      </c>
      <c r="G1039" s="270" t="n">
        <v>17222</v>
      </c>
      <c r="H1039" s="572">
        <f>G1039/G1040-1</f>
        <v/>
      </c>
    </row>
    <row r="1040">
      <c r="B1040" s="269" t="n">
        <v>44645</v>
      </c>
      <c r="C1040" s="270" t="n">
        <v>416.7</v>
      </c>
      <c r="D1040" s="572">
        <f>C1040/C1041-1</f>
        <v/>
      </c>
      <c r="E1040" s="270" t="n">
        <v>27079.96</v>
      </c>
      <c r="F1040" s="572">
        <f>E1040/E1041-1</f>
        <v/>
      </c>
      <c r="G1040" s="270" t="n">
        <v>17153</v>
      </c>
      <c r="H1040" s="572">
        <f>G1040/G1041-1</f>
        <v/>
      </c>
    </row>
    <row r="1041">
      <c r="B1041" s="269" t="n">
        <v>44644</v>
      </c>
      <c r="C1041" s="270" t="n">
        <v>419.67</v>
      </c>
      <c r="D1041" s="572">
        <f>C1041/C1042-1</f>
        <v/>
      </c>
      <c r="E1041" s="270" t="n">
        <v>27340.55</v>
      </c>
      <c r="F1041" s="572">
        <f>E1041/E1042-1</f>
        <v/>
      </c>
      <c r="G1041" s="270" t="n">
        <v>17222.75</v>
      </c>
      <c r="H1041" s="572">
        <f>G1041/G1042-1</f>
        <v/>
      </c>
    </row>
    <row r="1042">
      <c r="B1042" s="269" t="n">
        <v>44643</v>
      </c>
      <c r="C1042" s="270" t="n">
        <v>419.98</v>
      </c>
      <c r="D1042" s="572">
        <f>C1042/C1043-1</f>
        <v/>
      </c>
      <c r="E1042" s="270" t="n">
        <v>27326.52</v>
      </c>
      <c r="F1042" s="572">
        <f>E1042/E1043-1</f>
        <v/>
      </c>
      <c r="G1042" s="270" t="n">
        <v>17245.65</v>
      </c>
      <c r="H1042" s="572">
        <f>G1042/G1043-1</f>
        <v/>
      </c>
    </row>
    <row r="1043">
      <c r="B1043" s="269" t="n">
        <v>44642</v>
      </c>
      <c r="C1043" s="270" t="n">
        <v>420.85</v>
      </c>
      <c r="D1043" s="572">
        <f>C1043/C1044-1</f>
        <v/>
      </c>
      <c r="E1043" s="270" t="n">
        <v>27487.74</v>
      </c>
      <c r="F1043" s="572">
        <f>E1043/E1044-1</f>
        <v/>
      </c>
      <c r="G1043" s="270" t="n">
        <v>17315.5</v>
      </c>
      <c r="H1043" s="572">
        <f>G1043/G1044-1</f>
        <v/>
      </c>
    </row>
    <row r="1044">
      <c r="B1044" s="269" t="n">
        <v>44641</v>
      </c>
      <c r="C1044" s="270" t="n">
        <v>427.62</v>
      </c>
      <c r="D1044" s="572">
        <f>C1044/C1045-1</f>
        <v/>
      </c>
      <c r="E1044" s="270" t="n">
        <v>27334.66</v>
      </c>
      <c r="F1044" s="572">
        <f>E1044/E1045-1</f>
        <v/>
      </c>
      <c r="G1044" s="270" t="n">
        <v>17117.6</v>
      </c>
      <c r="H1044" s="572">
        <f>G1044/G1045-1</f>
        <v/>
      </c>
    </row>
    <row r="1045">
      <c r="B1045" s="269" t="n">
        <v>44637</v>
      </c>
      <c r="C1045" s="270" t="n">
        <v>426</v>
      </c>
      <c r="D1045" s="572">
        <f>C1045/C1046-1</f>
        <v/>
      </c>
      <c r="E1045" s="270" t="n">
        <v>27644.48</v>
      </c>
      <c r="F1045" s="572">
        <f>E1045/E1046-1</f>
        <v/>
      </c>
      <c r="G1045" s="270" t="n">
        <v>17287.05</v>
      </c>
      <c r="H1045" s="572">
        <f>G1045/G1046-1</f>
        <v/>
      </c>
    </row>
    <row r="1046">
      <c r="B1046" s="269" t="n">
        <v>44636</v>
      </c>
      <c r="C1046" s="270" t="n">
        <v>423.48</v>
      </c>
      <c r="D1046" s="572">
        <f>C1046/C1047-1</f>
        <v/>
      </c>
      <c r="E1046" s="270" t="n">
        <v>27293.83</v>
      </c>
      <c r="F1046" s="572">
        <f>E1046/E1047-1</f>
        <v/>
      </c>
      <c r="G1046" s="270" t="n">
        <v>16975.35</v>
      </c>
      <c r="H1046" s="572">
        <f>G1046/G1047-1</f>
        <v/>
      </c>
    </row>
    <row r="1047">
      <c r="B1047" s="269" t="n">
        <v>44635</v>
      </c>
      <c r="C1047" s="270" t="n">
        <v>425.23</v>
      </c>
      <c r="D1047" s="572">
        <f>C1047/C1048-1</f>
        <v/>
      </c>
      <c r="E1047" s="270" t="n">
        <v>26988.81</v>
      </c>
      <c r="F1047" s="572">
        <f>E1047/E1048-1</f>
        <v/>
      </c>
      <c r="G1047" s="270" t="n">
        <v>16663</v>
      </c>
      <c r="H1047" s="572">
        <f>G1047/G1048-1</f>
        <v/>
      </c>
    </row>
    <row r="1048">
      <c r="B1048" s="269" t="n">
        <v>44634</v>
      </c>
      <c r="C1048" s="270" t="n">
        <v>412.62</v>
      </c>
      <c r="D1048" s="572">
        <f>C1048/C1049-1</f>
        <v/>
      </c>
      <c r="E1048" s="270" t="n">
        <v>27072.61</v>
      </c>
      <c r="F1048" s="572">
        <f>E1048/E1049-1</f>
        <v/>
      </c>
      <c r="G1048" s="270" t="n">
        <v>16871.3</v>
      </c>
      <c r="H1048" s="572">
        <f>G1048/G1049-1</f>
        <v/>
      </c>
    </row>
    <row r="1049">
      <c r="B1049" s="269" t="n">
        <v>44631</v>
      </c>
      <c r="C1049" s="270" t="n">
        <v>410.58</v>
      </c>
      <c r="D1049" s="572">
        <f>C1049/C1050-1</f>
        <v/>
      </c>
      <c r="E1049" s="270" t="n">
        <v>26943.92</v>
      </c>
      <c r="F1049" s="572">
        <f>E1049/E1050-1</f>
        <v/>
      </c>
      <c r="G1049" s="270" t="n">
        <v>16630.45</v>
      </c>
      <c r="H1049" s="572">
        <f>G1049/G1050-1</f>
        <v/>
      </c>
    </row>
    <row r="1050">
      <c r="B1050" s="269" t="n">
        <v>44630</v>
      </c>
      <c r="C1050" s="270" t="n">
        <v>416.02</v>
      </c>
      <c r="D1050" s="572">
        <f>C1050/C1051-1</f>
        <v/>
      </c>
      <c r="E1050" s="270" t="n">
        <v>26920.4</v>
      </c>
      <c r="F1050" s="572">
        <f>E1050/E1051-1</f>
        <v/>
      </c>
      <c r="G1050" s="270" t="n">
        <v>16594.9</v>
      </c>
      <c r="H1050" s="572">
        <f>G1050/G1051-1</f>
        <v/>
      </c>
    </row>
    <row r="1051">
      <c r="B1051" s="269" t="n">
        <v>44629</v>
      </c>
      <c r="C1051" s="270" t="n">
        <v>400.58</v>
      </c>
      <c r="D1051" s="572">
        <f>C1051/C1052-1</f>
        <v/>
      </c>
      <c r="E1051" s="270" t="n">
        <v>26549.01</v>
      </c>
      <c r="F1051" s="572">
        <f>E1051/E1052-1</f>
        <v/>
      </c>
      <c r="G1051" s="270" t="n">
        <v>16345.35</v>
      </c>
      <c r="H1051" s="572">
        <f>G1051/G1052-1</f>
        <v/>
      </c>
    </row>
    <row r="1052">
      <c r="B1052" s="269" t="n">
        <v>44628</v>
      </c>
      <c r="C1052" s="270" t="n">
        <v>395.45</v>
      </c>
      <c r="D1052" s="572">
        <f>C1052/C1053-1</f>
        <v/>
      </c>
      <c r="E1052" s="270" t="n">
        <v>26022.24</v>
      </c>
      <c r="F1052" s="572">
        <f>E1052/E1053-1</f>
        <v/>
      </c>
      <c r="G1052" s="270" t="n">
        <v>16013.45</v>
      </c>
      <c r="H1052" s="572">
        <f>G1052/G1053-1</f>
        <v/>
      </c>
    </row>
    <row r="1053">
      <c r="B1053" s="269" t="n">
        <v>44627</v>
      </c>
      <c r="C1053" s="270" t="n">
        <v>387.6</v>
      </c>
      <c r="D1053" s="572">
        <f>C1053/C1054-1</f>
        <v/>
      </c>
      <c r="E1053" s="270" t="n">
        <v>25709.6</v>
      </c>
      <c r="F1053" s="572">
        <f>E1053/E1054-1</f>
        <v/>
      </c>
      <c r="G1053" s="270" t="n">
        <v>15863.15</v>
      </c>
      <c r="H1053" s="572">
        <f>G1053/G1054-1</f>
        <v/>
      </c>
    </row>
    <row r="1054">
      <c r="B1054" s="269" t="n">
        <v>44624</v>
      </c>
      <c r="C1054" s="270" t="n">
        <v>409.02</v>
      </c>
      <c r="D1054" s="572">
        <f>C1054/C1055-1</f>
        <v/>
      </c>
      <c r="E1054" s="270" t="n">
        <v>26550.11</v>
      </c>
      <c r="F1054" s="572">
        <f>E1054/E1055-1</f>
        <v/>
      </c>
      <c r="G1054" s="270" t="n">
        <v>16245.35</v>
      </c>
      <c r="H1054" s="572">
        <f>G1054/G1055-1</f>
        <v/>
      </c>
    </row>
    <row r="1055">
      <c r="B1055" s="269" t="n">
        <v>44623</v>
      </c>
      <c r="C1055" s="270" t="n">
        <v>415.48</v>
      </c>
      <c r="D1055" s="572">
        <f>C1055/C1056-1</f>
        <v/>
      </c>
      <c r="E1055" s="270" t="n">
        <v>27103.86</v>
      </c>
      <c r="F1055" s="572">
        <f>E1055/E1056-1</f>
        <v/>
      </c>
      <c r="G1055" s="270" t="n">
        <v>16498.05</v>
      </c>
      <c r="H1055" s="572">
        <f>G1055/G1056-1</f>
        <v/>
      </c>
    </row>
    <row r="1056">
      <c r="B1056" s="269" t="n">
        <v>44622</v>
      </c>
      <c r="C1056" s="270" t="n">
        <v>414.02</v>
      </c>
      <c r="D1056" s="572">
        <f>C1056/C1057-1</f>
        <v/>
      </c>
      <c r="E1056" s="270" t="n">
        <v>27449.41</v>
      </c>
      <c r="F1056" s="572">
        <f>E1056/E1057-1</f>
        <v/>
      </c>
      <c r="G1056" s="270" t="n">
        <v>16605.95</v>
      </c>
      <c r="H1056" s="572">
        <f>G1056/G1057-1</f>
        <v/>
      </c>
    </row>
    <row r="1057">
      <c r="B1057" s="269" t="n">
        <v>44620</v>
      </c>
      <c r="C1057" s="270" t="n">
        <v>423.4</v>
      </c>
      <c r="D1057" s="572">
        <f>C1057/C1058-1</f>
        <v/>
      </c>
      <c r="E1057" s="270" t="n">
        <v>27658.04</v>
      </c>
      <c r="F1057" s="572">
        <f>E1057/E1058-1</f>
        <v/>
      </c>
      <c r="G1057" s="270" t="n">
        <v>16793.9</v>
      </c>
      <c r="H1057" s="572">
        <f>G1057/G1058-1</f>
        <v/>
      </c>
    </row>
    <row r="1058">
      <c r="B1058" s="269" t="n">
        <v>44617</v>
      </c>
      <c r="C1058" s="270" t="n">
        <v>406.52</v>
      </c>
      <c r="D1058" s="572">
        <f>C1058/C1059-1</f>
        <v/>
      </c>
      <c r="E1058" s="270" t="n">
        <v>27183.68</v>
      </c>
      <c r="F1058" s="572">
        <f>E1058/E1059-1</f>
        <v/>
      </c>
      <c r="G1058" s="270" t="n">
        <v>16658.4</v>
      </c>
      <c r="H1058" s="572">
        <f>G1058/G1059-1</f>
        <v/>
      </c>
    </row>
    <row r="1059">
      <c r="B1059" s="269" t="n">
        <v>44616</v>
      </c>
      <c r="C1059" s="270" t="n">
        <v>388.7</v>
      </c>
      <c r="D1059" s="572">
        <f>C1059/C1060-1</f>
        <v/>
      </c>
      <c r="E1059" s="270" t="n">
        <v>26492</v>
      </c>
      <c r="F1059" s="572">
        <f>E1059/E1060-1</f>
        <v/>
      </c>
      <c r="G1059" s="270" t="n">
        <v>16247.95</v>
      </c>
      <c r="H1059" s="572">
        <f>G1059/G1060-1</f>
        <v/>
      </c>
    </row>
    <row r="1060">
      <c r="B1060" s="269" t="n">
        <v>44615</v>
      </c>
      <c r="C1060" s="270" t="n">
        <v>415.75</v>
      </c>
      <c r="D1060" s="572">
        <f>C1060/C1061-1</f>
        <v/>
      </c>
      <c r="E1060" s="270" t="n">
        <v>27664.54</v>
      </c>
      <c r="F1060" s="572">
        <f>E1060/E1061-1</f>
        <v/>
      </c>
      <c r="G1060" s="270" t="n">
        <v>17063.25</v>
      </c>
      <c r="H1060" s="572">
        <f>G1060/G1061-1</f>
        <v/>
      </c>
    </row>
    <row r="1061">
      <c r="B1061" s="269" t="n">
        <v>44614</v>
      </c>
      <c r="C1061" s="270" t="n">
        <v>408.73</v>
      </c>
      <c r="D1061" s="572">
        <f>C1061/C1062-1</f>
        <v/>
      </c>
      <c r="E1061" s="270" t="n">
        <v>27733.16</v>
      </c>
      <c r="F1061" s="572">
        <f>E1061/E1062-1</f>
        <v/>
      </c>
      <c r="G1061" s="270" t="n">
        <v>17092.2</v>
      </c>
      <c r="H1061" s="572">
        <f>G1061/G1062-1</f>
        <v/>
      </c>
    </row>
    <row r="1062">
      <c r="B1062" s="269" t="n">
        <v>44613</v>
      </c>
      <c r="C1062" s="270" t="n">
        <v>416.45</v>
      </c>
      <c r="D1062" s="572">
        <f>C1062/C1063-1</f>
        <v/>
      </c>
      <c r="E1062" s="270" t="n">
        <v>28030.32</v>
      </c>
      <c r="F1062" s="572">
        <f>E1062/E1063-1</f>
        <v/>
      </c>
      <c r="G1062" s="270" t="n">
        <v>17206.65</v>
      </c>
      <c r="H1062" s="572">
        <f>G1062/G1063-1</f>
        <v/>
      </c>
    </row>
    <row r="1063">
      <c r="B1063" s="269" t="n">
        <v>44610</v>
      </c>
      <c r="C1063" s="270" t="n">
        <v>430.83</v>
      </c>
      <c r="D1063" s="572">
        <f>C1063/C1064-1</f>
        <v/>
      </c>
      <c r="E1063" s="270" t="n">
        <v>28432.07</v>
      </c>
      <c r="F1063" s="572">
        <f>E1063/E1064-1</f>
        <v/>
      </c>
      <c r="G1063" s="270" t="n">
        <v>17276.3</v>
      </c>
      <c r="H1063" s="572">
        <f>G1063/G1064-1</f>
        <v/>
      </c>
    </row>
    <row r="1064">
      <c r="B1064" s="269" t="n">
        <v>44609</v>
      </c>
      <c r="C1064" s="270" t="n">
        <v>428.1</v>
      </c>
      <c r="D1064" s="572">
        <f>C1064/C1065-1</f>
        <v/>
      </c>
      <c r="E1064" s="270" t="n">
        <v>28321.6</v>
      </c>
      <c r="F1064" s="572">
        <f>E1064/E1065-1</f>
        <v/>
      </c>
      <c r="G1064" s="270" t="n">
        <v>17304.6</v>
      </c>
      <c r="H1064" s="572">
        <f>G1064/G1065-1</f>
        <v/>
      </c>
    </row>
    <row r="1065">
      <c r="B1065" s="269" t="n">
        <v>44608</v>
      </c>
      <c r="C1065" s="270" t="n">
        <v>441.98</v>
      </c>
      <c r="D1065" s="572">
        <f>C1065/C1066-1</f>
        <v/>
      </c>
      <c r="E1065" s="270" t="n">
        <v>28229.36</v>
      </c>
      <c r="F1065" s="572">
        <f>E1065/E1066-1</f>
        <v/>
      </c>
      <c r="G1065" s="270" t="n">
        <v>17322.2</v>
      </c>
      <c r="H1065" s="572">
        <f>G1065/G1066-1</f>
        <v/>
      </c>
    </row>
    <row r="1066">
      <c r="B1066" s="269" t="n">
        <v>44607</v>
      </c>
      <c r="C1066" s="270" t="n">
        <v>423.27</v>
      </c>
      <c r="D1066" s="572">
        <f>C1066/C1067-1</f>
        <v/>
      </c>
      <c r="E1066" s="270" t="n">
        <v>28365.37</v>
      </c>
      <c r="F1066" s="572">
        <f>E1066/E1067-1</f>
        <v/>
      </c>
      <c r="G1066" s="270" t="n">
        <v>17352.45</v>
      </c>
      <c r="H1066" s="572">
        <f>G1066/G1067-1</f>
        <v/>
      </c>
    </row>
    <row r="1067">
      <c r="B1067" s="269" t="n">
        <v>44606</v>
      </c>
      <c r="C1067" s="270" t="n">
        <v>417.8</v>
      </c>
      <c r="D1067" s="572">
        <f>C1067/C1068-1</f>
        <v/>
      </c>
      <c r="E1067" s="270" t="n">
        <v>27535.43</v>
      </c>
      <c r="F1067" s="572">
        <f>E1067/E1068-1</f>
        <v/>
      </c>
      <c r="G1067" s="270" t="n">
        <v>16842.8</v>
      </c>
      <c r="H1067" s="572">
        <f>G1067/G1068-1</f>
        <v/>
      </c>
    </row>
    <row r="1068">
      <c r="B1068" s="269" t="n">
        <v>44603</v>
      </c>
      <c r="C1068" s="270" t="n">
        <v>449.6</v>
      </c>
      <c r="D1068" s="572">
        <f>C1068/C1069-1</f>
        <v/>
      </c>
      <c r="E1068" s="270" t="n">
        <v>28551.59</v>
      </c>
      <c r="F1068" s="572">
        <f>E1068/E1069-1</f>
        <v/>
      </c>
      <c r="G1068" s="270" t="n">
        <v>17374.75</v>
      </c>
      <c r="H1068" s="572">
        <f>G1068/G1069-1</f>
        <v/>
      </c>
    </row>
    <row r="1069">
      <c r="B1069" s="269" t="n">
        <v>44602</v>
      </c>
      <c r="C1069" s="270" t="n">
        <v>457.4</v>
      </c>
      <c r="D1069" s="572">
        <f>C1069/C1070-1</f>
        <v/>
      </c>
      <c r="E1069" s="270" t="n">
        <v>28990.58</v>
      </c>
      <c r="F1069" s="572">
        <f>E1069/E1070-1</f>
        <v/>
      </c>
      <c r="G1069" s="270" t="n">
        <v>17605.85</v>
      </c>
      <c r="H1069" s="572">
        <f>G1069/G1070-1</f>
        <v/>
      </c>
    </row>
    <row r="1070">
      <c r="B1070" s="269" t="n">
        <v>44601</v>
      </c>
      <c r="C1070" s="270" t="n">
        <v>456.65</v>
      </c>
      <c r="D1070" s="572">
        <f>C1070/C1071-1</f>
        <v/>
      </c>
      <c r="E1070" s="270" t="n">
        <v>29010.09</v>
      </c>
      <c r="F1070" s="572">
        <f>E1070/E1071-1</f>
        <v/>
      </c>
      <c r="G1070" s="270" t="n">
        <v>17463.8</v>
      </c>
      <c r="H1070" s="572">
        <f>G1070/G1071-1</f>
        <v/>
      </c>
    </row>
    <row r="1071">
      <c r="B1071" s="269" t="n">
        <v>44600</v>
      </c>
      <c r="C1071" s="270" t="n">
        <v>457.45</v>
      </c>
      <c r="D1071" s="572">
        <f>C1071/C1072-1</f>
        <v/>
      </c>
      <c r="E1071" s="270" t="n">
        <v>28731.5</v>
      </c>
      <c r="F1071" s="572">
        <f>E1071/E1072-1</f>
        <v/>
      </c>
      <c r="G1071" s="270" t="n">
        <v>17266.75</v>
      </c>
      <c r="H1071" s="572">
        <f>G1071/G1072-1</f>
        <v/>
      </c>
    </row>
    <row r="1072">
      <c r="B1072" s="269" t="n">
        <v>44599</v>
      </c>
      <c r="C1072" s="270" t="n">
        <v>463.4</v>
      </c>
      <c r="D1072" s="572">
        <f>C1072/C1073-1</f>
        <v/>
      </c>
      <c r="E1072" s="270" t="n">
        <v>29041.76</v>
      </c>
      <c r="F1072" s="572">
        <f>E1072/E1073-1</f>
        <v/>
      </c>
      <c r="G1072" s="270" t="n">
        <v>17213.6</v>
      </c>
      <c r="H1072" s="572">
        <f>G1072/G1073-1</f>
        <v/>
      </c>
    </row>
    <row r="1073">
      <c r="B1073" s="269" t="n">
        <v>44596</v>
      </c>
      <c r="C1073" s="270" t="n">
        <v>462.48</v>
      </c>
      <c r="D1073" s="572">
        <f>C1073/C1074-1</f>
        <v/>
      </c>
      <c r="E1073" s="270" t="n">
        <v>29673.16</v>
      </c>
      <c r="F1073" s="572">
        <f>E1073/E1074-1</f>
        <v/>
      </c>
      <c r="G1073" s="270" t="n">
        <v>17516.3</v>
      </c>
      <c r="H1073" s="572">
        <f>G1073/G1074-1</f>
        <v/>
      </c>
    </row>
    <row r="1074">
      <c r="B1074" s="269" t="n">
        <v>44595</v>
      </c>
      <c r="C1074" s="270" t="n">
        <v>467.23</v>
      </c>
      <c r="D1074" s="572">
        <f>C1074/C1075-1</f>
        <v/>
      </c>
      <c r="E1074" s="270" t="n">
        <v>29681.16</v>
      </c>
      <c r="F1074" s="572">
        <f>E1074/E1075-1</f>
        <v/>
      </c>
      <c r="G1074" s="270" t="n">
        <v>17560.2</v>
      </c>
      <c r="H1074" s="572">
        <f>G1074/G1075-1</f>
        <v/>
      </c>
    </row>
    <row r="1075">
      <c r="B1075" s="269" t="n">
        <v>44594</v>
      </c>
      <c r="C1075" s="270" t="n">
        <v>472.05</v>
      </c>
      <c r="D1075" s="572">
        <f>C1075/C1076-1</f>
        <v/>
      </c>
      <c r="E1075" s="270" t="n">
        <v>30114.52</v>
      </c>
      <c r="F1075" s="572">
        <f>E1075/E1076-1</f>
        <v/>
      </c>
      <c r="G1075" s="270" t="n">
        <v>17780</v>
      </c>
      <c r="H1075" s="572">
        <f>G1075/G1076-1</f>
        <v/>
      </c>
    </row>
    <row r="1076">
      <c r="B1076" s="269" t="n">
        <v>44593</v>
      </c>
      <c r="C1076" s="270" t="n">
        <v>463.4</v>
      </c>
      <c r="D1076" s="572">
        <f>C1076/C1077-1</f>
        <v/>
      </c>
      <c r="E1076" s="270" t="n">
        <v>30013.1</v>
      </c>
      <c r="F1076" s="572">
        <f>E1076/E1077-1</f>
        <v/>
      </c>
      <c r="G1076" s="270" t="n">
        <v>17576.85</v>
      </c>
      <c r="H1076" s="572">
        <f>G1076/G1077-1</f>
        <v/>
      </c>
    </row>
    <row r="1077">
      <c r="B1077" s="269" t="n">
        <v>44592</v>
      </c>
      <c r="C1077" s="270" t="n">
        <v>459.83</v>
      </c>
      <c r="D1077" s="572">
        <f>C1077/C1078-1</f>
        <v/>
      </c>
      <c r="E1077" s="270" t="n">
        <v>29158.3</v>
      </c>
      <c r="F1077" s="572">
        <f>E1077/E1078-1</f>
        <v/>
      </c>
      <c r="G1077" s="270" t="n">
        <v>17339.85</v>
      </c>
      <c r="H1077" s="572">
        <f>G1077/G1078-1</f>
        <v/>
      </c>
    </row>
    <row r="1078">
      <c r="B1078" s="269" t="n">
        <v>44589</v>
      </c>
      <c r="C1078" s="270" t="n">
        <v>455.5</v>
      </c>
      <c r="D1078" s="572">
        <f>C1078/C1079-1</f>
        <v/>
      </c>
      <c r="E1078" s="270" t="n">
        <v>28878.58</v>
      </c>
      <c r="F1078" s="572">
        <f>E1078/E1079-1</f>
        <v/>
      </c>
      <c r="G1078" s="270" t="n">
        <v>17101.95</v>
      </c>
      <c r="H1078" s="572">
        <f>G1078/G1079-1</f>
        <v/>
      </c>
    </row>
    <row r="1079">
      <c r="B1079" s="269" t="n">
        <v>44588</v>
      </c>
      <c r="C1079" s="270" t="n">
        <v>459.5</v>
      </c>
      <c r="D1079" s="572">
        <f>C1079/C1080-1</f>
        <v/>
      </c>
      <c r="E1079" s="270" t="n">
        <v>28920.37</v>
      </c>
      <c r="F1079" s="572">
        <f>E1079/E1080-1</f>
        <v/>
      </c>
      <c r="G1079" s="270" t="n">
        <v>17110.15</v>
      </c>
      <c r="H1079" s="572">
        <f>G1079/G1080-1</f>
        <v/>
      </c>
    </row>
    <row r="1080">
      <c r="B1080" s="269" t="n">
        <v>44586</v>
      </c>
      <c r="C1080" s="270" t="n">
        <v>460</v>
      </c>
      <c r="D1080" s="572">
        <f>C1080/C1081-1</f>
        <v/>
      </c>
      <c r="E1080" s="270" t="n">
        <v>29151.57</v>
      </c>
      <c r="F1080" s="572">
        <f>E1080/E1081-1</f>
        <v/>
      </c>
      <c r="G1080" s="270" t="n">
        <v>17277.95</v>
      </c>
      <c r="H1080" s="572">
        <f>G1080/G1081-1</f>
        <v/>
      </c>
    </row>
    <row r="1081">
      <c r="B1081" s="269" t="n">
        <v>44585</v>
      </c>
      <c r="C1081" s="270" t="n">
        <v>464.5</v>
      </c>
      <c r="D1081" s="572">
        <f>C1081/C1082-1</f>
        <v/>
      </c>
      <c r="E1081" s="270" t="n">
        <v>28759.79</v>
      </c>
      <c r="F1081" s="572">
        <f>E1081/E1082-1</f>
        <v/>
      </c>
      <c r="G1081" s="270" t="n">
        <v>17149.1</v>
      </c>
      <c r="H1081" s="572">
        <f>G1081/G1082-1</f>
        <v/>
      </c>
    </row>
    <row r="1082">
      <c r="B1082" s="269" t="n">
        <v>44582</v>
      </c>
      <c r="C1082" s="270" t="n">
        <v>476.77</v>
      </c>
      <c r="D1082" s="572">
        <f>C1082/C1083-1</f>
        <v/>
      </c>
      <c r="E1082" s="270" t="n">
        <v>29733.81</v>
      </c>
      <c r="F1082" s="572">
        <f>E1082/E1083-1</f>
        <v/>
      </c>
      <c r="G1082" s="270" t="n">
        <v>17617.15</v>
      </c>
      <c r="H1082" s="572">
        <f>G1082/G1083-1</f>
        <v/>
      </c>
    </row>
    <row r="1083">
      <c r="B1083" s="269" t="n">
        <v>44581</v>
      </c>
      <c r="C1083" s="270" t="n">
        <v>492.35</v>
      </c>
      <c r="D1083" s="572">
        <f>C1083/C1084-1</f>
        <v/>
      </c>
      <c r="E1083" s="270" t="n">
        <v>30435.86</v>
      </c>
      <c r="F1083" s="572">
        <f>E1083/E1084-1</f>
        <v/>
      </c>
      <c r="G1083" s="270" t="n">
        <v>17757</v>
      </c>
      <c r="H1083" s="572">
        <f>G1083/G1084-1</f>
        <v/>
      </c>
    </row>
    <row r="1084">
      <c r="B1084" s="269" t="n">
        <v>44580</v>
      </c>
      <c r="C1084" s="270" t="n">
        <v>489.3</v>
      </c>
      <c r="D1084" s="572">
        <f>C1084/C1085-1</f>
        <v/>
      </c>
      <c r="E1084" s="270" t="n">
        <v>30557.29</v>
      </c>
      <c r="F1084" s="572">
        <f>E1084/E1085-1</f>
        <v/>
      </c>
      <c r="G1084" s="270" t="n">
        <v>17938.4</v>
      </c>
      <c r="H1084" s="572">
        <f>G1084/G1085-1</f>
        <v/>
      </c>
    </row>
    <row r="1085">
      <c r="B1085" s="269" t="n">
        <v>44579</v>
      </c>
      <c r="C1085" s="270" t="n">
        <v>495.65</v>
      </c>
      <c r="D1085" s="572">
        <f>C1085/C1086-1</f>
        <v/>
      </c>
      <c r="E1085" s="270" t="n">
        <v>30483.08</v>
      </c>
      <c r="F1085" s="572">
        <f>E1085/E1086-1</f>
        <v/>
      </c>
      <c r="G1085" s="270" t="n">
        <v>18113.05</v>
      </c>
      <c r="H1085" s="572">
        <f>G1085/G1086-1</f>
        <v/>
      </c>
    </row>
    <row r="1086">
      <c r="B1086" s="269" t="n">
        <v>44578</v>
      </c>
      <c r="C1086" s="270" t="n">
        <v>593.95</v>
      </c>
      <c r="D1086" s="572">
        <f>C1086/C1087-1</f>
        <v/>
      </c>
      <c r="E1086" s="270" t="n">
        <v>31112.71</v>
      </c>
      <c r="F1086" s="572">
        <f>E1086/E1087-1</f>
        <v/>
      </c>
      <c r="G1086" s="270" t="n">
        <v>18308.1</v>
      </c>
      <c r="H1086" s="572">
        <f>G1086/G1087-1</f>
        <v/>
      </c>
    </row>
    <row r="1087">
      <c r="B1087" s="269" t="n">
        <v>44575</v>
      </c>
      <c r="C1087" s="270" t="n">
        <v>583.05</v>
      </c>
      <c r="D1087" s="572">
        <f>C1087/C1088-1</f>
        <v/>
      </c>
      <c r="E1087" s="270" t="n">
        <v>30875.16</v>
      </c>
      <c r="F1087" s="572">
        <f>E1087/E1088-1</f>
        <v/>
      </c>
      <c r="G1087" s="270" t="n">
        <v>18255.75</v>
      </c>
      <c r="H1087" s="572">
        <f>G1087/G1088-1</f>
        <v/>
      </c>
    </row>
    <row r="1088">
      <c r="B1088" s="269" t="n">
        <v>44574</v>
      </c>
      <c r="C1088" s="270" t="n">
        <v>601.55</v>
      </c>
      <c r="D1088" s="572">
        <f>C1088/C1089-1</f>
        <v/>
      </c>
      <c r="E1088" s="270" t="n">
        <v>30439.86</v>
      </c>
      <c r="F1088" s="572">
        <f>E1088/E1089-1</f>
        <v/>
      </c>
      <c r="G1088" s="270" t="n">
        <v>18257.8</v>
      </c>
      <c r="H1088" s="572">
        <f>G1088/G1089-1</f>
        <v/>
      </c>
    </row>
    <row r="1089">
      <c r="B1089" s="269" t="n">
        <v>44573</v>
      </c>
      <c r="C1089" s="270" t="n">
        <v>523</v>
      </c>
      <c r="D1089" s="572">
        <f>C1089/C1090-1</f>
        <v/>
      </c>
      <c r="E1089" s="270" t="n">
        <v>29971.42</v>
      </c>
      <c r="F1089" s="572">
        <f>E1089/E1090-1</f>
        <v/>
      </c>
      <c r="G1089" s="270" t="n">
        <v>18212.35</v>
      </c>
      <c r="H1089" s="572">
        <f>G1089/G1090-1</f>
        <v/>
      </c>
    </row>
    <row r="1090">
      <c r="B1090" s="269" t="n">
        <v>44572</v>
      </c>
      <c r="C1090" s="270" t="n">
        <v>524.8</v>
      </c>
      <c r="D1090" s="572">
        <f>C1090/C1091-1</f>
        <v/>
      </c>
      <c r="E1090" s="270" t="n">
        <v>29813.29</v>
      </c>
      <c r="F1090" s="572">
        <f>E1090/E1091-1</f>
        <v/>
      </c>
      <c r="G1090" s="270" t="n">
        <v>18055.75</v>
      </c>
      <c r="H1090" s="572">
        <f>G1090/G1091-1</f>
        <v/>
      </c>
    </row>
    <row r="1091">
      <c r="B1091" s="269" t="n">
        <v>44571</v>
      </c>
      <c r="C1091" s="270" t="n">
        <v>520.05</v>
      </c>
      <c r="D1091" s="572">
        <f>C1091/C1092-1</f>
        <v/>
      </c>
      <c r="E1091" s="270" t="n">
        <v>29750.35</v>
      </c>
      <c r="F1091" s="572">
        <f>E1091/E1092-1</f>
        <v/>
      </c>
      <c r="G1091" s="270" t="n">
        <v>18003.3</v>
      </c>
      <c r="H1091" s="572">
        <f>G1091/G1092-1</f>
        <v/>
      </c>
    </row>
    <row r="1092">
      <c r="B1092" s="269" t="n">
        <v>44568</v>
      </c>
      <c r="C1092" s="270" t="n">
        <v>517.33</v>
      </c>
      <c r="D1092" s="572">
        <f>C1092/C1093-1</f>
        <v/>
      </c>
      <c r="E1092" s="270" t="n">
        <v>29088.76</v>
      </c>
      <c r="F1092" s="572">
        <f>E1092/E1093-1</f>
        <v/>
      </c>
      <c r="G1092" s="270" t="n">
        <v>17812.7</v>
      </c>
      <c r="H1092" s="572">
        <f>G1092/G1093-1</f>
        <v/>
      </c>
    </row>
    <row r="1093">
      <c r="B1093" s="269" t="n">
        <v>44567</v>
      </c>
      <c r="C1093" s="270" t="n">
        <v>507.62</v>
      </c>
      <c r="D1093" s="572">
        <f>C1093/C1094-1</f>
        <v/>
      </c>
      <c r="E1093" s="270" t="n">
        <v>29317.5</v>
      </c>
      <c r="F1093" s="572">
        <f>E1093/E1094-1</f>
        <v/>
      </c>
      <c r="G1093" s="270" t="n">
        <v>17745.9</v>
      </c>
      <c r="H1093" s="572">
        <f>G1093/G1094-1</f>
        <v/>
      </c>
    </row>
    <row r="1094">
      <c r="B1094" s="269" t="n">
        <v>44566</v>
      </c>
      <c r="C1094" s="270" t="n">
        <v>508.77</v>
      </c>
      <c r="D1094" s="572">
        <f>C1094/C1095-1</f>
        <v/>
      </c>
      <c r="E1094" s="270" t="n">
        <v>29451.92</v>
      </c>
      <c r="F1094" s="572">
        <f>E1094/E1095-1</f>
        <v/>
      </c>
      <c r="G1094" s="270" t="n">
        <v>17925.25</v>
      </c>
      <c r="H1094" s="572">
        <f>G1094/G1095-1</f>
        <v/>
      </c>
    </row>
    <row r="1095">
      <c r="B1095" s="269" t="n">
        <v>44565</v>
      </c>
      <c r="C1095" s="270" t="n">
        <v>500.27</v>
      </c>
      <c r="D1095" s="572">
        <f>C1095/C1096-1</f>
        <v/>
      </c>
      <c r="E1095" s="270" t="n">
        <v>29366.44</v>
      </c>
      <c r="F1095" s="572">
        <f>E1095/E1096-1</f>
        <v/>
      </c>
      <c r="G1095" s="270" t="n">
        <v>17805.25</v>
      </c>
      <c r="H1095" s="572">
        <f>G1095/G1096-1</f>
        <v/>
      </c>
    </row>
    <row r="1096">
      <c r="B1096" s="269" t="n">
        <v>44564</v>
      </c>
      <c r="C1096" s="270" t="n">
        <v>509.42</v>
      </c>
      <c r="D1096" s="572">
        <f>C1096/C1097-1</f>
        <v/>
      </c>
      <c r="E1096" s="270" t="n">
        <v>29122.31</v>
      </c>
      <c r="F1096" s="572">
        <f>E1096/E1097-1</f>
        <v/>
      </c>
      <c r="G1096" s="270" t="n">
        <v>17625.7</v>
      </c>
      <c r="H1096" s="572">
        <f>G1096/G1097-1</f>
        <v/>
      </c>
    </row>
    <row r="1097">
      <c r="B1097" s="269" t="n">
        <v>44561</v>
      </c>
      <c r="C1097" s="270" t="n">
        <v>506.75</v>
      </c>
      <c r="D1097" s="572">
        <f>C1097/C1098-1</f>
        <v/>
      </c>
      <c r="E1097" s="270" t="n">
        <v>28750.72</v>
      </c>
      <c r="F1097" s="572">
        <f>E1097/E1098-1</f>
        <v/>
      </c>
      <c r="G1097" s="270" t="n">
        <v>17354.05</v>
      </c>
      <c r="H1097" s="572">
        <f>G1097/G1098-1</f>
        <v/>
      </c>
    </row>
    <row r="1098">
      <c r="B1098" s="269" t="n">
        <v>44560</v>
      </c>
      <c r="C1098" s="270" t="n">
        <v>505.3</v>
      </c>
      <c r="D1098" s="572">
        <f>C1098/C1099-1</f>
        <v/>
      </c>
      <c r="E1098" s="270" t="n">
        <v>28566.17</v>
      </c>
      <c r="F1098" s="572">
        <f>E1098/E1099-1</f>
        <v/>
      </c>
      <c r="G1098" s="270" t="n">
        <v>17203.95</v>
      </c>
      <c r="H1098" s="572">
        <f>G1098/G1099-1</f>
        <v/>
      </c>
    </row>
    <row r="1099">
      <c r="B1099" s="269" t="n">
        <v>44559</v>
      </c>
      <c r="C1099" s="270" t="n">
        <v>512.05</v>
      </c>
      <c r="D1099" s="572">
        <f>C1099/C1100-1</f>
        <v/>
      </c>
      <c r="E1099" s="270" t="n">
        <v>28625.06</v>
      </c>
      <c r="F1099" s="572">
        <f>E1099/E1100-1</f>
        <v/>
      </c>
      <c r="G1099" s="270" t="n">
        <v>17213.6</v>
      </c>
      <c r="H1099" s="572">
        <f>G1099/G1100-1</f>
        <v/>
      </c>
    </row>
    <row r="1100">
      <c r="B1100" s="269" t="n">
        <v>44558</v>
      </c>
      <c r="C1100" s="270" t="n">
        <v>507.48</v>
      </c>
      <c r="D1100" s="572">
        <f>C1100/C1101-1</f>
        <v/>
      </c>
      <c r="E1100" s="270" t="n">
        <v>28584.49</v>
      </c>
      <c r="F1100" s="572">
        <f>E1100/E1101-1</f>
        <v/>
      </c>
      <c r="G1100" s="270" t="n">
        <v>17233.25</v>
      </c>
      <c r="H1100" s="572">
        <f>G1100/G1101-1</f>
        <v/>
      </c>
    </row>
    <row r="1101">
      <c r="B1101" s="269" t="n">
        <v>44557</v>
      </c>
      <c r="C1101" s="270" t="n">
        <v>504.98</v>
      </c>
      <c r="D1101" s="572">
        <f>C1101/C1102-1</f>
        <v/>
      </c>
      <c r="E1101" s="270" t="n">
        <v>28145.71</v>
      </c>
      <c r="F1101" s="572">
        <f>E1101/E1102-1</f>
        <v/>
      </c>
      <c r="G1101" s="270" t="n">
        <v>17086.25</v>
      </c>
      <c r="H1101" s="572">
        <f>G1101/G1102-1</f>
        <v/>
      </c>
    </row>
    <row r="1102">
      <c r="B1102" s="269" t="n">
        <v>44554</v>
      </c>
      <c r="C1102" s="270" t="n">
        <v>506.4</v>
      </c>
      <c r="D1102" s="572">
        <f>C1102/C1103-1</f>
        <v/>
      </c>
      <c r="E1102" s="270" t="n">
        <v>28032.57</v>
      </c>
      <c r="F1102" s="572">
        <f>E1102/E1103-1</f>
        <v/>
      </c>
      <c r="G1102" s="270" t="n">
        <v>17003.75</v>
      </c>
      <c r="H1102" s="572">
        <f>G1102/G1103-1</f>
        <v/>
      </c>
    </row>
    <row r="1103">
      <c r="B1103" s="269" t="n">
        <v>44553</v>
      </c>
      <c r="C1103" s="270" t="n">
        <v>509.05</v>
      </c>
      <c r="D1103" s="572">
        <f>C1103/C1104-1</f>
        <v/>
      </c>
      <c r="E1103" s="270" t="n">
        <v>28322.63</v>
      </c>
      <c r="F1103" s="572">
        <f>E1103/E1104-1</f>
        <v/>
      </c>
      <c r="G1103" s="270" t="n">
        <v>17072.6</v>
      </c>
      <c r="H1103" s="572">
        <f>G1103/G1104-1</f>
        <v/>
      </c>
    </row>
    <row r="1104">
      <c r="B1104" s="269" t="n">
        <v>44552</v>
      </c>
      <c r="C1104" s="270" t="n">
        <v>512.5</v>
      </c>
      <c r="D1104" s="572">
        <f>C1104/C1105-1</f>
        <v/>
      </c>
      <c r="E1104" s="270" t="n">
        <v>28108.87</v>
      </c>
      <c r="F1104" s="572">
        <f>E1104/E1105-1</f>
        <v/>
      </c>
      <c r="G1104" s="270" t="n">
        <v>16955.45</v>
      </c>
      <c r="H1104" s="572">
        <f>G1104/G1105-1</f>
        <v/>
      </c>
    </row>
    <row r="1105">
      <c r="B1105" s="269" t="n">
        <v>44551</v>
      </c>
      <c r="C1105" s="270" t="n">
        <v>506.52</v>
      </c>
      <c r="D1105" s="572">
        <f>C1105/C1106-1</f>
        <v/>
      </c>
      <c r="E1105" s="270" t="n">
        <v>27555.81</v>
      </c>
      <c r="F1105" s="572">
        <f>E1105/E1106-1</f>
        <v/>
      </c>
      <c r="G1105" s="270" t="n">
        <v>16770.85</v>
      </c>
      <c r="H1105" s="572">
        <f>G1105/G1106-1</f>
        <v/>
      </c>
    </row>
    <row r="1106">
      <c r="B1106" s="269" t="n">
        <v>44550</v>
      </c>
      <c r="C1106" s="270" t="n">
        <v>504.2</v>
      </c>
      <c r="D1106" s="572">
        <f>C1106/C1107-1</f>
        <v/>
      </c>
      <c r="E1106" s="270" t="n">
        <v>27208.42</v>
      </c>
      <c r="F1106" s="572">
        <f>E1106/E1107-1</f>
        <v/>
      </c>
      <c r="G1106" s="270" t="n">
        <v>16614.2</v>
      </c>
      <c r="H1106" s="572">
        <f>G1106/G1107-1</f>
        <v/>
      </c>
    </row>
    <row r="1107">
      <c r="B1107" s="269" t="n">
        <v>44547</v>
      </c>
      <c r="C1107" s="270" t="n">
        <v>518.15</v>
      </c>
      <c r="D1107" s="572">
        <f>C1107/C1108-1</f>
        <v/>
      </c>
      <c r="E1107" s="270" t="n">
        <v>28057.45</v>
      </c>
      <c r="F1107" s="572">
        <f>E1107/E1108-1</f>
        <v/>
      </c>
      <c r="G1107" s="270" t="n">
        <v>16985.2</v>
      </c>
      <c r="H1107" s="572">
        <f>G1107/G1108-1</f>
        <v/>
      </c>
    </row>
    <row r="1108">
      <c r="B1108" s="269" t="n">
        <v>44546</v>
      </c>
      <c r="C1108" s="270" t="n">
        <v>539.55</v>
      </c>
      <c r="D1108" s="572">
        <f>C1108/C1109-1</f>
        <v/>
      </c>
      <c r="E1108" s="270" t="n">
        <v>28482.15</v>
      </c>
      <c r="F1108" s="572">
        <f>E1108/E1109-1</f>
        <v/>
      </c>
      <c r="G1108" s="270" t="n">
        <v>17248.4</v>
      </c>
      <c r="H1108" s="572">
        <f>G1108/G1109-1</f>
        <v/>
      </c>
    </row>
    <row r="1109">
      <c r="B1109" s="269" t="n">
        <v>44545</v>
      </c>
      <c r="C1109" s="270" t="n">
        <v>541.85</v>
      </c>
      <c r="D1109" s="572">
        <f>C1109/C1110-1</f>
        <v/>
      </c>
      <c r="E1109" s="270" t="n">
        <v>28666.3</v>
      </c>
      <c r="F1109" s="572">
        <f>E1109/E1110-1</f>
        <v/>
      </c>
      <c r="G1109" s="270" t="n">
        <v>17221.4</v>
      </c>
      <c r="H1109" s="572">
        <f>G1109/G1110-1</f>
        <v/>
      </c>
    </row>
    <row r="1110">
      <c r="B1110" s="269" t="n">
        <v>44544</v>
      </c>
      <c r="C1110" s="270" t="n">
        <v>517.75</v>
      </c>
      <c r="D1110" s="572">
        <f>C1110/C1111-1</f>
        <v/>
      </c>
      <c r="E1110" s="270" t="n">
        <v>28640.55</v>
      </c>
      <c r="F1110" s="572">
        <f>E1110/E1111-1</f>
        <v/>
      </c>
      <c r="G1110" s="270" t="n">
        <v>17324.9</v>
      </c>
      <c r="H1110" s="572">
        <f>G1110/G1111-1</f>
        <v/>
      </c>
    </row>
    <row r="1111">
      <c r="B1111" s="269" t="n">
        <v>44543</v>
      </c>
      <c r="C1111" s="270" t="n">
        <v>524.33</v>
      </c>
      <c r="D1111" s="572">
        <f>C1111/C1112-1</f>
        <v/>
      </c>
      <c r="E1111" s="270" t="n">
        <v>28471.56</v>
      </c>
      <c r="F1111" s="572">
        <f>E1111/E1112-1</f>
        <v/>
      </c>
      <c r="G1111" s="270" t="n">
        <v>17368.25</v>
      </c>
      <c r="H1111" s="572">
        <f>G1111/G1112-1</f>
        <v/>
      </c>
    </row>
    <row r="1112">
      <c r="B1112" s="269" t="n">
        <v>44540</v>
      </c>
      <c r="C1112" s="270" t="n">
        <v>508.95</v>
      </c>
      <c r="D1112" s="572">
        <f>C1112/C1113-1</f>
        <v/>
      </c>
      <c r="E1112" s="270" t="n">
        <v>28500.4</v>
      </c>
      <c r="F1112" s="572">
        <f>E1112/E1113-1</f>
        <v/>
      </c>
      <c r="G1112" s="270" t="n">
        <v>17511.3</v>
      </c>
      <c r="H1112" s="572">
        <f>G1112/G1113-1</f>
        <v/>
      </c>
    </row>
    <row r="1113">
      <c r="B1113" s="269" t="n">
        <v>44539</v>
      </c>
      <c r="C1113" s="270" t="n">
        <v>508.23</v>
      </c>
      <c r="D1113" s="572">
        <f>C1113/C1114-1</f>
        <v/>
      </c>
      <c r="E1113" s="270" t="n">
        <v>28421.67</v>
      </c>
      <c r="F1113" s="572">
        <f>E1113/E1114-1</f>
        <v/>
      </c>
      <c r="G1113" s="270" t="n">
        <v>17516.85</v>
      </c>
      <c r="H1113" s="572">
        <f>G1113/G1114-1</f>
        <v/>
      </c>
    </row>
    <row r="1114">
      <c r="B1114" s="269" t="n">
        <v>44538</v>
      </c>
      <c r="C1114" s="270" t="n">
        <v>500.2</v>
      </c>
      <c r="D1114" s="572">
        <f>C1114/C1115-1</f>
        <v/>
      </c>
      <c r="E1114" s="270" t="n">
        <v>27870.19</v>
      </c>
      <c r="F1114" s="572">
        <f>E1114/E1115-1</f>
        <v/>
      </c>
      <c r="G1114" s="270" t="n">
        <v>17469.75</v>
      </c>
      <c r="H1114" s="572">
        <f>G1114/G1115-1</f>
        <v/>
      </c>
    </row>
    <row r="1115">
      <c r="B1115" s="269" t="n">
        <v>44537</v>
      </c>
      <c r="C1115" s="270" t="n">
        <v>494.2</v>
      </c>
      <c r="D1115" s="572">
        <f>C1115/C1116-1</f>
        <v/>
      </c>
      <c r="E1115" s="270" t="n">
        <v>27639.34</v>
      </c>
      <c r="F1115" s="572">
        <f>E1115/E1116-1</f>
        <v/>
      </c>
      <c r="G1115" s="270" t="n">
        <v>17176.7</v>
      </c>
      <c r="H1115" s="572">
        <f>G1115/G1116-1</f>
        <v/>
      </c>
    </row>
    <row r="1116">
      <c r="B1116" s="269" t="n">
        <v>44536</v>
      </c>
      <c r="C1116" s="270" t="n">
        <v>491.12</v>
      </c>
      <c r="D1116" s="572">
        <f>C1116/C1117-1</f>
        <v/>
      </c>
      <c r="E1116" s="270" t="n">
        <v>27295.42</v>
      </c>
      <c r="F1116" s="572">
        <f>E1116/E1117-1</f>
        <v/>
      </c>
      <c r="G1116" s="270" t="n">
        <v>16912.25</v>
      </c>
      <c r="H1116" s="572">
        <f>G1116/G1117-1</f>
        <v/>
      </c>
    </row>
    <row r="1117">
      <c r="B1117" s="269" t="n">
        <v>44533</v>
      </c>
      <c r="C1117" s="270" t="n">
        <v>500.08</v>
      </c>
      <c r="D1117" s="572">
        <f>C1117/C1118-1</f>
        <v/>
      </c>
      <c r="E1117" s="270" t="n">
        <v>27568.69</v>
      </c>
      <c r="F1117" s="572">
        <f>E1117/E1118-1</f>
        <v/>
      </c>
      <c r="G1117" s="270" t="n">
        <v>17196.7</v>
      </c>
      <c r="H1117" s="572">
        <f>G1117/G1118-1</f>
        <v/>
      </c>
    </row>
    <row r="1118">
      <c r="B1118" s="269" t="n">
        <v>44532</v>
      </c>
      <c r="C1118" s="270" t="n">
        <v>505.4</v>
      </c>
      <c r="D1118" s="572">
        <f>C1118/C1119-1</f>
        <v/>
      </c>
      <c r="E1118" s="270" t="n">
        <v>27361.79</v>
      </c>
      <c r="F1118" s="572">
        <f>E1118/E1119-1</f>
        <v/>
      </c>
      <c r="G1118" s="270" t="n">
        <v>17401.65</v>
      </c>
      <c r="H1118" s="572">
        <f>G1118/G1119-1</f>
        <v/>
      </c>
    </row>
    <row r="1119">
      <c r="B1119" s="269" t="n">
        <v>44531</v>
      </c>
      <c r="C1119" s="270" t="n">
        <v>493.67</v>
      </c>
      <c r="D1119" s="572">
        <f>C1119/C1120-1</f>
        <v/>
      </c>
      <c r="E1119" s="270" t="n">
        <v>27160.01</v>
      </c>
      <c r="F1119" s="572">
        <f>E1119/E1120-1</f>
        <v/>
      </c>
      <c r="G1119" s="270" t="n">
        <v>17166.9</v>
      </c>
      <c r="H1119" s="572">
        <f>G1119/G1120-1</f>
        <v/>
      </c>
    </row>
    <row r="1120">
      <c r="B1120" s="269" t="n">
        <v>44530</v>
      </c>
      <c r="C1120" s="270" t="n">
        <v>491.67</v>
      </c>
      <c r="D1120" s="572">
        <f>C1120/C1121-1</f>
        <v/>
      </c>
      <c r="E1120" s="270" t="n">
        <v>26892.79</v>
      </c>
      <c r="F1120" s="572">
        <f>E1120/E1121-1</f>
        <v/>
      </c>
      <c r="G1120" s="270" t="n">
        <v>16983.2</v>
      </c>
      <c r="H1120" s="572">
        <f>G1120/G1121-1</f>
        <v/>
      </c>
    </row>
    <row r="1121">
      <c r="B1121" s="269" t="n">
        <v>44529</v>
      </c>
      <c r="C1121" s="270" t="n">
        <v>471.4</v>
      </c>
      <c r="D1121" s="572">
        <f>C1121/C1122-1</f>
        <v/>
      </c>
      <c r="E1121" s="270" t="n">
        <v>26857.13</v>
      </c>
      <c r="F1121" s="572">
        <f>E1121/E1122-1</f>
        <v/>
      </c>
      <c r="G1121" s="270" t="n">
        <v>17053.95</v>
      </c>
      <c r="H1121" s="572">
        <f>G1121/G1122-1</f>
        <v/>
      </c>
    </row>
    <row r="1122">
      <c r="B1122" s="269" t="n">
        <v>44526</v>
      </c>
      <c r="C1122" s="270" t="n">
        <v>484.92</v>
      </c>
      <c r="D1122" s="572">
        <f>C1122/C1123-1</f>
        <v/>
      </c>
      <c r="E1122" s="270" t="n">
        <v>27058.85</v>
      </c>
      <c r="F1122" s="572">
        <f>E1122/E1123-1</f>
        <v/>
      </c>
      <c r="G1122" s="270" t="n">
        <v>17026.45</v>
      </c>
      <c r="H1122" s="572">
        <f>G1122/G1123-1</f>
        <v/>
      </c>
    </row>
    <row r="1123">
      <c r="B1123" s="269" t="n">
        <v>44525</v>
      </c>
      <c r="C1123" s="270" t="n">
        <v>512.8</v>
      </c>
      <c r="D1123" s="572">
        <f>C1123/C1124-1</f>
        <v/>
      </c>
      <c r="E1123" s="270" t="n">
        <v>28070.84</v>
      </c>
      <c r="F1123" s="572">
        <f>E1123/E1124-1</f>
        <v/>
      </c>
      <c r="G1123" s="270" t="n">
        <v>17536.25</v>
      </c>
      <c r="H1123" s="572">
        <f>G1123/G1124-1</f>
        <v/>
      </c>
    </row>
    <row r="1124">
      <c r="B1124" s="269" t="n">
        <v>44524</v>
      </c>
      <c r="C1124" s="270" t="n">
        <v>507.5</v>
      </c>
      <c r="D1124" s="572">
        <f>C1124/C1125-1</f>
        <v/>
      </c>
      <c r="E1124" s="270" t="n">
        <v>28202.38</v>
      </c>
      <c r="F1124" s="572">
        <f>E1124/E1125-1</f>
        <v/>
      </c>
      <c r="G1124" s="270" t="n">
        <v>17415.05</v>
      </c>
      <c r="H1124" s="572">
        <f>G1124/G1125-1</f>
        <v/>
      </c>
    </row>
    <row r="1125">
      <c r="B1125" s="269" t="n">
        <v>44523</v>
      </c>
      <c r="C1125" s="270" t="n">
        <v>506.73</v>
      </c>
      <c r="D1125" s="572">
        <f>C1125/C1126-1</f>
        <v/>
      </c>
      <c r="E1125" s="270" t="n">
        <v>28466.8</v>
      </c>
      <c r="F1125" s="572">
        <f>E1125/E1126-1</f>
        <v/>
      </c>
      <c r="G1125" s="270" t="n">
        <v>17503.35</v>
      </c>
      <c r="H1125" s="572">
        <f>G1125/G1126-1</f>
        <v/>
      </c>
    </row>
    <row r="1126">
      <c r="B1126" s="269" t="n">
        <v>44522</v>
      </c>
      <c r="C1126" s="270" t="n">
        <v>495.25</v>
      </c>
      <c r="D1126" s="572">
        <f>C1126/C1127-1</f>
        <v/>
      </c>
      <c r="E1126" s="270" t="n">
        <v>27956.33</v>
      </c>
      <c r="F1126" s="572">
        <f>E1126/E1127-1</f>
        <v/>
      </c>
      <c r="G1126" s="270" t="n">
        <v>17416.55</v>
      </c>
      <c r="H1126" s="572">
        <f>G1126/G1127-1</f>
        <v/>
      </c>
    </row>
    <row r="1127">
      <c r="B1127" s="269" t="n">
        <v>44518</v>
      </c>
      <c r="C1127" s="270" t="n">
        <v>506.77</v>
      </c>
      <c r="D1127" s="572">
        <f>C1127/C1128-1</f>
        <v/>
      </c>
      <c r="E1127" s="270" t="n">
        <v>28487.64</v>
      </c>
      <c r="F1127" s="572">
        <f>E1127/E1128-1</f>
        <v/>
      </c>
      <c r="G1127" s="270" t="n">
        <v>17764.8</v>
      </c>
      <c r="H1127" s="572">
        <f>G1127/G1128-1</f>
        <v/>
      </c>
    </row>
    <row r="1128">
      <c r="B1128" s="269" t="n">
        <v>44517</v>
      </c>
      <c r="C1128" s="270" t="n">
        <v>532.7</v>
      </c>
      <c r="D1128" s="572">
        <f>C1128/C1129-1</f>
        <v/>
      </c>
      <c r="E1128" s="270" t="n">
        <v>29034.98</v>
      </c>
      <c r="F1128" s="572">
        <f>E1128/E1129-1</f>
        <v/>
      </c>
      <c r="G1128" s="270" t="n">
        <v>17898.65</v>
      </c>
      <c r="H1128" s="572">
        <f>G1128/G1129-1</f>
        <v/>
      </c>
    </row>
    <row r="1129">
      <c r="B1129" s="269" t="n">
        <v>44516</v>
      </c>
      <c r="C1129" s="270" t="n">
        <v>541.45</v>
      </c>
      <c r="D1129" s="572">
        <f>C1129/C1130-1</f>
        <v/>
      </c>
      <c r="E1129" s="270" t="n">
        <v>29121.74</v>
      </c>
      <c r="F1129" s="572">
        <f>E1129/E1130-1</f>
        <v/>
      </c>
      <c r="G1129" s="270" t="n">
        <v>17999.2</v>
      </c>
      <c r="H1129" s="572">
        <f>G1129/G1130-1</f>
        <v/>
      </c>
    </row>
    <row r="1130">
      <c r="B1130" s="269" t="n">
        <v>44515</v>
      </c>
      <c r="C1130" s="270" t="n">
        <v>526.88</v>
      </c>
      <c r="D1130" s="572">
        <f>C1130/C1131-1</f>
        <v/>
      </c>
      <c r="E1130" s="270" t="n">
        <v>28994.57</v>
      </c>
      <c r="F1130" s="572">
        <f>E1130/E1131-1</f>
        <v/>
      </c>
      <c r="G1130" s="270" t="n">
        <v>18109.45</v>
      </c>
      <c r="H1130" s="572">
        <f>G1130/G1131-1</f>
        <v/>
      </c>
    </row>
    <row r="1131">
      <c r="B1131" s="269" t="n">
        <v>44512</v>
      </c>
      <c r="C1131" s="270" t="n">
        <v>519.88</v>
      </c>
      <c r="D1131" s="572">
        <f>C1131/C1132-1</f>
        <v/>
      </c>
      <c r="E1131" s="270" t="n">
        <v>29105.32</v>
      </c>
      <c r="F1131" s="572">
        <f>E1131/E1132-1</f>
        <v/>
      </c>
      <c r="G1131" s="270" t="n">
        <v>18102.75</v>
      </c>
      <c r="H1131" s="572">
        <f>G1131/G1132-1</f>
        <v/>
      </c>
    </row>
    <row r="1132">
      <c r="B1132" s="269" t="n">
        <v>44511</v>
      </c>
      <c r="C1132" s="270" t="n">
        <v>524.3</v>
      </c>
      <c r="D1132" s="572">
        <f>C1132/C1133-1</f>
        <v/>
      </c>
      <c r="E1132" s="270" t="n">
        <v>28751.56</v>
      </c>
      <c r="F1132" s="572">
        <f>E1132/E1133-1</f>
        <v/>
      </c>
      <c r="G1132" s="270" t="n">
        <v>17873.6</v>
      </c>
      <c r="H1132" s="572">
        <f>G1132/G1133-1</f>
        <v/>
      </c>
    </row>
    <row r="1133">
      <c r="B1133" s="269" t="n">
        <v>44510</v>
      </c>
      <c r="C1133" s="270" t="n">
        <v>522</v>
      </c>
      <c r="D1133" s="572">
        <f>C1133/C1134-1</f>
        <v/>
      </c>
      <c r="E1133" s="270" t="n">
        <v>28791.08</v>
      </c>
      <c r="F1133" s="572">
        <f>E1133/E1134-1</f>
        <v/>
      </c>
      <c r="G1133" s="270" t="n">
        <v>18017.2</v>
      </c>
      <c r="H1133" s="572">
        <f>G1133/G1134-1</f>
        <v/>
      </c>
    </row>
    <row r="1134">
      <c r="B1134" s="269" t="n">
        <v>44509</v>
      </c>
      <c r="C1134" s="270" t="n">
        <v>532.92</v>
      </c>
      <c r="D1134" s="572">
        <f>C1134/C1135-1</f>
        <v/>
      </c>
      <c r="E1134" s="270" t="n">
        <v>28833.25</v>
      </c>
      <c r="F1134" s="572">
        <f>E1134/E1135-1</f>
        <v/>
      </c>
      <c r="G1134" s="270" t="n">
        <v>18044.25</v>
      </c>
      <c r="H1134" s="572">
        <f>G1134/G1135-1</f>
        <v/>
      </c>
    </row>
    <row r="1135">
      <c r="B1135" s="269" t="n">
        <v>44508</v>
      </c>
      <c r="C1135" s="270" t="n">
        <v>551.38</v>
      </c>
      <c r="D1135" s="572">
        <f>C1135/C1136-1</f>
        <v/>
      </c>
      <c r="E1135" s="270" t="n">
        <v>28527.48</v>
      </c>
      <c r="F1135" s="572">
        <f>E1135/E1136-1</f>
        <v/>
      </c>
      <c r="G1135" s="270" t="n">
        <v>18068.55</v>
      </c>
      <c r="H1135" s="572">
        <f>G1135/G1136-1</f>
        <v/>
      </c>
    </row>
    <row r="1136">
      <c r="B1136" s="269" t="n">
        <v>44504</v>
      </c>
      <c r="C1136" s="270" t="n">
        <v>526.4</v>
      </c>
      <c r="D1136" s="572">
        <f>C1136/C1137-1</f>
        <v/>
      </c>
      <c r="E1136" s="270" t="n">
        <v>28103.05</v>
      </c>
      <c r="F1136" s="572">
        <f>E1136/E1137-1</f>
        <v/>
      </c>
      <c r="G1136" s="270" t="n">
        <v>17916.8</v>
      </c>
      <c r="H1136" s="572">
        <f>G1136/G1137-1</f>
        <v/>
      </c>
    </row>
    <row r="1137">
      <c r="B1137" s="269" t="n">
        <v>44503</v>
      </c>
      <c r="C1137" s="270" t="n">
        <v>528.67</v>
      </c>
      <c r="D1137" s="572">
        <f>C1137/C1138-1</f>
        <v/>
      </c>
      <c r="E1137" s="270" t="n">
        <v>27828.95</v>
      </c>
      <c r="F1137" s="572">
        <f>E1137/E1138-1</f>
        <v/>
      </c>
      <c r="G1137" s="270" t="n">
        <v>17829.2</v>
      </c>
      <c r="H1137" s="572">
        <f>G1137/G1138-1</f>
        <v/>
      </c>
    </row>
    <row r="1138">
      <c r="B1138" s="269" t="n">
        <v>44502</v>
      </c>
      <c r="C1138" s="270" t="n">
        <v>520.25</v>
      </c>
      <c r="D1138" s="572">
        <f>C1138/C1139-1</f>
        <v/>
      </c>
      <c r="E1138" s="270" t="n">
        <v>27219.46</v>
      </c>
      <c r="F1138" s="572">
        <f>E1138/E1139-1</f>
        <v/>
      </c>
      <c r="G1138" s="270" t="n">
        <v>17888.95</v>
      </c>
      <c r="H1138" s="572">
        <f>G1138/G1139-1</f>
        <v/>
      </c>
    </row>
    <row r="1139">
      <c r="B1139" s="269" t="n">
        <v>44501</v>
      </c>
      <c r="C1139" s="270" t="n">
        <v>532.08</v>
      </c>
      <c r="D1139" s="572">
        <f>C1139/C1140-1</f>
        <v/>
      </c>
      <c r="E1139" s="270" t="n">
        <v>27021.56</v>
      </c>
      <c r="F1139" s="572">
        <f>E1139/E1140-1</f>
        <v/>
      </c>
      <c r="G1139" s="270" t="n">
        <v>17929.65</v>
      </c>
      <c r="H1139" s="572">
        <f>G1139/G1140-1</f>
        <v/>
      </c>
    </row>
    <row r="1140">
      <c r="B1140" s="269" t="n">
        <v>44498</v>
      </c>
      <c r="C1140" s="270" t="n">
        <v>505.85</v>
      </c>
      <c r="D1140" s="572">
        <f>C1140/C1141-1</f>
        <v/>
      </c>
      <c r="E1140" s="270" t="n">
        <v>26673.33</v>
      </c>
      <c r="F1140" s="572">
        <f>E1140/E1141-1</f>
        <v/>
      </c>
      <c r="G1140" s="270" t="n">
        <v>17671.65</v>
      </c>
      <c r="H1140" s="572">
        <f>G1140/G1141-1</f>
        <v/>
      </c>
    </row>
    <row r="1141">
      <c r="B1141" s="269" t="n">
        <v>44497</v>
      </c>
      <c r="C1141" s="270" t="n">
        <v>503.8</v>
      </c>
      <c r="D1141" s="572">
        <f>C1141/C1142-1</f>
        <v/>
      </c>
      <c r="E1141" s="270" t="n">
        <v>26870.68</v>
      </c>
      <c r="F1141" s="572">
        <f>E1141/E1142-1</f>
        <v/>
      </c>
      <c r="G1141" s="270" t="n">
        <v>17857.25</v>
      </c>
      <c r="H1141" s="572">
        <f>G1141/G1142-1</f>
        <v/>
      </c>
    </row>
    <row r="1142">
      <c r="B1142" s="269" t="n">
        <v>44496</v>
      </c>
      <c r="C1142" s="270" t="n">
        <v>518.67</v>
      </c>
      <c r="D1142" s="572">
        <f>C1142/C1143-1</f>
        <v/>
      </c>
      <c r="E1142" s="270" t="n">
        <v>26864.43</v>
      </c>
      <c r="F1142" s="572">
        <f>E1142/E1143-1</f>
        <v/>
      </c>
      <c r="G1142" s="270" t="n">
        <v>18210.95</v>
      </c>
      <c r="H1142" s="572">
        <f>G1142/G1143-1</f>
        <v/>
      </c>
    </row>
    <row r="1143">
      <c r="B1143" s="269" t="n">
        <v>44495</v>
      </c>
      <c r="C1143" s="270" t="n">
        <v>477.2</v>
      </c>
      <c r="D1143" s="572">
        <f>C1143/C1144-1</f>
        <v/>
      </c>
      <c r="E1143" s="270" t="n">
        <v>26878.36</v>
      </c>
      <c r="F1143" s="572">
        <f>E1143/E1144-1</f>
        <v/>
      </c>
      <c r="G1143" s="270" t="n">
        <v>18268.4</v>
      </c>
      <c r="H1143" s="572">
        <f>G1143/G1144-1</f>
        <v/>
      </c>
    </row>
    <row r="1144">
      <c r="B1144" s="269" t="n">
        <v>44494</v>
      </c>
      <c r="C1144" s="270" t="n">
        <v>464.98</v>
      </c>
      <c r="D1144" s="572">
        <f>C1144/C1145-1</f>
        <v/>
      </c>
      <c r="E1144" s="270" t="n">
        <v>26648.4</v>
      </c>
      <c r="F1144" s="572">
        <f>E1144/E1145-1</f>
        <v/>
      </c>
      <c r="G1144" s="270" t="n">
        <v>18125.4</v>
      </c>
      <c r="H1144" s="572">
        <f>G1144/G1145-1</f>
        <v/>
      </c>
    </row>
    <row r="1145">
      <c r="B1145" s="269" t="n">
        <v>44491</v>
      </c>
      <c r="C1145" s="270" t="n">
        <v>466.25</v>
      </c>
      <c r="D1145" s="572">
        <f>C1145/C1146-1</f>
        <v/>
      </c>
      <c r="E1145" s="270" t="n">
        <v>26835.21</v>
      </c>
      <c r="F1145" s="572">
        <f>E1145/E1146-1</f>
        <v/>
      </c>
      <c r="G1145" s="270" t="n">
        <v>18114.9</v>
      </c>
      <c r="H1145" s="572">
        <f>G1145/G1146-1</f>
        <v/>
      </c>
    </row>
    <row r="1146">
      <c r="B1146" s="269" t="n">
        <v>44490</v>
      </c>
      <c r="C1146" s="270" t="n">
        <v>466.75</v>
      </c>
      <c r="D1146" s="572">
        <f>C1146/C1147-1</f>
        <v/>
      </c>
      <c r="E1146" s="270" t="n">
        <v>27068.91</v>
      </c>
      <c r="F1146" s="572">
        <f>E1146/E1147-1</f>
        <v/>
      </c>
      <c r="G1146" s="270" t="n">
        <v>18178.1</v>
      </c>
      <c r="H1146" s="572">
        <f>G1146/G1147-1</f>
        <v/>
      </c>
    </row>
    <row r="1147">
      <c r="B1147" s="269" t="n">
        <v>44489</v>
      </c>
      <c r="C1147" s="270" t="n">
        <v>473.33</v>
      </c>
      <c r="D1147" s="572">
        <f>C1147/C1148-1</f>
        <v/>
      </c>
      <c r="E1147" s="270" t="n">
        <v>27030.32</v>
      </c>
      <c r="F1147" s="572">
        <f>E1147/E1148-1</f>
        <v/>
      </c>
      <c r="G1147" s="270" t="n">
        <v>18266.6</v>
      </c>
      <c r="H1147" s="572">
        <f>G1147/G1148-1</f>
        <v/>
      </c>
    </row>
    <row r="1148">
      <c r="B1148" s="269" t="n">
        <v>44488</v>
      </c>
      <c r="C1148" s="270" t="n">
        <v>485.95</v>
      </c>
      <c r="D1148" s="572">
        <f>C1148/C1149-1</f>
        <v/>
      </c>
      <c r="E1148" s="270" t="n">
        <v>27516.29</v>
      </c>
      <c r="F1148" s="572">
        <f>E1148/E1149-1</f>
        <v/>
      </c>
      <c r="G1148" s="270" t="n">
        <v>18418.75</v>
      </c>
      <c r="H1148" s="572">
        <f>G1148/G1149-1</f>
        <v/>
      </c>
    </row>
    <row r="1149">
      <c r="B1149" s="269" t="n">
        <v>44487</v>
      </c>
      <c r="C1149" s="270" t="n">
        <v>479.95</v>
      </c>
      <c r="D1149" s="572">
        <f>C1149/C1150-1</f>
        <v/>
      </c>
      <c r="E1149" s="270" t="n">
        <v>27359.59</v>
      </c>
      <c r="F1149" s="572">
        <f>E1149/E1150-1</f>
        <v/>
      </c>
      <c r="G1149" s="270" t="n">
        <v>18477.05</v>
      </c>
      <c r="H1149" s="572">
        <f>G1149/G1150-1</f>
        <v/>
      </c>
    </row>
    <row r="1150">
      <c r="B1150" s="269" t="n">
        <v>44483</v>
      </c>
      <c r="C1150" s="270" t="n">
        <v>488.23</v>
      </c>
      <c r="D1150" s="572">
        <f>C1150/C1151-1</f>
        <v/>
      </c>
      <c r="E1150" s="270" t="n">
        <v>27255.85</v>
      </c>
      <c r="F1150" s="572">
        <f>E1150/E1151-1</f>
        <v/>
      </c>
      <c r="G1150" s="270" t="n">
        <v>18338.55</v>
      </c>
      <c r="H1150" s="572">
        <f>G1150/G1151-1</f>
        <v/>
      </c>
    </row>
    <row r="1151">
      <c r="B1151" s="269" t="n">
        <v>44482</v>
      </c>
      <c r="C1151" s="270" t="n">
        <v>482.3</v>
      </c>
      <c r="D1151" s="572">
        <f>C1151/C1152-1</f>
        <v/>
      </c>
      <c r="E1151" s="270" t="n">
        <v>26940.15</v>
      </c>
      <c r="F1151" s="572">
        <f>E1151/E1152-1</f>
        <v/>
      </c>
      <c r="G1151" s="270" t="n">
        <v>18161.75</v>
      </c>
      <c r="H1151" s="572">
        <f>G1151/G1152-1</f>
        <v/>
      </c>
    </row>
    <row r="1152">
      <c r="B1152" s="269" t="n">
        <v>44481</v>
      </c>
      <c r="C1152" s="270" t="n">
        <v>480.7</v>
      </c>
      <c r="D1152" s="572">
        <f>C1152/C1153-1</f>
        <v/>
      </c>
      <c r="E1152" s="270" t="n">
        <v>26621.44</v>
      </c>
      <c r="F1152" s="572">
        <f>E1152/E1153-1</f>
        <v/>
      </c>
      <c r="G1152" s="270" t="n">
        <v>17991.95</v>
      </c>
      <c r="H1152" s="572">
        <f>G1152/G1153-1</f>
        <v/>
      </c>
    </row>
    <row r="1153">
      <c r="B1153" s="269" t="n">
        <v>44480</v>
      </c>
      <c r="C1153" s="270" t="n">
        <v>483.83</v>
      </c>
      <c r="D1153" s="572">
        <f>C1153/C1154-1</f>
        <v/>
      </c>
      <c r="E1153" s="270" t="n">
        <v>26432.59</v>
      </c>
      <c r="F1153" s="572">
        <f>E1153/E1154-1</f>
        <v/>
      </c>
      <c r="G1153" s="270" t="n">
        <v>17945.95</v>
      </c>
      <c r="H1153" s="572">
        <f>G1153/G1154-1</f>
        <v/>
      </c>
    </row>
    <row r="1154">
      <c r="B1154" s="269" t="n">
        <v>44477</v>
      </c>
      <c r="C1154" s="270" t="n">
        <v>489.55</v>
      </c>
      <c r="D1154" s="572">
        <f>C1154/C1155-1</f>
        <v/>
      </c>
      <c r="E1154" s="270" t="n">
        <v>26332.63</v>
      </c>
      <c r="F1154" s="572">
        <f>E1154/E1155-1</f>
        <v/>
      </c>
      <c r="G1154" s="270" t="n">
        <v>17895.2</v>
      </c>
      <c r="H1154" s="572">
        <f>G1154/G1155-1</f>
        <v/>
      </c>
    </row>
    <row r="1155">
      <c r="B1155" s="269" t="n">
        <v>44476</v>
      </c>
      <c r="C1155" s="270" t="n">
        <v>490.38</v>
      </c>
      <c r="D1155" s="572">
        <f>C1155/C1156-1</f>
        <v/>
      </c>
      <c r="E1155" s="270" t="n">
        <v>26290.98</v>
      </c>
      <c r="F1155" s="572">
        <f>E1155/E1156-1</f>
        <v/>
      </c>
      <c r="G1155" s="270" t="n">
        <v>17790.35</v>
      </c>
      <c r="H1155" s="572">
        <f>G1155/G1156-1</f>
        <v/>
      </c>
    </row>
    <row r="1156">
      <c r="B1156" s="269" t="n">
        <v>44475</v>
      </c>
      <c r="C1156" s="270" t="n">
        <v>481.52</v>
      </c>
      <c r="D1156" s="572">
        <f>C1156/C1157-1</f>
        <v/>
      </c>
      <c r="E1156" s="270" t="n">
        <v>26063.97</v>
      </c>
      <c r="F1156" s="572">
        <f>E1156/E1157-1</f>
        <v/>
      </c>
      <c r="G1156" s="270" t="n">
        <v>17646</v>
      </c>
      <c r="H1156" s="572">
        <f>G1156/G1157-1</f>
        <v/>
      </c>
    </row>
    <row r="1157">
      <c r="B1157" s="269" t="n">
        <v>44474</v>
      </c>
      <c r="C1157" s="270" t="n">
        <v>488.2</v>
      </c>
      <c r="D1157" s="572">
        <f>C1157/C1158-1</f>
        <v/>
      </c>
      <c r="E1157" s="270" t="n">
        <v>26404.54</v>
      </c>
      <c r="F1157" s="572">
        <f>E1157/E1158-1</f>
        <v/>
      </c>
      <c r="G1157" s="270" t="n">
        <v>17822.3</v>
      </c>
      <c r="H1157" s="572">
        <f>G1157/G1158-1</f>
        <v/>
      </c>
    </row>
    <row r="1158">
      <c r="B1158" s="269" t="n">
        <v>44473</v>
      </c>
      <c r="C1158" s="270" t="n">
        <v>484.88</v>
      </c>
      <c r="D1158" s="572">
        <f>C1158/C1159-1</f>
        <v/>
      </c>
      <c r="E1158" s="270" t="n">
        <v>26285.86</v>
      </c>
      <c r="F1158" s="572">
        <f>E1158/E1159-1</f>
        <v/>
      </c>
      <c r="G1158" s="270" t="n">
        <v>17691.25</v>
      </c>
      <c r="H1158" s="572">
        <f>G1158/G1159-1</f>
        <v/>
      </c>
    </row>
    <row r="1159">
      <c r="B1159" s="269" t="n">
        <v>44470</v>
      </c>
      <c r="C1159" s="270" t="n">
        <v>473</v>
      </c>
      <c r="D1159" s="572">
        <f>C1159/C1160-1</f>
        <v/>
      </c>
      <c r="E1159" s="270" t="n">
        <v>25912.59</v>
      </c>
      <c r="F1159" s="572">
        <f>E1159/E1160-1</f>
        <v/>
      </c>
      <c r="G1159" s="270" t="n">
        <v>17532.05</v>
      </c>
      <c r="H1159" s="572">
        <f>G1159/G1160-1</f>
        <v/>
      </c>
    </row>
    <row r="1160">
      <c r="B1160" s="269" t="n">
        <v>44469</v>
      </c>
      <c r="C1160" s="270" t="n">
        <v>479.33</v>
      </c>
      <c r="D1160" s="572">
        <f>C1160/C1161-1</f>
        <v/>
      </c>
      <c r="E1160" s="270" t="n">
        <v>25966.72</v>
      </c>
      <c r="F1160" s="572">
        <f>E1160/E1161-1</f>
        <v/>
      </c>
      <c r="G1160" s="270" t="n">
        <v>17618.15</v>
      </c>
      <c r="H1160" s="572">
        <f>G1160/G1161-1</f>
        <v/>
      </c>
    </row>
    <row r="1161">
      <c r="B1161" s="269" t="n">
        <v>44468</v>
      </c>
      <c r="C1161" s="270" t="n">
        <v>474.05</v>
      </c>
      <c r="D1161" s="572">
        <f>C1161/C1162-1</f>
        <v/>
      </c>
      <c r="E1161" s="270" t="n">
        <v>26011.69</v>
      </c>
      <c r="F1161" s="572">
        <f>E1161/E1162-1</f>
        <v/>
      </c>
      <c r="G1161" s="270" t="n">
        <v>17711.3</v>
      </c>
      <c r="H1161" s="572">
        <f>G1161/G1162-1</f>
        <v/>
      </c>
    </row>
    <row r="1162">
      <c r="B1162" s="269" t="n">
        <v>44467</v>
      </c>
      <c r="C1162" s="270" t="n">
        <v>476.73</v>
      </c>
      <c r="D1162" s="572">
        <f>C1162/C1163-1</f>
        <v/>
      </c>
      <c r="E1162" s="270" t="n">
        <v>26132.88</v>
      </c>
      <c r="F1162" s="572">
        <f>E1162/E1163-1</f>
        <v/>
      </c>
      <c r="G1162" s="270" t="n">
        <v>17748.6</v>
      </c>
      <c r="H1162" s="572">
        <f>G1162/G1163-1</f>
        <v/>
      </c>
    </row>
    <row r="1163">
      <c r="B1163" s="269" t="n">
        <v>44466</v>
      </c>
      <c r="C1163" s="270" t="n">
        <v>480.08</v>
      </c>
      <c r="D1163" s="572">
        <f>C1163/C1164-1</f>
        <v/>
      </c>
      <c r="E1163" s="270" t="n">
        <v>26203.4</v>
      </c>
      <c r="F1163" s="572">
        <f>E1163/E1164-1</f>
        <v/>
      </c>
      <c r="G1163" s="270" t="n">
        <v>17855.1</v>
      </c>
      <c r="H1163" s="572">
        <f>G1163/G1164-1</f>
        <v/>
      </c>
    </row>
    <row r="1164">
      <c r="B1164" s="269" t="n">
        <v>44463</v>
      </c>
      <c r="C1164" s="270" t="n">
        <v>482.52</v>
      </c>
      <c r="D1164" s="572">
        <f>C1164/C1165-1</f>
        <v/>
      </c>
      <c r="E1164" s="270" t="n">
        <v>26356.3</v>
      </c>
      <c r="F1164" s="572">
        <f>E1164/E1165-1</f>
        <v/>
      </c>
      <c r="G1164" s="270" t="n">
        <v>17853.2</v>
      </c>
      <c r="H1164" s="572">
        <f>G1164/G1165-1</f>
        <v/>
      </c>
    </row>
    <row r="1165">
      <c r="B1165" s="269" t="n">
        <v>44462</v>
      </c>
      <c r="C1165" s="270" t="n">
        <v>492.33</v>
      </c>
      <c r="D1165" s="572">
        <f>C1165/C1166-1</f>
        <v/>
      </c>
      <c r="E1165" s="270" t="n">
        <v>26464.2</v>
      </c>
      <c r="F1165" s="572">
        <f>E1165/E1166-1</f>
        <v/>
      </c>
      <c r="G1165" s="270" t="n">
        <v>17822.95</v>
      </c>
      <c r="H1165" s="572">
        <f>G1165/G1166-1</f>
        <v/>
      </c>
    </row>
    <row r="1166">
      <c r="B1166" s="269" t="n">
        <v>44461</v>
      </c>
      <c r="C1166" s="270" t="n">
        <v>491.75</v>
      </c>
      <c r="D1166" s="572">
        <f>C1166/C1167-1</f>
        <v/>
      </c>
      <c r="E1166" s="270" t="n">
        <v>25912.12</v>
      </c>
      <c r="F1166" s="572">
        <f>E1166/E1167-1</f>
        <v/>
      </c>
      <c r="G1166" s="270" t="n">
        <v>17546.65</v>
      </c>
      <c r="H1166" s="572">
        <f>G1166/G1167-1</f>
        <v/>
      </c>
    </row>
    <row r="1167">
      <c r="B1167" s="269" t="n">
        <v>44460</v>
      </c>
      <c r="C1167" s="270" t="n">
        <v>485.12</v>
      </c>
      <c r="D1167" s="572">
        <f>C1167/C1168-1</f>
        <v/>
      </c>
      <c r="E1167" s="270" t="n">
        <v>25887.62</v>
      </c>
      <c r="F1167" s="572">
        <f>E1167/E1168-1</f>
        <v/>
      </c>
      <c r="G1167" s="270" t="n">
        <v>17562</v>
      </c>
      <c r="H1167" s="572">
        <f>G1167/G1168-1</f>
        <v/>
      </c>
    </row>
    <row r="1168">
      <c r="B1168" s="269" t="n">
        <v>44459</v>
      </c>
      <c r="C1168" s="270" t="n">
        <v>482.12</v>
      </c>
      <c r="D1168" s="572">
        <f>C1168/C1169-1</f>
        <v/>
      </c>
      <c r="E1168" s="270" t="n">
        <v>25755.44</v>
      </c>
      <c r="F1168" s="572">
        <f>E1168/E1169-1</f>
        <v/>
      </c>
      <c r="G1168" s="270" t="n">
        <v>17396.9</v>
      </c>
      <c r="H1168" s="572">
        <f>G1168/G1169-1</f>
        <v/>
      </c>
    </row>
    <row r="1169">
      <c r="B1169" s="269" t="n">
        <v>44456</v>
      </c>
      <c r="C1169" s="270" t="n">
        <v>525.67</v>
      </c>
      <c r="D1169" s="572">
        <f>C1169/C1170-1</f>
        <v/>
      </c>
      <c r="E1169" s="270" t="n">
        <v>26041.36</v>
      </c>
      <c r="F1169" s="572">
        <f>E1169/E1170-1</f>
        <v/>
      </c>
      <c r="G1169" s="270" t="n">
        <v>17585.15</v>
      </c>
      <c r="H1169" s="572">
        <f>G1169/G1170-1</f>
        <v/>
      </c>
    </row>
    <row r="1170">
      <c r="B1170" s="269" t="n">
        <v>44455</v>
      </c>
      <c r="C1170" s="270" t="n">
        <v>537.17</v>
      </c>
      <c r="D1170" s="572">
        <f>C1170/C1171-1</f>
        <v/>
      </c>
      <c r="E1170" s="270" t="n">
        <v>26192.38</v>
      </c>
      <c r="F1170" s="572">
        <f>E1170/E1171-1</f>
        <v/>
      </c>
      <c r="G1170" s="270" t="n">
        <v>17629.5</v>
      </c>
      <c r="H1170" s="572">
        <f>G1170/G1171-1</f>
        <v/>
      </c>
    </row>
    <row r="1171">
      <c r="B1171" s="269" t="n">
        <v>44454</v>
      </c>
      <c r="C1171" s="270" t="n">
        <v>549.33</v>
      </c>
      <c r="D1171" s="572">
        <f>C1171/C1172-1</f>
        <v/>
      </c>
      <c r="E1171" s="270" t="n">
        <v>26153.73</v>
      </c>
      <c r="F1171" s="572">
        <f>E1171/E1172-1</f>
        <v/>
      </c>
      <c r="G1171" s="270" t="n">
        <v>17519.45</v>
      </c>
      <c r="H1171" s="572">
        <f>G1171/G1172-1</f>
        <v/>
      </c>
    </row>
    <row r="1172">
      <c r="B1172" s="269" t="n">
        <v>44453</v>
      </c>
      <c r="C1172" s="270" t="n">
        <v>546.2</v>
      </c>
      <c r="D1172" s="572">
        <f>C1172/C1173-1</f>
        <v/>
      </c>
      <c r="E1172" s="270" t="n">
        <v>25971.05</v>
      </c>
      <c r="F1172" s="572">
        <f>E1172/E1173-1</f>
        <v/>
      </c>
      <c r="G1172" s="270" t="n">
        <v>17380</v>
      </c>
      <c r="H1172" s="572">
        <f>G1172/G1173-1</f>
        <v/>
      </c>
    </row>
    <row r="1173">
      <c r="B1173" s="269" t="n">
        <v>44452</v>
      </c>
      <c r="C1173" s="270" t="n">
        <v>536</v>
      </c>
      <c r="D1173" s="572">
        <f>C1173/C1174-1</f>
        <v/>
      </c>
      <c r="E1173" s="270" t="n">
        <v>25754.33</v>
      </c>
      <c r="F1173" s="572">
        <f>E1173/E1174-1</f>
        <v/>
      </c>
      <c r="G1173" s="270" t="n">
        <v>17355.3</v>
      </c>
      <c r="H1173" s="572">
        <f>G1173/G1174-1</f>
        <v/>
      </c>
    </row>
    <row r="1174">
      <c r="B1174" s="269" t="n">
        <v>44448</v>
      </c>
      <c r="C1174" s="270" t="n">
        <v>525.8</v>
      </c>
      <c r="D1174" s="572">
        <f>C1174/C1175-1</f>
        <v/>
      </c>
      <c r="E1174" s="270" t="n">
        <v>25767.11</v>
      </c>
      <c r="F1174" s="572">
        <f>E1174/E1175-1</f>
        <v/>
      </c>
      <c r="G1174" s="270" t="n">
        <v>17369.25</v>
      </c>
      <c r="H1174" s="572">
        <f>G1174/G1175-1</f>
        <v/>
      </c>
    </row>
    <row r="1175">
      <c r="B1175" s="269" t="n">
        <v>44447</v>
      </c>
      <c r="C1175" s="270" t="n">
        <v>504</v>
      </c>
      <c r="D1175" s="572">
        <f>C1175/C1176-1</f>
        <v/>
      </c>
      <c r="E1175" s="270" t="n">
        <v>25522.84</v>
      </c>
      <c r="F1175" s="572">
        <f>E1175/E1176-1</f>
        <v/>
      </c>
      <c r="G1175" s="270" t="n">
        <v>17353.5</v>
      </c>
      <c r="H1175" s="572">
        <f>G1175/G1176-1</f>
        <v/>
      </c>
    </row>
    <row r="1176">
      <c r="B1176" s="269" t="n">
        <v>44446</v>
      </c>
      <c r="C1176" s="270" t="n">
        <v>503.1</v>
      </c>
      <c r="D1176" s="572">
        <f>C1176/C1177-1</f>
        <v/>
      </c>
      <c r="E1176" s="270" t="n">
        <v>25492.42</v>
      </c>
      <c r="F1176" s="572">
        <f>E1176/E1177-1</f>
        <v/>
      </c>
      <c r="G1176" s="270" t="n">
        <v>17362.1</v>
      </c>
      <c r="H1176" s="572">
        <f>G1176/G1177-1</f>
        <v/>
      </c>
    </row>
    <row r="1177">
      <c r="B1177" s="269" t="n">
        <v>44445</v>
      </c>
      <c r="C1177" s="270" t="n">
        <v>500.4</v>
      </c>
      <c r="D1177" s="572">
        <f>C1177/C1178-1</f>
        <v/>
      </c>
      <c r="E1177" s="270" t="n">
        <v>25625.53</v>
      </c>
      <c r="F1177" s="572">
        <f>E1177/E1178-1</f>
        <v/>
      </c>
      <c r="G1177" s="270" t="n">
        <v>17377.8</v>
      </c>
      <c r="H1177" s="572">
        <f>G1177/G1178-1</f>
        <v/>
      </c>
    </row>
    <row r="1178">
      <c r="B1178" s="269" t="n">
        <v>44442</v>
      </c>
      <c r="C1178" s="270" t="n">
        <v>501.67</v>
      </c>
      <c r="D1178" s="572">
        <f>C1178/C1179-1</f>
        <v/>
      </c>
      <c r="E1178" s="270" t="n">
        <v>25559.98</v>
      </c>
      <c r="F1178" s="572">
        <f>E1178/E1179-1</f>
        <v/>
      </c>
      <c r="G1178" s="270" t="n">
        <v>17323.6</v>
      </c>
      <c r="H1178" s="572">
        <f>G1178/G1179-1</f>
        <v/>
      </c>
    </row>
    <row r="1179">
      <c r="B1179" s="269" t="n">
        <v>44441</v>
      </c>
      <c r="C1179" s="270" t="n">
        <v>499.65</v>
      </c>
      <c r="D1179" s="572">
        <f>C1179/C1180-1</f>
        <v/>
      </c>
      <c r="E1179" s="270" t="n">
        <v>25376.39</v>
      </c>
      <c r="F1179" s="572">
        <f>E1179/E1180-1</f>
        <v/>
      </c>
      <c r="G1179" s="270" t="n">
        <v>17234.15</v>
      </c>
      <c r="H1179" s="572">
        <f>G1179/G1180-1</f>
        <v/>
      </c>
    </row>
    <row r="1180">
      <c r="B1180" s="269" t="n">
        <v>44440</v>
      </c>
      <c r="C1180" s="270" t="n">
        <v>495.1</v>
      </c>
      <c r="D1180" s="572">
        <f>C1180/C1181-1</f>
        <v/>
      </c>
      <c r="E1180" s="270" t="n">
        <v>25279.4</v>
      </c>
      <c r="F1180" s="572">
        <f>E1180/E1181-1</f>
        <v/>
      </c>
      <c r="G1180" s="270" t="n">
        <v>17076.25</v>
      </c>
      <c r="H1180" s="572">
        <f>G1180/G1181-1</f>
        <v/>
      </c>
    </row>
    <row r="1181">
      <c r="B1181" s="269" t="n">
        <v>44439</v>
      </c>
      <c r="C1181" s="270" t="n">
        <v>505.73</v>
      </c>
      <c r="D1181" s="572">
        <f>C1181/C1182-1</f>
        <v/>
      </c>
      <c r="E1181" s="270" t="n">
        <v>24973.86</v>
      </c>
      <c r="F1181" s="572">
        <f>E1181/E1182-1</f>
        <v/>
      </c>
      <c r="G1181" s="270" t="n">
        <v>17132.2</v>
      </c>
      <c r="H1181" s="572">
        <f>G1181/G1182-1</f>
        <v/>
      </c>
    </row>
    <row r="1182">
      <c r="B1182" s="269" t="n">
        <v>44438</v>
      </c>
      <c r="C1182" s="270" t="n">
        <v>486.58</v>
      </c>
      <c r="D1182" s="572">
        <f>C1182/C1183-1</f>
        <v/>
      </c>
      <c r="E1182" s="270" t="n">
        <v>24835.73</v>
      </c>
      <c r="F1182" s="572">
        <f>E1182/E1183-1</f>
        <v/>
      </c>
      <c r="G1182" s="270" t="n">
        <v>16931.05</v>
      </c>
      <c r="H1182" s="572">
        <f>G1182/G1183-1</f>
        <v/>
      </c>
    </row>
    <row r="1183">
      <c r="B1183" s="269" t="n">
        <v>44435</v>
      </c>
      <c r="C1183" s="270" t="n">
        <v>474.12</v>
      </c>
      <c r="D1183" s="572">
        <f>C1183/C1184-1</f>
        <v/>
      </c>
      <c r="E1183" s="270" t="n">
        <v>24470.52</v>
      </c>
      <c r="F1183" s="572">
        <f>E1183/E1184-1</f>
        <v/>
      </c>
      <c r="G1183" s="270" t="n">
        <v>16705.2</v>
      </c>
      <c r="H1183" s="572">
        <f>G1183/G1184-1</f>
        <v/>
      </c>
    </row>
    <row r="1184">
      <c r="B1184" s="269" t="n">
        <v>44434</v>
      </c>
      <c r="C1184" s="270" t="n">
        <v>475.6</v>
      </c>
      <c r="D1184" s="572">
        <f>C1184/C1185-1</f>
        <v/>
      </c>
      <c r="E1184" s="270" t="n">
        <v>23956.96</v>
      </c>
      <c r="F1184" s="572">
        <f>E1184/E1185-1</f>
        <v/>
      </c>
      <c r="G1184" s="270" t="n">
        <v>16636.9</v>
      </c>
      <c r="H1184" s="572">
        <f>G1184/G1185-1</f>
        <v/>
      </c>
    </row>
    <row r="1185">
      <c r="B1185" s="269" t="n">
        <v>44433</v>
      </c>
      <c r="C1185" s="270" t="n">
        <v>481.7</v>
      </c>
      <c r="D1185" s="572">
        <f>C1185/C1186-1</f>
        <v/>
      </c>
      <c r="E1185" s="270" t="n">
        <v>23791.75</v>
      </c>
      <c r="F1185" s="572">
        <f>E1185/E1186-1</f>
        <v/>
      </c>
      <c r="G1185" s="270" t="n">
        <v>16634.65</v>
      </c>
      <c r="H1185" s="572">
        <f>G1185/G1186-1</f>
        <v/>
      </c>
    </row>
    <row r="1186">
      <c r="B1186" s="269" t="n">
        <v>44432</v>
      </c>
      <c r="C1186" s="270" t="n">
        <v>471.4</v>
      </c>
      <c r="D1186" s="572">
        <f>C1186/C1187-1</f>
        <v/>
      </c>
      <c r="E1186" s="270" t="n">
        <v>23826.2</v>
      </c>
      <c r="F1186" s="572">
        <f>E1186/E1187-1</f>
        <v/>
      </c>
      <c r="G1186" s="270" t="n">
        <v>16624.6</v>
      </c>
      <c r="H1186" s="572">
        <f>G1186/G1187-1</f>
        <v/>
      </c>
    </row>
    <row r="1187">
      <c r="B1187" s="269" t="n">
        <v>44431</v>
      </c>
      <c r="C1187" s="270" t="n">
        <v>467.23</v>
      </c>
      <c r="D1187" s="572">
        <f>C1187/C1188-1</f>
        <v/>
      </c>
      <c r="E1187" s="270" t="n">
        <v>23420.45</v>
      </c>
      <c r="F1187" s="572">
        <f>E1187/E1188-1</f>
        <v/>
      </c>
      <c r="G1187" s="270" t="n">
        <v>16496.45</v>
      </c>
      <c r="H1187" s="572">
        <f>G1187/G1188-1</f>
        <v/>
      </c>
    </row>
    <row r="1188">
      <c r="B1188" s="269" t="n">
        <v>44428</v>
      </c>
      <c r="C1188" s="270" t="n">
        <v>482.17</v>
      </c>
      <c r="D1188" s="572">
        <f>C1188/C1189-1</f>
        <v/>
      </c>
      <c r="E1188" s="270" t="n">
        <v>23548.46</v>
      </c>
      <c r="F1188" s="572">
        <f>E1188/E1189-1</f>
        <v/>
      </c>
      <c r="G1188" s="270" t="n">
        <v>16450.5</v>
      </c>
      <c r="H1188" s="572">
        <f>G1188/G1189-1</f>
        <v/>
      </c>
    </row>
    <row r="1189">
      <c r="B1189" s="269" t="n">
        <v>44426</v>
      </c>
      <c r="C1189" s="270" t="n">
        <v>502.67</v>
      </c>
      <c r="D1189" s="572">
        <f>C1189/C1190-1</f>
        <v/>
      </c>
      <c r="E1189" s="270" t="n">
        <v>24040.86</v>
      </c>
      <c r="F1189" s="572">
        <f>E1189/E1190-1</f>
        <v/>
      </c>
      <c r="G1189" s="270" t="n">
        <v>16568.85</v>
      </c>
      <c r="H1189" s="572">
        <f>G1189/G1190-1</f>
        <v/>
      </c>
    </row>
    <row r="1190">
      <c r="B1190" s="269" t="n">
        <v>44425</v>
      </c>
      <c r="C1190" s="270" t="n">
        <v>506.7</v>
      </c>
      <c r="D1190" s="572">
        <f>C1190/C1191-1</f>
        <v/>
      </c>
      <c r="E1190" s="270" t="n">
        <v>24048.57</v>
      </c>
      <c r="F1190" s="572">
        <f>E1190/E1191-1</f>
        <v/>
      </c>
      <c r="G1190" s="270" t="n">
        <v>16614.6</v>
      </c>
      <c r="H1190" s="572">
        <f>G1190/G1191-1</f>
        <v/>
      </c>
    </row>
    <row r="1191">
      <c r="B1191" s="269" t="n">
        <v>44424</v>
      </c>
      <c r="C1191" s="270" t="n">
        <v>502.27</v>
      </c>
      <c r="D1191" s="572">
        <f>C1191/C1192-1</f>
        <v/>
      </c>
      <c r="E1191" s="270" t="n">
        <v>24153.17</v>
      </c>
      <c r="F1191" s="572">
        <f>E1191/E1192-1</f>
        <v/>
      </c>
      <c r="G1191" s="270" t="n">
        <v>16563.05</v>
      </c>
      <c r="H1191" s="572">
        <f>G1191/G1192-1</f>
        <v/>
      </c>
    </row>
    <row r="1192">
      <c r="B1192" s="269" t="n">
        <v>44421</v>
      </c>
      <c r="C1192" s="270" t="n">
        <v>500.15</v>
      </c>
      <c r="D1192" s="572">
        <f>C1192/C1193-1</f>
        <v/>
      </c>
      <c r="E1192" s="270" t="n">
        <v>24317.29</v>
      </c>
      <c r="F1192" s="572">
        <f>E1192/E1193-1</f>
        <v/>
      </c>
      <c r="G1192" s="270" t="n">
        <v>16529.1</v>
      </c>
      <c r="H1192" s="572">
        <f>G1192/G1193-1</f>
        <v/>
      </c>
    </row>
    <row r="1193">
      <c r="B1193" s="269" t="n">
        <v>44420</v>
      </c>
      <c r="C1193" s="270" t="n">
        <v>513.9</v>
      </c>
      <c r="D1193" s="572">
        <f>C1193/C1194-1</f>
        <v/>
      </c>
      <c r="E1193" s="270" t="n">
        <v>23938.25</v>
      </c>
      <c r="F1193" s="572">
        <f>E1193/E1194-1</f>
        <v/>
      </c>
      <c r="G1193" s="270" t="n">
        <v>16364.4</v>
      </c>
      <c r="H1193" s="572">
        <f>G1193/G1194-1</f>
        <v/>
      </c>
    </row>
    <row r="1194">
      <c r="B1194" s="269" t="n">
        <v>44419</v>
      </c>
      <c r="C1194" s="270" t="n">
        <v>481.23</v>
      </c>
      <c r="D1194" s="572">
        <f>C1194/C1195-1</f>
        <v/>
      </c>
      <c r="E1194" s="270" t="n">
        <v>23537.05</v>
      </c>
      <c r="F1194" s="572">
        <f>E1194/E1195-1</f>
        <v/>
      </c>
      <c r="G1194" s="270" t="n">
        <v>16282.25</v>
      </c>
      <c r="H1194" s="572">
        <f>G1194/G1195-1</f>
        <v/>
      </c>
    </row>
    <row r="1195">
      <c r="B1195" s="269" t="n">
        <v>44418</v>
      </c>
      <c r="C1195" s="270" t="n">
        <v>479.35</v>
      </c>
      <c r="D1195" s="572">
        <f>C1195/C1196-1</f>
        <v/>
      </c>
      <c r="E1195" s="270" t="n">
        <v>23395.05</v>
      </c>
      <c r="F1195" s="572">
        <f>E1195/E1196-1</f>
        <v/>
      </c>
      <c r="G1195" s="270" t="n">
        <v>16280.1</v>
      </c>
      <c r="H1195" s="572">
        <f>G1195/G1196-1</f>
        <v/>
      </c>
    </row>
    <row r="1196">
      <c r="B1196" s="269" t="n">
        <v>44417</v>
      </c>
      <c r="C1196" s="270" t="n">
        <v>495.6</v>
      </c>
      <c r="D1196" s="572">
        <f>C1196/C1197-1</f>
        <v/>
      </c>
      <c r="E1196" s="270" t="n">
        <v>23588.05</v>
      </c>
      <c r="F1196" s="572">
        <f>E1196/E1197-1</f>
        <v/>
      </c>
      <c r="G1196" s="270" t="n">
        <v>16258.25</v>
      </c>
      <c r="H1196" s="572">
        <f>G1196/G1197-1</f>
        <v/>
      </c>
    </row>
    <row r="1197">
      <c r="B1197" s="269" t="n">
        <v>44414</v>
      </c>
      <c r="C1197" s="270" t="n">
        <v>503.45</v>
      </c>
      <c r="D1197" s="572">
        <f>C1197/C1198-1</f>
        <v/>
      </c>
      <c r="E1197" s="270" t="n">
        <v>23782.4</v>
      </c>
      <c r="F1197" s="572">
        <f>E1197/E1198-1</f>
        <v/>
      </c>
      <c r="G1197" s="270" t="n">
        <v>16238.2</v>
      </c>
      <c r="H1197" s="572">
        <f>G1197/G1198-1</f>
        <v/>
      </c>
    </row>
    <row r="1198">
      <c r="B1198" s="269" t="n">
        <v>44413</v>
      </c>
      <c r="C1198" s="270" t="n">
        <v>505.17</v>
      </c>
      <c r="D1198" s="572">
        <f>C1198/C1199-1</f>
        <v/>
      </c>
      <c r="E1198" s="270" t="n">
        <v>23845.6</v>
      </c>
      <c r="F1198" s="572">
        <f>E1198/E1199-1</f>
        <v/>
      </c>
      <c r="G1198" s="270" t="n">
        <v>16294.6</v>
      </c>
      <c r="H1198" s="572">
        <f>G1198/G1199-1</f>
        <v/>
      </c>
    </row>
    <row r="1199">
      <c r="B1199" s="269" t="n">
        <v>44412</v>
      </c>
      <c r="C1199" s="270" t="n">
        <v>500.3</v>
      </c>
      <c r="D1199" s="572">
        <f>C1199/C1200-1</f>
        <v/>
      </c>
      <c r="E1199" s="270" t="n">
        <v>23849.9</v>
      </c>
      <c r="F1199" s="572">
        <f>E1199/E1200-1</f>
        <v/>
      </c>
      <c r="G1199" s="270" t="n">
        <v>16258.8</v>
      </c>
      <c r="H1199" s="572">
        <f>G1199/G1200-1</f>
        <v/>
      </c>
    </row>
    <row r="1200">
      <c r="B1200" s="269" t="n">
        <v>44411</v>
      </c>
      <c r="C1200" s="270" t="n">
        <v>521.5</v>
      </c>
      <c r="D1200" s="572">
        <f>C1200/C1201-1</f>
        <v/>
      </c>
      <c r="E1200" s="270" t="n">
        <v>24048.57</v>
      </c>
      <c r="F1200" s="572">
        <f>E1200/E1201-1</f>
        <v/>
      </c>
      <c r="G1200" s="270" t="n">
        <v>16130.75</v>
      </c>
      <c r="H1200" s="572">
        <f>G1200/G1201-1</f>
        <v/>
      </c>
    </row>
    <row r="1201">
      <c r="B1201" s="269" t="n">
        <v>44410</v>
      </c>
      <c r="C1201" s="270" t="n">
        <v>518.03</v>
      </c>
      <c r="D1201" s="572">
        <f>C1201/C1202-1</f>
        <v/>
      </c>
      <c r="E1201" s="270" t="n">
        <v>23787.5</v>
      </c>
      <c r="F1201" s="572">
        <f>E1201/E1202-1</f>
        <v/>
      </c>
      <c r="G1201" s="270" t="n">
        <v>15885.15</v>
      </c>
      <c r="H1201" s="572">
        <f>G1201/G1202-1</f>
        <v/>
      </c>
    </row>
    <row r="1202">
      <c r="B1202" s="269" t="n">
        <v>44407</v>
      </c>
      <c r="C1202" s="270" t="n">
        <v>513.88</v>
      </c>
      <c r="D1202" s="572">
        <f>C1202/C1203-1</f>
        <v/>
      </c>
      <c r="E1202" s="270" t="n">
        <v>23671.73</v>
      </c>
      <c r="F1202" s="572">
        <f>E1202/E1203-1</f>
        <v/>
      </c>
      <c r="G1202" s="270" t="n">
        <v>15763.05</v>
      </c>
      <c r="H1202" s="572">
        <f>G1202/G1203-1</f>
        <v/>
      </c>
    </row>
    <row r="1203">
      <c r="B1203" s="269" t="n">
        <v>44406</v>
      </c>
      <c r="C1203" s="270" t="n">
        <v>519.8</v>
      </c>
      <c r="D1203" s="572">
        <f>C1203/C1204-1</f>
        <v/>
      </c>
      <c r="E1203" s="270" t="n">
        <v>23708.71</v>
      </c>
      <c r="F1203" s="572">
        <f>E1203/E1204-1</f>
        <v/>
      </c>
      <c r="G1203" s="270" t="n">
        <v>15778.45</v>
      </c>
      <c r="H1203" s="572">
        <f>G1203/G1204-1</f>
        <v/>
      </c>
    </row>
    <row r="1204">
      <c r="B1204" s="269" t="n">
        <v>44405</v>
      </c>
      <c r="C1204" s="270" t="n">
        <v>521.5</v>
      </c>
      <c r="D1204" s="572">
        <f>C1204/C1205-1</f>
        <v/>
      </c>
      <c r="E1204" s="270" t="n">
        <v>23686.42</v>
      </c>
      <c r="F1204" s="572">
        <f>E1204/E1205-1</f>
        <v/>
      </c>
      <c r="G1204" s="270" t="n">
        <v>15709.4</v>
      </c>
      <c r="H1204" s="572">
        <f>G1204/G1205-1</f>
        <v/>
      </c>
    </row>
    <row r="1205">
      <c r="B1205" s="269" t="n">
        <v>44404</v>
      </c>
      <c r="C1205" s="270" t="n">
        <v>465.92</v>
      </c>
      <c r="D1205" s="572">
        <f>C1205/C1206-1</f>
        <v/>
      </c>
      <c r="E1205" s="270" t="n">
        <v>23678.74</v>
      </c>
      <c r="F1205" s="572">
        <f>E1205/E1206-1</f>
        <v/>
      </c>
      <c r="G1205" s="270" t="n">
        <v>15746.45</v>
      </c>
      <c r="H1205" s="572">
        <f>G1205/G1206-1</f>
        <v/>
      </c>
    </row>
    <row r="1206">
      <c r="B1206" s="269" t="n">
        <v>44403</v>
      </c>
      <c r="C1206" s="270" t="n">
        <v>480.7</v>
      </c>
      <c r="D1206" s="572">
        <f>C1206/C1207-1</f>
        <v/>
      </c>
      <c r="E1206" s="270" t="n">
        <v>23735.6</v>
      </c>
      <c r="F1206" s="572">
        <f>E1206/E1207-1</f>
        <v/>
      </c>
      <c r="G1206" s="270" t="n">
        <v>15824.45</v>
      </c>
      <c r="H1206" s="572">
        <f>G1206/G1207-1</f>
        <v/>
      </c>
    </row>
    <row r="1207">
      <c r="B1207" s="269" t="n">
        <v>44400</v>
      </c>
      <c r="C1207" s="270" t="n">
        <v>484.58</v>
      </c>
      <c r="D1207" s="572">
        <f>C1207/C1208-1</f>
        <v/>
      </c>
      <c r="E1207" s="270" t="n">
        <v>23845.96</v>
      </c>
      <c r="F1207" s="572">
        <f>E1207/E1208-1</f>
        <v/>
      </c>
      <c r="G1207" s="270" t="n">
        <v>15856.05</v>
      </c>
      <c r="H1207" s="572">
        <f>G1207/G1208-1</f>
        <v/>
      </c>
    </row>
    <row r="1208">
      <c r="B1208" s="269" t="n">
        <v>44399</v>
      </c>
      <c r="C1208" s="270" t="n">
        <v>501.02</v>
      </c>
      <c r="D1208" s="572">
        <f>C1208/C1209-1</f>
        <v/>
      </c>
      <c r="E1208" s="270" t="n">
        <v>24049.49</v>
      </c>
      <c r="F1208" s="572">
        <f>E1208/E1209-1</f>
        <v/>
      </c>
      <c r="G1208" s="270" t="n">
        <v>15824.05</v>
      </c>
      <c r="H1208" s="572">
        <f>G1208/G1209-1</f>
        <v/>
      </c>
    </row>
    <row r="1209">
      <c r="B1209" s="269" t="n">
        <v>44397</v>
      </c>
      <c r="C1209" s="270" t="n">
        <v>494.75</v>
      </c>
      <c r="D1209" s="572">
        <f>C1209/C1210-1</f>
        <v/>
      </c>
      <c r="E1209" s="270" t="n">
        <v>23396.48</v>
      </c>
      <c r="F1209" s="572">
        <f>E1209/E1210-1</f>
        <v/>
      </c>
      <c r="G1209" s="270" t="n">
        <v>15632.1</v>
      </c>
      <c r="H1209" s="572">
        <f>G1209/G1210-1</f>
        <v/>
      </c>
    </row>
    <row r="1210">
      <c r="B1210" s="269" t="n">
        <v>44396</v>
      </c>
      <c r="C1210" s="270" t="n">
        <v>497.98</v>
      </c>
      <c r="D1210" s="572">
        <f>C1210/C1211-1</f>
        <v/>
      </c>
      <c r="E1210" s="270" t="n">
        <v>23736.6</v>
      </c>
      <c r="F1210" s="572">
        <f>E1210/E1211-1</f>
        <v/>
      </c>
      <c r="G1210" s="270" t="n">
        <v>15752.4</v>
      </c>
      <c r="H1210" s="572">
        <f>G1210/G1211-1</f>
        <v/>
      </c>
    </row>
    <row r="1211">
      <c r="B1211" s="269" t="n">
        <v>44393</v>
      </c>
      <c r="C1211" s="270" t="n">
        <v>485.48</v>
      </c>
      <c r="D1211" s="572">
        <f>C1211/C1212-1</f>
        <v/>
      </c>
      <c r="E1211" s="270" t="n">
        <v>23868.71</v>
      </c>
      <c r="F1211" s="572">
        <f>E1211/E1212-1</f>
        <v/>
      </c>
      <c r="G1211" s="270" t="n">
        <v>15923.4</v>
      </c>
      <c r="H1211" s="572">
        <f>G1211/G1212-1</f>
        <v/>
      </c>
    </row>
    <row r="1212">
      <c r="B1212" s="269" t="n">
        <v>44392</v>
      </c>
      <c r="C1212" s="270" t="n">
        <v>444.67</v>
      </c>
      <c r="D1212" s="572">
        <f>C1212/C1213-1</f>
        <v/>
      </c>
      <c r="E1212" s="270" t="n">
        <v>23749.36</v>
      </c>
      <c r="F1212" s="572">
        <f>E1212/E1213-1</f>
        <v/>
      </c>
      <c r="G1212" s="270" t="n">
        <v>15924.2</v>
      </c>
      <c r="H1212" s="572">
        <f>G1212/G1213-1</f>
        <v/>
      </c>
    </row>
    <row r="1213">
      <c r="B1213" s="269" t="n">
        <v>44391</v>
      </c>
      <c r="C1213" s="270" t="n">
        <v>441.58</v>
      </c>
      <c r="D1213" s="572">
        <f>C1213/C1214-1</f>
        <v/>
      </c>
      <c r="E1213" s="270" t="n">
        <v>23275.16</v>
      </c>
      <c r="F1213" s="572">
        <f>E1213/E1214-1</f>
        <v/>
      </c>
      <c r="G1213" s="270" t="n">
        <v>15853.95</v>
      </c>
      <c r="H1213" s="572">
        <f>G1213/G1214-1</f>
        <v/>
      </c>
    </row>
    <row r="1214">
      <c r="B1214" s="269" t="n">
        <v>44390</v>
      </c>
      <c r="C1214" s="270" t="n">
        <v>438.38</v>
      </c>
      <c r="D1214" s="572">
        <f>C1214/C1215-1</f>
        <v/>
      </c>
      <c r="E1214" s="270" t="n">
        <v>23067.51</v>
      </c>
      <c r="F1214" s="572">
        <f>E1214/E1215-1</f>
        <v/>
      </c>
      <c r="G1214" s="270" t="n">
        <v>15812.35</v>
      </c>
      <c r="H1214" s="572">
        <f>G1214/G1215-1</f>
        <v/>
      </c>
    </row>
    <row r="1215">
      <c r="B1215" s="269" t="n">
        <v>44389</v>
      </c>
      <c r="C1215" s="270" t="n">
        <v>442.02</v>
      </c>
      <c r="D1215" s="572">
        <f>C1215/C1216-1</f>
        <v/>
      </c>
      <c r="E1215" s="270" t="n">
        <v>22982.39</v>
      </c>
      <c r="F1215" s="572">
        <f>E1215/E1216-1</f>
        <v/>
      </c>
      <c r="G1215" s="270" t="n">
        <v>15692.6</v>
      </c>
      <c r="H1215" s="572">
        <f>G1215/G1216-1</f>
        <v/>
      </c>
    </row>
    <row r="1216">
      <c r="B1216" s="269" t="n">
        <v>44386</v>
      </c>
      <c r="C1216" s="270" t="n">
        <v>433.67</v>
      </c>
      <c r="D1216" s="572">
        <f>C1216/C1217-1</f>
        <v/>
      </c>
      <c r="E1216" s="270" t="n">
        <v>22960.64</v>
      </c>
      <c r="F1216" s="572">
        <f>E1216/E1217-1</f>
        <v/>
      </c>
      <c r="G1216" s="270" t="n">
        <v>15689.8</v>
      </c>
      <c r="H1216" s="572">
        <f>G1216/G1217-1</f>
        <v/>
      </c>
    </row>
    <row r="1217">
      <c r="B1217" s="269" t="n">
        <v>44385</v>
      </c>
      <c r="C1217" s="270" t="n">
        <v>435.3</v>
      </c>
      <c r="D1217" s="572">
        <f>C1217/C1218-1</f>
        <v/>
      </c>
      <c r="E1217" s="270" t="n">
        <v>23032.86</v>
      </c>
      <c r="F1217" s="572">
        <f>E1217/E1218-1</f>
        <v/>
      </c>
      <c r="G1217" s="270" t="n">
        <v>15727.9</v>
      </c>
      <c r="H1217" s="572">
        <f>G1217/G1218-1</f>
        <v/>
      </c>
    </row>
    <row r="1218">
      <c r="B1218" s="269" t="n">
        <v>44384</v>
      </c>
      <c r="C1218" s="270" t="n">
        <v>442.8</v>
      </c>
      <c r="D1218" s="572">
        <f>C1218/C1219-1</f>
        <v/>
      </c>
      <c r="E1218" s="270" t="n">
        <v>23130.31</v>
      </c>
      <c r="F1218" s="572">
        <f>E1218/E1219-1</f>
        <v/>
      </c>
      <c r="G1218" s="270" t="n">
        <v>15879.65</v>
      </c>
      <c r="H1218" s="572">
        <f>G1218/G1219-1</f>
        <v/>
      </c>
    </row>
    <row r="1219">
      <c r="B1219" s="269" t="n">
        <v>44383</v>
      </c>
      <c r="C1219" s="270" t="n">
        <v>440.85</v>
      </c>
      <c r="D1219" s="572">
        <f>C1219/C1220-1</f>
        <v/>
      </c>
      <c r="E1219" s="270" t="n">
        <v>22918.71</v>
      </c>
      <c r="F1219" s="572">
        <f>E1219/E1220-1</f>
        <v/>
      </c>
      <c r="G1219" s="270" t="n">
        <v>15818.25</v>
      </c>
      <c r="H1219" s="572">
        <f>G1219/G1220-1</f>
        <v/>
      </c>
    </row>
    <row r="1220">
      <c r="B1220" s="269" t="n">
        <v>44382</v>
      </c>
      <c r="C1220" s="270" t="n">
        <v>455.35</v>
      </c>
      <c r="D1220" s="572">
        <f>C1220/C1221-1</f>
        <v/>
      </c>
      <c r="E1220" s="270" t="n">
        <v>22867.23</v>
      </c>
      <c r="F1220" s="572">
        <f>E1220/E1221-1</f>
        <v/>
      </c>
      <c r="G1220" s="270" t="n">
        <v>15834.35</v>
      </c>
      <c r="H1220" s="572">
        <f>G1220/G1221-1</f>
        <v/>
      </c>
    </row>
    <row r="1221">
      <c r="B1221" s="269" t="n">
        <v>44379</v>
      </c>
      <c r="C1221" s="270" t="n">
        <v>434.27</v>
      </c>
      <c r="D1221" s="572">
        <f>C1221/C1222-1</f>
        <v/>
      </c>
      <c r="E1221" s="270" t="n">
        <v>22776.12</v>
      </c>
      <c r="F1221" s="572">
        <f>E1221/E1222-1</f>
        <v/>
      </c>
      <c r="G1221" s="270" t="n">
        <v>15722.2</v>
      </c>
      <c r="H1221" s="572">
        <f>G1221/G1222-1</f>
        <v/>
      </c>
    </row>
    <row r="1222">
      <c r="B1222" s="269" t="n">
        <v>44378</v>
      </c>
      <c r="C1222" s="270" t="n">
        <v>433.23</v>
      </c>
      <c r="D1222" s="572">
        <f>C1222/C1223-1</f>
        <v/>
      </c>
      <c r="E1222" s="270" t="n">
        <v>22858.3</v>
      </c>
      <c r="F1222" s="572">
        <f>E1222/E1223-1</f>
        <v/>
      </c>
      <c r="G1222" s="270" t="n">
        <v>15680</v>
      </c>
      <c r="H1222" s="572">
        <f>G1222/G1223-1</f>
        <v/>
      </c>
    </row>
    <row r="1223">
      <c r="B1223" s="269" t="n">
        <v>44377</v>
      </c>
      <c r="C1223" s="270" t="n">
        <v>432.5</v>
      </c>
      <c r="D1223" s="572">
        <f>C1223/C1224-1</f>
        <v/>
      </c>
      <c r="E1223" s="270" t="n">
        <v>22948.98</v>
      </c>
      <c r="F1223" s="572">
        <f>E1223/E1224-1</f>
        <v/>
      </c>
      <c r="G1223" s="270" t="n">
        <v>15721.5</v>
      </c>
      <c r="H1223" s="572">
        <f>G1223/G1224-1</f>
        <v/>
      </c>
    </row>
    <row r="1224">
      <c r="B1224" s="269" t="n">
        <v>44376</v>
      </c>
      <c r="C1224" s="270" t="n">
        <v>441.95</v>
      </c>
      <c r="D1224" s="572">
        <f>C1224/C1225-1</f>
        <v/>
      </c>
      <c r="E1224" s="270" t="n">
        <v>22876.97</v>
      </c>
      <c r="F1224" s="572">
        <f>E1224/E1225-1</f>
        <v/>
      </c>
      <c r="G1224" s="270" t="n">
        <v>15748.45</v>
      </c>
      <c r="H1224" s="572">
        <f>G1224/G1225-1</f>
        <v/>
      </c>
    </row>
    <row r="1225">
      <c r="B1225" s="269" t="n">
        <v>44375</v>
      </c>
      <c r="C1225" s="270" t="n">
        <v>439.05</v>
      </c>
      <c r="D1225" s="572">
        <f>C1225/C1226-1</f>
        <v/>
      </c>
      <c r="E1225" s="270" t="n">
        <v>22954.93</v>
      </c>
      <c r="F1225" s="572">
        <f>E1225/E1226-1</f>
        <v/>
      </c>
      <c r="G1225" s="270" t="n">
        <v>15814.7</v>
      </c>
      <c r="H1225" s="572">
        <f>G1225/G1226-1</f>
        <v/>
      </c>
    </row>
    <row r="1226">
      <c r="B1226" s="269" t="n">
        <v>44372</v>
      </c>
      <c r="C1226" s="270" t="n">
        <v>435.23</v>
      </c>
      <c r="D1226" s="572">
        <f>C1226/C1227-1</f>
        <v/>
      </c>
      <c r="E1226" s="270" t="n">
        <v>23084.23</v>
      </c>
      <c r="F1226" s="572">
        <f>E1226/E1227-1</f>
        <v/>
      </c>
      <c r="G1226" s="270" t="n">
        <v>15860.35</v>
      </c>
      <c r="H1226" s="572">
        <f>G1226/G1227-1</f>
        <v/>
      </c>
    </row>
    <row r="1227">
      <c r="B1227" s="269" t="n">
        <v>44371</v>
      </c>
      <c r="C1227" s="270" t="n">
        <v>434</v>
      </c>
      <c r="D1227" s="572">
        <f>C1227/C1228-1</f>
        <v/>
      </c>
      <c r="E1227" s="270" t="n">
        <v>22806.64</v>
      </c>
      <c r="F1227" s="572">
        <f>E1227/E1228-1</f>
        <v/>
      </c>
      <c r="G1227" s="270" t="n">
        <v>15790.45</v>
      </c>
      <c r="H1227" s="572">
        <f>G1227/G1228-1</f>
        <v/>
      </c>
    </row>
    <row r="1228">
      <c r="B1228" s="269" t="n">
        <v>44370</v>
      </c>
      <c r="C1228" s="270" t="n">
        <v>444.9</v>
      </c>
      <c r="D1228" s="572">
        <f>C1228/C1229-1</f>
        <v/>
      </c>
      <c r="E1228" s="270" t="n">
        <v>22683.64</v>
      </c>
      <c r="F1228" s="572">
        <f>E1228/E1229-1</f>
        <v/>
      </c>
      <c r="G1228" s="270" t="n">
        <v>15686.95</v>
      </c>
      <c r="H1228" s="572">
        <f>G1228/G1229-1</f>
        <v/>
      </c>
    </row>
    <row r="1229">
      <c r="B1229" s="269" t="n">
        <v>44369</v>
      </c>
      <c r="C1229" s="270" t="n">
        <v>431.45</v>
      </c>
      <c r="D1229" s="572">
        <f>C1229/C1230-1</f>
        <v/>
      </c>
      <c r="E1229" s="270" t="n">
        <v>22686.38</v>
      </c>
      <c r="F1229" s="572">
        <f>E1229/E1230-1</f>
        <v/>
      </c>
      <c r="G1229" s="270" t="n">
        <v>15772.75</v>
      </c>
      <c r="H1229" s="572">
        <f>G1229/G1230-1</f>
        <v/>
      </c>
    </row>
    <row r="1230">
      <c r="B1230" s="269" t="n">
        <v>44368</v>
      </c>
      <c r="C1230" s="270" t="n">
        <v>435.8</v>
      </c>
      <c r="D1230" s="572">
        <f>C1230/C1231-1</f>
        <v/>
      </c>
      <c r="E1230" s="270" t="n">
        <v>22251.8</v>
      </c>
      <c r="F1230" s="572">
        <f>E1230/E1231-1</f>
        <v/>
      </c>
      <c r="G1230" s="270" t="n">
        <v>15746.5</v>
      </c>
      <c r="H1230" s="572">
        <f>G1230/G1231-1</f>
        <v/>
      </c>
    </row>
    <row r="1231">
      <c r="B1231" s="269" t="n">
        <v>44365</v>
      </c>
      <c r="C1231" s="270" t="n">
        <v>425.02</v>
      </c>
      <c r="D1231" s="572">
        <f>C1231/C1232-1</f>
        <v/>
      </c>
      <c r="E1231" s="270" t="n">
        <v>22182.89</v>
      </c>
      <c r="F1231" s="572">
        <f>E1231/E1232-1</f>
        <v/>
      </c>
      <c r="G1231" s="270" t="n">
        <v>15683.35</v>
      </c>
      <c r="H1231" s="572">
        <f>G1231/G1232-1</f>
        <v/>
      </c>
    </row>
    <row r="1232">
      <c r="B1232" s="269" t="n">
        <v>44364</v>
      </c>
      <c r="C1232" s="270" t="n">
        <v>435.92</v>
      </c>
      <c r="D1232" s="572">
        <f>C1232/C1233-1</f>
        <v/>
      </c>
      <c r="E1232" s="270" t="n">
        <v>22368.55</v>
      </c>
      <c r="F1232" s="572">
        <f>E1232/E1233-1</f>
        <v/>
      </c>
      <c r="G1232" s="270" t="n">
        <v>15691.4</v>
      </c>
      <c r="H1232" s="572">
        <f>G1232/G1233-1</f>
        <v/>
      </c>
    </row>
    <row r="1233">
      <c r="B1233" s="269" t="n">
        <v>44363</v>
      </c>
      <c r="C1233" s="270" t="n">
        <v>435.85</v>
      </c>
      <c r="D1233" s="572">
        <f>C1233/C1234-1</f>
        <v/>
      </c>
      <c r="E1233" s="270" t="n">
        <v>22575.26</v>
      </c>
      <c r="F1233" s="572">
        <f>E1233/E1234-1</f>
        <v/>
      </c>
      <c r="G1233" s="270" t="n">
        <v>15767.55</v>
      </c>
      <c r="H1233" s="572">
        <f>G1233/G1234-1</f>
        <v/>
      </c>
    </row>
    <row r="1234">
      <c r="B1234" s="269" t="n">
        <v>44362</v>
      </c>
      <c r="C1234" s="270" t="n">
        <v>444.45</v>
      </c>
      <c r="D1234" s="572">
        <f>C1234/C1235-1</f>
        <v/>
      </c>
      <c r="E1234" s="270" t="n">
        <v>22891.77</v>
      </c>
      <c r="F1234" s="572">
        <f>E1234/E1235-1</f>
        <v/>
      </c>
      <c r="G1234" s="270" t="n">
        <v>15869.25</v>
      </c>
      <c r="H1234" s="572">
        <f>G1234/G1235-1</f>
        <v/>
      </c>
    </row>
    <row r="1235">
      <c r="B1235" s="269" t="n">
        <v>44361</v>
      </c>
      <c r="C1235" s="270" t="n">
        <v>440.62</v>
      </c>
      <c r="D1235" s="572">
        <f>C1235/C1236-1</f>
        <v/>
      </c>
      <c r="E1235" s="270" t="n">
        <v>22806.76</v>
      </c>
      <c r="F1235" s="572">
        <f>E1235/E1236-1</f>
        <v/>
      </c>
      <c r="G1235" s="270" t="n">
        <v>15811.85</v>
      </c>
      <c r="H1235" s="572">
        <f>G1235/G1236-1</f>
        <v/>
      </c>
    </row>
    <row r="1236">
      <c r="B1236" s="269" t="n">
        <v>44358</v>
      </c>
      <c r="C1236" s="270" t="n">
        <v>444.35</v>
      </c>
      <c r="D1236" s="572">
        <f>C1236/C1237-1</f>
        <v/>
      </c>
      <c r="E1236" s="270" t="n">
        <v>22917.69</v>
      </c>
      <c r="F1236" s="572">
        <f>E1236/E1237-1</f>
        <v/>
      </c>
      <c r="G1236" s="270" t="n">
        <v>15799.35</v>
      </c>
      <c r="H1236" s="572">
        <f>G1236/G1237-1</f>
        <v/>
      </c>
    </row>
    <row r="1237">
      <c r="B1237" s="269" t="n">
        <v>44357</v>
      </c>
      <c r="C1237" s="270" t="n">
        <v>450.35</v>
      </c>
      <c r="D1237" s="572">
        <f>C1237/C1238-1</f>
        <v/>
      </c>
      <c r="E1237" s="270" t="n">
        <v>23069.3</v>
      </c>
      <c r="F1237" s="572">
        <f>E1237/E1238-1</f>
        <v/>
      </c>
      <c r="G1237" s="270" t="n">
        <v>15737.75</v>
      </c>
      <c r="H1237" s="572">
        <f>G1237/G1238-1</f>
        <v/>
      </c>
    </row>
    <row r="1238">
      <c r="B1238" s="269" t="n">
        <v>44356</v>
      </c>
      <c r="C1238" s="270" t="n">
        <v>441.42</v>
      </c>
      <c r="D1238" s="572">
        <f>C1238/C1239-1</f>
        <v/>
      </c>
      <c r="E1238" s="270" t="n">
        <v>23024.79</v>
      </c>
      <c r="F1238" s="572">
        <f>E1238/E1239-1</f>
        <v/>
      </c>
      <c r="G1238" s="270" t="n">
        <v>15635.35</v>
      </c>
      <c r="H1238" s="572">
        <f>G1238/G1239-1</f>
        <v/>
      </c>
    </row>
    <row r="1239">
      <c r="B1239" s="269" t="n">
        <v>44355</v>
      </c>
      <c r="C1239" s="270" t="n">
        <v>447.75</v>
      </c>
      <c r="D1239" s="572">
        <f>C1239/C1240-1</f>
        <v/>
      </c>
      <c r="E1239" s="270" t="n">
        <v>23366.41</v>
      </c>
      <c r="F1239" s="572">
        <f>E1239/E1240-1</f>
        <v/>
      </c>
      <c r="G1239" s="270" t="n">
        <v>15740.1</v>
      </c>
      <c r="H1239" s="572">
        <f>G1239/G1240-1</f>
        <v/>
      </c>
    </row>
    <row r="1240">
      <c r="B1240" s="269" t="n">
        <v>44354</v>
      </c>
      <c r="C1240" s="270" t="n">
        <v>449.2</v>
      </c>
      <c r="D1240" s="572">
        <f>C1240/C1241-1</f>
        <v/>
      </c>
      <c r="E1240" s="270" t="n">
        <v>23434.58</v>
      </c>
      <c r="F1240" s="572">
        <f>E1240/E1241-1</f>
        <v/>
      </c>
      <c r="G1240" s="270" t="n">
        <v>15751.65</v>
      </c>
      <c r="H1240" s="572">
        <f>G1240/G1241-1</f>
        <v/>
      </c>
    </row>
    <row r="1241">
      <c r="B1241" s="269" t="n">
        <v>44351</v>
      </c>
      <c r="C1241" s="270" t="n">
        <v>446.1</v>
      </c>
      <c r="D1241" s="572" t="n"/>
      <c r="E1241" s="270" t="n">
        <v>23279.53</v>
      </c>
      <c r="F1241" s="572" t="n"/>
      <c r="G1241" s="270" t="n">
        <v>15670.25</v>
      </c>
      <c r="H1241" s="60" t="n"/>
    </row>
    <row r="1242">
      <c r="B1242" s="168" t="n"/>
    </row>
    <row r="1243">
      <c r="B1243" s="168" t="n"/>
    </row>
    <row r="1244">
      <c r="B1244" s="168" t="n"/>
    </row>
    <row r="1245">
      <c r="B1245" s="168" t="n"/>
    </row>
    <row r="1246">
      <c r="B1246" s="168" t="n"/>
    </row>
    <row r="1247">
      <c r="B1247" s="168" t="n"/>
    </row>
    <row r="1248">
      <c r="B1248" s="168" t="n"/>
    </row>
    <row r="1249">
      <c r="B1249" s="168" t="n"/>
    </row>
    <row r="1250">
      <c r="B1250" s="168" t="n"/>
    </row>
    <row r="1251">
      <c r="B1251" s="168" t="n"/>
    </row>
    <row r="1252">
      <c r="B1252" s="168" t="n"/>
    </row>
    <row r="1253">
      <c r="B1253" s="168" t="n"/>
    </row>
    <row r="1254">
      <c r="B1254" s="168" t="n"/>
    </row>
    <row r="1255">
      <c r="B1255" s="168" t="n"/>
    </row>
    <row r="1256">
      <c r="B1256" s="168" t="n"/>
    </row>
  </sheetData>
  <mergeCells count="12">
    <mergeCell ref="C1:D1"/>
    <mergeCell ref="G1:H1"/>
    <mergeCell ref="E1:F1"/>
    <mergeCell ref="S1:T1"/>
    <mergeCell ref="K1:L1"/>
    <mergeCell ref="W1:X1"/>
    <mergeCell ref="U1:V1"/>
    <mergeCell ref="O1:P1"/>
    <mergeCell ref="B1:B2"/>
    <mergeCell ref="M1:N1"/>
    <mergeCell ref="J1:J2"/>
    <mergeCell ref="R1:R2"/>
  </mergeCells>
  <hyperlinks>
    <hyperlink xmlns:r="http://schemas.openxmlformats.org/officeDocument/2006/relationships" ref="AB6" r:id="rId1"/>
    <hyperlink xmlns:r="http://schemas.openxmlformats.org/officeDocument/2006/relationships" ref="AB7" r:id="rId2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rgb="FF8E1C2F"/>
    <outlinePr summaryBelow="1" summaryRight="1"/>
    <pageSetUpPr/>
  </sheetPr>
  <dimension ref="A1:N256"/>
  <sheetViews>
    <sheetView zoomScale="80" zoomScaleNormal="80" workbookViewId="0">
      <selection activeCell="J14" sqref="J14"/>
    </sheetView>
  </sheetViews>
  <sheetFormatPr baseColWidth="8" defaultColWidth="8.77734375" defaultRowHeight="13.8"/>
  <cols>
    <col width="10.6640625" customWidth="1" style="12" min="1" max="11"/>
    <col width="26.5546875" bestFit="1" customWidth="1" style="12" min="12" max="12"/>
    <col width="10.6640625" customWidth="1" style="12" min="13" max="32"/>
    <col width="10.5546875" customWidth="1" style="12" min="33" max="42"/>
    <col width="8.77734375" customWidth="1" style="12" min="43" max="16384"/>
  </cols>
  <sheetData>
    <row r="1">
      <c r="A1" s="398" t="inlineStr">
        <is>
          <t>USD/INR Volatility</t>
        </is>
      </c>
      <c r="B1" s="574" t="n"/>
      <c r="C1" s="574" t="n"/>
      <c r="D1" s="400" t="n"/>
      <c r="E1" s="402" t="inlineStr">
        <is>
          <t xml:space="preserve">Brent-Crude Volatility </t>
        </is>
      </c>
      <c r="F1" s="543" t="n"/>
      <c r="G1" s="544" t="n"/>
      <c r="H1" s="402" t="inlineStr">
        <is>
          <t>Steel Price Volatility</t>
        </is>
      </c>
      <c r="I1" s="543" t="n"/>
      <c r="J1" s="544" t="n"/>
    </row>
    <row r="2" ht="69" customHeight="1" s="343">
      <c r="A2" s="403" t="inlineStr">
        <is>
          <t>Date</t>
        </is>
      </c>
      <c r="B2" s="404" t="inlineStr">
        <is>
          <t>Daily  USD/INR Rates</t>
        </is>
      </c>
      <c r="C2" s="404" t="inlineStr">
        <is>
          <t>Daily Log Return</t>
        </is>
      </c>
      <c r="D2" s="405" t="inlineStr">
        <is>
          <t>Brent-Crude log return (Days matched)</t>
        </is>
      </c>
      <c r="E2" s="406" t="inlineStr">
        <is>
          <t>Date</t>
        </is>
      </c>
      <c r="F2" s="406" t="inlineStr">
        <is>
          <t>Value ($)</t>
        </is>
      </c>
      <c r="G2" s="407" t="inlineStr">
        <is>
          <t>Daily Log Return</t>
        </is>
      </c>
      <c r="H2" s="406" t="inlineStr">
        <is>
          <t>Date</t>
        </is>
      </c>
      <c r="I2" s="406" t="inlineStr">
        <is>
          <t>Price</t>
        </is>
      </c>
      <c r="J2" s="407" t="inlineStr">
        <is>
          <t>Daily Log Return</t>
        </is>
      </c>
      <c r="L2" s="138" t="inlineStr">
        <is>
          <t>Risk Type</t>
        </is>
      </c>
      <c r="M2" s="138" t="inlineStr">
        <is>
          <t>Sigma</t>
        </is>
      </c>
    </row>
    <row r="3" ht="12.9" customHeight="1" s="343">
      <c r="A3" s="575" t="inlineStr">
        <is>
          <t>2/4/2026</t>
        </is>
      </c>
      <c r="B3" s="576" t="inlineStr">
        <is>
          <t>93.2088</t>
        </is>
      </c>
      <c r="C3" s="577">
        <f>LN(B4/B3)</f>
        <v/>
      </c>
      <c r="D3" s="578">
        <f>IFERROR(VLOOKUP(A3,E:G,3,FALSE)," ")</f>
        <v/>
      </c>
      <c r="E3" s="579" t="inlineStr">
        <is>
          <t>1/4/2026</t>
        </is>
      </c>
      <c r="F3" s="12" t="n">
        <v>119.56</v>
      </c>
      <c r="G3" s="580">
        <f>LN(F4/F3)</f>
        <v/>
      </c>
      <c r="H3" s="579" t="inlineStr">
        <is>
          <t>1/4/2026</t>
        </is>
      </c>
      <c r="I3" s="433" t="n">
        <v>45980</v>
      </c>
      <c r="J3" s="580">
        <f>LN(I4/I3)</f>
        <v/>
      </c>
      <c r="L3" s="60" t="inlineStr">
        <is>
          <t>Currency Risk (USD/INR)</t>
        </is>
      </c>
      <c r="M3" s="572">
        <f>STDEV(C3:C243)*SQRT(252)</f>
        <v/>
      </c>
      <c r="N3" s="141" t="inlineStr">
        <is>
          <t>RBI Website</t>
        </is>
      </c>
    </row>
    <row r="4" ht="12.9" customHeight="1" s="343">
      <c r="A4" s="575" t="inlineStr">
        <is>
          <t>30/3/2026</t>
        </is>
      </c>
      <c r="B4" s="576" t="inlineStr">
        <is>
          <t>94.6543</t>
        </is>
      </c>
      <c r="C4" s="577">
        <f>LN(B5/B4)</f>
        <v/>
      </c>
      <c r="D4" s="578">
        <f>IFERROR(VLOOKUP(A4,E:G,3,FALSE)," ")</f>
        <v/>
      </c>
      <c r="E4" s="579" t="inlineStr">
        <is>
          <t>31/3/2026</t>
        </is>
      </c>
      <c r="F4" s="12" t="n">
        <v>126.69</v>
      </c>
      <c r="G4" s="580">
        <f>LN(F5/F4)</f>
        <v/>
      </c>
      <c r="H4" s="579" t="inlineStr">
        <is>
          <t>31/3/2026</t>
        </is>
      </c>
      <c r="I4" s="433" t="n">
        <v>45190</v>
      </c>
      <c r="J4" s="580">
        <f>LN(I5/I4)</f>
        <v/>
      </c>
      <c r="L4" s="60" t="inlineStr">
        <is>
          <t>Geoplitical Risk (Brent-Crude)</t>
        </is>
      </c>
      <c r="M4" s="572">
        <f>STDEV(G3:G255)*SQRT(260)</f>
        <v/>
      </c>
      <c r="N4" s="141" t="inlineStr">
        <is>
          <t>Brent Crude Data</t>
        </is>
      </c>
    </row>
    <row r="5" ht="12.9" customHeight="1" s="343">
      <c r="A5" s="575" t="inlineStr">
        <is>
          <t>27/3/2026</t>
        </is>
      </c>
      <c r="B5" s="576" t="inlineStr">
        <is>
          <t>94.5988</t>
        </is>
      </c>
      <c r="C5" s="577">
        <f>LN(B6/B5)</f>
        <v/>
      </c>
      <c r="D5" s="578">
        <f>IFERROR(VLOOKUP(A5,E:G,3,FALSE)," ")</f>
        <v/>
      </c>
      <c r="E5" s="579" t="inlineStr">
        <is>
          <t>30/3/2026</t>
        </is>
      </c>
      <c r="F5" s="12" t="n">
        <v>121.88</v>
      </c>
      <c r="G5" s="580">
        <f>LN(F6/F5)</f>
        <v/>
      </c>
      <c r="H5" s="579" t="inlineStr">
        <is>
          <t>30/3/2026</t>
        </is>
      </c>
      <c r="I5" s="433" t="n">
        <v>44210</v>
      </c>
      <c r="J5" s="580">
        <f>LN(I6/I5)</f>
        <v/>
      </c>
      <c r="L5" s="60" t="inlineStr">
        <is>
          <t>Steel Price Risk (NCDEX)</t>
        </is>
      </c>
      <c r="M5" s="572">
        <f>STDEV(J3:J248)*SQRT(260)</f>
        <v/>
      </c>
      <c r="N5" s="259" t="inlineStr">
        <is>
          <t>Steel Futures</t>
        </is>
      </c>
    </row>
    <row r="6" ht="12.9" customHeight="1" s="343">
      <c r="A6" s="575" t="inlineStr">
        <is>
          <t>25/3/2026</t>
        </is>
      </c>
      <c r="B6" s="576" t="inlineStr">
        <is>
          <t>93.9657</t>
        </is>
      </c>
      <c r="C6" s="577">
        <f>LN(B7/B6)</f>
        <v/>
      </c>
      <c r="D6" s="578">
        <f>IFERROR(VLOOKUP(A6,E:G,3,FALSE)," ")</f>
        <v/>
      </c>
      <c r="E6" s="579" t="inlineStr">
        <is>
          <t>27/3/2026</t>
        </is>
      </c>
      <c r="F6" s="12" t="n">
        <v>121.47</v>
      </c>
      <c r="G6" s="580">
        <f>LN(F7/F6)</f>
        <v/>
      </c>
      <c r="H6" s="579" t="inlineStr">
        <is>
          <t>27/3/2026</t>
        </is>
      </c>
      <c r="I6" s="433" t="n">
        <v>44020</v>
      </c>
      <c r="J6" s="580">
        <f>LN(I7/I6)</f>
        <v/>
      </c>
      <c r="L6" s="60" t="inlineStr">
        <is>
          <t>Correlation</t>
        </is>
      </c>
      <c r="M6" s="142">
        <f>CORREL(C3:C243,D3:D243)</f>
        <v/>
      </c>
    </row>
    <row r="7" ht="12.9" customHeight="1" s="343">
      <c r="A7" s="575" t="inlineStr">
        <is>
          <t>24/3/2026</t>
        </is>
      </c>
      <c r="B7" s="576" t="inlineStr">
        <is>
          <t>93.8792</t>
        </is>
      </c>
      <c r="C7" s="577">
        <f>LN(B8/B7)</f>
        <v/>
      </c>
      <c r="D7" s="578">
        <f>IFERROR(VLOOKUP(A7,E:G,3,FALSE)," ")</f>
        <v/>
      </c>
      <c r="E7" s="579" t="inlineStr">
        <is>
          <t>26/3/2026</t>
        </is>
      </c>
      <c r="F7" s="12" t="n">
        <v>113.39</v>
      </c>
      <c r="G7" s="580">
        <f>LN(F8/F7)</f>
        <v/>
      </c>
      <c r="H7" s="579" t="inlineStr">
        <is>
          <t>26/3/2026</t>
        </is>
      </c>
      <c r="I7" s="433" t="n">
        <v>44430</v>
      </c>
      <c r="J7" s="580">
        <f>LN(I8/I7)</f>
        <v/>
      </c>
      <c r="L7" s="60" t="inlineStr">
        <is>
          <t>Z-score (95% Confidence)</t>
        </is>
      </c>
      <c r="M7" s="142">
        <f>_xlfn.NORM.S.INV(M8)</f>
        <v/>
      </c>
    </row>
    <row r="8" ht="12.9" customHeight="1" s="343">
      <c r="A8" s="575" t="inlineStr">
        <is>
          <t>23/3/2026</t>
        </is>
      </c>
      <c r="B8" s="576" t="inlineStr">
        <is>
          <t>93.8980</t>
        </is>
      </c>
      <c r="C8" s="577">
        <f>LN(B9/B8)</f>
        <v/>
      </c>
      <c r="D8" s="578">
        <f>IFERROR(VLOOKUP(A8,E:G,3,FALSE)," ")</f>
        <v/>
      </c>
      <c r="E8" s="579" t="inlineStr">
        <is>
          <t>25/3/2026</t>
        </is>
      </c>
      <c r="F8" s="12" t="n">
        <v>109.14</v>
      </c>
      <c r="G8" s="580">
        <f>LN(F9/F8)</f>
        <v/>
      </c>
      <c r="H8" s="579" t="inlineStr">
        <is>
          <t>25/3/2026</t>
        </is>
      </c>
      <c r="I8" s="433" t="n">
        <v>44640</v>
      </c>
      <c r="J8" s="580">
        <f>LN(I9/I8)</f>
        <v/>
      </c>
      <c r="L8" s="60" t="inlineStr">
        <is>
          <t>Confidence Level</t>
        </is>
      </c>
      <c r="M8" s="572" t="n">
        <v>0.95</v>
      </c>
    </row>
    <row r="9" ht="12.9" customHeight="1" s="343">
      <c r="A9" s="575" t="inlineStr">
        <is>
          <t>20/3/2026</t>
        </is>
      </c>
      <c r="B9" s="576" t="inlineStr">
        <is>
          <t>93.3483</t>
        </is>
      </c>
      <c r="C9" s="577">
        <f>LN(B10/B9)</f>
        <v/>
      </c>
      <c r="D9" s="578">
        <f>IFERROR(VLOOKUP(A9,E:G,3,FALSE)," ")</f>
        <v/>
      </c>
      <c r="E9" s="579" t="inlineStr">
        <is>
          <t>24/3/2026</t>
        </is>
      </c>
      <c r="F9" s="12" t="n">
        <v>108.42</v>
      </c>
      <c r="G9" s="580">
        <f>LN(F10/F9)</f>
        <v/>
      </c>
      <c r="H9" s="579" t="inlineStr">
        <is>
          <t>24/3/2026</t>
        </is>
      </c>
      <c r="I9" s="433" t="n">
        <v>44300</v>
      </c>
      <c r="J9" s="580">
        <f>LN(I10/I9)</f>
        <v/>
      </c>
      <c r="L9" s="60" t="inlineStr">
        <is>
          <t>Probability of Density [p(Z)]</t>
        </is>
      </c>
      <c r="M9" s="142">
        <f>_xlfn.NORM.S.DIST(_xlfn.NORM.S.INV(M8),FALSE)</f>
        <v/>
      </c>
    </row>
    <row r="10" ht="12.9" customHeight="1" s="343">
      <c r="A10" s="575" t="inlineStr">
        <is>
          <t>18/3/2026</t>
        </is>
      </c>
      <c r="B10" s="576" t="inlineStr">
        <is>
          <t>92.4514</t>
        </is>
      </c>
      <c r="C10" s="577">
        <f>LN(B11/B10)</f>
        <v/>
      </c>
      <c r="D10" s="578">
        <f>IFERROR(VLOOKUP(A10,E:G,3,FALSE)," ")</f>
        <v/>
      </c>
      <c r="E10" s="579" t="inlineStr">
        <is>
          <t>23/3/2026</t>
        </is>
      </c>
      <c r="F10" s="12" t="n">
        <v>103.79</v>
      </c>
      <c r="G10" s="580">
        <f>LN(F11/F10)</f>
        <v/>
      </c>
      <c r="H10" s="579" t="inlineStr">
        <is>
          <t>23/3/2026</t>
        </is>
      </c>
      <c r="I10" s="433" t="n">
        <v>44210</v>
      </c>
      <c r="J10" s="580">
        <f>LN(I11/I10)</f>
        <v/>
      </c>
      <c r="L10" s="60" t="inlineStr">
        <is>
          <t>CVaR Multiplier at 95% confidence</t>
        </is>
      </c>
      <c r="M10" s="142">
        <f>M9/(1-M8)</f>
        <v/>
      </c>
    </row>
    <row r="11" ht="12.9" customHeight="1" s="343">
      <c r="A11" s="575" t="inlineStr">
        <is>
          <t>17/3/2026</t>
        </is>
      </c>
      <c r="B11" s="576" t="inlineStr">
        <is>
          <t>92.4570</t>
        </is>
      </c>
      <c r="C11" s="577">
        <f>LN(B12/B11)</f>
        <v/>
      </c>
      <c r="D11" s="578">
        <f>IFERROR(VLOOKUP(A11,E:G,3,FALSE)," ")</f>
        <v/>
      </c>
      <c r="E11" s="579" t="inlineStr">
        <is>
          <t>20/3/2026</t>
        </is>
      </c>
      <c r="F11" s="12" t="n">
        <v>118.42</v>
      </c>
      <c r="G11" s="580">
        <f>LN(F12/F11)</f>
        <v/>
      </c>
      <c r="H11" s="579" t="inlineStr">
        <is>
          <t>20/3/2026</t>
        </is>
      </c>
      <c r="I11" s="433" t="n">
        <v>44200</v>
      </c>
      <c r="J11" s="580">
        <f>LN(I12/I11)</f>
        <v/>
      </c>
      <c r="L11" s="60" t="n"/>
      <c r="M11" s="142" t="n"/>
    </row>
    <row r="12" ht="12.9" customHeight="1" s="343">
      <c r="A12" s="575" t="inlineStr">
        <is>
          <t>16/3/2026</t>
        </is>
      </c>
      <c r="B12" s="576" t="inlineStr">
        <is>
          <t>92.3966</t>
        </is>
      </c>
      <c r="C12" s="577">
        <f>LN(B13/B12)</f>
        <v/>
      </c>
      <c r="D12" s="578">
        <f>IFERROR(VLOOKUP(A12,E:G,3,FALSE)," ")</f>
        <v/>
      </c>
      <c r="E12" s="579" t="inlineStr">
        <is>
          <t>19/3/2026</t>
        </is>
      </c>
      <c r="F12" s="12" t="n">
        <v>111.05</v>
      </c>
      <c r="G12" s="580">
        <f>LN(F13/F12)</f>
        <v/>
      </c>
      <c r="H12" s="579" t="inlineStr">
        <is>
          <t>19/3/2026</t>
        </is>
      </c>
      <c r="I12" s="433" t="n">
        <v>44430</v>
      </c>
      <c r="J12" s="580">
        <f>LN(I13/I12)</f>
        <v/>
      </c>
      <c r="L12" s="60" t="inlineStr">
        <is>
          <t>Z-score (99% Confidence)</t>
        </is>
      </c>
      <c r="M12" s="142">
        <f>_xlfn.NORM.S.INV(M13)</f>
        <v/>
      </c>
    </row>
    <row r="13" ht="12.9" customHeight="1" s="343">
      <c r="A13" s="575" t="inlineStr">
        <is>
          <t>13/3/2026</t>
        </is>
      </c>
      <c r="B13" s="576" t="inlineStr">
        <is>
          <t>92.4405</t>
        </is>
      </c>
      <c r="C13" s="577">
        <f>LN(B14/B13)</f>
        <v/>
      </c>
      <c r="D13" s="578">
        <f>IFERROR(VLOOKUP(A13,E:G,3,FALSE)," ")</f>
        <v/>
      </c>
      <c r="E13" s="579" t="inlineStr">
        <is>
          <t>18/3/2026</t>
        </is>
      </c>
      <c r="F13" s="12" t="n">
        <v>118.09</v>
      </c>
      <c r="G13" s="580">
        <f>LN(F14/F13)</f>
        <v/>
      </c>
      <c r="H13" s="579" t="inlineStr">
        <is>
          <t>18/3/2026</t>
        </is>
      </c>
      <c r="I13" s="433" t="n">
        <v>44440</v>
      </c>
      <c r="J13" s="580">
        <f>LN(I14/I13)</f>
        <v/>
      </c>
      <c r="L13" s="60" t="inlineStr">
        <is>
          <t>Confidence Level</t>
        </is>
      </c>
      <c r="M13" s="572" t="n">
        <v>0.99</v>
      </c>
    </row>
    <row r="14" ht="12.9" customHeight="1" s="343">
      <c r="A14" s="575" t="inlineStr">
        <is>
          <t>12/3/2026</t>
        </is>
      </c>
      <c r="B14" s="576" t="inlineStr">
        <is>
          <t>92.3530</t>
        </is>
      </c>
      <c r="C14" s="577">
        <f>LN(B15/B14)</f>
        <v/>
      </c>
      <c r="D14" s="578">
        <f>IFERROR(VLOOKUP(A14,E:G,3,FALSE)," ")</f>
        <v/>
      </c>
      <c r="E14" s="579" t="inlineStr">
        <is>
          <t>17/3/2026</t>
        </is>
      </c>
      <c r="F14" s="12" t="n">
        <v>108.39</v>
      </c>
      <c r="G14" s="580">
        <f>LN(F15/F14)</f>
        <v/>
      </c>
      <c r="H14" s="579" t="inlineStr">
        <is>
          <t>17/3/2026</t>
        </is>
      </c>
      <c r="I14" s="433" t="n">
        <v>44360</v>
      </c>
      <c r="J14" s="580">
        <f>LN(I15/I14)</f>
        <v/>
      </c>
      <c r="L14" s="60" t="inlineStr">
        <is>
          <t>Probability of Density [p(Z)]</t>
        </is>
      </c>
      <c r="M14" s="142">
        <f>_xlfn.NORM.S.DIST(_xlfn.NORM.S.INV(M13),FALSE)</f>
        <v/>
      </c>
    </row>
    <row r="15" ht="12.9" customHeight="1" s="343">
      <c r="A15" s="575" t="inlineStr">
        <is>
          <t>11/3/2026</t>
        </is>
      </c>
      <c r="B15" s="576" t="inlineStr">
        <is>
          <t>91.9257</t>
        </is>
      </c>
      <c r="C15" s="577">
        <f>LN(B16/B15)</f>
        <v/>
      </c>
      <c r="D15" s="578">
        <f>IFERROR(VLOOKUP(A15,E:G,3,FALSE)," ")</f>
        <v/>
      </c>
      <c r="E15" s="579" t="inlineStr">
        <is>
          <t>16/3/2026</t>
        </is>
      </c>
      <c r="F15" s="12" t="n">
        <v>101.04</v>
      </c>
      <c r="G15" s="580">
        <f>LN(F16/F15)</f>
        <v/>
      </c>
      <c r="H15" s="579" t="inlineStr">
        <is>
          <t>16/3/2026</t>
        </is>
      </c>
      <c r="I15" s="433" t="n">
        <v>44460</v>
      </c>
      <c r="J15" s="580">
        <f>LN(I16/I15)</f>
        <v/>
      </c>
      <c r="L15" s="60" t="inlineStr">
        <is>
          <t>CVaR Multiplier at 95% confidence</t>
        </is>
      </c>
      <c r="M15" s="142">
        <f>M14/(1-M13)</f>
        <v/>
      </c>
    </row>
    <row r="16" ht="12.9" customHeight="1" s="343">
      <c r="A16" s="575" t="inlineStr">
        <is>
          <t>10/3/2026</t>
        </is>
      </c>
      <c r="B16" s="576" t="inlineStr">
        <is>
          <t>92.0174</t>
        </is>
      </c>
      <c r="C16" s="577">
        <f>LN(B17/B16)</f>
        <v/>
      </c>
      <c r="D16" s="578">
        <f>IFERROR(VLOOKUP(A16,E:G,3,FALSE)," ")</f>
        <v/>
      </c>
      <c r="E16" s="579" t="inlineStr">
        <is>
          <t>13/3/2026</t>
        </is>
      </c>
      <c r="F16" s="12" t="n">
        <v>103.23</v>
      </c>
      <c r="G16" s="580">
        <f>LN(F17/F16)</f>
        <v/>
      </c>
      <c r="H16" s="579" t="inlineStr">
        <is>
          <t>13/3/2026</t>
        </is>
      </c>
      <c r="I16" s="433" t="n">
        <v>44470</v>
      </c>
      <c r="J16" s="580">
        <f>LN(I17/I16)</f>
        <v/>
      </c>
    </row>
    <row r="17" ht="12.9" customHeight="1" s="343">
      <c r="A17" s="575" t="inlineStr">
        <is>
          <t>9/3/2026</t>
        </is>
      </c>
      <c r="B17" s="576" t="inlineStr">
        <is>
          <t>92.2639</t>
        </is>
      </c>
      <c r="C17" s="577">
        <f>LN(B18/B17)</f>
        <v/>
      </c>
      <c r="D17" s="578">
        <f>IFERROR(VLOOKUP(A17,E:G,3,FALSE)," ")</f>
        <v/>
      </c>
      <c r="E17" s="579" t="inlineStr">
        <is>
          <t>12/3/2026</t>
        </is>
      </c>
      <c r="F17" s="12" t="n">
        <v>102.38</v>
      </c>
      <c r="G17" s="580">
        <f>LN(F18/F17)</f>
        <v/>
      </c>
      <c r="H17" s="579" t="inlineStr">
        <is>
          <t>12/3/2026</t>
        </is>
      </c>
      <c r="I17" s="433" t="n">
        <v>44680</v>
      </c>
      <c r="J17" s="580">
        <f>LN(I18/I17)</f>
        <v/>
      </c>
    </row>
    <row r="18" ht="12.9" customHeight="1" s="343">
      <c r="A18" s="575" t="inlineStr">
        <is>
          <t>6/3/2026</t>
        </is>
      </c>
      <c r="B18" s="576" t="inlineStr">
        <is>
          <t>91.6829</t>
        </is>
      </c>
      <c r="C18" s="577">
        <f>LN(B19/B18)</f>
        <v/>
      </c>
      <c r="D18" s="578">
        <f>IFERROR(VLOOKUP(A18,E:G,3,FALSE)," ")</f>
        <v/>
      </c>
      <c r="E18" s="579" t="inlineStr">
        <is>
          <t>11/3/2026</t>
        </is>
      </c>
      <c r="F18" s="12" t="n">
        <v>90.98</v>
      </c>
      <c r="G18" s="580">
        <f>LN(F19/F18)</f>
        <v/>
      </c>
      <c r="H18" s="579" t="inlineStr">
        <is>
          <t>11/3/2026</t>
        </is>
      </c>
      <c r="I18" s="433" t="n">
        <v>44590</v>
      </c>
      <c r="J18" s="580">
        <f>LN(I19/I18)</f>
        <v/>
      </c>
    </row>
    <row r="19" ht="12.9" customHeight="1" s="343">
      <c r="A19" s="575" t="inlineStr">
        <is>
          <t>5/3/2026</t>
        </is>
      </c>
      <c r="B19" s="576" t="inlineStr">
        <is>
          <t>91.6275</t>
        </is>
      </c>
      <c r="C19" s="577">
        <f>LN(B20/B19)</f>
        <v/>
      </c>
      <c r="D19" s="578">
        <f>IFERROR(VLOOKUP(A19,E:G,3,FALSE)," ")</f>
        <v/>
      </c>
      <c r="E19" s="579" t="inlineStr">
        <is>
          <t>10/3/2026</t>
        </is>
      </c>
      <c r="F19" s="12" t="n">
        <v>89.84</v>
      </c>
      <c r="G19" s="580">
        <f>LN(F20/F19)</f>
        <v/>
      </c>
      <c r="H19" s="579" t="inlineStr">
        <is>
          <t>10/3/2026</t>
        </is>
      </c>
      <c r="I19" s="433" t="n">
        <v>44410</v>
      </c>
      <c r="J19" s="580">
        <f>LN(I20/I19)</f>
        <v/>
      </c>
    </row>
    <row r="20" ht="12.9" customHeight="1" s="343">
      <c r="A20" s="575" t="inlineStr">
        <is>
          <t>4/3/2026</t>
        </is>
      </c>
      <c r="B20" s="576" t="inlineStr">
        <is>
          <t>92.2828</t>
        </is>
      </c>
      <c r="C20" s="577">
        <f>LN(B21/B20)</f>
        <v/>
      </c>
      <c r="D20" s="578">
        <f>IFERROR(VLOOKUP(A20,E:G,3,FALSE)," ")</f>
        <v/>
      </c>
      <c r="E20" s="579" t="inlineStr">
        <is>
          <t>9/3/2026</t>
        </is>
      </c>
      <c r="F20" s="12" t="n">
        <v>94.34999999999999</v>
      </c>
      <c r="G20" s="580">
        <f>LN(F21/F20)</f>
        <v/>
      </c>
      <c r="H20" s="579" t="inlineStr">
        <is>
          <t>9/3/2026</t>
        </is>
      </c>
      <c r="I20" s="433" t="n">
        <v>44160</v>
      </c>
      <c r="J20" s="580">
        <f>LN(I21/I20)</f>
        <v/>
      </c>
    </row>
    <row r="21" ht="12.9" customHeight="1" s="343">
      <c r="A21" s="575" t="inlineStr">
        <is>
          <t>2/3/2026</t>
        </is>
      </c>
      <c r="B21" s="576" t="inlineStr">
        <is>
          <t>91.4514</t>
        </is>
      </c>
      <c r="C21" s="577">
        <f>LN(B22/B21)</f>
        <v/>
      </c>
      <c r="D21" s="578">
        <f>IFERROR(VLOOKUP(A21,E:G,3,FALSE)," ")</f>
        <v/>
      </c>
      <c r="E21" s="579" t="inlineStr">
        <is>
          <t>6/3/2026</t>
        </is>
      </c>
      <c r="F21" s="12" t="n">
        <v>95.73999999999999</v>
      </c>
      <c r="G21" s="580">
        <f>LN(F22/F21)</f>
        <v/>
      </c>
      <c r="H21" s="579" t="inlineStr">
        <is>
          <t>6/3/2026</t>
        </is>
      </c>
      <c r="I21" s="433" t="n">
        <v>43920</v>
      </c>
      <c r="J21" s="580">
        <f>LN(I22/I21)</f>
        <v/>
      </c>
    </row>
    <row r="22" ht="12.9" customHeight="1" s="343">
      <c r="A22" s="575" t="inlineStr">
        <is>
          <t>27/2/2026</t>
        </is>
      </c>
      <c r="B22" s="576" t="inlineStr">
        <is>
          <t>90.9542</t>
        </is>
      </c>
      <c r="C22" s="577">
        <f>LN(B23/B22)</f>
        <v/>
      </c>
      <c r="D22" s="578">
        <f>IFERROR(VLOOKUP(A22,E:G,3,FALSE)," ")</f>
        <v/>
      </c>
      <c r="E22" s="579" t="inlineStr">
        <is>
          <t>5/3/2026</t>
        </is>
      </c>
      <c r="F22" s="12" t="n">
        <v>88.59</v>
      </c>
      <c r="G22" s="580">
        <f>LN(F23/F22)</f>
        <v/>
      </c>
      <c r="H22" s="579" t="inlineStr">
        <is>
          <t>5/3/2026</t>
        </is>
      </c>
      <c r="I22" s="433" t="n">
        <v>43930</v>
      </c>
      <c r="J22" s="580">
        <f>LN(I23/I22)</f>
        <v/>
      </c>
    </row>
    <row r="23" ht="12.9" customHeight="1" s="343">
      <c r="A23" s="575" t="inlineStr">
        <is>
          <t>26/2/2026</t>
        </is>
      </c>
      <c r="B23" s="576" t="inlineStr">
        <is>
          <t>90.9072</t>
        </is>
      </c>
      <c r="C23" s="577">
        <f>LN(B24/B23)</f>
        <v/>
      </c>
      <c r="D23" s="578">
        <f>IFERROR(VLOOKUP(A23,E:G,3,FALSE)," ")</f>
        <v/>
      </c>
      <c r="E23" s="579" t="inlineStr">
        <is>
          <t>4/3/2026</t>
        </is>
      </c>
      <c r="F23" s="12" t="n">
        <v>81.56</v>
      </c>
      <c r="G23" s="580">
        <f>LN(F24/F23)</f>
        <v/>
      </c>
      <c r="H23" s="579" t="inlineStr">
        <is>
          <t>4/3/2026</t>
        </is>
      </c>
      <c r="I23" s="433" t="n">
        <v>43150</v>
      </c>
      <c r="J23" s="580">
        <f>LN(I24/I23)</f>
        <v/>
      </c>
    </row>
    <row r="24" ht="12.9" customHeight="1" s="343">
      <c r="A24" s="575" t="inlineStr">
        <is>
          <t>25/2/2026</t>
        </is>
      </c>
      <c r="B24" s="576" t="inlineStr">
        <is>
          <t>90.9502</t>
        </is>
      </c>
      <c r="C24" s="577">
        <f>LN(B25/B24)</f>
        <v/>
      </c>
      <c r="D24" s="578">
        <f>IFERROR(VLOOKUP(A24,E:G,3,FALSE)," ")</f>
        <v/>
      </c>
      <c r="E24" s="579" t="inlineStr">
        <is>
          <t>3/3/2026</t>
        </is>
      </c>
      <c r="F24" s="12" t="n">
        <v>83.28</v>
      </c>
      <c r="G24" s="580">
        <f>LN(F25/F24)</f>
        <v/>
      </c>
      <c r="H24" s="579" t="inlineStr">
        <is>
          <t>3/3/2026</t>
        </is>
      </c>
      <c r="I24" s="433" t="n">
        <v>43560</v>
      </c>
      <c r="J24" s="580">
        <f>LN(I25/I24)</f>
        <v/>
      </c>
    </row>
    <row r="25" ht="12.9" customHeight="1" s="343">
      <c r="A25" s="575" t="inlineStr">
        <is>
          <t>24/2/2026</t>
        </is>
      </c>
      <c r="B25" s="576" t="inlineStr">
        <is>
          <t>90.9661</t>
        </is>
      </c>
      <c r="C25" s="577">
        <f>LN(B26/B25)</f>
        <v/>
      </c>
      <c r="D25" s="578">
        <f>IFERROR(VLOOKUP(A25,E:G,3,FALSE)," ")</f>
        <v/>
      </c>
      <c r="E25" s="579" t="inlineStr">
        <is>
          <t>2/3/2026</t>
        </is>
      </c>
      <c r="F25" s="12" t="n">
        <v>77.23999999999999</v>
      </c>
      <c r="G25" s="580">
        <f>LN(F26/F25)</f>
        <v/>
      </c>
      <c r="H25" s="579" t="inlineStr">
        <is>
          <t>2/3/2026</t>
        </is>
      </c>
      <c r="I25" s="433" t="n">
        <v>43470</v>
      </c>
      <c r="J25" s="580">
        <f>LN(I26/I25)</f>
        <v/>
      </c>
    </row>
    <row r="26" ht="12.9" customHeight="1" s="343">
      <c r="A26" s="575" t="inlineStr">
        <is>
          <t>23/2/2026</t>
        </is>
      </c>
      <c r="B26" s="576" t="inlineStr">
        <is>
          <t>90.7461</t>
        </is>
      </c>
      <c r="C26" s="577">
        <f>LN(B27/B26)</f>
        <v/>
      </c>
      <c r="D26" s="578">
        <f>IFERROR(VLOOKUP(A26,E:G,3,FALSE)," ")</f>
        <v/>
      </c>
      <c r="E26" s="579" t="inlineStr">
        <is>
          <t>27/2/2026</t>
        </is>
      </c>
      <c r="F26" s="12" t="n">
        <v>71.31999999999999</v>
      </c>
      <c r="G26" s="580">
        <f>LN(F27/F26)</f>
        <v/>
      </c>
      <c r="H26" s="579" t="inlineStr">
        <is>
          <t>27/2/2026</t>
        </is>
      </c>
      <c r="I26" s="433" t="n">
        <v>43580</v>
      </c>
      <c r="J26" s="580">
        <f>LN(I27/I26)</f>
        <v/>
      </c>
    </row>
    <row r="27" ht="12.9" customHeight="1" s="343">
      <c r="A27" s="575" t="inlineStr">
        <is>
          <t>20/2/2026</t>
        </is>
      </c>
      <c r="B27" s="576" t="inlineStr">
        <is>
          <t>90.9518</t>
        </is>
      </c>
      <c r="C27" s="577">
        <f>LN(B28/B27)</f>
        <v/>
      </c>
      <c r="D27" s="578">
        <f>IFERROR(VLOOKUP(A27,E:G,3,FALSE)," ")</f>
        <v/>
      </c>
      <c r="E27" s="579" t="inlineStr">
        <is>
          <t>26/2/2026</t>
        </is>
      </c>
      <c r="F27" s="12" t="n">
        <v>71.66</v>
      </c>
      <c r="G27" s="580">
        <f>LN(F28/F27)</f>
        <v/>
      </c>
      <c r="H27" s="579" t="inlineStr">
        <is>
          <t>26/2/2026</t>
        </is>
      </c>
      <c r="I27" s="433" t="n">
        <v>43880</v>
      </c>
      <c r="J27" s="580">
        <f>LN(I28/I27)</f>
        <v/>
      </c>
    </row>
    <row r="28" ht="12.9" customHeight="1" s="343">
      <c r="A28" s="575" t="inlineStr">
        <is>
          <t>18/2/2026</t>
        </is>
      </c>
      <c r="B28" s="576" t="inlineStr">
        <is>
          <t>90.6669</t>
        </is>
      </c>
      <c r="C28" s="577">
        <f>LN(B29/B28)</f>
        <v/>
      </c>
      <c r="D28" s="578">
        <f>IFERROR(VLOOKUP(A28,E:G,3,FALSE)," ")</f>
        <v/>
      </c>
      <c r="E28" s="579" t="inlineStr">
        <is>
          <t>25/2/2026</t>
        </is>
      </c>
      <c r="F28" s="12" t="n">
        <v>70.69</v>
      </c>
      <c r="G28" s="580">
        <f>LN(F29/F28)</f>
        <v/>
      </c>
      <c r="H28" s="579" t="inlineStr">
        <is>
          <t>25/2/2026</t>
        </is>
      </c>
      <c r="I28" s="433" t="n">
        <v>43800</v>
      </c>
      <c r="J28" s="580">
        <f>LN(I29/I28)</f>
        <v/>
      </c>
    </row>
    <row r="29" ht="12.9" customHeight="1" s="343">
      <c r="A29" s="575" t="inlineStr">
        <is>
          <t>17/2/2026</t>
        </is>
      </c>
      <c r="B29" s="576" t="inlineStr">
        <is>
          <t>90.7744</t>
        </is>
      </c>
      <c r="C29" s="577">
        <f>LN(B30/B29)</f>
        <v/>
      </c>
      <c r="D29" s="578">
        <f>IFERROR(VLOOKUP(A29,E:G,3,FALSE)," ")</f>
        <v/>
      </c>
      <c r="E29" s="579" t="inlineStr">
        <is>
          <t>24/2/2026</t>
        </is>
      </c>
      <c r="F29" s="12" t="n">
        <v>71.20999999999999</v>
      </c>
      <c r="G29" s="580">
        <f>LN(F30/F29)</f>
        <v/>
      </c>
      <c r="H29" s="579" t="inlineStr">
        <is>
          <t>24/2/2026</t>
        </is>
      </c>
      <c r="I29" s="433" t="n">
        <v>43910</v>
      </c>
      <c r="J29" s="580">
        <f>LN(I30/I29)</f>
        <v/>
      </c>
    </row>
    <row r="30" ht="12.9" customHeight="1" s="343">
      <c r="A30" s="575" t="inlineStr">
        <is>
          <t>16/2/2026</t>
        </is>
      </c>
      <c r="B30" s="576" t="inlineStr">
        <is>
          <t>90.7125</t>
        </is>
      </c>
      <c r="C30" s="577">
        <f>LN(B31/B30)</f>
        <v/>
      </c>
      <c r="D30" s="578">
        <f>IFERROR(VLOOKUP(A30,E:G,3,FALSE)," ")</f>
        <v/>
      </c>
      <c r="E30" s="579" t="inlineStr">
        <is>
          <t>23/2/2026</t>
        </is>
      </c>
      <c r="F30" s="12" t="n">
        <v>71.90000000000001</v>
      </c>
      <c r="G30" s="580">
        <f>LN(F31/F30)</f>
        <v/>
      </c>
      <c r="H30" s="579" t="inlineStr">
        <is>
          <t>23/2/2026</t>
        </is>
      </c>
      <c r="I30" s="433" t="n">
        <v>44420</v>
      </c>
      <c r="J30" s="580">
        <f>LN(I31/I30)</f>
        <v/>
      </c>
    </row>
    <row r="31" ht="12.9" customHeight="1" s="343">
      <c r="A31" s="575" t="inlineStr">
        <is>
          <t>13/2/2026</t>
        </is>
      </c>
      <c r="B31" s="576" t="inlineStr">
        <is>
          <t>90.7415</t>
        </is>
      </c>
      <c r="C31" s="577">
        <f>LN(B32/B31)</f>
        <v/>
      </c>
      <c r="D31" s="578">
        <f>IFERROR(VLOOKUP(A31,E:G,3,FALSE)," ")</f>
        <v/>
      </c>
      <c r="E31" s="579" t="inlineStr">
        <is>
          <t>20/2/2026</t>
        </is>
      </c>
      <c r="F31" s="12" t="n">
        <v>72.75</v>
      </c>
      <c r="G31" s="580">
        <f>LN(F32/F31)</f>
        <v/>
      </c>
      <c r="H31" s="579" t="inlineStr">
        <is>
          <t>20/2/2026</t>
        </is>
      </c>
      <c r="I31" s="433" t="n">
        <v>44430</v>
      </c>
      <c r="J31" s="580">
        <f>LN(I32/I31)</f>
        <v/>
      </c>
    </row>
    <row r="32" ht="12.9" customHeight="1" s="343">
      <c r="A32" s="575" t="inlineStr">
        <is>
          <t>12/2/2026</t>
        </is>
      </c>
      <c r="B32" s="576" t="inlineStr">
        <is>
          <t>90.5947</t>
        </is>
      </c>
      <c r="C32" s="577">
        <f>LN(B33/B32)</f>
        <v/>
      </c>
      <c r="D32" s="578">
        <f>IFERROR(VLOOKUP(A32,E:G,3,FALSE)," ")</f>
        <v/>
      </c>
      <c r="E32" s="579" t="inlineStr">
        <is>
          <t>19/2/2026</t>
        </is>
      </c>
      <c r="F32" s="12" t="n">
        <v>73.17</v>
      </c>
      <c r="G32" s="580">
        <f>LN(F33/F32)</f>
        <v/>
      </c>
      <c r="H32" s="579" t="inlineStr">
        <is>
          <t>19/2/2026</t>
        </is>
      </c>
      <c r="I32" s="433" t="n">
        <v>44630</v>
      </c>
      <c r="J32" s="580">
        <f>LN(I33/I32)</f>
        <v/>
      </c>
    </row>
    <row r="33" ht="12.9" customHeight="1" s="343">
      <c r="A33" s="575" t="inlineStr">
        <is>
          <t>11/2/2026</t>
        </is>
      </c>
      <c r="B33" s="576" t="inlineStr">
        <is>
          <t>90.5675</t>
        </is>
      </c>
      <c r="C33" s="577">
        <f>LN(B34/B33)</f>
        <v/>
      </c>
      <c r="D33" s="578">
        <f>IFERROR(VLOOKUP(A33,E:G,3,FALSE)," ")</f>
        <v/>
      </c>
      <c r="E33" s="579" t="inlineStr">
        <is>
          <t>18/2/2026</t>
        </is>
      </c>
      <c r="F33" s="12" t="n">
        <v>71.78</v>
      </c>
      <c r="G33" s="580">
        <f>LN(F34/F33)</f>
        <v/>
      </c>
      <c r="H33" s="579" t="inlineStr">
        <is>
          <t>18/2/2026</t>
        </is>
      </c>
      <c r="I33" s="433" t="n">
        <v>44760</v>
      </c>
      <c r="J33" s="580">
        <f>LN(I34/I33)</f>
        <v/>
      </c>
    </row>
    <row r="34" ht="12.9" customHeight="1" s="343">
      <c r="A34" s="575" t="inlineStr">
        <is>
          <t>10/2/2026</t>
        </is>
      </c>
      <c r="B34" s="576" t="inlineStr">
        <is>
          <t>90.5773</t>
        </is>
      </c>
      <c r="C34" s="577">
        <f>LN(B35/B34)</f>
        <v/>
      </c>
      <c r="D34" s="578">
        <f>IFERROR(VLOOKUP(A34,E:G,3,FALSE)," ")</f>
        <v/>
      </c>
      <c r="E34" s="579" t="inlineStr">
        <is>
          <t>17/2/2026</t>
        </is>
      </c>
      <c r="F34" s="12" t="n">
        <v>69.77</v>
      </c>
      <c r="G34" s="580">
        <f>LN(F35/F34)</f>
        <v/>
      </c>
      <c r="H34" s="579" t="inlineStr">
        <is>
          <t>17/2/2026</t>
        </is>
      </c>
      <c r="I34" s="433" t="n">
        <v>44860</v>
      </c>
      <c r="J34" s="580">
        <f>LN(I35/I34)</f>
        <v/>
      </c>
    </row>
    <row r="35" ht="12.9" customHeight="1" s="343">
      <c r="A35" s="575" t="inlineStr">
        <is>
          <t>9/2/2026</t>
        </is>
      </c>
      <c r="B35" s="576" t="inlineStr">
        <is>
          <t>90.4006</t>
        </is>
      </c>
      <c r="C35" s="577">
        <f>LN(B36/B35)</f>
        <v/>
      </c>
      <c r="D35" s="578">
        <f>IFERROR(VLOOKUP(A35,E:G,3,FALSE)," ")</f>
        <v/>
      </c>
      <c r="E35" s="579" t="inlineStr">
        <is>
          <t>16/2/2026</t>
        </is>
      </c>
      <c r="F35" s="12" t="n">
        <v>70.81</v>
      </c>
      <c r="G35" s="580">
        <f>LN(F36/F35)</f>
        <v/>
      </c>
      <c r="H35" s="579" t="inlineStr">
        <is>
          <t>16/2/2026</t>
        </is>
      </c>
      <c r="I35" s="433" t="n">
        <v>45070</v>
      </c>
      <c r="J35" s="580">
        <f>LN(I36/I35)</f>
        <v/>
      </c>
    </row>
    <row r="36" ht="12.9" customHeight="1" s="343">
      <c r="A36" s="575" t="inlineStr">
        <is>
          <t>6/2/2026</t>
        </is>
      </c>
      <c r="B36" s="576" t="inlineStr">
        <is>
          <t>90.4163</t>
        </is>
      </c>
      <c r="C36" s="577">
        <f>LN(B37/B36)</f>
        <v/>
      </c>
      <c r="D36" s="578">
        <f>IFERROR(VLOOKUP(A36,E:G,3,FALSE)," ")</f>
        <v/>
      </c>
      <c r="E36" s="579" t="inlineStr">
        <is>
          <t>13/2/2026</t>
        </is>
      </c>
      <c r="F36" s="12" t="n">
        <v>69.95999999999999</v>
      </c>
      <c r="G36" s="580">
        <f>LN(F37/F36)</f>
        <v/>
      </c>
      <c r="H36" s="579" t="inlineStr">
        <is>
          <t>13/2/2026</t>
        </is>
      </c>
      <c r="I36" s="433" t="n">
        <v>45480</v>
      </c>
      <c r="J36" s="580">
        <f>LN(I37/I36)</f>
        <v/>
      </c>
    </row>
    <row r="37" ht="12.9" customHeight="1" s="343">
      <c r="A37" s="575" t="inlineStr">
        <is>
          <t>5/2/2026</t>
        </is>
      </c>
      <c r="B37" s="576" t="inlineStr">
        <is>
          <t>90.3957</t>
        </is>
      </c>
      <c r="C37" s="577">
        <f>LN(B38/B37)</f>
        <v/>
      </c>
      <c r="D37" s="578">
        <f>IFERROR(VLOOKUP(A37,E:G,3,FALSE)," ")</f>
        <v/>
      </c>
      <c r="E37" s="579" t="inlineStr">
        <is>
          <t>12/2/2026</t>
        </is>
      </c>
      <c r="F37" s="12" t="n">
        <v>69.8</v>
      </c>
      <c r="G37" s="580">
        <f>LN(F38/F37)</f>
        <v/>
      </c>
      <c r="H37" s="579" t="inlineStr">
        <is>
          <t>12/2/2026</t>
        </is>
      </c>
      <c r="I37" s="433" t="n">
        <v>45290</v>
      </c>
      <c r="J37" s="580">
        <f>LN(I38/I37)</f>
        <v/>
      </c>
    </row>
    <row r="38" ht="12.9" customHeight="1" s="343">
      <c r="A38" s="575" t="inlineStr">
        <is>
          <t>4/2/2026</t>
        </is>
      </c>
      <c r="B38" s="576" t="inlineStr">
        <is>
          <t>90.4693</t>
        </is>
      </c>
      <c r="C38" s="577">
        <f>LN(B39/B38)</f>
        <v/>
      </c>
      <c r="D38" s="578">
        <f>IFERROR(VLOOKUP(A38,E:G,3,FALSE)," ")</f>
        <v/>
      </c>
      <c r="E38" s="579" t="inlineStr">
        <is>
          <t>11/2/2026</t>
        </is>
      </c>
      <c r="F38" s="12" t="n">
        <v>71.52</v>
      </c>
      <c r="G38" s="580">
        <f>LN(F39/F38)</f>
        <v/>
      </c>
      <c r="H38" s="579" t="inlineStr">
        <is>
          <t>11/2/2026</t>
        </is>
      </c>
      <c r="I38" s="433" t="n">
        <v>45010</v>
      </c>
      <c r="J38" s="580">
        <f>LN(I39/I38)</f>
        <v/>
      </c>
    </row>
    <row r="39" ht="12.9" customHeight="1" s="343">
      <c r="A39" s="575" t="inlineStr">
        <is>
          <t>3/2/2026</t>
        </is>
      </c>
      <c r="B39" s="576" t="inlineStr">
        <is>
          <t>90.4495</t>
        </is>
      </c>
      <c r="C39" s="577">
        <f>LN(B40/B39)</f>
        <v/>
      </c>
      <c r="D39" s="578">
        <f>IFERROR(VLOOKUP(A39,E:G,3,FALSE)," ")</f>
        <v/>
      </c>
      <c r="E39" s="579" t="inlineStr">
        <is>
          <t>10/2/2026</t>
        </is>
      </c>
      <c r="F39" s="12" t="n">
        <v>71.01000000000001</v>
      </c>
      <c r="G39" s="580">
        <f>LN(F40/F39)</f>
        <v/>
      </c>
      <c r="H39" s="579" t="inlineStr">
        <is>
          <t>10/2/2026</t>
        </is>
      </c>
      <c r="I39" s="433" t="n">
        <v>45020</v>
      </c>
      <c r="J39" s="580">
        <f>LN(I40/I39)</f>
        <v/>
      </c>
    </row>
    <row r="40" ht="12.9" customHeight="1" s="343">
      <c r="A40" s="575" t="inlineStr">
        <is>
          <t>2/2/2026</t>
        </is>
      </c>
      <c r="B40" s="576" t="inlineStr">
        <is>
          <t>91.6443</t>
        </is>
      </c>
      <c r="C40" s="577">
        <f>LN(B41/B40)</f>
        <v/>
      </c>
      <c r="D40" s="578">
        <f>IFERROR(VLOOKUP(A40,E:G,3,FALSE)," ")</f>
        <v/>
      </c>
      <c r="E40" s="579" t="inlineStr">
        <is>
          <t>9/2/2026</t>
        </is>
      </c>
      <c r="F40" s="12" t="n">
        <v>71.19</v>
      </c>
      <c r="G40" s="580">
        <f>LN(F41/F40)</f>
        <v/>
      </c>
      <c r="H40" s="579" t="inlineStr">
        <is>
          <t>9/2/2026</t>
        </is>
      </c>
      <c r="I40" s="433" t="n">
        <v>45020</v>
      </c>
      <c r="J40" s="580">
        <f>LN(I41/I40)</f>
        <v/>
      </c>
    </row>
    <row r="41" ht="12.9" customHeight="1" s="343">
      <c r="A41" s="575" t="inlineStr">
        <is>
          <t>30/1/2026</t>
        </is>
      </c>
      <c r="B41" s="576" t="inlineStr">
        <is>
          <t>91.8983</t>
        </is>
      </c>
      <c r="C41" s="577">
        <f>LN(B42/B41)</f>
        <v/>
      </c>
      <c r="D41" s="578">
        <f>IFERROR(VLOOKUP(A41,E:G,3,FALSE)," ")</f>
        <v/>
      </c>
      <c r="E41" s="579" t="inlineStr">
        <is>
          <t>6/2/2026</t>
        </is>
      </c>
      <c r="F41" s="12" t="n">
        <v>70.45</v>
      </c>
      <c r="G41" s="580">
        <f>LN(F42/F41)</f>
        <v/>
      </c>
      <c r="H41" s="579" t="inlineStr">
        <is>
          <t>6/2/2026</t>
        </is>
      </c>
      <c r="I41" s="433" t="n">
        <v>44780</v>
      </c>
      <c r="J41" s="580">
        <f>LN(I42/I41)</f>
        <v/>
      </c>
    </row>
    <row r="42" ht="12.9" customHeight="1" s="343">
      <c r="A42" s="575" t="inlineStr">
        <is>
          <t>29/1/2026</t>
        </is>
      </c>
      <c r="B42" s="576" t="inlineStr">
        <is>
          <t>91.9644</t>
        </is>
      </c>
      <c r="C42" s="577">
        <f>LN(B43/B42)</f>
        <v/>
      </c>
      <c r="D42" s="578">
        <f>IFERROR(VLOOKUP(A42,E:G,3,FALSE)," ")</f>
        <v/>
      </c>
      <c r="E42" s="579" t="inlineStr">
        <is>
          <t>5/2/2026</t>
        </is>
      </c>
      <c r="F42" s="12" t="n">
        <v>69.87</v>
      </c>
      <c r="G42" s="580">
        <f>LN(F43/F42)</f>
        <v/>
      </c>
      <c r="H42" s="579" t="inlineStr">
        <is>
          <t>5/2/2026</t>
        </is>
      </c>
      <c r="I42" s="433" t="n">
        <v>44640</v>
      </c>
      <c r="J42" s="580">
        <f>LN(I43/I42)</f>
        <v/>
      </c>
    </row>
    <row r="43" ht="12.9" customHeight="1" s="343">
      <c r="A43" s="575" t="inlineStr">
        <is>
          <t>28/1/2026</t>
        </is>
      </c>
      <c r="B43" s="576" t="inlineStr">
        <is>
          <t>91.6945</t>
        </is>
      </c>
      <c r="C43" s="577">
        <f>LN(B44/B43)</f>
        <v/>
      </c>
      <c r="D43" s="578">
        <f>IFERROR(VLOOKUP(A43,E:G,3,FALSE)," ")</f>
        <v/>
      </c>
      <c r="E43" s="579" t="inlineStr">
        <is>
          <t>4/2/2026</t>
        </is>
      </c>
      <c r="F43" s="12" t="n">
        <v>71.15000000000001</v>
      </c>
      <c r="G43" s="580">
        <f>LN(F44/F43)</f>
        <v/>
      </c>
      <c r="H43" s="579" t="inlineStr">
        <is>
          <t>4/2/2026</t>
        </is>
      </c>
      <c r="I43" s="433" t="n">
        <v>44840</v>
      </c>
      <c r="J43" s="580">
        <f>LN(I44/I43)</f>
        <v/>
      </c>
    </row>
    <row r="44" ht="12.9" customHeight="1" s="343">
      <c r="A44" s="575" t="inlineStr">
        <is>
          <t>27/1/2026</t>
        </is>
      </c>
      <c r="B44" s="576" t="inlineStr">
        <is>
          <t>91.8244</t>
        </is>
      </c>
      <c r="C44" s="577">
        <f>LN(B45/B44)</f>
        <v/>
      </c>
      <c r="D44" s="578">
        <f>IFERROR(VLOOKUP(A44,E:G,3,FALSE)," ")</f>
        <v/>
      </c>
      <c r="E44" s="579" t="inlineStr">
        <is>
          <t>3/2/2026</t>
        </is>
      </c>
      <c r="F44" s="12" t="n">
        <v>70.01000000000001</v>
      </c>
      <c r="G44" s="580">
        <f>LN(F45/F44)</f>
        <v/>
      </c>
      <c r="H44" s="579" t="inlineStr">
        <is>
          <t>3/2/2026</t>
        </is>
      </c>
      <c r="I44" s="433" t="n">
        <v>44860</v>
      </c>
      <c r="J44" s="580">
        <f>LN(I45/I44)</f>
        <v/>
      </c>
    </row>
    <row r="45" ht="12.9" customHeight="1" s="343">
      <c r="A45" s="575" t="inlineStr">
        <is>
          <t>23/1/2026</t>
        </is>
      </c>
      <c r="B45" s="576" t="inlineStr">
        <is>
          <t>91.6195</t>
        </is>
      </c>
      <c r="C45" s="577">
        <f>LN(B46/B45)</f>
        <v/>
      </c>
      <c r="D45" s="578">
        <f>IFERROR(VLOOKUP(A45,E:G,3,FALSE)," ")</f>
        <v/>
      </c>
      <c r="E45" s="579" t="inlineStr">
        <is>
          <t>2/2/2026</t>
        </is>
      </c>
      <c r="F45" s="12" t="n">
        <v>67.72</v>
      </c>
      <c r="G45" s="580">
        <f>LN(F46/F45)</f>
        <v/>
      </c>
      <c r="H45" s="579" t="inlineStr">
        <is>
          <t>2/2/2026</t>
        </is>
      </c>
      <c r="I45" s="433" t="n">
        <v>44870</v>
      </c>
      <c r="J45" s="580">
        <f>LN(I46/I45)</f>
        <v/>
      </c>
    </row>
    <row r="46" ht="12.9" customHeight="1" s="343">
      <c r="A46" s="575" t="inlineStr">
        <is>
          <t>22/1/2026</t>
        </is>
      </c>
      <c r="B46" s="576" t="inlineStr">
        <is>
          <t>91.5826</t>
        </is>
      </c>
      <c r="C46" s="577">
        <f>LN(B47/B46)</f>
        <v/>
      </c>
      <c r="D46" s="578">
        <f>IFERROR(VLOOKUP(A46,E:G,3,FALSE)," ")</f>
        <v/>
      </c>
      <c r="E46" s="579" t="inlineStr">
        <is>
          <t>30/1/2026</t>
        </is>
      </c>
      <c r="F46" s="12" t="n">
        <v>72.25</v>
      </c>
      <c r="G46" s="580">
        <f>LN(F47/F46)</f>
        <v/>
      </c>
      <c r="H46" s="579" t="inlineStr">
        <is>
          <t>30/1/2026</t>
        </is>
      </c>
      <c r="I46" s="433" t="n">
        <v>44570</v>
      </c>
      <c r="J46" s="580">
        <f>LN(I47/I46)</f>
        <v/>
      </c>
    </row>
    <row r="47" ht="12.9" customHeight="1" s="343">
      <c r="A47" s="575" t="inlineStr">
        <is>
          <t>21/1/2026</t>
        </is>
      </c>
      <c r="B47" s="576" t="inlineStr">
        <is>
          <t>91.5500</t>
        </is>
      </c>
      <c r="C47" s="577">
        <f>LN(B48/B47)</f>
        <v/>
      </c>
      <c r="D47" s="578">
        <f>IFERROR(VLOOKUP(A47,E:G,3,FALSE)," ")</f>
        <v/>
      </c>
      <c r="E47" s="579" t="inlineStr">
        <is>
          <t>29/1/2026</t>
        </is>
      </c>
      <c r="F47" s="12" t="n">
        <v>71</v>
      </c>
      <c r="G47" s="580">
        <f>LN(F48/F47)</f>
        <v/>
      </c>
      <c r="H47" s="579" t="inlineStr">
        <is>
          <t>29/1/2026</t>
        </is>
      </c>
      <c r="I47" s="433" t="n">
        <v>44680</v>
      </c>
      <c r="J47" s="580">
        <f>LN(I48/I47)</f>
        <v/>
      </c>
    </row>
    <row r="48" ht="12.9" customHeight="1" s="343">
      <c r="A48" s="575" t="inlineStr">
        <is>
          <t>20/1/2026</t>
        </is>
      </c>
      <c r="B48" s="576" t="inlineStr">
        <is>
          <t>91.0356</t>
        </is>
      </c>
      <c r="C48" s="577">
        <f>LN(B49/B48)</f>
        <v/>
      </c>
      <c r="D48" s="578">
        <f>IFERROR(VLOOKUP(A48,E:G,3,FALSE)," ")</f>
        <v/>
      </c>
      <c r="E48" s="579" t="inlineStr">
        <is>
          <t>28/1/2026</t>
        </is>
      </c>
      <c r="F48" s="12" t="n">
        <v>70.90000000000001</v>
      </c>
      <c r="G48" s="580">
        <f>LN(F49/F48)</f>
        <v/>
      </c>
      <c r="H48" s="579" t="inlineStr">
        <is>
          <t>28/1/2026</t>
        </is>
      </c>
      <c r="I48" s="433" t="n">
        <v>44710</v>
      </c>
      <c r="J48" s="580">
        <f>LN(I49/I48)</f>
        <v/>
      </c>
    </row>
    <row r="49" ht="12.9" customHeight="1" s="343">
      <c r="A49" s="575" t="inlineStr">
        <is>
          <t>19/1/2026</t>
        </is>
      </c>
      <c r="B49" s="576" t="inlineStr">
        <is>
          <t>90.9705</t>
        </is>
      </c>
      <c r="C49" s="577">
        <f>LN(B50/B49)</f>
        <v/>
      </c>
      <c r="D49" s="578">
        <f>IFERROR(VLOOKUP(A49,E:G,3,FALSE)," ")</f>
        <v/>
      </c>
      <c r="E49" s="579" t="inlineStr">
        <is>
          <t>27/1/2026</t>
        </is>
      </c>
      <c r="F49" s="12" t="n">
        <v>70.28</v>
      </c>
      <c r="G49" s="580">
        <f>LN(F50/F49)</f>
        <v/>
      </c>
      <c r="H49" s="579" t="inlineStr">
        <is>
          <t>27/1/2026</t>
        </is>
      </c>
      <c r="I49" s="433" t="n">
        <v>44410</v>
      </c>
      <c r="J49" s="580">
        <f>LN(I50/I49)</f>
        <v/>
      </c>
    </row>
    <row r="50" ht="12.9" customHeight="1" s="343">
      <c r="A50" s="575" t="inlineStr">
        <is>
          <t>16/1/2026</t>
        </is>
      </c>
      <c r="B50" s="576" t="inlineStr">
        <is>
          <t>90.6497</t>
        </is>
      </c>
      <c r="C50" s="577">
        <f>LN(B51/B50)</f>
        <v/>
      </c>
      <c r="D50" s="578">
        <f>IFERROR(VLOOKUP(A50,E:G,3,FALSE)," ")</f>
        <v/>
      </c>
      <c r="E50" s="579" t="inlineStr">
        <is>
          <t>26/1/2026</t>
        </is>
      </c>
      <c r="F50" s="12" t="n">
        <v>67.7</v>
      </c>
      <c r="G50" s="580">
        <f>LN(F51/F50)</f>
        <v/>
      </c>
      <c r="H50" s="579" t="inlineStr">
        <is>
          <t>26/1/2026</t>
        </is>
      </c>
      <c r="I50" s="433" t="n">
        <v>44220</v>
      </c>
      <c r="J50" s="580">
        <f>LN(I51/I50)</f>
        <v/>
      </c>
    </row>
    <row r="51" ht="12.9" customHeight="1" s="343">
      <c r="A51" s="575" t="inlineStr">
        <is>
          <t>14/1/2026</t>
        </is>
      </c>
      <c r="B51" s="576" t="inlineStr">
        <is>
          <t>90.2016</t>
        </is>
      </c>
      <c r="C51" s="577">
        <f>LN(B52/B51)</f>
        <v/>
      </c>
      <c r="D51" s="578">
        <f>IFERROR(VLOOKUP(A51,E:G,3,FALSE)," ")</f>
        <v/>
      </c>
      <c r="E51" s="579" t="inlineStr">
        <is>
          <t>23/1/2026</t>
        </is>
      </c>
      <c r="F51" s="12" t="n">
        <v>68.16</v>
      </c>
      <c r="G51" s="580">
        <f>LN(F52/F51)</f>
        <v/>
      </c>
      <c r="H51" s="579" t="inlineStr">
        <is>
          <t>23/1/2026</t>
        </is>
      </c>
      <c r="I51" s="433" t="n">
        <v>43800</v>
      </c>
      <c r="J51" s="580">
        <f>LN(I52/I51)</f>
        <v/>
      </c>
    </row>
    <row r="52" ht="12.9" customHeight="1" s="343">
      <c r="A52" s="575" t="inlineStr">
        <is>
          <t>13/1/2026</t>
        </is>
      </c>
      <c r="B52" s="576" t="inlineStr">
        <is>
          <t>90.2677</t>
        </is>
      </c>
      <c r="C52" s="577">
        <f>LN(B53/B52)</f>
        <v/>
      </c>
      <c r="D52" s="578">
        <f>IFERROR(VLOOKUP(A52,E:G,3,FALSE)," ")</f>
        <v/>
      </c>
      <c r="E52" s="579" t="inlineStr">
        <is>
          <t>22/1/2026</t>
        </is>
      </c>
      <c r="F52" s="12" t="n">
        <v>65.45999999999999</v>
      </c>
      <c r="G52" s="580">
        <f>LN(F53/F52)</f>
        <v/>
      </c>
      <c r="H52" s="579" t="inlineStr">
        <is>
          <t>22/1/2026</t>
        </is>
      </c>
      <c r="I52" s="433" t="n">
        <v>44410</v>
      </c>
      <c r="J52" s="580">
        <f>LN(I53/I52)</f>
        <v/>
      </c>
    </row>
    <row r="53" ht="12.9" customHeight="1" s="343">
      <c r="A53" s="575" t="inlineStr">
        <is>
          <t>12/1/2026</t>
        </is>
      </c>
      <c r="B53" s="576" t="inlineStr">
        <is>
          <t>90.1899</t>
        </is>
      </c>
      <c r="C53" s="577">
        <f>LN(B54/B53)</f>
        <v/>
      </c>
      <c r="D53" s="578">
        <f>IFERROR(VLOOKUP(A53,E:G,3,FALSE)," ")</f>
        <v/>
      </c>
      <c r="E53" s="579" t="inlineStr">
        <is>
          <t>21/1/2026</t>
        </is>
      </c>
      <c r="F53" s="12" t="n">
        <v>66.72</v>
      </c>
      <c r="G53" s="580">
        <f>LN(F54/F53)</f>
        <v/>
      </c>
      <c r="H53" s="579" t="inlineStr">
        <is>
          <t>21/1/2026</t>
        </is>
      </c>
      <c r="I53" s="433" t="n">
        <v>43530</v>
      </c>
      <c r="J53" s="580">
        <f>LN(I54/I53)</f>
        <v/>
      </c>
    </row>
    <row r="54" ht="12.9" customHeight="1" s="343">
      <c r="A54" s="575" t="inlineStr">
        <is>
          <t>9/1/2026</t>
        </is>
      </c>
      <c r="B54" s="576" t="inlineStr">
        <is>
          <t>90.1395</t>
        </is>
      </c>
      <c r="C54" s="577">
        <f>LN(B55/B54)</f>
        <v/>
      </c>
      <c r="D54" s="578">
        <f>IFERROR(VLOOKUP(A54,E:G,3,FALSE)," ")</f>
        <v/>
      </c>
      <c r="E54" s="579" t="inlineStr">
        <is>
          <t>20/1/2026</t>
        </is>
      </c>
      <c r="F54" s="12" t="n">
        <v>67.68000000000001</v>
      </c>
      <c r="G54" s="580">
        <f>LN(F55/F54)</f>
        <v/>
      </c>
      <c r="H54" s="579" t="inlineStr">
        <is>
          <t>20/1/2026</t>
        </is>
      </c>
      <c r="I54" s="433" t="n">
        <v>42850</v>
      </c>
      <c r="J54" s="580">
        <f>LN(I55/I54)</f>
        <v/>
      </c>
    </row>
    <row r="55" ht="12.9" customHeight="1" s="343">
      <c r="A55" s="575" t="inlineStr">
        <is>
          <t>8/1/2026</t>
        </is>
      </c>
      <c r="B55" s="576" t="inlineStr">
        <is>
          <t>89.8930</t>
        </is>
      </c>
      <c r="C55" s="577">
        <f>LN(B56/B55)</f>
        <v/>
      </c>
      <c r="D55" s="578">
        <f>IFERROR(VLOOKUP(A55,E:G,3,FALSE)," ")</f>
        <v/>
      </c>
      <c r="E55" s="579" t="inlineStr">
        <is>
          <t>19/1/2026</t>
        </is>
      </c>
      <c r="F55" s="12" t="n">
        <v>66.91</v>
      </c>
      <c r="G55" s="580">
        <f>LN(F56/F55)</f>
        <v/>
      </c>
      <c r="H55" s="579" t="inlineStr">
        <is>
          <t>19/1/2026</t>
        </is>
      </c>
      <c r="I55" s="433" t="n">
        <v>42450</v>
      </c>
      <c r="J55" s="580">
        <f>LN(I56/I55)</f>
        <v/>
      </c>
    </row>
    <row r="56" ht="12.9" customHeight="1" s="343">
      <c r="A56" s="575" t="inlineStr">
        <is>
          <t>7/1/2026</t>
        </is>
      </c>
      <c r="B56" s="576" t="inlineStr">
        <is>
          <t>89.9432</t>
        </is>
      </c>
      <c r="C56" s="577">
        <f>LN(B57/B56)</f>
        <v/>
      </c>
      <c r="D56" s="578">
        <f>IFERROR(VLOOKUP(A56,E:G,3,FALSE)," ")</f>
        <v/>
      </c>
      <c r="E56" s="579" t="inlineStr">
        <is>
          <t>16/1/2026</t>
        </is>
      </c>
      <c r="F56" s="12" t="n">
        <v>66.97</v>
      </c>
      <c r="G56" s="580">
        <f>LN(F57/F56)</f>
        <v/>
      </c>
      <c r="H56" s="579" t="inlineStr">
        <is>
          <t>16/1/2026</t>
        </is>
      </c>
      <c r="I56" s="433" t="n">
        <v>42610</v>
      </c>
      <c r="J56" s="580">
        <f>LN(I57/I56)</f>
        <v/>
      </c>
    </row>
    <row r="57" ht="12.9" customHeight="1" s="343">
      <c r="A57" s="575" t="inlineStr">
        <is>
          <t>6/1/2026</t>
        </is>
      </c>
      <c r="B57" s="576" t="inlineStr">
        <is>
          <t>90.1810</t>
        </is>
      </c>
      <c r="C57" s="577">
        <f>LN(B58/B57)</f>
        <v/>
      </c>
      <c r="D57" s="578">
        <f>IFERROR(VLOOKUP(A57,E:G,3,FALSE)," ")</f>
        <v/>
      </c>
      <c r="E57" s="579" t="inlineStr">
        <is>
          <t>15/1/2026</t>
        </is>
      </c>
      <c r="F57" s="12" t="n">
        <v>66.16</v>
      </c>
      <c r="G57" s="580">
        <f>LN(F58/F57)</f>
        <v/>
      </c>
      <c r="H57" s="579" t="inlineStr">
        <is>
          <t>15/1/2026</t>
        </is>
      </c>
      <c r="I57" s="433" t="n">
        <v>42780</v>
      </c>
      <c r="J57" s="580">
        <f>LN(I58/I57)</f>
        <v/>
      </c>
    </row>
    <row r="58" ht="12.9" customHeight="1" s="343">
      <c r="A58" s="575" t="inlineStr">
        <is>
          <t>5/1/2026</t>
        </is>
      </c>
      <c r="B58" s="576" t="inlineStr">
        <is>
          <t>90.2729</t>
        </is>
      </c>
      <c r="C58" s="577">
        <f>LN(B59/B58)</f>
        <v/>
      </c>
      <c r="D58" s="578">
        <f>IFERROR(VLOOKUP(A58,E:G,3,FALSE)," ")</f>
        <v/>
      </c>
      <c r="E58" s="579" t="inlineStr">
        <is>
          <t>14/1/2026</t>
        </is>
      </c>
      <c r="F58" s="12" t="n">
        <v>68.87</v>
      </c>
      <c r="G58" s="580">
        <f>LN(F59/F58)</f>
        <v/>
      </c>
      <c r="H58" s="579" t="inlineStr">
        <is>
          <t>14/1/2026</t>
        </is>
      </c>
      <c r="I58" s="433" t="n">
        <v>42590</v>
      </c>
      <c r="J58" s="580">
        <f>LN(I59/I58)</f>
        <v/>
      </c>
    </row>
    <row r="59" ht="12.9" customHeight="1" s="343">
      <c r="A59" s="575" t="inlineStr">
        <is>
          <t>2/1/2026</t>
        </is>
      </c>
      <c r="B59" s="576" t="inlineStr">
        <is>
          <t>90.1242</t>
        </is>
      </c>
      <c r="C59" s="577">
        <f>LN(B60/B59)</f>
        <v/>
      </c>
      <c r="D59" s="578">
        <f>IFERROR(VLOOKUP(A59,E:G,3,FALSE)," ")</f>
        <v/>
      </c>
      <c r="E59" s="579" t="inlineStr">
        <is>
          <t>13/1/2026</t>
        </is>
      </c>
      <c r="F59" s="12" t="n">
        <v>67.58</v>
      </c>
      <c r="G59" s="580">
        <f>LN(F60/F59)</f>
        <v/>
      </c>
      <c r="H59" s="579" t="inlineStr">
        <is>
          <t>13/1/2026</t>
        </is>
      </c>
      <c r="I59" s="433" t="n">
        <v>42800</v>
      </c>
      <c r="J59" s="580">
        <f>LN(I60/I59)</f>
        <v/>
      </c>
    </row>
    <row r="60" ht="12.9" customHeight="1" s="343">
      <c r="A60" s="575" t="inlineStr">
        <is>
          <t>1/1/2026</t>
        </is>
      </c>
      <c r="B60" s="576" t="inlineStr">
        <is>
          <t>89.9792</t>
        </is>
      </c>
      <c r="C60" s="577">
        <f>LN(B61/B60)</f>
        <v/>
      </c>
      <c r="D60" s="578">
        <f>IFERROR(VLOOKUP(A60,E:G,3,FALSE)," ")</f>
        <v/>
      </c>
      <c r="E60" s="579" t="inlineStr">
        <is>
          <t>12/1/2026</t>
        </is>
      </c>
      <c r="F60" s="12" t="n">
        <v>65.40000000000001</v>
      </c>
      <c r="G60" s="580">
        <f>LN(F61/F60)</f>
        <v/>
      </c>
      <c r="H60" s="579" t="inlineStr">
        <is>
          <t>12/1/2026</t>
        </is>
      </c>
      <c r="I60" s="433" t="n">
        <v>42900</v>
      </c>
      <c r="J60" s="580">
        <f>LN(I61/I60)</f>
        <v/>
      </c>
    </row>
    <row r="61" ht="12.9" customHeight="1" s="343">
      <c r="A61" s="575" t="inlineStr">
        <is>
          <t>31/12/2025</t>
        </is>
      </c>
      <c r="B61" s="576" t="inlineStr">
        <is>
          <t>89.9198</t>
        </is>
      </c>
      <c r="C61" s="577">
        <f>LN(B62/B61)</f>
        <v/>
      </c>
      <c r="D61" s="578">
        <f>IFERROR(VLOOKUP(A61,E:G,3,FALSE)," ")</f>
        <v/>
      </c>
      <c r="E61" s="579" t="inlineStr">
        <is>
          <t>9/1/2026</t>
        </is>
      </c>
      <c r="F61" s="12" t="n">
        <v>65.11</v>
      </c>
      <c r="G61" s="580">
        <f>LN(F62/F61)</f>
        <v/>
      </c>
      <c r="H61" s="579" t="inlineStr">
        <is>
          <t>9/1/2026</t>
        </is>
      </c>
      <c r="I61" s="433" t="n">
        <v>43110</v>
      </c>
      <c r="J61" s="580">
        <f>LN(I62/I61)</f>
        <v/>
      </c>
    </row>
    <row r="62" ht="12.9" customHeight="1" s="343">
      <c r="A62" s="575" t="inlineStr">
        <is>
          <t>30/12/2025</t>
        </is>
      </c>
      <c r="B62" s="576" t="inlineStr">
        <is>
          <t>89.9429</t>
        </is>
      </c>
      <c r="C62" s="577">
        <f>LN(B63/B62)</f>
        <v/>
      </c>
      <c r="D62" s="578">
        <f>IFERROR(VLOOKUP(A62,E:G,3,FALSE)," ")</f>
        <v/>
      </c>
      <c r="E62" s="579" t="inlineStr">
        <is>
          <t>8/1/2026</t>
        </is>
      </c>
      <c r="F62" s="12" t="n">
        <v>63.34</v>
      </c>
      <c r="G62" s="580">
        <f>LN(F63/F62)</f>
        <v/>
      </c>
      <c r="H62" s="579" t="inlineStr">
        <is>
          <t>8/1/2026</t>
        </is>
      </c>
      <c r="I62" s="433" t="n">
        <v>43430</v>
      </c>
      <c r="J62" s="580">
        <f>LN(I63/I62)</f>
        <v/>
      </c>
    </row>
    <row r="63" ht="12.9" customHeight="1" s="343">
      <c r="A63" s="575" t="inlineStr">
        <is>
          <t>29/12/2025</t>
        </is>
      </c>
      <c r="B63" s="576" t="inlineStr">
        <is>
          <t>89.9756</t>
        </is>
      </c>
      <c r="C63" s="577">
        <f>LN(B64/B63)</f>
        <v/>
      </c>
      <c r="D63" s="578">
        <f>IFERROR(VLOOKUP(A63,E:G,3,FALSE)," ")</f>
        <v/>
      </c>
      <c r="E63" s="579" t="inlineStr">
        <is>
          <t>7/1/2026</t>
        </is>
      </c>
      <c r="F63" s="12" t="n">
        <v>61.08</v>
      </c>
      <c r="G63" s="580">
        <f>LN(F64/F63)</f>
        <v/>
      </c>
      <c r="H63" s="579" t="inlineStr">
        <is>
          <t>7/1/2026</t>
        </is>
      </c>
      <c r="I63" s="433" t="n">
        <v>42790</v>
      </c>
      <c r="J63" s="580">
        <f>LN(I64/I63)</f>
        <v/>
      </c>
    </row>
    <row r="64" ht="12.9" customHeight="1" s="343">
      <c r="A64" s="575" t="inlineStr">
        <is>
          <t>26/12/2025</t>
        </is>
      </c>
      <c r="B64" s="576" t="inlineStr">
        <is>
          <t>89.8296</t>
        </is>
      </c>
      <c r="C64" s="577">
        <f>LN(B65/B64)</f>
        <v/>
      </c>
      <c r="D64" s="578">
        <f>IFERROR(VLOOKUP(A64,E:G,3,FALSE)," ")</f>
        <v/>
      </c>
      <c r="E64" s="579" t="inlineStr">
        <is>
          <t>6/1/2026</t>
        </is>
      </c>
      <c r="F64" s="12" t="n">
        <v>62.1</v>
      </c>
      <c r="G64" s="580">
        <f>LN(F65/F64)</f>
        <v/>
      </c>
      <c r="H64" s="579" t="inlineStr">
        <is>
          <t>6/1/2026</t>
        </is>
      </c>
      <c r="I64" s="433" t="n">
        <v>42240</v>
      </c>
      <c r="J64" s="580">
        <f>LN(I65/I64)</f>
        <v/>
      </c>
    </row>
    <row r="65" ht="12.9" customHeight="1" s="343">
      <c r="A65" s="575" t="inlineStr">
        <is>
          <t>24/12/2025</t>
        </is>
      </c>
      <c r="B65" s="576" t="inlineStr">
        <is>
          <t>89.7703</t>
        </is>
      </c>
      <c r="C65" s="577">
        <f>LN(B66/B65)</f>
        <v/>
      </c>
      <c r="D65" s="578">
        <f>IFERROR(VLOOKUP(A65,E:G,3,FALSE)," ")</f>
        <v/>
      </c>
      <c r="E65" s="579" t="inlineStr">
        <is>
          <t>5/1/2026</t>
        </is>
      </c>
      <c r="F65" s="12" t="n">
        <v>63</v>
      </c>
      <c r="G65" s="580">
        <f>LN(F66/F65)</f>
        <v/>
      </c>
      <c r="H65" s="579" t="inlineStr">
        <is>
          <t>5/1/2026</t>
        </is>
      </c>
      <c r="I65" s="433" t="n">
        <v>42150</v>
      </c>
      <c r="J65" s="580">
        <f>LN(I66/I65)</f>
        <v/>
      </c>
    </row>
    <row r="66" ht="12.9" customHeight="1" s="343">
      <c r="A66" s="575" t="inlineStr">
        <is>
          <t>23/12/2025</t>
        </is>
      </c>
      <c r="B66" s="576" t="inlineStr">
        <is>
          <t>89.8314</t>
        </is>
      </c>
      <c r="C66" s="577">
        <f>LN(B67/B66)</f>
        <v/>
      </c>
      <c r="D66" s="578">
        <f>IFERROR(VLOOKUP(A66,E:G,3,FALSE)," ")</f>
        <v/>
      </c>
      <c r="E66" s="579" t="inlineStr">
        <is>
          <t>2/1/2026</t>
        </is>
      </c>
      <c r="F66" s="12" t="n">
        <v>61.98</v>
      </c>
      <c r="G66" s="580">
        <f>LN(F67/F66)</f>
        <v/>
      </c>
      <c r="H66" s="579" t="inlineStr">
        <is>
          <t>2/1/2026</t>
        </is>
      </c>
      <c r="I66" s="433" t="n">
        <v>41750</v>
      </c>
      <c r="J66" s="580">
        <f>LN(I67/I66)</f>
        <v/>
      </c>
    </row>
    <row r="67" ht="12.9" customHeight="1" s="343">
      <c r="A67" s="575" t="inlineStr">
        <is>
          <t>22/12/2025</t>
        </is>
      </c>
      <c r="B67" s="576" t="inlineStr">
        <is>
          <t>89.5467</t>
        </is>
      </c>
      <c r="C67" s="577">
        <f>LN(B68/B67)</f>
        <v/>
      </c>
      <c r="D67" s="578">
        <f>IFERROR(VLOOKUP(A67,E:G,3,FALSE)," ")</f>
        <v/>
      </c>
      <c r="E67" s="579" t="inlineStr">
        <is>
          <t>31/12/2025</t>
        </is>
      </c>
      <c r="F67" s="12" t="n">
        <v>61.35</v>
      </c>
      <c r="G67" s="580">
        <f>LN(F68/F67)</f>
        <v/>
      </c>
      <c r="H67" s="579" t="inlineStr">
        <is>
          <t>31/12/2025</t>
        </is>
      </c>
      <c r="I67" s="433" t="n">
        <v>41170</v>
      </c>
      <c r="J67" s="580">
        <f>LN(I68/I67)</f>
        <v/>
      </c>
    </row>
    <row r="68" ht="12.9" customHeight="1" s="343">
      <c r="A68" s="575" t="inlineStr">
        <is>
          <t>19/12/2025</t>
        </is>
      </c>
      <c r="B68" s="576" t="inlineStr">
        <is>
          <t>90.1975</t>
        </is>
      </c>
      <c r="C68" s="577">
        <f>LN(B69/B68)</f>
        <v/>
      </c>
      <c r="D68" s="578">
        <f>IFERROR(VLOOKUP(A68,E:G,3,FALSE)," ")</f>
        <v/>
      </c>
      <c r="E68" s="579" t="inlineStr">
        <is>
          <t>30/12/2025</t>
        </is>
      </c>
      <c r="F68" s="12" t="n">
        <v>62.3</v>
      </c>
      <c r="G68" s="580">
        <f>LN(F69/F68)</f>
        <v/>
      </c>
      <c r="H68" s="579" t="inlineStr">
        <is>
          <t>30/12/2025</t>
        </is>
      </c>
      <c r="I68" s="433" t="n">
        <v>40980</v>
      </c>
      <c r="J68" s="580">
        <f>LN(I69/I68)</f>
        <v/>
      </c>
    </row>
    <row r="69" ht="12.9" customHeight="1" s="343">
      <c r="A69" s="575" t="inlineStr">
        <is>
          <t>18/12/2025</t>
        </is>
      </c>
      <c r="B69" s="576" t="inlineStr">
        <is>
          <t>90.1303</t>
        </is>
      </c>
      <c r="C69" s="577">
        <f>LN(B70/B69)</f>
        <v/>
      </c>
      <c r="D69" s="578">
        <f>IFERROR(VLOOKUP(A69,E:G,3,FALSE)," ")</f>
        <v/>
      </c>
      <c r="E69" s="579" t="inlineStr">
        <is>
          <t>29/12/2025</t>
        </is>
      </c>
      <c r="F69" s="12" t="n">
        <v>63.1</v>
      </c>
      <c r="G69" s="580">
        <f>LN(F70/F69)</f>
        <v/>
      </c>
      <c r="H69" s="579" t="inlineStr">
        <is>
          <t>29/12/2025</t>
        </is>
      </c>
      <c r="I69" s="433" t="n">
        <v>40890</v>
      </c>
      <c r="J69" s="580">
        <f>LN(I70/I69)</f>
        <v/>
      </c>
    </row>
    <row r="70" ht="12.9" customHeight="1" s="343">
      <c r="A70" s="575" t="inlineStr">
        <is>
          <t>17/12/2025</t>
        </is>
      </c>
      <c r="B70" s="576" t="inlineStr">
        <is>
          <t>90.3291</t>
        </is>
      </c>
      <c r="C70" s="577">
        <f>LN(B71/B70)</f>
        <v/>
      </c>
      <c r="D70" s="578">
        <f>IFERROR(VLOOKUP(A70,E:G,3,FALSE)," ")</f>
        <v/>
      </c>
      <c r="E70" s="579" t="inlineStr">
        <is>
          <t>24/12/2025</t>
        </is>
      </c>
      <c r="F70" s="12" t="n">
        <v>63.7</v>
      </c>
      <c r="G70" s="580">
        <f>LN(F71/F70)</f>
        <v/>
      </c>
      <c r="H70" s="579" t="inlineStr">
        <is>
          <t>24/12/2025</t>
        </is>
      </c>
      <c r="I70" s="433" t="n">
        <v>40790</v>
      </c>
      <c r="J70" s="580">
        <f>LN(I71/I70)</f>
        <v/>
      </c>
    </row>
    <row r="71" ht="12.9" customHeight="1" s="343">
      <c r="A71" s="575" t="inlineStr">
        <is>
          <t>16/12/2025</t>
        </is>
      </c>
      <c r="B71" s="576" t="inlineStr">
        <is>
          <t>91.0202</t>
        </is>
      </c>
      <c r="C71" s="577">
        <f>LN(B72/B71)</f>
        <v/>
      </c>
      <c r="D71" s="578">
        <f>IFERROR(VLOOKUP(A71,E:G,3,FALSE)," ")</f>
        <v/>
      </c>
      <c r="E71" s="579" t="inlineStr">
        <is>
          <t>23/12/2025</t>
        </is>
      </c>
      <c r="F71" s="12" t="n">
        <v>63.7</v>
      </c>
      <c r="G71" s="580">
        <f>LN(F72/F71)</f>
        <v/>
      </c>
      <c r="H71" s="579" t="inlineStr">
        <is>
          <t>23/12/2025</t>
        </is>
      </c>
      <c r="I71" s="433" t="n">
        <v>40200</v>
      </c>
      <c r="J71" s="580">
        <f>LN(I72/I71)</f>
        <v/>
      </c>
    </row>
    <row r="72" ht="12.9" customHeight="1" s="343">
      <c r="A72" s="575" t="inlineStr">
        <is>
          <t>15/12/2025</t>
        </is>
      </c>
      <c r="B72" s="576" t="inlineStr">
        <is>
          <t>90.7228</t>
        </is>
      </c>
      <c r="C72" s="577">
        <f>LN(B73/B72)</f>
        <v/>
      </c>
      <c r="D72" s="578">
        <f>IFERROR(VLOOKUP(A72,E:G,3,FALSE)," ")</f>
        <v/>
      </c>
      <c r="E72" s="579" t="inlineStr">
        <is>
          <t>22/12/2025</t>
        </is>
      </c>
      <c r="F72" s="12" t="n">
        <v>62.22</v>
      </c>
      <c r="G72" s="580">
        <f>LN(F73/F72)</f>
        <v/>
      </c>
      <c r="H72" s="579" t="inlineStr">
        <is>
          <t>22/12/2025</t>
        </is>
      </c>
      <c r="I72" s="433" t="n">
        <v>39910</v>
      </c>
      <c r="J72" s="580">
        <f>LN(I73/I72)</f>
        <v/>
      </c>
    </row>
    <row r="73" ht="12.9" customHeight="1" s="343">
      <c r="A73" s="575" t="inlineStr">
        <is>
          <t>12/12/2025</t>
        </is>
      </c>
      <c r="B73" s="576" t="inlineStr">
        <is>
          <t>90.3883</t>
        </is>
      </c>
      <c r="C73" s="577">
        <f>LN(B74/B73)</f>
        <v/>
      </c>
      <c r="D73" s="578">
        <f>IFERROR(VLOOKUP(A73,E:G,3,FALSE)," ")</f>
        <v/>
      </c>
      <c r="E73" s="579" t="inlineStr">
        <is>
          <t>19/12/2025</t>
        </is>
      </c>
      <c r="F73" s="12" t="n">
        <v>61.35</v>
      </c>
      <c r="G73" s="580">
        <f>LN(F74/F73)</f>
        <v/>
      </c>
      <c r="H73" s="579" t="inlineStr">
        <is>
          <t>19/12/2025</t>
        </is>
      </c>
      <c r="I73" s="433" t="n">
        <v>40020</v>
      </c>
      <c r="J73" s="580">
        <f>LN(I74/I73)</f>
        <v/>
      </c>
    </row>
    <row r="74" ht="12.9" customHeight="1" s="343">
      <c r="A74" s="575" t="inlineStr">
        <is>
          <t>11/12/2025</t>
        </is>
      </c>
      <c r="B74" s="576" t="inlineStr">
        <is>
          <t>90.3702</t>
        </is>
      </c>
      <c r="C74" s="577">
        <f>LN(B75/B74)</f>
        <v/>
      </c>
      <c r="D74" s="578">
        <f>IFERROR(VLOOKUP(A74,E:G,3,FALSE)," ")</f>
        <v/>
      </c>
      <c r="E74" s="579" t="inlineStr">
        <is>
          <t>18/12/2025</t>
        </is>
      </c>
      <c r="F74" s="12" t="n">
        <v>60.69</v>
      </c>
      <c r="G74" s="580">
        <f>LN(F75/F74)</f>
        <v/>
      </c>
      <c r="H74" s="579" t="inlineStr">
        <is>
          <t>18/12/2025</t>
        </is>
      </c>
      <c r="I74" s="433" t="n">
        <v>39870</v>
      </c>
      <c r="J74" s="580">
        <f>LN(I75/I74)</f>
        <v/>
      </c>
    </row>
    <row r="75" ht="12.9" customHeight="1" s="343">
      <c r="A75" s="575" t="inlineStr">
        <is>
          <t>10/12/2025</t>
        </is>
      </c>
      <c r="B75" s="576" t="inlineStr">
        <is>
          <t>89.8822</t>
        </is>
      </c>
      <c r="C75" s="577">
        <f>LN(B76/B75)</f>
        <v/>
      </c>
      <c r="D75" s="578">
        <f>IFERROR(VLOOKUP(A75,E:G,3,FALSE)," ")</f>
        <v/>
      </c>
      <c r="E75" s="579" t="inlineStr">
        <is>
          <t>17/12/2025</t>
        </is>
      </c>
      <c r="F75" s="12" t="n">
        <v>60.61</v>
      </c>
      <c r="G75" s="580">
        <f>LN(F76/F75)</f>
        <v/>
      </c>
      <c r="H75" s="579" t="inlineStr">
        <is>
          <t>17/12/2025</t>
        </is>
      </c>
      <c r="I75" s="433" t="n">
        <v>39730</v>
      </c>
      <c r="J75" s="580">
        <f>LN(I76/I75)</f>
        <v/>
      </c>
    </row>
    <row r="76" ht="12.9" customHeight="1" s="343">
      <c r="A76" s="575" t="inlineStr">
        <is>
          <t>9/12/2025</t>
        </is>
      </c>
      <c r="B76" s="576" t="inlineStr">
        <is>
          <t>89.9644</t>
        </is>
      </c>
      <c r="C76" s="577">
        <f>LN(B77/B76)</f>
        <v/>
      </c>
      <c r="D76" s="578">
        <f>IFERROR(VLOOKUP(A76,E:G,3,FALSE)," ")</f>
        <v/>
      </c>
      <c r="E76" s="579" t="inlineStr">
        <is>
          <t>16/12/2025</t>
        </is>
      </c>
      <c r="F76" s="12" t="n">
        <v>59.93</v>
      </c>
      <c r="G76" s="580">
        <f>LN(F77/F76)</f>
        <v/>
      </c>
      <c r="H76" s="579" t="inlineStr">
        <is>
          <t>16/12/2025</t>
        </is>
      </c>
      <c r="I76" s="433" t="n">
        <v>39850</v>
      </c>
      <c r="J76" s="580">
        <f>LN(I77/I76)</f>
        <v/>
      </c>
    </row>
    <row r="77" ht="12.9" customHeight="1" s="343">
      <c r="A77" s="575" t="inlineStr">
        <is>
          <t>8/12/2025</t>
        </is>
      </c>
      <c r="B77" s="576" t="inlineStr">
        <is>
          <t>90.1745</t>
        </is>
      </c>
      <c r="C77" s="577">
        <f>LN(B78/B77)</f>
        <v/>
      </c>
      <c r="D77" s="578">
        <f>IFERROR(VLOOKUP(A77,E:G,3,FALSE)," ")</f>
        <v/>
      </c>
      <c r="E77" s="579" t="inlineStr">
        <is>
          <t>15/12/2025</t>
        </is>
      </c>
      <c r="F77" s="12" t="n">
        <v>61.55</v>
      </c>
      <c r="G77" s="580">
        <f>LN(F78/F77)</f>
        <v/>
      </c>
      <c r="H77" s="579" t="inlineStr">
        <is>
          <t>15/12/2025</t>
        </is>
      </c>
      <c r="I77" s="433" t="n">
        <v>40160</v>
      </c>
      <c r="J77" s="580">
        <f>LN(I78/I77)</f>
        <v/>
      </c>
    </row>
    <row r="78" ht="12.9" customHeight="1" s="343">
      <c r="A78" s="575" t="inlineStr">
        <is>
          <t>5/12/2025</t>
        </is>
      </c>
      <c r="B78" s="576" t="inlineStr">
        <is>
          <t>89.9238</t>
        </is>
      </c>
      <c r="C78" s="577">
        <f>LN(B79/B78)</f>
        <v/>
      </c>
      <c r="D78" s="578">
        <f>IFERROR(VLOOKUP(A78,E:G,3,FALSE)," ")</f>
        <v/>
      </c>
      <c r="E78" s="579" t="inlineStr">
        <is>
          <t>12/12/2025</t>
        </is>
      </c>
      <c r="F78" s="12" t="n">
        <v>62.11</v>
      </c>
      <c r="G78" s="580">
        <f>LN(F79/F78)</f>
        <v/>
      </c>
      <c r="H78" s="579" t="inlineStr">
        <is>
          <t>12/12/2025</t>
        </is>
      </c>
      <c r="I78" s="433" t="n">
        <v>40360</v>
      </c>
      <c r="J78" s="580">
        <f>LN(I79/I78)</f>
        <v/>
      </c>
    </row>
    <row r="79" ht="12.9" customHeight="1" s="343">
      <c r="A79" s="575" t="inlineStr">
        <is>
          <t>4/12/2025</t>
        </is>
      </c>
      <c r="B79" s="576" t="inlineStr">
        <is>
          <t>90.1865</t>
        </is>
      </c>
      <c r="C79" s="577">
        <f>LN(B80/B79)</f>
        <v/>
      </c>
      <c r="D79" s="578">
        <f>IFERROR(VLOOKUP(A79,E:G,3,FALSE)," ")</f>
        <v/>
      </c>
      <c r="E79" s="579" t="inlineStr">
        <is>
          <t>11/12/2025</t>
        </is>
      </c>
      <c r="F79" s="12" t="n">
        <v>61.87</v>
      </c>
      <c r="G79" s="580">
        <f>LN(F80/F79)</f>
        <v/>
      </c>
      <c r="H79" s="579" t="inlineStr">
        <is>
          <t>11/12/2025</t>
        </is>
      </c>
      <c r="I79" s="433" t="n">
        <v>40370</v>
      </c>
      <c r="J79" s="580">
        <f>LN(I80/I79)</f>
        <v/>
      </c>
    </row>
    <row r="80" ht="12.9" customHeight="1" s="343">
      <c r="A80" s="575" t="inlineStr">
        <is>
          <t>3/12/2025</t>
        </is>
      </c>
      <c r="B80" s="576" t="inlineStr">
        <is>
          <t>90.2697</t>
        </is>
      </c>
      <c r="C80" s="577">
        <f>LN(B81/B80)</f>
        <v/>
      </c>
      <c r="D80" s="578">
        <f>IFERROR(VLOOKUP(A80,E:G,3,FALSE)," ")</f>
        <v/>
      </c>
      <c r="E80" s="579" t="inlineStr">
        <is>
          <t>10/12/2025</t>
        </is>
      </c>
      <c r="F80" s="12" t="n">
        <v>63.12</v>
      </c>
      <c r="G80" s="580">
        <f>LN(F81/F80)</f>
        <v/>
      </c>
      <c r="H80" s="579" t="inlineStr">
        <is>
          <t>10/12/2025</t>
        </is>
      </c>
      <c r="I80" s="433" t="n">
        <v>40480</v>
      </c>
      <c r="J80" s="580">
        <f>LN(I81/I80)</f>
        <v/>
      </c>
    </row>
    <row r="81" ht="12.9" customHeight="1" s="343">
      <c r="A81" s="575" t="inlineStr">
        <is>
          <t>2/12/2025</t>
        </is>
      </c>
      <c r="B81" s="576" t="inlineStr">
        <is>
          <t>89.8887</t>
        </is>
      </c>
      <c r="C81" s="577">
        <f>LN(B82/B81)</f>
        <v/>
      </c>
      <c r="D81" s="578">
        <f>IFERROR(VLOOKUP(A81,E:G,3,FALSE)," ")</f>
        <v/>
      </c>
      <c r="E81" s="579" t="inlineStr">
        <is>
          <t>9/12/2025</t>
        </is>
      </c>
      <c r="F81" s="12" t="n">
        <v>62.62</v>
      </c>
      <c r="G81" s="580">
        <f>LN(F82/F81)</f>
        <v/>
      </c>
      <c r="H81" s="579" t="inlineStr">
        <is>
          <t>9/12/2025</t>
        </is>
      </c>
      <c r="I81" s="433" t="n">
        <v>40900</v>
      </c>
      <c r="J81" s="580">
        <f>LN(I82/I81)</f>
        <v/>
      </c>
    </row>
    <row r="82" ht="12.9" customHeight="1" s="343">
      <c r="A82" s="575" t="inlineStr">
        <is>
          <t>1/12/2025</t>
        </is>
      </c>
      <c r="B82" s="576" t="inlineStr">
        <is>
          <t>89.7436</t>
        </is>
      </c>
      <c r="C82" s="577">
        <f>LN(B83/B82)</f>
        <v/>
      </c>
      <c r="D82" s="578">
        <f>IFERROR(VLOOKUP(A82,E:G,3,FALSE)," ")</f>
        <v/>
      </c>
      <c r="E82" s="579" t="inlineStr">
        <is>
          <t>8/12/2025</t>
        </is>
      </c>
      <c r="F82" s="12" t="n">
        <v>63.3</v>
      </c>
      <c r="G82" s="580">
        <f>LN(F83/F82)</f>
        <v/>
      </c>
      <c r="H82" s="579" t="inlineStr">
        <is>
          <t>8/12/2025</t>
        </is>
      </c>
      <c r="I82" s="433" t="n">
        <v>41000</v>
      </c>
      <c r="J82" s="580">
        <f>LN(I83/I82)</f>
        <v/>
      </c>
    </row>
    <row r="83" ht="12.9" customHeight="1" s="343">
      <c r="A83" s="575" t="inlineStr">
        <is>
          <t>28/11/2025</t>
        </is>
      </c>
      <c r="B83" s="576" t="inlineStr">
        <is>
          <t>89.4557</t>
        </is>
      </c>
      <c r="C83" s="577">
        <f>LN(B84/B83)</f>
        <v/>
      </c>
      <c r="D83" s="578">
        <f>IFERROR(VLOOKUP(A83,E:G,3,FALSE)," ")</f>
        <v/>
      </c>
      <c r="E83" s="579" t="inlineStr">
        <is>
          <t>5/12/2025</t>
        </is>
      </c>
      <c r="F83" s="12" t="n">
        <v>64.42</v>
      </c>
      <c r="G83" s="580">
        <f>LN(F84/F83)</f>
        <v/>
      </c>
      <c r="H83" s="579" t="inlineStr">
        <is>
          <t>5/12/2025</t>
        </is>
      </c>
      <c r="I83" s="433" t="n">
        <v>40710</v>
      </c>
      <c r="J83" s="580">
        <f>LN(I84/I83)</f>
        <v/>
      </c>
    </row>
    <row r="84" ht="12.9" customHeight="1" s="343">
      <c r="A84" s="575" t="inlineStr">
        <is>
          <t>27/11/2025</t>
        </is>
      </c>
      <c r="B84" s="576" t="inlineStr">
        <is>
          <t>89.2942</t>
        </is>
      </c>
      <c r="C84" s="577">
        <f>LN(B85/B84)</f>
        <v/>
      </c>
      <c r="D84" s="578">
        <f>IFERROR(VLOOKUP(A84,E:G,3,FALSE)," ")</f>
        <v/>
      </c>
      <c r="E84" s="579" t="inlineStr">
        <is>
          <t>4/12/2025</t>
        </is>
      </c>
      <c r="F84" s="12" t="n">
        <v>64.15000000000001</v>
      </c>
      <c r="G84" s="580">
        <f>LN(F85/F84)</f>
        <v/>
      </c>
      <c r="H84" s="579" t="inlineStr">
        <is>
          <t>4/12/2025</t>
        </is>
      </c>
      <c r="I84" s="433" t="n">
        <v>40620</v>
      </c>
      <c r="J84" s="580">
        <f>LN(I85/I84)</f>
        <v/>
      </c>
    </row>
    <row r="85" ht="12.9" customHeight="1" s="343">
      <c r="A85" s="575" t="inlineStr">
        <is>
          <t>26/11/2025</t>
        </is>
      </c>
      <c r="B85" s="576" t="inlineStr">
        <is>
          <t>89.2649</t>
        </is>
      </c>
      <c r="C85" s="577">
        <f>LN(B86/B85)</f>
        <v/>
      </c>
      <c r="D85" s="578">
        <f>IFERROR(VLOOKUP(A85,E:G,3,FALSE)," ")</f>
        <v/>
      </c>
      <c r="E85" s="579" t="inlineStr">
        <is>
          <t>3/12/2025</t>
        </is>
      </c>
      <c r="F85" s="12" t="n">
        <v>63.75</v>
      </c>
      <c r="G85" s="580">
        <f>LN(F86/F85)</f>
        <v/>
      </c>
      <c r="H85" s="579" t="inlineStr">
        <is>
          <t>3/12/2025</t>
        </is>
      </c>
      <c r="I85" s="433" t="n">
        <v>40720</v>
      </c>
      <c r="J85" s="580">
        <f>LN(I86/I85)</f>
        <v/>
      </c>
    </row>
    <row r="86" ht="12.9" customHeight="1" s="343">
      <c r="A86" s="575" t="inlineStr">
        <is>
          <t>25/11/2025</t>
        </is>
      </c>
      <c r="B86" s="576" t="inlineStr">
        <is>
          <t>89.2213</t>
        </is>
      </c>
      <c r="C86" s="577">
        <f>LN(B87/B86)</f>
        <v/>
      </c>
      <c r="D86" s="578">
        <f>IFERROR(VLOOKUP(A86,E:G,3,FALSE)," ")</f>
        <v/>
      </c>
      <c r="E86" s="579" t="inlineStr">
        <is>
          <t>2/12/2025</t>
        </is>
      </c>
      <c r="F86" s="12" t="n">
        <v>63.37</v>
      </c>
      <c r="G86" s="580">
        <f>LN(F87/F86)</f>
        <v/>
      </c>
      <c r="H86" s="579" t="inlineStr">
        <is>
          <t>2/12/2025</t>
        </is>
      </c>
      <c r="I86" s="433" t="n">
        <v>40340</v>
      </c>
      <c r="J86" s="580">
        <f>LN(I87/I86)</f>
        <v/>
      </c>
    </row>
    <row r="87" ht="12.9" customHeight="1" s="343">
      <c r="A87" s="575" t="inlineStr">
        <is>
          <t>24/11/2025</t>
        </is>
      </c>
      <c r="B87" s="576" t="inlineStr">
        <is>
          <t>89.1919</t>
        </is>
      </c>
      <c r="C87" s="577">
        <f>LN(B88/B87)</f>
        <v/>
      </c>
      <c r="D87" s="578">
        <f>IFERROR(VLOOKUP(A87,E:G,3,FALSE)," ")</f>
        <v/>
      </c>
      <c r="E87" s="579" t="inlineStr">
        <is>
          <t>1/12/2025</t>
        </is>
      </c>
      <c r="F87" s="12" t="n">
        <v>64.22</v>
      </c>
      <c r="G87" s="580">
        <f>LN(F88/F87)</f>
        <v/>
      </c>
      <c r="H87" s="579" t="inlineStr">
        <is>
          <t>1/12/2025</t>
        </is>
      </c>
      <c r="I87" s="433" t="n">
        <v>40450</v>
      </c>
      <c r="J87" s="580">
        <f>LN(I88/I87)</f>
        <v/>
      </c>
    </row>
    <row r="88" ht="12.9" customHeight="1" s="343">
      <c r="A88" s="575" t="inlineStr">
        <is>
          <t>21/11/2025</t>
        </is>
      </c>
      <c r="B88" s="576" t="inlineStr">
        <is>
          <t>88.6402</t>
        </is>
      </c>
      <c r="C88" s="577">
        <f>LN(B89/B88)</f>
        <v/>
      </c>
      <c r="D88" s="578">
        <f>IFERROR(VLOOKUP(A88,E:G,3,FALSE)," ")</f>
        <v/>
      </c>
      <c r="E88" s="579" t="inlineStr">
        <is>
          <t>28/11/2025</t>
        </is>
      </c>
      <c r="F88" s="12" t="n">
        <v>64.06999999999999</v>
      </c>
      <c r="G88" s="580">
        <f>LN(F89/F88)</f>
        <v/>
      </c>
      <c r="H88" s="579" t="inlineStr">
        <is>
          <t>28/11/2025</t>
        </is>
      </c>
      <c r="I88" s="433" t="n">
        <v>40200</v>
      </c>
      <c r="J88" s="580">
        <f>LN(I89/I88)</f>
        <v/>
      </c>
    </row>
    <row r="89" ht="12.9" customHeight="1" s="343">
      <c r="A89" s="575" t="inlineStr">
        <is>
          <t>20/11/2025</t>
        </is>
      </c>
      <c r="B89" s="576" t="inlineStr">
        <is>
          <t>88.6915</t>
        </is>
      </c>
      <c r="C89" s="577">
        <f>LN(B90/B89)</f>
        <v/>
      </c>
      <c r="D89" s="578">
        <f>IFERROR(VLOOKUP(A89,E:G,3,FALSE)," ")</f>
        <v/>
      </c>
      <c r="E89" s="579" t="inlineStr">
        <is>
          <t>27/11/2025</t>
        </is>
      </c>
      <c r="F89" s="12" t="n">
        <v>64.18000000000001</v>
      </c>
      <c r="G89" s="580">
        <f>LN(F90/F89)</f>
        <v/>
      </c>
      <c r="H89" s="579" t="inlineStr">
        <is>
          <t>27/11/2025</t>
        </is>
      </c>
      <c r="I89" s="433" t="n">
        <v>39860</v>
      </c>
      <c r="J89" s="580">
        <f>LN(I90/I89)</f>
        <v/>
      </c>
    </row>
    <row r="90" ht="12.9" customHeight="1" s="343">
      <c r="A90" s="575" t="inlineStr">
        <is>
          <t>19/11/2025</t>
        </is>
      </c>
      <c r="B90" s="576" t="inlineStr">
        <is>
          <t>88.4558</t>
        </is>
      </c>
      <c r="C90" s="577">
        <f>LN(B91/B90)</f>
        <v/>
      </c>
      <c r="D90" s="578">
        <f>IFERROR(VLOOKUP(A90,E:G,3,FALSE)," ")</f>
        <v/>
      </c>
      <c r="E90" s="579" t="inlineStr">
        <is>
          <t>26/11/2025</t>
        </is>
      </c>
      <c r="F90" s="12" t="n">
        <v>64.81</v>
      </c>
      <c r="G90" s="580">
        <f>LN(F91/F90)</f>
        <v/>
      </c>
      <c r="H90" s="579" t="inlineStr">
        <is>
          <t>26/11/2025</t>
        </is>
      </c>
      <c r="I90" s="433" t="n">
        <v>39820</v>
      </c>
      <c r="J90" s="580">
        <f>LN(I91/I90)</f>
        <v/>
      </c>
    </row>
    <row r="91" ht="12.9" customHeight="1" s="343">
      <c r="A91" s="575" t="inlineStr">
        <is>
          <t>18/11/2025</t>
        </is>
      </c>
      <c r="B91" s="576" t="inlineStr">
        <is>
          <t>88.6344</t>
        </is>
      </c>
      <c r="C91" s="577">
        <f>LN(B92/B91)</f>
        <v/>
      </c>
      <c r="D91" s="578">
        <f>IFERROR(VLOOKUP(A91,E:G,3,FALSE)," ")</f>
        <v/>
      </c>
      <c r="E91" s="579" t="inlineStr">
        <is>
          <t>25/11/2025</t>
        </is>
      </c>
      <c r="F91" s="12" t="n">
        <v>63.99</v>
      </c>
      <c r="G91" s="580">
        <f>LN(F92/F91)</f>
        <v/>
      </c>
      <c r="H91" s="579" t="inlineStr">
        <is>
          <t>25/11/2025</t>
        </is>
      </c>
      <c r="I91" s="433" t="n">
        <v>39990</v>
      </c>
      <c r="J91" s="580">
        <f>LN(I92/I91)</f>
        <v/>
      </c>
    </row>
    <row r="92" ht="12.9" customHeight="1" s="343">
      <c r="A92" s="575" t="inlineStr">
        <is>
          <t>17/11/2025</t>
        </is>
      </c>
      <c r="B92" s="576" t="inlineStr">
        <is>
          <t>88.6300</t>
        </is>
      </c>
      <c r="C92" s="577">
        <f>LN(B93/B92)</f>
        <v/>
      </c>
      <c r="D92" s="578">
        <f>IFERROR(VLOOKUP(A92,E:G,3,FALSE)," ")</f>
        <v/>
      </c>
      <c r="E92" s="579" t="inlineStr">
        <is>
          <t>24/11/2025</t>
        </is>
      </c>
      <c r="F92" s="12" t="n">
        <v>64.83</v>
      </c>
      <c r="G92" s="580">
        <f>LN(F93/F92)</f>
        <v/>
      </c>
      <c r="H92" s="579" t="inlineStr">
        <is>
          <t>24/11/2025</t>
        </is>
      </c>
      <c r="I92" s="433" t="n">
        <v>39800</v>
      </c>
      <c r="J92" s="580">
        <f>LN(I93/I92)</f>
        <v/>
      </c>
    </row>
    <row r="93" ht="12.9" customHeight="1" s="343">
      <c r="A93" s="575" t="inlineStr">
        <is>
          <t>14/11/2025</t>
        </is>
      </c>
      <c r="B93" s="576" t="inlineStr">
        <is>
          <t>88.7420</t>
        </is>
      </c>
      <c r="C93" s="577">
        <f>LN(B94/B93)</f>
        <v/>
      </c>
      <c r="D93" s="578">
        <f>IFERROR(VLOOKUP(A93,E:G,3,FALSE)," ")</f>
        <v/>
      </c>
      <c r="E93" s="579" t="inlineStr">
        <is>
          <t>21/11/2025</t>
        </is>
      </c>
      <c r="F93" s="12" t="n">
        <v>62.78</v>
      </c>
      <c r="G93" s="580">
        <f>LN(F94/F93)</f>
        <v/>
      </c>
      <c r="H93" s="579" t="inlineStr">
        <is>
          <t>21/11/2025</t>
        </is>
      </c>
      <c r="I93" s="433" t="n">
        <v>39610</v>
      </c>
      <c r="J93" s="580">
        <f>LN(I94/I93)</f>
        <v/>
      </c>
    </row>
    <row r="94" ht="12.9" customHeight="1" s="343">
      <c r="A94" s="575" t="inlineStr">
        <is>
          <t>13/11/2025</t>
        </is>
      </c>
      <c r="B94" s="576" t="inlineStr">
        <is>
          <t>88.7160</t>
        </is>
      </c>
      <c r="C94" s="577">
        <f>LN(B95/B94)</f>
        <v/>
      </c>
      <c r="D94" s="578">
        <f>IFERROR(VLOOKUP(A94,E:G,3,FALSE)," ")</f>
        <v/>
      </c>
      <c r="E94" s="579" t="inlineStr">
        <is>
          <t>20/11/2025</t>
        </is>
      </c>
      <c r="F94" s="12" t="n">
        <v>63.64</v>
      </c>
      <c r="G94" s="580">
        <f>LN(F95/F94)</f>
        <v/>
      </c>
      <c r="H94" s="579" t="inlineStr">
        <is>
          <t>20/11/2025</t>
        </is>
      </c>
      <c r="I94" s="433" t="n">
        <v>39520</v>
      </c>
      <c r="J94" s="580">
        <f>LN(I95/I94)</f>
        <v/>
      </c>
    </row>
    <row r="95" ht="12.9" customHeight="1" s="343">
      <c r="A95" s="575" t="inlineStr">
        <is>
          <t>12/11/2025</t>
        </is>
      </c>
      <c r="B95" s="576" t="inlineStr">
        <is>
          <t>88.6362</t>
        </is>
      </c>
      <c r="C95" s="577">
        <f>LN(B96/B95)</f>
        <v/>
      </c>
      <c r="D95" s="578">
        <f>IFERROR(VLOOKUP(A95,E:G,3,FALSE)," ")</f>
        <v/>
      </c>
      <c r="E95" s="579" t="inlineStr">
        <is>
          <t>19/11/2025</t>
        </is>
      </c>
      <c r="F95" s="12" t="n">
        <v>63.78</v>
      </c>
      <c r="G95" s="580">
        <f>LN(F96/F95)</f>
        <v/>
      </c>
      <c r="H95" s="579" t="inlineStr">
        <is>
          <t>19/11/2025</t>
        </is>
      </c>
      <c r="I95" s="433" t="n">
        <v>39620</v>
      </c>
      <c r="J95" s="580">
        <f>LN(I96/I95)</f>
        <v/>
      </c>
    </row>
    <row r="96" ht="12.9" customHeight="1" s="343">
      <c r="A96" s="575" t="inlineStr">
        <is>
          <t>11/11/2025</t>
        </is>
      </c>
      <c r="B96" s="576" t="inlineStr">
        <is>
          <t>88.6983</t>
        </is>
      </c>
      <c r="C96" s="577">
        <f>LN(B97/B96)</f>
        <v/>
      </c>
      <c r="D96" s="578">
        <f>IFERROR(VLOOKUP(A96,E:G,3,FALSE)," ")</f>
        <v/>
      </c>
      <c r="E96" s="579" t="inlineStr">
        <is>
          <t>18/11/2025</t>
        </is>
      </c>
      <c r="F96" s="12" t="n">
        <v>64.86</v>
      </c>
      <c r="G96" s="580">
        <f>LN(F97/F96)</f>
        <v/>
      </c>
      <c r="H96" s="579" t="inlineStr">
        <is>
          <t>18/11/2025</t>
        </is>
      </c>
      <c r="I96" s="433" t="n">
        <v>39240</v>
      </c>
      <c r="J96" s="580">
        <f>LN(I97/I96)</f>
        <v/>
      </c>
    </row>
    <row r="97" ht="12.9" customHeight="1" s="343">
      <c r="A97" s="575" t="inlineStr">
        <is>
          <t>10/11/2025</t>
        </is>
      </c>
      <c r="B97" s="576" t="inlineStr">
        <is>
          <t>88.6761</t>
        </is>
      </c>
      <c r="C97" s="577">
        <f>LN(B98/B97)</f>
        <v/>
      </c>
      <c r="D97" s="578">
        <f>IFERROR(VLOOKUP(A97,E:G,3,FALSE)," ")</f>
        <v/>
      </c>
      <c r="E97" s="579" t="inlineStr">
        <is>
          <t>17/11/2025</t>
        </is>
      </c>
      <c r="F97" s="12" t="n">
        <v>63.16</v>
      </c>
      <c r="G97" s="580">
        <f>LN(F98/F97)</f>
        <v/>
      </c>
      <c r="H97" s="579" t="inlineStr">
        <is>
          <t>17/11/2025</t>
        </is>
      </c>
      <c r="I97" s="433" t="n">
        <v>39250</v>
      </c>
      <c r="J97" s="580">
        <f>LN(I98/I97)</f>
        <v/>
      </c>
    </row>
    <row r="98" ht="12.9" customHeight="1" s="343">
      <c r="A98" s="575" t="inlineStr">
        <is>
          <t>7/11/2025</t>
        </is>
      </c>
      <c r="B98" s="576" t="inlineStr">
        <is>
          <t>88.7050</t>
        </is>
      </c>
      <c r="C98" s="577">
        <f>LN(B99/B98)</f>
        <v/>
      </c>
      <c r="D98" s="578">
        <f>IFERROR(VLOOKUP(A98,E:G,3,FALSE)," ")</f>
        <v/>
      </c>
      <c r="E98" s="579" t="inlineStr">
        <is>
          <t>14/11/2025</t>
        </is>
      </c>
      <c r="F98" s="12" t="n">
        <v>63.45</v>
      </c>
      <c r="G98" s="580">
        <f>LN(F99/F98)</f>
        <v/>
      </c>
      <c r="H98" s="579" t="inlineStr">
        <is>
          <t>14/11/2025</t>
        </is>
      </c>
      <c r="I98" s="433" t="n">
        <v>38960</v>
      </c>
      <c r="J98" s="580">
        <f>LN(I99/I98)</f>
        <v/>
      </c>
    </row>
    <row r="99" ht="12.9" customHeight="1" s="343">
      <c r="A99" s="575" t="inlineStr">
        <is>
          <t>6/11/2025</t>
        </is>
      </c>
      <c r="B99" s="576" t="inlineStr">
        <is>
          <t>88.6026</t>
        </is>
      </c>
      <c r="C99" s="577">
        <f>LN(B100/B99)</f>
        <v/>
      </c>
      <c r="D99" s="578">
        <f>IFERROR(VLOOKUP(A99,E:G,3,FALSE)," ")</f>
        <v/>
      </c>
      <c r="E99" s="579" t="inlineStr">
        <is>
          <t>13/11/2025</t>
        </is>
      </c>
      <c r="F99" s="12" t="n">
        <v>62.14</v>
      </c>
      <c r="G99" s="580">
        <f>LN(F100/F99)</f>
        <v/>
      </c>
      <c r="H99" s="579" t="inlineStr">
        <is>
          <t>13/11/2025</t>
        </is>
      </c>
      <c r="I99" s="433" t="n">
        <v>39060</v>
      </c>
      <c r="J99" s="580">
        <f>LN(I100/I99)</f>
        <v/>
      </c>
    </row>
    <row r="100" ht="12.9" customHeight="1" s="343">
      <c r="A100" s="575" t="inlineStr">
        <is>
          <t>4/11/2025</t>
        </is>
      </c>
      <c r="B100" s="576" t="inlineStr">
        <is>
          <t>88.6372</t>
        </is>
      </c>
      <c r="C100" s="577">
        <f>LN(B101/B100)</f>
        <v/>
      </c>
      <c r="D100" s="578">
        <f>IFERROR(VLOOKUP(A100,E:G,3,FALSE)," ")</f>
        <v/>
      </c>
      <c r="E100" s="579" t="inlineStr">
        <is>
          <t>12/11/2025</t>
        </is>
      </c>
      <c r="F100" s="12" t="n">
        <v>61.88</v>
      </c>
      <c r="G100" s="580">
        <f>LN(F101/F100)</f>
        <v/>
      </c>
      <c r="H100" s="579" t="inlineStr">
        <is>
          <t>12/11/2025</t>
        </is>
      </c>
      <c r="I100" s="433" t="n">
        <v>38770</v>
      </c>
      <c r="J100" s="580">
        <f>LN(I101/I100)</f>
        <v/>
      </c>
    </row>
    <row r="101" ht="12.9" customHeight="1" s="343">
      <c r="A101" s="575" t="inlineStr">
        <is>
          <t>3/11/2025</t>
        </is>
      </c>
      <c r="B101" s="576" t="inlineStr">
        <is>
          <t>88.7932</t>
        </is>
      </c>
      <c r="C101" s="577">
        <f>LN(B102/B101)</f>
        <v/>
      </c>
      <c r="D101" s="578">
        <f>IFERROR(VLOOKUP(A101,E:G,3,FALSE)," ")</f>
        <v/>
      </c>
      <c r="E101" s="579" t="inlineStr">
        <is>
          <t>11/11/2025</t>
        </is>
      </c>
      <c r="F101" s="12" t="n">
        <v>63.86</v>
      </c>
      <c r="G101" s="580">
        <f>LN(F102/F101)</f>
        <v/>
      </c>
      <c r="H101" s="579" t="inlineStr">
        <is>
          <t>11/11/2025</t>
        </is>
      </c>
      <c r="I101" s="433" t="n">
        <v>38690</v>
      </c>
      <c r="J101" s="580">
        <f>LN(I102/I101)</f>
        <v/>
      </c>
    </row>
    <row r="102" ht="12.9" customHeight="1" s="343">
      <c r="A102" s="575" t="inlineStr">
        <is>
          <t>31/10/2025</t>
        </is>
      </c>
      <c r="B102" s="576" t="inlineStr">
        <is>
          <t>88.7241</t>
        </is>
      </c>
      <c r="C102" s="577">
        <f>LN(B103/B102)</f>
        <v/>
      </c>
      <c r="D102" s="578">
        <f>IFERROR(VLOOKUP(A102,E:G,3,FALSE)," ")</f>
        <v/>
      </c>
      <c r="E102" s="579" t="inlineStr">
        <is>
          <t>10/11/2025</t>
        </is>
      </c>
      <c r="F102" s="12" t="n">
        <v>63.01</v>
      </c>
      <c r="G102" s="580">
        <f>LN(F103/F102)</f>
        <v/>
      </c>
      <c r="H102" s="579" t="inlineStr">
        <is>
          <t>10/11/2025</t>
        </is>
      </c>
      <c r="I102" s="433" t="n">
        <v>38790</v>
      </c>
      <c r="J102" s="580">
        <f>LN(I103/I102)</f>
        <v/>
      </c>
    </row>
    <row r="103" ht="12.9" customHeight="1" s="343">
      <c r="A103" s="575" t="inlineStr">
        <is>
          <t>30/10/2025</t>
        </is>
      </c>
      <c r="B103" s="576" t="inlineStr">
        <is>
          <t>88.6048</t>
        </is>
      </c>
      <c r="C103" s="577">
        <f>LN(B104/B103)</f>
        <v/>
      </c>
      <c r="D103" s="578">
        <f>IFERROR(VLOOKUP(A103,E:G,3,FALSE)," ")</f>
        <v/>
      </c>
      <c r="E103" s="579" t="inlineStr">
        <is>
          <t>7/11/2025</t>
        </is>
      </c>
      <c r="F103" s="12" t="n">
        <v>63.72</v>
      </c>
      <c r="G103" s="580">
        <f>LN(F104/F103)</f>
        <v/>
      </c>
      <c r="H103" s="579" t="inlineStr">
        <is>
          <t>7/11/2025</t>
        </is>
      </c>
      <c r="I103" s="433" t="n">
        <v>38810</v>
      </c>
      <c r="J103" s="580">
        <f>LN(I104/I103)</f>
        <v/>
      </c>
    </row>
    <row r="104" ht="12.9" customHeight="1" s="343">
      <c r="A104" s="575" t="inlineStr">
        <is>
          <t>29/10/2025</t>
        </is>
      </c>
      <c r="B104" s="576" t="inlineStr">
        <is>
          <t>88.2834</t>
        </is>
      </c>
      <c r="C104" s="577">
        <f>LN(B105/B104)</f>
        <v/>
      </c>
      <c r="D104" s="578">
        <f>IFERROR(VLOOKUP(A104,E:G,3,FALSE)," ")</f>
        <v/>
      </c>
      <c r="E104" s="579" t="inlineStr">
        <is>
          <t>6/11/2025</t>
        </is>
      </c>
      <c r="F104" s="12" t="n">
        <v>63.41</v>
      </c>
      <c r="G104" s="580">
        <f>LN(F105/F104)</f>
        <v/>
      </c>
      <c r="H104" s="579" t="inlineStr">
        <is>
          <t>6/11/2025</t>
        </is>
      </c>
      <c r="I104" s="433" t="n">
        <v>38610</v>
      </c>
      <c r="J104" s="580">
        <f>LN(I105/I104)</f>
        <v/>
      </c>
    </row>
    <row r="105" ht="12.9" customHeight="1" s="343">
      <c r="A105" s="575" t="inlineStr">
        <is>
          <t>28/10/2025</t>
        </is>
      </c>
      <c r="B105" s="576" t="inlineStr">
        <is>
          <t>88.2960</t>
        </is>
      </c>
      <c r="C105" s="577">
        <f>LN(B106/B105)</f>
        <v/>
      </c>
      <c r="D105" s="578">
        <f>IFERROR(VLOOKUP(A105,E:G,3,FALSE)," ")</f>
        <v/>
      </c>
      <c r="E105" s="579" t="inlineStr">
        <is>
          <t>5/11/2025</t>
        </is>
      </c>
      <c r="F105" s="12" t="n">
        <v>63.54</v>
      </c>
      <c r="G105" s="580">
        <f>LN(F106/F105)</f>
        <v/>
      </c>
      <c r="H105" s="579" t="inlineStr">
        <is>
          <t>5/11/2025</t>
        </is>
      </c>
      <c r="I105" s="433" t="n">
        <v>38680</v>
      </c>
      <c r="J105" s="580">
        <f>LN(I106/I105)</f>
        <v/>
      </c>
    </row>
    <row r="106" ht="12.9" customHeight="1" s="343">
      <c r="A106" s="575" t="inlineStr">
        <is>
          <t>27/10/2025</t>
        </is>
      </c>
      <c r="B106" s="576" t="inlineStr">
        <is>
          <t>88.0637</t>
        </is>
      </c>
      <c r="C106" s="577">
        <f>LN(B107/B106)</f>
        <v/>
      </c>
      <c r="D106" s="578">
        <f>IFERROR(VLOOKUP(A106,E:G,3,FALSE)," ")</f>
        <v/>
      </c>
      <c r="E106" s="579" t="inlineStr">
        <is>
          <t>4/11/2025</t>
        </is>
      </c>
      <c r="F106" s="12" t="n">
        <v>65.04000000000001</v>
      </c>
      <c r="G106" s="580">
        <f>LN(F107/F106)</f>
        <v/>
      </c>
      <c r="H106" s="579" t="inlineStr">
        <is>
          <t>4/11/2025</t>
        </is>
      </c>
      <c r="I106" s="433" t="n">
        <v>38440</v>
      </c>
      <c r="J106" s="580">
        <f>LN(I107/I106)</f>
        <v/>
      </c>
    </row>
    <row r="107" ht="12.9" customHeight="1" s="343">
      <c r="A107" s="575" t="inlineStr">
        <is>
          <t>24/10/2025</t>
        </is>
      </c>
      <c r="B107" s="576" t="inlineStr">
        <is>
          <t>87.7058</t>
        </is>
      </c>
      <c r="C107" s="577">
        <f>LN(B108/B107)</f>
        <v/>
      </c>
      <c r="D107" s="578">
        <f>IFERROR(VLOOKUP(A107,E:G,3,FALSE)," ")</f>
        <v/>
      </c>
      <c r="E107" s="579" t="inlineStr">
        <is>
          <t>3/11/2025</t>
        </is>
      </c>
      <c r="F107" s="12" t="n">
        <v>65.79000000000001</v>
      </c>
      <c r="G107" s="580">
        <f>LN(F108/F107)</f>
        <v/>
      </c>
      <c r="H107" s="579" t="inlineStr">
        <is>
          <t>3/11/2025</t>
        </is>
      </c>
      <c r="I107" s="433" t="n">
        <v>38340</v>
      </c>
      <c r="J107" s="580">
        <f>LN(I108/I107)</f>
        <v/>
      </c>
    </row>
    <row r="108" ht="12.9" customHeight="1" s="343">
      <c r="A108" s="575" t="inlineStr">
        <is>
          <t>23/10/2025</t>
        </is>
      </c>
      <c r="B108" s="576" t="inlineStr">
        <is>
          <t>87.9474</t>
        </is>
      </c>
      <c r="C108" s="577">
        <f>LN(B109/B108)</f>
        <v/>
      </c>
      <c r="D108" s="578">
        <f>IFERROR(VLOOKUP(A108,E:G,3,FALSE)," ")</f>
        <v/>
      </c>
      <c r="E108" s="579" t="inlineStr">
        <is>
          <t>31/10/2025</t>
        </is>
      </c>
      <c r="F108" s="12" t="n">
        <v>65.44</v>
      </c>
      <c r="G108" s="580">
        <f>LN(F109/F108)</f>
        <v/>
      </c>
      <c r="H108" s="579" t="inlineStr">
        <is>
          <t>31/10/2025</t>
        </is>
      </c>
      <c r="I108" s="433" t="n">
        <v>38150</v>
      </c>
      <c r="J108" s="580">
        <f>LN(I109/I108)</f>
        <v/>
      </c>
    </row>
    <row r="109" ht="12.9" customHeight="1" s="343">
      <c r="A109" s="575" t="inlineStr">
        <is>
          <t>20/10/2025</t>
        </is>
      </c>
      <c r="B109" s="576" t="inlineStr">
        <is>
          <t>87.7861</t>
        </is>
      </c>
      <c r="C109" s="577">
        <f>LN(B110/B109)</f>
        <v/>
      </c>
      <c r="D109" s="578">
        <f>IFERROR(VLOOKUP(A109,E:G,3,FALSE)," ")</f>
        <v/>
      </c>
      <c r="E109" s="579" t="inlineStr">
        <is>
          <t>30/10/2025</t>
        </is>
      </c>
      <c r="F109" s="12" t="n">
        <v>65.11</v>
      </c>
      <c r="G109" s="580">
        <f>LN(F110/F109)</f>
        <v/>
      </c>
      <c r="H109" s="579" t="inlineStr">
        <is>
          <t>30/10/2025</t>
        </is>
      </c>
      <c r="I109" s="433" t="n">
        <v>38250</v>
      </c>
      <c r="J109" s="580">
        <f>LN(I110/I109)</f>
        <v/>
      </c>
    </row>
    <row r="110" ht="12.9" customHeight="1" s="343">
      <c r="A110" s="575" t="inlineStr">
        <is>
          <t>17/10/2025</t>
        </is>
      </c>
      <c r="B110" s="576" t="inlineStr">
        <is>
          <t>87.9097</t>
        </is>
      </c>
      <c r="C110" s="577">
        <f>LN(B111/B110)</f>
        <v/>
      </c>
      <c r="D110" s="578">
        <f>IFERROR(VLOOKUP(A110,E:G,3,FALSE)," ")</f>
        <v/>
      </c>
      <c r="E110" s="579" t="inlineStr">
        <is>
          <t>29/10/2025</t>
        </is>
      </c>
      <c r="F110" s="12" t="n">
        <v>65.01000000000001</v>
      </c>
      <c r="G110" s="580">
        <f>LN(F111/F110)</f>
        <v/>
      </c>
      <c r="H110" s="579" t="inlineStr">
        <is>
          <t>29/10/2025</t>
        </is>
      </c>
      <c r="I110" s="433" t="n">
        <v>38370</v>
      </c>
      <c r="J110" s="580">
        <f>LN(I111/I110)</f>
        <v/>
      </c>
    </row>
    <row r="111" ht="12.9" customHeight="1" s="343">
      <c r="A111" s="575" t="inlineStr">
        <is>
          <t>16/10/2025</t>
        </is>
      </c>
      <c r="B111" s="576" t="inlineStr">
        <is>
          <t>87.9039</t>
        </is>
      </c>
      <c r="C111" s="577">
        <f>LN(B112/B111)</f>
        <v/>
      </c>
      <c r="D111" s="578">
        <f>IFERROR(VLOOKUP(A111,E:G,3,FALSE)," ")</f>
        <v/>
      </c>
      <c r="E111" s="579" t="inlineStr">
        <is>
          <t>28/10/2025</t>
        </is>
      </c>
      <c r="F111" s="12" t="n">
        <v>64.03</v>
      </c>
      <c r="G111" s="580">
        <f>LN(F112/F111)</f>
        <v/>
      </c>
      <c r="H111" s="579" t="inlineStr">
        <is>
          <t>28/10/2025</t>
        </is>
      </c>
      <c r="I111" s="433" t="n">
        <v>38480</v>
      </c>
      <c r="J111" s="580">
        <f>LN(I112/I111)</f>
        <v/>
      </c>
    </row>
    <row r="112" ht="12.9" customHeight="1" s="343">
      <c r="A112" s="575" t="inlineStr">
        <is>
          <t>15/10/2025</t>
        </is>
      </c>
      <c r="B112" s="576" t="inlineStr">
        <is>
          <t>88.2898</t>
        </is>
      </c>
      <c r="C112" s="577">
        <f>LN(B113/B112)</f>
        <v/>
      </c>
      <c r="D112" s="578">
        <f>IFERROR(VLOOKUP(A112,E:G,3,FALSE)," ")</f>
        <v/>
      </c>
      <c r="E112" s="579" t="inlineStr">
        <is>
          <t>27/10/2025</t>
        </is>
      </c>
      <c r="F112" s="12" t="n">
        <v>65.52</v>
      </c>
      <c r="G112" s="580">
        <f>LN(F113/F112)</f>
        <v/>
      </c>
      <c r="H112" s="579" t="inlineStr">
        <is>
          <t>27/10/2025</t>
        </is>
      </c>
      <c r="I112" s="433" t="n">
        <v>38940</v>
      </c>
      <c r="J112" s="580">
        <f>LN(I113/I112)</f>
        <v/>
      </c>
    </row>
    <row r="113" ht="12.9" customHeight="1" s="343">
      <c r="A113" s="575" t="inlineStr">
        <is>
          <t>14/10/2025</t>
        </is>
      </c>
      <c r="B113" s="576" t="inlineStr">
        <is>
          <t>88.7907</t>
        </is>
      </c>
      <c r="C113" s="577">
        <f>LN(B114/B113)</f>
        <v/>
      </c>
      <c r="D113" s="578">
        <f>IFERROR(VLOOKUP(A113,E:G,3,FALSE)," ")</f>
        <v/>
      </c>
      <c r="E113" s="579" t="inlineStr">
        <is>
          <t>24/10/2025</t>
        </is>
      </c>
      <c r="F113" s="12" t="n">
        <v>65.8</v>
      </c>
      <c r="G113" s="580">
        <f>LN(F114/F113)</f>
        <v/>
      </c>
      <c r="H113" s="579" t="inlineStr">
        <is>
          <t>24/10/2025</t>
        </is>
      </c>
      <c r="I113" s="433" t="n">
        <v>38800</v>
      </c>
      <c r="J113" s="580">
        <f>LN(I114/I113)</f>
        <v/>
      </c>
    </row>
    <row r="114" ht="12.9" customHeight="1" s="343">
      <c r="A114" s="575" t="inlineStr">
        <is>
          <t>13/10/2025</t>
        </is>
      </c>
      <c r="B114" s="576" t="inlineStr">
        <is>
          <t>88.7797</t>
        </is>
      </c>
      <c r="C114" s="577">
        <f>LN(B115/B114)</f>
        <v/>
      </c>
      <c r="D114" s="578">
        <f>IFERROR(VLOOKUP(A114,E:G,3,FALSE)," ")</f>
        <v/>
      </c>
      <c r="E114" s="579" t="inlineStr">
        <is>
          <t>23/10/2025</t>
        </is>
      </c>
      <c r="F114" s="12" t="n">
        <v>66.31999999999999</v>
      </c>
      <c r="G114" s="580">
        <f>LN(F115/F114)</f>
        <v/>
      </c>
      <c r="H114" s="579" t="inlineStr">
        <is>
          <t>23/10/2025</t>
        </is>
      </c>
      <c r="I114" s="433" t="n">
        <v>38810</v>
      </c>
      <c r="J114" s="580">
        <f>LN(I115/I114)</f>
        <v/>
      </c>
    </row>
    <row r="115" ht="12.9" customHeight="1" s="343">
      <c r="A115" s="575" t="inlineStr">
        <is>
          <t>10/10/2025</t>
        </is>
      </c>
      <c r="B115" s="576" t="inlineStr">
        <is>
          <t>88.6920</t>
        </is>
      </c>
      <c r="C115" s="577">
        <f>LN(B116/B115)</f>
        <v/>
      </c>
      <c r="D115" s="578">
        <f>IFERROR(VLOOKUP(A115,E:G,3,FALSE)," ")</f>
        <v/>
      </c>
      <c r="E115" s="579" t="inlineStr">
        <is>
          <t>22/10/2025</t>
        </is>
      </c>
      <c r="F115" s="12" t="n">
        <v>62.28</v>
      </c>
      <c r="G115" s="580">
        <f>LN(F116/F115)</f>
        <v/>
      </c>
      <c r="H115" s="579" t="inlineStr">
        <is>
          <t>22/10/2025</t>
        </is>
      </c>
      <c r="I115" s="433" t="n">
        <v>38720</v>
      </c>
      <c r="J115" s="580">
        <f>LN(I116/I115)</f>
        <v/>
      </c>
    </row>
    <row r="116" ht="12.9" customHeight="1" s="343">
      <c r="A116" s="575" t="inlineStr">
        <is>
          <t>9/10/2025</t>
        </is>
      </c>
      <c r="B116" s="576" t="inlineStr">
        <is>
          <t>88.7875</t>
        </is>
      </c>
      <c r="C116" s="577">
        <f>LN(B117/B116)</f>
        <v/>
      </c>
      <c r="D116" s="578">
        <f>IFERROR(VLOOKUP(A116,E:G,3,FALSE)," ")</f>
        <v/>
      </c>
      <c r="E116" s="579" t="inlineStr">
        <is>
          <t>21/10/2025</t>
        </is>
      </c>
      <c r="F116" s="12" t="n">
        <v>61</v>
      </c>
      <c r="G116" s="580">
        <f>LN(F117/F116)</f>
        <v/>
      </c>
      <c r="H116" s="579" t="inlineStr">
        <is>
          <t>21/10/2025</t>
        </is>
      </c>
      <c r="I116" s="433" t="n">
        <v>38770</v>
      </c>
      <c r="J116" s="580">
        <f>LN(I117/I116)</f>
        <v/>
      </c>
    </row>
    <row r="117" ht="12.9" customHeight="1" s="343">
      <c r="A117" s="575" t="inlineStr">
        <is>
          <t>8/10/2025</t>
        </is>
      </c>
      <c r="B117" s="576" t="inlineStr">
        <is>
          <t>88.7903</t>
        </is>
      </c>
      <c r="C117" s="577">
        <f>LN(B118/B117)</f>
        <v/>
      </c>
      <c r="D117" s="578">
        <f>IFERROR(VLOOKUP(A117,E:G,3,FALSE)," ")</f>
        <v/>
      </c>
      <c r="E117" s="579" t="inlineStr">
        <is>
          <t>20/10/2025</t>
        </is>
      </c>
      <c r="F117" s="12" t="n">
        <v>60.71</v>
      </c>
      <c r="G117" s="580">
        <f>LN(F118/F117)</f>
        <v/>
      </c>
      <c r="H117" s="579" t="inlineStr">
        <is>
          <t>20/10/2025</t>
        </is>
      </c>
      <c r="I117" s="433" t="n">
        <v>38930</v>
      </c>
      <c r="J117" s="580">
        <f>LN(I118/I117)</f>
        <v/>
      </c>
    </row>
    <row r="118" ht="12.9" customHeight="1" s="343">
      <c r="A118" s="575" t="inlineStr">
        <is>
          <t>7/10/2025</t>
        </is>
      </c>
      <c r="B118" s="576" t="inlineStr">
        <is>
          <t>88.7319</t>
        </is>
      </c>
      <c r="C118" s="577">
        <f>LN(B119/B118)</f>
        <v/>
      </c>
      <c r="D118" s="578">
        <f>IFERROR(VLOOKUP(A118,E:G,3,FALSE)," ")</f>
        <v/>
      </c>
      <c r="E118" s="579" t="inlineStr">
        <is>
          <t>17/10/2025</t>
        </is>
      </c>
      <c r="F118" s="12" t="n">
        <v>61.23</v>
      </c>
      <c r="G118" s="580">
        <f>LN(F119/F118)</f>
        <v/>
      </c>
      <c r="H118" s="579" t="inlineStr">
        <is>
          <t>17/10/2025</t>
        </is>
      </c>
      <c r="I118" s="433" t="n">
        <v>39350</v>
      </c>
      <c r="J118" s="580">
        <f>LN(I119/I118)</f>
        <v/>
      </c>
    </row>
    <row r="119" ht="12.9" customHeight="1" s="343">
      <c r="A119" s="575" t="inlineStr">
        <is>
          <t>6/10/2025</t>
        </is>
      </c>
      <c r="B119" s="576" t="inlineStr">
        <is>
          <t>88.7859</t>
        </is>
      </c>
      <c r="C119" s="577">
        <f>LN(B120/B119)</f>
        <v/>
      </c>
      <c r="D119" s="578">
        <f>IFERROR(VLOOKUP(A119,E:G,3,FALSE)," ")</f>
        <v/>
      </c>
      <c r="E119" s="579" t="inlineStr">
        <is>
          <t>16/10/2025</t>
        </is>
      </c>
      <c r="F119" s="12" t="n">
        <v>61.08</v>
      </c>
      <c r="G119" s="580">
        <f>LN(F120/F119)</f>
        <v/>
      </c>
      <c r="H119" s="579" t="inlineStr">
        <is>
          <t>16/10/2025</t>
        </is>
      </c>
      <c r="I119" s="433" t="n">
        <v>39160</v>
      </c>
      <c r="J119" s="580">
        <f>LN(I120/I119)</f>
        <v/>
      </c>
    </row>
    <row r="120" ht="12.9" customHeight="1" s="343">
      <c r="A120" s="575" t="inlineStr">
        <is>
          <t>3/10/2025</t>
        </is>
      </c>
      <c r="B120" s="576" t="inlineStr">
        <is>
          <t>88.7775</t>
        </is>
      </c>
      <c r="C120" s="577">
        <f>LN(B121/B120)</f>
        <v/>
      </c>
      <c r="D120" s="578">
        <f>IFERROR(VLOOKUP(A120,E:G,3,FALSE)," ")</f>
        <v/>
      </c>
      <c r="E120" s="579" t="inlineStr">
        <is>
          <t>15/10/2025</t>
        </is>
      </c>
      <c r="F120" s="12" t="n">
        <v>62.33</v>
      </c>
      <c r="G120" s="580">
        <f>LN(F121/F120)</f>
        <v/>
      </c>
      <c r="H120" s="579" t="inlineStr">
        <is>
          <t>15/10/2025</t>
        </is>
      </c>
      <c r="I120" s="433" t="n">
        <v>39060</v>
      </c>
      <c r="J120" s="580">
        <f>LN(I121/I120)</f>
        <v/>
      </c>
    </row>
    <row r="121" ht="12.9" customHeight="1" s="343">
      <c r="A121" s="575" t="inlineStr">
        <is>
          <t>1/10/2025</t>
        </is>
      </c>
      <c r="B121" s="576" t="inlineStr">
        <is>
          <t>88.6778</t>
        </is>
      </c>
      <c r="C121" s="577">
        <f>LN(B122/B121)</f>
        <v/>
      </c>
      <c r="D121" s="578">
        <f>IFERROR(VLOOKUP(A121,E:G,3,FALSE)," ")</f>
        <v/>
      </c>
      <c r="E121" s="579" t="inlineStr">
        <is>
          <t>14/10/2025</t>
        </is>
      </c>
      <c r="F121" s="12" t="n">
        <v>63</v>
      </c>
      <c r="G121" s="580">
        <f>LN(F122/F121)</f>
        <v/>
      </c>
      <c r="H121" s="579" t="inlineStr">
        <is>
          <t>14/10/2025</t>
        </is>
      </c>
      <c r="I121" s="433" t="n">
        <v>39270</v>
      </c>
      <c r="J121" s="580">
        <f>LN(I122/I121)</f>
        <v/>
      </c>
    </row>
    <row r="122" ht="12.9" customHeight="1" s="343">
      <c r="A122" s="575" t="inlineStr">
        <is>
          <t>30/9/2025</t>
        </is>
      </c>
      <c r="B122" s="576" t="inlineStr">
        <is>
          <t>88.7923</t>
        </is>
      </c>
      <c r="C122" s="577">
        <f>LN(B123/B122)</f>
        <v/>
      </c>
      <c r="D122" s="578">
        <f>IFERROR(VLOOKUP(A122,E:G,3,FALSE)," ")</f>
        <v/>
      </c>
      <c r="E122" s="579" t="inlineStr">
        <is>
          <t>13/10/2025</t>
        </is>
      </c>
      <c r="F122" s="12" t="n">
        <v>64.15000000000001</v>
      </c>
      <c r="G122" s="580">
        <f>LN(F123/F122)</f>
        <v/>
      </c>
      <c r="H122" s="579" t="inlineStr">
        <is>
          <t>13/10/2025</t>
        </is>
      </c>
      <c r="I122" s="433" t="n">
        <v>39480</v>
      </c>
      <c r="J122" s="580">
        <f>LN(I123/I122)</f>
        <v/>
      </c>
    </row>
    <row r="123" ht="12.9" customHeight="1" s="343">
      <c r="A123" s="575" t="inlineStr">
        <is>
          <t>29/9/2025</t>
        </is>
      </c>
      <c r="B123" s="576" t="inlineStr">
        <is>
          <t>88.7558</t>
        </is>
      </c>
      <c r="C123" s="577">
        <f>LN(B124/B123)</f>
        <v/>
      </c>
      <c r="D123" s="578">
        <f>IFERROR(VLOOKUP(A123,E:G,3,FALSE)," ")</f>
        <v/>
      </c>
      <c r="E123" s="579" t="inlineStr">
        <is>
          <t>10/10/2025</t>
        </is>
      </c>
      <c r="F123" s="12" t="n">
        <v>64.41</v>
      </c>
      <c r="G123" s="580">
        <f>LN(F124/F123)</f>
        <v/>
      </c>
      <c r="H123" s="579" t="inlineStr">
        <is>
          <t>10/10/2025</t>
        </is>
      </c>
      <c r="I123" s="433" t="n">
        <v>39800</v>
      </c>
      <c r="J123" s="580">
        <f>LN(I124/I123)</f>
        <v/>
      </c>
    </row>
    <row r="124" ht="12.9" customHeight="1" s="343">
      <c r="A124" s="575" t="inlineStr">
        <is>
          <t>26/9/2025</t>
        </is>
      </c>
      <c r="B124" s="576" t="inlineStr">
        <is>
          <t>88.7234</t>
        </is>
      </c>
      <c r="C124" s="577">
        <f>LN(B125/B124)</f>
        <v/>
      </c>
      <c r="D124" s="578">
        <f>IFERROR(VLOOKUP(A124,E:G,3,FALSE)," ")</f>
        <v/>
      </c>
      <c r="E124" s="579" t="inlineStr">
        <is>
          <t>9/10/2025</t>
        </is>
      </c>
      <c r="F124" s="12" t="n">
        <v>67.23</v>
      </c>
      <c r="G124" s="580">
        <f>LN(F125/F124)</f>
        <v/>
      </c>
      <c r="H124" s="579" t="inlineStr">
        <is>
          <t>9/10/2025</t>
        </is>
      </c>
      <c r="I124" s="433" t="n">
        <v>39810</v>
      </c>
      <c r="J124" s="580">
        <f>LN(I125/I124)</f>
        <v/>
      </c>
    </row>
    <row r="125" ht="12.9" customHeight="1" s="343">
      <c r="A125" s="575" t="inlineStr">
        <is>
          <t>25/9/2025</t>
        </is>
      </c>
      <c r="B125" s="576" t="inlineStr">
        <is>
          <t>88.6696</t>
        </is>
      </c>
      <c r="C125" s="577">
        <f>LN(B126/B125)</f>
        <v/>
      </c>
      <c r="D125" s="578">
        <f>IFERROR(VLOOKUP(A125,E:G,3,FALSE)," ")</f>
        <v/>
      </c>
      <c r="E125" s="579" t="inlineStr">
        <is>
          <t>8/10/2025</t>
        </is>
      </c>
      <c r="F125" s="12" t="n">
        <v>67.42</v>
      </c>
      <c r="G125" s="580">
        <f>LN(F126/F125)</f>
        <v/>
      </c>
      <c r="H125" s="579" t="inlineStr">
        <is>
          <t>8/10/2025</t>
        </is>
      </c>
      <c r="I125" s="433" t="n">
        <v>39830</v>
      </c>
      <c r="J125" s="580">
        <f>LN(I126/I125)</f>
        <v/>
      </c>
    </row>
    <row r="126" ht="12.9" customHeight="1" s="343">
      <c r="A126" s="575" t="inlineStr">
        <is>
          <t>24/9/2025</t>
        </is>
      </c>
      <c r="B126" s="576" t="inlineStr">
        <is>
          <t>88.7606</t>
        </is>
      </c>
      <c r="C126" s="577">
        <f>LN(B127/B126)</f>
        <v/>
      </c>
      <c r="D126" s="578">
        <f>IFERROR(VLOOKUP(A126,E:G,3,FALSE)," ")</f>
        <v/>
      </c>
      <c r="E126" s="579" t="inlineStr">
        <is>
          <t>7/10/2025</t>
        </is>
      </c>
      <c r="F126" s="12" t="n">
        <v>67.09999999999999</v>
      </c>
      <c r="G126" s="580">
        <f>LN(F127/F126)</f>
        <v/>
      </c>
      <c r="H126" s="579" t="inlineStr">
        <is>
          <t>7/10/2025</t>
        </is>
      </c>
      <c r="I126" s="433" t="n">
        <v>40090</v>
      </c>
      <c r="J126" s="580">
        <f>LN(I127/I126)</f>
        <v/>
      </c>
    </row>
    <row r="127" ht="12.9" customHeight="1" s="343">
      <c r="A127" s="575" t="inlineStr">
        <is>
          <t>23/9/2025</t>
        </is>
      </c>
      <c r="B127" s="576" t="inlineStr">
        <is>
          <t>88.7435</t>
        </is>
      </c>
      <c r="C127" s="577">
        <f>LN(B128/B127)</f>
        <v/>
      </c>
      <c r="D127" s="578">
        <f>IFERROR(VLOOKUP(A127,E:G,3,FALSE)," ")</f>
        <v/>
      </c>
      <c r="E127" s="579" t="inlineStr">
        <is>
          <t>6/10/2025</t>
        </is>
      </c>
      <c r="F127" s="12" t="n">
        <v>67.09</v>
      </c>
      <c r="G127" s="580">
        <f>LN(F128/F127)</f>
        <v/>
      </c>
      <c r="H127" s="579" t="inlineStr">
        <is>
          <t>6/10/2025</t>
        </is>
      </c>
      <c r="I127" s="433" t="n">
        <v>40060</v>
      </c>
      <c r="J127" s="580">
        <f>LN(I128/I127)</f>
        <v/>
      </c>
    </row>
    <row r="128" ht="12.9" customHeight="1" s="343">
      <c r="A128" s="575" t="inlineStr">
        <is>
          <t>22/9/2025</t>
        </is>
      </c>
      <c r="B128" s="576" t="inlineStr">
        <is>
          <t>88.1447</t>
        </is>
      </c>
      <c r="C128" s="577">
        <f>LN(B129/B128)</f>
        <v/>
      </c>
      <c r="D128" s="578">
        <f>IFERROR(VLOOKUP(A128,E:G,3,FALSE)," ")</f>
        <v/>
      </c>
      <c r="E128" s="579" t="inlineStr">
        <is>
          <t>3/10/2025</t>
        </is>
      </c>
      <c r="F128" s="12" t="n">
        <v>66.13</v>
      </c>
      <c r="G128" s="580">
        <f>LN(F129/F128)</f>
        <v/>
      </c>
      <c r="H128" s="579" t="inlineStr">
        <is>
          <t>3/10/2025</t>
        </is>
      </c>
      <c r="I128" s="433" t="n">
        <v>40170</v>
      </c>
      <c r="J128" s="580">
        <f>LN(I129/I128)</f>
        <v/>
      </c>
    </row>
    <row r="129" ht="12.9" customHeight="1" s="343">
      <c r="A129" s="575" t="inlineStr">
        <is>
          <t>19/9/2025</t>
        </is>
      </c>
      <c r="B129" s="576" t="inlineStr">
        <is>
          <t>88.3055</t>
        </is>
      </c>
      <c r="C129" s="577">
        <f>LN(B130/B129)</f>
        <v/>
      </c>
      <c r="D129" s="578">
        <f>IFERROR(VLOOKUP(A129,E:G,3,FALSE)," ")</f>
        <v/>
      </c>
      <c r="E129" s="579" t="inlineStr">
        <is>
          <t>2/10/2025</t>
        </is>
      </c>
      <c r="F129" s="12" t="n">
        <v>65.44</v>
      </c>
      <c r="G129" s="580">
        <f>LN(F130/F129)</f>
        <v/>
      </c>
      <c r="H129" s="579" t="inlineStr">
        <is>
          <t>2/10/2025</t>
        </is>
      </c>
      <c r="I129" s="433" t="n">
        <v>40070</v>
      </c>
      <c r="J129" s="580">
        <f>LN(I130/I129)</f>
        <v/>
      </c>
    </row>
    <row r="130" ht="12.9" customHeight="1" s="343">
      <c r="A130" s="575" t="inlineStr">
        <is>
          <t>18/9/2025</t>
        </is>
      </c>
      <c r="B130" s="576" t="inlineStr">
        <is>
          <t>88.1209</t>
        </is>
      </c>
      <c r="C130" s="577">
        <f>LN(B131/B130)</f>
        <v/>
      </c>
      <c r="D130" s="578">
        <f>IFERROR(VLOOKUP(A130,E:G,3,FALSE)," ")</f>
        <v/>
      </c>
      <c r="E130" s="579" t="inlineStr">
        <is>
          <t>1/10/2025</t>
        </is>
      </c>
      <c r="F130" s="12" t="n">
        <v>66.67</v>
      </c>
      <c r="G130" s="580">
        <f>LN(F131/F130)</f>
        <v/>
      </c>
      <c r="H130" s="579" t="inlineStr">
        <is>
          <t>1/10/2025</t>
        </is>
      </c>
      <c r="I130" s="433" t="n">
        <v>40180</v>
      </c>
      <c r="J130" s="580">
        <f>LN(I131/I130)</f>
        <v/>
      </c>
    </row>
    <row r="131" ht="12.9" customHeight="1" s="343">
      <c r="A131" s="575" t="inlineStr">
        <is>
          <t>17/9/2025</t>
        </is>
      </c>
      <c r="B131" s="576" t="inlineStr">
        <is>
          <t>87.7520</t>
        </is>
      </c>
      <c r="C131" s="577">
        <f>LN(B132/B131)</f>
        <v/>
      </c>
      <c r="D131" s="578">
        <f>IFERROR(VLOOKUP(A131,E:G,3,FALSE)," ")</f>
        <v/>
      </c>
      <c r="E131" s="579" t="inlineStr">
        <is>
          <t>30/9/2025</t>
        </is>
      </c>
      <c r="F131" s="12" t="n">
        <v>68.52</v>
      </c>
      <c r="G131" s="580">
        <f>LN(F132/F131)</f>
        <v/>
      </c>
      <c r="H131" s="579" t="inlineStr">
        <is>
          <t>30/9/2025</t>
        </is>
      </c>
      <c r="I131" s="433" t="n">
        <v>39890</v>
      </c>
      <c r="J131" s="580">
        <f>LN(I132/I131)</f>
        <v/>
      </c>
    </row>
    <row r="132" ht="12.9" customHeight="1" s="343">
      <c r="A132" s="575" t="inlineStr">
        <is>
          <t>16/9/2025</t>
        </is>
      </c>
      <c r="B132" s="576" t="inlineStr">
        <is>
          <t>88.0461</t>
        </is>
      </c>
      <c r="C132" s="577">
        <f>LN(B133/B132)</f>
        <v/>
      </c>
      <c r="D132" s="578">
        <f>IFERROR(VLOOKUP(A132,E:G,3,FALSE)," ")</f>
        <v/>
      </c>
      <c r="E132" s="579" t="inlineStr">
        <is>
          <t>29/9/2025</t>
        </is>
      </c>
      <c r="F132" s="12" t="n">
        <v>69</v>
      </c>
      <c r="G132" s="580">
        <f>LN(F133/F132)</f>
        <v/>
      </c>
      <c r="H132" s="579" t="inlineStr">
        <is>
          <t>29/9/2025</t>
        </is>
      </c>
      <c r="I132" s="433" t="n">
        <v>39500</v>
      </c>
      <c r="J132" s="580">
        <f>LN(I133/I132)</f>
        <v/>
      </c>
    </row>
    <row r="133" ht="12.9" customHeight="1" s="343">
      <c r="A133" s="575" t="inlineStr">
        <is>
          <t>15/9/2025</t>
        </is>
      </c>
      <c r="B133" s="576" t="inlineStr">
        <is>
          <t>88.2690</t>
        </is>
      </c>
      <c r="C133" s="577">
        <f>LN(B134/B133)</f>
        <v/>
      </c>
      <c r="D133" s="578">
        <f>IFERROR(VLOOKUP(A133,E:G,3,FALSE)," ")</f>
        <v/>
      </c>
      <c r="E133" s="579" t="inlineStr">
        <is>
          <t>26/9/2025</t>
        </is>
      </c>
      <c r="F133" s="12" t="n">
        <v>71.15000000000001</v>
      </c>
      <c r="G133" s="580">
        <f>LN(F134/F133)</f>
        <v/>
      </c>
      <c r="H133" s="579" t="inlineStr">
        <is>
          <t>26/9/2025</t>
        </is>
      </c>
      <c r="I133" s="433" t="n">
        <v>39410</v>
      </c>
      <c r="J133" s="580">
        <f>LN(I134/I133)</f>
        <v/>
      </c>
    </row>
    <row r="134" ht="12.9" customHeight="1" s="343">
      <c r="A134" s="575" t="inlineStr">
        <is>
          <t>12/9/2025</t>
        </is>
      </c>
      <c r="B134" s="576" t="inlineStr">
        <is>
          <t>88.2806</t>
        </is>
      </c>
      <c r="C134" s="577">
        <f>LN(B135/B134)</f>
        <v/>
      </c>
      <c r="D134" s="578">
        <f>IFERROR(VLOOKUP(A134,E:G,3,FALSE)," ")</f>
        <v/>
      </c>
      <c r="E134" s="579" t="inlineStr">
        <is>
          <t>25/9/2025</t>
        </is>
      </c>
      <c r="F134" s="12" t="n">
        <v>70.48</v>
      </c>
      <c r="G134" s="580">
        <f>LN(F135/F134)</f>
        <v/>
      </c>
      <c r="H134" s="579" t="inlineStr">
        <is>
          <t>25/9/2025</t>
        </is>
      </c>
      <c r="I134" s="433" t="n">
        <v>39170</v>
      </c>
      <c r="J134" s="580">
        <f>LN(I135/I134)</f>
        <v/>
      </c>
    </row>
    <row r="135" ht="12.9" customHeight="1" s="343">
      <c r="A135" s="575" t="inlineStr">
        <is>
          <t>11/9/2025</t>
        </is>
      </c>
      <c r="B135" s="576" t="inlineStr">
        <is>
          <t>88.2649</t>
        </is>
      </c>
      <c r="C135" s="577">
        <f>LN(B136/B135)</f>
        <v/>
      </c>
      <c r="D135" s="578">
        <f>IFERROR(VLOOKUP(A135,E:G,3,FALSE)," ")</f>
        <v/>
      </c>
      <c r="E135" s="579" t="inlineStr">
        <is>
          <t>24/9/2025</t>
        </is>
      </c>
      <c r="F135" s="12" t="n">
        <v>69.64</v>
      </c>
      <c r="G135" s="580">
        <f>LN(F136/F135)</f>
        <v/>
      </c>
      <c r="H135" s="579" t="inlineStr">
        <is>
          <t>24/9/2025</t>
        </is>
      </c>
      <c r="I135" s="433" t="n">
        <v>39420</v>
      </c>
      <c r="J135" s="580">
        <f>LN(I136/I135)</f>
        <v/>
      </c>
    </row>
    <row r="136" ht="12.9" customHeight="1" s="343">
      <c r="A136" s="575" t="inlineStr">
        <is>
          <t>10/9/2025</t>
        </is>
      </c>
      <c r="B136" s="576" t="inlineStr">
        <is>
          <t>88.1252</t>
        </is>
      </c>
      <c r="C136" s="577">
        <f>LN(B137/B136)</f>
        <v/>
      </c>
      <c r="D136" s="578">
        <f>IFERROR(VLOOKUP(A136,E:G,3,FALSE)," ")</f>
        <v/>
      </c>
      <c r="E136" s="579" t="inlineStr">
        <is>
          <t>23/9/2025</t>
        </is>
      </c>
      <c r="F136" s="12" t="n">
        <v>67.95999999999999</v>
      </c>
      <c r="G136" s="580">
        <f>LN(F137/F136)</f>
        <v/>
      </c>
      <c r="H136" s="579" t="inlineStr">
        <is>
          <t>23/9/2025</t>
        </is>
      </c>
      <c r="I136" s="433" t="n">
        <v>39530</v>
      </c>
      <c r="J136" s="580">
        <f>LN(I137/I136)</f>
        <v/>
      </c>
    </row>
    <row r="137" ht="12.9" customHeight="1" s="343">
      <c r="A137" s="575" t="inlineStr">
        <is>
          <t>9/9/2025</t>
        </is>
      </c>
      <c r="B137" s="576" t="inlineStr">
        <is>
          <t>88.1409</t>
        </is>
      </c>
      <c r="C137" s="577">
        <f>LN(B138/B137)</f>
        <v/>
      </c>
      <c r="D137" s="578">
        <f>IFERROR(VLOOKUP(A137,E:G,3,FALSE)," ")</f>
        <v/>
      </c>
      <c r="E137" s="579" t="inlineStr">
        <is>
          <t>22/9/2025</t>
        </is>
      </c>
      <c r="F137" s="12" t="n">
        <v>66.87</v>
      </c>
      <c r="G137" s="580">
        <f>LN(F138/F137)</f>
        <v/>
      </c>
      <c r="H137" s="579" t="inlineStr">
        <is>
          <t>22/9/2025</t>
        </is>
      </c>
      <c r="I137" s="433" t="n">
        <v>39580</v>
      </c>
      <c r="J137" s="580">
        <f>LN(I138/I137)</f>
        <v/>
      </c>
    </row>
    <row r="138" ht="12.9" customHeight="1" s="343">
      <c r="A138" s="575" t="inlineStr">
        <is>
          <t>5/9/2025</t>
        </is>
      </c>
      <c r="B138" s="576" t="inlineStr">
        <is>
          <t>88.3242</t>
        </is>
      </c>
      <c r="C138" s="577">
        <f>LN(B139/B138)</f>
        <v/>
      </c>
      <c r="D138" s="578">
        <f>IFERROR(VLOOKUP(A138,E:G,3,FALSE)," ")</f>
        <v/>
      </c>
      <c r="E138" s="579" t="inlineStr">
        <is>
          <t>19/9/2025</t>
        </is>
      </c>
      <c r="F138" s="12" t="n">
        <v>67.05</v>
      </c>
      <c r="G138" s="580">
        <f>LN(F139/F138)</f>
        <v/>
      </c>
      <c r="H138" s="579" t="inlineStr">
        <is>
          <t>19/9/2025</t>
        </is>
      </c>
      <c r="I138" s="433" t="n">
        <v>39610</v>
      </c>
      <c r="J138" s="580">
        <f>LN(I139/I138)</f>
        <v/>
      </c>
    </row>
    <row r="139" ht="12.9" customHeight="1" s="343">
      <c r="A139" s="575" t="inlineStr">
        <is>
          <t>4/9/2025</t>
        </is>
      </c>
      <c r="B139" s="576" t="inlineStr">
        <is>
          <t>88.1641</t>
        </is>
      </c>
      <c r="C139" s="577">
        <f>LN(B140/B139)</f>
        <v/>
      </c>
      <c r="D139" s="578">
        <f>IFERROR(VLOOKUP(A139,E:G,3,FALSE)," ")</f>
        <v/>
      </c>
      <c r="E139" s="579" t="inlineStr">
        <is>
          <t>18/9/2025</t>
        </is>
      </c>
      <c r="F139" s="12" t="n">
        <v>67.83</v>
      </c>
      <c r="G139" s="580">
        <f>LN(F140/F139)</f>
        <v/>
      </c>
      <c r="H139" s="579" t="inlineStr">
        <is>
          <t>18/9/2025</t>
        </is>
      </c>
      <c r="I139" s="433" t="n">
        <v>39860</v>
      </c>
      <c r="J139" s="580">
        <f>LN(I140/I139)</f>
        <v/>
      </c>
    </row>
    <row r="140" ht="12.9" customHeight="1" s="343">
      <c r="A140" s="575" t="inlineStr">
        <is>
          <t>3/9/2025</t>
        </is>
      </c>
      <c r="B140" s="576" t="inlineStr">
        <is>
          <t>88.1070</t>
        </is>
      </c>
      <c r="C140" s="577">
        <f>LN(B141/B140)</f>
        <v/>
      </c>
      <c r="D140" s="578">
        <f>IFERROR(VLOOKUP(A140,E:G,3,FALSE)," ")</f>
        <v/>
      </c>
      <c r="E140" s="579" t="inlineStr">
        <is>
          <t>17/9/2025</t>
        </is>
      </c>
      <c r="F140" s="12" t="n">
        <v>69.19</v>
      </c>
      <c r="G140" s="580">
        <f>LN(F141/F140)</f>
        <v/>
      </c>
      <c r="H140" s="579" t="inlineStr">
        <is>
          <t>17/9/2025</t>
        </is>
      </c>
      <c r="I140" s="433" t="n">
        <v>39970</v>
      </c>
      <c r="J140" s="580">
        <f>LN(I141/I140)</f>
        <v/>
      </c>
    </row>
    <row r="141" ht="12.9" customHeight="1" s="343">
      <c r="A141" s="575" t="inlineStr">
        <is>
          <t>2/9/2025</t>
        </is>
      </c>
      <c r="B141" s="576" t="inlineStr">
        <is>
          <t>88.0265</t>
        </is>
      </c>
      <c r="C141" s="577">
        <f>LN(B142/B141)</f>
        <v/>
      </c>
      <c r="D141" s="578">
        <f>IFERROR(VLOOKUP(A141,E:G,3,FALSE)," ")</f>
        <v/>
      </c>
      <c r="E141" s="579" t="inlineStr">
        <is>
          <t>16/9/2025</t>
        </is>
      </c>
      <c r="F141" s="12" t="n">
        <v>69.69</v>
      </c>
      <c r="G141" s="580">
        <f>LN(F142/F141)</f>
        <v/>
      </c>
      <c r="H141" s="579" t="inlineStr">
        <is>
          <t>16/9/2025</t>
        </is>
      </c>
      <c r="I141" s="433" t="n">
        <v>40030</v>
      </c>
      <c r="J141" s="580">
        <f>LN(I142/I141)</f>
        <v/>
      </c>
    </row>
    <row r="142" ht="12.9" customHeight="1" s="343">
      <c r="A142" s="575" t="inlineStr">
        <is>
          <t>1/9/2025</t>
        </is>
      </c>
      <c r="B142" s="576" t="inlineStr">
        <is>
          <t>88.2576</t>
        </is>
      </c>
      <c r="C142" s="577">
        <f>LN(B143/B142)</f>
        <v/>
      </c>
      <c r="D142" s="578">
        <f>IFERROR(VLOOKUP(A142,E:G,3,FALSE)," ")</f>
        <v/>
      </c>
      <c r="E142" s="579" t="inlineStr">
        <is>
          <t>15/9/2025</t>
        </is>
      </c>
      <c r="F142" s="12" t="n">
        <v>67.88</v>
      </c>
      <c r="G142" s="580">
        <f>LN(F143/F142)</f>
        <v/>
      </c>
      <c r="H142" s="579" t="inlineStr">
        <is>
          <t>15/9/2025</t>
        </is>
      </c>
      <c r="I142" s="433" t="n">
        <v>39240</v>
      </c>
      <c r="J142" s="580">
        <f>LN(I143/I142)</f>
        <v/>
      </c>
    </row>
    <row r="143" ht="12.9" customHeight="1" s="343">
      <c r="A143" s="575" t="inlineStr">
        <is>
          <t>29/8/2025</t>
        </is>
      </c>
      <c r="B143" s="576" t="inlineStr">
        <is>
          <t>87.8514</t>
        </is>
      </c>
      <c r="C143" s="577">
        <f>LN(B144/B143)</f>
        <v/>
      </c>
      <c r="D143" s="578">
        <f>IFERROR(VLOOKUP(A143,E:G,3,FALSE)," ")</f>
        <v/>
      </c>
      <c r="E143" s="579" t="inlineStr">
        <is>
          <t>12/9/2025</t>
        </is>
      </c>
      <c r="F143" s="12" t="n">
        <v>67.87</v>
      </c>
      <c r="G143" s="580">
        <f>LN(F144/F143)</f>
        <v/>
      </c>
      <c r="H143" s="579" t="inlineStr">
        <is>
          <t>12/9/2025</t>
        </is>
      </c>
      <c r="I143" s="433" t="n">
        <v>39200</v>
      </c>
      <c r="J143" s="580">
        <f>LN(I144/I143)</f>
        <v/>
      </c>
    </row>
    <row r="144" ht="12.9" customHeight="1" s="343">
      <c r="A144" s="575" t="inlineStr">
        <is>
          <t>28/8/2025</t>
        </is>
      </c>
      <c r="B144" s="576" t="inlineStr">
        <is>
          <t>87.6559</t>
        </is>
      </c>
      <c r="C144" s="577">
        <f>LN(B145/B144)</f>
        <v/>
      </c>
      <c r="D144" s="578">
        <f>IFERROR(VLOOKUP(A144,E:G,3,FALSE)," ")</f>
        <v/>
      </c>
      <c r="E144" s="579" t="inlineStr">
        <is>
          <t>11/9/2025</t>
        </is>
      </c>
      <c r="F144" s="12" t="n">
        <v>67.25</v>
      </c>
      <c r="G144" s="580">
        <f>LN(F145/F144)</f>
        <v/>
      </c>
      <c r="H144" s="579" t="inlineStr">
        <is>
          <t>11/9/2025</t>
        </is>
      </c>
      <c r="I144" s="433" t="n">
        <v>39010</v>
      </c>
      <c r="J144" s="580">
        <f>LN(I145/I144)</f>
        <v/>
      </c>
    </row>
    <row r="145" ht="12.9" customHeight="1" s="343">
      <c r="A145" s="575" t="inlineStr">
        <is>
          <t>26/8/2025</t>
        </is>
      </c>
      <c r="B145" s="576" t="inlineStr">
        <is>
          <t>87.7414</t>
        </is>
      </c>
      <c r="C145" s="577">
        <f>LN(B146/B145)</f>
        <v/>
      </c>
      <c r="D145" s="578">
        <f>IFERROR(VLOOKUP(A145,E:G,3,FALSE)," ")</f>
        <v/>
      </c>
      <c r="E145" s="579" t="inlineStr">
        <is>
          <t>10/9/2025</t>
        </is>
      </c>
      <c r="F145" s="12" t="n">
        <v>67.62</v>
      </c>
      <c r="G145" s="580">
        <f>LN(F146/F145)</f>
        <v/>
      </c>
      <c r="H145" s="579" t="inlineStr">
        <is>
          <t>10/9/2025</t>
        </is>
      </c>
      <c r="I145" s="433" t="n">
        <v>39110</v>
      </c>
      <c r="J145" s="580">
        <f>LN(I146/I145)</f>
        <v/>
      </c>
    </row>
    <row r="146" ht="12.9" customHeight="1" s="343">
      <c r="A146" s="575" t="inlineStr">
        <is>
          <t>25/8/2025</t>
        </is>
      </c>
      <c r="B146" s="576" t="inlineStr">
        <is>
          <t>87.4174</t>
        </is>
      </c>
      <c r="C146" s="577">
        <f>LN(B147/B146)</f>
        <v/>
      </c>
      <c r="D146" s="578">
        <f>IFERROR(VLOOKUP(A146,E:G,3,FALSE)," ")</f>
        <v/>
      </c>
      <c r="E146" s="579" t="inlineStr">
        <is>
          <t>9/9/2025</t>
        </is>
      </c>
      <c r="F146" s="12" t="n">
        <v>67.97</v>
      </c>
      <c r="G146" s="580">
        <f>LN(F147/F146)</f>
        <v/>
      </c>
      <c r="H146" s="579" t="inlineStr">
        <is>
          <t>9/9/2025</t>
        </is>
      </c>
      <c r="I146" s="433" t="n">
        <v>39420</v>
      </c>
      <c r="J146" s="580">
        <f>LN(I147/I146)</f>
        <v/>
      </c>
    </row>
    <row r="147" ht="12.9" customHeight="1" s="343">
      <c r="A147" s="575" t="inlineStr">
        <is>
          <t>22/8/2025</t>
        </is>
      </c>
      <c r="B147" s="576" t="inlineStr">
        <is>
          <t>87.4375</t>
        </is>
      </c>
      <c r="C147" s="577">
        <f>LN(B148/B147)</f>
        <v/>
      </c>
      <c r="D147" s="578">
        <f>IFERROR(VLOOKUP(A147,E:G,3,FALSE)," ")</f>
        <v/>
      </c>
      <c r="E147" s="579" t="inlineStr">
        <is>
          <t>8/9/2025</t>
        </is>
      </c>
      <c r="F147" s="12" t="n">
        <v>65.44</v>
      </c>
      <c r="G147" s="580">
        <f>LN(F148/F147)</f>
        <v/>
      </c>
      <c r="H147" s="579" t="inlineStr">
        <is>
          <t>8/9/2025</t>
        </is>
      </c>
      <c r="I147" s="433" t="n">
        <v>39740</v>
      </c>
      <c r="J147" s="580">
        <f>LN(I148/I147)</f>
        <v/>
      </c>
    </row>
    <row r="148" ht="12.9" customHeight="1" s="343">
      <c r="A148" s="575" t="inlineStr">
        <is>
          <t>21/8/2025</t>
        </is>
      </c>
      <c r="B148" s="576" t="inlineStr">
        <is>
          <t>86.9741</t>
        </is>
      </c>
      <c r="C148" s="577">
        <f>LN(B149/B148)</f>
        <v/>
      </c>
      <c r="D148" s="578">
        <f>IFERROR(VLOOKUP(A148,E:G,3,FALSE)," ")</f>
        <v/>
      </c>
      <c r="E148" s="579" t="inlineStr">
        <is>
          <t>5/9/2025</t>
        </is>
      </c>
      <c r="F148" s="12" t="n">
        <v>64.92</v>
      </c>
      <c r="G148" s="580">
        <f>LN(F149/F148)</f>
        <v/>
      </c>
      <c r="H148" s="579" t="inlineStr">
        <is>
          <t>5/9/2025</t>
        </is>
      </c>
      <c r="I148" s="433" t="n">
        <v>39850</v>
      </c>
      <c r="J148" s="580">
        <f>LN(I149/I148)</f>
        <v/>
      </c>
    </row>
    <row r="149" ht="12.9" customHeight="1" s="343">
      <c r="A149" s="575" t="inlineStr">
        <is>
          <t>20/8/2025</t>
        </is>
      </c>
      <c r="B149" s="576" t="inlineStr">
        <is>
          <t>87.0919</t>
        </is>
      </c>
      <c r="C149" s="577">
        <f>LN(B150/B149)</f>
        <v/>
      </c>
      <c r="D149" s="578">
        <f>IFERROR(VLOOKUP(A149,E:G,3,FALSE)," ")</f>
        <v/>
      </c>
      <c r="E149" s="579" t="inlineStr">
        <is>
          <t>4/9/2025</t>
        </is>
      </c>
      <c r="F149" s="12" t="n">
        <v>66.41</v>
      </c>
      <c r="G149" s="580">
        <f>LN(F150/F149)</f>
        <v/>
      </c>
      <c r="H149" s="579" t="inlineStr">
        <is>
          <t>4/9/2025</t>
        </is>
      </c>
      <c r="I149" s="433" t="n">
        <v>39960</v>
      </c>
      <c r="J149" s="580">
        <f>LN(I150/I149)</f>
        <v/>
      </c>
    </row>
    <row r="150" ht="12.9" customHeight="1" s="343">
      <c r="A150" s="575" t="inlineStr">
        <is>
          <t>19/8/2025</t>
        </is>
      </c>
      <c r="B150" s="576" t="inlineStr">
        <is>
          <t>87.1756</t>
        </is>
      </c>
      <c r="C150" s="577">
        <f>LN(B151/B150)</f>
        <v/>
      </c>
      <c r="D150" s="578">
        <f>IFERROR(VLOOKUP(A150,E:G,3,FALSE)," ")</f>
        <v/>
      </c>
      <c r="E150" s="579" t="inlineStr">
        <is>
          <t>3/9/2025</t>
        </is>
      </c>
      <c r="F150" s="12" t="n">
        <v>67.76000000000001</v>
      </c>
      <c r="G150" s="580">
        <f>LN(F151/F150)</f>
        <v/>
      </c>
      <c r="H150" s="579" t="inlineStr">
        <is>
          <t>3/9/2025</t>
        </is>
      </c>
      <c r="I150" s="433" t="n">
        <v>40170</v>
      </c>
      <c r="J150" s="580">
        <f>LN(I151/I150)</f>
        <v/>
      </c>
    </row>
    <row r="151" ht="12.9" customHeight="1" s="343">
      <c r="A151" s="575" t="inlineStr">
        <is>
          <t>18/8/2025</t>
        </is>
      </c>
      <c r="B151" s="576" t="inlineStr">
        <is>
          <t>87.4137</t>
        </is>
      </c>
      <c r="C151" s="577">
        <f>LN(B152/B151)</f>
        <v/>
      </c>
      <c r="D151" s="578">
        <f>IFERROR(VLOOKUP(A151,E:G,3,FALSE)," ")</f>
        <v/>
      </c>
      <c r="E151" s="579" t="inlineStr">
        <is>
          <t>2/9/2025</t>
        </is>
      </c>
      <c r="F151" s="12" t="n">
        <v>68.09</v>
      </c>
      <c r="G151" s="580">
        <f>LN(F152/F151)</f>
        <v/>
      </c>
      <c r="H151" s="579" t="inlineStr">
        <is>
          <t>2/9/2025</t>
        </is>
      </c>
      <c r="I151" s="433" t="n">
        <v>40540</v>
      </c>
      <c r="J151" s="580">
        <f>LN(I152/I151)</f>
        <v/>
      </c>
    </row>
    <row r="152" ht="12.9" customHeight="1" s="343">
      <c r="A152" s="575" t="inlineStr">
        <is>
          <t>14/8/2025</t>
        </is>
      </c>
      <c r="B152" s="576" t="inlineStr">
        <is>
          <t>87.4852</t>
        </is>
      </c>
      <c r="C152" s="577">
        <f>LN(B153/B152)</f>
        <v/>
      </c>
      <c r="D152" s="578">
        <f>IFERROR(VLOOKUP(A152,E:G,3,FALSE)," ")</f>
        <v/>
      </c>
      <c r="E152" s="579" t="inlineStr">
        <is>
          <t>1/9/2025</t>
        </is>
      </c>
      <c r="F152" s="12" t="n">
        <v>67.09</v>
      </c>
      <c r="G152" s="580">
        <f>LN(F153/F152)</f>
        <v/>
      </c>
      <c r="H152" s="579" t="inlineStr">
        <is>
          <t>1/9/2025</t>
        </is>
      </c>
      <c r="I152" s="433" t="n">
        <v>40650</v>
      </c>
      <c r="J152" s="580">
        <f>LN(I153/I152)</f>
        <v/>
      </c>
    </row>
    <row r="153" ht="12.9" customHeight="1" s="343">
      <c r="A153" s="575" t="inlineStr">
        <is>
          <t>13/8/2025</t>
        </is>
      </c>
      <c r="B153" s="576" t="inlineStr">
        <is>
          <t>87.6956</t>
        </is>
      </c>
      <c r="C153" s="577">
        <f>LN(B154/B153)</f>
        <v/>
      </c>
      <c r="D153" s="578">
        <f>IFERROR(VLOOKUP(A153,E:G,3,FALSE)," ")</f>
        <v/>
      </c>
      <c r="E153" s="579" t="inlineStr">
        <is>
          <t>29/8/2025</t>
        </is>
      </c>
      <c r="F153" s="12" t="n">
        <v>67.83</v>
      </c>
      <c r="G153" s="580">
        <f>LN(F154/F153)</f>
        <v/>
      </c>
      <c r="H153" s="579" t="inlineStr">
        <is>
          <t>29/8/2025</t>
        </is>
      </c>
      <c r="I153" s="433" t="n">
        <v>40600</v>
      </c>
      <c r="J153" s="580">
        <f>LN(I154/I153)</f>
        <v/>
      </c>
    </row>
    <row r="154" ht="12.9" customHeight="1" s="343">
      <c r="A154" s="575" t="inlineStr">
        <is>
          <t>12/8/2025</t>
        </is>
      </c>
      <c r="B154" s="576" t="inlineStr">
        <is>
          <t>87.6726</t>
        </is>
      </c>
      <c r="C154" s="577">
        <f>LN(B155/B154)</f>
        <v/>
      </c>
      <c r="D154" s="578">
        <f>IFERROR(VLOOKUP(A154,E:G,3,FALSE)," ")</f>
        <v/>
      </c>
      <c r="E154" s="579" t="inlineStr">
        <is>
          <t>28/8/2025</t>
        </is>
      </c>
      <c r="F154" s="12" t="n">
        <v>68.61</v>
      </c>
      <c r="G154" s="580">
        <f>LN(F155/F154)</f>
        <v/>
      </c>
      <c r="H154" s="579" t="inlineStr">
        <is>
          <t>28/8/2025</t>
        </is>
      </c>
      <c r="I154" s="433" t="n">
        <v>40610</v>
      </c>
      <c r="J154" s="580">
        <f>LN(I155/I154)</f>
        <v/>
      </c>
    </row>
    <row r="155" ht="12.9" customHeight="1" s="343">
      <c r="A155" s="575" t="inlineStr">
        <is>
          <t>11/8/2025</t>
        </is>
      </c>
      <c r="B155" s="576" t="inlineStr">
        <is>
          <t>87.5776</t>
        </is>
      </c>
      <c r="C155" s="577">
        <f>LN(B156/B155)</f>
        <v/>
      </c>
      <c r="D155" s="578">
        <f>IFERROR(VLOOKUP(A155,E:G,3,FALSE)," ")</f>
        <v/>
      </c>
      <c r="E155" s="579" t="inlineStr">
        <is>
          <t>27/8/2025</t>
        </is>
      </c>
      <c r="F155" s="12" t="n">
        <v>67.75</v>
      </c>
      <c r="G155" s="580">
        <f>LN(F156/F155)</f>
        <v/>
      </c>
      <c r="H155" s="579" t="inlineStr">
        <is>
          <t>27/8/2025</t>
        </is>
      </c>
      <c r="I155" s="433" t="n">
        <v>40570</v>
      </c>
      <c r="J155" s="580">
        <f>LN(I156/I155)</f>
        <v/>
      </c>
    </row>
    <row r="156" ht="12.9" customHeight="1" s="343">
      <c r="A156" s="575" t="inlineStr">
        <is>
          <t>8/8/2025</t>
        </is>
      </c>
      <c r="B156" s="576" t="inlineStr">
        <is>
          <t>87.6196</t>
        </is>
      </c>
      <c r="C156" s="577">
        <f>LN(B157/B156)</f>
        <v/>
      </c>
      <c r="D156" s="578">
        <f>IFERROR(VLOOKUP(A156,E:G,3,FALSE)," ")</f>
        <v/>
      </c>
      <c r="E156" s="579" t="inlineStr">
        <is>
          <t>26/8/2025</t>
        </is>
      </c>
      <c r="F156" s="12" t="n">
        <v>66.89</v>
      </c>
      <c r="G156" s="580">
        <f>LN(F157/F156)</f>
        <v/>
      </c>
      <c r="H156" s="579" t="inlineStr">
        <is>
          <t>26/8/2025</t>
        </is>
      </c>
      <c r="I156" s="433" t="n">
        <v>40540</v>
      </c>
      <c r="J156" s="580">
        <f>LN(I157/I156)</f>
        <v/>
      </c>
    </row>
    <row r="157" ht="12.9" customHeight="1" s="343">
      <c r="A157" s="575" t="inlineStr">
        <is>
          <t>7/8/2025</t>
        </is>
      </c>
      <c r="B157" s="576" t="inlineStr">
        <is>
          <t>87.6945</t>
        </is>
      </c>
      <c r="C157" s="577">
        <f>LN(B158/B157)</f>
        <v/>
      </c>
      <c r="D157" s="578">
        <f>IFERROR(VLOOKUP(A157,E:G,3,FALSE)," ")</f>
        <v/>
      </c>
      <c r="E157" s="579" t="inlineStr">
        <is>
          <t>22/8/2025</t>
        </is>
      </c>
      <c r="F157" s="12" t="n">
        <v>68.29000000000001</v>
      </c>
      <c r="G157" s="580">
        <f>LN(F158/F157)</f>
        <v/>
      </c>
      <c r="H157" s="579" t="inlineStr">
        <is>
          <t>22/8/2025</t>
        </is>
      </c>
      <c r="I157" s="433" t="n">
        <v>40650</v>
      </c>
      <c r="J157" s="580">
        <f>LN(I158/I157)</f>
        <v/>
      </c>
    </row>
    <row r="158" ht="12.9" customHeight="1" s="343">
      <c r="A158" s="575" t="inlineStr">
        <is>
          <t>6/8/2025</t>
        </is>
      </c>
      <c r="B158" s="576" t="inlineStr">
        <is>
          <t>87.7000</t>
        </is>
      </c>
      <c r="C158" s="577">
        <f>LN(B159/B158)</f>
        <v/>
      </c>
      <c r="D158" s="578">
        <f>IFERROR(VLOOKUP(A158,E:G,3,FALSE)," ")</f>
        <v/>
      </c>
      <c r="E158" s="579" t="inlineStr">
        <is>
          <t>21/8/2025</t>
        </is>
      </c>
      <c r="F158" s="12" t="n">
        <v>68.41</v>
      </c>
      <c r="G158" s="580">
        <f>LN(F159/F158)</f>
        <v/>
      </c>
      <c r="H158" s="579" t="inlineStr">
        <is>
          <t>21/8/2025</t>
        </is>
      </c>
      <c r="I158" s="433" t="n">
        <v>40560</v>
      </c>
      <c r="J158" s="580">
        <f>LN(I159/I158)</f>
        <v/>
      </c>
    </row>
    <row r="159" ht="12.9" customHeight="1" s="343">
      <c r="A159" s="575" t="inlineStr">
        <is>
          <t>5/8/2025</t>
        </is>
      </c>
      <c r="B159" s="576" t="inlineStr">
        <is>
          <t>87.7917</t>
        </is>
      </c>
      <c r="C159" s="577">
        <f>LN(B160/B159)</f>
        <v/>
      </c>
      <c r="D159" s="578">
        <f>IFERROR(VLOOKUP(A159,E:G,3,FALSE)," ")</f>
        <v/>
      </c>
      <c r="E159" s="579" t="inlineStr">
        <is>
          <t>20/8/2025</t>
        </is>
      </c>
      <c r="F159" s="12" t="n">
        <v>67.61</v>
      </c>
      <c r="G159" s="580">
        <f>LN(F160/F159)</f>
        <v/>
      </c>
      <c r="H159" s="579" t="inlineStr">
        <is>
          <t>20/8/2025</t>
        </is>
      </c>
      <c r="I159" s="433" t="n">
        <v>40770</v>
      </c>
      <c r="J159" s="580">
        <f>LN(I160/I159)</f>
        <v/>
      </c>
    </row>
    <row r="160" ht="12.9" customHeight="1" s="343">
      <c r="A160" s="575" t="inlineStr">
        <is>
          <t>4/8/2025</t>
        </is>
      </c>
      <c r="B160" s="576" t="inlineStr">
        <is>
          <t>87.5018</t>
        </is>
      </c>
      <c r="C160" s="577">
        <f>LN(B161/B160)</f>
        <v/>
      </c>
      <c r="D160" s="578">
        <f>IFERROR(VLOOKUP(A160,E:G,3,FALSE)," ")</f>
        <v/>
      </c>
      <c r="E160" s="579" t="inlineStr">
        <is>
          <t>19/8/2025</t>
        </is>
      </c>
      <c r="F160" s="12" t="n">
        <v>66.62</v>
      </c>
      <c r="G160" s="580">
        <f>LN(F161/F160)</f>
        <v/>
      </c>
      <c r="H160" s="579" t="inlineStr">
        <is>
          <t>19/8/2025</t>
        </is>
      </c>
      <c r="I160" s="433" t="n">
        <v>40580</v>
      </c>
      <c r="J160" s="580">
        <f>LN(I161/I160)</f>
        <v/>
      </c>
    </row>
    <row r="161" ht="12.9" customHeight="1" s="343">
      <c r="A161" s="575" t="inlineStr">
        <is>
          <t>1/8/2025</t>
        </is>
      </c>
      <c r="B161" s="576" t="inlineStr">
        <is>
          <t>87.3519</t>
        </is>
      </c>
      <c r="C161" s="577">
        <f>LN(B162/B161)</f>
        <v/>
      </c>
      <c r="D161" s="578">
        <f>IFERROR(VLOOKUP(A161,E:G,3,FALSE)," ")</f>
        <v/>
      </c>
      <c r="E161" s="579" t="inlineStr">
        <is>
          <t>18/8/2025</t>
        </is>
      </c>
      <c r="F161" s="12" t="n">
        <v>68.18000000000001</v>
      </c>
      <c r="G161" s="580">
        <f>LN(F162/F161)</f>
        <v/>
      </c>
      <c r="H161" s="579" t="inlineStr">
        <is>
          <t>18/8/2025</t>
        </is>
      </c>
      <c r="I161" s="433" t="n">
        <v>40690</v>
      </c>
      <c r="J161" s="580">
        <f>LN(I162/I161)</f>
        <v/>
      </c>
    </row>
    <row r="162" ht="12.9" customHeight="1" s="343">
      <c r="A162" s="575" t="inlineStr">
        <is>
          <t>31/7/2025</t>
        </is>
      </c>
      <c r="B162" s="576" t="inlineStr">
        <is>
          <t>87.5544</t>
        </is>
      </c>
      <c r="C162" s="577">
        <f>LN(B163/B162)</f>
        <v/>
      </c>
      <c r="D162" s="578">
        <f>IFERROR(VLOOKUP(A162,E:G,3,FALSE)," ")</f>
        <v/>
      </c>
      <c r="E162" s="579" t="inlineStr">
        <is>
          <t>15/8/2025</t>
        </is>
      </c>
      <c r="F162" s="12" t="n">
        <v>67.3</v>
      </c>
      <c r="G162" s="580">
        <f>LN(F163/F162)</f>
        <v/>
      </c>
      <c r="H162" s="579" t="inlineStr">
        <is>
          <t>15/8/2025</t>
        </is>
      </c>
      <c r="I162" s="433" t="n">
        <v>40900</v>
      </c>
      <c r="J162" s="580">
        <f>LN(I163/I162)</f>
        <v/>
      </c>
    </row>
    <row r="163" ht="12.9" customHeight="1" s="343">
      <c r="A163" s="575" t="inlineStr">
        <is>
          <t>30/7/2025</t>
        </is>
      </c>
      <c r="B163" s="576" t="inlineStr">
        <is>
          <t>87.2713</t>
        </is>
      </c>
      <c r="C163" s="577">
        <f>LN(B164/B163)</f>
        <v/>
      </c>
      <c r="D163" s="578">
        <f>IFERROR(VLOOKUP(A163,E:G,3,FALSE)," ")</f>
        <v/>
      </c>
      <c r="E163" s="579" t="inlineStr">
        <is>
          <t>14/8/2025</t>
        </is>
      </c>
      <c r="F163" s="12" t="n">
        <v>68.12</v>
      </c>
      <c r="G163" s="580">
        <f>LN(F164/F163)</f>
        <v/>
      </c>
      <c r="H163" s="579" t="inlineStr">
        <is>
          <t>14/8/2025</t>
        </is>
      </c>
      <c r="I163" s="433" t="n">
        <v>41110</v>
      </c>
      <c r="J163" s="580">
        <f>LN(I164/I163)</f>
        <v/>
      </c>
    </row>
    <row r="164" ht="12.9" customHeight="1" s="343">
      <c r="A164" s="575" t="inlineStr">
        <is>
          <t>29/7/2025</t>
        </is>
      </c>
      <c r="B164" s="576" t="inlineStr">
        <is>
          <t>86.8417</t>
        </is>
      </c>
      <c r="C164" s="577">
        <f>LN(B165/B164)</f>
        <v/>
      </c>
      <c r="D164" s="578">
        <f>IFERROR(VLOOKUP(A164,E:G,3,FALSE)," ")</f>
        <v/>
      </c>
      <c r="E164" s="579" t="inlineStr">
        <is>
          <t>13/8/2025</t>
        </is>
      </c>
      <c r="F164" s="12" t="n">
        <v>66.25</v>
      </c>
      <c r="G164" s="580">
        <f>LN(F165/F164)</f>
        <v/>
      </c>
      <c r="H164" s="579" t="inlineStr">
        <is>
          <t>13/8/2025</t>
        </is>
      </c>
      <c r="I164" s="433" t="n">
        <v>41110</v>
      </c>
      <c r="J164" s="580">
        <f>LN(I165/I164)</f>
        <v/>
      </c>
    </row>
    <row r="165" ht="12.9" customHeight="1" s="343">
      <c r="A165" s="575" t="inlineStr">
        <is>
          <t>28/7/2025</t>
        </is>
      </c>
      <c r="B165" s="576" t="inlineStr">
        <is>
          <t>86.5510</t>
        </is>
      </c>
      <c r="C165" s="577">
        <f>LN(B166/B165)</f>
        <v/>
      </c>
      <c r="D165" s="578">
        <f>IFERROR(VLOOKUP(A165,E:G,3,FALSE)," ")</f>
        <v/>
      </c>
      <c r="E165" s="579" t="inlineStr">
        <is>
          <t>12/8/2025</t>
        </is>
      </c>
      <c r="F165" s="12" t="n">
        <v>66.8</v>
      </c>
      <c r="G165" s="580">
        <f>LN(F166/F165)</f>
        <v/>
      </c>
      <c r="H165" s="579" t="inlineStr">
        <is>
          <t>12/8/2025</t>
        </is>
      </c>
      <c r="I165" s="433" t="n">
        <v>40730</v>
      </c>
      <c r="J165" s="580">
        <f>LN(I166/I165)</f>
        <v/>
      </c>
    </row>
    <row r="166" ht="12.9" customHeight="1" s="343">
      <c r="A166" s="575" t="inlineStr">
        <is>
          <t>25/7/2025</t>
        </is>
      </c>
      <c r="B166" s="576" t="inlineStr">
        <is>
          <t>86.5247</t>
        </is>
      </c>
      <c r="C166" s="577">
        <f>LN(B167/B166)</f>
        <v/>
      </c>
      <c r="D166" s="578">
        <f>IFERROR(VLOOKUP(A166,E:G,3,FALSE)," ")</f>
        <v/>
      </c>
      <c r="E166" s="579" t="inlineStr">
        <is>
          <t>11/8/2025</t>
        </is>
      </c>
      <c r="F166" s="12" t="n">
        <v>67.36</v>
      </c>
      <c r="G166" s="580">
        <f>LN(F167/F166)</f>
        <v/>
      </c>
      <c r="H166" s="579" t="inlineStr">
        <is>
          <t>11/8/2025</t>
        </is>
      </c>
      <c r="I166" s="433" t="n">
        <v>40640</v>
      </c>
      <c r="J166" s="580">
        <f>LN(I167/I166)</f>
        <v/>
      </c>
    </row>
    <row r="167" ht="12.9" customHeight="1" s="343">
      <c r="A167" s="575" t="inlineStr">
        <is>
          <t>24/7/2025</t>
        </is>
      </c>
      <c r="B167" s="576" t="inlineStr">
        <is>
          <t>86.3301</t>
        </is>
      </c>
      <c r="C167" s="577">
        <f>LN(B168/B167)</f>
        <v/>
      </c>
      <c r="D167" s="578">
        <f>IFERROR(VLOOKUP(A167,E:G,3,FALSE)," ")</f>
        <v/>
      </c>
      <c r="E167" s="579" t="inlineStr">
        <is>
          <t>8/8/2025</t>
        </is>
      </c>
      <c r="F167" s="12" t="n">
        <v>67.17</v>
      </c>
      <c r="G167" s="580">
        <f>LN(F168/F167)</f>
        <v/>
      </c>
      <c r="H167" s="579" t="inlineStr">
        <is>
          <t>8/8/2025</t>
        </is>
      </c>
      <c r="I167" s="433" t="n">
        <v>40650</v>
      </c>
      <c r="J167" s="580">
        <f>LN(I168/I167)</f>
        <v/>
      </c>
    </row>
    <row r="168" ht="12.9" customHeight="1" s="343">
      <c r="A168" s="575" t="inlineStr">
        <is>
          <t>23/7/2025</t>
        </is>
      </c>
      <c r="B168" s="576" t="inlineStr">
        <is>
          <t>86.3676</t>
        </is>
      </c>
      <c r="C168" s="577">
        <f>LN(B169/B168)</f>
        <v/>
      </c>
      <c r="D168" s="578">
        <f>IFERROR(VLOOKUP(A168,E:G,3,FALSE)," ")</f>
        <v/>
      </c>
      <c r="E168" s="579" t="inlineStr">
        <is>
          <t>7/8/2025</t>
        </is>
      </c>
      <c r="F168" s="12" t="n">
        <v>66.98999999999999</v>
      </c>
      <c r="G168" s="580">
        <f>LN(F169/F168)</f>
        <v/>
      </c>
      <c r="H168" s="579" t="inlineStr">
        <is>
          <t>7/8/2025</t>
        </is>
      </c>
      <c r="I168" s="433" t="n">
        <v>40750</v>
      </c>
      <c r="J168" s="580">
        <f>LN(I169/I168)</f>
        <v/>
      </c>
    </row>
    <row r="169" ht="12.9" customHeight="1" s="343">
      <c r="A169" s="575" t="inlineStr">
        <is>
          <t>22/7/2025</t>
        </is>
      </c>
      <c r="B169" s="576" t="inlineStr">
        <is>
          <t>86.2581</t>
        </is>
      </c>
      <c r="C169" s="577">
        <f>LN(B170/B169)</f>
        <v/>
      </c>
      <c r="D169" s="578">
        <f>IFERROR(VLOOKUP(A169,E:G,3,FALSE)," ")</f>
        <v/>
      </c>
      <c r="E169" s="579" t="inlineStr">
        <is>
          <t>6/8/2025</t>
        </is>
      </c>
      <c r="F169" s="12" t="n">
        <v>67.97</v>
      </c>
      <c r="G169" s="580">
        <f>LN(F170/F169)</f>
        <v/>
      </c>
      <c r="H169" s="579" t="inlineStr">
        <is>
          <t>6/8/2025</t>
        </is>
      </c>
      <c r="I169" s="433" t="n">
        <v>40960</v>
      </c>
      <c r="J169" s="580">
        <f>LN(I170/I169)</f>
        <v/>
      </c>
    </row>
    <row r="170" ht="12.9" customHeight="1" s="343">
      <c r="A170" s="575" t="inlineStr">
        <is>
          <t>21/7/2025</t>
        </is>
      </c>
      <c r="B170" s="576" t="inlineStr">
        <is>
          <t>86.2248</t>
        </is>
      </c>
      <c r="C170" s="577">
        <f>LN(B171/B170)</f>
        <v/>
      </c>
      <c r="D170" s="578">
        <f>IFERROR(VLOOKUP(A170,E:G,3,FALSE)," ")</f>
        <v/>
      </c>
      <c r="E170" s="579" t="inlineStr">
        <is>
          <t>5/8/2025</t>
        </is>
      </c>
      <c r="F170" s="12" t="n">
        <v>69.14</v>
      </c>
      <c r="G170" s="580">
        <f>LN(F171/F170)</f>
        <v/>
      </c>
      <c r="H170" s="579" t="inlineStr">
        <is>
          <t>5/8/2025</t>
        </is>
      </c>
      <c r="I170" s="433" t="n">
        <v>40880</v>
      </c>
      <c r="J170" s="580">
        <f>LN(I171/I170)</f>
        <v/>
      </c>
    </row>
    <row r="171" ht="12.9" customHeight="1" s="343">
      <c r="A171" s="575" t="inlineStr">
        <is>
          <t>18/7/2025</t>
        </is>
      </c>
      <c r="B171" s="576" t="inlineStr">
        <is>
          <t>86.2007</t>
        </is>
      </c>
      <c r="C171" s="577">
        <f>LN(B172/B171)</f>
        <v/>
      </c>
      <c r="D171" s="578">
        <f>IFERROR(VLOOKUP(A171,E:G,3,FALSE)," ")</f>
        <v/>
      </c>
      <c r="E171" s="579" t="inlineStr">
        <is>
          <t>4/8/2025</t>
        </is>
      </c>
      <c r="F171" s="12" t="n">
        <v>69.56</v>
      </c>
      <c r="G171" s="580">
        <f>LN(F172/F171)</f>
        <v/>
      </c>
      <c r="H171" s="579" t="inlineStr">
        <is>
          <t>4/8/2025</t>
        </is>
      </c>
      <c r="I171" s="433" t="n">
        <v>40580</v>
      </c>
      <c r="J171" s="580">
        <f>LN(I172/I171)</f>
        <v/>
      </c>
    </row>
    <row r="172" ht="12.9" customHeight="1" s="343">
      <c r="A172" s="575" t="inlineStr">
        <is>
          <t>17/7/2025</t>
        </is>
      </c>
      <c r="B172" s="576" t="inlineStr">
        <is>
          <t>85.9149</t>
        </is>
      </c>
      <c r="C172" s="577">
        <f>LN(B173/B172)</f>
        <v/>
      </c>
      <c r="D172" s="578">
        <f>IFERROR(VLOOKUP(A172,E:G,3,FALSE)," ")</f>
        <v/>
      </c>
      <c r="E172" s="579" t="inlineStr">
        <is>
          <t>1/8/2025</t>
        </is>
      </c>
      <c r="F172" s="12" t="n">
        <v>70.55</v>
      </c>
      <c r="G172" s="580">
        <f>LN(F173/F172)</f>
        <v/>
      </c>
      <c r="H172" s="579" t="inlineStr">
        <is>
          <t>1/8/2025</t>
        </is>
      </c>
      <c r="I172" s="433" t="n">
        <v>40440</v>
      </c>
      <c r="J172" s="580">
        <f>LN(I173/I172)</f>
        <v/>
      </c>
    </row>
    <row r="173" ht="12.9" customHeight="1" s="343">
      <c r="A173" s="575" t="inlineStr">
        <is>
          <t>16/7/2025</t>
        </is>
      </c>
      <c r="B173" s="576" t="inlineStr">
        <is>
          <t>85.8051</t>
        </is>
      </c>
      <c r="C173" s="577">
        <f>LN(B174/B173)</f>
        <v/>
      </c>
      <c r="D173" s="578">
        <f>IFERROR(VLOOKUP(A173,E:G,3,FALSE)," ")</f>
        <v/>
      </c>
      <c r="E173" s="579" t="inlineStr">
        <is>
          <t>31/7/2025</t>
        </is>
      </c>
      <c r="F173" s="12" t="n">
        <v>73.43000000000001</v>
      </c>
      <c r="G173" s="580">
        <f>LN(F174/F173)</f>
        <v/>
      </c>
      <c r="H173" s="579" t="inlineStr">
        <is>
          <t>31/7/2025</t>
        </is>
      </c>
      <c r="I173" s="433" t="n">
        <v>40090</v>
      </c>
      <c r="J173" s="580">
        <f>LN(I174/I173)</f>
        <v/>
      </c>
    </row>
    <row r="174" ht="12.9" customHeight="1" s="343">
      <c r="A174" s="575" t="inlineStr">
        <is>
          <t>15/7/2025</t>
        </is>
      </c>
      <c r="B174" s="576" t="inlineStr">
        <is>
          <t>85.8262</t>
        </is>
      </c>
      <c r="C174" s="577">
        <f>LN(B175/B174)</f>
        <v/>
      </c>
      <c r="D174" s="578">
        <f>IFERROR(VLOOKUP(A174,E:G,3,FALSE)," ")</f>
        <v/>
      </c>
      <c r="E174" s="579" t="inlineStr">
        <is>
          <t>30/7/2025</t>
        </is>
      </c>
      <c r="F174" s="12" t="n">
        <v>73.98</v>
      </c>
      <c r="G174" s="580">
        <f>LN(F175/F174)</f>
        <v/>
      </c>
      <c r="H174" s="579" t="inlineStr">
        <is>
          <t>30/7/2025</t>
        </is>
      </c>
      <c r="I174" s="433" t="n">
        <v>40200</v>
      </c>
      <c r="J174" s="580">
        <f>LN(I175/I174)</f>
        <v/>
      </c>
    </row>
    <row r="175" ht="12.9" customHeight="1" s="343">
      <c r="A175" s="575" t="inlineStr">
        <is>
          <t>14/7/2025</t>
        </is>
      </c>
      <c r="B175" s="576" t="inlineStr">
        <is>
          <t>85.9910</t>
        </is>
      </c>
      <c r="C175" s="577">
        <f>LN(B176/B175)</f>
        <v/>
      </c>
      <c r="D175" s="578">
        <f>IFERROR(VLOOKUP(A175,E:G,3,FALSE)," ")</f>
        <v/>
      </c>
      <c r="E175" s="579" t="inlineStr">
        <is>
          <t>29/7/2025</t>
        </is>
      </c>
      <c r="F175" s="12" t="n">
        <v>73.20999999999999</v>
      </c>
      <c r="G175" s="580">
        <f>LN(F176/F175)</f>
        <v/>
      </c>
      <c r="H175" s="579" t="inlineStr">
        <is>
          <t>29/7/2025</t>
        </is>
      </c>
      <c r="I175" s="433" t="n">
        <v>40300</v>
      </c>
      <c r="J175" s="580">
        <f>LN(I176/I175)</f>
        <v/>
      </c>
    </row>
    <row r="176" ht="12.9" customHeight="1" s="343">
      <c r="A176" s="575" t="inlineStr">
        <is>
          <t>11/7/2025</t>
        </is>
      </c>
      <c r="B176" s="576" t="inlineStr">
        <is>
          <t>85.8536</t>
        </is>
      </c>
      <c r="C176" s="577">
        <f>LN(B177/B176)</f>
        <v/>
      </c>
      <c r="D176" s="578">
        <f>IFERROR(VLOOKUP(A176,E:G,3,FALSE)," ")</f>
        <v/>
      </c>
      <c r="E176" s="579" t="inlineStr">
        <is>
          <t>28/7/2025</t>
        </is>
      </c>
      <c r="F176" s="12" t="n">
        <v>70.87</v>
      </c>
      <c r="G176" s="580">
        <f>LN(F177/F176)</f>
        <v/>
      </c>
      <c r="H176" s="579" t="inlineStr">
        <is>
          <t>28/7/2025</t>
        </is>
      </c>
      <c r="I176" s="433" t="n">
        <v>40310</v>
      </c>
      <c r="J176" s="580">
        <f>LN(I177/I176)</f>
        <v/>
      </c>
    </row>
    <row r="177" ht="12.9" customHeight="1" s="343">
      <c r="A177" s="575" t="inlineStr">
        <is>
          <t>10/7/2025</t>
        </is>
      </c>
      <c r="B177" s="576" t="inlineStr">
        <is>
          <t>85.5780</t>
        </is>
      </c>
      <c r="C177" s="577">
        <f>LN(B178/B177)</f>
        <v/>
      </c>
      <c r="D177" s="578">
        <f>IFERROR(VLOOKUP(A177,E:G,3,FALSE)," ")</f>
        <v/>
      </c>
      <c r="E177" s="579" t="inlineStr">
        <is>
          <t>25/7/2025</t>
        </is>
      </c>
      <c r="F177" s="12" t="n">
        <v>69.23</v>
      </c>
      <c r="G177" s="580">
        <f>LN(F178/F177)</f>
        <v/>
      </c>
      <c r="H177" s="579" t="inlineStr">
        <is>
          <t>25/7/2025</t>
        </is>
      </c>
      <c r="I177" s="433" t="n">
        <v>40120</v>
      </c>
      <c r="J177" s="580">
        <f>LN(I178/I177)</f>
        <v/>
      </c>
    </row>
    <row r="178" ht="12.9" customHeight="1" s="343">
      <c r="A178" s="575" t="inlineStr">
        <is>
          <t>9/7/2025</t>
        </is>
      </c>
      <c r="B178" s="576" t="inlineStr">
        <is>
          <t>85.7979</t>
        </is>
      </c>
      <c r="C178" s="577">
        <f>LN(B179/B178)</f>
        <v/>
      </c>
      <c r="D178" s="578">
        <f>IFERROR(VLOOKUP(A178,E:G,3,FALSE)," ")</f>
        <v/>
      </c>
      <c r="E178" s="579" t="inlineStr">
        <is>
          <t>24/7/2025</t>
        </is>
      </c>
      <c r="F178" s="12" t="n">
        <v>70.42</v>
      </c>
      <c r="G178" s="580">
        <f>LN(F179/F178)</f>
        <v/>
      </c>
      <c r="H178" s="579" t="inlineStr">
        <is>
          <t>24/7/2025</t>
        </is>
      </c>
      <c r="I178" s="433" t="n">
        <v>40020</v>
      </c>
      <c r="J178" s="580">
        <f>LN(I179/I178)</f>
        <v/>
      </c>
    </row>
    <row r="179" ht="12.9" customHeight="1" s="343">
      <c r="A179" s="575" t="inlineStr">
        <is>
          <t>8/7/2025</t>
        </is>
      </c>
      <c r="B179" s="576" t="inlineStr">
        <is>
          <t>85.7188</t>
        </is>
      </c>
      <c r="C179" s="577">
        <f>LN(B180/B179)</f>
        <v/>
      </c>
      <c r="D179" s="578">
        <f>IFERROR(VLOOKUP(A179,E:G,3,FALSE)," ")</f>
        <v/>
      </c>
      <c r="E179" s="579" t="inlineStr">
        <is>
          <t>23/7/2025</t>
        </is>
      </c>
      <c r="F179" s="12" t="n">
        <v>69.17</v>
      </c>
      <c r="G179" s="580">
        <f>LN(F180/F179)</f>
        <v/>
      </c>
      <c r="H179" s="579" t="inlineStr">
        <is>
          <t>23/7/2025</t>
        </is>
      </c>
      <c r="I179" s="433" t="n">
        <v>40130</v>
      </c>
      <c r="J179" s="580">
        <f>LN(I180/I179)</f>
        <v/>
      </c>
    </row>
    <row r="180" ht="12.9" customHeight="1" s="343">
      <c r="A180" s="575" t="inlineStr">
        <is>
          <t>7/7/2025</t>
        </is>
      </c>
      <c r="B180" s="576" t="inlineStr">
        <is>
          <t>85.8150</t>
        </is>
      </c>
      <c r="C180" s="577">
        <f>LN(B181/B180)</f>
        <v/>
      </c>
      <c r="D180" s="578">
        <f>IFERROR(VLOOKUP(A180,E:G,3,FALSE)," ")</f>
        <v/>
      </c>
      <c r="E180" s="579" t="inlineStr">
        <is>
          <t>22/7/2025</t>
        </is>
      </c>
      <c r="F180" s="12" t="n">
        <v>69.69</v>
      </c>
      <c r="G180" s="580">
        <f>LN(F181/F180)</f>
        <v/>
      </c>
      <c r="H180" s="579" t="inlineStr">
        <is>
          <t>22/7/2025</t>
        </is>
      </c>
      <c r="I180" s="433" t="n">
        <v>40650</v>
      </c>
      <c r="J180" s="580">
        <f>LN(I181/I180)</f>
        <v/>
      </c>
    </row>
    <row r="181" ht="12.9" customHeight="1" s="343">
      <c r="A181" s="575" t="inlineStr">
        <is>
          <t>4/7/2025</t>
        </is>
      </c>
      <c r="B181" s="576" t="inlineStr">
        <is>
          <t>85.3886</t>
        </is>
      </c>
      <c r="C181" s="577">
        <f>LN(B182/B181)</f>
        <v/>
      </c>
      <c r="D181" s="578">
        <f>IFERROR(VLOOKUP(A181,E:G,3,FALSE)," ")</f>
        <v/>
      </c>
      <c r="E181" s="579" t="inlineStr">
        <is>
          <t>21/7/2025</t>
        </is>
      </c>
      <c r="F181" s="12" t="n">
        <v>71.92</v>
      </c>
      <c r="G181" s="580">
        <f>LN(F182/F181)</f>
        <v/>
      </c>
      <c r="H181" s="579" t="inlineStr">
        <is>
          <t>21/7/2025</t>
        </is>
      </c>
      <c r="I181" s="433" t="n">
        <v>40760</v>
      </c>
      <c r="J181" s="580">
        <f>LN(I182/I181)</f>
        <v/>
      </c>
    </row>
    <row r="182" ht="12.9" customHeight="1" s="343">
      <c r="A182" s="575" t="inlineStr">
        <is>
          <t>3/7/2025</t>
        </is>
      </c>
      <c r="B182" s="576" t="inlineStr">
        <is>
          <t>85.5121</t>
        </is>
      </c>
      <c r="C182" s="577">
        <f>LN(B183/B182)</f>
        <v/>
      </c>
      <c r="D182" s="578">
        <f>IFERROR(VLOOKUP(A182,E:G,3,FALSE)," ")</f>
        <v/>
      </c>
      <c r="E182" s="579" t="inlineStr">
        <is>
          <t>18/7/2025</t>
        </is>
      </c>
      <c r="F182" s="12" t="n">
        <v>71.06</v>
      </c>
      <c r="G182" s="580">
        <f>LN(F183/F182)</f>
        <v/>
      </c>
      <c r="H182" s="579" t="inlineStr">
        <is>
          <t>18/7/2025</t>
        </is>
      </c>
      <c r="I182" s="433" t="n">
        <v>40770</v>
      </c>
      <c r="J182" s="580">
        <f>LN(I183/I182)</f>
        <v/>
      </c>
    </row>
    <row r="183" ht="12.9" customHeight="1" s="343">
      <c r="A183" s="575" t="inlineStr">
        <is>
          <t>2/7/2025</t>
        </is>
      </c>
      <c r="B183" s="576" t="inlineStr">
        <is>
          <t>85.6928</t>
        </is>
      </c>
      <c r="C183" s="577">
        <f>LN(B184/B183)</f>
        <v/>
      </c>
      <c r="D183" s="578">
        <f>IFERROR(VLOOKUP(A183,E:G,3,FALSE)," ")</f>
        <v/>
      </c>
      <c r="E183" s="579" t="inlineStr">
        <is>
          <t>17/7/2025</t>
        </is>
      </c>
      <c r="F183" s="12" t="n">
        <v>71.31999999999999</v>
      </c>
      <c r="G183" s="580">
        <f>LN(F184/F183)</f>
        <v/>
      </c>
      <c r="H183" s="579" t="inlineStr">
        <is>
          <t>17/7/2025</t>
        </is>
      </c>
      <c r="I183" s="433" t="n">
        <v>40670</v>
      </c>
      <c r="J183" s="580">
        <f>LN(I184/I183)</f>
        <v/>
      </c>
    </row>
    <row r="184" ht="12.9" customHeight="1" s="343">
      <c r="A184" s="575" t="inlineStr">
        <is>
          <t>1/7/2025</t>
        </is>
      </c>
      <c r="B184" s="576" t="inlineStr">
        <is>
          <t>85.6179</t>
        </is>
      </c>
      <c r="C184" s="577">
        <f>LN(B185/B184)</f>
        <v/>
      </c>
      <c r="D184" s="578">
        <f>IFERROR(VLOOKUP(A184,E:G,3,FALSE)," ")</f>
        <v/>
      </c>
      <c r="E184" s="579" t="inlineStr">
        <is>
          <t>16/7/2025</t>
        </is>
      </c>
      <c r="F184" s="12" t="n">
        <v>69.67</v>
      </c>
      <c r="G184" s="580">
        <f>LN(F185/F184)</f>
        <v/>
      </c>
      <c r="H184" s="579" t="inlineStr">
        <is>
          <t>16/7/2025</t>
        </is>
      </c>
      <c r="I184" s="433" t="n">
        <v>40830</v>
      </c>
      <c r="J184" s="580">
        <f>LN(I185/I184)</f>
        <v/>
      </c>
    </row>
    <row r="185" ht="12.9" customHeight="1" s="343">
      <c r="A185" s="575" t="inlineStr">
        <is>
          <t>30/6/2025</t>
        </is>
      </c>
      <c r="B185" s="576" t="inlineStr">
        <is>
          <t>85.5439</t>
        </is>
      </c>
      <c r="C185" s="577">
        <f>LN(B186/B185)</f>
        <v/>
      </c>
      <c r="D185" s="578">
        <f>IFERROR(VLOOKUP(A185,E:G,3,FALSE)," ")</f>
        <v/>
      </c>
      <c r="E185" s="579" t="inlineStr">
        <is>
          <t>15/7/2025</t>
        </is>
      </c>
      <c r="F185" s="12" t="n">
        <v>70.27</v>
      </c>
      <c r="G185" s="580">
        <f>LN(F186/F185)</f>
        <v/>
      </c>
      <c r="H185" s="579" t="inlineStr">
        <is>
          <t>15/7/2025</t>
        </is>
      </c>
      <c r="I185" s="433" t="n">
        <v>41000</v>
      </c>
      <c r="J185" s="580">
        <f>LN(I186/I185)</f>
        <v/>
      </c>
    </row>
    <row r="186" ht="12.9" customHeight="1" s="343">
      <c r="A186" s="575" t="inlineStr">
        <is>
          <t>27/6/2025</t>
        </is>
      </c>
      <c r="B186" s="576" t="inlineStr">
        <is>
          <t>85.5594</t>
        </is>
      </c>
      <c r="C186" s="577">
        <f>LN(B187/B186)</f>
        <v/>
      </c>
      <c r="D186" s="578">
        <f>IFERROR(VLOOKUP(A186,E:G,3,FALSE)," ")</f>
        <v/>
      </c>
      <c r="E186" s="579" t="inlineStr">
        <is>
          <t>14/7/2025</t>
        </is>
      </c>
      <c r="F186" s="12" t="n">
        <v>70.95999999999999</v>
      </c>
      <c r="G186" s="580">
        <f>LN(F187/F186)</f>
        <v/>
      </c>
      <c r="H186" s="579" t="inlineStr">
        <is>
          <t>14/7/2025</t>
        </is>
      </c>
      <c r="I186" s="433" t="n">
        <v>40910</v>
      </c>
      <c r="J186" s="580">
        <f>LN(I187/I186)</f>
        <v/>
      </c>
    </row>
    <row r="187" ht="12.9" customHeight="1" s="343">
      <c r="A187" s="575" t="inlineStr">
        <is>
          <t>26/6/2025</t>
        </is>
      </c>
      <c r="B187" s="576" t="inlineStr">
        <is>
          <t>85.7528</t>
        </is>
      </c>
      <c r="C187" s="577">
        <f>LN(B188/B187)</f>
        <v/>
      </c>
      <c r="D187" s="578">
        <f>IFERROR(VLOOKUP(A187,E:G,3,FALSE)," ")</f>
        <v/>
      </c>
      <c r="E187" s="579" t="inlineStr">
        <is>
          <t>11/7/2025</t>
        </is>
      </c>
      <c r="F187" s="12" t="n">
        <v>72.06</v>
      </c>
      <c r="G187" s="580">
        <f>LN(F188/F187)</f>
        <v/>
      </c>
      <c r="H187" s="579" t="inlineStr">
        <is>
          <t>11/7/2025</t>
        </is>
      </c>
      <c r="I187" s="433" t="n">
        <v>41010</v>
      </c>
      <c r="J187" s="580">
        <f>LN(I188/I187)</f>
        <v/>
      </c>
    </row>
    <row r="188" ht="12.9" customHeight="1" s="343">
      <c r="A188" s="575" t="inlineStr">
        <is>
          <t>25/6/2025</t>
        </is>
      </c>
      <c r="B188" s="576" t="inlineStr">
        <is>
          <t>85.8732</t>
        </is>
      </c>
      <c r="C188" s="577">
        <f>LN(B189/B188)</f>
        <v/>
      </c>
      <c r="D188" s="578">
        <f>IFERROR(VLOOKUP(A188,E:G,3,FALSE)," ")</f>
        <v/>
      </c>
      <c r="E188" s="579" t="inlineStr">
        <is>
          <t>10/7/2025</t>
        </is>
      </c>
      <c r="F188" s="12" t="n">
        <v>70.38</v>
      </c>
      <c r="G188" s="580">
        <f>LN(F189/F188)</f>
        <v/>
      </c>
      <c r="H188" s="579" t="inlineStr">
        <is>
          <t>10/7/2025</t>
        </is>
      </c>
      <c r="I188" s="433" t="n">
        <v>41220</v>
      </c>
      <c r="J188" s="580">
        <f>LN(I189/I188)</f>
        <v/>
      </c>
    </row>
    <row r="189" ht="12.9" customHeight="1" s="343">
      <c r="A189" s="575" t="inlineStr">
        <is>
          <t>24/6/2025</t>
        </is>
      </c>
      <c r="B189" s="576" t="inlineStr">
        <is>
          <t>86.1043</t>
        </is>
      </c>
      <c r="C189" s="577">
        <f>LN(B190/B189)</f>
        <v/>
      </c>
      <c r="D189" s="578">
        <f>IFERROR(VLOOKUP(A189,E:G,3,FALSE)," ")</f>
        <v/>
      </c>
      <c r="E189" s="579" t="inlineStr">
        <is>
          <t>9/7/2025</t>
        </is>
      </c>
      <c r="F189" s="12" t="n">
        <v>71.98</v>
      </c>
      <c r="G189" s="580">
        <f>LN(F190/F189)</f>
        <v/>
      </c>
      <c r="H189" s="579" t="inlineStr">
        <is>
          <t>9/7/2025</t>
        </is>
      </c>
      <c r="I189" s="433" t="n">
        <v>41180</v>
      </c>
      <c r="J189" s="580">
        <f>LN(I190/I189)</f>
        <v/>
      </c>
    </row>
    <row r="190" ht="12.9" customHeight="1" s="343">
      <c r="A190" s="575" t="inlineStr">
        <is>
          <t>23/6/2025</t>
        </is>
      </c>
      <c r="B190" s="576" t="inlineStr">
        <is>
          <t>86.8080</t>
        </is>
      </c>
      <c r="C190" s="577">
        <f>LN(B191/B190)</f>
        <v/>
      </c>
      <c r="D190" s="578">
        <f>IFERROR(VLOOKUP(A190,E:G,3,FALSE)," ")</f>
        <v/>
      </c>
      <c r="E190" s="579" t="inlineStr">
        <is>
          <t>8/7/2025</t>
        </is>
      </c>
      <c r="F190" s="12" t="n">
        <v>72.5</v>
      </c>
      <c r="G190" s="580">
        <f>LN(F191/F190)</f>
        <v/>
      </c>
      <c r="H190" s="579" t="inlineStr">
        <is>
          <t>8/7/2025</t>
        </is>
      </c>
      <c r="I190" s="433" t="n">
        <v>41250</v>
      </c>
      <c r="J190" s="580">
        <f>LN(I191/I190)</f>
        <v/>
      </c>
    </row>
    <row r="191" ht="12.9" customHeight="1" s="343">
      <c r="A191" s="575" t="inlineStr">
        <is>
          <t>20/6/2025</t>
        </is>
      </c>
      <c r="B191" s="576" t="inlineStr">
        <is>
          <t>86.6133</t>
        </is>
      </c>
      <c r="C191" s="577">
        <f>LN(B192/B191)</f>
        <v/>
      </c>
      <c r="D191" s="578">
        <f>IFERROR(VLOOKUP(A191,E:G,3,FALSE)," ")</f>
        <v/>
      </c>
      <c r="E191" s="579" t="inlineStr">
        <is>
          <t>7/7/2025</t>
        </is>
      </c>
      <c r="F191" s="12" t="n">
        <v>71.95</v>
      </c>
      <c r="G191" s="580">
        <f>LN(F192/F191)</f>
        <v/>
      </c>
      <c r="H191" s="579" t="inlineStr">
        <is>
          <t>7/7/2025</t>
        </is>
      </c>
      <c r="I191" s="433" t="n">
        <v>41450</v>
      </c>
      <c r="J191" s="580">
        <f>LN(I192/I191)</f>
        <v/>
      </c>
    </row>
    <row r="192" ht="12.9" customHeight="1" s="343">
      <c r="A192" s="575" t="inlineStr">
        <is>
          <t>19/6/2025</t>
        </is>
      </c>
      <c r="B192" s="576" t="inlineStr">
        <is>
          <t>86.6994</t>
        </is>
      </c>
      <c r="C192" s="577">
        <f>LN(B193/B192)</f>
        <v/>
      </c>
      <c r="D192" s="578">
        <f>IFERROR(VLOOKUP(A192,E:G,3,FALSE)," ")</f>
        <v/>
      </c>
      <c r="E192" s="579" t="inlineStr">
        <is>
          <t>4/7/2025</t>
        </is>
      </c>
      <c r="F192" s="12" t="n">
        <v>71.03</v>
      </c>
      <c r="G192" s="580">
        <f>LN(F193/F192)</f>
        <v/>
      </c>
      <c r="H192" s="579" t="inlineStr">
        <is>
          <t>4/7/2025</t>
        </is>
      </c>
      <c r="I192" s="433" t="n">
        <v>41260</v>
      </c>
      <c r="J192" s="580">
        <f>LN(I193/I192)</f>
        <v/>
      </c>
    </row>
    <row r="193" ht="12.9" customHeight="1" s="343">
      <c r="A193" s="575" t="inlineStr">
        <is>
          <t>18/6/2025</t>
        </is>
      </c>
      <c r="B193" s="576" t="inlineStr">
        <is>
          <t>86.3030</t>
        </is>
      </c>
      <c r="C193" s="577">
        <f>LN(B194/B193)</f>
        <v/>
      </c>
      <c r="D193" s="578">
        <f>IFERROR(VLOOKUP(A193,E:G,3,FALSE)," ")</f>
        <v/>
      </c>
      <c r="E193" s="579" t="inlineStr">
        <is>
          <t>3/7/2025</t>
        </is>
      </c>
      <c r="F193" s="12" t="n">
        <v>70.42</v>
      </c>
      <c r="G193" s="580">
        <f>LN(F194/F193)</f>
        <v/>
      </c>
      <c r="H193" s="579" t="inlineStr">
        <is>
          <t>3/7/2025</t>
        </is>
      </c>
      <c r="I193" s="433" t="n">
        <v>41170</v>
      </c>
      <c r="J193" s="580">
        <f>LN(I194/I193)</f>
        <v/>
      </c>
    </row>
    <row r="194" ht="12.9" customHeight="1" s="343">
      <c r="A194" s="575" t="inlineStr">
        <is>
          <t>17/6/2025</t>
        </is>
      </c>
      <c r="B194" s="576" t="inlineStr">
        <is>
          <t>86.0978</t>
        </is>
      </c>
      <c r="C194" s="577">
        <f>LN(B195/B194)</f>
        <v/>
      </c>
      <c r="D194" s="578">
        <f>IFERROR(VLOOKUP(A194,E:G,3,FALSE)," ")</f>
        <v/>
      </c>
      <c r="E194" s="579" t="inlineStr">
        <is>
          <t>2/7/2025</t>
        </is>
      </c>
      <c r="F194" s="12" t="n">
        <v>70.8</v>
      </c>
      <c r="G194" s="580">
        <f>LN(F195/F194)</f>
        <v/>
      </c>
      <c r="H194" s="579" t="inlineStr">
        <is>
          <t>2/7/2025</t>
        </is>
      </c>
      <c r="I194" s="433" t="n">
        <v>41270</v>
      </c>
      <c r="J194" s="580">
        <f>LN(I195/I194)</f>
        <v/>
      </c>
    </row>
    <row r="195" ht="12.9" customHeight="1" s="343">
      <c r="A195" s="575" t="inlineStr">
        <is>
          <t>16/6/2025</t>
        </is>
      </c>
      <c r="B195" s="576" t="inlineStr">
        <is>
          <t>86.0242</t>
        </is>
      </c>
      <c r="C195" s="577">
        <f>LN(B196/B195)</f>
        <v/>
      </c>
      <c r="D195" s="578">
        <f>IFERROR(VLOOKUP(A195,E:G,3,FALSE)," ")</f>
        <v/>
      </c>
      <c r="E195" s="579" t="inlineStr">
        <is>
          <t>1/7/2025</t>
        </is>
      </c>
      <c r="F195" s="12" t="n">
        <v>67.63</v>
      </c>
      <c r="G195" s="580">
        <f>LN(F196/F195)</f>
        <v/>
      </c>
      <c r="H195" s="579" t="inlineStr">
        <is>
          <t>1/7/2025</t>
        </is>
      </c>
      <c r="I195" s="433" t="n">
        <v>41400</v>
      </c>
      <c r="J195" s="580">
        <f>LN(I196/I195)</f>
        <v/>
      </c>
    </row>
    <row r="196" ht="12.9" customHeight="1" s="343">
      <c r="A196" s="575" t="inlineStr">
        <is>
          <t>13/6/2025</t>
        </is>
      </c>
      <c r="B196" s="576" t="inlineStr">
        <is>
          <t>86.0979</t>
        </is>
      </c>
      <c r="C196" s="577">
        <f>LN(B197/B196)</f>
        <v/>
      </c>
      <c r="D196" s="578">
        <f>IFERROR(VLOOKUP(A196,E:G,3,FALSE)," ")</f>
        <v/>
      </c>
      <c r="E196" s="579" t="inlineStr">
        <is>
          <t>30/6/2025</t>
        </is>
      </c>
      <c r="F196" s="12" t="n">
        <v>68.15000000000001</v>
      </c>
      <c r="G196" s="580">
        <f>LN(F197/F196)</f>
        <v/>
      </c>
      <c r="H196" s="579" t="inlineStr">
        <is>
          <t>30/6/2025</t>
        </is>
      </c>
      <c r="I196" s="433" t="n">
        <v>41510</v>
      </c>
      <c r="J196" s="580">
        <f>LN(I197/I196)</f>
        <v/>
      </c>
    </row>
    <row r="197" ht="12.9" customHeight="1" s="343">
      <c r="A197" s="575" t="inlineStr">
        <is>
          <t>12/6/2025</t>
        </is>
      </c>
      <c r="B197" s="576" t="inlineStr">
        <is>
          <t>85.5353</t>
        </is>
      </c>
      <c r="C197" s="577">
        <f>LN(B198/B197)</f>
        <v/>
      </c>
      <c r="D197" s="578">
        <f>IFERROR(VLOOKUP(A197,E:G,3,FALSE)," ")</f>
        <v/>
      </c>
      <c r="E197" s="579" t="inlineStr">
        <is>
          <t>27/6/2025</t>
        </is>
      </c>
      <c r="F197" s="12" t="n">
        <v>69.37</v>
      </c>
      <c r="G197" s="580">
        <f>LN(F198/F197)</f>
        <v/>
      </c>
      <c r="H197" s="579" t="inlineStr">
        <is>
          <t>27/6/2025</t>
        </is>
      </c>
      <c r="I197" s="433" t="n">
        <v>41620</v>
      </c>
      <c r="J197" s="580">
        <f>LN(I198/I197)</f>
        <v/>
      </c>
    </row>
    <row r="198" ht="12.9" customHeight="1" s="343">
      <c r="A198" s="575" t="inlineStr">
        <is>
          <t>11/6/2025</t>
        </is>
      </c>
      <c r="B198" s="576" t="inlineStr">
        <is>
          <t>85.4542</t>
        </is>
      </c>
      <c r="C198" s="577">
        <f>LN(B199/B198)</f>
        <v/>
      </c>
      <c r="D198" s="578">
        <f>IFERROR(VLOOKUP(A198,E:G,3,FALSE)," ")</f>
        <v/>
      </c>
      <c r="E198" s="579" t="inlineStr">
        <is>
          <t>26/6/2025</t>
        </is>
      </c>
      <c r="F198" s="12" t="n">
        <v>68.56999999999999</v>
      </c>
      <c r="G198" s="580">
        <f>LN(F199/F198)</f>
        <v/>
      </c>
      <c r="H198" s="579" t="inlineStr">
        <is>
          <t>26/6/2025</t>
        </is>
      </c>
      <c r="I198" s="433" t="n">
        <v>41730</v>
      </c>
      <c r="J198" s="580">
        <f>LN(I199/I198)</f>
        <v/>
      </c>
    </row>
    <row r="199" ht="12.9" customHeight="1" s="343">
      <c r="A199" s="575" t="inlineStr">
        <is>
          <t>10/6/2025</t>
        </is>
      </c>
      <c r="B199" s="576" t="inlineStr">
        <is>
          <t>85.5949</t>
        </is>
      </c>
      <c r="C199" s="577">
        <f>LN(B200/B199)</f>
        <v/>
      </c>
      <c r="D199" s="578">
        <f>IFERROR(VLOOKUP(A199,E:G,3,FALSE)," ")</f>
        <v/>
      </c>
      <c r="E199" s="579" t="inlineStr">
        <is>
          <t>25/6/2025</t>
        </is>
      </c>
      <c r="F199" s="12" t="n">
        <v>68.40000000000001</v>
      </c>
      <c r="G199" s="580">
        <f>LN(F200/F199)</f>
        <v/>
      </c>
      <c r="H199" s="579" t="inlineStr">
        <is>
          <t>25/6/2025</t>
        </is>
      </c>
      <c r="I199" s="433" t="n">
        <v>41730</v>
      </c>
      <c r="J199" s="580">
        <f>LN(I200/I199)</f>
        <v/>
      </c>
    </row>
    <row r="200" ht="12.9" customHeight="1" s="343">
      <c r="A200" s="575" t="inlineStr">
        <is>
          <t>9/6/2025</t>
        </is>
      </c>
      <c r="B200" s="576" t="inlineStr">
        <is>
          <t>85.4984</t>
        </is>
      </c>
      <c r="C200" s="577">
        <f>LN(B201/B200)</f>
        <v/>
      </c>
      <c r="D200" s="578">
        <f>IFERROR(VLOOKUP(A200,E:G,3,FALSE)," ")</f>
        <v/>
      </c>
      <c r="E200" s="579" t="inlineStr">
        <is>
          <t>24/6/2025</t>
        </is>
      </c>
      <c r="F200" s="12" t="n">
        <v>69.13</v>
      </c>
      <c r="G200" s="580">
        <f>LN(F201/F200)</f>
        <v/>
      </c>
      <c r="H200" s="579" t="inlineStr">
        <is>
          <t>24/6/2025</t>
        </is>
      </c>
      <c r="I200" s="433" t="n">
        <v>41650</v>
      </c>
      <c r="J200" s="580">
        <f>LN(I201/I200)</f>
        <v/>
      </c>
    </row>
    <row r="201" ht="12.9" customHeight="1" s="343">
      <c r="A201" s="575" t="inlineStr">
        <is>
          <t>6/6/2025</t>
        </is>
      </c>
      <c r="B201" s="576" t="inlineStr">
        <is>
          <t>85.7883</t>
        </is>
      </c>
      <c r="C201" s="577">
        <f>LN(B202/B201)</f>
        <v/>
      </c>
      <c r="D201" s="578">
        <f>IFERROR(VLOOKUP(A201,E:G,3,FALSE)," ")</f>
        <v/>
      </c>
      <c r="E201" s="579" t="inlineStr">
        <is>
          <t>23/6/2025</t>
        </is>
      </c>
      <c r="F201" s="12" t="n">
        <v>74.34</v>
      </c>
      <c r="G201" s="580">
        <f>LN(F202/F201)</f>
        <v/>
      </c>
      <c r="H201" s="579" t="inlineStr">
        <is>
          <t>23/6/2025</t>
        </is>
      </c>
      <c r="I201" s="433" t="n">
        <v>41660</v>
      </c>
      <c r="J201" s="580">
        <f>LN(I202/I201)</f>
        <v/>
      </c>
    </row>
    <row r="202" ht="12.9" customHeight="1" s="343">
      <c r="A202" s="575" t="inlineStr">
        <is>
          <t>5/6/2025</t>
        </is>
      </c>
      <c r="B202" s="576" t="inlineStr">
        <is>
          <t>85.7730</t>
        </is>
      </c>
      <c r="C202" s="577">
        <f>LN(B203/B202)</f>
        <v/>
      </c>
      <c r="D202" s="578">
        <f>IFERROR(VLOOKUP(A202,E:G,3,FALSE)," ")</f>
        <v/>
      </c>
      <c r="E202" s="579" t="inlineStr">
        <is>
          <t>20/6/2025</t>
        </is>
      </c>
      <c r="F202" s="12" t="n">
        <v>78.73</v>
      </c>
      <c r="G202" s="580">
        <f>LN(F203/F202)</f>
        <v/>
      </c>
      <c r="H202" s="579" t="inlineStr">
        <is>
          <t>20/6/2025</t>
        </is>
      </c>
      <c r="I202" s="433" t="n">
        <v>41770</v>
      </c>
      <c r="J202" s="580">
        <f>LN(I203/I202)</f>
        <v/>
      </c>
    </row>
    <row r="203" ht="12.9" customHeight="1" s="343">
      <c r="A203" s="575" t="inlineStr">
        <is>
          <t>4/6/2025</t>
        </is>
      </c>
      <c r="B203" s="576" t="inlineStr">
        <is>
          <t>85.9579</t>
        </is>
      </c>
      <c r="C203" s="577">
        <f>LN(B204/B203)</f>
        <v/>
      </c>
      <c r="D203" s="578">
        <f>IFERROR(VLOOKUP(A203,E:G,3,FALSE)," ")</f>
        <v/>
      </c>
      <c r="E203" s="579" t="inlineStr">
        <is>
          <t>19/6/2025</t>
        </is>
      </c>
      <c r="F203" s="12" t="n">
        <v>80.37</v>
      </c>
      <c r="G203" s="580">
        <f>LN(F204/F203)</f>
        <v/>
      </c>
      <c r="H203" s="579" t="inlineStr">
        <is>
          <t>19/6/2025</t>
        </is>
      </c>
      <c r="I203" s="433" t="n">
        <v>41780</v>
      </c>
      <c r="J203" s="580">
        <f>LN(I204/I203)</f>
        <v/>
      </c>
    </row>
    <row r="204" ht="12.9" customHeight="1" s="343">
      <c r="A204" s="575" t="inlineStr">
        <is>
          <t>3/6/2025</t>
        </is>
      </c>
      <c r="B204" s="576" t="inlineStr">
        <is>
          <t>85.4576</t>
        </is>
      </c>
      <c r="C204" s="577">
        <f>LN(B205/B204)</f>
        <v/>
      </c>
      <c r="D204" s="578">
        <f>IFERROR(VLOOKUP(A204,E:G,3,FALSE)," ")</f>
        <v/>
      </c>
      <c r="E204" s="579" t="inlineStr">
        <is>
          <t>18/6/2025</t>
        </is>
      </c>
      <c r="F204" s="12" t="n">
        <v>78.38</v>
      </c>
      <c r="G204" s="580">
        <f>LN(F205/F204)</f>
        <v/>
      </c>
      <c r="H204" s="579" t="inlineStr">
        <is>
          <t>18/6/2025</t>
        </is>
      </c>
      <c r="I204" s="433" t="n">
        <v>41690</v>
      </c>
      <c r="J204" s="580">
        <f>LN(I205/I204)</f>
        <v/>
      </c>
    </row>
    <row r="205" ht="12.9" customHeight="1" s="343">
      <c r="A205" s="575" t="inlineStr">
        <is>
          <t>2/6/2025</t>
        </is>
      </c>
      <c r="B205" s="576" t="inlineStr">
        <is>
          <t>85.4353</t>
        </is>
      </c>
      <c r="C205" s="577">
        <f>LN(B206/B205)</f>
        <v/>
      </c>
      <c r="D205" s="578">
        <f>IFERROR(VLOOKUP(A205,E:G,3,FALSE)," ")</f>
        <v/>
      </c>
      <c r="E205" s="579" t="inlineStr">
        <is>
          <t>17/6/2025</t>
        </is>
      </c>
      <c r="F205" s="12" t="n">
        <v>78.7</v>
      </c>
      <c r="G205" s="580">
        <f>LN(F206/F205)</f>
        <v/>
      </c>
      <c r="H205" s="579" t="inlineStr">
        <is>
          <t>17/6/2025</t>
        </is>
      </c>
      <c r="I205" s="433" t="n">
        <v>41910</v>
      </c>
      <c r="J205" s="580">
        <f>LN(I206/I205)</f>
        <v/>
      </c>
    </row>
    <row r="206" ht="12.9" customHeight="1" s="343">
      <c r="A206" s="575" t="inlineStr">
        <is>
          <t>30/5/2025</t>
        </is>
      </c>
      <c r="B206" s="576" t="inlineStr">
        <is>
          <t>85.4778</t>
        </is>
      </c>
      <c r="C206" s="577">
        <f>LN(B207/B206)</f>
        <v/>
      </c>
      <c r="D206" s="578">
        <f>IFERROR(VLOOKUP(A206,E:G,3,FALSE)," ")</f>
        <v/>
      </c>
      <c r="E206" s="579" t="inlineStr">
        <is>
          <t>16/6/2025</t>
        </is>
      </c>
      <c r="F206" s="12" t="n">
        <v>75.05</v>
      </c>
      <c r="G206" s="580">
        <f>LN(F207/F206)</f>
        <v/>
      </c>
      <c r="H206" s="579" t="inlineStr">
        <is>
          <t>16/6/2025</t>
        </is>
      </c>
      <c r="I206" s="433" t="n">
        <v>42120</v>
      </c>
      <c r="J206" s="580">
        <f>LN(I207/I206)</f>
        <v/>
      </c>
    </row>
    <row r="207" ht="12.9" customHeight="1" s="343">
      <c r="A207" s="575" t="inlineStr">
        <is>
          <t>29/5/2025</t>
        </is>
      </c>
      <c r="B207" s="576" t="inlineStr">
        <is>
          <t>85.4976</t>
        </is>
      </c>
      <c r="C207" s="577">
        <f>LN(B208/B207)</f>
        <v/>
      </c>
      <c r="D207" s="578">
        <f>IFERROR(VLOOKUP(A207,E:G,3,FALSE)," ")</f>
        <v/>
      </c>
      <c r="E207" s="579" t="inlineStr">
        <is>
          <t>13/6/2025</t>
        </is>
      </c>
      <c r="F207" s="12" t="n">
        <v>76</v>
      </c>
      <c r="G207" s="580">
        <f>LN(F208/F207)</f>
        <v/>
      </c>
      <c r="H207" s="579" t="inlineStr">
        <is>
          <t>13/6/2025</t>
        </is>
      </c>
      <c r="I207" s="433" t="n">
        <v>42170</v>
      </c>
      <c r="J207" s="580">
        <f>LN(I208/I207)</f>
        <v/>
      </c>
    </row>
    <row r="208" ht="12.9" customHeight="1" s="343">
      <c r="A208" s="575" t="inlineStr">
        <is>
          <t>28/5/2025</t>
        </is>
      </c>
      <c r="B208" s="576" t="inlineStr">
        <is>
          <t>85.6873</t>
        </is>
      </c>
      <c r="C208" s="577">
        <f>LN(B209/B208)</f>
        <v/>
      </c>
      <c r="D208" s="578">
        <f>IFERROR(VLOOKUP(A208,E:G,3,FALSE)," ")</f>
        <v/>
      </c>
      <c r="E208" s="579" t="inlineStr">
        <is>
          <t>12/6/2025</t>
        </is>
      </c>
      <c r="F208" s="12" t="n">
        <v>70.84</v>
      </c>
      <c r="G208" s="580">
        <f>LN(F209/F208)</f>
        <v/>
      </c>
      <c r="H208" s="579" t="inlineStr">
        <is>
          <t>12/6/2025</t>
        </is>
      </c>
      <c r="I208" s="433" t="n">
        <v>41930</v>
      </c>
      <c r="J208" s="580">
        <f>LN(I209/I208)</f>
        <v/>
      </c>
    </row>
    <row r="209" ht="12.9" customHeight="1" s="343">
      <c r="A209" s="575" t="inlineStr">
        <is>
          <t>27/5/2025</t>
        </is>
      </c>
      <c r="B209" s="576" t="inlineStr">
        <is>
          <t>85.3220</t>
        </is>
      </c>
      <c r="C209" s="577">
        <f>LN(B210/B209)</f>
        <v/>
      </c>
      <c r="D209" s="578">
        <f>IFERROR(VLOOKUP(A209,E:G,3,FALSE)," ")</f>
        <v/>
      </c>
      <c r="E209" s="579" t="inlineStr">
        <is>
          <t>11/6/2025</t>
        </is>
      </c>
      <c r="F209" s="12" t="n">
        <v>71.29000000000001</v>
      </c>
      <c r="G209" s="580">
        <f>LN(F210/F209)</f>
        <v/>
      </c>
      <c r="H209" s="579" t="inlineStr">
        <is>
          <t>11/6/2025</t>
        </is>
      </c>
      <c r="I209" s="433" t="n">
        <v>42040</v>
      </c>
      <c r="J209" s="580">
        <f>LN(I210/I209)</f>
        <v/>
      </c>
    </row>
    <row r="210" ht="12.9" customHeight="1" s="343">
      <c r="A210" s="575" t="inlineStr">
        <is>
          <t>26/5/2025</t>
        </is>
      </c>
      <c r="B210" s="576" t="inlineStr">
        <is>
          <t>84.9004</t>
        </is>
      </c>
      <c r="C210" s="577">
        <f>LN(B211/B210)</f>
        <v/>
      </c>
      <c r="D210" s="578">
        <f>IFERROR(VLOOKUP(A210,E:G,3,FALSE)," ")</f>
        <v/>
      </c>
      <c r="E210" s="579" t="inlineStr">
        <is>
          <t>10/6/2025</t>
        </is>
      </c>
      <c r="F210" s="12" t="n">
        <v>68.41</v>
      </c>
      <c r="G210" s="580">
        <f>LN(F211/F210)</f>
        <v/>
      </c>
      <c r="H210" s="579" t="inlineStr">
        <is>
          <t>10/6/2025</t>
        </is>
      </c>
      <c r="I210" s="433" t="n">
        <v>41860</v>
      </c>
      <c r="J210" s="580">
        <f>LN(I211/I210)</f>
        <v/>
      </c>
    </row>
    <row r="211" ht="12.9" customHeight="1" s="343">
      <c r="A211" s="575" t="inlineStr">
        <is>
          <t>23/5/2025</t>
        </is>
      </c>
      <c r="B211" s="576" t="inlineStr">
        <is>
          <t>85.6821</t>
        </is>
      </c>
      <c r="C211" s="577">
        <f>LN(B212/B211)</f>
        <v/>
      </c>
      <c r="D211" s="578">
        <f>IFERROR(VLOOKUP(A211,E:G,3,FALSE)," ")</f>
        <v/>
      </c>
      <c r="E211" s="579" t="inlineStr">
        <is>
          <t>9/6/2025</t>
        </is>
      </c>
      <c r="F211" s="12" t="n">
        <v>68.73</v>
      </c>
      <c r="G211" s="580">
        <f>LN(F212/F211)</f>
        <v/>
      </c>
      <c r="H211" s="579" t="inlineStr">
        <is>
          <t>9/6/2025</t>
        </is>
      </c>
      <c r="I211" s="433" t="n">
        <v>41870</v>
      </c>
      <c r="J211" s="580">
        <f>LN(I212/I211)</f>
        <v/>
      </c>
    </row>
    <row r="212" ht="12.9" customHeight="1" s="343">
      <c r="A212" s="575" t="inlineStr">
        <is>
          <t>22/5/2025</t>
        </is>
      </c>
      <c r="B212" s="576" t="inlineStr">
        <is>
          <t>85.6653</t>
        </is>
      </c>
      <c r="C212" s="577">
        <f>LN(B213/B212)</f>
        <v/>
      </c>
      <c r="D212" s="578">
        <f>IFERROR(VLOOKUP(A212,E:G,3,FALSE)," ")</f>
        <v/>
      </c>
      <c r="E212" s="579" t="inlineStr">
        <is>
          <t>6/6/2025</t>
        </is>
      </c>
      <c r="F212" s="12" t="n">
        <v>68.02</v>
      </c>
      <c r="G212" s="580">
        <f>LN(F213/F212)</f>
        <v/>
      </c>
      <c r="H212" s="579" t="inlineStr">
        <is>
          <t>6/6/2025</t>
        </is>
      </c>
      <c r="I212" s="433" t="n">
        <v>42180</v>
      </c>
      <c r="J212" s="580">
        <f>LN(I213/I212)</f>
        <v/>
      </c>
    </row>
    <row r="213" ht="12.9" customHeight="1" s="343">
      <c r="A213" s="575" t="inlineStr">
        <is>
          <t>21/5/2025</t>
        </is>
      </c>
      <c r="B213" s="576" t="inlineStr">
        <is>
          <t>85.5546</t>
        </is>
      </c>
      <c r="C213" s="577">
        <f>LN(B214/B213)</f>
        <v/>
      </c>
      <c r="D213" s="578">
        <f>IFERROR(VLOOKUP(A213,E:G,3,FALSE)," ")</f>
        <v/>
      </c>
      <c r="E213" s="579" t="inlineStr">
        <is>
          <t>5/6/2025</t>
        </is>
      </c>
      <c r="F213" s="12" t="n">
        <v>67.14</v>
      </c>
      <c r="G213" s="580">
        <f>LN(F214/F213)</f>
        <v/>
      </c>
      <c r="H213" s="579" t="inlineStr">
        <is>
          <t>5/6/2025</t>
        </is>
      </c>
      <c r="I213" s="433" t="n">
        <v>42080</v>
      </c>
      <c r="J213" s="580">
        <f>LN(I214/I213)</f>
        <v/>
      </c>
    </row>
    <row r="214" ht="12.9" customHeight="1" s="343">
      <c r="A214" s="575" t="inlineStr">
        <is>
          <t>20/5/2025</t>
        </is>
      </c>
      <c r="B214" s="576" t="inlineStr">
        <is>
          <t>85.4582</t>
        </is>
      </c>
      <c r="C214" s="577">
        <f>LN(B215/B214)</f>
        <v/>
      </c>
      <c r="D214" s="578">
        <f>IFERROR(VLOOKUP(A214,E:G,3,FALSE)," ")</f>
        <v/>
      </c>
      <c r="E214" s="579" t="inlineStr">
        <is>
          <t>4/6/2025</t>
        </is>
      </c>
      <c r="F214" s="12" t="n">
        <v>66.69</v>
      </c>
      <c r="G214" s="580">
        <f>LN(F215/F214)</f>
        <v/>
      </c>
      <c r="H214" s="579" t="inlineStr">
        <is>
          <t>4/6/2025</t>
        </is>
      </c>
      <c r="I214" s="433" t="n">
        <v>42390</v>
      </c>
      <c r="J214" s="580">
        <f>LN(I215/I214)</f>
        <v/>
      </c>
    </row>
    <row r="215" ht="12.9" customHeight="1" s="343">
      <c r="A215" s="575" t="inlineStr">
        <is>
          <t>19/5/2025</t>
        </is>
      </c>
      <c r="B215" s="576" t="inlineStr">
        <is>
          <t>85.4910</t>
        </is>
      </c>
      <c r="C215" s="577">
        <f>LN(B216/B215)</f>
        <v/>
      </c>
      <c r="D215" s="578">
        <f>IFERROR(VLOOKUP(A215,E:G,3,FALSE)," ")</f>
        <v/>
      </c>
      <c r="E215" s="579" t="inlineStr">
        <is>
          <t>3/6/2025</t>
        </is>
      </c>
      <c r="F215" s="12" t="n">
        <v>67.48</v>
      </c>
      <c r="G215" s="580">
        <f>LN(F216/F215)</f>
        <v/>
      </c>
      <c r="H215" s="579" t="inlineStr">
        <is>
          <t>3/6/2025</t>
        </is>
      </c>
      <c r="I215" s="433" t="n">
        <v>42510</v>
      </c>
      <c r="J215" s="580">
        <f>LN(I216/I215)</f>
        <v/>
      </c>
    </row>
    <row r="216" ht="12.9" customHeight="1" s="343">
      <c r="A216" s="575" t="inlineStr">
        <is>
          <t>16/5/2025</t>
        </is>
      </c>
      <c r="B216" s="576" t="inlineStr">
        <is>
          <t>85.5665</t>
        </is>
      </c>
      <c r="C216" s="577">
        <f>LN(B217/B216)</f>
        <v/>
      </c>
      <c r="D216" s="578">
        <f>IFERROR(VLOOKUP(A216,E:G,3,FALSE)," ")</f>
        <v/>
      </c>
      <c r="E216" s="579" t="inlineStr">
        <is>
          <t>2/6/2025</t>
        </is>
      </c>
      <c r="F216" s="12" t="n">
        <v>66.55</v>
      </c>
      <c r="G216" s="580">
        <f>LN(F217/F216)</f>
        <v/>
      </c>
      <c r="H216" s="579" t="inlineStr">
        <is>
          <t>2/6/2025</t>
        </is>
      </c>
      <c r="I216" s="433" t="n">
        <v>42720</v>
      </c>
      <c r="J216" s="580">
        <f>LN(I217/I216)</f>
        <v/>
      </c>
    </row>
    <row r="217" ht="12.9" customHeight="1" s="343">
      <c r="A217" s="575" t="inlineStr">
        <is>
          <t>15/5/2025</t>
        </is>
      </c>
      <c r="B217" s="576" t="inlineStr">
        <is>
          <t>85.5871</t>
        </is>
      </c>
      <c r="C217" s="577">
        <f>LN(B218/B217)</f>
        <v/>
      </c>
      <c r="D217" s="578">
        <f>IFERROR(VLOOKUP(A217,E:G,3,FALSE)," ")</f>
        <v/>
      </c>
      <c r="E217" s="579" t="inlineStr">
        <is>
          <t>30/5/2025</t>
        </is>
      </c>
      <c r="F217" s="12" t="n">
        <v>64.31999999999999</v>
      </c>
      <c r="G217" s="580">
        <f>LN(F218/F217)</f>
        <v/>
      </c>
      <c r="H217" s="579" t="inlineStr">
        <is>
          <t>30/5/2025</t>
        </is>
      </c>
      <c r="I217" s="433" t="n">
        <v>42830</v>
      </c>
      <c r="J217" s="580">
        <f>LN(I218/I217)</f>
        <v/>
      </c>
    </row>
    <row r="218" ht="12.9" customHeight="1" s="343">
      <c r="A218" s="575" t="inlineStr">
        <is>
          <t>14/5/2025</t>
        </is>
      </c>
      <c r="B218" s="576" t="inlineStr">
        <is>
          <t>85.2982</t>
        </is>
      </c>
      <c r="C218" s="577">
        <f>LN(B219/B218)</f>
        <v/>
      </c>
      <c r="D218" s="578">
        <f>IFERROR(VLOOKUP(A218,E:G,3,FALSE)," ")</f>
        <v/>
      </c>
      <c r="E218" s="579" t="inlineStr">
        <is>
          <t>29/5/2025</t>
        </is>
      </c>
      <c r="F218" s="12" t="n">
        <v>64.59999999999999</v>
      </c>
      <c r="G218" s="580">
        <f>LN(F219/F218)</f>
        <v/>
      </c>
      <c r="H218" s="579" t="inlineStr">
        <is>
          <t>29/5/2025</t>
        </is>
      </c>
      <c r="I218" s="433" t="n">
        <v>42510</v>
      </c>
      <c r="J218" s="580">
        <f>LN(I219/I218)</f>
        <v/>
      </c>
    </row>
    <row r="219" ht="12.9" customHeight="1" s="343">
      <c r="A219" s="575" t="inlineStr">
        <is>
          <t>13/5/2025</t>
        </is>
      </c>
      <c r="B219" s="576" t="inlineStr">
        <is>
          <t>84.8888</t>
        </is>
      </c>
      <c r="C219" s="577">
        <f>LN(B220/B219)</f>
        <v/>
      </c>
      <c r="D219" s="578">
        <f>IFERROR(VLOOKUP(A219,E:G,3,FALSE)," ")</f>
        <v/>
      </c>
      <c r="E219" s="579" t="inlineStr">
        <is>
          <t>28/5/2025</t>
        </is>
      </c>
      <c r="F219" s="12" t="n">
        <v>65.72</v>
      </c>
      <c r="G219" s="580">
        <f>LN(F220/F219)</f>
        <v/>
      </c>
      <c r="H219" s="579" t="inlineStr">
        <is>
          <t>28/5/2025</t>
        </is>
      </c>
      <c r="I219" s="433" t="n">
        <v>42510</v>
      </c>
      <c r="J219" s="580">
        <f>LN(I220/I219)</f>
        <v/>
      </c>
    </row>
    <row r="220" ht="12.9" customHeight="1" s="343">
      <c r="A220" s="575" t="inlineStr">
        <is>
          <t>9/5/2025</t>
        </is>
      </c>
      <c r="B220" s="576" t="inlineStr">
        <is>
          <t>85.6438</t>
        </is>
      </c>
      <c r="C220" s="577">
        <f>LN(B221/B220)</f>
        <v/>
      </c>
      <c r="D220" s="578">
        <f>IFERROR(VLOOKUP(A220,E:G,3,FALSE)," ")</f>
        <v/>
      </c>
      <c r="E220" s="579" t="inlineStr">
        <is>
          <t>27/5/2025</t>
        </is>
      </c>
      <c r="F220" s="12" t="n">
        <v>64.31999999999999</v>
      </c>
      <c r="G220" s="580">
        <f>LN(F221/F220)</f>
        <v/>
      </c>
      <c r="H220" s="579" t="inlineStr">
        <is>
          <t>27/5/2025</t>
        </is>
      </c>
      <c r="I220" s="433" t="n">
        <v>42540</v>
      </c>
      <c r="J220" s="580">
        <f>LN(I221/I220)</f>
        <v/>
      </c>
    </row>
    <row r="221" ht="12.9" customHeight="1" s="343">
      <c r="A221" s="575" t="inlineStr">
        <is>
          <t>8/5/2025</t>
        </is>
      </c>
      <c r="B221" s="576" t="inlineStr">
        <is>
          <t>84.8642</t>
        </is>
      </c>
      <c r="C221" s="577">
        <f>LN(B222/B221)</f>
        <v/>
      </c>
      <c r="D221" s="578">
        <f>IFERROR(VLOOKUP(A221,E:G,3,FALSE)," ")</f>
        <v/>
      </c>
      <c r="E221" s="579" t="inlineStr">
        <is>
          <t>23/5/2025</t>
        </is>
      </c>
      <c r="F221" s="12" t="n">
        <v>65.41</v>
      </c>
      <c r="G221" s="580">
        <f>LN(F222/F221)</f>
        <v/>
      </c>
      <c r="H221" s="579" t="inlineStr">
        <is>
          <t>23/5/2025</t>
        </is>
      </c>
      <c r="I221" s="433" t="n">
        <v>42390</v>
      </c>
      <c r="J221" s="580">
        <f>LN(I222/I221)</f>
        <v/>
      </c>
    </row>
    <row r="222" ht="12.9" customHeight="1" s="343">
      <c r="A222" s="575" t="inlineStr">
        <is>
          <t>7/5/2025</t>
        </is>
      </c>
      <c r="B222" s="576" t="inlineStr">
        <is>
          <t>84.5715</t>
        </is>
      </c>
      <c r="C222" s="577">
        <f>LN(B223/B222)</f>
        <v/>
      </c>
      <c r="D222" s="578">
        <f>IFERROR(VLOOKUP(A222,E:G,3,FALSE)," ")</f>
        <v/>
      </c>
      <c r="E222" s="579" t="inlineStr">
        <is>
          <t>22/5/2025</t>
        </is>
      </c>
      <c r="F222" s="12" t="n">
        <v>64.87</v>
      </c>
      <c r="G222" s="580">
        <f>LN(F223/F222)</f>
        <v/>
      </c>
      <c r="H222" s="579" t="inlineStr">
        <is>
          <t>22/5/2025</t>
        </is>
      </c>
      <c r="I222" s="433" t="n">
        <v>42550</v>
      </c>
      <c r="J222" s="580">
        <f>LN(I223/I222)</f>
        <v/>
      </c>
    </row>
    <row r="223" ht="12.9" customHeight="1" s="343">
      <c r="A223" s="575" t="inlineStr">
        <is>
          <t>6/5/2025</t>
        </is>
      </c>
      <c r="B223" s="576" t="inlineStr">
        <is>
          <t>84.5436</t>
        </is>
      </c>
      <c r="C223" s="577">
        <f>LN(B224/B223)</f>
        <v/>
      </c>
      <c r="D223" s="578">
        <f>IFERROR(VLOOKUP(A223,E:G,3,FALSE)," ")</f>
        <v/>
      </c>
      <c r="E223" s="579" t="inlineStr">
        <is>
          <t>21/5/2025</t>
        </is>
      </c>
      <c r="F223" s="12" t="n">
        <v>65.86</v>
      </c>
      <c r="G223" s="580">
        <f>LN(F224/F223)</f>
        <v/>
      </c>
      <c r="H223" s="579" t="inlineStr">
        <is>
          <t>21/5/2025</t>
        </is>
      </c>
      <c r="I223" s="433" t="n">
        <v>42560</v>
      </c>
      <c r="J223" s="580">
        <f>LN(I224/I223)</f>
        <v/>
      </c>
    </row>
    <row r="224" ht="12.9" customHeight="1" s="343">
      <c r="A224" s="575" t="inlineStr">
        <is>
          <t>5/5/2025</t>
        </is>
      </c>
      <c r="B224" s="576" t="inlineStr">
        <is>
          <t>84.2369</t>
        </is>
      </c>
      <c r="C224" s="577">
        <f>LN(B225/B224)</f>
        <v/>
      </c>
      <c r="D224" s="578">
        <f>IFERROR(VLOOKUP(A224,E:G,3,FALSE)," ")</f>
        <v/>
      </c>
      <c r="E224" s="579" t="inlineStr">
        <is>
          <t>20/5/2025</t>
        </is>
      </c>
      <c r="F224" s="12" t="n">
        <v>66.93000000000001</v>
      </c>
      <c r="G224" s="580">
        <f>LN(F225/F224)</f>
        <v/>
      </c>
      <c r="H224" s="579" t="inlineStr">
        <is>
          <t>20/5/2025</t>
        </is>
      </c>
      <c r="I224" s="433" t="n">
        <v>42870</v>
      </c>
      <c r="J224" s="580">
        <f>LN(I225/I224)</f>
        <v/>
      </c>
    </row>
    <row r="225" ht="12.9" customHeight="1" s="343">
      <c r="A225" s="575" t="inlineStr">
        <is>
          <t>2/5/2025</t>
        </is>
      </c>
      <c r="B225" s="576" t="inlineStr">
        <is>
          <t>83.8568</t>
        </is>
      </c>
      <c r="C225" s="577">
        <f>LN(B226/B225)</f>
        <v/>
      </c>
      <c r="D225" s="578">
        <f>IFERROR(VLOOKUP(A225,E:G,3,FALSE)," ")</f>
        <v/>
      </c>
      <c r="E225" s="579" t="inlineStr">
        <is>
          <t>19/5/2025</t>
        </is>
      </c>
      <c r="F225" s="12" t="n">
        <v>66.25</v>
      </c>
      <c r="G225" s="580">
        <f>LN(F226/F225)</f>
        <v/>
      </c>
      <c r="H225" s="579" t="inlineStr">
        <is>
          <t>19/5/2025</t>
        </is>
      </c>
      <c r="I225" s="433" t="n">
        <v>42590</v>
      </c>
      <c r="J225" s="580">
        <f>LN(I226/I225)</f>
        <v/>
      </c>
    </row>
    <row r="226" ht="12.9" customHeight="1" s="343">
      <c r="A226" s="575" t="inlineStr">
        <is>
          <t>30/4/2025</t>
        </is>
      </c>
      <c r="B226" s="576" t="inlineStr">
        <is>
          <t>85.0535</t>
        </is>
      </c>
      <c r="C226" s="577">
        <f>LN(B227/B226)</f>
        <v/>
      </c>
      <c r="D226" s="578">
        <f>IFERROR(VLOOKUP(A226,E:G,3,FALSE)," ")</f>
        <v/>
      </c>
      <c r="E226" s="579" t="inlineStr">
        <is>
          <t>16/5/2025</t>
        </is>
      </c>
      <c r="F226" s="12" t="n">
        <v>65.2</v>
      </c>
      <c r="G226" s="580">
        <f>LN(F227/F226)</f>
        <v/>
      </c>
      <c r="H226" s="579" t="inlineStr">
        <is>
          <t>16/5/2025</t>
        </is>
      </c>
      <c r="I226" s="433" t="n">
        <v>42600</v>
      </c>
      <c r="J226" s="580">
        <f>LN(I227/I226)</f>
        <v/>
      </c>
    </row>
    <row r="227" ht="12.9" customHeight="1" s="343">
      <c r="A227" s="575" t="inlineStr">
        <is>
          <t>29/4/2025</t>
        </is>
      </c>
      <c r="B227" s="576" t="inlineStr">
        <is>
          <t>85.2005</t>
        </is>
      </c>
      <c r="C227" s="577">
        <f>LN(B228/B227)</f>
        <v/>
      </c>
      <c r="D227" s="578">
        <f>IFERROR(VLOOKUP(A227,E:G,3,FALSE)," ")</f>
        <v/>
      </c>
      <c r="E227" s="579" t="inlineStr">
        <is>
          <t>15/5/2025</t>
        </is>
      </c>
      <c r="F227" s="12" t="n">
        <v>64.36</v>
      </c>
      <c r="G227" s="580">
        <f>LN(F228/F227)</f>
        <v/>
      </c>
      <c r="H227" s="579" t="inlineStr">
        <is>
          <t>15/5/2025</t>
        </is>
      </c>
      <c r="I227" s="433" t="n">
        <v>42500</v>
      </c>
      <c r="J227" s="580">
        <f>LN(I228/I227)</f>
        <v/>
      </c>
    </row>
    <row r="228" ht="12.9" customHeight="1" s="343">
      <c r="A228" s="575" t="inlineStr">
        <is>
          <t>28/4/2025</t>
        </is>
      </c>
      <c r="B228" s="576" t="inlineStr">
        <is>
          <t>85.1980</t>
        </is>
      </c>
      <c r="C228" s="577">
        <f>LN(B229/B228)</f>
        <v/>
      </c>
      <c r="D228" s="578">
        <f>IFERROR(VLOOKUP(A228,E:G,3,FALSE)," ")</f>
        <v/>
      </c>
      <c r="E228" s="579" t="inlineStr">
        <is>
          <t>14/5/2025</t>
        </is>
      </c>
      <c r="F228" s="12" t="n">
        <v>65.91</v>
      </c>
      <c r="G228" s="580">
        <f>LN(F229/F228)</f>
        <v/>
      </c>
      <c r="H228" s="579" t="inlineStr">
        <is>
          <t>14/5/2025</t>
        </is>
      </c>
      <c r="I228" s="433" t="n">
        <v>42810</v>
      </c>
      <c r="J228" s="580">
        <f>LN(I229/I228)</f>
        <v/>
      </c>
    </row>
    <row r="229" ht="12.9" customHeight="1" s="343">
      <c r="A229" s="575" t="inlineStr">
        <is>
          <t>25/4/2025</t>
        </is>
      </c>
      <c r="B229" s="576" t="inlineStr">
        <is>
          <t>85.5788</t>
        </is>
      </c>
      <c r="C229" s="577">
        <f>LN(B230/B229)</f>
        <v/>
      </c>
      <c r="D229" s="578">
        <f>IFERROR(VLOOKUP(A229,E:G,3,FALSE)," ")</f>
        <v/>
      </c>
      <c r="E229" s="579" t="inlineStr">
        <is>
          <t>13/5/2025</t>
        </is>
      </c>
      <c r="F229" s="12" t="n">
        <v>66.93000000000001</v>
      </c>
      <c r="G229" s="580">
        <f>LN(F230/F229)</f>
        <v/>
      </c>
      <c r="H229" s="579" t="inlineStr">
        <is>
          <t>13/5/2025</t>
        </is>
      </c>
      <c r="I229" s="433" t="n">
        <v>42920</v>
      </c>
      <c r="J229" s="580">
        <f>LN(I230/I229)</f>
        <v/>
      </c>
    </row>
    <row r="230" ht="12.9" customHeight="1" s="343">
      <c r="A230" s="575" t="inlineStr">
        <is>
          <t>24/4/2025</t>
        </is>
      </c>
      <c r="B230" s="576" t="inlineStr">
        <is>
          <t>85.5085</t>
        </is>
      </c>
      <c r="C230" s="577">
        <f>LN(B231/B230)</f>
        <v/>
      </c>
      <c r="D230" s="578">
        <f>IFERROR(VLOOKUP(A230,E:G,3,FALSE)," ")</f>
        <v/>
      </c>
      <c r="E230" s="579" t="inlineStr">
        <is>
          <t>12/5/2025</t>
        </is>
      </c>
      <c r="F230" s="12" t="n">
        <v>65.28</v>
      </c>
      <c r="G230" s="580">
        <f>LN(F231/F230)</f>
        <v/>
      </c>
      <c r="H230" s="579" t="inlineStr">
        <is>
          <t>12/5/2025</t>
        </is>
      </c>
      <c r="I230" s="433" t="n">
        <v>42740</v>
      </c>
      <c r="J230" s="580">
        <f>LN(I231/I230)</f>
        <v/>
      </c>
    </row>
    <row r="231" ht="12.9" customHeight="1" s="343">
      <c r="A231" s="575" t="inlineStr">
        <is>
          <t>23/4/2025</t>
        </is>
      </c>
      <c r="B231" s="576" t="inlineStr">
        <is>
          <t>85.4372</t>
        </is>
      </c>
      <c r="C231" s="577">
        <f>LN(B232/B231)</f>
        <v/>
      </c>
      <c r="D231" s="578">
        <f>IFERROR(VLOOKUP(A231,E:G,3,FALSE)," ")</f>
        <v/>
      </c>
      <c r="E231" s="579" t="inlineStr">
        <is>
          <t>9/5/2025</t>
        </is>
      </c>
      <c r="F231" s="12" t="n">
        <v>64.26000000000001</v>
      </c>
      <c r="G231" s="580">
        <f>LN(F232/F231)</f>
        <v/>
      </c>
      <c r="H231" s="579" t="inlineStr">
        <is>
          <t>9/5/2025</t>
        </is>
      </c>
      <c r="I231" s="433" t="n">
        <v>42660</v>
      </c>
      <c r="J231" s="580">
        <f>LN(I232/I231)</f>
        <v/>
      </c>
    </row>
    <row r="232" ht="12.9" customHeight="1" s="343">
      <c r="A232" s="575" t="inlineStr">
        <is>
          <t>22/4/2025</t>
        </is>
      </c>
      <c r="B232" s="576" t="inlineStr">
        <is>
          <t>85.1003</t>
        </is>
      </c>
      <c r="C232" s="577">
        <f>LN(B233/B232)</f>
        <v/>
      </c>
      <c r="D232" s="578">
        <f>IFERROR(VLOOKUP(A232,E:G,3,FALSE)," ")</f>
        <v/>
      </c>
      <c r="E232" s="579" t="inlineStr">
        <is>
          <t>8/5/2025</t>
        </is>
      </c>
      <c r="F232" s="12" t="n">
        <v>62.22</v>
      </c>
      <c r="G232" s="580">
        <f>LN(F233/F232)</f>
        <v/>
      </c>
      <c r="H232" s="579" t="inlineStr">
        <is>
          <t>8/5/2025</t>
        </is>
      </c>
      <c r="I232" s="433" t="n">
        <v>43070</v>
      </c>
      <c r="J232" s="580">
        <f>LN(I233/I232)</f>
        <v/>
      </c>
    </row>
    <row r="233" ht="12.9" customHeight="1" s="343">
      <c r="A233" s="575" t="inlineStr">
        <is>
          <t>21/4/2025</t>
        </is>
      </c>
      <c r="B233" s="576" t="inlineStr">
        <is>
          <t>85.1622</t>
        </is>
      </c>
      <c r="C233" s="577">
        <f>LN(B234/B233)</f>
        <v/>
      </c>
      <c r="D233" s="578">
        <f>IFERROR(VLOOKUP(A233,E:G,3,FALSE)," ")</f>
        <v/>
      </c>
      <c r="E233" s="579" t="inlineStr">
        <is>
          <t>7/5/2025</t>
        </is>
      </c>
      <c r="F233" s="12" t="n">
        <v>60.31</v>
      </c>
      <c r="G233" s="580">
        <f>LN(F234/F233)</f>
        <v/>
      </c>
      <c r="H233" s="579" t="inlineStr">
        <is>
          <t>7/5/2025</t>
        </is>
      </c>
      <c r="I233" s="433" t="n">
        <v>42970</v>
      </c>
      <c r="J233" s="580">
        <f>LN(I234/I233)</f>
        <v/>
      </c>
    </row>
    <row r="234" ht="12.9" customHeight="1" s="343">
      <c r="A234" s="575" t="inlineStr">
        <is>
          <t>17/4/2025</t>
        </is>
      </c>
      <c r="B234" s="576" t="inlineStr">
        <is>
          <t>85.5703</t>
        </is>
      </c>
      <c r="C234" s="577">
        <f>LN(B235/B234)</f>
        <v/>
      </c>
      <c r="D234" s="578">
        <f>IFERROR(VLOOKUP(A234,E:G,3,FALSE)," ")</f>
        <v/>
      </c>
      <c r="E234" s="579" t="inlineStr">
        <is>
          <t>6/5/2025</t>
        </is>
      </c>
      <c r="F234" s="12" t="n">
        <v>62.37</v>
      </c>
      <c r="G234" s="580">
        <f>LN(F235/F234)</f>
        <v/>
      </c>
      <c r="H234" s="579" t="inlineStr">
        <is>
          <t>6/5/2025</t>
        </is>
      </c>
      <c r="I234" s="433" t="n">
        <v>43250</v>
      </c>
      <c r="J234" s="580">
        <f>LN(I235/I234)</f>
        <v/>
      </c>
    </row>
    <row r="235" ht="12.9" customHeight="1" s="343">
      <c r="A235" s="575" t="inlineStr">
        <is>
          <t>16/4/2025</t>
        </is>
      </c>
      <c r="B235" s="576" t="inlineStr">
        <is>
          <t>85.6464</t>
        </is>
      </c>
      <c r="C235" s="577">
        <f>LN(B236/B235)</f>
        <v/>
      </c>
      <c r="D235" s="578">
        <f>IFERROR(VLOOKUP(A235,E:G,3,FALSE)," ")</f>
        <v/>
      </c>
      <c r="E235" s="579" t="inlineStr">
        <is>
          <t>2/5/2025</t>
        </is>
      </c>
      <c r="F235" s="12" t="n">
        <v>61.57</v>
      </c>
      <c r="G235" s="580">
        <f>LN(F236/F235)</f>
        <v/>
      </c>
      <c r="H235" s="579" t="inlineStr">
        <is>
          <t>2/5/2025</t>
        </is>
      </c>
      <c r="I235" s="433" t="n">
        <v>43710</v>
      </c>
      <c r="J235" s="580">
        <f>LN(I236/I235)</f>
        <v/>
      </c>
    </row>
    <row r="236" ht="12.9" customHeight="1" s="343">
      <c r="A236" s="575" t="inlineStr">
        <is>
          <t>15/4/2025</t>
        </is>
      </c>
      <c r="B236" s="576" t="inlineStr">
        <is>
          <t>85.6905</t>
        </is>
      </c>
      <c r="C236" s="577">
        <f>LN(B237/B236)</f>
        <v/>
      </c>
      <c r="D236" s="578">
        <f>IFERROR(VLOOKUP(A236,E:G,3,FALSE)," ")</f>
        <v/>
      </c>
      <c r="E236" s="579" t="inlineStr">
        <is>
          <t>1/5/2025</t>
        </is>
      </c>
      <c r="F236" s="12" t="n">
        <v>62.37</v>
      </c>
      <c r="G236" s="580">
        <f>LN(F237/F236)</f>
        <v/>
      </c>
      <c r="H236" s="579" t="inlineStr">
        <is>
          <t>1/5/2025</t>
        </is>
      </c>
      <c r="I236" s="433" t="n">
        <v>43510</v>
      </c>
      <c r="J236" s="580">
        <f>LN(I237/I236)</f>
        <v/>
      </c>
    </row>
    <row r="237" ht="12.9" customHeight="1" s="343">
      <c r="A237" s="575" t="inlineStr">
        <is>
          <t>11/4/2025</t>
        </is>
      </c>
      <c r="B237" s="576" t="inlineStr">
        <is>
          <t>86.1441</t>
        </is>
      </c>
      <c r="C237" s="577">
        <f>LN(B238/B237)</f>
        <v/>
      </c>
      <c r="D237" s="578">
        <f>IFERROR(VLOOKUP(A237,E:G,3,FALSE)," ")</f>
        <v/>
      </c>
      <c r="E237" s="579" t="inlineStr">
        <is>
          <t>30/4/2025</t>
        </is>
      </c>
      <c r="F237" s="12" t="n">
        <v>63.37</v>
      </c>
      <c r="G237" s="580">
        <f>LN(F238/F237)</f>
        <v/>
      </c>
      <c r="H237" s="579" t="inlineStr">
        <is>
          <t>30/4/2025</t>
        </is>
      </c>
      <c r="I237" s="433" t="n">
        <v>43820</v>
      </c>
      <c r="J237" s="580">
        <f>LN(I238/I237)</f>
        <v/>
      </c>
    </row>
    <row r="238" ht="12.9" customHeight="1" s="343">
      <c r="A238" s="575" t="inlineStr">
        <is>
          <t>9/4/2025</t>
        </is>
      </c>
      <c r="B238" s="576" t="inlineStr">
        <is>
          <t>86.6171</t>
        </is>
      </c>
      <c r="C238" s="577">
        <f>LN(B239/B238)</f>
        <v/>
      </c>
      <c r="D238" s="578">
        <f>IFERROR(VLOOKUP(A238,E:G,3,FALSE)," ")</f>
        <v/>
      </c>
      <c r="E238" s="579" t="inlineStr">
        <is>
          <t>29/4/2025</t>
        </is>
      </c>
      <c r="F238" s="12" t="n">
        <v>64.04000000000001</v>
      </c>
      <c r="G238" s="580">
        <f>LN(F239/F238)</f>
        <v/>
      </c>
      <c r="H238" s="579" t="inlineStr">
        <is>
          <t>29/4/2025</t>
        </is>
      </c>
      <c r="I238" s="433" t="n">
        <v>43030</v>
      </c>
      <c r="J238" s="580">
        <f>LN(I239/I238)</f>
        <v/>
      </c>
    </row>
    <row r="239" ht="12.9" customHeight="1" s="343">
      <c r="A239" s="575" t="inlineStr">
        <is>
          <t>8/4/2025</t>
        </is>
      </c>
      <c r="B239" s="576" t="inlineStr">
        <is>
          <t>85.9085</t>
        </is>
      </c>
      <c r="C239" s="577">
        <f>LN(B240/B239)</f>
        <v/>
      </c>
      <c r="D239" s="578">
        <f>IFERROR(VLOOKUP(A239,E:G,3,FALSE)," ")</f>
        <v/>
      </c>
      <c r="E239" s="579" t="inlineStr">
        <is>
          <t>28/4/2025</t>
        </is>
      </c>
      <c r="F239" s="12" t="n">
        <v>66.13</v>
      </c>
      <c r="G239" s="580">
        <f>LN(F240/F239)</f>
        <v/>
      </c>
      <c r="H239" s="579" t="inlineStr">
        <is>
          <t>28/4/2025</t>
        </is>
      </c>
      <c r="I239" s="433" t="n">
        <v>43450</v>
      </c>
      <c r="J239" s="580">
        <f>LN(I240/I239)</f>
        <v/>
      </c>
    </row>
    <row r="240" ht="12.9" customHeight="1" s="343">
      <c r="A240" s="575" t="inlineStr">
        <is>
          <t>7/4/2025</t>
        </is>
      </c>
      <c r="B240" s="576" t="inlineStr">
        <is>
          <t>85.8087</t>
        </is>
      </c>
      <c r="C240" s="577">
        <f>LN(B241/B240)</f>
        <v/>
      </c>
      <c r="D240" s="578">
        <f>IFERROR(VLOOKUP(A240,E:G,3,FALSE)," ")</f>
        <v/>
      </c>
      <c r="E240" s="579" t="inlineStr">
        <is>
          <t>25/4/2025</t>
        </is>
      </c>
      <c r="F240" s="12" t="n">
        <v>66.98999999999999</v>
      </c>
      <c r="G240" s="580">
        <f>LN(F241/F240)</f>
        <v/>
      </c>
      <c r="H240" s="579" t="inlineStr">
        <is>
          <t>25/4/2025</t>
        </is>
      </c>
      <c r="I240" s="433" t="n">
        <v>43660</v>
      </c>
      <c r="J240" s="580">
        <f>LN(I241/I240)</f>
        <v/>
      </c>
    </row>
    <row r="241" ht="12.9" customHeight="1" s="343">
      <c r="A241" s="575" t="inlineStr">
        <is>
          <t>4/4/2025</t>
        </is>
      </c>
      <c r="B241" s="576" t="inlineStr">
        <is>
          <t>85.2281</t>
        </is>
      </c>
      <c r="C241" s="577">
        <f>LN(B242/B241)</f>
        <v/>
      </c>
      <c r="D241" s="578">
        <f>IFERROR(VLOOKUP(A241,E:G,3,FALSE)," ")</f>
        <v/>
      </c>
      <c r="E241" s="579" t="inlineStr">
        <is>
          <t>24/4/2025</t>
        </is>
      </c>
      <c r="F241" s="12" t="n">
        <v>67.5</v>
      </c>
      <c r="G241" s="580">
        <f>LN(F242/F241)</f>
        <v/>
      </c>
      <c r="H241" s="579" t="inlineStr">
        <is>
          <t>24/4/2025</t>
        </is>
      </c>
      <c r="I241" s="433" t="n">
        <v>43520</v>
      </c>
      <c r="J241" s="580">
        <f>LN(I242/I241)</f>
        <v/>
      </c>
    </row>
    <row r="242" ht="12.9" customHeight="1" s="343">
      <c r="A242" s="575" t="inlineStr">
        <is>
          <t>3/4/2025</t>
        </is>
      </c>
      <c r="B242" s="576" t="inlineStr">
        <is>
          <t>85.6468</t>
        </is>
      </c>
      <c r="C242" s="577">
        <f>LN(B243/B242)</f>
        <v/>
      </c>
      <c r="D242" s="578">
        <f>IFERROR(VLOOKUP(A242,E:G,3,FALSE)," ")</f>
        <v/>
      </c>
      <c r="E242" s="579" t="inlineStr">
        <is>
          <t>23/4/2025</t>
        </is>
      </c>
      <c r="F242" s="12" t="n">
        <v>68.26000000000001</v>
      </c>
      <c r="G242" s="580">
        <f>LN(F243/F242)</f>
        <v/>
      </c>
      <c r="H242" s="579" t="inlineStr">
        <is>
          <t>23/4/2025</t>
        </is>
      </c>
      <c r="I242" s="433" t="n">
        <v>44050</v>
      </c>
      <c r="J242" s="580">
        <f>LN(I243/I242)</f>
        <v/>
      </c>
    </row>
    <row r="243" ht="12.9" customHeight="1" s="343">
      <c r="A243" s="575" t="inlineStr">
        <is>
          <t>2/4/2025</t>
        </is>
      </c>
      <c r="B243" s="576" t="inlineStr">
        <is>
          <t>85.6024</t>
        </is>
      </c>
      <c r="C243" s="577">
        <f>LN(B244/B243)</f>
        <v/>
      </c>
      <c r="D243" s="578">
        <f>IFERROR(VLOOKUP(A243,E:G,3,FALSE)," ")</f>
        <v/>
      </c>
      <c r="E243" s="579" t="inlineStr">
        <is>
          <t>22/4/2025</t>
        </is>
      </c>
      <c r="F243" s="12" t="n">
        <v>68.93000000000001</v>
      </c>
      <c r="G243" s="580">
        <f>LN(F244/F243)</f>
        <v/>
      </c>
      <c r="H243" s="579" t="inlineStr">
        <is>
          <t>9/4/2025</t>
        </is>
      </c>
      <c r="I243" s="433" t="n">
        <v>43770</v>
      </c>
      <c r="J243" s="580">
        <f>LN(I244/I243)</f>
        <v/>
      </c>
    </row>
    <row r="244" ht="12.9" customHeight="1" s="343">
      <c r="A244" s="581" t="inlineStr">
        <is>
          <t>28/3/2025</t>
        </is>
      </c>
      <c r="B244" s="582" t="inlineStr">
        <is>
          <t>85.5814</t>
        </is>
      </c>
      <c r="C244" s="583">
        <f>LN(B245/B244)</f>
        <v/>
      </c>
      <c r="D244" s="578">
        <f>IFERROR(VLOOKUP(A244,E:G,3,FALSE)," ")</f>
        <v/>
      </c>
      <c r="E244" s="579" t="inlineStr">
        <is>
          <t>17/4/2025</t>
        </is>
      </c>
      <c r="F244" s="12" t="n">
        <v>69.33</v>
      </c>
      <c r="G244" s="580">
        <f>LN(F245/F244)</f>
        <v/>
      </c>
      <c r="H244" s="579" t="inlineStr">
        <is>
          <t>8/4/2025</t>
        </is>
      </c>
      <c r="I244" s="433" t="n">
        <v>43680</v>
      </c>
      <c r="J244" s="580">
        <f>LN(I245/I244)</f>
        <v/>
      </c>
    </row>
    <row r="245" ht="12.9" customHeight="1" s="343">
      <c r="D245" s="578">
        <f>IFERROR(VLOOKUP(A245,E:G,3,FALSE)," ")</f>
        <v/>
      </c>
      <c r="E245" s="579" t="inlineStr">
        <is>
          <t>16/4/2025</t>
        </is>
      </c>
      <c r="F245" s="12" t="n">
        <v>67.94</v>
      </c>
      <c r="G245" s="580">
        <f>LN(F246/F245)</f>
        <v/>
      </c>
      <c r="H245" s="579" t="inlineStr">
        <is>
          <t>7/4/2025</t>
        </is>
      </c>
      <c r="I245" s="433" t="n">
        <v>43590</v>
      </c>
      <c r="J245" s="580">
        <f>LN(I246/I245)</f>
        <v/>
      </c>
    </row>
    <row r="246" ht="12.9" customHeight="1" s="343">
      <c r="D246" s="578">
        <f>IFERROR(VLOOKUP(A246,E:G,3,FALSE)," ")</f>
        <v/>
      </c>
      <c r="E246" s="579" t="inlineStr">
        <is>
          <t>15/4/2025</t>
        </is>
      </c>
      <c r="F246" s="12" t="n">
        <v>66.58</v>
      </c>
      <c r="G246" s="580">
        <f>LN(F247/F246)</f>
        <v/>
      </c>
      <c r="H246" s="579" t="inlineStr">
        <is>
          <t>4/4/2025</t>
        </is>
      </c>
      <c r="I246" s="433" t="n">
        <v>44520</v>
      </c>
      <c r="J246" s="580">
        <f>LN(I247/I246)</f>
        <v/>
      </c>
    </row>
    <row r="247" ht="12.9" customHeight="1" s="343">
      <c r="D247" s="578">
        <f>IFERROR(VLOOKUP(A247,E:G,3,FALSE)," ")</f>
        <v/>
      </c>
      <c r="E247" s="579" t="inlineStr">
        <is>
          <t>14/4/2025</t>
        </is>
      </c>
      <c r="F247" s="12" t="n">
        <v>67.18000000000001</v>
      </c>
      <c r="G247" s="580">
        <f>LN(F248/F247)</f>
        <v/>
      </c>
      <c r="H247" s="579" t="inlineStr">
        <is>
          <t>3/4/2025</t>
        </is>
      </c>
      <c r="I247" s="433" t="n">
        <v>44530</v>
      </c>
      <c r="J247" s="580">
        <f>LN(I248/I247)</f>
        <v/>
      </c>
    </row>
    <row r="248" ht="12.9" customHeight="1" s="343">
      <c r="D248" s="578">
        <f>IFERROR(VLOOKUP(A248,E:G,3,FALSE)," ")</f>
        <v/>
      </c>
      <c r="E248" s="579" t="inlineStr">
        <is>
          <t>11/4/2025</t>
        </is>
      </c>
      <c r="F248" s="12" t="n">
        <v>66.83</v>
      </c>
      <c r="G248" s="580">
        <f>LN(F249/F248)</f>
        <v/>
      </c>
      <c r="H248" s="579" t="inlineStr">
        <is>
          <t>2/4/2025</t>
        </is>
      </c>
      <c r="I248" s="433" t="n">
        <v>44440</v>
      </c>
      <c r="J248" s="580">
        <f>LN(I249/I248)</f>
        <v/>
      </c>
    </row>
    <row r="249" ht="12.9" customHeight="1" s="343">
      <c r="D249" s="578">
        <f>IFERROR(VLOOKUP(A249,E:G,3,FALSE)," ")</f>
        <v/>
      </c>
      <c r="E249" s="579" t="inlineStr">
        <is>
          <t>10/4/2025</t>
        </is>
      </c>
      <c r="F249" s="12" t="n">
        <v>65.37</v>
      </c>
      <c r="G249" s="580">
        <f>LN(F250/F249)</f>
        <v/>
      </c>
      <c r="H249" s="584" t="inlineStr">
        <is>
          <t>1/4/2025</t>
        </is>
      </c>
      <c r="I249" s="585" t="n">
        <v>44340</v>
      </c>
      <c r="J249" s="586" t="n"/>
    </row>
    <row r="250" ht="12.9" customHeight="1" s="343">
      <c r="D250" s="578">
        <f>IFERROR(VLOOKUP(A250,E:G,3,FALSE)," ")</f>
        <v/>
      </c>
      <c r="E250" s="579" t="inlineStr">
        <is>
          <t>9/4/2025</t>
        </is>
      </c>
      <c r="F250" s="12" t="n">
        <v>67.3</v>
      </c>
      <c r="G250" s="580">
        <f>LN(F251/F250)</f>
        <v/>
      </c>
      <c r="I250" s="577" t="n"/>
      <c r="J250" s="577" t="n"/>
    </row>
    <row r="251" ht="12.9" customHeight="1" s="343">
      <c r="D251" s="578">
        <f>IFERROR(VLOOKUP(A251,E:G,3,FALSE)," ")</f>
        <v/>
      </c>
      <c r="E251" s="579" t="inlineStr">
        <is>
          <t>8/4/2025</t>
        </is>
      </c>
      <c r="F251" s="12" t="n">
        <v>64.86</v>
      </c>
      <c r="G251" s="580">
        <f>LN(F252/F251)</f>
        <v/>
      </c>
      <c r="I251" s="577" t="n"/>
      <c r="J251" s="577" t="n"/>
    </row>
    <row r="252" ht="12.9" customHeight="1" s="343">
      <c r="D252" s="578">
        <f>IFERROR(VLOOKUP(A252,E:G,3,FALSE)," ")</f>
        <v/>
      </c>
      <c r="E252" s="579" t="inlineStr">
        <is>
          <t>7/4/2025</t>
        </is>
      </c>
      <c r="F252" s="12" t="n">
        <v>66.13</v>
      </c>
      <c r="G252" s="580">
        <f>LN(F253/F252)</f>
        <v/>
      </c>
      <c r="I252" s="577" t="n"/>
      <c r="J252" s="577" t="n"/>
    </row>
    <row r="253" ht="12.9" customHeight="1" s="343">
      <c r="D253" s="578">
        <f>IFERROR(VLOOKUP(A253,E:G,3,FALSE)," ")</f>
        <v/>
      </c>
      <c r="E253" s="579" t="inlineStr">
        <is>
          <t>4/4/2025</t>
        </is>
      </c>
      <c r="F253" s="12" t="n">
        <v>68.36</v>
      </c>
      <c r="G253" s="580">
        <f>LN(F254/F253)</f>
        <v/>
      </c>
      <c r="I253" s="577" t="n"/>
      <c r="J253" s="577" t="n"/>
    </row>
    <row r="254" ht="12.9" customHeight="1" s="343">
      <c r="D254" s="578">
        <f>IFERROR(VLOOKUP(A254,E:G,3,FALSE)," ")</f>
        <v/>
      </c>
      <c r="E254" s="579" t="inlineStr">
        <is>
          <t>3/4/2025</t>
        </is>
      </c>
      <c r="F254" s="12" t="n">
        <v>72.54000000000001</v>
      </c>
      <c r="G254" s="580">
        <f>LN(F255/F254)</f>
        <v/>
      </c>
      <c r="I254" s="577" t="n"/>
      <c r="J254" s="577" t="n"/>
    </row>
    <row r="255" ht="12.9" customHeight="1" s="343">
      <c r="D255" s="578">
        <f>IFERROR(VLOOKUP(A255,E:G,3,FALSE)," ")</f>
        <v/>
      </c>
      <c r="E255" s="579" t="inlineStr">
        <is>
          <t>2/4/2025</t>
        </is>
      </c>
      <c r="F255" s="12" t="n">
        <v>77.27</v>
      </c>
      <c r="G255" s="580">
        <f>LN(F256/F255)</f>
        <v/>
      </c>
      <c r="I255" s="577" t="n"/>
      <c r="J255" s="577" t="n"/>
    </row>
    <row r="256" ht="12.9" customHeight="1" s="343">
      <c r="D256" s="587">
        <f>IFERROR(VLOOKUP(A256,E:G,3,FALSE)," ")</f>
        <v/>
      </c>
      <c r="E256" s="588" t="inlineStr">
        <is>
          <t>1/4/2025</t>
        </is>
      </c>
      <c r="F256" s="144" t="n">
        <v>77.78</v>
      </c>
      <c r="G256" s="126" t="n"/>
    </row>
    <row r="257" ht="12.9" customHeight="1" s="343"/>
    <row r="258" ht="12.9" customHeight="1" s="343"/>
    <row r="259" ht="12.9" customHeight="1" s="343"/>
    <row r="260" ht="12.9" customHeight="1" s="343"/>
    <row r="261" ht="12.9" customHeight="1" s="343"/>
  </sheetData>
  <mergeCells count="3">
    <mergeCell ref="A1:C1"/>
    <mergeCell ref="H1:J1"/>
    <mergeCell ref="E1:G1"/>
  </mergeCells>
  <hyperlinks>
    <hyperlink xmlns:r="http://schemas.openxmlformats.org/officeDocument/2006/relationships" ref="N3" r:id="rId1"/>
    <hyperlink xmlns:r="http://schemas.openxmlformats.org/officeDocument/2006/relationships" ref="N4" r:id="rId2"/>
    <hyperlink xmlns:r="http://schemas.openxmlformats.org/officeDocument/2006/relationships" ref="N5" r:id="rId3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rgb="FF8E1C2F"/>
    <outlinePr summaryBelow="1" summaryRight="1"/>
    <pageSetUpPr/>
  </sheetPr>
  <dimension ref="B1:AI21"/>
  <sheetViews>
    <sheetView zoomScale="80" zoomScaleNormal="80" workbookViewId="0">
      <pane ySplit="5" topLeftCell="A6" activePane="bottomLeft" state="frozen"/>
      <selection pane="bottomLeft" activeCell="E25" sqref="E25"/>
    </sheetView>
  </sheetViews>
  <sheetFormatPr baseColWidth="8" defaultColWidth="10.5546875" defaultRowHeight="13.8"/>
  <cols>
    <col width="2.6640625" customWidth="1" style="12" min="1" max="1"/>
    <col width="55.6640625" customWidth="1" style="12" min="2" max="2"/>
    <col width="10.6640625" customWidth="1" style="12" min="3" max="4"/>
    <col width="25.109375" customWidth="1" style="12" min="5" max="5"/>
    <col width="10.6640625" customWidth="1" style="12" min="6" max="10"/>
    <col width="10.5546875" customWidth="1" style="12" min="11" max="11"/>
    <col width="10.5546875" customWidth="1" style="12" min="12" max="13"/>
    <col width="10.5546875" customWidth="1" style="12" min="14" max="14"/>
    <col width="10.5546875" customWidth="1" style="12" min="15" max="16"/>
    <col width="10.5546875" customWidth="1" style="12" min="17" max="17"/>
    <col width="10.5546875" customWidth="1" style="12" min="18" max="19"/>
    <col width="10.5546875" customWidth="1" style="12" min="20" max="20"/>
    <col width="10.5546875" customWidth="1" style="12" min="21" max="22"/>
    <col width="10.5546875" customWidth="1" style="12" min="23" max="23"/>
    <col width="10.5546875" customWidth="1" style="12" min="24" max="25"/>
    <col width="10.5546875" customWidth="1" style="12" min="26" max="26"/>
    <col width="10.5546875" customWidth="1" style="12" min="27" max="28"/>
    <col width="10.5546875" customWidth="1" style="12" min="29" max="29"/>
    <col width="10.5546875" customWidth="1" style="12" min="30" max="31"/>
    <col width="10.5546875" customWidth="1" style="12" min="32" max="32"/>
    <col width="10.5546875" customWidth="1" style="12" min="33" max="34"/>
    <col width="10.5546875" customWidth="1" style="12" min="35" max="16384"/>
  </cols>
  <sheetData>
    <row r="1">
      <c r="B1" s="436" t="inlineStr">
        <is>
          <t>Anup Engineering Limited</t>
        </is>
      </c>
      <c r="C1" s="436" t="n"/>
      <c r="D1" s="436" t="n"/>
      <c r="E1" s="436" t="n"/>
      <c r="F1" s="436" t="n"/>
      <c r="G1" s="436" t="n"/>
      <c r="H1" s="436" t="n"/>
      <c r="I1" s="436" t="n"/>
      <c r="J1" s="436" t="n"/>
      <c r="K1" s="436" t="n"/>
      <c r="L1" s="436" t="n"/>
      <c r="M1" s="436" t="n"/>
      <c r="N1" s="436" t="n"/>
      <c r="O1" s="436" t="n"/>
      <c r="P1" s="436" t="n"/>
      <c r="Q1" s="436" t="n"/>
      <c r="R1" s="436" t="n"/>
      <c r="S1" s="436" t="n"/>
    </row>
    <row r="2">
      <c r="B2" s="12" t="inlineStr">
        <is>
          <t>Fiscal year ending 31st Mar, 2026</t>
        </is>
      </c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</row>
    <row r="3">
      <c r="B3" s="12" t="inlineStr">
        <is>
          <t>All amounts in ₹ crores except per share data</t>
        </is>
      </c>
      <c r="C3" s="52" t="n"/>
      <c r="D3" s="52" t="n"/>
      <c r="E3" s="52" t="n"/>
      <c r="F3" s="54" t="n"/>
      <c r="G3" s="54" t="n"/>
      <c r="H3" s="54" t="n"/>
      <c r="I3" s="46" t="n"/>
      <c r="J3" s="46" t="n"/>
      <c r="K3" s="46" t="n"/>
      <c r="L3" s="46" t="n"/>
      <c r="M3" s="46" t="n"/>
      <c r="N3" s="46" t="n"/>
      <c r="O3" s="46" t="n"/>
      <c r="P3" s="46" t="n"/>
      <c r="Q3" s="46" t="n"/>
      <c r="R3" s="46" t="n"/>
      <c r="S3" s="46" t="n"/>
      <c r="T3" s="46" t="n"/>
      <c r="U3" s="46" t="n"/>
      <c r="V3" s="46" t="n"/>
      <c r="W3" s="46" t="n"/>
      <c r="X3" s="46" t="n"/>
      <c r="Y3" s="46" t="n"/>
      <c r="Z3" s="46" t="n"/>
      <c r="AA3" s="46" t="n"/>
      <c r="AB3" s="46" t="n"/>
      <c r="AC3" s="46" t="n"/>
      <c r="AD3" s="46" t="n"/>
      <c r="AE3" s="46" t="n"/>
      <c r="AF3" s="46" t="n"/>
      <c r="AG3" s="46" t="n"/>
      <c r="AH3" s="46" t="n"/>
      <c r="AI3" s="46" t="n"/>
    </row>
    <row r="4">
      <c r="B4" s="438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6" t="n"/>
    </row>
    <row r="5" customFormat="1" s="360">
      <c r="B5" s="589" t="inlineStr">
        <is>
          <t>GUIDANCE NOTES</t>
        </is>
      </c>
      <c r="C5" s="377" t="inlineStr">
        <is>
          <t>FY26</t>
        </is>
      </c>
      <c r="D5" s="377" t="inlineStr">
        <is>
          <t>FY27</t>
        </is>
      </c>
      <c r="E5" s="377" t="inlineStr">
        <is>
          <t>Source</t>
        </is>
      </c>
      <c r="F5" s="363" t="n"/>
      <c r="G5" s="363" t="n"/>
      <c r="H5" s="363" t="n"/>
      <c r="I5" s="363" t="n"/>
      <c r="J5" s="363" t="n"/>
      <c r="K5" s="363" t="n"/>
      <c r="L5" s="363" t="n"/>
      <c r="M5" s="363" t="n"/>
      <c r="N5" s="363" t="n"/>
      <c r="O5" s="363" t="n"/>
      <c r="P5" s="363" t="n"/>
      <c r="Q5" s="363" t="n"/>
      <c r="R5" s="363" t="n"/>
      <c r="S5" s="354" t="n"/>
    </row>
    <row r="6" ht="12.9" customHeight="1" s="343">
      <c r="B6" s="590" t="n"/>
      <c r="C6" s="285" t="n"/>
      <c r="D6" s="285" t="n"/>
      <c r="E6" s="58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6" t="n"/>
    </row>
    <row r="7" ht="12.9" customHeight="1" s="343">
      <c r="B7" s="56" t="inlineStr">
        <is>
          <t>Opening Order Book Target (Cr)</t>
        </is>
      </c>
      <c r="C7" s="286" t="n"/>
      <c r="D7" s="591" t="inlineStr">
        <is>
          <t>700-750</t>
        </is>
      </c>
      <c r="E7" s="291" t="inlineStr">
        <is>
          <t>Q2 FY26 Earnings Call</t>
        </is>
      </c>
    </row>
    <row r="8" ht="12.9" customHeight="1" s="343">
      <c r="B8" s="56" t="inlineStr">
        <is>
          <t>Capacity (MT)</t>
        </is>
      </c>
      <c r="C8" s="592" t="n">
        <v>12000</v>
      </c>
      <c r="D8" s="592" t="n">
        <v>20000</v>
      </c>
      <c r="E8" s="291" t="inlineStr">
        <is>
          <t>CARE Ratings</t>
        </is>
      </c>
    </row>
    <row r="9" ht="12.9" customHeight="1" s="343">
      <c r="B9" s="56" t="inlineStr">
        <is>
          <t>Capex (Cr) (Phase 2 Kheda Plant)</t>
        </is>
      </c>
      <c r="C9" s="286" t="n">
        <v>50</v>
      </c>
      <c r="D9" s="286" t="n">
        <v>35</v>
      </c>
      <c r="E9" s="291" t="inlineStr">
        <is>
          <t>CARE Ratings</t>
        </is>
      </c>
    </row>
    <row r="10" ht="12.9" customHeight="1" s="343">
      <c r="B10" s="56" t="n"/>
      <c r="C10" s="286" t="n"/>
      <c r="D10" s="286" t="n"/>
      <c r="E10" s="291" t="n"/>
    </row>
    <row r="11" ht="12.9" customHeight="1" s="343">
      <c r="B11" s="56" t="inlineStr">
        <is>
          <t>Revenue Split</t>
        </is>
      </c>
      <c r="C11" s="286" t="n"/>
      <c r="D11" s="286" t="n"/>
      <c r="E11" s="291" t="n"/>
    </row>
    <row r="12" ht="12.9" customHeight="1" s="343">
      <c r="B12" s="56" t="inlineStr">
        <is>
          <t>Heat Exchangers</t>
        </is>
      </c>
      <c r="C12" s="288" t="n">
        <v>0.6</v>
      </c>
      <c r="D12" s="288" t="n">
        <v>0.6</v>
      </c>
      <c r="E12" s="291" t="inlineStr">
        <is>
          <t>Q2 FY26 Earnings Call</t>
        </is>
      </c>
    </row>
    <row r="13" ht="12.9" customHeight="1" s="343">
      <c r="B13" s="56" t="inlineStr">
        <is>
          <t>Vessels</t>
        </is>
      </c>
      <c r="C13" s="288" t="n">
        <v>0.4</v>
      </c>
      <c r="D13" s="288" t="n">
        <v>0.4</v>
      </c>
      <c r="E13" s="291" t="inlineStr">
        <is>
          <t>Q2 FY26 Earnings Call</t>
        </is>
      </c>
    </row>
    <row r="14" ht="12.9" customHeight="1" s="343">
      <c r="B14" s="56" t="n"/>
      <c r="C14" s="286" t="n"/>
      <c r="D14" s="286" t="n"/>
      <c r="E14" s="291" t="n"/>
      <c r="Q14" s="453" t="n"/>
    </row>
    <row r="15" ht="12.9" customHeight="1" s="343">
      <c r="B15" s="56" t="inlineStr">
        <is>
          <t>Hydrogen Revenue Share</t>
        </is>
      </c>
      <c r="C15" s="286" t="n"/>
      <c r="D15" s="286" t="inlineStr">
        <is>
          <t>~40% Target</t>
        </is>
      </c>
      <c r="E15" s="291" t="inlineStr">
        <is>
          <t>AR FY24-25 MD Letter</t>
        </is>
      </c>
    </row>
    <row r="16" ht="12.9" customHeight="1" s="343">
      <c r="B16" s="56" t="inlineStr">
        <is>
          <t>Nuclear</t>
        </is>
      </c>
      <c r="C16" s="286" t="inlineStr">
        <is>
          <t xml:space="preserve">First order won Q3 </t>
        </is>
      </c>
      <c r="D16" s="286" t="inlineStr">
        <is>
          <t>Scaling FY28+</t>
        </is>
      </c>
      <c r="E16" s="291" t="inlineStr">
        <is>
          <t>Q3 FY26 Press Release</t>
        </is>
      </c>
    </row>
    <row r="17" ht="12.9" customHeight="1" s="343">
      <c r="B17" s="56" t="inlineStr">
        <is>
          <t>Export Mix</t>
        </is>
      </c>
      <c r="C17" s="302" t="n">
        <v>0.5</v>
      </c>
      <c r="D17" s="286" t="inlineStr">
        <is>
          <t>~40%</t>
        </is>
      </c>
      <c r="E17" s="291" t="inlineStr">
        <is>
          <t>Q4 FY26 Earnings Call</t>
        </is>
      </c>
    </row>
    <row r="18" ht="12.9" customHeight="1" s="343">
      <c r="B18" s="56" t="n"/>
      <c r="C18" s="286" t="n"/>
      <c r="D18" s="286" t="n"/>
      <c r="E18" s="291" t="n"/>
    </row>
    <row r="19" ht="12.9" customHeight="1" s="343">
      <c r="B19" s="56" t="inlineStr">
        <is>
          <t>Tax Rate</t>
        </is>
      </c>
      <c r="C19" s="289" t="n">
        <v>0.25168</v>
      </c>
      <c r="D19" s="289" t="n">
        <v>0.25168</v>
      </c>
      <c r="E19" s="291" t="inlineStr">
        <is>
          <t>AR FY25</t>
        </is>
      </c>
    </row>
    <row r="20" ht="12.9" customHeight="1" s="343">
      <c r="B20" s="56" t="n"/>
      <c r="C20" s="286" t="n"/>
      <c r="D20" s="286" t="n"/>
      <c r="E20" s="291" t="n"/>
    </row>
    <row r="21" ht="12.9" customHeight="1" s="343">
      <c r="B21" s="57" t="inlineStr">
        <is>
          <t>Geopolitical Risks</t>
        </is>
      </c>
      <c r="C21" s="290" t="inlineStr">
        <is>
          <t>Middle East Exports affected</t>
        </is>
      </c>
      <c r="D21" s="290" t="n"/>
      <c r="E21" s="292" t="inlineStr">
        <is>
          <t>Monarch Networth Sector Report</t>
        </is>
      </c>
    </row>
    <row r="22" ht="12.9" customHeight="1" s="343"/>
    <row r="23" ht="12.9" customHeight="1" s="343"/>
    <row r="24" ht="12.9" customHeight="1" s="343"/>
    <row r="25" ht="12.9" customHeight="1" s="343"/>
    <row r="26" ht="12.9" customHeight="1" s="343"/>
    <row r="27" ht="12.9" customHeight="1" s="343"/>
    <row r="28" ht="12.9" customHeight="1" s="343"/>
    <row r="29" ht="12.9" customHeight="1" s="343"/>
    <row r="30" ht="12.9" customHeight="1" s="343"/>
    <row r="31" ht="12.9" customHeight="1" s="343"/>
    <row r="32" ht="12.9" customHeight="1" s="343"/>
    <row r="33" ht="12.9" customHeight="1" s="343"/>
    <row r="34" ht="12.9" customHeight="1" s="343"/>
    <row r="35" ht="12.9" customHeight="1" s="343"/>
    <row r="36" ht="12.9" customHeight="1" s="343"/>
    <row r="37" ht="12.9" customHeight="1" s="343"/>
    <row r="38" ht="12.9" customHeight="1" s="343"/>
    <row r="39" ht="12.9" customHeight="1" s="343"/>
    <row r="40" ht="12.9" customHeight="1" s="343"/>
    <row r="41" ht="12.9" customHeight="1" s="343"/>
    <row r="42" ht="12.9" customHeight="1" s="343"/>
    <row r="43" ht="12.9" customHeight="1" s="343"/>
    <row r="44" ht="12.9" customHeight="1" s="343"/>
    <row r="45" ht="12.9" customHeight="1" s="343"/>
    <row r="46" ht="12.9" customHeight="1" s="343"/>
    <row r="47" ht="12.9" customHeight="1" s="343"/>
    <row r="48" ht="12.9" customHeight="1" s="343"/>
    <row r="49" ht="12.9" customHeight="1" s="343"/>
    <row r="50" ht="12.9" customHeight="1" s="343"/>
    <row r="51" ht="12.9" customHeight="1" s="343"/>
    <row r="52" ht="12.9" customHeight="1" s="343"/>
    <row r="53" ht="12.9" customHeight="1" s="343"/>
    <row r="54" ht="12.9" customHeight="1" s="343"/>
    <row r="55" ht="12.9" customHeight="1" s="343"/>
    <row r="56" ht="12.9" customHeight="1" s="343"/>
    <row r="57" ht="12.9" customHeight="1" s="343"/>
    <row r="58" ht="12.9" customHeight="1" s="343"/>
    <row r="59" ht="12.9" customHeight="1" s="343"/>
    <row r="60" ht="12.9" customHeight="1" s="343"/>
    <row r="61" ht="12.9" customHeight="1" s="343"/>
    <row r="62" ht="12.9" customHeight="1" s="343"/>
    <row r="63" ht="12.9" customHeight="1" s="343"/>
    <row r="64" ht="12.9" customHeight="1" s="343"/>
    <row r="65" ht="12.9" customHeight="1" s="343"/>
    <row r="66" ht="12.9" customHeight="1" s="343"/>
    <row r="67" ht="12.9" customHeight="1" s="343"/>
    <row r="68" ht="12.9" customHeight="1" s="343"/>
    <row r="69" ht="12.9" customHeight="1" s="343"/>
    <row r="70" ht="12.9" customHeight="1" s="343"/>
    <row r="71" ht="12.9" customHeight="1" s="343"/>
    <row r="72" ht="12.9" customHeight="1" s="343"/>
    <row r="73" ht="12.9" customHeight="1" s="343"/>
    <row r="74" ht="12.9" customHeight="1" s="343"/>
    <row r="75" ht="12.9" customHeight="1" s="343"/>
    <row r="76" ht="12.9" customHeight="1" s="343"/>
    <row r="77" ht="12.9" customHeight="1" s="343"/>
    <row r="78" ht="12.9" customHeight="1" s="343"/>
    <row r="79" ht="12.9" customHeight="1" s="343"/>
    <row r="80" ht="12.9" customHeight="1" s="343"/>
    <row r="81" ht="12.9" customHeight="1" s="343"/>
    <row r="82" ht="12.9" customHeight="1" s="343"/>
    <row r="83" ht="12.9" customHeight="1" s="343"/>
    <row r="84" ht="12.9" customHeight="1" s="343"/>
    <row r="85" ht="12.9" customHeight="1" s="343"/>
    <row r="86" ht="12.9" customHeight="1" s="343"/>
    <row r="87" ht="12.9" customHeight="1" s="343"/>
    <row r="88" ht="12.9" customHeight="1" s="343"/>
    <row r="89" ht="12.9" customHeight="1" s="343"/>
    <row r="90" ht="12.9" customHeight="1" s="343"/>
    <row r="91" ht="12.9" customHeight="1" s="343"/>
    <row r="92" ht="12.9" customHeight="1" s="343"/>
    <row r="93" ht="12.9" customHeight="1" s="343"/>
    <row r="94" ht="12.9" customHeight="1" s="343"/>
    <row r="95" ht="12.9" customHeight="1" s="343"/>
    <row r="96" ht="12.9" customHeight="1" s="343"/>
    <row r="97" ht="12.9" customHeight="1" s="343"/>
    <row r="98" ht="12.9" customHeight="1" s="343"/>
    <row r="99" ht="12.9" customHeight="1" s="343"/>
    <row r="100" ht="12.9" customHeight="1" s="343"/>
    <row r="101" ht="12.9" customHeight="1" s="343"/>
    <row r="102" ht="12.9" customHeight="1" s="343"/>
    <row r="103" ht="12.9" customHeight="1" s="343"/>
    <row r="104" ht="12.9" customHeight="1" s="343"/>
    <row r="105" ht="12.9" customHeight="1" s="343"/>
    <row r="106" ht="12.9" customHeight="1" s="343"/>
    <row r="107" ht="12.9" customHeight="1" s="343"/>
    <row r="108" ht="12.9" customHeight="1" s="343"/>
    <row r="109" ht="12.9" customHeight="1" s="343"/>
    <row r="110" ht="12.9" customHeight="1" s="343"/>
    <row r="111" ht="12.9" customHeight="1" s="343"/>
    <row r="112" ht="12.9" customHeight="1" s="343"/>
    <row r="113" ht="12.9" customHeight="1" s="343"/>
    <row r="114" ht="12.9" customHeight="1" s="343"/>
    <row r="115" ht="12.9" customHeight="1" s="343"/>
    <row r="116" ht="12.9" customHeight="1" s="343"/>
    <row r="117" ht="12.9" customHeight="1" s="343"/>
    <row r="118" ht="12.9" customHeight="1" s="343"/>
    <row r="119" ht="12.9" customHeight="1" s="343"/>
    <row r="120" ht="12.9" customHeight="1" s="343"/>
    <row r="121" ht="12.9" customHeight="1" s="343"/>
    <row r="122" ht="12.9" customHeight="1" s="343"/>
    <row r="123" ht="12.9" customHeight="1" s="343"/>
    <row r="124" ht="12.9" customHeight="1" s="343"/>
    <row r="125" ht="12.9" customHeight="1" s="343"/>
    <row r="126" ht="12.9" customHeight="1" s="343"/>
    <row r="127" ht="12.9" customHeight="1" s="343"/>
    <row r="128" ht="12.9" customHeight="1" s="343"/>
    <row r="129" ht="12.9" customHeight="1" s="343"/>
    <row r="130" ht="12.9" customHeight="1" s="343"/>
    <row r="131" ht="12.9" customHeight="1" s="343"/>
    <row r="132" ht="12.9" customHeight="1" s="343"/>
    <row r="133" ht="12.9" customHeight="1" s="343"/>
    <row r="134" ht="12.9" customHeight="1" s="343"/>
    <row r="135" ht="12.9" customHeight="1" s="343"/>
    <row r="136" ht="12.9" customHeight="1" s="343"/>
    <row r="137" ht="12.9" customHeight="1" s="343"/>
    <row r="138" ht="12.9" customHeight="1" s="343"/>
    <row r="139" ht="12.9" customHeight="1" s="343"/>
    <row r="140" ht="12.9" customHeight="1" s="343"/>
    <row r="141" ht="12.9" customHeight="1" s="343"/>
    <row r="142" ht="12.9" customHeight="1" s="343"/>
    <row r="143" ht="12.9" customHeight="1" s="343"/>
    <row r="144" ht="12.9" customHeight="1" s="343"/>
    <row r="145" ht="12.9" customHeight="1" s="343"/>
    <row r="146" ht="12.9" customHeight="1" s="343"/>
    <row r="147" ht="12.9" customHeight="1" s="343"/>
    <row r="148" ht="12.9" customHeight="1" s="343"/>
    <row r="149" ht="12.9" customHeight="1" s="343"/>
    <row r="150" ht="12.9" customHeight="1" s="343"/>
    <row r="151" ht="12.9" customHeight="1" s="343"/>
    <row r="152" ht="12.9" customHeight="1" s="343"/>
    <row r="153" ht="12.9" customHeight="1" s="343"/>
    <row r="154" ht="12.9" customHeight="1" s="343"/>
    <row r="155" ht="12.9" customHeight="1" s="343"/>
    <row r="156" ht="12.9" customHeight="1" s="343"/>
    <row r="157" ht="12.9" customHeight="1" s="343"/>
    <row r="158" ht="12.9" customHeight="1" s="343"/>
    <row r="159" ht="12.9" customHeight="1" s="343"/>
    <row r="160" ht="12.9" customHeight="1" s="343"/>
    <row r="161" ht="12.9" customHeight="1" s="343"/>
    <row r="162" ht="12.9" customHeight="1" s="343"/>
    <row r="163" ht="12.9" customHeight="1" s="343"/>
    <row r="164" ht="12.9" customHeight="1" s="343"/>
    <row r="165" ht="12.9" customHeight="1" s="343"/>
    <row r="166" ht="12.9" customHeight="1" s="343"/>
    <row r="167" ht="12.9" customHeight="1" s="343"/>
    <row r="168" ht="12.9" customHeight="1" s="343"/>
    <row r="169" ht="12.9" customHeight="1" s="343"/>
    <row r="170" ht="12.9" customHeight="1" s="343"/>
    <row r="171" ht="12.9" customHeight="1" s="343"/>
    <row r="172" ht="12.9" customHeight="1" s="343"/>
    <row r="173" ht="12.9" customHeight="1" s="343"/>
    <row r="174" ht="12.9" customHeight="1" s="343"/>
    <row r="175" ht="12.9" customHeight="1" s="343"/>
    <row r="176" ht="12.9" customHeight="1" s="343"/>
    <row r="177" ht="12.9" customHeight="1" s="343"/>
    <row r="178" ht="12.9" customHeight="1" s="343"/>
    <row r="179" ht="12.9" customHeight="1" s="343"/>
    <row r="180" ht="12.9" customHeight="1" s="343"/>
    <row r="181" ht="12.9" customHeight="1" s="343"/>
    <row r="182" ht="12.9" customHeight="1" s="343"/>
    <row r="183" ht="12.9" customHeight="1" s="343"/>
    <row r="184" ht="12.9" customHeight="1" s="343"/>
    <row r="185" ht="12.9" customHeight="1" s="343"/>
    <row r="186" ht="12.9" customHeight="1" s="343"/>
    <row r="187" ht="12.9" customHeight="1" s="343"/>
    <row r="188" ht="12.9" customHeight="1" s="343"/>
    <row r="189" ht="12.9" customHeight="1" s="343"/>
    <row r="190" ht="12.9" customHeight="1" s="343"/>
    <row r="191" ht="12.9" customHeight="1" s="343"/>
    <row r="192" ht="12.9" customHeight="1" s="343"/>
    <row r="193" ht="12.9" customHeight="1" s="343"/>
    <row r="194" ht="12.9" customHeight="1" s="343"/>
    <row r="195" ht="12.9" customHeight="1" s="343"/>
    <row r="196" ht="12.9" customHeight="1" s="343"/>
    <row r="197" ht="12.9" customHeight="1" s="343"/>
    <row r="198" ht="12.9" customHeight="1" s="343"/>
    <row r="199" ht="12.9" customHeight="1" s="343"/>
    <row r="200" ht="12.9" customHeight="1" s="343"/>
    <row r="201" ht="12.9" customHeight="1" s="343"/>
    <row r="202" ht="12.9" customHeight="1" s="343"/>
    <row r="203" ht="12.9" customHeight="1" s="343"/>
    <row r="204" ht="12.9" customHeight="1" s="343"/>
    <row r="205" ht="12.9" customHeight="1" s="343"/>
    <row r="206" ht="12.9" customHeight="1" s="343"/>
    <row r="207" ht="12.9" customHeight="1" s="343"/>
    <row r="208" ht="12.9" customHeight="1" s="343"/>
    <row r="209" ht="12.9" customHeight="1" s="343"/>
    <row r="210" ht="12.9" customHeight="1" s="343"/>
    <row r="211" ht="12.9" customHeight="1" s="343"/>
    <row r="212" ht="12.9" customHeight="1" s="343"/>
    <row r="213" ht="12.9" customHeight="1" s="343"/>
    <row r="214" ht="12.9" customHeight="1" s="343"/>
    <row r="215" ht="12.9" customHeight="1" s="343"/>
    <row r="216" ht="12.9" customHeight="1" s="343"/>
    <row r="217" ht="12.9" customHeight="1" s="343"/>
    <row r="218" ht="12.9" customHeight="1" s="343"/>
    <row r="219" ht="12.9" customHeight="1" s="343"/>
    <row r="220" ht="12.9" customHeight="1" s="343"/>
    <row r="221" ht="12.9" customHeight="1" s="343"/>
    <row r="222" ht="12.9" customHeight="1" s="343"/>
    <row r="223" ht="12.9" customHeight="1" s="343"/>
    <row r="224" ht="12.9" customHeight="1" s="343"/>
    <row r="225" ht="12.9" customHeight="1" s="343"/>
    <row r="226" ht="12.9" customHeight="1" s="343"/>
    <row r="227" ht="12.9" customHeight="1" s="343"/>
    <row r="228" ht="12.9" customHeight="1" s="343"/>
    <row r="229" ht="12.9" customHeight="1" s="343"/>
    <row r="230" ht="12.9" customHeight="1" s="343"/>
    <row r="231" ht="12.9" customHeight="1" s="343"/>
    <row r="232" ht="12.9" customHeight="1" s="343"/>
    <row r="233" ht="12.9" customHeight="1" s="34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Niranjan Desai</dc:creator>
  <dcterms:created xmlns:dcterms="http://purl.org/dc/terms/" xmlns:xsi="http://www.w3.org/2001/XMLSchema-instance" xsi:type="dcterms:W3CDTF">2026-04-17T04:47:29Z</dcterms:created>
  <dcterms:modified xmlns:dcterms="http://purl.org/dc/terms/" xmlns:xsi="http://www.w3.org/2001/XMLSchema-instance" xsi:type="dcterms:W3CDTF">2026-10-16T14:58:52Z</dcterms:modified>
  <cp:lastModifiedBy>NIRANJAN DESAI - 80012500553</cp:lastModifiedBy>
</cp:coreProperties>
</file>

<file path=docProps/custom.xml><?xml version="1.0" encoding="utf-8"?>
<Properties xmlns="http://schemas.openxmlformats.org/officeDocument/2006/custom-properties">
  <property name="MSIP_Label_8c63c790-1b4f-473b-b88f-a693ca173b52_Enabled" fmtid="{D5CDD505-2E9C-101B-9397-08002B2CF9AE}" pid="2">
    <vt:lpwstr xmlns:vt="http://schemas.openxmlformats.org/officeDocument/2006/docPropsVTypes">true</vt:lpwstr>
  </property>
  <property name="MSIP_Label_8c63c790-1b4f-473b-b88f-a693ca173b52_SetDate" fmtid="{D5CDD505-2E9C-101B-9397-08002B2CF9AE}" pid="3">
    <vt:lpwstr xmlns:vt="http://schemas.openxmlformats.org/officeDocument/2006/docPropsVTypes">2026-04-17T06:51:36Z</vt:lpwstr>
  </property>
  <property name="MSIP_Label_8c63c790-1b4f-473b-b88f-a693ca173b52_Method" fmtid="{D5CDD505-2E9C-101B-9397-08002B2CF9AE}" pid="4">
    <vt:lpwstr xmlns:vt="http://schemas.openxmlformats.org/officeDocument/2006/docPropsVTypes">Privileged</vt:lpwstr>
  </property>
  <property name="MSIP_Label_8c63c790-1b4f-473b-b88f-a693ca173b52_Name" fmtid="{D5CDD505-2E9C-101B-9397-08002B2CF9AE}" pid="5">
    <vt:lpwstr xmlns:vt="http://schemas.openxmlformats.org/officeDocument/2006/docPropsVTypes">Internal</vt:lpwstr>
  </property>
  <property name="MSIP_Label_8c63c790-1b4f-473b-b88f-a693ca173b52_SiteId" fmtid="{D5CDD505-2E9C-101B-9397-08002B2CF9AE}" pid="6">
    <vt:lpwstr xmlns:vt="http://schemas.openxmlformats.org/officeDocument/2006/docPropsVTypes">4d8b04bf-7a7c-48a0-b6e3-38da5008297e</vt:lpwstr>
  </property>
  <property name="MSIP_Label_8c63c790-1b4f-473b-b88f-a693ca173b52_ActionId" fmtid="{D5CDD505-2E9C-101B-9397-08002B2CF9AE}" pid="7">
    <vt:lpwstr xmlns:vt="http://schemas.openxmlformats.org/officeDocument/2006/docPropsVTypes">5b3a812d-b892-4d35-a295-145ce1a3711c</vt:lpwstr>
  </property>
  <property name="MSIP_Label_8c63c790-1b4f-473b-b88f-a693ca173b52_ContentBits" fmtid="{D5CDD505-2E9C-101B-9397-08002B2CF9AE}" pid="8">
    <vt:lpwstr xmlns:vt="http://schemas.openxmlformats.org/officeDocument/2006/docPropsVTypes">0</vt:lpwstr>
  </property>
  <property name="MSIP_Label_8c63c790-1b4f-473b-b88f-a693ca173b52_Tag" fmtid="{D5CDD505-2E9C-101B-9397-08002B2CF9AE}" pid="9">
    <vt:lpwstr xmlns:vt="http://schemas.openxmlformats.org/officeDocument/2006/docPropsVTypes">10, 0, 1, 1</vt:lpwstr>
  </property>
</Properties>
</file>