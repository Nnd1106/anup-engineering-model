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1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3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3.xml" ContentType="application/vnd.openxmlformats-officedocument.drawingml.chartshapes+xml"/>
  <Override PartName="/xl/charts/chart14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4.xml" ContentType="application/vnd.openxmlformats-officedocument.drawingml.chartshapes+xml"/>
  <Override PartName="/xl/charts/chart15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ml.chartshapes+xml"/>
  <Override PartName="/xl/charts/chart16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7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18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ml.chartshapes+xml"/>
  <Override PartName="/xl/charts/chart19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0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ml.chartshapes+xml"/>
  <Override PartName="/xl/charts/chart21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8.xml" ContentType="application/vnd.openxmlformats-officedocument.drawingml.chartshapes+xml"/>
  <Override PartName="/xl/charts/chart22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omments3.xml" ContentType="application/vnd.openxmlformats-officedocument.spreadsheetml.comments+xml"/>
  <Override PartName="/xl/drawings/drawing9.xml" ContentType="application/vnd.openxmlformats-officedocument.drawing+xml"/>
  <Override PartName="/xl/charts/chart23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iranjan\MBA\NMIMS\My own Learnings\Financial Models\Anup Engineering\"/>
    </mc:Choice>
  </mc:AlternateContent>
  <xr:revisionPtr revIDLastSave="0" documentId="13_ncr:1_{2B5404C8-B420-4BC1-A64C-D373685F4A04}" xr6:coauthVersionLast="47" xr6:coauthVersionMax="47" xr10:uidLastSave="{00000000-0000-0000-0000-000000000000}"/>
  <bookViews>
    <workbookView xWindow="-108" yWindow="-108" windowWidth="23256" windowHeight="12456" tabRatio="679" xr2:uid="{2F3A21BB-982E-4A16-ABD3-84F4AE8F307C}"/>
  </bookViews>
  <sheets>
    <sheet name="Cover Page" sheetId="44" r:id="rId1"/>
    <sheet name="Income Statement" sheetId="26" r:id="rId2"/>
    <sheet name="Balance Sheet" sheetId="27" r:id="rId3"/>
    <sheet name="Cash Flows" sheetId="13" r:id="rId4"/>
    <sheet name="Graphical Representation" sheetId="46" r:id="rId5"/>
    <sheet name="Revenue Segments" sheetId="28" r:id="rId6"/>
    <sheet name="DCF Model" sheetId="36" r:id="rId7"/>
    <sheet name="Monte-Carlo" sheetId="47" r:id="rId8"/>
    <sheet name="Estimate Sheet" sheetId="37" r:id="rId9"/>
    <sheet name="Peer Comps" sheetId="41" r:id="rId10"/>
    <sheet name="Peer Data" sheetId="40" r:id="rId11"/>
    <sheet name="Beta" sheetId="35" r:id="rId12"/>
    <sheet name="Risk Data" sheetId="42" r:id="rId13"/>
    <sheet name="Guidance" sheetId="34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22" i="47" l="1"/>
  <c r="A1022" i="47"/>
  <c r="D1021" i="47"/>
  <c r="A1021" i="47"/>
  <c r="D1020" i="47"/>
  <c r="A1020" i="47"/>
  <c r="D1019" i="47"/>
  <c r="A1019" i="47"/>
  <c r="D1018" i="47"/>
  <c r="A1018" i="47"/>
  <c r="D1017" i="47"/>
  <c r="A1017" i="47"/>
  <c r="D1016" i="47"/>
  <c r="A1016" i="47"/>
  <c r="D1015" i="47"/>
  <c r="A1015" i="47"/>
  <c r="D1014" i="47"/>
  <c r="A1014" i="47"/>
  <c r="D1013" i="47"/>
  <c r="A1013" i="47"/>
  <c r="D1012" i="47"/>
  <c r="A1012" i="47"/>
  <c r="D1011" i="47"/>
  <c r="A1011" i="47"/>
  <c r="D1010" i="47"/>
  <c r="A1010" i="47"/>
  <c r="D1009" i="47"/>
  <c r="A1009" i="47"/>
  <c r="D1008" i="47"/>
  <c r="A1008" i="47"/>
  <c r="D1007" i="47"/>
  <c r="A1007" i="47"/>
  <c r="D1006" i="47"/>
  <c r="A1006" i="47"/>
  <c r="D1005" i="47"/>
  <c r="A1005" i="47"/>
  <c r="D1004" i="47"/>
  <c r="A1004" i="47"/>
  <c r="D1003" i="47"/>
  <c r="A1003" i="47"/>
  <c r="D1002" i="47"/>
  <c r="A1002" i="47"/>
  <c r="D1001" i="47"/>
  <c r="A1001" i="47"/>
  <c r="D1000" i="47"/>
  <c r="A1000" i="47"/>
  <c r="D999" i="47"/>
  <c r="A999" i="47"/>
  <c r="D998" i="47"/>
  <c r="A998" i="47"/>
  <c r="D997" i="47"/>
  <c r="A997" i="47"/>
  <c r="D996" i="47"/>
  <c r="A996" i="47"/>
  <c r="D995" i="47"/>
  <c r="A995" i="47"/>
  <c r="D994" i="47"/>
  <c r="A994" i="47"/>
  <c r="D993" i="47"/>
  <c r="A993" i="47"/>
  <c r="D992" i="47"/>
  <c r="A992" i="47"/>
  <c r="D991" i="47"/>
  <c r="A991" i="47"/>
  <c r="D990" i="47"/>
  <c r="A990" i="47"/>
  <c r="D989" i="47"/>
  <c r="A989" i="47"/>
  <c r="D988" i="47"/>
  <c r="A988" i="47"/>
  <c r="D987" i="47"/>
  <c r="A987" i="47"/>
  <c r="D986" i="47"/>
  <c r="A986" i="47"/>
  <c r="D985" i="47"/>
  <c r="A985" i="47"/>
  <c r="D984" i="47"/>
  <c r="A984" i="47"/>
  <c r="D983" i="47"/>
  <c r="A983" i="47"/>
  <c r="D982" i="47"/>
  <c r="A982" i="47"/>
  <c r="D981" i="47"/>
  <c r="A981" i="47"/>
  <c r="D980" i="47"/>
  <c r="A980" i="47"/>
  <c r="D979" i="47"/>
  <c r="A979" i="47"/>
  <c r="D978" i="47"/>
  <c r="A978" i="47"/>
  <c r="D977" i="47"/>
  <c r="A977" i="47"/>
  <c r="D976" i="47"/>
  <c r="A976" i="47"/>
  <c r="D975" i="47"/>
  <c r="A975" i="47"/>
  <c r="D974" i="47"/>
  <c r="A974" i="47"/>
  <c r="D973" i="47"/>
  <c r="A973" i="47"/>
  <c r="D972" i="47"/>
  <c r="A972" i="47"/>
  <c r="D971" i="47"/>
  <c r="A971" i="47"/>
  <c r="D970" i="47"/>
  <c r="A970" i="47"/>
  <c r="D969" i="47"/>
  <c r="A969" i="47"/>
  <c r="D968" i="47"/>
  <c r="A968" i="47"/>
  <c r="D967" i="47"/>
  <c r="A967" i="47"/>
  <c r="D966" i="47"/>
  <c r="A966" i="47"/>
  <c r="D965" i="47"/>
  <c r="A965" i="47"/>
  <c r="D964" i="47"/>
  <c r="A964" i="47"/>
  <c r="D963" i="47"/>
  <c r="A963" i="47"/>
  <c r="D962" i="47"/>
  <c r="A962" i="47"/>
  <c r="D961" i="47"/>
  <c r="A961" i="47"/>
  <c r="D960" i="47"/>
  <c r="A960" i="47"/>
  <c r="D959" i="47"/>
  <c r="A959" i="47"/>
  <c r="D958" i="47"/>
  <c r="A958" i="47"/>
  <c r="D957" i="47"/>
  <c r="A957" i="47"/>
  <c r="D956" i="47"/>
  <c r="A956" i="47"/>
  <c r="D955" i="47"/>
  <c r="A955" i="47"/>
  <c r="D954" i="47"/>
  <c r="A954" i="47"/>
  <c r="D953" i="47"/>
  <c r="A953" i="47"/>
  <c r="D952" i="47"/>
  <c r="A952" i="47"/>
  <c r="D951" i="47"/>
  <c r="A951" i="47"/>
  <c r="D950" i="47"/>
  <c r="A950" i="47"/>
  <c r="D949" i="47"/>
  <c r="A949" i="47"/>
  <c r="D948" i="47"/>
  <c r="A948" i="47"/>
  <c r="D947" i="47"/>
  <c r="A947" i="47"/>
  <c r="D946" i="47"/>
  <c r="A946" i="47"/>
  <c r="D945" i="47"/>
  <c r="A945" i="47"/>
  <c r="D944" i="47"/>
  <c r="A944" i="47"/>
  <c r="D943" i="47"/>
  <c r="A943" i="47"/>
  <c r="D942" i="47"/>
  <c r="A942" i="47"/>
  <c r="D941" i="47"/>
  <c r="A941" i="47"/>
  <c r="D940" i="47"/>
  <c r="A940" i="47"/>
  <c r="D939" i="47"/>
  <c r="A939" i="47"/>
  <c r="D938" i="47"/>
  <c r="A938" i="47"/>
  <c r="D937" i="47"/>
  <c r="A937" i="47"/>
  <c r="D936" i="47"/>
  <c r="A936" i="47"/>
  <c r="D935" i="47"/>
  <c r="A935" i="47"/>
  <c r="D934" i="47"/>
  <c r="A934" i="47"/>
  <c r="D933" i="47"/>
  <c r="A933" i="47"/>
  <c r="D932" i="47"/>
  <c r="A932" i="47"/>
  <c r="D931" i="47"/>
  <c r="A931" i="47"/>
  <c r="D930" i="47"/>
  <c r="A930" i="47"/>
  <c r="D929" i="47"/>
  <c r="A929" i="47"/>
  <c r="D928" i="47"/>
  <c r="A928" i="47"/>
  <c r="D927" i="47"/>
  <c r="A927" i="47"/>
  <c r="D926" i="47"/>
  <c r="A926" i="47"/>
  <c r="D925" i="47"/>
  <c r="A925" i="47"/>
  <c r="D924" i="47"/>
  <c r="A924" i="47"/>
  <c r="D923" i="47"/>
  <c r="A923" i="47"/>
  <c r="D922" i="47"/>
  <c r="A922" i="47"/>
  <c r="D921" i="47"/>
  <c r="A921" i="47"/>
  <c r="D920" i="47"/>
  <c r="A920" i="47"/>
  <c r="D919" i="47"/>
  <c r="A919" i="47"/>
  <c r="D918" i="47"/>
  <c r="A918" i="47"/>
  <c r="D917" i="47"/>
  <c r="A917" i="47"/>
  <c r="D916" i="47"/>
  <c r="A916" i="47"/>
  <c r="D915" i="47"/>
  <c r="A915" i="47"/>
  <c r="D914" i="47"/>
  <c r="A914" i="47"/>
  <c r="D913" i="47"/>
  <c r="A913" i="47"/>
  <c r="D912" i="47"/>
  <c r="A912" i="47"/>
  <c r="D911" i="47"/>
  <c r="A911" i="47"/>
  <c r="D910" i="47"/>
  <c r="A910" i="47"/>
  <c r="D909" i="47"/>
  <c r="A909" i="47"/>
  <c r="D908" i="47"/>
  <c r="A908" i="47"/>
  <c r="D907" i="47"/>
  <c r="A907" i="47"/>
  <c r="D906" i="47"/>
  <c r="A906" i="47"/>
  <c r="D905" i="47"/>
  <c r="A905" i="47"/>
  <c r="D904" i="47"/>
  <c r="A904" i="47"/>
  <c r="D903" i="47"/>
  <c r="A903" i="47"/>
  <c r="D902" i="47"/>
  <c r="A902" i="47"/>
  <c r="D901" i="47"/>
  <c r="A901" i="47"/>
  <c r="D900" i="47"/>
  <c r="A900" i="47"/>
  <c r="D899" i="47"/>
  <c r="A899" i="47"/>
  <c r="D898" i="47"/>
  <c r="A898" i="47"/>
  <c r="D897" i="47"/>
  <c r="A897" i="47"/>
  <c r="D896" i="47"/>
  <c r="A896" i="47"/>
  <c r="D895" i="47"/>
  <c r="A895" i="47"/>
  <c r="D894" i="47"/>
  <c r="A894" i="47"/>
  <c r="D893" i="47"/>
  <c r="A893" i="47"/>
  <c r="D892" i="47"/>
  <c r="A892" i="47"/>
  <c r="D891" i="47"/>
  <c r="A891" i="47"/>
  <c r="D890" i="47"/>
  <c r="A890" i="47"/>
  <c r="D889" i="47"/>
  <c r="A889" i="47"/>
  <c r="D888" i="47"/>
  <c r="A888" i="47"/>
  <c r="D887" i="47"/>
  <c r="A887" i="47"/>
  <c r="D886" i="47"/>
  <c r="A886" i="47"/>
  <c r="D885" i="47"/>
  <c r="A885" i="47"/>
  <c r="D884" i="47"/>
  <c r="A884" i="47"/>
  <c r="D883" i="47"/>
  <c r="A883" i="47"/>
  <c r="D882" i="47"/>
  <c r="A882" i="47"/>
  <c r="D881" i="47"/>
  <c r="A881" i="47"/>
  <c r="D880" i="47"/>
  <c r="A880" i="47"/>
  <c r="D879" i="47"/>
  <c r="A879" i="47"/>
  <c r="D878" i="47"/>
  <c r="A878" i="47"/>
  <c r="D877" i="47"/>
  <c r="A877" i="47"/>
  <c r="D876" i="47"/>
  <c r="A876" i="47"/>
  <c r="D875" i="47"/>
  <c r="A875" i="47"/>
  <c r="D874" i="47"/>
  <c r="A874" i="47"/>
  <c r="D873" i="47"/>
  <c r="A873" i="47"/>
  <c r="D872" i="47"/>
  <c r="A872" i="47"/>
  <c r="D871" i="47"/>
  <c r="A871" i="47"/>
  <c r="D870" i="47"/>
  <c r="A870" i="47"/>
  <c r="D869" i="47"/>
  <c r="A869" i="47"/>
  <c r="D868" i="47"/>
  <c r="A868" i="47"/>
  <c r="D867" i="47"/>
  <c r="A867" i="47"/>
  <c r="D866" i="47"/>
  <c r="A866" i="47"/>
  <c r="D865" i="47"/>
  <c r="A865" i="47"/>
  <c r="D864" i="47"/>
  <c r="A864" i="47"/>
  <c r="D863" i="47"/>
  <c r="A863" i="47"/>
  <c r="D862" i="47"/>
  <c r="A862" i="47"/>
  <c r="D861" i="47"/>
  <c r="A861" i="47"/>
  <c r="D860" i="47"/>
  <c r="A860" i="47"/>
  <c r="D859" i="47"/>
  <c r="A859" i="47"/>
  <c r="D858" i="47"/>
  <c r="A858" i="47"/>
  <c r="D857" i="47"/>
  <c r="A857" i="47"/>
  <c r="D856" i="47"/>
  <c r="A856" i="47"/>
  <c r="D855" i="47"/>
  <c r="A855" i="47"/>
  <c r="D854" i="47"/>
  <c r="A854" i="47"/>
  <c r="D853" i="47"/>
  <c r="A853" i="47"/>
  <c r="D852" i="47"/>
  <c r="A852" i="47"/>
  <c r="D851" i="47"/>
  <c r="A851" i="47"/>
  <c r="D850" i="47"/>
  <c r="A850" i="47"/>
  <c r="D849" i="47"/>
  <c r="A849" i="47"/>
  <c r="D848" i="47"/>
  <c r="A848" i="47"/>
  <c r="D847" i="47"/>
  <c r="A847" i="47"/>
  <c r="D846" i="47"/>
  <c r="A846" i="47"/>
  <c r="D845" i="47"/>
  <c r="A845" i="47"/>
  <c r="D844" i="47"/>
  <c r="A844" i="47"/>
  <c r="D843" i="47"/>
  <c r="A843" i="47"/>
  <c r="D842" i="47"/>
  <c r="A842" i="47"/>
  <c r="D841" i="47"/>
  <c r="A841" i="47"/>
  <c r="D840" i="47"/>
  <c r="A840" i="47"/>
  <c r="D839" i="47"/>
  <c r="A839" i="47"/>
  <c r="D838" i="47"/>
  <c r="A838" i="47"/>
  <c r="D837" i="47"/>
  <c r="A837" i="47"/>
  <c r="D836" i="47"/>
  <c r="A836" i="47"/>
  <c r="D835" i="47"/>
  <c r="A835" i="47"/>
  <c r="D834" i="47"/>
  <c r="A834" i="47"/>
  <c r="D833" i="47"/>
  <c r="A833" i="47"/>
  <c r="D832" i="47"/>
  <c r="A832" i="47"/>
  <c r="D831" i="47"/>
  <c r="A831" i="47"/>
  <c r="D830" i="47"/>
  <c r="A830" i="47"/>
  <c r="D829" i="47"/>
  <c r="A829" i="47"/>
  <c r="D828" i="47"/>
  <c r="A828" i="47"/>
  <c r="D827" i="47"/>
  <c r="A827" i="47"/>
  <c r="D826" i="47"/>
  <c r="A826" i="47"/>
  <c r="D825" i="47"/>
  <c r="A825" i="47"/>
  <c r="D824" i="47"/>
  <c r="A824" i="47"/>
  <c r="D823" i="47"/>
  <c r="A823" i="47"/>
  <c r="D822" i="47"/>
  <c r="A822" i="47"/>
  <c r="D821" i="47"/>
  <c r="A821" i="47"/>
  <c r="D820" i="47"/>
  <c r="A820" i="47"/>
  <c r="D819" i="47"/>
  <c r="A819" i="47"/>
  <c r="D818" i="47"/>
  <c r="A818" i="47"/>
  <c r="D817" i="47"/>
  <c r="A817" i="47"/>
  <c r="D816" i="47"/>
  <c r="A816" i="47"/>
  <c r="D815" i="47"/>
  <c r="A815" i="47"/>
  <c r="D814" i="47"/>
  <c r="A814" i="47"/>
  <c r="D813" i="47"/>
  <c r="A813" i="47"/>
  <c r="D812" i="47"/>
  <c r="A812" i="47"/>
  <c r="D811" i="47"/>
  <c r="A811" i="47"/>
  <c r="D810" i="47"/>
  <c r="A810" i="47"/>
  <c r="D809" i="47"/>
  <c r="A809" i="47"/>
  <c r="D808" i="47"/>
  <c r="A808" i="47"/>
  <c r="D807" i="47"/>
  <c r="A807" i="47"/>
  <c r="D806" i="47"/>
  <c r="A806" i="47"/>
  <c r="D805" i="47"/>
  <c r="A805" i="47"/>
  <c r="D804" i="47"/>
  <c r="A804" i="47"/>
  <c r="D803" i="47"/>
  <c r="A803" i="47"/>
  <c r="D802" i="47"/>
  <c r="A802" i="47"/>
  <c r="D801" i="47"/>
  <c r="A801" i="47"/>
  <c r="D800" i="47"/>
  <c r="A800" i="47"/>
  <c r="D799" i="47"/>
  <c r="A799" i="47"/>
  <c r="D798" i="47"/>
  <c r="A798" i="47"/>
  <c r="D797" i="47"/>
  <c r="A797" i="47"/>
  <c r="D796" i="47"/>
  <c r="A796" i="47"/>
  <c r="D795" i="47"/>
  <c r="A795" i="47"/>
  <c r="D794" i="47"/>
  <c r="A794" i="47"/>
  <c r="D793" i="47"/>
  <c r="A793" i="47"/>
  <c r="D792" i="47"/>
  <c r="A792" i="47"/>
  <c r="D791" i="47"/>
  <c r="A791" i="47"/>
  <c r="D790" i="47"/>
  <c r="A790" i="47"/>
  <c r="D789" i="47"/>
  <c r="A789" i="47"/>
  <c r="D788" i="47"/>
  <c r="A788" i="47"/>
  <c r="D787" i="47"/>
  <c r="A787" i="47"/>
  <c r="D786" i="47"/>
  <c r="A786" i="47"/>
  <c r="D785" i="47"/>
  <c r="A785" i="47"/>
  <c r="D784" i="47"/>
  <c r="A784" i="47"/>
  <c r="D783" i="47"/>
  <c r="A783" i="47"/>
  <c r="D782" i="47"/>
  <c r="A782" i="47"/>
  <c r="D781" i="47"/>
  <c r="A781" i="47"/>
  <c r="D780" i="47"/>
  <c r="A780" i="47"/>
  <c r="D779" i="47"/>
  <c r="A779" i="47"/>
  <c r="D778" i="47"/>
  <c r="A778" i="47"/>
  <c r="D777" i="47"/>
  <c r="A777" i="47"/>
  <c r="D776" i="47"/>
  <c r="A776" i="47"/>
  <c r="D775" i="47"/>
  <c r="A775" i="47"/>
  <c r="D774" i="47"/>
  <c r="A774" i="47"/>
  <c r="D773" i="47"/>
  <c r="A773" i="47"/>
  <c r="D772" i="47"/>
  <c r="A772" i="47"/>
  <c r="D771" i="47"/>
  <c r="A771" i="47"/>
  <c r="D770" i="47"/>
  <c r="A770" i="47"/>
  <c r="D769" i="47"/>
  <c r="A769" i="47"/>
  <c r="D768" i="47"/>
  <c r="A768" i="47"/>
  <c r="D767" i="47"/>
  <c r="A767" i="47"/>
  <c r="D766" i="47"/>
  <c r="A766" i="47"/>
  <c r="D765" i="47"/>
  <c r="A765" i="47"/>
  <c r="D764" i="47"/>
  <c r="A764" i="47"/>
  <c r="D763" i="47"/>
  <c r="A763" i="47"/>
  <c r="D762" i="47"/>
  <c r="A762" i="47"/>
  <c r="D761" i="47"/>
  <c r="A761" i="47"/>
  <c r="D760" i="47"/>
  <c r="A760" i="47"/>
  <c r="D759" i="47"/>
  <c r="A759" i="47"/>
  <c r="D758" i="47"/>
  <c r="A758" i="47"/>
  <c r="D757" i="47"/>
  <c r="A757" i="47"/>
  <c r="D756" i="47"/>
  <c r="A756" i="47"/>
  <c r="D755" i="47"/>
  <c r="A755" i="47"/>
  <c r="D754" i="47"/>
  <c r="A754" i="47"/>
  <c r="D753" i="47"/>
  <c r="A753" i="47"/>
  <c r="D752" i="47"/>
  <c r="A752" i="47"/>
  <c r="D751" i="47"/>
  <c r="A751" i="47"/>
  <c r="D750" i="47"/>
  <c r="A750" i="47"/>
  <c r="D749" i="47"/>
  <c r="A749" i="47"/>
  <c r="D748" i="47"/>
  <c r="A748" i="47"/>
  <c r="D747" i="47"/>
  <c r="A747" i="47"/>
  <c r="D746" i="47"/>
  <c r="A746" i="47"/>
  <c r="D745" i="47"/>
  <c r="A745" i="47"/>
  <c r="D744" i="47"/>
  <c r="A744" i="47"/>
  <c r="D743" i="47"/>
  <c r="A743" i="47"/>
  <c r="D742" i="47"/>
  <c r="A742" i="47"/>
  <c r="D741" i="47"/>
  <c r="A741" i="47"/>
  <c r="D740" i="47"/>
  <c r="A740" i="47"/>
  <c r="D739" i="47"/>
  <c r="A739" i="47"/>
  <c r="D738" i="47"/>
  <c r="A738" i="47"/>
  <c r="D737" i="47"/>
  <c r="A737" i="47"/>
  <c r="D736" i="47"/>
  <c r="A736" i="47"/>
  <c r="D735" i="47"/>
  <c r="A735" i="47"/>
  <c r="D734" i="47"/>
  <c r="A734" i="47"/>
  <c r="D733" i="47"/>
  <c r="A733" i="47"/>
  <c r="D732" i="47"/>
  <c r="A732" i="47"/>
  <c r="D731" i="47"/>
  <c r="A731" i="47"/>
  <c r="D730" i="47"/>
  <c r="A730" i="47"/>
  <c r="D729" i="47"/>
  <c r="A729" i="47"/>
  <c r="D728" i="47"/>
  <c r="A728" i="47"/>
  <c r="D727" i="47"/>
  <c r="A727" i="47"/>
  <c r="D726" i="47"/>
  <c r="A726" i="47"/>
  <c r="D725" i="47"/>
  <c r="A725" i="47"/>
  <c r="D724" i="47"/>
  <c r="A724" i="47"/>
  <c r="D723" i="47"/>
  <c r="A723" i="47"/>
  <c r="D722" i="47"/>
  <c r="A722" i="47"/>
  <c r="D721" i="47"/>
  <c r="A721" i="47"/>
  <c r="D720" i="47"/>
  <c r="A720" i="47"/>
  <c r="D719" i="47"/>
  <c r="A719" i="47"/>
  <c r="D718" i="47"/>
  <c r="A718" i="47"/>
  <c r="D717" i="47"/>
  <c r="A717" i="47"/>
  <c r="D716" i="47"/>
  <c r="A716" i="47"/>
  <c r="D715" i="47"/>
  <c r="A715" i="47"/>
  <c r="D714" i="47"/>
  <c r="A714" i="47"/>
  <c r="D713" i="47"/>
  <c r="A713" i="47"/>
  <c r="D712" i="47"/>
  <c r="A712" i="47"/>
  <c r="D711" i="47"/>
  <c r="A711" i="47"/>
  <c r="D710" i="47"/>
  <c r="A710" i="47"/>
  <c r="D709" i="47"/>
  <c r="A709" i="47"/>
  <c r="D708" i="47"/>
  <c r="A708" i="47"/>
  <c r="D707" i="47"/>
  <c r="A707" i="47"/>
  <c r="D706" i="47"/>
  <c r="A706" i="47"/>
  <c r="D705" i="47"/>
  <c r="A705" i="47"/>
  <c r="D704" i="47"/>
  <c r="A704" i="47"/>
  <c r="D703" i="47"/>
  <c r="A703" i="47"/>
  <c r="D702" i="47"/>
  <c r="A702" i="47"/>
  <c r="D701" i="47"/>
  <c r="A701" i="47"/>
  <c r="D700" i="47"/>
  <c r="A700" i="47"/>
  <c r="D699" i="47"/>
  <c r="A699" i="47"/>
  <c r="D698" i="47"/>
  <c r="A698" i="47"/>
  <c r="D697" i="47"/>
  <c r="A697" i="47"/>
  <c r="D696" i="47"/>
  <c r="A696" i="47"/>
  <c r="D695" i="47"/>
  <c r="A695" i="47"/>
  <c r="D694" i="47"/>
  <c r="A694" i="47"/>
  <c r="D693" i="47"/>
  <c r="A693" i="47"/>
  <c r="D692" i="47"/>
  <c r="A692" i="47"/>
  <c r="D691" i="47"/>
  <c r="A691" i="47"/>
  <c r="D690" i="47"/>
  <c r="A690" i="47"/>
  <c r="D689" i="47"/>
  <c r="A689" i="47"/>
  <c r="D688" i="47"/>
  <c r="A688" i="47"/>
  <c r="D687" i="47"/>
  <c r="A687" i="47"/>
  <c r="D686" i="47"/>
  <c r="A686" i="47"/>
  <c r="D685" i="47"/>
  <c r="A685" i="47"/>
  <c r="D684" i="47"/>
  <c r="A684" i="47"/>
  <c r="D683" i="47"/>
  <c r="A683" i="47"/>
  <c r="D682" i="47"/>
  <c r="A682" i="47"/>
  <c r="D681" i="47"/>
  <c r="A681" i="47"/>
  <c r="D680" i="47"/>
  <c r="A680" i="47"/>
  <c r="D679" i="47"/>
  <c r="A679" i="47"/>
  <c r="D678" i="47"/>
  <c r="A678" i="47"/>
  <c r="D677" i="47"/>
  <c r="A677" i="47"/>
  <c r="D676" i="47"/>
  <c r="A676" i="47"/>
  <c r="D675" i="47"/>
  <c r="A675" i="47"/>
  <c r="D674" i="47"/>
  <c r="A674" i="47"/>
  <c r="D673" i="47"/>
  <c r="A673" i="47"/>
  <c r="D672" i="47"/>
  <c r="A672" i="47"/>
  <c r="D671" i="47"/>
  <c r="A671" i="47"/>
  <c r="D670" i="47"/>
  <c r="A670" i="47"/>
  <c r="D669" i="47"/>
  <c r="A669" i="47"/>
  <c r="D668" i="47"/>
  <c r="A668" i="47"/>
  <c r="D667" i="47"/>
  <c r="A667" i="47"/>
  <c r="D666" i="47"/>
  <c r="A666" i="47"/>
  <c r="D665" i="47"/>
  <c r="A665" i="47"/>
  <c r="D664" i="47"/>
  <c r="A664" i="47"/>
  <c r="D663" i="47"/>
  <c r="A663" i="47"/>
  <c r="D662" i="47"/>
  <c r="A662" i="47"/>
  <c r="D661" i="47"/>
  <c r="A661" i="47"/>
  <c r="D660" i="47"/>
  <c r="A660" i="47"/>
  <c r="D659" i="47"/>
  <c r="A659" i="47"/>
  <c r="D658" i="47"/>
  <c r="A658" i="47"/>
  <c r="D657" i="47"/>
  <c r="A657" i="47"/>
  <c r="D656" i="47"/>
  <c r="A656" i="47"/>
  <c r="D655" i="47"/>
  <c r="A655" i="47"/>
  <c r="D654" i="47"/>
  <c r="A654" i="47"/>
  <c r="D653" i="47"/>
  <c r="A653" i="47"/>
  <c r="D652" i="47"/>
  <c r="A652" i="47"/>
  <c r="D651" i="47"/>
  <c r="A651" i="47"/>
  <c r="D650" i="47"/>
  <c r="A650" i="47"/>
  <c r="D649" i="47"/>
  <c r="A649" i="47"/>
  <c r="D648" i="47"/>
  <c r="A648" i="47"/>
  <c r="D647" i="47"/>
  <c r="A647" i="47"/>
  <c r="D646" i="47"/>
  <c r="A646" i="47"/>
  <c r="D645" i="47"/>
  <c r="A645" i="47"/>
  <c r="D644" i="47"/>
  <c r="A644" i="47"/>
  <c r="D643" i="47"/>
  <c r="A643" i="47"/>
  <c r="D642" i="47"/>
  <c r="A642" i="47"/>
  <c r="D641" i="47"/>
  <c r="A641" i="47"/>
  <c r="D640" i="47"/>
  <c r="A640" i="47"/>
  <c r="D639" i="47"/>
  <c r="A639" i="47"/>
  <c r="D638" i="47"/>
  <c r="A638" i="47"/>
  <c r="D637" i="47"/>
  <c r="A637" i="47"/>
  <c r="D636" i="47"/>
  <c r="A636" i="47"/>
  <c r="D635" i="47"/>
  <c r="A635" i="47"/>
  <c r="D634" i="47"/>
  <c r="A634" i="47"/>
  <c r="D633" i="47"/>
  <c r="A633" i="47"/>
  <c r="D632" i="47"/>
  <c r="A632" i="47"/>
  <c r="D631" i="47"/>
  <c r="A631" i="47"/>
  <c r="D630" i="47"/>
  <c r="A630" i="47"/>
  <c r="D629" i="47"/>
  <c r="A629" i="47"/>
  <c r="D628" i="47"/>
  <c r="A628" i="47"/>
  <c r="D627" i="47"/>
  <c r="A627" i="47"/>
  <c r="D626" i="47"/>
  <c r="A626" i="47"/>
  <c r="D625" i="47"/>
  <c r="A625" i="47"/>
  <c r="D624" i="47"/>
  <c r="A624" i="47"/>
  <c r="D623" i="47"/>
  <c r="A623" i="47"/>
  <c r="D622" i="47"/>
  <c r="A622" i="47"/>
  <c r="D621" i="47"/>
  <c r="A621" i="47"/>
  <c r="D620" i="47"/>
  <c r="A620" i="47"/>
  <c r="D619" i="47"/>
  <c r="A619" i="47"/>
  <c r="D618" i="47"/>
  <c r="A618" i="47"/>
  <c r="D617" i="47"/>
  <c r="A617" i="47"/>
  <c r="D616" i="47"/>
  <c r="A616" i="47"/>
  <c r="D615" i="47"/>
  <c r="A615" i="47"/>
  <c r="D614" i="47"/>
  <c r="A614" i="47"/>
  <c r="D613" i="47"/>
  <c r="A613" i="47"/>
  <c r="D612" i="47"/>
  <c r="A612" i="47"/>
  <c r="D611" i="47"/>
  <c r="A611" i="47"/>
  <c r="D610" i="47"/>
  <c r="A610" i="47"/>
  <c r="D609" i="47"/>
  <c r="A609" i="47"/>
  <c r="D608" i="47"/>
  <c r="A608" i="47"/>
  <c r="D607" i="47"/>
  <c r="A607" i="47"/>
  <c r="D606" i="47"/>
  <c r="A606" i="47"/>
  <c r="D605" i="47"/>
  <c r="A605" i="47"/>
  <c r="D604" i="47"/>
  <c r="A604" i="47"/>
  <c r="D603" i="47"/>
  <c r="A603" i="47"/>
  <c r="D602" i="47"/>
  <c r="A602" i="47"/>
  <c r="D601" i="47"/>
  <c r="A601" i="47"/>
  <c r="D600" i="47"/>
  <c r="A600" i="47"/>
  <c r="D599" i="47"/>
  <c r="A599" i="47"/>
  <c r="D598" i="47"/>
  <c r="A598" i="47"/>
  <c r="D597" i="47"/>
  <c r="A597" i="47"/>
  <c r="D596" i="47"/>
  <c r="A596" i="47"/>
  <c r="D595" i="47"/>
  <c r="A595" i="47"/>
  <c r="D594" i="47"/>
  <c r="A594" i="47"/>
  <c r="D593" i="47"/>
  <c r="A593" i="47"/>
  <c r="D592" i="47"/>
  <c r="A592" i="47"/>
  <c r="D591" i="47"/>
  <c r="A591" i="47"/>
  <c r="D590" i="47"/>
  <c r="A590" i="47"/>
  <c r="D589" i="47"/>
  <c r="A589" i="47"/>
  <c r="D588" i="47"/>
  <c r="A588" i="47"/>
  <c r="D587" i="47"/>
  <c r="A587" i="47"/>
  <c r="D586" i="47"/>
  <c r="A586" i="47"/>
  <c r="D585" i="47"/>
  <c r="A585" i="47"/>
  <c r="D584" i="47"/>
  <c r="A584" i="47"/>
  <c r="D583" i="47"/>
  <c r="A583" i="47"/>
  <c r="D582" i="47"/>
  <c r="A582" i="47"/>
  <c r="D581" i="47"/>
  <c r="A581" i="47"/>
  <c r="D580" i="47"/>
  <c r="A580" i="47"/>
  <c r="D579" i="47"/>
  <c r="A579" i="47"/>
  <c r="D578" i="47"/>
  <c r="A578" i="47"/>
  <c r="D577" i="47"/>
  <c r="A577" i="47"/>
  <c r="D576" i="47"/>
  <c r="A576" i="47"/>
  <c r="D575" i="47"/>
  <c r="A575" i="47"/>
  <c r="D574" i="47"/>
  <c r="A574" i="47"/>
  <c r="D573" i="47"/>
  <c r="A573" i="47"/>
  <c r="D572" i="47"/>
  <c r="A572" i="47"/>
  <c r="D571" i="47"/>
  <c r="A571" i="47"/>
  <c r="D570" i="47"/>
  <c r="A570" i="47"/>
  <c r="D569" i="47"/>
  <c r="A569" i="47"/>
  <c r="D568" i="47"/>
  <c r="A568" i="47"/>
  <c r="D567" i="47"/>
  <c r="A567" i="47"/>
  <c r="D566" i="47"/>
  <c r="A566" i="47"/>
  <c r="D565" i="47"/>
  <c r="A565" i="47"/>
  <c r="D564" i="47"/>
  <c r="A564" i="47"/>
  <c r="D563" i="47"/>
  <c r="A563" i="47"/>
  <c r="D562" i="47"/>
  <c r="A562" i="47"/>
  <c r="D561" i="47"/>
  <c r="A561" i="47"/>
  <c r="D560" i="47"/>
  <c r="A560" i="47"/>
  <c r="D559" i="47"/>
  <c r="A559" i="47"/>
  <c r="D558" i="47"/>
  <c r="A558" i="47"/>
  <c r="D557" i="47"/>
  <c r="A557" i="47"/>
  <c r="D556" i="47"/>
  <c r="A556" i="47"/>
  <c r="D555" i="47"/>
  <c r="A555" i="47"/>
  <c r="D554" i="47"/>
  <c r="A554" i="47"/>
  <c r="D553" i="47"/>
  <c r="A553" i="47"/>
  <c r="D552" i="47"/>
  <c r="A552" i="47"/>
  <c r="D551" i="47"/>
  <c r="A551" i="47"/>
  <c r="D550" i="47"/>
  <c r="A550" i="47"/>
  <c r="D549" i="47"/>
  <c r="A549" i="47"/>
  <c r="D548" i="47"/>
  <c r="A548" i="47"/>
  <c r="D547" i="47"/>
  <c r="A547" i="47"/>
  <c r="D546" i="47"/>
  <c r="A546" i="47"/>
  <c r="D545" i="47"/>
  <c r="A545" i="47"/>
  <c r="D544" i="47"/>
  <c r="A544" i="47"/>
  <c r="D543" i="47"/>
  <c r="A543" i="47"/>
  <c r="D542" i="47"/>
  <c r="A542" i="47"/>
  <c r="D541" i="47"/>
  <c r="A541" i="47"/>
  <c r="D540" i="47"/>
  <c r="A540" i="47"/>
  <c r="D539" i="47"/>
  <c r="A539" i="47"/>
  <c r="D538" i="47"/>
  <c r="A538" i="47"/>
  <c r="D537" i="47"/>
  <c r="A537" i="47"/>
  <c r="D536" i="47"/>
  <c r="A536" i="47"/>
  <c r="D535" i="47"/>
  <c r="A535" i="47"/>
  <c r="D534" i="47"/>
  <c r="A534" i="47"/>
  <c r="D533" i="47"/>
  <c r="A533" i="47"/>
  <c r="D532" i="47"/>
  <c r="A532" i="47"/>
  <c r="D531" i="47"/>
  <c r="A531" i="47"/>
  <c r="D530" i="47"/>
  <c r="A530" i="47"/>
  <c r="D529" i="47"/>
  <c r="A529" i="47"/>
  <c r="D528" i="47"/>
  <c r="A528" i="47"/>
  <c r="D527" i="47"/>
  <c r="A527" i="47"/>
  <c r="D526" i="47"/>
  <c r="A526" i="47"/>
  <c r="D525" i="47"/>
  <c r="A525" i="47"/>
  <c r="D524" i="47"/>
  <c r="A524" i="47"/>
  <c r="D523" i="47"/>
  <c r="A523" i="47"/>
  <c r="D522" i="47"/>
  <c r="A522" i="47"/>
  <c r="D521" i="47"/>
  <c r="A521" i="47"/>
  <c r="D520" i="47"/>
  <c r="A520" i="47"/>
  <c r="D519" i="47"/>
  <c r="A519" i="47"/>
  <c r="D518" i="47"/>
  <c r="A518" i="47"/>
  <c r="D517" i="47"/>
  <c r="A517" i="47"/>
  <c r="D516" i="47"/>
  <c r="A516" i="47"/>
  <c r="D515" i="47"/>
  <c r="A515" i="47"/>
  <c r="D514" i="47"/>
  <c r="A514" i="47"/>
  <c r="D513" i="47"/>
  <c r="A513" i="47"/>
  <c r="D512" i="47"/>
  <c r="A512" i="47"/>
  <c r="D511" i="47"/>
  <c r="A511" i="47"/>
  <c r="D510" i="47"/>
  <c r="A510" i="47"/>
  <c r="D509" i="47"/>
  <c r="A509" i="47"/>
  <c r="D508" i="47"/>
  <c r="A508" i="47"/>
  <c r="D507" i="47"/>
  <c r="A507" i="47"/>
  <c r="D506" i="47"/>
  <c r="A506" i="47"/>
  <c r="D505" i="47"/>
  <c r="A505" i="47"/>
  <c r="D504" i="47"/>
  <c r="A504" i="47"/>
  <c r="D503" i="47"/>
  <c r="A503" i="47"/>
  <c r="D502" i="47"/>
  <c r="A502" i="47"/>
  <c r="D501" i="47"/>
  <c r="A501" i="47"/>
  <c r="D500" i="47"/>
  <c r="A500" i="47"/>
  <c r="D499" i="47"/>
  <c r="A499" i="47"/>
  <c r="D498" i="47"/>
  <c r="A498" i="47"/>
  <c r="D497" i="47"/>
  <c r="A497" i="47"/>
  <c r="D496" i="47"/>
  <c r="A496" i="47"/>
  <c r="D495" i="47"/>
  <c r="A495" i="47"/>
  <c r="D494" i="47"/>
  <c r="A494" i="47"/>
  <c r="D493" i="47"/>
  <c r="A493" i="47"/>
  <c r="D492" i="47"/>
  <c r="A492" i="47"/>
  <c r="D491" i="47"/>
  <c r="A491" i="47"/>
  <c r="D490" i="47"/>
  <c r="A490" i="47"/>
  <c r="D489" i="47"/>
  <c r="A489" i="47"/>
  <c r="D488" i="47"/>
  <c r="A488" i="47"/>
  <c r="D487" i="47"/>
  <c r="A487" i="47"/>
  <c r="D486" i="47"/>
  <c r="A486" i="47"/>
  <c r="D485" i="47"/>
  <c r="A485" i="47"/>
  <c r="D484" i="47"/>
  <c r="A484" i="47"/>
  <c r="D483" i="47"/>
  <c r="A483" i="47"/>
  <c r="D482" i="47"/>
  <c r="A482" i="47"/>
  <c r="D481" i="47"/>
  <c r="A481" i="47"/>
  <c r="D480" i="47"/>
  <c r="A480" i="47"/>
  <c r="D479" i="47"/>
  <c r="A479" i="47"/>
  <c r="D478" i="47"/>
  <c r="A478" i="47"/>
  <c r="D477" i="47"/>
  <c r="A477" i="47"/>
  <c r="D476" i="47"/>
  <c r="A476" i="47"/>
  <c r="D475" i="47"/>
  <c r="A475" i="47"/>
  <c r="D474" i="47"/>
  <c r="A474" i="47"/>
  <c r="D473" i="47"/>
  <c r="A473" i="47"/>
  <c r="D472" i="47"/>
  <c r="A472" i="47"/>
  <c r="D471" i="47"/>
  <c r="A471" i="47"/>
  <c r="D470" i="47"/>
  <c r="A470" i="47"/>
  <c r="D469" i="47"/>
  <c r="A469" i="47"/>
  <c r="D468" i="47"/>
  <c r="A468" i="47"/>
  <c r="D467" i="47"/>
  <c r="A467" i="47"/>
  <c r="D466" i="47"/>
  <c r="A466" i="47"/>
  <c r="D465" i="47"/>
  <c r="A465" i="47"/>
  <c r="D464" i="47"/>
  <c r="A464" i="47"/>
  <c r="D463" i="47"/>
  <c r="A463" i="47"/>
  <c r="D462" i="47"/>
  <c r="A462" i="47"/>
  <c r="D461" i="47"/>
  <c r="A461" i="47"/>
  <c r="D460" i="47"/>
  <c r="A460" i="47"/>
  <c r="D459" i="47"/>
  <c r="A459" i="47"/>
  <c r="D458" i="47"/>
  <c r="A458" i="47"/>
  <c r="D457" i="47"/>
  <c r="A457" i="47"/>
  <c r="D456" i="47"/>
  <c r="A456" i="47"/>
  <c r="D455" i="47"/>
  <c r="A455" i="47"/>
  <c r="D454" i="47"/>
  <c r="A454" i="47"/>
  <c r="D453" i="47"/>
  <c r="A453" i="47"/>
  <c r="D452" i="47"/>
  <c r="A452" i="47"/>
  <c r="D451" i="47"/>
  <c r="A451" i="47"/>
  <c r="D450" i="47"/>
  <c r="A450" i="47"/>
  <c r="D449" i="47"/>
  <c r="A449" i="47"/>
  <c r="D448" i="47"/>
  <c r="A448" i="47"/>
  <c r="D447" i="47"/>
  <c r="A447" i="47"/>
  <c r="D446" i="47"/>
  <c r="A446" i="47"/>
  <c r="D445" i="47"/>
  <c r="A445" i="47"/>
  <c r="D444" i="47"/>
  <c r="A444" i="47"/>
  <c r="D443" i="47"/>
  <c r="A443" i="47"/>
  <c r="D442" i="47"/>
  <c r="A442" i="47"/>
  <c r="D441" i="47"/>
  <c r="A441" i="47"/>
  <c r="D440" i="47"/>
  <c r="A440" i="47"/>
  <c r="D439" i="47"/>
  <c r="A439" i="47"/>
  <c r="D438" i="47"/>
  <c r="A438" i="47"/>
  <c r="D437" i="47"/>
  <c r="A437" i="47"/>
  <c r="D436" i="47"/>
  <c r="A436" i="47"/>
  <c r="D435" i="47"/>
  <c r="A435" i="47"/>
  <c r="D434" i="47"/>
  <c r="A434" i="47"/>
  <c r="D433" i="47"/>
  <c r="A433" i="47"/>
  <c r="D432" i="47"/>
  <c r="A432" i="47"/>
  <c r="D431" i="47"/>
  <c r="A431" i="47"/>
  <c r="D430" i="47"/>
  <c r="A430" i="47"/>
  <c r="D429" i="47"/>
  <c r="A429" i="47"/>
  <c r="D428" i="47"/>
  <c r="A428" i="47"/>
  <c r="D427" i="47"/>
  <c r="A427" i="47"/>
  <c r="D426" i="47"/>
  <c r="A426" i="47"/>
  <c r="D425" i="47"/>
  <c r="A425" i="47"/>
  <c r="D424" i="47"/>
  <c r="A424" i="47"/>
  <c r="D423" i="47"/>
  <c r="A423" i="47"/>
  <c r="D422" i="47"/>
  <c r="A422" i="47"/>
  <c r="D421" i="47"/>
  <c r="A421" i="47"/>
  <c r="D420" i="47"/>
  <c r="A420" i="47"/>
  <c r="D419" i="47"/>
  <c r="A419" i="47"/>
  <c r="D418" i="47"/>
  <c r="A418" i="47"/>
  <c r="D417" i="47"/>
  <c r="A417" i="47"/>
  <c r="D416" i="47"/>
  <c r="A416" i="47"/>
  <c r="D415" i="47"/>
  <c r="A415" i="47"/>
  <c r="D414" i="47"/>
  <c r="A414" i="47"/>
  <c r="D413" i="47"/>
  <c r="A413" i="47"/>
  <c r="D412" i="47"/>
  <c r="A412" i="47"/>
  <c r="D411" i="47"/>
  <c r="A411" i="47"/>
  <c r="D410" i="47"/>
  <c r="A410" i="47"/>
  <c r="D409" i="47"/>
  <c r="A409" i="47"/>
  <c r="D408" i="47"/>
  <c r="A408" i="47"/>
  <c r="D407" i="47"/>
  <c r="A407" i="47"/>
  <c r="D406" i="47"/>
  <c r="A406" i="47"/>
  <c r="D405" i="47"/>
  <c r="A405" i="47"/>
  <c r="D404" i="47"/>
  <c r="A404" i="47"/>
  <c r="D403" i="47"/>
  <c r="A403" i="47"/>
  <c r="D402" i="47"/>
  <c r="A402" i="47"/>
  <c r="D401" i="47"/>
  <c r="A401" i="47"/>
  <c r="D400" i="47"/>
  <c r="A400" i="47"/>
  <c r="D399" i="47"/>
  <c r="A399" i="47"/>
  <c r="D398" i="47"/>
  <c r="A398" i="47"/>
  <c r="D397" i="47"/>
  <c r="A397" i="47"/>
  <c r="D396" i="47"/>
  <c r="A396" i="47"/>
  <c r="D395" i="47"/>
  <c r="A395" i="47"/>
  <c r="D394" i="47"/>
  <c r="A394" i="47"/>
  <c r="D393" i="47"/>
  <c r="A393" i="47"/>
  <c r="D392" i="47"/>
  <c r="A392" i="47"/>
  <c r="D391" i="47"/>
  <c r="A391" i="47"/>
  <c r="D390" i="47"/>
  <c r="A390" i="47"/>
  <c r="D389" i="47"/>
  <c r="A389" i="47"/>
  <c r="D388" i="47"/>
  <c r="A388" i="47"/>
  <c r="D387" i="47"/>
  <c r="A387" i="47"/>
  <c r="D386" i="47"/>
  <c r="A386" i="47"/>
  <c r="D385" i="47"/>
  <c r="A385" i="47"/>
  <c r="D384" i="47"/>
  <c r="A384" i="47"/>
  <c r="D383" i="47"/>
  <c r="A383" i="47"/>
  <c r="D382" i="47"/>
  <c r="A382" i="47"/>
  <c r="D381" i="47"/>
  <c r="A381" i="47"/>
  <c r="D380" i="47"/>
  <c r="A380" i="47"/>
  <c r="D379" i="47"/>
  <c r="A379" i="47"/>
  <c r="D378" i="47"/>
  <c r="A378" i="47"/>
  <c r="D377" i="47"/>
  <c r="A377" i="47"/>
  <c r="D376" i="47"/>
  <c r="A376" i="47"/>
  <c r="D375" i="47"/>
  <c r="A375" i="47"/>
  <c r="D374" i="47"/>
  <c r="A374" i="47"/>
  <c r="D373" i="47"/>
  <c r="A373" i="47"/>
  <c r="D372" i="47"/>
  <c r="A372" i="47"/>
  <c r="D371" i="47"/>
  <c r="A371" i="47"/>
  <c r="D370" i="47"/>
  <c r="A370" i="47"/>
  <c r="D369" i="47"/>
  <c r="A369" i="47"/>
  <c r="D368" i="47"/>
  <c r="A368" i="47"/>
  <c r="D367" i="47"/>
  <c r="A367" i="47"/>
  <c r="D366" i="47"/>
  <c r="A366" i="47"/>
  <c r="D365" i="47"/>
  <c r="A365" i="47"/>
  <c r="D364" i="47"/>
  <c r="A364" i="47"/>
  <c r="D363" i="47"/>
  <c r="A363" i="47"/>
  <c r="D362" i="47"/>
  <c r="A362" i="47"/>
  <c r="D361" i="47"/>
  <c r="A361" i="47"/>
  <c r="D360" i="47"/>
  <c r="A360" i="47"/>
  <c r="D359" i="47"/>
  <c r="A359" i="47"/>
  <c r="D358" i="47"/>
  <c r="A358" i="47"/>
  <c r="D357" i="47"/>
  <c r="A357" i="47"/>
  <c r="D356" i="47"/>
  <c r="A356" i="47"/>
  <c r="D355" i="47"/>
  <c r="A355" i="47"/>
  <c r="D354" i="47"/>
  <c r="A354" i="47"/>
  <c r="D353" i="47"/>
  <c r="A353" i="47"/>
  <c r="D352" i="47"/>
  <c r="A352" i="47"/>
  <c r="D351" i="47"/>
  <c r="A351" i="47"/>
  <c r="D350" i="47"/>
  <c r="A350" i="47"/>
  <c r="D349" i="47"/>
  <c r="A349" i="47"/>
  <c r="D348" i="47"/>
  <c r="A348" i="47"/>
  <c r="D347" i="47"/>
  <c r="A347" i="47"/>
  <c r="D346" i="47"/>
  <c r="A346" i="47"/>
  <c r="D345" i="47"/>
  <c r="A345" i="47"/>
  <c r="D344" i="47"/>
  <c r="A344" i="47"/>
  <c r="D343" i="47"/>
  <c r="A343" i="47"/>
  <c r="D342" i="47"/>
  <c r="A342" i="47"/>
  <c r="D341" i="47"/>
  <c r="A341" i="47"/>
  <c r="D340" i="47"/>
  <c r="A340" i="47"/>
  <c r="D339" i="47"/>
  <c r="A339" i="47"/>
  <c r="D338" i="47"/>
  <c r="A338" i="47"/>
  <c r="D337" i="47"/>
  <c r="A337" i="47"/>
  <c r="D336" i="47"/>
  <c r="A336" i="47"/>
  <c r="D335" i="47"/>
  <c r="A335" i="47"/>
  <c r="D334" i="47"/>
  <c r="A334" i="47"/>
  <c r="D333" i="47"/>
  <c r="A333" i="47"/>
  <c r="D332" i="47"/>
  <c r="A332" i="47"/>
  <c r="D331" i="47"/>
  <c r="A331" i="47"/>
  <c r="D330" i="47"/>
  <c r="A330" i="47"/>
  <c r="D329" i="47"/>
  <c r="A329" i="47"/>
  <c r="D328" i="47"/>
  <c r="A328" i="47"/>
  <c r="D327" i="47"/>
  <c r="A327" i="47"/>
  <c r="D326" i="47"/>
  <c r="A326" i="47"/>
  <c r="D325" i="47"/>
  <c r="A325" i="47"/>
  <c r="D324" i="47"/>
  <c r="A324" i="47"/>
  <c r="D323" i="47"/>
  <c r="A323" i="47"/>
  <c r="D322" i="47"/>
  <c r="A322" i="47"/>
  <c r="D321" i="47"/>
  <c r="A321" i="47"/>
  <c r="D320" i="47"/>
  <c r="A320" i="47"/>
  <c r="D319" i="47"/>
  <c r="A319" i="47"/>
  <c r="D318" i="47"/>
  <c r="A318" i="47"/>
  <c r="D317" i="47"/>
  <c r="A317" i="47"/>
  <c r="D316" i="47"/>
  <c r="A316" i="47"/>
  <c r="D315" i="47"/>
  <c r="A315" i="47"/>
  <c r="D314" i="47"/>
  <c r="A314" i="47"/>
  <c r="D313" i="47"/>
  <c r="A313" i="47"/>
  <c r="D312" i="47"/>
  <c r="A312" i="47"/>
  <c r="D311" i="47"/>
  <c r="A311" i="47"/>
  <c r="D310" i="47"/>
  <c r="A310" i="47"/>
  <c r="D309" i="47"/>
  <c r="A309" i="47"/>
  <c r="D308" i="47"/>
  <c r="A308" i="47"/>
  <c r="D307" i="47"/>
  <c r="A307" i="47"/>
  <c r="D306" i="47"/>
  <c r="A306" i="47"/>
  <c r="D305" i="47"/>
  <c r="A305" i="47"/>
  <c r="D304" i="47"/>
  <c r="A304" i="47"/>
  <c r="D303" i="47"/>
  <c r="A303" i="47"/>
  <c r="D302" i="47"/>
  <c r="A302" i="47"/>
  <c r="D301" i="47"/>
  <c r="A301" i="47"/>
  <c r="D300" i="47"/>
  <c r="A300" i="47"/>
  <c r="D299" i="47"/>
  <c r="A299" i="47"/>
  <c r="D298" i="47"/>
  <c r="A298" i="47"/>
  <c r="D297" i="47"/>
  <c r="A297" i="47"/>
  <c r="D296" i="47"/>
  <c r="A296" i="47"/>
  <c r="D295" i="47"/>
  <c r="A295" i="47"/>
  <c r="D294" i="47"/>
  <c r="A294" i="47"/>
  <c r="D293" i="47"/>
  <c r="A293" i="47"/>
  <c r="D292" i="47"/>
  <c r="A292" i="47"/>
  <c r="D291" i="47"/>
  <c r="A291" i="47"/>
  <c r="D290" i="47"/>
  <c r="A290" i="47"/>
  <c r="D289" i="47"/>
  <c r="A289" i="47"/>
  <c r="D288" i="47"/>
  <c r="A288" i="47"/>
  <c r="D287" i="47"/>
  <c r="A287" i="47"/>
  <c r="D286" i="47"/>
  <c r="A286" i="47"/>
  <c r="D285" i="47"/>
  <c r="A285" i="47"/>
  <c r="D284" i="47"/>
  <c r="A284" i="47"/>
  <c r="D283" i="47"/>
  <c r="A283" i="47"/>
  <c r="D282" i="47"/>
  <c r="A282" i="47"/>
  <c r="D281" i="47"/>
  <c r="A281" i="47"/>
  <c r="D280" i="47"/>
  <c r="A280" i="47"/>
  <c r="D279" i="47"/>
  <c r="A279" i="47"/>
  <c r="D278" i="47"/>
  <c r="A278" i="47"/>
  <c r="D277" i="47"/>
  <c r="A277" i="47"/>
  <c r="D276" i="47"/>
  <c r="A276" i="47"/>
  <c r="D275" i="47"/>
  <c r="A275" i="47"/>
  <c r="D274" i="47"/>
  <c r="A274" i="47"/>
  <c r="D273" i="47"/>
  <c r="A273" i="47"/>
  <c r="D272" i="47"/>
  <c r="A272" i="47"/>
  <c r="D271" i="47"/>
  <c r="A271" i="47"/>
  <c r="D270" i="47"/>
  <c r="A270" i="47"/>
  <c r="D269" i="47"/>
  <c r="A269" i="47"/>
  <c r="D268" i="47"/>
  <c r="A268" i="47"/>
  <c r="D267" i="47"/>
  <c r="A267" i="47"/>
  <c r="D266" i="47"/>
  <c r="A266" i="47"/>
  <c r="D265" i="47"/>
  <c r="A265" i="47"/>
  <c r="D264" i="47"/>
  <c r="A264" i="47"/>
  <c r="D263" i="47"/>
  <c r="A263" i="47"/>
  <c r="D262" i="47"/>
  <c r="A262" i="47"/>
  <c r="D261" i="47"/>
  <c r="A261" i="47"/>
  <c r="D260" i="47"/>
  <c r="A260" i="47"/>
  <c r="D259" i="47"/>
  <c r="A259" i="47"/>
  <c r="D258" i="47"/>
  <c r="A258" i="47"/>
  <c r="D257" i="47"/>
  <c r="A257" i="47"/>
  <c r="D256" i="47"/>
  <c r="A256" i="47"/>
  <c r="D255" i="47"/>
  <c r="A255" i="47"/>
  <c r="D254" i="47"/>
  <c r="A254" i="47"/>
  <c r="D253" i="47"/>
  <c r="A253" i="47"/>
  <c r="D252" i="47"/>
  <c r="A252" i="47"/>
  <c r="D251" i="47"/>
  <c r="A251" i="47"/>
  <c r="D250" i="47"/>
  <c r="A250" i="47"/>
  <c r="D249" i="47"/>
  <c r="A249" i="47"/>
  <c r="D248" i="47"/>
  <c r="A248" i="47"/>
  <c r="D247" i="47"/>
  <c r="A247" i="47"/>
  <c r="D246" i="47"/>
  <c r="A246" i="47"/>
  <c r="D245" i="47"/>
  <c r="A245" i="47"/>
  <c r="D244" i="47"/>
  <c r="A244" i="47"/>
  <c r="D243" i="47"/>
  <c r="A243" i="47"/>
  <c r="D242" i="47"/>
  <c r="A242" i="47"/>
  <c r="D241" i="47"/>
  <c r="A241" i="47"/>
  <c r="D240" i="47"/>
  <c r="A240" i="47"/>
  <c r="D239" i="47"/>
  <c r="A239" i="47"/>
  <c r="D238" i="47"/>
  <c r="A238" i="47"/>
  <c r="D237" i="47"/>
  <c r="A237" i="47"/>
  <c r="D236" i="47"/>
  <c r="A236" i="47"/>
  <c r="D235" i="47"/>
  <c r="A235" i="47"/>
  <c r="D234" i="47"/>
  <c r="A234" i="47"/>
  <c r="D233" i="47"/>
  <c r="A233" i="47"/>
  <c r="D232" i="47"/>
  <c r="A232" i="47"/>
  <c r="D231" i="47"/>
  <c r="A231" i="47"/>
  <c r="D230" i="47"/>
  <c r="A230" i="47"/>
  <c r="D229" i="47"/>
  <c r="A229" i="47"/>
  <c r="D228" i="47"/>
  <c r="A228" i="47"/>
  <c r="D227" i="47"/>
  <c r="A227" i="47"/>
  <c r="D226" i="47"/>
  <c r="A226" i="47"/>
  <c r="D225" i="47"/>
  <c r="A225" i="47"/>
  <c r="D224" i="47"/>
  <c r="A224" i="47"/>
  <c r="D223" i="47"/>
  <c r="A223" i="47"/>
  <c r="D222" i="47"/>
  <c r="A222" i="47"/>
  <c r="D221" i="47"/>
  <c r="A221" i="47"/>
  <c r="D220" i="47"/>
  <c r="A220" i="47"/>
  <c r="D219" i="47"/>
  <c r="A219" i="47"/>
  <c r="D218" i="47"/>
  <c r="A218" i="47"/>
  <c r="D217" i="47"/>
  <c r="A217" i="47"/>
  <c r="D216" i="47"/>
  <c r="A216" i="47"/>
  <c r="D215" i="47"/>
  <c r="A215" i="47"/>
  <c r="D214" i="47"/>
  <c r="A214" i="47"/>
  <c r="D213" i="47"/>
  <c r="A213" i="47"/>
  <c r="D212" i="47"/>
  <c r="A212" i="47"/>
  <c r="D211" i="47"/>
  <c r="A211" i="47"/>
  <c r="D210" i="47"/>
  <c r="A210" i="47"/>
  <c r="D209" i="47"/>
  <c r="A209" i="47"/>
  <c r="D208" i="47"/>
  <c r="A208" i="47"/>
  <c r="D207" i="47"/>
  <c r="A207" i="47"/>
  <c r="D206" i="47"/>
  <c r="A206" i="47"/>
  <c r="D205" i="47"/>
  <c r="A205" i="47"/>
  <c r="D204" i="47"/>
  <c r="A204" i="47"/>
  <c r="D203" i="47"/>
  <c r="A203" i="47"/>
  <c r="D202" i="47"/>
  <c r="A202" i="47"/>
  <c r="D201" i="47"/>
  <c r="A201" i="47"/>
  <c r="D200" i="47"/>
  <c r="A200" i="47"/>
  <c r="D199" i="47"/>
  <c r="A199" i="47"/>
  <c r="D198" i="47"/>
  <c r="A198" i="47"/>
  <c r="D197" i="47"/>
  <c r="A197" i="47"/>
  <c r="D196" i="47"/>
  <c r="A196" i="47"/>
  <c r="D195" i="47"/>
  <c r="A195" i="47"/>
  <c r="D194" i="47"/>
  <c r="A194" i="47"/>
  <c r="D193" i="47"/>
  <c r="A193" i="47"/>
  <c r="D192" i="47"/>
  <c r="A192" i="47"/>
  <c r="D191" i="47"/>
  <c r="A191" i="47"/>
  <c r="D190" i="47"/>
  <c r="A190" i="47"/>
  <c r="D189" i="47"/>
  <c r="A189" i="47"/>
  <c r="D188" i="47"/>
  <c r="A188" i="47"/>
  <c r="D187" i="47"/>
  <c r="A187" i="47"/>
  <c r="D186" i="47"/>
  <c r="A186" i="47"/>
  <c r="D185" i="47"/>
  <c r="A185" i="47"/>
  <c r="D184" i="47"/>
  <c r="A184" i="47"/>
  <c r="D183" i="47"/>
  <c r="A183" i="47"/>
  <c r="D182" i="47"/>
  <c r="A182" i="47"/>
  <c r="D181" i="47"/>
  <c r="A181" i="47"/>
  <c r="D180" i="47"/>
  <c r="A180" i="47"/>
  <c r="D179" i="47"/>
  <c r="A179" i="47"/>
  <c r="D178" i="47"/>
  <c r="A178" i="47"/>
  <c r="D177" i="47"/>
  <c r="A177" i="47"/>
  <c r="D176" i="47"/>
  <c r="A176" i="47"/>
  <c r="D175" i="47"/>
  <c r="A175" i="47"/>
  <c r="D174" i="47"/>
  <c r="A174" i="47"/>
  <c r="D173" i="47"/>
  <c r="A173" i="47"/>
  <c r="D172" i="47"/>
  <c r="A172" i="47"/>
  <c r="D171" i="47"/>
  <c r="A171" i="47"/>
  <c r="D170" i="47"/>
  <c r="A170" i="47"/>
  <c r="D169" i="47"/>
  <c r="A169" i="47"/>
  <c r="D168" i="47"/>
  <c r="A168" i="47"/>
  <c r="D167" i="47"/>
  <c r="A167" i="47"/>
  <c r="D166" i="47"/>
  <c r="A166" i="47"/>
  <c r="D165" i="47"/>
  <c r="A165" i="47"/>
  <c r="D164" i="47"/>
  <c r="A164" i="47"/>
  <c r="D163" i="47"/>
  <c r="A163" i="47"/>
  <c r="D162" i="47"/>
  <c r="A162" i="47"/>
  <c r="D161" i="47"/>
  <c r="A161" i="47"/>
  <c r="D160" i="47"/>
  <c r="A160" i="47"/>
  <c r="D159" i="47"/>
  <c r="A159" i="47"/>
  <c r="D158" i="47"/>
  <c r="A158" i="47"/>
  <c r="D157" i="47"/>
  <c r="A157" i="47"/>
  <c r="D156" i="47"/>
  <c r="A156" i="47"/>
  <c r="D155" i="47"/>
  <c r="A155" i="47"/>
  <c r="D154" i="47"/>
  <c r="A154" i="47"/>
  <c r="D153" i="47"/>
  <c r="A153" i="47"/>
  <c r="D152" i="47"/>
  <c r="A152" i="47"/>
  <c r="D151" i="47"/>
  <c r="A151" i="47"/>
  <c r="D150" i="47"/>
  <c r="A150" i="47"/>
  <c r="D149" i="47"/>
  <c r="A149" i="47"/>
  <c r="D148" i="47"/>
  <c r="A148" i="47"/>
  <c r="D147" i="47"/>
  <c r="A147" i="47"/>
  <c r="D146" i="47"/>
  <c r="A146" i="47"/>
  <c r="D145" i="47"/>
  <c r="A145" i="47"/>
  <c r="D144" i="47"/>
  <c r="A144" i="47"/>
  <c r="D143" i="47"/>
  <c r="A143" i="47"/>
  <c r="D142" i="47"/>
  <c r="A142" i="47"/>
  <c r="D141" i="47"/>
  <c r="A141" i="47"/>
  <c r="D140" i="47"/>
  <c r="A140" i="47"/>
  <c r="D139" i="47"/>
  <c r="A139" i="47"/>
  <c r="D138" i="47"/>
  <c r="A138" i="47"/>
  <c r="D137" i="47"/>
  <c r="A137" i="47"/>
  <c r="D136" i="47"/>
  <c r="A136" i="47"/>
  <c r="D135" i="47"/>
  <c r="A135" i="47"/>
  <c r="D134" i="47"/>
  <c r="A134" i="47"/>
  <c r="D133" i="47"/>
  <c r="A133" i="47"/>
  <c r="D132" i="47"/>
  <c r="A132" i="47"/>
  <c r="D131" i="47"/>
  <c r="A131" i="47"/>
  <c r="D130" i="47"/>
  <c r="A130" i="47"/>
  <c r="D129" i="47"/>
  <c r="A129" i="47"/>
  <c r="D128" i="47"/>
  <c r="A128" i="47"/>
  <c r="D127" i="47"/>
  <c r="A127" i="47"/>
  <c r="D126" i="47"/>
  <c r="A126" i="47"/>
  <c r="D125" i="47"/>
  <c r="A125" i="47"/>
  <c r="D124" i="47"/>
  <c r="A124" i="47"/>
  <c r="D123" i="47"/>
  <c r="A123" i="47"/>
  <c r="D122" i="47"/>
  <c r="A122" i="47"/>
  <c r="D121" i="47"/>
  <c r="A121" i="47"/>
  <c r="D120" i="47"/>
  <c r="A120" i="47"/>
  <c r="D119" i="47"/>
  <c r="A119" i="47"/>
  <c r="D118" i="47"/>
  <c r="A118" i="47"/>
  <c r="D117" i="47"/>
  <c r="A117" i="47"/>
  <c r="D116" i="47"/>
  <c r="A116" i="47"/>
  <c r="D115" i="47"/>
  <c r="A115" i="47"/>
  <c r="D114" i="47"/>
  <c r="A114" i="47"/>
  <c r="D113" i="47"/>
  <c r="A113" i="47"/>
  <c r="D112" i="47"/>
  <c r="A112" i="47"/>
  <c r="D111" i="47"/>
  <c r="A111" i="47"/>
  <c r="D110" i="47"/>
  <c r="A110" i="47"/>
  <c r="D109" i="47"/>
  <c r="A109" i="47"/>
  <c r="D108" i="47"/>
  <c r="A108" i="47"/>
  <c r="D107" i="47"/>
  <c r="A107" i="47"/>
  <c r="D106" i="47"/>
  <c r="A106" i="47"/>
  <c r="D105" i="47"/>
  <c r="A105" i="47"/>
  <c r="D104" i="47"/>
  <c r="A104" i="47"/>
  <c r="D103" i="47"/>
  <c r="A103" i="47"/>
  <c r="D102" i="47"/>
  <c r="A102" i="47"/>
  <c r="D101" i="47"/>
  <c r="A101" i="47"/>
  <c r="D100" i="47"/>
  <c r="A100" i="47"/>
  <c r="D99" i="47"/>
  <c r="A99" i="47"/>
  <c r="D98" i="47"/>
  <c r="A98" i="47"/>
  <c r="D97" i="47"/>
  <c r="A97" i="47"/>
  <c r="D96" i="47"/>
  <c r="A96" i="47"/>
  <c r="D95" i="47"/>
  <c r="A95" i="47"/>
  <c r="D94" i="47"/>
  <c r="A94" i="47"/>
  <c r="D93" i="47"/>
  <c r="A93" i="47"/>
  <c r="D92" i="47"/>
  <c r="A92" i="47"/>
  <c r="D91" i="47"/>
  <c r="A91" i="47"/>
  <c r="D90" i="47"/>
  <c r="A90" i="47"/>
  <c r="D89" i="47"/>
  <c r="A89" i="47"/>
  <c r="D88" i="47"/>
  <c r="A88" i="47"/>
  <c r="D87" i="47"/>
  <c r="A87" i="47"/>
  <c r="D86" i="47"/>
  <c r="A86" i="47"/>
  <c r="D85" i="47"/>
  <c r="A85" i="47"/>
  <c r="D84" i="47"/>
  <c r="A84" i="47"/>
  <c r="D83" i="47"/>
  <c r="A83" i="47"/>
  <c r="D82" i="47"/>
  <c r="A82" i="47"/>
  <c r="D81" i="47"/>
  <c r="A81" i="47"/>
  <c r="D80" i="47"/>
  <c r="A80" i="47"/>
  <c r="D79" i="47"/>
  <c r="A79" i="47"/>
  <c r="D78" i="47"/>
  <c r="A78" i="47"/>
  <c r="D77" i="47"/>
  <c r="A77" i="47"/>
  <c r="D76" i="47"/>
  <c r="A76" i="47"/>
  <c r="D75" i="47"/>
  <c r="A75" i="47"/>
  <c r="D74" i="47"/>
  <c r="A74" i="47"/>
  <c r="D73" i="47"/>
  <c r="A73" i="47"/>
  <c r="D72" i="47"/>
  <c r="A72" i="47"/>
  <c r="D71" i="47"/>
  <c r="A71" i="47"/>
  <c r="D70" i="47"/>
  <c r="A70" i="47"/>
  <c r="D69" i="47"/>
  <c r="A69" i="47"/>
  <c r="D68" i="47"/>
  <c r="A68" i="47"/>
  <c r="D67" i="47"/>
  <c r="A67" i="47"/>
  <c r="D66" i="47"/>
  <c r="A66" i="47"/>
  <c r="D65" i="47"/>
  <c r="A65" i="47"/>
  <c r="D64" i="47"/>
  <c r="A64" i="47"/>
  <c r="D63" i="47"/>
  <c r="A63" i="47"/>
  <c r="D62" i="47"/>
  <c r="A62" i="47"/>
  <c r="D61" i="47"/>
  <c r="A61" i="47"/>
  <c r="D60" i="47"/>
  <c r="A60" i="47"/>
  <c r="D59" i="47"/>
  <c r="A59" i="47"/>
  <c r="D58" i="47"/>
  <c r="A58" i="47"/>
  <c r="D57" i="47"/>
  <c r="A57" i="47"/>
  <c r="D56" i="47"/>
  <c r="A56" i="47"/>
  <c r="D55" i="47"/>
  <c r="A55" i="47"/>
  <c r="D54" i="47"/>
  <c r="A54" i="47"/>
  <c r="D53" i="47"/>
  <c r="A53" i="47"/>
  <c r="D52" i="47"/>
  <c r="A52" i="47"/>
  <c r="D51" i="47"/>
  <c r="A51" i="47"/>
  <c r="D50" i="47"/>
  <c r="A50" i="47"/>
  <c r="D49" i="47"/>
  <c r="A49" i="47"/>
  <c r="D48" i="47"/>
  <c r="A48" i="47"/>
  <c r="D47" i="47"/>
  <c r="A47" i="47"/>
  <c r="D46" i="47"/>
  <c r="A46" i="47"/>
  <c r="D45" i="47"/>
  <c r="A45" i="47"/>
  <c r="D44" i="47"/>
  <c r="A44" i="47"/>
  <c r="D43" i="47"/>
  <c r="A43" i="47"/>
  <c r="D42" i="47"/>
  <c r="A42" i="47"/>
  <c r="D41" i="47"/>
  <c r="A41" i="47"/>
  <c r="D40" i="47"/>
  <c r="A40" i="47"/>
  <c r="D39" i="47"/>
  <c r="A39" i="47"/>
  <c r="D38" i="47"/>
  <c r="A38" i="47"/>
  <c r="D37" i="47"/>
  <c r="A37" i="47"/>
  <c r="D36" i="47"/>
  <c r="A36" i="47"/>
  <c r="D35" i="47"/>
  <c r="A35" i="47"/>
  <c r="D34" i="47"/>
  <c r="A34" i="47"/>
  <c r="D33" i="47"/>
  <c r="A33" i="47"/>
  <c r="D32" i="47"/>
  <c r="A32" i="47"/>
  <c r="D31" i="47"/>
  <c r="A31" i="47"/>
  <c r="D30" i="47"/>
  <c r="A30" i="47"/>
  <c r="D29" i="47"/>
  <c r="A29" i="47"/>
  <c r="D28" i="47"/>
  <c r="A28" i="47"/>
  <c r="D27" i="47"/>
  <c r="A27" i="47"/>
  <c r="D26" i="47"/>
  <c r="A26" i="47"/>
  <c r="D25" i="47"/>
  <c r="A25" i="47"/>
  <c r="D24" i="47"/>
  <c r="A24" i="47"/>
  <c r="D23" i="47"/>
  <c r="A23" i="47"/>
  <c r="B19" i="47"/>
  <c r="I16" i="47" s="1"/>
  <c r="U42" i="27"/>
  <c r="V42" i="27" s="1"/>
  <c r="W42" i="27" s="1"/>
  <c r="X42" i="27" s="1"/>
  <c r="Y42" i="27" s="1"/>
  <c r="Z42" i="27" s="1"/>
  <c r="AA42" i="27" s="1"/>
  <c r="AB42" i="27" s="1"/>
  <c r="AC42" i="27" s="1"/>
  <c r="AD42" i="27" s="1"/>
  <c r="AE42" i="27" s="1"/>
  <c r="AF42" i="27" s="1"/>
  <c r="AG42" i="27" s="1"/>
  <c r="AH42" i="27" s="1"/>
  <c r="AI42" i="27" s="1"/>
  <c r="U41" i="27"/>
  <c r="V36" i="27"/>
  <c r="U27" i="27"/>
  <c r="U20" i="27"/>
  <c r="U67" i="13" s="1"/>
  <c r="U15" i="27"/>
  <c r="U16" i="27"/>
  <c r="U13" i="13" s="1"/>
  <c r="U12" i="13"/>
  <c r="U19" i="27"/>
  <c r="U59" i="26" s="1"/>
  <c r="AI66" i="13"/>
  <c r="AI62" i="13"/>
  <c r="AI61" i="13"/>
  <c r="AI60" i="13"/>
  <c r="AI59" i="13"/>
  <c r="AF66" i="13"/>
  <c r="AF62" i="13"/>
  <c r="AF61" i="13"/>
  <c r="AF60" i="13"/>
  <c r="AF59" i="13"/>
  <c r="AC66" i="13"/>
  <c r="AC62" i="13"/>
  <c r="AC61" i="13"/>
  <c r="AC60" i="13"/>
  <c r="AC59" i="13"/>
  <c r="Z66" i="13"/>
  <c r="Z62" i="13"/>
  <c r="Z61" i="13"/>
  <c r="Z60" i="13"/>
  <c r="Z59" i="13"/>
  <c r="U68" i="13"/>
  <c r="U14" i="27"/>
  <c r="U13" i="27"/>
  <c r="F56" i="36"/>
  <c r="F55" i="36" s="1"/>
  <c r="F54" i="36" s="1"/>
  <c r="C34" i="36"/>
  <c r="B7" i="47" s="1"/>
  <c r="C44" i="37"/>
  <c r="C36" i="37"/>
  <c r="C22" i="37"/>
  <c r="C19" i="37"/>
  <c r="C16" i="37"/>
  <c r="C13" i="37"/>
  <c r="C10" i="37"/>
  <c r="C21" i="36"/>
  <c r="C20" i="36"/>
  <c r="C14" i="36"/>
  <c r="C13" i="36"/>
  <c r="C54" i="36"/>
  <c r="B16" i="47" s="1"/>
  <c r="U52" i="27"/>
  <c r="V52" i="27" s="1"/>
  <c r="N257" i="46"/>
  <c r="N258" i="46"/>
  <c r="H228" i="46"/>
  <c r="E228" i="46"/>
  <c r="T228" i="46"/>
  <c r="T229" i="46"/>
  <c r="T230" i="46"/>
  <c r="W240" i="46"/>
  <c r="V62" i="35"/>
  <c r="V61" i="35"/>
  <c r="V60" i="35"/>
  <c r="V59" i="35"/>
  <c r="V58" i="35"/>
  <c r="V57" i="35"/>
  <c r="V56" i="35"/>
  <c r="V55" i="35"/>
  <c r="V54" i="35"/>
  <c r="V53" i="35"/>
  <c r="V52" i="35"/>
  <c r="V51" i="35"/>
  <c r="V50" i="35"/>
  <c r="V49" i="35"/>
  <c r="V48" i="35"/>
  <c r="V47" i="35"/>
  <c r="V46" i="35"/>
  <c r="V45" i="35"/>
  <c r="V44" i="35"/>
  <c r="V43" i="35"/>
  <c r="V42" i="35"/>
  <c r="V41" i="35"/>
  <c r="V40" i="35"/>
  <c r="V39" i="35"/>
  <c r="V38" i="35"/>
  <c r="V37" i="35"/>
  <c r="V36" i="35"/>
  <c r="V35" i="35"/>
  <c r="V34" i="35"/>
  <c r="V33" i="35"/>
  <c r="V32" i="35"/>
  <c r="V31" i="35"/>
  <c r="V30" i="35"/>
  <c r="V29" i="35"/>
  <c r="V28" i="35"/>
  <c r="V27" i="35"/>
  <c r="V26" i="35"/>
  <c r="V25" i="35"/>
  <c r="V24" i="35"/>
  <c r="V23" i="35"/>
  <c r="V22" i="35"/>
  <c r="V21" i="35"/>
  <c r="V20" i="35"/>
  <c r="V19" i="35"/>
  <c r="V18" i="35"/>
  <c r="V17" i="35"/>
  <c r="V16" i="35"/>
  <c r="V15" i="35"/>
  <c r="V14" i="35"/>
  <c r="V13" i="35"/>
  <c r="V12" i="35"/>
  <c r="V11" i="35"/>
  <c r="V10" i="35"/>
  <c r="V9" i="35"/>
  <c r="V8" i="35"/>
  <c r="V7" i="35"/>
  <c r="V6" i="35"/>
  <c r="V5" i="35"/>
  <c r="V4" i="35"/>
  <c r="V3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3" i="35"/>
  <c r="F1240" i="35"/>
  <c r="F1239" i="35"/>
  <c r="F1238" i="35"/>
  <c r="F1237" i="35"/>
  <c r="F1236" i="35"/>
  <c r="F1235" i="35"/>
  <c r="F1234" i="35"/>
  <c r="F1233" i="35"/>
  <c r="F1232" i="35"/>
  <c r="F1231" i="35"/>
  <c r="F1230" i="35"/>
  <c r="F1229" i="35"/>
  <c r="F1228" i="35"/>
  <c r="F1227" i="35"/>
  <c r="F1226" i="35"/>
  <c r="F1225" i="35"/>
  <c r="F1224" i="35"/>
  <c r="F1223" i="35"/>
  <c r="F1222" i="35"/>
  <c r="F1221" i="35"/>
  <c r="F1220" i="35"/>
  <c r="F1219" i="35"/>
  <c r="F1218" i="35"/>
  <c r="F1217" i="35"/>
  <c r="F1216" i="35"/>
  <c r="F1215" i="35"/>
  <c r="F1214" i="35"/>
  <c r="F1213" i="35"/>
  <c r="F1212" i="35"/>
  <c r="F1211" i="35"/>
  <c r="F1210" i="35"/>
  <c r="F1209" i="35"/>
  <c r="F1208" i="35"/>
  <c r="F1207" i="35"/>
  <c r="F1206" i="35"/>
  <c r="F1205" i="35"/>
  <c r="F1204" i="35"/>
  <c r="F1203" i="35"/>
  <c r="F1202" i="35"/>
  <c r="F1201" i="35"/>
  <c r="F1200" i="35"/>
  <c r="F1199" i="35"/>
  <c r="F1198" i="35"/>
  <c r="F1197" i="35"/>
  <c r="F1196" i="35"/>
  <c r="F1195" i="35"/>
  <c r="F1194" i="35"/>
  <c r="F1193" i="35"/>
  <c r="F1192" i="35"/>
  <c r="F1191" i="35"/>
  <c r="F1190" i="35"/>
  <c r="F1189" i="35"/>
  <c r="F1188" i="35"/>
  <c r="F1187" i="35"/>
  <c r="F1186" i="35"/>
  <c r="F1185" i="35"/>
  <c r="F1184" i="35"/>
  <c r="F1183" i="35"/>
  <c r="F1182" i="35"/>
  <c r="F1181" i="35"/>
  <c r="F1180" i="35"/>
  <c r="F1179" i="35"/>
  <c r="F1178" i="35"/>
  <c r="F1177" i="35"/>
  <c r="F1176" i="35"/>
  <c r="F1175" i="35"/>
  <c r="F1174" i="35"/>
  <c r="F1173" i="35"/>
  <c r="F1172" i="35"/>
  <c r="F1171" i="35"/>
  <c r="F1170" i="35"/>
  <c r="F1169" i="35"/>
  <c r="F1168" i="35"/>
  <c r="F1167" i="35"/>
  <c r="F1166" i="35"/>
  <c r="F1165" i="35"/>
  <c r="F1164" i="35"/>
  <c r="F1163" i="35"/>
  <c r="F1162" i="35"/>
  <c r="F1161" i="35"/>
  <c r="F1160" i="35"/>
  <c r="F1159" i="35"/>
  <c r="F1158" i="35"/>
  <c r="F1157" i="35"/>
  <c r="F1156" i="35"/>
  <c r="F1155" i="35"/>
  <c r="F1154" i="35"/>
  <c r="F1153" i="35"/>
  <c r="F1152" i="35"/>
  <c r="F1151" i="35"/>
  <c r="F1150" i="35"/>
  <c r="F1149" i="35"/>
  <c r="F1148" i="35"/>
  <c r="F1147" i="35"/>
  <c r="F1146" i="35"/>
  <c r="F1145" i="35"/>
  <c r="F1144" i="35"/>
  <c r="F1143" i="35"/>
  <c r="F1142" i="35"/>
  <c r="F1141" i="35"/>
  <c r="F1140" i="35"/>
  <c r="F1139" i="35"/>
  <c r="F1138" i="35"/>
  <c r="F1137" i="35"/>
  <c r="F1136" i="35"/>
  <c r="F1135" i="35"/>
  <c r="F1134" i="35"/>
  <c r="F1133" i="35"/>
  <c r="F1132" i="35"/>
  <c r="F1131" i="35"/>
  <c r="F1130" i="35"/>
  <c r="F1129" i="35"/>
  <c r="F1128" i="35"/>
  <c r="F1127" i="35"/>
  <c r="F1126" i="35"/>
  <c r="F1125" i="35"/>
  <c r="F1124" i="35"/>
  <c r="F1123" i="35"/>
  <c r="F1122" i="35"/>
  <c r="F1121" i="35"/>
  <c r="F1120" i="35"/>
  <c r="F1119" i="35"/>
  <c r="F1118" i="35"/>
  <c r="F1117" i="35"/>
  <c r="F1116" i="35"/>
  <c r="F1115" i="35"/>
  <c r="F1114" i="35"/>
  <c r="F1113" i="35"/>
  <c r="F1112" i="35"/>
  <c r="F1111" i="35"/>
  <c r="F1110" i="35"/>
  <c r="F1109" i="35"/>
  <c r="F1108" i="35"/>
  <c r="F1107" i="35"/>
  <c r="F1106" i="35"/>
  <c r="F1105" i="35"/>
  <c r="F1104" i="35"/>
  <c r="F1103" i="35"/>
  <c r="F1102" i="35"/>
  <c r="F1101" i="35"/>
  <c r="F1100" i="35"/>
  <c r="F1099" i="35"/>
  <c r="F1098" i="35"/>
  <c r="F1097" i="35"/>
  <c r="F1096" i="35"/>
  <c r="F1095" i="35"/>
  <c r="F1094" i="35"/>
  <c r="F1093" i="35"/>
  <c r="F1092" i="35"/>
  <c r="F1091" i="35"/>
  <c r="F1090" i="35"/>
  <c r="F1089" i="35"/>
  <c r="F1088" i="35"/>
  <c r="F1087" i="35"/>
  <c r="F1086" i="35"/>
  <c r="F1085" i="35"/>
  <c r="F1084" i="35"/>
  <c r="F1083" i="35"/>
  <c r="F1082" i="35"/>
  <c r="F1081" i="35"/>
  <c r="F1080" i="35"/>
  <c r="F1079" i="35"/>
  <c r="F1078" i="35"/>
  <c r="F1077" i="35"/>
  <c r="F1076" i="35"/>
  <c r="F1075" i="35"/>
  <c r="F1074" i="35"/>
  <c r="F1073" i="35"/>
  <c r="F1072" i="35"/>
  <c r="F1071" i="35"/>
  <c r="F1070" i="35"/>
  <c r="F1069" i="35"/>
  <c r="F1068" i="35"/>
  <c r="F1067" i="35"/>
  <c r="F1066" i="35"/>
  <c r="F1065" i="35"/>
  <c r="F1064" i="35"/>
  <c r="F1063" i="35"/>
  <c r="F1062" i="35"/>
  <c r="F1061" i="35"/>
  <c r="F1060" i="35"/>
  <c r="F1059" i="35"/>
  <c r="F1058" i="35"/>
  <c r="F1057" i="35"/>
  <c r="F1056" i="35"/>
  <c r="F1055" i="35"/>
  <c r="F1054" i="35"/>
  <c r="F1053" i="35"/>
  <c r="F1052" i="35"/>
  <c r="F1051" i="35"/>
  <c r="F1050" i="35"/>
  <c r="F1049" i="35"/>
  <c r="F1048" i="35"/>
  <c r="F1047" i="35"/>
  <c r="F1046" i="35"/>
  <c r="F1045" i="35"/>
  <c r="F1044" i="35"/>
  <c r="F1043" i="35"/>
  <c r="F1042" i="35"/>
  <c r="F1041" i="35"/>
  <c r="F1040" i="35"/>
  <c r="F1039" i="35"/>
  <c r="F1038" i="35"/>
  <c r="F1037" i="35"/>
  <c r="F1036" i="35"/>
  <c r="F1035" i="35"/>
  <c r="F1034" i="35"/>
  <c r="F1033" i="35"/>
  <c r="F1032" i="35"/>
  <c r="F1031" i="35"/>
  <c r="F1030" i="35"/>
  <c r="F1029" i="35"/>
  <c r="F1028" i="35"/>
  <c r="F1027" i="35"/>
  <c r="F1026" i="35"/>
  <c r="F1025" i="35"/>
  <c r="F1024" i="35"/>
  <c r="F1023" i="35"/>
  <c r="F1022" i="35"/>
  <c r="F1021" i="35"/>
  <c r="F1020" i="35"/>
  <c r="F1019" i="35"/>
  <c r="F1018" i="35"/>
  <c r="F1017" i="35"/>
  <c r="F1016" i="35"/>
  <c r="F1015" i="35"/>
  <c r="F1014" i="35"/>
  <c r="F1013" i="35"/>
  <c r="F1012" i="35"/>
  <c r="F1011" i="35"/>
  <c r="F1010" i="35"/>
  <c r="F1009" i="35"/>
  <c r="F1008" i="35"/>
  <c r="F1007" i="35"/>
  <c r="F1006" i="35"/>
  <c r="F1005" i="35"/>
  <c r="F1004" i="35"/>
  <c r="F1003" i="35"/>
  <c r="F1002" i="35"/>
  <c r="F1001" i="35"/>
  <c r="F1000" i="35"/>
  <c r="F999" i="35"/>
  <c r="F998" i="35"/>
  <c r="F997" i="35"/>
  <c r="F996" i="35"/>
  <c r="F995" i="35"/>
  <c r="F994" i="35"/>
  <c r="F993" i="35"/>
  <c r="F992" i="35"/>
  <c r="F991" i="35"/>
  <c r="F990" i="35"/>
  <c r="F989" i="35"/>
  <c r="F988" i="35"/>
  <c r="F987" i="35"/>
  <c r="F986" i="35"/>
  <c r="F985" i="35"/>
  <c r="F984" i="35"/>
  <c r="F983" i="35"/>
  <c r="F982" i="35"/>
  <c r="F981" i="35"/>
  <c r="F980" i="35"/>
  <c r="F979" i="35"/>
  <c r="F978" i="35"/>
  <c r="F977" i="35"/>
  <c r="F976" i="35"/>
  <c r="F975" i="35"/>
  <c r="F974" i="35"/>
  <c r="F973" i="35"/>
  <c r="F972" i="35"/>
  <c r="F971" i="35"/>
  <c r="F970" i="35"/>
  <c r="F969" i="35"/>
  <c r="F968" i="35"/>
  <c r="F967" i="35"/>
  <c r="F966" i="35"/>
  <c r="F965" i="35"/>
  <c r="F964" i="35"/>
  <c r="F963" i="35"/>
  <c r="F962" i="35"/>
  <c r="F961" i="35"/>
  <c r="F960" i="35"/>
  <c r="F959" i="35"/>
  <c r="F958" i="35"/>
  <c r="F957" i="35"/>
  <c r="F956" i="35"/>
  <c r="F955" i="35"/>
  <c r="F954" i="35"/>
  <c r="F953" i="35"/>
  <c r="F952" i="35"/>
  <c r="F951" i="35"/>
  <c r="F950" i="35"/>
  <c r="F949" i="35"/>
  <c r="F948" i="35"/>
  <c r="F947" i="35"/>
  <c r="F946" i="35"/>
  <c r="F945" i="35"/>
  <c r="F944" i="35"/>
  <c r="F943" i="35"/>
  <c r="F942" i="35"/>
  <c r="F941" i="35"/>
  <c r="F940" i="35"/>
  <c r="F939" i="35"/>
  <c r="F938" i="35"/>
  <c r="F937" i="35"/>
  <c r="F936" i="35"/>
  <c r="F935" i="35"/>
  <c r="F934" i="35"/>
  <c r="F933" i="35"/>
  <c r="F932" i="35"/>
  <c r="F931" i="35"/>
  <c r="F930" i="35"/>
  <c r="F929" i="35"/>
  <c r="F928" i="35"/>
  <c r="F927" i="35"/>
  <c r="F926" i="35"/>
  <c r="F925" i="35"/>
  <c r="F924" i="35"/>
  <c r="F923" i="35"/>
  <c r="F922" i="35"/>
  <c r="F921" i="35"/>
  <c r="F920" i="35"/>
  <c r="F919" i="35"/>
  <c r="F918" i="35"/>
  <c r="F917" i="35"/>
  <c r="F916" i="35"/>
  <c r="F915" i="35"/>
  <c r="F914" i="35"/>
  <c r="F913" i="35"/>
  <c r="F912" i="35"/>
  <c r="F911" i="35"/>
  <c r="F910" i="35"/>
  <c r="F909" i="35"/>
  <c r="F908" i="35"/>
  <c r="F907" i="35"/>
  <c r="F906" i="35"/>
  <c r="F905" i="35"/>
  <c r="F904" i="35"/>
  <c r="F903" i="35"/>
  <c r="F902" i="35"/>
  <c r="F901" i="35"/>
  <c r="F900" i="35"/>
  <c r="F899" i="35"/>
  <c r="F898" i="35"/>
  <c r="F897" i="35"/>
  <c r="F896" i="35"/>
  <c r="F895" i="35"/>
  <c r="F894" i="35"/>
  <c r="F893" i="35"/>
  <c r="F892" i="35"/>
  <c r="F891" i="35"/>
  <c r="F890" i="35"/>
  <c r="F889" i="35"/>
  <c r="F888" i="35"/>
  <c r="F887" i="35"/>
  <c r="F886" i="35"/>
  <c r="F885" i="35"/>
  <c r="F884" i="35"/>
  <c r="F883" i="35"/>
  <c r="F882" i="35"/>
  <c r="F881" i="35"/>
  <c r="F880" i="35"/>
  <c r="F879" i="35"/>
  <c r="F878" i="35"/>
  <c r="F877" i="35"/>
  <c r="F876" i="35"/>
  <c r="F875" i="35"/>
  <c r="F874" i="35"/>
  <c r="F873" i="35"/>
  <c r="F872" i="35"/>
  <c r="F871" i="35"/>
  <c r="F870" i="35"/>
  <c r="F869" i="35"/>
  <c r="F868" i="35"/>
  <c r="F867" i="35"/>
  <c r="F866" i="35"/>
  <c r="F865" i="35"/>
  <c r="F864" i="35"/>
  <c r="F863" i="35"/>
  <c r="F862" i="35"/>
  <c r="F861" i="35"/>
  <c r="F860" i="35"/>
  <c r="F859" i="35"/>
  <c r="F858" i="35"/>
  <c r="F857" i="35"/>
  <c r="F856" i="35"/>
  <c r="F855" i="35"/>
  <c r="F854" i="35"/>
  <c r="F853" i="35"/>
  <c r="F852" i="35"/>
  <c r="F851" i="35"/>
  <c r="F850" i="35"/>
  <c r="F849" i="35"/>
  <c r="F848" i="35"/>
  <c r="F847" i="35"/>
  <c r="F846" i="35"/>
  <c r="F845" i="35"/>
  <c r="F844" i="35"/>
  <c r="F843" i="35"/>
  <c r="F842" i="35"/>
  <c r="F841" i="35"/>
  <c r="F840" i="35"/>
  <c r="F839" i="35"/>
  <c r="F838" i="35"/>
  <c r="F837" i="35"/>
  <c r="F836" i="35"/>
  <c r="F835" i="35"/>
  <c r="F834" i="35"/>
  <c r="F833" i="35"/>
  <c r="F832" i="35"/>
  <c r="F831" i="35"/>
  <c r="F830" i="35"/>
  <c r="F829" i="35"/>
  <c r="F828" i="35"/>
  <c r="F827" i="35"/>
  <c r="F826" i="35"/>
  <c r="F825" i="35"/>
  <c r="F824" i="35"/>
  <c r="F823" i="35"/>
  <c r="F822" i="35"/>
  <c r="F821" i="35"/>
  <c r="F820" i="35"/>
  <c r="F819" i="35"/>
  <c r="F818" i="35"/>
  <c r="F817" i="35"/>
  <c r="F816" i="35"/>
  <c r="F815" i="35"/>
  <c r="F814" i="35"/>
  <c r="F813" i="35"/>
  <c r="F812" i="35"/>
  <c r="F811" i="35"/>
  <c r="F810" i="35"/>
  <c r="F809" i="35"/>
  <c r="F808" i="35"/>
  <c r="F807" i="35"/>
  <c r="F806" i="35"/>
  <c r="F805" i="35"/>
  <c r="F804" i="35"/>
  <c r="F803" i="35"/>
  <c r="F802" i="35"/>
  <c r="F801" i="35"/>
  <c r="F800" i="35"/>
  <c r="F799" i="35"/>
  <c r="F798" i="35"/>
  <c r="F797" i="35"/>
  <c r="F796" i="35"/>
  <c r="F795" i="35"/>
  <c r="F794" i="35"/>
  <c r="F793" i="35"/>
  <c r="F792" i="35"/>
  <c r="F791" i="35"/>
  <c r="F790" i="35"/>
  <c r="F789" i="35"/>
  <c r="F788" i="35"/>
  <c r="F787" i="35"/>
  <c r="F786" i="35"/>
  <c r="F785" i="35"/>
  <c r="F784" i="35"/>
  <c r="F783" i="35"/>
  <c r="F782" i="35"/>
  <c r="F781" i="35"/>
  <c r="F780" i="35"/>
  <c r="F779" i="35"/>
  <c r="F778" i="35"/>
  <c r="F777" i="35"/>
  <c r="F776" i="35"/>
  <c r="F775" i="35"/>
  <c r="F774" i="35"/>
  <c r="F773" i="35"/>
  <c r="F772" i="35"/>
  <c r="F771" i="35"/>
  <c r="F770" i="35"/>
  <c r="F769" i="35"/>
  <c r="F768" i="35"/>
  <c r="F767" i="35"/>
  <c r="F766" i="35"/>
  <c r="F765" i="35"/>
  <c r="F764" i="35"/>
  <c r="F763" i="35"/>
  <c r="F762" i="35"/>
  <c r="F761" i="35"/>
  <c r="F760" i="35"/>
  <c r="F759" i="35"/>
  <c r="F758" i="35"/>
  <c r="F757" i="35"/>
  <c r="F756" i="35"/>
  <c r="F755" i="35"/>
  <c r="F754" i="35"/>
  <c r="F753" i="35"/>
  <c r="F752" i="35"/>
  <c r="F751" i="35"/>
  <c r="F750" i="35"/>
  <c r="F749" i="35"/>
  <c r="F748" i="35"/>
  <c r="F747" i="35"/>
  <c r="F746" i="35"/>
  <c r="F745" i="35"/>
  <c r="F744" i="35"/>
  <c r="F743" i="35"/>
  <c r="F742" i="35"/>
  <c r="F741" i="35"/>
  <c r="F740" i="35"/>
  <c r="F739" i="35"/>
  <c r="F738" i="35"/>
  <c r="F737" i="35"/>
  <c r="F736" i="35"/>
  <c r="F735" i="35"/>
  <c r="F734" i="35"/>
  <c r="F733" i="35"/>
  <c r="F732" i="35"/>
  <c r="F731" i="35"/>
  <c r="F730" i="35"/>
  <c r="F729" i="35"/>
  <c r="F728" i="35"/>
  <c r="F727" i="35"/>
  <c r="F726" i="35"/>
  <c r="F725" i="35"/>
  <c r="F724" i="35"/>
  <c r="F723" i="35"/>
  <c r="F722" i="35"/>
  <c r="F721" i="35"/>
  <c r="F720" i="35"/>
  <c r="F719" i="35"/>
  <c r="F718" i="35"/>
  <c r="F717" i="35"/>
  <c r="F716" i="35"/>
  <c r="F715" i="35"/>
  <c r="F714" i="35"/>
  <c r="F713" i="35"/>
  <c r="F712" i="35"/>
  <c r="F711" i="35"/>
  <c r="F710" i="35"/>
  <c r="F709" i="35"/>
  <c r="F708" i="35"/>
  <c r="F707" i="35"/>
  <c r="F706" i="35"/>
  <c r="F705" i="35"/>
  <c r="F704" i="35"/>
  <c r="F703" i="35"/>
  <c r="F702" i="35"/>
  <c r="F701" i="35"/>
  <c r="F700" i="35"/>
  <c r="F699" i="35"/>
  <c r="F698" i="35"/>
  <c r="F697" i="35"/>
  <c r="F696" i="35"/>
  <c r="F695" i="35"/>
  <c r="F694" i="35"/>
  <c r="F693" i="35"/>
  <c r="F692" i="35"/>
  <c r="F691" i="35"/>
  <c r="F690" i="35"/>
  <c r="F689" i="35"/>
  <c r="F688" i="35"/>
  <c r="F687" i="35"/>
  <c r="F686" i="35"/>
  <c r="F685" i="35"/>
  <c r="F684" i="35"/>
  <c r="F683" i="35"/>
  <c r="F682" i="35"/>
  <c r="F681" i="35"/>
  <c r="F680" i="35"/>
  <c r="F679" i="35"/>
  <c r="F678" i="35"/>
  <c r="F677" i="35"/>
  <c r="F676" i="35"/>
  <c r="F675" i="35"/>
  <c r="F674" i="35"/>
  <c r="F673" i="35"/>
  <c r="F672" i="35"/>
  <c r="F671" i="35"/>
  <c r="F670" i="35"/>
  <c r="F669" i="35"/>
  <c r="F668" i="35"/>
  <c r="F667" i="35"/>
  <c r="F666" i="35"/>
  <c r="F665" i="35"/>
  <c r="F664" i="35"/>
  <c r="F663" i="35"/>
  <c r="F662" i="35"/>
  <c r="F661" i="35"/>
  <c r="F660" i="35"/>
  <c r="F659" i="35"/>
  <c r="F658" i="35"/>
  <c r="F657" i="35"/>
  <c r="F656" i="35"/>
  <c r="F655" i="35"/>
  <c r="F654" i="35"/>
  <c r="F653" i="35"/>
  <c r="F652" i="35"/>
  <c r="F651" i="35"/>
  <c r="F650" i="35"/>
  <c r="F649" i="35"/>
  <c r="F648" i="35"/>
  <c r="F647" i="35"/>
  <c r="F646" i="35"/>
  <c r="F645" i="35"/>
  <c r="F644" i="35"/>
  <c r="F643" i="35"/>
  <c r="F642" i="35"/>
  <c r="F641" i="35"/>
  <c r="F640" i="35"/>
  <c r="F639" i="35"/>
  <c r="F638" i="35"/>
  <c r="F637" i="35"/>
  <c r="F636" i="35"/>
  <c r="F635" i="35"/>
  <c r="F634" i="35"/>
  <c r="F633" i="35"/>
  <c r="F632" i="35"/>
  <c r="F631" i="35"/>
  <c r="F630" i="35"/>
  <c r="F629" i="35"/>
  <c r="F628" i="35"/>
  <c r="F627" i="35"/>
  <c r="F626" i="35"/>
  <c r="F625" i="35"/>
  <c r="F624" i="35"/>
  <c r="F623" i="35"/>
  <c r="F622" i="35"/>
  <c r="F621" i="35"/>
  <c r="F620" i="35"/>
  <c r="F619" i="35"/>
  <c r="F618" i="35"/>
  <c r="F617" i="35"/>
  <c r="F616" i="35"/>
  <c r="F615" i="35"/>
  <c r="F614" i="35"/>
  <c r="F613" i="35"/>
  <c r="F612" i="35"/>
  <c r="F611" i="35"/>
  <c r="F610" i="35"/>
  <c r="F609" i="35"/>
  <c r="F608" i="35"/>
  <c r="F607" i="35"/>
  <c r="F606" i="35"/>
  <c r="F605" i="35"/>
  <c r="F604" i="35"/>
  <c r="F603" i="35"/>
  <c r="F602" i="35"/>
  <c r="F601" i="35"/>
  <c r="F600" i="35"/>
  <c r="F599" i="35"/>
  <c r="F598" i="35"/>
  <c r="F597" i="35"/>
  <c r="F596" i="35"/>
  <c r="F595" i="35"/>
  <c r="F594" i="35"/>
  <c r="F593" i="35"/>
  <c r="F592" i="35"/>
  <c r="F591" i="35"/>
  <c r="F590" i="35"/>
  <c r="F589" i="35"/>
  <c r="F588" i="35"/>
  <c r="F587" i="35"/>
  <c r="F586" i="35"/>
  <c r="F585" i="35"/>
  <c r="F584" i="35"/>
  <c r="F583" i="35"/>
  <c r="F582" i="35"/>
  <c r="F581" i="35"/>
  <c r="F580" i="35"/>
  <c r="F579" i="35"/>
  <c r="F578" i="35"/>
  <c r="F577" i="35"/>
  <c r="F576" i="35"/>
  <c r="F575" i="35"/>
  <c r="F574" i="35"/>
  <c r="F573" i="35"/>
  <c r="F572" i="35"/>
  <c r="F571" i="35"/>
  <c r="F570" i="35"/>
  <c r="F569" i="35"/>
  <c r="F568" i="35"/>
  <c r="F567" i="35"/>
  <c r="F566" i="35"/>
  <c r="F565" i="35"/>
  <c r="F564" i="35"/>
  <c r="F563" i="35"/>
  <c r="F562" i="35"/>
  <c r="F561" i="35"/>
  <c r="F560" i="35"/>
  <c r="F559" i="35"/>
  <c r="F558" i="35"/>
  <c r="F557" i="35"/>
  <c r="F556" i="35"/>
  <c r="F555" i="35"/>
  <c r="F554" i="35"/>
  <c r="F553" i="35"/>
  <c r="F552" i="35"/>
  <c r="F551" i="35"/>
  <c r="F550" i="35"/>
  <c r="F549" i="35"/>
  <c r="F548" i="35"/>
  <c r="F547" i="35"/>
  <c r="F546" i="35"/>
  <c r="F545" i="35"/>
  <c r="F544" i="35"/>
  <c r="F543" i="35"/>
  <c r="F542" i="35"/>
  <c r="F541" i="35"/>
  <c r="F540" i="35"/>
  <c r="F539" i="35"/>
  <c r="F538" i="35"/>
  <c r="F537" i="35"/>
  <c r="F536" i="35"/>
  <c r="F535" i="35"/>
  <c r="F534" i="35"/>
  <c r="F533" i="35"/>
  <c r="F532" i="35"/>
  <c r="F531" i="35"/>
  <c r="F530" i="35"/>
  <c r="F529" i="35"/>
  <c r="F528" i="35"/>
  <c r="F527" i="35"/>
  <c r="F526" i="35"/>
  <c r="F525" i="35"/>
  <c r="F524" i="35"/>
  <c r="F523" i="35"/>
  <c r="F522" i="35"/>
  <c r="F521" i="35"/>
  <c r="F520" i="35"/>
  <c r="F519" i="35"/>
  <c r="F518" i="35"/>
  <c r="F517" i="35"/>
  <c r="F516" i="35"/>
  <c r="F515" i="35"/>
  <c r="F514" i="35"/>
  <c r="F513" i="35"/>
  <c r="F512" i="35"/>
  <c r="F511" i="35"/>
  <c r="F510" i="35"/>
  <c r="F509" i="35"/>
  <c r="F508" i="35"/>
  <c r="F507" i="35"/>
  <c r="F506" i="35"/>
  <c r="F505" i="35"/>
  <c r="F504" i="35"/>
  <c r="F503" i="35"/>
  <c r="F502" i="35"/>
  <c r="F501" i="35"/>
  <c r="F500" i="35"/>
  <c r="F499" i="35"/>
  <c r="F498" i="35"/>
  <c r="F497" i="35"/>
  <c r="F496" i="35"/>
  <c r="F495" i="35"/>
  <c r="F494" i="35"/>
  <c r="F493" i="35"/>
  <c r="F492" i="35"/>
  <c r="F491" i="35"/>
  <c r="F490" i="35"/>
  <c r="F489" i="35"/>
  <c r="F488" i="35"/>
  <c r="F487" i="35"/>
  <c r="F486" i="35"/>
  <c r="F485" i="35"/>
  <c r="F484" i="35"/>
  <c r="F483" i="35"/>
  <c r="F482" i="35"/>
  <c r="F481" i="35"/>
  <c r="F480" i="35"/>
  <c r="F479" i="35"/>
  <c r="F478" i="35"/>
  <c r="F477" i="35"/>
  <c r="F476" i="35"/>
  <c r="F475" i="35"/>
  <c r="F474" i="35"/>
  <c r="F473" i="35"/>
  <c r="F472" i="35"/>
  <c r="F471" i="35"/>
  <c r="F470" i="35"/>
  <c r="F469" i="35"/>
  <c r="F468" i="35"/>
  <c r="F467" i="35"/>
  <c r="F466" i="35"/>
  <c r="F465" i="35"/>
  <c r="F464" i="35"/>
  <c r="F463" i="35"/>
  <c r="F462" i="35"/>
  <c r="F461" i="35"/>
  <c r="F460" i="35"/>
  <c r="F459" i="35"/>
  <c r="F458" i="35"/>
  <c r="F457" i="35"/>
  <c r="F456" i="35"/>
  <c r="F455" i="35"/>
  <c r="F454" i="35"/>
  <c r="F453" i="35"/>
  <c r="F452" i="35"/>
  <c r="F451" i="35"/>
  <c r="F450" i="35"/>
  <c r="F449" i="35"/>
  <c r="F448" i="35"/>
  <c r="F447" i="35"/>
  <c r="F446" i="35"/>
  <c r="F445" i="35"/>
  <c r="F444" i="35"/>
  <c r="F443" i="35"/>
  <c r="F442" i="35"/>
  <c r="F441" i="35"/>
  <c r="F440" i="35"/>
  <c r="F439" i="35"/>
  <c r="F438" i="35"/>
  <c r="F437" i="35"/>
  <c r="F436" i="35"/>
  <c r="F435" i="35"/>
  <c r="F434" i="35"/>
  <c r="F433" i="35"/>
  <c r="F432" i="35"/>
  <c r="F431" i="35"/>
  <c r="F430" i="35"/>
  <c r="F429" i="35"/>
  <c r="F428" i="35"/>
  <c r="F427" i="35"/>
  <c r="F426" i="35"/>
  <c r="F425" i="35"/>
  <c r="F424" i="35"/>
  <c r="F423" i="35"/>
  <c r="F422" i="35"/>
  <c r="F421" i="35"/>
  <c r="F420" i="35"/>
  <c r="F419" i="35"/>
  <c r="F418" i="35"/>
  <c r="F417" i="35"/>
  <c r="F416" i="35"/>
  <c r="F415" i="35"/>
  <c r="F414" i="35"/>
  <c r="F413" i="35"/>
  <c r="F412" i="35"/>
  <c r="F411" i="35"/>
  <c r="F410" i="35"/>
  <c r="F409" i="35"/>
  <c r="F408" i="35"/>
  <c r="F407" i="35"/>
  <c r="F406" i="35"/>
  <c r="F405" i="35"/>
  <c r="F404" i="35"/>
  <c r="F403" i="35"/>
  <c r="F402" i="35"/>
  <c r="F401" i="35"/>
  <c r="F400" i="35"/>
  <c r="F399" i="35"/>
  <c r="F398" i="35"/>
  <c r="F397" i="35"/>
  <c r="F396" i="35"/>
  <c r="F395" i="35"/>
  <c r="F394" i="35"/>
  <c r="F393" i="35"/>
  <c r="F392" i="35"/>
  <c r="F391" i="35"/>
  <c r="F390" i="35"/>
  <c r="F389" i="35"/>
  <c r="F388" i="35"/>
  <c r="F387" i="35"/>
  <c r="F386" i="35"/>
  <c r="F385" i="35"/>
  <c r="F384" i="35"/>
  <c r="F383" i="35"/>
  <c r="F382" i="35"/>
  <c r="F381" i="35"/>
  <c r="F380" i="35"/>
  <c r="F379" i="35"/>
  <c r="F378" i="35"/>
  <c r="F377" i="35"/>
  <c r="F376" i="35"/>
  <c r="F375" i="35"/>
  <c r="F374" i="35"/>
  <c r="F373" i="35"/>
  <c r="F372" i="35"/>
  <c r="F371" i="35"/>
  <c r="F370" i="35"/>
  <c r="F369" i="35"/>
  <c r="F368" i="35"/>
  <c r="F367" i="35"/>
  <c r="F366" i="35"/>
  <c r="F365" i="35"/>
  <c r="F364" i="35"/>
  <c r="F363" i="35"/>
  <c r="F362" i="35"/>
  <c r="F361" i="35"/>
  <c r="F360" i="35"/>
  <c r="F359" i="35"/>
  <c r="F358" i="35"/>
  <c r="F357" i="35"/>
  <c r="F356" i="35"/>
  <c r="F355" i="35"/>
  <c r="F354" i="35"/>
  <c r="F353" i="35"/>
  <c r="F352" i="35"/>
  <c r="F351" i="35"/>
  <c r="F350" i="35"/>
  <c r="F349" i="35"/>
  <c r="F348" i="35"/>
  <c r="F347" i="35"/>
  <c r="F346" i="35"/>
  <c r="F345" i="35"/>
  <c r="F344" i="35"/>
  <c r="F343" i="35"/>
  <c r="F342" i="35"/>
  <c r="F341" i="35"/>
  <c r="F340" i="35"/>
  <c r="F339" i="35"/>
  <c r="F338" i="35"/>
  <c r="F337" i="35"/>
  <c r="F336" i="35"/>
  <c r="F335" i="35"/>
  <c r="F334" i="35"/>
  <c r="F333" i="35"/>
  <c r="F332" i="35"/>
  <c r="F331" i="35"/>
  <c r="F330" i="35"/>
  <c r="F329" i="35"/>
  <c r="F328" i="35"/>
  <c r="F327" i="35"/>
  <c r="F326" i="35"/>
  <c r="F325" i="35"/>
  <c r="F324" i="35"/>
  <c r="F323" i="35"/>
  <c r="F322" i="35"/>
  <c r="F321" i="35"/>
  <c r="F320" i="35"/>
  <c r="F319" i="35"/>
  <c r="F318" i="35"/>
  <c r="F317" i="35"/>
  <c r="F316" i="35"/>
  <c r="F315" i="35"/>
  <c r="F314" i="35"/>
  <c r="F313" i="35"/>
  <c r="F312" i="35"/>
  <c r="F311" i="35"/>
  <c r="F310" i="35"/>
  <c r="F309" i="35"/>
  <c r="F308" i="35"/>
  <c r="F307" i="35"/>
  <c r="F306" i="35"/>
  <c r="F305" i="35"/>
  <c r="F304" i="35"/>
  <c r="F303" i="35"/>
  <c r="F302" i="35"/>
  <c r="F301" i="35"/>
  <c r="F300" i="35"/>
  <c r="F299" i="35"/>
  <c r="F298" i="35"/>
  <c r="F297" i="35"/>
  <c r="F296" i="35"/>
  <c r="F295" i="35"/>
  <c r="F294" i="35"/>
  <c r="F293" i="35"/>
  <c r="F292" i="35"/>
  <c r="F291" i="35"/>
  <c r="F290" i="35"/>
  <c r="F289" i="35"/>
  <c r="F288" i="35"/>
  <c r="F287" i="35"/>
  <c r="F286" i="35"/>
  <c r="F285" i="35"/>
  <c r="F284" i="35"/>
  <c r="F283" i="35"/>
  <c r="F282" i="35"/>
  <c r="F281" i="35"/>
  <c r="F280" i="35"/>
  <c r="F279" i="35"/>
  <c r="F278" i="35"/>
  <c r="F277" i="35"/>
  <c r="F276" i="35"/>
  <c r="F275" i="35"/>
  <c r="F274" i="35"/>
  <c r="F273" i="35"/>
  <c r="F272" i="35"/>
  <c r="F271" i="35"/>
  <c r="F270" i="35"/>
  <c r="F269" i="35"/>
  <c r="F268" i="35"/>
  <c r="F267" i="35"/>
  <c r="F266" i="35"/>
  <c r="F265" i="35"/>
  <c r="F264" i="35"/>
  <c r="F263" i="35"/>
  <c r="F262" i="35"/>
  <c r="F261" i="35"/>
  <c r="F260" i="35"/>
  <c r="F259" i="35"/>
  <c r="F258" i="35"/>
  <c r="F257" i="35"/>
  <c r="F256" i="35"/>
  <c r="F255" i="35"/>
  <c r="F254" i="35"/>
  <c r="F253" i="35"/>
  <c r="F252" i="35"/>
  <c r="F251" i="35"/>
  <c r="F250" i="35"/>
  <c r="F249" i="35"/>
  <c r="F248" i="35"/>
  <c r="F247" i="35"/>
  <c r="F246" i="35"/>
  <c r="F245" i="35"/>
  <c r="F244" i="35"/>
  <c r="F243" i="35"/>
  <c r="F242" i="35"/>
  <c r="F241" i="35"/>
  <c r="F240" i="35"/>
  <c r="F239" i="35"/>
  <c r="F238" i="35"/>
  <c r="F237" i="35"/>
  <c r="F236" i="35"/>
  <c r="F235" i="35"/>
  <c r="F234" i="35"/>
  <c r="F233" i="35"/>
  <c r="F232" i="35"/>
  <c r="F231" i="35"/>
  <c r="F230" i="35"/>
  <c r="F229" i="35"/>
  <c r="F228" i="35"/>
  <c r="F227" i="35"/>
  <c r="F226" i="35"/>
  <c r="F225" i="35"/>
  <c r="F224" i="35"/>
  <c r="F223" i="35"/>
  <c r="F222" i="35"/>
  <c r="F221" i="35"/>
  <c r="F220" i="35"/>
  <c r="F219" i="35"/>
  <c r="F218" i="35"/>
  <c r="F217" i="35"/>
  <c r="F216" i="35"/>
  <c r="F215" i="35"/>
  <c r="F214" i="35"/>
  <c r="F213" i="35"/>
  <c r="F212" i="35"/>
  <c r="F211" i="35"/>
  <c r="F210" i="35"/>
  <c r="F209" i="35"/>
  <c r="F208" i="35"/>
  <c r="F207" i="35"/>
  <c r="F206" i="35"/>
  <c r="F205" i="35"/>
  <c r="F204" i="35"/>
  <c r="F203" i="35"/>
  <c r="F202" i="35"/>
  <c r="F201" i="35"/>
  <c r="F200" i="35"/>
  <c r="F199" i="35"/>
  <c r="F198" i="35"/>
  <c r="F197" i="35"/>
  <c r="F196" i="35"/>
  <c r="F195" i="35"/>
  <c r="F194" i="35"/>
  <c r="F193" i="35"/>
  <c r="F192" i="35"/>
  <c r="F191" i="35"/>
  <c r="F190" i="35"/>
  <c r="F189" i="35"/>
  <c r="F188" i="35"/>
  <c r="F187" i="35"/>
  <c r="F186" i="35"/>
  <c r="F185" i="35"/>
  <c r="F184" i="35"/>
  <c r="F183" i="35"/>
  <c r="F182" i="35"/>
  <c r="F181" i="35"/>
  <c r="F180" i="35"/>
  <c r="F179" i="35"/>
  <c r="F178" i="35"/>
  <c r="F177" i="35"/>
  <c r="F176" i="35"/>
  <c r="F175" i="35"/>
  <c r="F174" i="35"/>
  <c r="F173" i="35"/>
  <c r="F172" i="35"/>
  <c r="F171" i="35"/>
  <c r="F170" i="35"/>
  <c r="F169" i="35"/>
  <c r="F168" i="35"/>
  <c r="F167" i="35"/>
  <c r="F166" i="35"/>
  <c r="F165" i="35"/>
  <c r="F164" i="35"/>
  <c r="F163" i="35"/>
  <c r="F162" i="35"/>
  <c r="F161" i="35"/>
  <c r="F160" i="35"/>
  <c r="F159" i="35"/>
  <c r="F158" i="35"/>
  <c r="F157" i="35"/>
  <c r="F156" i="35"/>
  <c r="F155" i="35"/>
  <c r="F154" i="35"/>
  <c r="F153" i="35"/>
  <c r="F152" i="35"/>
  <c r="F151" i="35"/>
  <c r="F150" i="35"/>
  <c r="F149" i="35"/>
  <c r="F148" i="35"/>
  <c r="F147" i="35"/>
  <c r="F146" i="35"/>
  <c r="F145" i="35"/>
  <c r="F144" i="35"/>
  <c r="F143" i="35"/>
  <c r="F142" i="35"/>
  <c r="F141" i="35"/>
  <c r="F140" i="35"/>
  <c r="F139" i="35"/>
  <c r="F138" i="35"/>
  <c r="F137" i="35"/>
  <c r="F136" i="35"/>
  <c r="F135" i="35"/>
  <c r="F134" i="35"/>
  <c r="F133" i="35"/>
  <c r="F132" i="35"/>
  <c r="F131" i="35"/>
  <c r="F130" i="35"/>
  <c r="F129" i="35"/>
  <c r="F128" i="35"/>
  <c r="F127" i="35"/>
  <c r="F126" i="35"/>
  <c r="F125" i="35"/>
  <c r="F124" i="35"/>
  <c r="F123" i="35"/>
  <c r="F122" i="35"/>
  <c r="F121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20" i="35"/>
  <c r="F19" i="35"/>
  <c r="F18" i="35"/>
  <c r="F17" i="35"/>
  <c r="F16" i="35"/>
  <c r="F15" i="35"/>
  <c r="F14" i="35"/>
  <c r="F13" i="35"/>
  <c r="F12" i="35"/>
  <c r="F11" i="35"/>
  <c r="F10" i="35"/>
  <c r="F9" i="35"/>
  <c r="F8" i="35"/>
  <c r="F7" i="35"/>
  <c r="F6" i="35"/>
  <c r="F5" i="35"/>
  <c r="F4" i="35"/>
  <c r="F3" i="35"/>
  <c r="D4" i="35"/>
  <c r="D5" i="35"/>
  <c r="D6" i="35"/>
  <c r="D7" i="35"/>
  <c r="D8" i="35"/>
  <c r="D9" i="35"/>
  <c r="D10" i="35"/>
  <c r="D11" i="35"/>
  <c r="D12" i="35"/>
  <c r="D13" i="35"/>
  <c r="D14" i="35"/>
  <c r="D15" i="35"/>
  <c r="D16" i="35"/>
  <c r="D17" i="35"/>
  <c r="D18" i="35"/>
  <c r="D19" i="35"/>
  <c r="D20" i="35"/>
  <c r="D21" i="35"/>
  <c r="D22" i="35"/>
  <c r="D23" i="35"/>
  <c r="D24" i="35"/>
  <c r="D25" i="35"/>
  <c r="D26" i="35"/>
  <c r="D27" i="35"/>
  <c r="D28" i="35"/>
  <c r="D29" i="35"/>
  <c r="D30" i="35"/>
  <c r="D31" i="35"/>
  <c r="D32" i="35"/>
  <c r="D33" i="35"/>
  <c r="D34" i="35"/>
  <c r="D35" i="35"/>
  <c r="D36" i="35"/>
  <c r="D37" i="35"/>
  <c r="D38" i="35"/>
  <c r="D39" i="35"/>
  <c r="D40" i="35"/>
  <c r="D41" i="35"/>
  <c r="D42" i="35"/>
  <c r="D43" i="35"/>
  <c r="D44" i="35"/>
  <c r="D45" i="35"/>
  <c r="D46" i="35"/>
  <c r="D47" i="35"/>
  <c r="D48" i="35"/>
  <c r="D49" i="35"/>
  <c r="D50" i="35"/>
  <c r="D51" i="35"/>
  <c r="D52" i="35"/>
  <c r="D53" i="35"/>
  <c r="D54" i="35"/>
  <c r="D55" i="35"/>
  <c r="D56" i="35"/>
  <c r="D57" i="35"/>
  <c r="D58" i="35"/>
  <c r="D59" i="35"/>
  <c r="D60" i="35"/>
  <c r="D61" i="35"/>
  <c r="D62" i="35"/>
  <c r="D63" i="35"/>
  <c r="D64" i="35"/>
  <c r="D65" i="35"/>
  <c r="D66" i="35"/>
  <c r="D67" i="35"/>
  <c r="D68" i="35"/>
  <c r="D69" i="35"/>
  <c r="D70" i="35"/>
  <c r="D71" i="35"/>
  <c r="D72" i="35"/>
  <c r="D73" i="35"/>
  <c r="D74" i="35"/>
  <c r="D75" i="35"/>
  <c r="D76" i="35"/>
  <c r="D77" i="35"/>
  <c r="D78" i="35"/>
  <c r="D79" i="35"/>
  <c r="D80" i="35"/>
  <c r="D81" i="35"/>
  <c r="D82" i="35"/>
  <c r="D83" i="35"/>
  <c r="D84" i="35"/>
  <c r="D85" i="35"/>
  <c r="D86" i="35"/>
  <c r="D87" i="35"/>
  <c r="D88" i="35"/>
  <c r="D89" i="35"/>
  <c r="D90" i="35"/>
  <c r="D91" i="35"/>
  <c r="D92" i="35"/>
  <c r="D93" i="35"/>
  <c r="D94" i="35"/>
  <c r="D95" i="35"/>
  <c r="D96" i="35"/>
  <c r="D97" i="35"/>
  <c r="D98" i="35"/>
  <c r="D99" i="35"/>
  <c r="D100" i="35"/>
  <c r="D101" i="35"/>
  <c r="D102" i="35"/>
  <c r="D103" i="35"/>
  <c r="D104" i="35"/>
  <c r="D105" i="35"/>
  <c r="D106" i="35"/>
  <c r="D107" i="35"/>
  <c r="D108" i="35"/>
  <c r="D109" i="35"/>
  <c r="D110" i="35"/>
  <c r="D111" i="35"/>
  <c r="D112" i="35"/>
  <c r="D113" i="35"/>
  <c r="D114" i="35"/>
  <c r="D115" i="35"/>
  <c r="D116" i="35"/>
  <c r="D117" i="35"/>
  <c r="D118" i="35"/>
  <c r="D119" i="35"/>
  <c r="D120" i="35"/>
  <c r="D121" i="35"/>
  <c r="D122" i="35"/>
  <c r="D123" i="35"/>
  <c r="D124" i="35"/>
  <c r="D125" i="35"/>
  <c r="D126" i="35"/>
  <c r="D127" i="35"/>
  <c r="D128" i="35"/>
  <c r="D129" i="35"/>
  <c r="D130" i="35"/>
  <c r="D131" i="35"/>
  <c r="D132" i="35"/>
  <c r="D133" i="35"/>
  <c r="D134" i="35"/>
  <c r="D135" i="35"/>
  <c r="D136" i="35"/>
  <c r="D137" i="35"/>
  <c r="D138" i="35"/>
  <c r="D139" i="35"/>
  <c r="D140" i="35"/>
  <c r="D141" i="35"/>
  <c r="D142" i="35"/>
  <c r="D143" i="35"/>
  <c r="D144" i="35"/>
  <c r="D145" i="35"/>
  <c r="D146" i="35"/>
  <c r="D147" i="35"/>
  <c r="D148" i="35"/>
  <c r="D149" i="35"/>
  <c r="D150" i="35"/>
  <c r="D151" i="35"/>
  <c r="D152" i="35"/>
  <c r="D153" i="35"/>
  <c r="D154" i="35"/>
  <c r="D155" i="35"/>
  <c r="D156" i="35"/>
  <c r="D157" i="35"/>
  <c r="D158" i="35"/>
  <c r="D159" i="35"/>
  <c r="D160" i="35"/>
  <c r="D161" i="35"/>
  <c r="D162" i="35"/>
  <c r="D163" i="35"/>
  <c r="D164" i="35"/>
  <c r="D165" i="35"/>
  <c r="D166" i="35"/>
  <c r="D167" i="35"/>
  <c r="D168" i="35"/>
  <c r="D169" i="35"/>
  <c r="D170" i="35"/>
  <c r="D171" i="35"/>
  <c r="D172" i="35"/>
  <c r="D173" i="35"/>
  <c r="D174" i="35"/>
  <c r="D175" i="35"/>
  <c r="D176" i="35"/>
  <c r="D177" i="35"/>
  <c r="D178" i="35"/>
  <c r="D179" i="35"/>
  <c r="D180" i="35"/>
  <c r="D181" i="35"/>
  <c r="D182" i="35"/>
  <c r="D183" i="35"/>
  <c r="D184" i="35"/>
  <c r="D185" i="35"/>
  <c r="D186" i="35"/>
  <c r="D187" i="35"/>
  <c r="D188" i="35"/>
  <c r="D189" i="35"/>
  <c r="D190" i="35"/>
  <c r="D191" i="35"/>
  <c r="D192" i="35"/>
  <c r="D193" i="35"/>
  <c r="D194" i="35"/>
  <c r="D195" i="35"/>
  <c r="D196" i="35"/>
  <c r="D197" i="35"/>
  <c r="D198" i="35"/>
  <c r="D199" i="35"/>
  <c r="D200" i="35"/>
  <c r="D201" i="35"/>
  <c r="D202" i="35"/>
  <c r="D203" i="35"/>
  <c r="D204" i="35"/>
  <c r="D205" i="35"/>
  <c r="D206" i="35"/>
  <c r="D207" i="35"/>
  <c r="D208" i="35"/>
  <c r="D209" i="35"/>
  <c r="D210" i="35"/>
  <c r="D211" i="35"/>
  <c r="D212" i="35"/>
  <c r="D213" i="35"/>
  <c r="D214" i="35"/>
  <c r="D215" i="35"/>
  <c r="D216" i="35"/>
  <c r="D217" i="35"/>
  <c r="D218" i="35"/>
  <c r="D219" i="35"/>
  <c r="D220" i="35"/>
  <c r="D221" i="35"/>
  <c r="D222" i="35"/>
  <c r="D223" i="35"/>
  <c r="D224" i="35"/>
  <c r="D225" i="35"/>
  <c r="D226" i="35"/>
  <c r="D227" i="35"/>
  <c r="D228" i="35"/>
  <c r="D229" i="35"/>
  <c r="D230" i="35"/>
  <c r="D231" i="35"/>
  <c r="D232" i="35"/>
  <c r="D233" i="35"/>
  <c r="D234" i="35"/>
  <c r="D235" i="35"/>
  <c r="D236" i="35"/>
  <c r="D237" i="35"/>
  <c r="D238" i="35"/>
  <c r="D239" i="35"/>
  <c r="D240" i="35"/>
  <c r="D241" i="35"/>
  <c r="D242" i="35"/>
  <c r="D243" i="35"/>
  <c r="D244" i="35"/>
  <c r="D245" i="35"/>
  <c r="D246" i="35"/>
  <c r="D247" i="35"/>
  <c r="D248" i="35"/>
  <c r="D249" i="35"/>
  <c r="D250" i="35"/>
  <c r="D251" i="35"/>
  <c r="D252" i="35"/>
  <c r="D253" i="35"/>
  <c r="D254" i="35"/>
  <c r="D255" i="35"/>
  <c r="D256" i="35"/>
  <c r="D257" i="35"/>
  <c r="D258" i="35"/>
  <c r="D259" i="35"/>
  <c r="D260" i="35"/>
  <c r="D261" i="35"/>
  <c r="D262" i="35"/>
  <c r="D263" i="35"/>
  <c r="D264" i="35"/>
  <c r="D265" i="35"/>
  <c r="D266" i="35"/>
  <c r="D267" i="35"/>
  <c r="D268" i="35"/>
  <c r="D269" i="35"/>
  <c r="D270" i="35"/>
  <c r="D271" i="35"/>
  <c r="D272" i="35"/>
  <c r="D273" i="35"/>
  <c r="D274" i="35"/>
  <c r="D275" i="35"/>
  <c r="D276" i="35"/>
  <c r="D277" i="35"/>
  <c r="D278" i="35"/>
  <c r="D279" i="35"/>
  <c r="D280" i="35"/>
  <c r="D281" i="35"/>
  <c r="D282" i="35"/>
  <c r="D283" i="35"/>
  <c r="D284" i="35"/>
  <c r="D285" i="35"/>
  <c r="D286" i="35"/>
  <c r="D287" i="35"/>
  <c r="D288" i="35"/>
  <c r="D289" i="35"/>
  <c r="D290" i="35"/>
  <c r="D291" i="35"/>
  <c r="D292" i="35"/>
  <c r="D293" i="35"/>
  <c r="D294" i="35"/>
  <c r="D295" i="35"/>
  <c r="D296" i="35"/>
  <c r="D297" i="35"/>
  <c r="D298" i="35"/>
  <c r="D299" i="35"/>
  <c r="D300" i="35"/>
  <c r="D301" i="35"/>
  <c r="D302" i="35"/>
  <c r="D303" i="35"/>
  <c r="D304" i="35"/>
  <c r="D305" i="35"/>
  <c r="D306" i="35"/>
  <c r="D307" i="35"/>
  <c r="D308" i="35"/>
  <c r="D309" i="35"/>
  <c r="D310" i="35"/>
  <c r="D311" i="35"/>
  <c r="D312" i="35"/>
  <c r="D313" i="35"/>
  <c r="D314" i="35"/>
  <c r="D315" i="35"/>
  <c r="D316" i="35"/>
  <c r="D317" i="35"/>
  <c r="D318" i="35"/>
  <c r="D319" i="35"/>
  <c r="D320" i="35"/>
  <c r="D321" i="35"/>
  <c r="D322" i="35"/>
  <c r="D323" i="35"/>
  <c r="D324" i="35"/>
  <c r="D325" i="35"/>
  <c r="D326" i="35"/>
  <c r="D327" i="35"/>
  <c r="D328" i="35"/>
  <c r="D329" i="35"/>
  <c r="D330" i="35"/>
  <c r="D331" i="35"/>
  <c r="D332" i="35"/>
  <c r="D333" i="35"/>
  <c r="D334" i="35"/>
  <c r="D335" i="35"/>
  <c r="D336" i="35"/>
  <c r="D337" i="35"/>
  <c r="D338" i="35"/>
  <c r="D339" i="35"/>
  <c r="D340" i="35"/>
  <c r="D341" i="35"/>
  <c r="D342" i="35"/>
  <c r="D343" i="35"/>
  <c r="D344" i="35"/>
  <c r="D345" i="35"/>
  <c r="D346" i="35"/>
  <c r="D347" i="35"/>
  <c r="D348" i="35"/>
  <c r="D349" i="35"/>
  <c r="D350" i="35"/>
  <c r="D351" i="35"/>
  <c r="D352" i="35"/>
  <c r="D353" i="35"/>
  <c r="D354" i="35"/>
  <c r="D355" i="35"/>
  <c r="D356" i="35"/>
  <c r="D357" i="35"/>
  <c r="D358" i="35"/>
  <c r="D359" i="35"/>
  <c r="D360" i="35"/>
  <c r="D361" i="35"/>
  <c r="D362" i="35"/>
  <c r="D363" i="35"/>
  <c r="D364" i="35"/>
  <c r="D365" i="35"/>
  <c r="D366" i="35"/>
  <c r="D367" i="35"/>
  <c r="D368" i="35"/>
  <c r="D369" i="35"/>
  <c r="D370" i="35"/>
  <c r="D371" i="35"/>
  <c r="D372" i="35"/>
  <c r="D373" i="35"/>
  <c r="D374" i="35"/>
  <c r="D375" i="35"/>
  <c r="D376" i="35"/>
  <c r="D377" i="35"/>
  <c r="D378" i="35"/>
  <c r="D379" i="35"/>
  <c r="D380" i="35"/>
  <c r="D381" i="35"/>
  <c r="D382" i="35"/>
  <c r="D383" i="35"/>
  <c r="D384" i="35"/>
  <c r="D385" i="35"/>
  <c r="D386" i="35"/>
  <c r="D387" i="35"/>
  <c r="D388" i="35"/>
  <c r="D389" i="35"/>
  <c r="D390" i="35"/>
  <c r="D391" i="35"/>
  <c r="D392" i="35"/>
  <c r="D393" i="35"/>
  <c r="D394" i="35"/>
  <c r="D395" i="35"/>
  <c r="D396" i="35"/>
  <c r="D397" i="35"/>
  <c r="D398" i="35"/>
  <c r="D399" i="35"/>
  <c r="D400" i="35"/>
  <c r="D401" i="35"/>
  <c r="D402" i="35"/>
  <c r="D403" i="35"/>
  <c r="D404" i="35"/>
  <c r="D405" i="35"/>
  <c r="D406" i="35"/>
  <c r="D407" i="35"/>
  <c r="D408" i="35"/>
  <c r="D409" i="35"/>
  <c r="D410" i="35"/>
  <c r="D411" i="35"/>
  <c r="D412" i="35"/>
  <c r="D413" i="35"/>
  <c r="D414" i="35"/>
  <c r="D415" i="35"/>
  <c r="D416" i="35"/>
  <c r="D417" i="35"/>
  <c r="D418" i="35"/>
  <c r="D419" i="35"/>
  <c r="D420" i="35"/>
  <c r="D421" i="35"/>
  <c r="D422" i="35"/>
  <c r="D423" i="35"/>
  <c r="D424" i="35"/>
  <c r="D425" i="35"/>
  <c r="D426" i="35"/>
  <c r="D427" i="35"/>
  <c r="D428" i="35"/>
  <c r="D429" i="35"/>
  <c r="D430" i="35"/>
  <c r="D431" i="35"/>
  <c r="D432" i="35"/>
  <c r="D433" i="35"/>
  <c r="D434" i="35"/>
  <c r="D435" i="35"/>
  <c r="D436" i="35"/>
  <c r="D437" i="35"/>
  <c r="D438" i="35"/>
  <c r="D439" i="35"/>
  <c r="D440" i="35"/>
  <c r="D441" i="35"/>
  <c r="D442" i="35"/>
  <c r="D443" i="35"/>
  <c r="D444" i="35"/>
  <c r="D445" i="35"/>
  <c r="D446" i="35"/>
  <c r="D447" i="35"/>
  <c r="D448" i="35"/>
  <c r="D449" i="35"/>
  <c r="D450" i="35"/>
  <c r="D451" i="35"/>
  <c r="D452" i="35"/>
  <c r="D453" i="35"/>
  <c r="D454" i="35"/>
  <c r="D455" i="35"/>
  <c r="D456" i="35"/>
  <c r="D457" i="35"/>
  <c r="D458" i="35"/>
  <c r="D459" i="35"/>
  <c r="D460" i="35"/>
  <c r="D461" i="35"/>
  <c r="D462" i="35"/>
  <c r="D463" i="35"/>
  <c r="D464" i="35"/>
  <c r="D465" i="35"/>
  <c r="D466" i="35"/>
  <c r="D467" i="35"/>
  <c r="D468" i="35"/>
  <c r="D469" i="35"/>
  <c r="D470" i="35"/>
  <c r="D471" i="35"/>
  <c r="D472" i="35"/>
  <c r="D473" i="35"/>
  <c r="D474" i="35"/>
  <c r="D475" i="35"/>
  <c r="D476" i="35"/>
  <c r="D477" i="35"/>
  <c r="D478" i="35"/>
  <c r="D479" i="35"/>
  <c r="D480" i="35"/>
  <c r="D481" i="35"/>
  <c r="D482" i="35"/>
  <c r="D483" i="35"/>
  <c r="D484" i="35"/>
  <c r="D485" i="35"/>
  <c r="D486" i="35"/>
  <c r="D487" i="35"/>
  <c r="D488" i="35"/>
  <c r="D489" i="35"/>
  <c r="D490" i="35"/>
  <c r="D491" i="35"/>
  <c r="D492" i="35"/>
  <c r="D493" i="35"/>
  <c r="D494" i="35"/>
  <c r="D495" i="35"/>
  <c r="D496" i="35"/>
  <c r="D497" i="35"/>
  <c r="D498" i="35"/>
  <c r="D499" i="35"/>
  <c r="D500" i="35"/>
  <c r="D501" i="35"/>
  <c r="D502" i="35"/>
  <c r="D503" i="35"/>
  <c r="D504" i="35"/>
  <c r="D505" i="35"/>
  <c r="D506" i="35"/>
  <c r="D507" i="35"/>
  <c r="D508" i="35"/>
  <c r="D509" i="35"/>
  <c r="D510" i="35"/>
  <c r="D511" i="35"/>
  <c r="D512" i="35"/>
  <c r="D513" i="35"/>
  <c r="D514" i="35"/>
  <c r="D515" i="35"/>
  <c r="D516" i="35"/>
  <c r="D517" i="35"/>
  <c r="D518" i="35"/>
  <c r="D519" i="35"/>
  <c r="D520" i="35"/>
  <c r="D521" i="35"/>
  <c r="D522" i="35"/>
  <c r="D523" i="35"/>
  <c r="D524" i="35"/>
  <c r="D525" i="35"/>
  <c r="D526" i="35"/>
  <c r="D527" i="35"/>
  <c r="D528" i="35"/>
  <c r="D529" i="35"/>
  <c r="D530" i="35"/>
  <c r="D531" i="35"/>
  <c r="D532" i="35"/>
  <c r="D533" i="35"/>
  <c r="D534" i="35"/>
  <c r="D535" i="35"/>
  <c r="D536" i="35"/>
  <c r="D537" i="35"/>
  <c r="D538" i="35"/>
  <c r="D539" i="35"/>
  <c r="D540" i="35"/>
  <c r="D541" i="35"/>
  <c r="D542" i="35"/>
  <c r="D543" i="35"/>
  <c r="D544" i="35"/>
  <c r="D545" i="35"/>
  <c r="D546" i="35"/>
  <c r="D547" i="35"/>
  <c r="D548" i="35"/>
  <c r="D549" i="35"/>
  <c r="D550" i="35"/>
  <c r="D551" i="35"/>
  <c r="D552" i="35"/>
  <c r="D553" i="35"/>
  <c r="D554" i="35"/>
  <c r="D555" i="35"/>
  <c r="D556" i="35"/>
  <c r="D557" i="35"/>
  <c r="D558" i="35"/>
  <c r="D559" i="35"/>
  <c r="D560" i="35"/>
  <c r="D561" i="35"/>
  <c r="D562" i="35"/>
  <c r="D563" i="35"/>
  <c r="D564" i="35"/>
  <c r="D565" i="35"/>
  <c r="D566" i="35"/>
  <c r="D567" i="35"/>
  <c r="D568" i="35"/>
  <c r="D569" i="35"/>
  <c r="D570" i="35"/>
  <c r="D571" i="35"/>
  <c r="D572" i="35"/>
  <c r="D573" i="35"/>
  <c r="D574" i="35"/>
  <c r="D575" i="35"/>
  <c r="D576" i="35"/>
  <c r="D577" i="35"/>
  <c r="D578" i="35"/>
  <c r="D579" i="35"/>
  <c r="D580" i="35"/>
  <c r="D581" i="35"/>
  <c r="D582" i="35"/>
  <c r="D583" i="35"/>
  <c r="D584" i="35"/>
  <c r="D585" i="35"/>
  <c r="D586" i="35"/>
  <c r="D587" i="35"/>
  <c r="D588" i="35"/>
  <c r="D589" i="35"/>
  <c r="D590" i="35"/>
  <c r="D591" i="35"/>
  <c r="D592" i="35"/>
  <c r="D593" i="35"/>
  <c r="D594" i="35"/>
  <c r="D595" i="35"/>
  <c r="D596" i="35"/>
  <c r="D597" i="35"/>
  <c r="D598" i="35"/>
  <c r="D599" i="35"/>
  <c r="D600" i="35"/>
  <c r="D601" i="35"/>
  <c r="D602" i="35"/>
  <c r="D603" i="35"/>
  <c r="D604" i="35"/>
  <c r="D605" i="35"/>
  <c r="D606" i="35"/>
  <c r="D607" i="35"/>
  <c r="D608" i="35"/>
  <c r="D609" i="35"/>
  <c r="D610" i="35"/>
  <c r="D611" i="35"/>
  <c r="D612" i="35"/>
  <c r="D613" i="35"/>
  <c r="D614" i="35"/>
  <c r="D615" i="35"/>
  <c r="D616" i="35"/>
  <c r="D617" i="35"/>
  <c r="D618" i="35"/>
  <c r="D619" i="35"/>
  <c r="D620" i="35"/>
  <c r="D621" i="35"/>
  <c r="D622" i="35"/>
  <c r="D623" i="35"/>
  <c r="D624" i="35"/>
  <c r="D625" i="35"/>
  <c r="D626" i="35"/>
  <c r="D627" i="35"/>
  <c r="D628" i="35"/>
  <c r="D629" i="35"/>
  <c r="D630" i="35"/>
  <c r="D631" i="35"/>
  <c r="D632" i="35"/>
  <c r="D633" i="35"/>
  <c r="D634" i="35"/>
  <c r="D635" i="35"/>
  <c r="D636" i="35"/>
  <c r="D637" i="35"/>
  <c r="D638" i="35"/>
  <c r="D639" i="35"/>
  <c r="D640" i="35"/>
  <c r="D641" i="35"/>
  <c r="D642" i="35"/>
  <c r="D643" i="35"/>
  <c r="D644" i="35"/>
  <c r="D645" i="35"/>
  <c r="D646" i="35"/>
  <c r="D647" i="35"/>
  <c r="D648" i="35"/>
  <c r="D649" i="35"/>
  <c r="D650" i="35"/>
  <c r="D651" i="35"/>
  <c r="D652" i="35"/>
  <c r="D653" i="35"/>
  <c r="D654" i="35"/>
  <c r="D655" i="35"/>
  <c r="D656" i="35"/>
  <c r="D657" i="35"/>
  <c r="D658" i="35"/>
  <c r="D659" i="35"/>
  <c r="D660" i="35"/>
  <c r="D661" i="35"/>
  <c r="D662" i="35"/>
  <c r="D663" i="35"/>
  <c r="D664" i="35"/>
  <c r="D665" i="35"/>
  <c r="D666" i="35"/>
  <c r="D667" i="35"/>
  <c r="D668" i="35"/>
  <c r="D669" i="35"/>
  <c r="D670" i="35"/>
  <c r="D671" i="35"/>
  <c r="D672" i="35"/>
  <c r="D673" i="35"/>
  <c r="D674" i="35"/>
  <c r="D675" i="35"/>
  <c r="D676" i="35"/>
  <c r="D677" i="35"/>
  <c r="D678" i="35"/>
  <c r="D679" i="35"/>
  <c r="D680" i="35"/>
  <c r="D681" i="35"/>
  <c r="D682" i="35"/>
  <c r="D683" i="35"/>
  <c r="D684" i="35"/>
  <c r="D685" i="35"/>
  <c r="D686" i="35"/>
  <c r="D687" i="35"/>
  <c r="D688" i="35"/>
  <c r="D689" i="35"/>
  <c r="D690" i="35"/>
  <c r="D691" i="35"/>
  <c r="D692" i="35"/>
  <c r="D693" i="35"/>
  <c r="D694" i="35"/>
  <c r="D695" i="35"/>
  <c r="D696" i="35"/>
  <c r="D697" i="35"/>
  <c r="D698" i="35"/>
  <c r="D699" i="35"/>
  <c r="D700" i="35"/>
  <c r="D701" i="35"/>
  <c r="D702" i="35"/>
  <c r="D703" i="35"/>
  <c r="D704" i="35"/>
  <c r="D705" i="35"/>
  <c r="D706" i="35"/>
  <c r="D707" i="35"/>
  <c r="D708" i="35"/>
  <c r="D709" i="35"/>
  <c r="D710" i="35"/>
  <c r="D711" i="35"/>
  <c r="D712" i="35"/>
  <c r="D713" i="35"/>
  <c r="D714" i="35"/>
  <c r="D715" i="35"/>
  <c r="D716" i="35"/>
  <c r="D717" i="35"/>
  <c r="D718" i="35"/>
  <c r="D719" i="35"/>
  <c r="D720" i="35"/>
  <c r="D721" i="35"/>
  <c r="D722" i="35"/>
  <c r="D723" i="35"/>
  <c r="D724" i="35"/>
  <c r="D725" i="35"/>
  <c r="D726" i="35"/>
  <c r="D727" i="35"/>
  <c r="D728" i="35"/>
  <c r="D729" i="35"/>
  <c r="D730" i="35"/>
  <c r="D731" i="35"/>
  <c r="D732" i="35"/>
  <c r="D733" i="35"/>
  <c r="D734" i="35"/>
  <c r="D735" i="35"/>
  <c r="D736" i="35"/>
  <c r="D737" i="35"/>
  <c r="D738" i="35"/>
  <c r="D739" i="35"/>
  <c r="D740" i="35"/>
  <c r="D741" i="35"/>
  <c r="D742" i="35"/>
  <c r="D743" i="35"/>
  <c r="D744" i="35"/>
  <c r="D745" i="35"/>
  <c r="D746" i="35"/>
  <c r="D747" i="35"/>
  <c r="D748" i="35"/>
  <c r="D749" i="35"/>
  <c r="D750" i="35"/>
  <c r="D751" i="35"/>
  <c r="D752" i="35"/>
  <c r="D753" i="35"/>
  <c r="D754" i="35"/>
  <c r="D755" i="35"/>
  <c r="D756" i="35"/>
  <c r="D757" i="35"/>
  <c r="D758" i="35"/>
  <c r="D759" i="35"/>
  <c r="D760" i="35"/>
  <c r="D761" i="35"/>
  <c r="D762" i="35"/>
  <c r="D763" i="35"/>
  <c r="D764" i="35"/>
  <c r="D765" i="35"/>
  <c r="D766" i="35"/>
  <c r="D767" i="35"/>
  <c r="D768" i="35"/>
  <c r="D769" i="35"/>
  <c r="D770" i="35"/>
  <c r="D771" i="35"/>
  <c r="D772" i="35"/>
  <c r="D773" i="35"/>
  <c r="D774" i="35"/>
  <c r="D775" i="35"/>
  <c r="D776" i="35"/>
  <c r="D777" i="35"/>
  <c r="D778" i="35"/>
  <c r="D779" i="35"/>
  <c r="D780" i="35"/>
  <c r="D781" i="35"/>
  <c r="D782" i="35"/>
  <c r="D783" i="35"/>
  <c r="D784" i="35"/>
  <c r="D785" i="35"/>
  <c r="D786" i="35"/>
  <c r="D787" i="35"/>
  <c r="D788" i="35"/>
  <c r="D789" i="35"/>
  <c r="D790" i="35"/>
  <c r="D791" i="35"/>
  <c r="D792" i="35"/>
  <c r="D793" i="35"/>
  <c r="D794" i="35"/>
  <c r="D795" i="35"/>
  <c r="D796" i="35"/>
  <c r="D797" i="35"/>
  <c r="D798" i="35"/>
  <c r="D799" i="35"/>
  <c r="D800" i="35"/>
  <c r="D801" i="35"/>
  <c r="D802" i="35"/>
  <c r="D803" i="35"/>
  <c r="D804" i="35"/>
  <c r="D805" i="35"/>
  <c r="D806" i="35"/>
  <c r="D807" i="35"/>
  <c r="D808" i="35"/>
  <c r="D809" i="35"/>
  <c r="D810" i="35"/>
  <c r="D811" i="35"/>
  <c r="D812" i="35"/>
  <c r="D813" i="35"/>
  <c r="D814" i="35"/>
  <c r="D815" i="35"/>
  <c r="D816" i="35"/>
  <c r="D817" i="35"/>
  <c r="D818" i="35"/>
  <c r="D819" i="35"/>
  <c r="D820" i="35"/>
  <c r="D821" i="35"/>
  <c r="D822" i="35"/>
  <c r="D823" i="35"/>
  <c r="D824" i="35"/>
  <c r="D825" i="35"/>
  <c r="D826" i="35"/>
  <c r="D827" i="35"/>
  <c r="D828" i="35"/>
  <c r="D829" i="35"/>
  <c r="D830" i="35"/>
  <c r="D831" i="35"/>
  <c r="D832" i="35"/>
  <c r="D833" i="35"/>
  <c r="D834" i="35"/>
  <c r="D835" i="35"/>
  <c r="D836" i="35"/>
  <c r="D837" i="35"/>
  <c r="D838" i="35"/>
  <c r="D839" i="35"/>
  <c r="D840" i="35"/>
  <c r="D841" i="35"/>
  <c r="D842" i="35"/>
  <c r="D843" i="35"/>
  <c r="D844" i="35"/>
  <c r="D845" i="35"/>
  <c r="D846" i="35"/>
  <c r="D847" i="35"/>
  <c r="D848" i="35"/>
  <c r="D849" i="35"/>
  <c r="D850" i="35"/>
  <c r="D851" i="35"/>
  <c r="D852" i="35"/>
  <c r="D853" i="35"/>
  <c r="D854" i="35"/>
  <c r="D855" i="35"/>
  <c r="D856" i="35"/>
  <c r="D857" i="35"/>
  <c r="D858" i="35"/>
  <c r="D859" i="35"/>
  <c r="D860" i="35"/>
  <c r="D861" i="35"/>
  <c r="D862" i="35"/>
  <c r="D863" i="35"/>
  <c r="D864" i="35"/>
  <c r="D865" i="35"/>
  <c r="D866" i="35"/>
  <c r="D867" i="35"/>
  <c r="D868" i="35"/>
  <c r="D869" i="35"/>
  <c r="D870" i="35"/>
  <c r="D871" i="35"/>
  <c r="D872" i="35"/>
  <c r="D873" i="35"/>
  <c r="D874" i="35"/>
  <c r="D875" i="35"/>
  <c r="D876" i="35"/>
  <c r="D877" i="35"/>
  <c r="D878" i="35"/>
  <c r="D879" i="35"/>
  <c r="D880" i="35"/>
  <c r="D881" i="35"/>
  <c r="D882" i="35"/>
  <c r="D883" i="35"/>
  <c r="D884" i="35"/>
  <c r="D885" i="35"/>
  <c r="D886" i="35"/>
  <c r="D887" i="35"/>
  <c r="D888" i="35"/>
  <c r="D889" i="35"/>
  <c r="D890" i="35"/>
  <c r="D891" i="35"/>
  <c r="D892" i="35"/>
  <c r="D893" i="35"/>
  <c r="D894" i="35"/>
  <c r="D895" i="35"/>
  <c r="D896" i="35"/>
  <c r="D897" i="35"/>
  <c r="D898" i="35"/>
  <c r="D899" i="35"/>
  <c r="D900" i="35"/>
  <c r="D901" i="35"/>
  <c r="D902" i="35"/>
  <c r="D903" i="35"/>
  <c r="D904" i="35"/>
  <c r="D905" i="35"/>
  <c r="D906" i="35"/>
  <c r="D907" i="35"/>
  <c r="D908" i="35"/>
  <c r="D909" i="35"/>
  <c r="D910" i="35"/>
  <c r="D911" i="35"/>
  <c r="D912" i="35"/>
  <c r="D913" i="35"/>
  <c r="D914" i="35"/>
  <c r="D915" i="35"/>
  <c r="D916" i="35"/>
  <c r="D917" i="35"/>
  <c r="D918" i="35"/>
  <c r="D919" i="35"/>
  <c r="D920" i="35"/>
  <c r="D921" i="35"/>
  <c r="D922" i="35"/>
  <c r="D923" i="35"/>
  <c r="D924" i="35"/>
  <c r="D925" i="35"/>
  <c r="D926" i="35"/>
  <c r="D927" i="35"/>
  <c r="D928" i="35"/>
  <c r="D929" i="35"/>
  <c r="D930" i="35"/>
  <c r="D931" i="35"/>
  <c r="D932" i="35"/>
  <c r="D933" i="35"/>
  <c r="D934" i="35"/>
  <c r="D935" i="35"/>
  <c r="D936" i="35"/>
  <c r="D937" i="35"/>
  <c r="D938" i="35"/>
  <c r="D939" i="35"/>
  <c r="D940" i="35"/>
  <c r="D941" i="35"/>
  <c r="D942" i="35"/>
  <c r="D943" i="35"/>
  <c r="D944" i="35"/>
  <c r="D945" i="35"/>
  <c r="D946" i="35"/>
  <c r="D947" i="35"/>
  <c r="D948" i="35"/>
  <c r="D949" i="35"/>
  <c r="D950" i="35"/>
  <c r="D951" i="35"/>
  <c r="D952" i="35"/>
  <c r="D953" i="35"/>
  <c r="D954" i="35"/>
  <c r="D955" i="35"/>
  <c r="D956" i="35"/>
  <c r="D957" i="35"/>
  <c r="D958" i="35"/>
  <c r="D959" i="35"/>
  <c r="D960" i="35"/>
  <c r="D961" i="35"/>
  <c r="D962" i="35"/>
  <c r="D963" i="35"/>
  <c r="D964" i="35"/>
  <c r="D965" i="35"/>
  <c r="D966" i="35"/>
  <c r="D967" i="35"/>
  <c r="D968" i="35"/>
  <c r="D969" i="35"/>
  <c r="D970" i="35"/>
  <c r="D971" i="35"/>
  <c r="D972" i="35"/>
  <c r="D973" i="35"/>
  <c r="D974" i="35"/>
  <c r="D975" i="35"/>
  <c r="D976" i="35"/>
  <c r="D977" i="35"/>
  <c r="D978" i="35"/>
  <c r="D979" i="35"/>
  <c r="D980" i="35"/>
  <c r="D981" i="35"/>
  <c r="D982" i="35"/>
  <c r="D983" i="35"/>
  <c r="D984" i="35"/>
  <c r="D985" i="35"/>
  <c r="D986" i="35"/>
  <c r="D987" i="35"/>
  <c r="D988" i="35"/>
  <c r="D989" i="35"/>
  <c r="D990" i="35"/>
  <c r="D991" i="35"/>
  <c r="D992" i="35"/>
  <c r="D993" i="35"/>
  <c r="D994" i="35"/>
  <c r="D995" i="35"/>
  <c r="D996" i="35"/>
  <c r="D997" i="35"/>
  <c r="D998" i="35"/>
  <c r="D999" i="35"/>
  <c r="D1000" i="35"/>
  <c r="D1001" i="35"/>
  <c r="D1002" i="35"/>
  <c r="D1003" i="35"/>
  <c r="D1004" i="35"/>
  <c r="D1005" i="35"/>
  <c r="D1006" i="35"/>
  <c r="D1007" i="35"/>
  <c r="D1008" i="35"/>
  <c r="D1009" i="35"/>
  <c r="D1010" i="35"/>
  <c r="D1011" i="35"/>
  <c r="D1012" i="35"/>
  <c r="D1013" i="35"/>
  <c r="D1014" i="35"/>
  <c r="D1015" i="35"/>
  <c r="D1016" i="35"/>
  <c r="D1017" i="35"/>
  <c r="D1018" i="35"/>
  <c r="D1019" i="35"/>
  <c r="D1020" i="35"/>
  <c r="D1021" i="35"/>
  <c r="D1022" i="35"/>
  <c r="D1023" i="35"/>
  <c r="D1024" i="35"/>
  <c r="D1025" i="35"/>
  <c r="D1026" i="35"/>
  <c r="D1027" i="35"/>
  <c r="D1028" i="35"/>
  <c r="D1029" i="35"/>
  <c r="D1030" i="35"/>
  <c r="D1031" i="35"/>
  <c r="D1032" i="35"/>
  <c r="D1033" i="35"/>
  <c r="D1034" i="35"/>
  <c r="D1035" i="35"/>
  <c r="D1036" i="35"/>
  <c r="D1037" i="35"/>
  <c r="D1038" i="35"/>
  <c r="D1039" i="35"/>
  <c r="D1040" i="35"/>
  <c r="D1041" i="35"/>
  <c r="D1042" i="35"/>
  <c r="D1043" i="35"/>
  <c r="D1044" i="35"/>
  <c r="D1045" i="35"/>
  <c r="D1046" i="35"/>
  <c r="D1047" i="35"/>
  <c r="D1048" i="35"/>
  <c r="D1049" i="35"/>
  <c r="D1050" i="35"/>
  <c r="D1051" i="35"/>
  <c r="D1052" i="35"/>
  <c r="D1053" i="35"/>
  <c r="D1054" i="35"/>
  <c r="D1055" i="35"/>
  <c r="D1056" i="35"/>
  <c r="D1057" i="35"/>
  <c r="D1058" i="35"/>
  <c r="D1059" i="35"/>
  <c r="D1060" i="35"/>
  <c r="D1061" i="35"/>
  <c r="D1062" i="35"/>
  <c r="D1063" i="35"/>
  <c r="D1064" i="35"/>
  <c r="D1065" i="35"/>
  <c r="D1066" i="35"/>
  <c r="D1067" i="35"/>
  <c r="D1068" i="35"/>
  <c r="D1069" i="35"/>
  <c r="D1070" i="35"/>
  <c r="D1071" i="35"/>
  <c r="D1072" i="35"/>
  <c r="D1073" i="35"/>
  <c r="D1074" i="35"/>
  <c r="D1075" i="35"/>
  <c r="D1076" i="35"/>
  <c r="D1077" i="35"/>
  <c r="D1078" i="35"/>
  <c r="D1079" i="35"/>
  <c r="D1080" i="35"/>
  <c r="D1081" i="35"/>
  <c r="D1082" i="35"/>
  <c r="D1083" i="35"/>
  <c r="D1084" i="35"/>
  <c r="D1085" i="35"/>
  <c r="D1086" i="35"/>
  <c r="D1087" i="35"/>
  <c r="D1088" i="35"/>
  <c r="D1089" i="35"/>
  <c r="D1090" i="35"/>
  <c r="D1091" i="35"/>
  <c r="D1092" i="35"/>
  <c r="D1093" i="35"/>
  <c r="D1094" i="35"/>
  <c r="D1095" i="35"/>
  <c r="D1096" i="35"/>
  <c r="D1097" i="35"/>
  <c r="D1098" i="35"/>
  <c r="D1099" i="35"/>
  <c r="D1100" i="35"/>
  <c r="D1101" i="35"/>
  <c r="D1102" i="35"/>
  <c r="D1103" i="35"/>
  <c r="D1104" i="35"/>
  <c r="D1105" i="35"/>
  <c r="D1106" i="35"/>
  <c r="D1107" i="35"/>
  <c r="D1108" i="35"/>
  <c r="D1109" i="35"/>
  <c r="D1110" i="35"/>
  <c r="D1111" i="35"/>
  <c r="D1112" i="35"/>
  <c r="D1113" i="35"/>
  <c r="D1114" i="35"/>
  <c r="D1115" i="35"/>
  <c r="D1116" i="35"/>
  <c r="D1117" i="35"/>
  <c r="D1118" i="35"/>
  <c r="D1119" i="35"/>
  <c r="D1120" i="35"/>
  <c r="D1121" i="35"/>
  <c r="D1122" i="35"/>
  <c r="D1123" i="35"/>
  <c r="D1124" i="35"/>
  <c r="D1125" i="35"/>
  <c r="D1126" i="35"/>
  <c r="D1127" i="35"/>
  <c r="D1128" i="35"/>
  <c r="D1129" i="35"/>
  <c r="D1130" i="35"/>
  <c r="D1131" i="35"/>
  <c r="D1132" i="35"/>
  <c r="D1133" i="35"/>
  <c r="D1134" i="35"/>
  <c r="D1135" i="35"/>
  <c r="D1136" i="35"/>
  <c r="D1137" i="35"/>
  <c r="D1138" i="35"/>
  <c r="D1139" i="35"/>
  <c r="D1140" i="35"/>
  <c r="D1141" i="35"/>
  <c r="D1142" i="35"/>
  <c r="D1143" i="35"/>
  <c r="D1144" i="35"/>
  <c r="D1145" i="35"/>
  <c r="D1146" i="35"/>
  <c r="D1147" i="35"/>
  <c r="D1148" i="35"/>
  <c r="D1149" i="35"/>
  <c r="D1150" i="35"/>
  <c r="D1151" i="35"/>
  <c r="D1152" i="35"/>
  <c r="D1153" i="35"/>
  <c r="D1154" i="35"/>
  <c r="D1155" i="35"/>
  <c r="D1156" i="35"/>
  <c r="D1157" i="35"/>
  <c r="D1158" i="35"/>
  <c r="D1159" i="35"/>
  <c r="D1160" i="35"/>
  <c r="D1161" i="35"/>
  <c r="D1162" i="35"/>
  <c r="D1163" i="35"/>
  <c r="D1164" i="35"/>
  <c r="D1165" i="35"/>
  <c r="D1166" i="35"/>
  <c r="D1167" i="35"/>
  <c r="D1168" i="35"/>
  <c r="D1169" i="35"/>
  <c r="D1170" i="35"/>
  <c r="D1171" i="35"/>
  <c r="D1172" i="35"/>
  <c r="D1173" i="35"/>
  <c r="D1174" i="35"/>
  <c r="D1175" i="35"/>
  <c r="D1176" i="35"/>
  <c r="D1177" i="35"/>
  <c r="D1178" i="35"/>
  <c r="D1179" i="35"/>
  <c r="D1180" i="35"/>
  <c r="D1181" i="35"/>
  <c r="D1182" i="35"/>
  <c r="D1183" i="35"/>
  <c r="D1184" i="35"/>
  <c r="D1185" i="35"/>
  <c r="D1186" i="35"/>
  <c r="D1187" i="35"/>
  <c r="D1188" i="35"/>
  <c r="D1189" i="35"/>
  <c r="D1190" i="35"/>
  <c r="D1191" i="35"/>
  <c r="D1192" i="35"/>
  <c r="D1193" i="35"/>
  <c r="D1194" i="35"/>
  <c r="D1195" i="35"/>
  <c r="D1196" i="35"/>
  <c r="D1197" i="35"/>
  <c r="D1198" i="35"/>
  <c r="D1199" i="35"/>
  <c r="D1200" i="35"/>
  <c r="D1201" i="35"/>
  <c r="D1202" i="35"/>
  <c r="D1203" i="35"/>
  <c r="D1204" i="35"/>
  <c r="D1205" i="35"/>
  <c r="D1206" i="35"/>
  <c r="D1207" i="35"/>
  <c r="D1208" i="35"/>
  <c r="D1209" i="35"/>
  <c r="D1210" i="35"/>
  <c r="D1211" i="35"/>
  <c r="D1212" i="35"/>
  <c r="D1213" i="35"/>
  <c r="D1214" i="35"/>
  <c r="D1215" i="35"/>
  <c r="D1216" i="35"/>
  <c r="D1217" i="35"/>
  <c r="D1218" i="35"/>
  <c r="D1219" i="35"/>
  <c r="D1220" i="35"/>
  <c r="D1221" i="35"/>
  <c r="D1222" i="35"/>
  <c r="D1223" i="35"/>
  <c r="D1224" i="35"/>
  <c r="D1225" i="35"/>
  <c r="D1226" i="35"/>
  <c r="D1227" i="35"/>
  <c r="D1228" i="35"/>
  <c r="D1229" i="35"/>
  <c r="D1230" i="35"/>
  <c r="D1231" i="35"/>
  <c r="D1232" i="35"/>
  <c r="D1233" i="35"/>
  <c r="D1234" i="35"/>
  <c r="D1235" i="35"/>
  <c r="D1236" i="35"/>
  <c r="D1237" i="35"/>
  <c r="D1238" i="35"/>
  <c r="D1239" i="35"/>
  <c r="D1240" i="35"/>
  <c r="Z55" i="26"/>
  <c r="AC55" i="26" s="1"/>
  <c r="AF55" i="26" s="1"/>
  <c r="AI55" i="26" s="1"/>
  <c r="T195" i="46"/>
  <c r="N674" i="46"/>
  <c r="N675" i="46"/>
  <c r="N676" i="46"/>
  <c r="N677" i="46"/>
  <c r="N678" i="46"/>
  <c r="N679" i="46"/>
  <c r="N680" i="46"/>
  <c r="N681" i="46"/>
  <c r="N682" i="46"/>
  <c r="N683" i="46"/>
  <c r="N684" i="46"/>
  <c r="N685" i="46"/>
  <c r="N686" i="46"/>
  <c r="N687" i="46"/>
  <c r="N688" i="46"/>
  <c r="N689" i="46"/>
  <c r="N690" i="46"/>
  <c r="N691" i="46"/>
  <c r="N692" i="46"/>
  <c r="N693" i="46"/>
  <c r="N694" i="46"/>
  <c r="N695" i="46"/>
  <c r="N696" i="46"/>
  <c r="N697" i="46"/>
  <c r="N698" i="46"/>
  <c r="N699" i="46"/>
  <c r="N700" i="46"/>
  <c r="N701" i="46"/>
  <c r="N702" i="46"/>
  <c r="N703" i="46"/>
  <c r="N704" i="46"/>
  <c r="N705" i="46"/>
  <c r="N706" i="46"/>
  <c r="N707" i="46"/>
  <c r="N708" i="46"/>
  <c r="N709" i="46"/>
  <c r="N710" i="46"/>
  <c r="N711" i="46"/>
  <c r="N712" i="46"/>
  <c r="N713" i="46"/>
  <c r="N714" i="46"/>
  <c r="N715" i="46"/>
  <c r="N716" i="46"/>
  <c r="N717" i="46"/>
  <c r="N718" i="46"/>
  <c r="N719" i="46"/>
  <c r="N720" i="46"/>
  <c r="N721" i="46"/>
  <c r="N722" i="46"/>
  <c r="N723" i="46"/>
  <c r="N724" i="46"/>
  <c r="N725" i="46"/>
  <c r="N726" i="46"/>
  <c r="N727" i="46"/>
  <c r="N728" i="46"/>
  <c r="N729" i="46"/>
  <c r="N730" i="46"/>
  <c r="N731" i="46"/>
  <c r="N732" i="46"/>
  <c r="N733" i="46"/>
  <c r="N734" i="46"/>
  <c r="N735" i="46"/>
  <c r="N736" i="46"/>
  <c r="N737" i="46"/>
  <c r="N738" i="46"/>
  <c r="N739" i="46"/>
  <c r="N740" i="46"/>
  <c r="N741" i="46"/>
  <c r="N742" i="46"/>
  <c r="N743" i="46"/>
  <c r="N744" i="46"/>
  <c r="N745" i="46"/>
  <c r="N746" i="46"/>
  <c r="N747" i="46"/>
  <c r="N748" i="46"/>
  <c r="N749" i="46"/>
  <c r="N750" i="46"/>
  <c r="N751" i="46"/>
  <c r="N752" i="46"/>
  <c r="N753" i="46"/>
  <c r="N754" i="46"/>
  <c r="N755" i="46"/>
  <c r="N756" i="46"/>
  <c r="N757" i="46"/>
  <c r="N758" i="46"/>
  <c r="N759" i="46"/>
  <c r="N760" i="46"/>
  <c r="N761" i="46"/>
  <c r="N762" i="46"/>
  <c r="N268" i="46"/>
  <c r="N269" i="46"/>
  <c r="N270" i="46"/>
  <c r="N271" i="46"/>
  <c r="N272" i="46"/>
  <c r="N273" i="46"/>
  <c r="N274" i="46"/>
  <c r="N275" i="46"/>
  <c r="N276" i="46"/>
  <c r="N277" i="46"/>
  <c r="N278" i="46"/>
  <c r="N279" i="46"/>
  <c r="N280" i="46"/>
  <c r="N281" i="46"/>
  <c r="N282" i="46"/>
  <c r="N283" i="46"/>
  <c r="N284" i="46"/>
  <c r="N285" i="46"/>
  <c r="N286" i="46"/>
  <c r="N287" i="46"/>
  <c r="N288" i="46"/>
  <c r="N289" i="46"/>
  <c r="N290" i="46"/>
  <c r="N291" i="46"/>
  <c r="N292" i="46"/>
  <c r="N293" i="46"/>
  <c r="N294" i="46"/>
  <c r="N295" i="46"/>
  <c r="N296" i="46"/>
  <c r="N297" i="46"/>
  <c r="N298" i="46"/>
  <c r="N299" i="46"/>
  <c r="N300" i="46"/>
  <c r="N301" i="46"/>
  <c r="N302" i="46"/>
  <c r="N303" i="46"/>
  <c r="N304" i="46"/>
  <c r="N305" i="46"/>
  <c r="N306" i="46"/>
  <c r="N307" i="46"/>
  <c r="N308" i="46"/>
  <c r="N309" i="46"/>
  <c r="N310" i="46"/>
  <c r="N311" i="46"/>
  <c r="N312" i="46"/>
  <c r="N313" i="46"/>
  <c r="N314" i="46"/>
  <c r="N315" i="46"/>
  <c r="N316" i="46"/>
  <c r="N317" i="46"/>
  <c r="N318" i="46"/>
  <c r="N319" i="46"/>
  <c r="N320" i="46"/>
  <c r="N321" i="46"/>
  <c r="N322" i="46"/>
  <c r="N323" i="46"/>
  <c r="N324" i="46"/>
  <c r="N325" i="46"/>
  <c r="N326" i="46"/>
  <c r="N327" i="46"/>
  <c r="N328" i="46"/>
  <c r="N329" i="46"/>
  <c r="N330" i="46"/>
  <c r="N331" i="46"/>
  <c r="N332" i="46"/>
  <c r="N333" i="46"/>
  <c r="N334" i="46"/>
  <c r="N335" i="46"/>
  <c r="N336" i="46"/>
  <c r="N337" i="46"/>
  <c r="N338" i="46"/>
  <c r="N339" i="46"/>
  <c r="N340" i="46"/>
  <c r="N341" i="46"/>
  <c r="N342" i="46"/>
  <c r="N343" i="46"/>
  <c r="N344" i="46"/>
  <c r="N345" i="46"/>
  <c r="N346" i="46"/>
  <c r="N347" i="46"/>
  <c r="N348" i="46"/>
  <c r="N349" i="46"/>
  <c r="N350" i="46"/>
  <c r="N351" i="46"/>
  <c r="N352" i="46"/>
  <c r="N353" i="46"/>
  <c r="N354" i="46"/>
  <c r="N355" i="46"/>
  <c r="N356" i="46"/>
  <c r="N357" i="46"/>
  <c r="N358" i="46"/>
  <c r="N359" i="46"/>
  <c r="N360" i="46"/>
  <c r="N361" i="46"/>
  <c r="N362" i="46"/>
  <c r="N363" i="46"/>
  <c r="N364" i="46"/>
  <c r="N365" i="46"/>
  <c r="N366" i="46"/>
  <c r="N367" i="46"/>
  <c r="N368" i="46"/>
  <c r="N369" i="46"/>
  <c r="N370" i="46"/>
  <c r="N371" i="46"/>
  <c r="N372" i="46"/>
  <c r="N373" i="46"/>
  <c r="N374" i="46"/>
  <c r="N375" i="46"/>
  <c r="N376" i="46"/>
  <c r="N377" i="46"/>
  <c r="N378" i="46"/>
  <c r="N379" i="46"/>
  <c r="N380" i="46"/>
  <c r="N381" i="46"/>
  <c r="N382" i="46"/>
  <c r="N383" i="46"/>
  <c r="N384" i="46"/>
  <c r="N385" i="46"/>
  <c r="N386" i="46"/>
  <c r="N387" i="46"/>
  <c r="N388" i="46"/>
  <c r="N389" i="46"/>
  <c r="N390" i="46"/>
  <c r="N391" i="46"/>
  <c r="N392" i="46"/>
  <c r="N393" i="46"/>
  <c r="N394" i="46"/>
  <c r="N395" i="46"/>
  <c r="N396" i="46"/>
  <c r="N397" i="46"/>
  <c r="N398" i="46"/>
  <c r="N399" i="46"/>
  <c r="N400" i="46"/>
  <c r="N401" i="46"/>
  <c r="N402" i="46"/>
  <c r="N403" i="46"/>
  <c r="N404" i="46"/>
  <c r="N405" i="46"/>
  <c r="N406" i="46"/>
  <c r="N407" i="46"/>
  <c r="N408" i="46"/>
  <c r="N409" i="46"/>
  <c r="N410" i="46"/>
  <c r="N411" i="46"/>
  <c r="N412" i="46"/>
  <c r="N413" i="46"/>
  <c r="N414" i="46"/>
  <c r="N415" i="46"/>
  <c r="N416" i="46"/>
  <c r="N417" i="46"/>
  <c r="N418" i="46"/>
  <c r="N419" i="46"/>
  <c r="N420" i="46"/>
  <c r="N421" i="46"/>
  <c r="N422" i="46"/>
  <c r="N423" i="46"/>
  <c r="N424" i="46"/>
  <c r="N425" i="46"/>
  <c r="N426" i="46"/>
  <c r="N427" i="46"/>
  <c r="N428" i="46"/>
  <c r="N429" i="46"/>
  <c r="N430" i="46"/>
  <c r="N431" i="46"/>
  <c r="N432" i="46"/>
  <c r="N433" i="46"/>
  <c r="N434" i="46"/>
  <c r="N435" i="46"/>
  <c r="N436" i="46"/>
  <c r="N437" i="46"/>
  <c r="N438" i="46"/>
  <c r="N439" i="46"/>
  <c r="N440" i="46"/>
  <c r="N441" i="46"/>
  <c r="N442" i="46"/>
  <c r="N443" i="46"/>
  <c r="N444" i="46"/>
  <c r="N445" i="46"/>
  <c r="N446" i="46"/>
  <c r="N447" i="46"/>
  <c r="N448" i="46"/>
  <c r="N449" i="46"/>
  <c r="N450" i="46"/>
  <c r="N451" i="46"/>
  <c r="N452" i="46"/>
  <c r="N453" i="46"/>
  <c r="N454" i="46"/>
  <c r="N455" i="46"/>
  <c r="N456" i="46"/>
  <c r="N457" i="46"/>
  <c r="N458" i="46"/>
  <c r="N459" i="46"/>
  <c r="N460" i="46"/>
  <c r="N461" i="46"/>
  <c r="N462" i="46"/>
  <c r="N463" i="46"/>
  <c r="N464" i="46"/>
  <c r="N465" i="46"/>
  <c r="N466" i="46"/>
  <c r="N467" i="46"/>
  <c r="N468" i="46"/>
  <c r="N469" i="46"/>
  <c r="N470" i="46"/>
  <c r="N471" i="46"/>
  <c r="N472" i="46"/>
  <c r="N473" i="46"/>
  <c r="N474" i="46"/>
  <c r="N475" i="46"/>
  <c r="N476" i="46"/>
  <c r="N477" i="46"/>
  <c r="N478" i="46"/>
  <c r="N479" i="46"/>
  <c r="N480" i="46"/>
  <c r="N481" i="46"/>
  <c r="N482" i="46"/>
  <c r="N483" i="46"/>
  <c r="N484" i="46"/>
  <c r="N485" i="46"/>
  <c r="N486" i="46"/>
  <c r="N487" i="46"/>
  <c r="N488" i="46"/>
  <c r="N489" i="46"/>
  <c r="N490" i="46"/>
  <c r="N491" i="46"/>
  <c r="N492" i="46"/>
  <c r="N493" i="46"/>
  <c r="N494" i="46"/>
  <c r="N495" i="46"/>
  <c r="N496" i="46"/>
  <c r="N497" i="46"/>
  <c r="N498" i="46"/>
  <c r="N499" i="46"/>
  <c r="N500" i="46"/>
  <c r="N501" i="46"/>
  <c r="N502" i="46"/>
  <c r="N503" i="46"/>
  <c r="N504" i="46"/>
  <c r="N505" i="46"/>
  <c r="N506" i="46"/>
  <c r="N507" i="46"/>
  <c r="N508" i="46"/>
  <c r="N509" i="46"/>
  <c r="N510" i="46"/>
  <c r="N511" i="46"/>
  <c r="N512" i="46"/>
  <c r="N513" i="46"/>
  <c r="N514" i="46"/>
  <c r="N515" i="46"/>
  <c r="N516" i="46"/>
  <c r="N517" i="46"/>
  <c r="N518" i="46"/>
  <c r="N519" i="46"/>
  <c r="N520" i="46"/>
  <c r="N521" i="46"/>
  <c r="N522" i="46"/>
  <c r="N523" i="46"/>
  <c r="N524" i="46"/>
  <c r="N525" i="46"/>
  <c r="N526" i="46"/>
  <c r="N527" i="46"/>
  <c r="N528" i="46"/>
  <c r="N529" i="46"/>
  <c r="N530" i="46"/>
  <c r="N531" i="46"/>
  <c r="N532" i="46"/>
  <c r="N533" i="46"/>
  <c r="N534" i="46"/>
  <c r="N535" i="46"/>
  <c r="N536" i="46"/>
  <c r="N537" i="46"/>
  <c r="N538" i="46"/>
  <c r="N539" i="46"/>
  <c r="N540" i="46"/>
  <c r="N541" i="46"/>
  <c r="N542" i="46"/>
  <c r="N543" i="46"/>
  <c r="N544" i="46"/>
  <c r="N545" i="46"/>
  <c r="N546" i="46"/>
  <c r="N547" i="46"/>
  <c r="N548" i="46"/>
  <c r="N549" i="46"/>
  <c r="N550" i="46"/>
  <c r="N551" i="46"/>
  <c r="N552" i="46"/>
  <c r="N553" i="46"/>
  <c r="N554" i="46"/>
  <c r="N555" i="46"/>
  <c r="N556" i="46"/>
  <c r="N557" i="46"/>
  <c r="N558" i="46"/>
  <c r="N559" i="46"/>
  <c r="N560" i="46"/>
  <c r="N561" i="46"/>
  <c r="N562" i="46"/>
  <c r="N563" i="46"/>
  <c r="N564" i="46"/>
  <c r="N565" i="46"/>
  <c r="N566" i="46"/>
  <c r="N567" i="46"/>
  <c r="N568" i="46"/>
  <c r="N569" i="46"/>
  <c r="N570" i="46"/>
  <c r="N571" i="46"/>
  <c r="N572" i="46"/>
  <c r="N573" i="46"/>
  <c r="N574" i="46"/>
  <c r="N575" i="46"/>
  <c r="N576" i="46"/>
  <c r="N577" i="46"/>
  <c r="N578" i="46"/>
  <c r="N579" i="46"/>
  <c r="N580" i="46"/>
  <c r="N581" i="46"/>
  <c r="N582" i="46"/>
  <c r="N583" i="46"/>
  <c r="N584" i="46"/>
  <c r="N585" i="46"/>
  <c r="N586" i="46"/>
  <c r="N587" i="46"/>
  <c r="N588" i="46"/>
  <c r="N589" i="46"/>
  <c r="N590" i="46"/>
  <c r="N591" i="46"/>
  <c r="N592" i="46"/>
  <c r="N593" i="46"/>
  <c r="N594" i="46"/>
  <c r="N595" i="46"/>
  <c r="N596" i="46"/>
  <c r="N597" i="46"/>
  <c r="N598" i="46"/>
  <c r="N599" i="46"/>
  <c r="N600" i="46"/>
  <c r="N601" i="46"/>
  <c r="N602" i="46"/>
  <c r="N603" i="46"/>
  <c r="N604" i="46"/>
  <c r="N605" i="46"/>
  <c r="N606" i="46"/>
  <c r="N607" i="46"/>
  <c r="N608" i="46"/>
  <c r="N609" i="46"/>
  <c r="N610" i="46"/>
  <c r="N611" i="46"/>
  <c r="N612" i="46"/>
  <c r="N613" i="46"/>
  <c r="N614" i="46"/>
  <c r="N615" i="46"/>
  <c r="N616" i="46"/>
  <c r="N617" i="46"/>
  <c r="N618" i="46"/>
  <c r="N619" i="46"/>
  <c r="N620" i="46"/>
  <c r="N621" i="46"/>
  <c r="N622" i="46"/>
  <c r="N623" i="46"/>
  <c r="N624" i="46"/>
  <c r="N625" i="46"/>
  <c r="N626" i="46"/>
  <c r="N627" i="46"/>
  <c r="N628" i="46"/>
  <c r="N629" i="46"/>
  <c r="N630" i="46"/>
  <c r="N631" i="46"/>
  <c r="N632" i="46"/>
  <c r="N633" i="46"/>
  <c r="N634" i="46"/>
  <c r="N635" i="46"/>
  <c r="N636" i="46"/>
  <c r="N637" i="46"/>
  <c r="N638" i="46"/>
  <c r="N639" i="46"/>
  <c r="N640" i="46"/>
  <c r="N641" i="46"/>
  <c r="N642" i="46"/>
  <c r="N643" i="46"/>
  <c r="N644" i="46"/>
  <c r="N645" i="46"/>
  <c r="N646" i="46"/>
  <c r="N647" i="46"/>
  <c r="N648" i="46"/>
  <c r="N649" i="46"/>
  <c r="N650" i="46"/>
  <c r="N651" i="46"/>
  <c r="N652" i="46"/>
  <c r="N653" i="46"/>
  <c r="N654" i="46"/>
  <c r="N655" i="46"/>
  <c r="N656" i="46"/>
  <c r="N657" i="46"/>
  <c r="N658" i="46"/>
  <c r="N659" i="46"/>
  <c r="N660" i="46"/>
  <c r="N661" i="46"/>
  <c r="N662" i="46"/>
  <c r="N663" i="46"/>
  <c r="N664" i="46"/>
  <c r="N665" i="46"/>
  <c r="N666" i="46"/>
  <c r="N667" i="46"/>
  <c r="N668" i="46"/>
  <c r="N669" i="46"/>
  <c r="N670" i="46"/>
  <c r="N671" i="46"/>
  <c r="N672" i="46"/>
  <c r="N673" i="46"/>
  <c r="N267" i="46"/>
  <c r="H268" i="46"/>
  <c r="H269" i="46"/>
  <c r="H270" i="46"/>
  <c r="H271" i="46"/>
  <c r="H272" i="46"/>
  <c r="H273" i="46"/>
  <c r="H274" i="46"/>
  <c r="H275" i="46"/>
  <c r="H276" i="46"/>
  <c r="H277" i="46"/>
  <c r="H278" i="46"/>
  <c r="H279" i="46"/>
  <c r="H280" i="46"/>
  <c r="H281" i="46"/>
  <c r="H282" i="46"/>
  <c r="H283" i="46"/>
  <c r="H284" i="46"/>
  <c r="H285" i="46"/>
  <c r="H286" i="46"/>
  <c r="H287" i="46"/>
  <c r="H288" i="46"/>
  <c r="H289" i="46"/>
  <c r="H290" i="46"/>
  <c r="H291" i="46"/>
  <c r="H292" i="46"/>
  <c r="H293" i="46"/>
  <c r="H294" i="46"/>
  <c r="H295" i="46"/>
  <c r="H296" i="46"/>
  <c r="H297" i="46"/>
  <c r="H298" i="46"/>
  <c r="H299" i="46"/>
  <c r="H300" i="46"/>
  <c r="H301" i="46"/>
  <c r="H302" i="46"/>
  <c r="H303" i="46"/>
  <c r="H304" i="46"/>
  <c r="H305" i="46"/>
  <c r="H306" i="46"/>
  <c r="H307" i="46"/>
  <c r="H308" i="46"/>
  <c r="H309" i="46"/>
  <c r="H310" i="46"/>
  <c r="H311" i="46"/>
  <c r="H312" i="46"/>
  <c r="H313" i="46"/>
  <c r="H314" i="46"/>
  <c r="H315" i="46"/>
  <c r="H316" i="46"/>
  <c r="H317" i="46"/>
  <c r="H318" i="46"/>
  <c r="H319" i="46"/>
  <c r="H320" i="46"/>
  <c r="H321" i="46"/>
  <c r="H322" i="46"/>
  <c r="H323" i="46"/>
  <c r="H324" i="46"/>
  <c r="H325" i="46"/>
  <c r="H326" i="46"/>
  <c r="H327" i="46"/>
  <c r="H328" i="46"/>
  <c r="H329" i="46"/>
  <c r="H330" i="46"/>
  <c r="H331" i="46"/>
  <c r="H332" i="46"/>
  <c r="H333" i="46"/>
  <c r="H334" i="46"/>
  <c r="H335" i="46"/>
  <c r="H336" i="46"/>
  <c r="H337" i="46"/>
  <c r="H338" i="46"/>
  <c r="H339" i="46"/>
  <c r="H340" i="46"/>
  <c r="H341" i="46"/>
  <c r="H342" i="46"/>
  <c r="H343" i="46"/>
  <c r="H344" i="46"/>
  <c r="H345" i="46"/>
  <c r="H346" i="46"/>
  <c r="H347" i="46"/>
  <c r="H348" i="46"/>
  <c r="H349" i="46"/>
  <c r="H350" i="46"/>
  <c r="H351" i="46"/>
  <c r="H352" i="46"/>
  <c r="H353" i="46"/>
  <c r="H354" i="46"/>
  <c r="H355" i="46"/>
  <c r="H356" i="46"/>
  <c r="H357" i="46"/>
  <c r="H358" i="46"/>
  <c r="H359" i="46"/>
  <c r="H360" i="46"/>
  <c r="H361" i="46"/>
  <c r="H362" i="46"/>
  <c r="H363" i="46"/>
  <c r="H364" i="46"/>
  <c r="H365" i="46"/>
  <c r="H366" i="46"/>
  <c r="H367" i="46"/>
  <c r="H368" i="46"/>
  <c r="H369" i="46"/>
  <c r="H370" i="46"/>
  <c r="H371" i="46"/>
  <c r="H372" i="46"/>
  <c r="H373" i="46"/>
  <c r="H374" i="46"/>
  <c r="H375" i="46"/>
  <c r="H376" i="46"/>
  <c r="H377" i="46"/>
  <c r="H378" i="46"/>
  <c r="H379" i="46"/>
  <c r="H380" i="46"/>
  <c r="H381" i="46"/>
  <c r="H382" i="46"/>
  <c r="H383" i="46"/>
  <c r="H384" i="46"/>
  <c r="H385" i="46"/>
  <c r="H386" i="46"/>
  <c r="H387" i="46"/>
  <c r="H388" i="46"/>
  <c r="H389" i="46"/>
  <c r="H390" i="46"/>
  <c r="H391" i="46"/>
  <c r="H392" i="46"/>
  <c r="H393" i="46"/>
  <c r="H394" i="46"/>
  <c r="H395" i="46"/>
  <c r="H396" i="46"/>
  <c r="H397" i="46"/>
  <c r="H398" i="46"/>
  <c r="H399" i="46"/>
  <c r="H400" i="46"/>
  <c r="H401" i="46"/>
  <c r="H402" i="46"/>
  <c r="H403" i="46"/>
  <c r="H404" i="46"/>
  <c r="H405" i="46"/>
  <c r="H406" i="46"/>
  <c r="H407" i="46"/>
  <c r="H408" i="46"/>
  <c r="H409" i="46"/>
  <c r="H410" i="46"/>
  <c r="H411" i="46"/>
  <c r="H412" i="46"/>
  <c r="H413" i="46"/>
  <c r="H414" i="46"/>
  <c r="H415" i="46"/>
  <c r="H416" i="46"/>
  <c r="H417" i="46"/>
  <c r="H418" i="46"/>
  <c r="H419" i="46"/>
  <c r="H420" i="46"/>
  <c r="H421" i="46"/>
  <c r="H422" i="46"/>
  <c r="H423" i="46"/>
  <c r="H424" i="46"/>
  <c r="H425" i="46"/>
  <c r="H426" i="46"/>
  <c r="H427" i="46"/>
  <c r="H428" i="46"/>
  <c r="H429" i="46"/>
  <c r="H430" i="46"/>
  <c r="H431" i="46"/>
  <c r="H432" i="46"/>
  <c r="H433" i="46"/>
  <c r="H434" i="46"/>
  <c r="H435" i="46"/>
  <c r="H436" i="46"/>
  <c r="H437" i="46"/>
  <c r="H438" i="46"/>
  <c r="H439" i="46"/>
  <c r="H440" i="46"/>
  <c r="H441" i="46"/>
  <c r="H442" i="46"/>
  <c r="H443" i="46"/>
  <c r="H444" i="46"/>
  <c r="H445" i="46"/>
  <c r="H446" i="46"/>
  <c r="H447" i="46"/>
  <c r="H448" i="46"/>
  <c r="H449" i="46"/>
  <c r="H450" i="46"/>
  <c r="H451" i="46"/>
  <c r="H452" i="46"/>
  <c r="H453" i="46"/>
  <c r="H454" i="46"/>
  <c r="H455" i="46"/>
  <c r="H456" i="46"/>
  <c r="H457" i="46"/>
  <c r="H458" i="46"/>
  <c r="H459" i="46"/>
  <c r="H460" i="46"/>
  <c r="H461" i="46"/>
  <c r="H462" i="46"/>
  <c r="H463" i="46"/>
  <c r="H464" i="46"/>
  <c r="H465" i="46"/>
  <c r="H466" i="46"/>
  <c r="H467" i="46"/>
  <c r="H468" i="46"/>
  <c r="H469" i="46"/>
  <c r="H470" i="46"/>
  <c r="H471" i="46"/>
  <c r="H472" i="46"/>
  <c r="H473" i="46"/>
  <c r="H474" i="46"/>
  <c r="H475" i="46"/>
  <c r="H476" i="46"/>
  <c r="H477" i="46"/>
  <c r="H478" i="46"/>
  <c r="H479" i="46"/>
  <c r="H480" i="46"/>
  <c r="H481" i="46"/>
  <c r="H482" i="46"/>
  <c r="H483" i="46"/>
  <c r="H484" i="46"/>
  <c r="H485" i="46"/>
  <c r="H486" i="46"/>
  <c r="H487" i="46"/>
  <c r="H488" i="46"/>
  <c r="H489" i="46"/>
  <c r="H490" i="46"/>
  <c r="H491" i="46"/>
  <c r="H492" i="46"/>
  <c r="H493" i="46"/>
  <c r="H494" i="46"/>
  <c r="H495" i="46"/>
  <c r="H496" i="46"/>
  <c r="H497" i="46"/>
  <c r="H498" i="46"/>
  <c r="H499" i="46"/>
  <c r="H500" i="46"/>
  <c r="H501" i="46"/>
  <c r="H502" i="46"/>
  <c r="H503" i="46"/>
  <c r="H504" i="46"/>
  <c r="H505" i="46"/>
  <c r="H506" i="46"/>
  <c r="H507" i="46"/>
  <c r="H508" i="46"/>
  <c r="H509" i="46"/>
  <c r="H510" i="46"/>
  <c r="H511" i="46"/>
  <c r="H512" i="46"/>
  <c r="H513" i="46"/>
  <c r="H514" i="46"/>
  <c r="H515" i="46"/>
  <c r="H516" i="46"/>
  <c r="H517" i="46"/>
  <c r="H518" i="46"/>
  <c r="H519" i="46"/>
  <c r="H520" i="46"/>
  <c r="H521" i="46"/>
  <c r="H522" i="46"/>
  <c r="H523" i="46"/>
  <c r="H524" i="46"/>
  <c r="H525" i="46"/>
  <c r="H526" i="46"/>
  <c r="H527" i="46"/>
  <c r="H528" i="46"/>
  <c r="H529" i="46"/>
  <c r="H530" i="46"/>
  <c r="H531" i="46"/>
  <c r="H532" i="46"/>
  <c r="H533" i="46"/>
  <c r="H534" i="46"/>
  <c r="H535" i="46"/>
  <c r="H536" i="46"/>
  <c r="H537" i="46"/>
  <c r="H538" i="46"/>
  <c r="H539" i="46"/>
  <c r="H540" i="46"/>
  <c r="H541" i="46"/>
  <c r="H542" i="46"/>
  <c r="H543" i="46"/>
  <c r="H544" i="46"/>
  <c r="H545" i="46"/>
  <c r="H546" i="46"/>
  <c r="H547" i="46"/>
  <c r="H548" i="46"/>
  <c r="H549" i="46"/>
  <c r="H550" i="46"/>
  <c r="H551" i="46"/>
  <c r="H552" i="46"/>
  <c r="H553" i="46"/>
  <c r="H554" i="46"/>
  <c r="H555" i="46"/>
  <c r="H556" i="46"/>
  <c r="H557" i="46"/>
  <c r="H558" i="46"/>
  <c r="H559" i="46"/>
  <c r="H560" i="46"/>
  <c r="H561" i="46"/>
  <c r="H562" i="46"/>
  <c r="H563" i="46"/>
  <c r="H564" i="46"/>
  <c r="H565" i="46"/>
  <c r="H566" i="46"/>
  <c r="H567" i="46"/>
  <c r="H568" i="46"/>
  <c r="H569" i="46"/>
  <c r="H570" i="46"/>
  <c r="H571" i="46"/>
  <c r="H572" i="46"/>
  <c r="H573" i="46"/>
  <c r="H574" i="46"/>
  <c r="H575" i="46"/>
  <c r="H576" i="46"/>
  <c r="H577" i="46"/>
  <c r="H578" i="46"/>
  <c r="H579" i="46"/>
  <c r="H580" i="46"/>
  <c r="H581" i="46"/>
  <c r="H582" i="46"/>
  <c r="H583" i="46"/>
  <c r="H584" i="46"/>
  <c r="H585" i="46"/>
  <c r="H586" i="46"/>
  <c r="H587" i="46"/>
  <c r="H588" i="46"/>
  <c r="H589" i="46"/>
  <c r="H590" i="46"/>
  <c r="H591" i="46"/>
  <c r="H592" i="46"/>
  <c r="H593" i="46"/>
  <c r="H594" i="46"/>
  <c r="H595" i="46"/>
  <c r="H596" i="46"/>
  <c r="H597" i="46"/>
  <c r="H598" i="46"/>
  <c r="H599" i="46"/>
  <c r="H600" i="46"/>
  <c r="H601" i="46"/>
  <c r="H602" i="46"/>
  <c r="H603" i="46"/>
  <c r="H604" i="46"/>
  <c r="H605" i="46"/>
  <c r="H606" i="46"/>
  <c r="H607" i="46"/>
  <c r="H608" i="46"/>
  <c r="H609" i="46"/>
  <c r="H610" i="46"/>
  <c r="H611" i="46"/>
  <c r="H612" i="46"/>
  <c r="H613" i="46"/>
  <c r="H614" i="46"/>
  <c r="H615" i="46"/>
  <c r="H616" i="46"/>
  <c r="H617" i="46"/>
  <c r="H618" i="46"/>
  <c r="H619" i="46"/>
  <c r="H620" i="46"/>
  <c r="H621" i="46"/>
  <c r="H622" i="46"/>
  <c r="H623" i="46"/>
  <c r="H624" i="46"/>
  <c r="H625" i="46"/>
  <c r="H626" i="46"/>
  <c r="H627" i="46"/>
  <c r="H628" i="46"/>
  <c r="H629" i="46"/>
  <c r="H630" i="46"/>
  <c r="H631" i="46"/>
  <c r="H632" i="46"/>
  <c r="H633" i="46"/>
  <c r="H634" i="46"/>
  <c r="H635" i="46"/>
  <c r="H636" i="46"/>
  <c r="H637" i="46"/>
  <c r="H638" i="46"/>
  <c r="H639" i="46"/>
  <c r="H640" i="46"/>
  <c r="H641" i="46"/>
  <c r="H642" i="46"/>
  <c r="H643" i="46"/>
  <c r="H644" i="46"/>
  <c r="H645" i="46"/>
  <c r="H646" i="46"/>
  <c r="H647" i="46"/>
  <c r="H648" i="46"/>
  <c r="H649" i="46"/>
  <c r="H650" i="46"/>
  <c r="H651" i="46"/>
  <c r="H652" i="46"/>
  <c r="H653" i="46"/>
  <c r="H654" i="46"/>
  <c r="H655" i="46"/>
  <c r="H656" i="46"/>
  <c r="H657" i="46"/>
  <c r="H658" i="46"/>
  <c r="H659" i="46"/>
  <c r="H660" i="46"/>
  <c r="H661" i="46"/>
  <c r="H662" i="46"/>
  <c r="H663" i="46"/>
  <c r="H664" i="46"/>
  <c r="H665" i="46"/>
  <c r="H666" i="46"/>
  <c r="H667" i="46"/>
  <c r="H668" i="46"/>
  <c r="H669" i="46"/>
  <c r="H670" i="46"/>
  <c r="H671" i="46"/>
  <c r="H672" i="46"/>
  <c r="H673" i="46"/>
  <c r="H674" i="46"/>
  <c r="H675" i="46"/>
  <c r="H676" i="46"/>
  <c r="H677" i="46"/>
  <c r="H678" i="46"/>
  <c r="H679" i="46"/>
  <c r="H680" i="46"/>
  <c r="H681" i="46"/>
  <c r="H682" i="46"/>
  <c r="H683" i="46"/>
  <c r="H684" i="46"/>
  <c r="H685" i="46"/>
  <c r="H686" i="46"/>
  <c r="H687" i="46"/>
  <c r="H688" i="46"/>
  <c r="H689" i="46"/>
  <c r="H690" i="46"/>
  <c r="H691" i="46"/>
  <c r="H692" i="46"/>
  <c r="H693" i="46"/>
  <c r="H694" i="46"/>
  <c r="H695" i="46"/>
  <c r="H696" i="46"/>
  <c r="H697" i="46"/>
  <c r="H698" i="46"/>
  <c r="H699" i="46"/>
  <c r="H700" i="46"/>
  <c r="H701" i="46"/>
  <c r="H702" i="46"/>
  <c r="H703" i="46"/>
  <c r="H704" i="46"/>
  <c r="H705" i="46"/>
  <c r="H706" i="46"/>
  <c r="H707" i="46"/>
  <c r="H708" i="46"/>
  <c r="H709" i="46"/>
  <c r="H710" i="46"/>
  <c r="H711" i="46"/>
  <c r="H712" i="46"/>
  <c r="H713" i="46"/>
  <c r="H714" i="46"/>
  <c r="H715" i="46"/>
  <c r="H716" i="46"/>
  <c r="H717" i="46"/>
  <c r="H718" i="46"/>
  <c r="H719" i="46"/>
  <c r="H720" i="46"/>
  <c r="H721" i="46"/>
  <c r="H722" i="46"/>
  <c r="H723" i="46"/>
  <c r="H724" i="46"/>
  <c r="H725" i="46"/>
  <c r="H726" i="46"/>
  <c r="H727" i="46"/>
  <c r="H728" i="46"/>
  <c r="H729" i="46"/>
  <c r="H730" i="46"/>
  <c r="H731" i="46"/>
  <c r="H732" i="46"/>
  <c r="H733" i="46"/>
  <c r="H734" i="46"/>
  <c r="H735" i="46"/>
  <c r="H736" i="46"/>
  <c r="H737" i="46"/>
  <c r="H738" i="46"/>
  <c r="H739" i="46"/>
  <c r="H740" i="46"/>
  <c r="H741" i="46"/>
  <c r="H742" i="46"/>
  <c r="H743" i="46"/>
  <c r="H744" i="46"/>
  <c r="H745" i="46"/>
  <c r="H746" i="46"/>
  <c r="H747" i="46"/>
  <c r="H748" i="46"/>
  <c r="H749" i="46"/>
  <c r="H750" i="46"/>
  <c r="H751" i="46"/>
  <c r="H752" i="46"/>
  <c r="H753" i="46"/>
  <c r="H754" i="46"/>
  <c r="H755" i="46"/>
  <c r="H756" i="46"/>
  <c r="H757" i="46"/>
  <c r="H758" i="46"/>
  <c r="H759" i="46"/>
  <c r="H760" i="46"/>
  <c r="H761" i="46"/>
  <c r="H762" i="46"/>
  <c r="H267" i="46"/>
  <c r="S52" i="26"/>
  <c r="P52" i="26"/>
  <c r="M52" i="26"/>
  <c r="J52" i="26"/>
  <c r="G52" i="26"/>
  <c r="D52" i="26"/>
  <c r="C78" i="27"/>
  <c r="C81" i="27"/>
  <c r="C80" i="27"/>
  <c r="C74" i="27"/>
  <c r="S25" i="27"/>
  <c r="C73" i="27"/>
  <c r="C72" i="27"/>
  <c r="Q73" i="27"/>
  <c r="U30" i="26"/>
  <c r="R59" i="26"/>
  <c r="O59" i="26"/>
  <c r="L59" i="26"/>
  <c r="I59" i="26"/>
  <c r="F59" i="26"/>
  <c r="C59" i="26"/>
  <c r="X24" i="28"/>
  <c r="AA24" i="28" s="1"/>
  <c r="AD24" i="28" s="1"/>
  <c r="AG24" i="28" s="1"/>
  <c r="AH24" i="28" s="1"/>
  <c r="H235" i="46"/>
  <c r="H236" i="46"/>
  <c r="H237" i="46"/>
  <c r="H238" i="46"/>
  <c r="H239" i="46"/>
  <c r="H240" i="46"/>
  <c r="H241" i="46"/>
  <c r="H242" i="46"/>
  <c r="H243" i="46"/>
  <c r="H244" i="46"/>
  <c r="H245" i="46"/>
  <c r="H246" i="46"/>
  <c r="H247" i="46"/>
  <c r="H248" i="46"/>
  <c r="H234" i="46"/>
  <c r="D209" i="46"/>
  <c r="E209" i="46"/>
  <c r="F209" i="46"/>
  <c r="G209" i="46"/>
  <c r="H209" i="46"/>
  <c r="I209" i="46"/>
  <c r="J209" i="46"/>
  <c r="K209" i="46"/>
  <c r="L209" i="46"/>
  <c r="M209" i="46"/>
  <c r="N209" i="46"/>
  <c r="O209" i="46"/>
  <c r="P209" i="46"/>
  <c r="Q209" i="46"/>
  <c r="R209" i="46"/>
  <c r="S209" i="46"/>
  <c r="T209" i="46"/>
  <c r="C209" i="46"/>
  <c r="D208" i="46"/>
  <c r="E208" i="46"/>
  <c r="F208" i="46"/>
  <c r="G208" i="46"/>
  <c r="H208" i="46"/>
  <c r="I208" i="46"/>
  <c r="J208" i="46"/>
  <c r="K208" i="46"/>
  <c r="L208" i="46"/>
  <c r="M208" i="46"/>
  <c r="N208" i="46"/>
  <c r="O208" i="46"/>
  <c r="P208" i="46"/>
  <c r="Q208" i="46"/>
  <c r="R208" i="46"/>
  <c r="S208" i="46"/>
  <c r="T208" i="46"/>
  <c r="C208" i="46"/>
  <c r="K223" i="46"/>
  <c r="E224" i="46"/>
  <c r="K224" i="46" s="1"/>
  <c r="N224" i="46"/>
  <c r="N223" i="46"/>
  <c r="H47" i="40"/>
  <c r="H46" i="40"/>
  <c r="G47" i="40"/>
  <c r="G46" i="40"/>
  <c r="G27" i="40"/>
  <c r="F47" i="40"/>
  <c r="L10" i="41" s="1"/>
  <c r="F46" i="40"/>
  <c r="F26" i="40"/>
  <c r="E47" i="40"/>
  <c r="D50" i="40"/>
  <c r="D47" i="40"/>
  <c r="D46" i="40"/>
  <c r="C47" i="40"/>
  <c r="C46" i="40"/>
  <c r="C36" i="40"/>
  <c r="C35" i="40"/>
  <c r="C34" i="40"/>
  <c r="C37" i="40" s="1"/>
  <c r="C32" i="40"/>
  <c r="C31" i="40"/>
  <c r="C29" i="40"/>
  <c r="C27" i="40"/>
  <c r="C26" i="40"/>
  <c r="C23" i="40"/>
  <c r="C21" i="40"/>
  <c r="C24" i="40" s="1"/>
  <c r="C20" i="40"/>
  <c r="D32" i="40"/>
  <c r="D22" i="40"/>
  <c r="U62" i="26"/>
  <c r="V62" i="26"/>
  <c r="U82" i="28"/>
  <c r="V82" i="28" s="1"/>
  <c r="V63" i="28"/>
  <c r="X63" i="28" s="1"/>
  <c r="V60" i="28"/>
  <c r="X60" i="28" s="1"/>
  <c r="V27" i="28"/>
  <c r="X27" i="28" s="1"/>
  <c r="Y27" i="28" s="1"/>
  <c r="AA27" i="28" s="1"/>
  <c r="AB27" i="28" s="1"/>
  <c r="AD27" i="28" s="1"/>
  <c r="AE27" i="28" s="1"/>
  <c r="AG27" i="28" s="1"/>
  <c r="AH27" i="28" s="1"/>
  <c r="V15" i="28"/>
  <c r="X15" i="28" s="1"/>
  <c r="Y15" i="28" s="1"/>
  <c r="AA15" i="28" s="1"/>
  <c r="AB15" i="28" s="1"/>
  <c r="AD15" i="28" s="1"/>
  <c r="AE15" i="28" s="1"/>
  <c r="AG15" i="28" s="1"/>
  <c r="S81" i="28"/>
  <c r="S85" i="28" s="1"/>
  <c r="S77" i="28"/>
  <c r="S73" i="28"/>
  <c r="T85" i="28"/>
  <c r="T83" i="28"/>
  <c r="T82" i="28"/>
  <c r="T79" i="28"/>
  <c r="T78" i="28"/>
  <c r="T75" i="28"/>
  <c r="T74" i="28"/>
  <c r="S65" i="28"/>
  <c r="S59" i="28" s="1"/>
  <c r="S60" i="28" s="1"/>
  <c r="S62" i="28"/>
  <c r="S57" i="28"/>
  <c r="S53" i="28"/>
  <c r="S47" i="28" s="1"/>
  <c r="S50" i="28"/>
  <c r="S167" i="46" s="1"/>
  <c r="S45" i="28"/>
  <c r="S41" i="28"/>
  <c r="S38" i="28"/>
  <c r="S33" i="28"/>
  <c r="S29" i="28"/>
  <c r="S26" i="28"/>
  <c r="S23" i="28" s="1"/>
  <c r="T23" i="28" s="1"/>
  <c r="T27" i="28" s="1"/>
  <c r="S21" i="28"/>
  <c r="S17" i="28"/>
  <c r="S14" i="28"/>
  <c r="S9" i="28"/>
  <c r="J4" i="42"/>
  <c r="J5" i="42"/>
  <c r="J6" i="42"/>
  <c r="J7" i="42"/>
  <c r="J8" i="42"/>
  <c r="J9" i="42"/>
  <c r="J10" i="42"/>
  <c r="J11" i="42"/>
  <c r="J12" i="42"/>
  <c r="J13" i="42"/>
  <c r="J14" i="42"/>
  <c r="J15" i="42"/>
  <c r="J16" i="42"/>
  <c r="J17" i="42"/>
  <c r="J18" i="42"/>
  <c r="J19" i="42"/>
  <c r="J20" i="42"/>
  <c r="J21" i="42"/>
  <c r="J22" i="42"/>
  <c r="J23" i="42"/>
  <c r="J24" i="42"/>
  <c r="J25" i="42"/>
  <c r="J26" i="42"/>
  <c r="J27" i="42"/>
  <c r="J28" i="42"/>
  <c r="J29" i="42"/>
  <c r="J30" i="42"/>
  <c r="J31" i="42"/>
  <c r="J32" i="42"/>
  <c r="J33" i="42"/>
  <c r="J34" i="42"/>
  <c r="J35" i="42"/>
  <c r="J36" i="42"/>
  <c r="J37" i="42"/>
  <c r="J38" i="42"/>
  <c r="J39" i="42"/>
  <c r="J40" i="42"/>
  <c r="J41" i="42"/>
  <c r="J42" i="42"/>
  <c r="J43" i="42"/>
  <c r="J44" i="42"/>
  <c r="J45" i="42"/>
  <c r="J46" i="42"/>
  <c r="J47" i="42"/>
  <c r="J48" i="42"/>
  <c r="J49" i="42"/>
  <c r="J50" i="42"/>
  <c r="J51" i="42"/>
  <c r="J52" i="42"/>
  <c r="J53" i="42"/>
  <c r="J54" i="42"/>
  <c r="J55" i="42"/>
  <c r="J56" i="42"/>
  <c r="J57" i="42"/>
  <c r="J58" i="42"/>
  <c r="J59" i="42"/>
  <c r="J60" i="42"/>
  <c r="J61" i="42"/>
  <c r="J62" i="42"/>
  <c r="J63" i="42"/>
  <c r="J64" i="42"/>
  <c r="J65" i="42"/>
  <c r="J66" i="42"/>
  <c r="J67" i="42"/>
  <c r="J68" i="42"/>
  <c r="J69" i="42"/>
  <c r="J70" i="42"/>
  <c r="J71" i="42"/>
  <c r="J72" i="42"/>
  <c r="J73" i="42"/>
  <c r="J74" i="42"/>
  <c r="J75" i="42"/>
  <c r="J76" i="42"/>
  <c r="J77" i="42"/>
  <c r="J78" i="42"/>
  <c r="J79" i="42"/>
  <c r="J80" i="42"/>
  <c r="J81" i="42"/>
  <c r="J82" i="42"/>
  <c r="J83" i="42"/>
  <c r="J84" i="42"/>
  <c r="J85" i="42"/>
  <c r="J86" i="42"/>
  <c r="J87" i="42"/>
  <c r="J88" i="42"/>
  <c r="J89" i="42"/>
  <c r="J90" i="42"/>
  <c r="J91" i="42"/>
  <c r="J92" i="42"/>
  <c r="J93" i="42"/>
  <c r="J94" i="42"/>
  <c r="J95" i="42"/>
  <c r="J96" i="42"/>
  <c r="J97" i="42"/>
  <c r="J98" i="42"/>
  <c r="J99" i="42"/>
  <c r="J100" i="42"/>
  <c r="J101" i="42"/>
  <c r="J102" i="42"/>
  <c r="J103" i="42"/>
  <c r="J104" i="42"/>
  <c r="J105" i="42"/>
  <c r="J106" i="42"/>
  <c r="J107" i="42"/>
  <c r="J108" i="42"/>
  <c r="J109" i="42"/>
  <c r="J110" i="42"/>
  <c r="J111" i="42"/>
  <c r="J112" i="42"/>
  <c r="J113" i="42"/>
  <c r="J114" i="42"/>
  <c r="J115" i="42"/>
  <c r="J116" i="42"/>
  <c r="J117" i="42"/>
  <c r="J118" i="42"/>
  <c r="J119" i="42"/>
  <c r="J120" i="42"/>
  <c r="J121" i="42"/>
  <c r="J122" i="42"/>
  <c r="J123" i="42"/>
  <c r="J124" i="42"/>
  <c r="J125" i="42"/>
  <c r="J126" i="42"/>
  <c r="J127" i="42"/>
  <c r="J128" i="42"/>
  <c r="J129" i="42"/>
  <c r="J130" i="42"/>
  <c r="J131" i="42"/>
  <c r="J132" i="42"/>
  <c r="J133" i="42"/>
  <c r="J134" i="42"/>
  <c r="J135" i="42"/>
  <c r="J136" i="42"/>
  <c r="J137" i="42"/>
  <c r="J138" i="42"/>
  <c r="J139" i="42"/>
  <c r="J140" i="42"/>
  <c r="J141" i="42"/>
  <c r="J142" i="42"/>
  <c r="J143" i="42"/>
  <c r="J144" i="42"/>
  <c r="J145" i="42"/>
  <c r="J146" i="42"/>
  <c r="J147" i="42"/>
  <c r="J148" i="42"/>
  <c r="J149" i="42"/>
  <c r="J150" i="42"/>
  <c r="J151" i="42"/>
  <c r="J152" i="42"/>
  <c r="J153" i="42"/>
  <c r="J154" i="42"/>
  <c r="J155" i="42"/>
  <c r="J156" i="42"/>
  <c r="J157" i="42"/>
  <c r="J158" i="42"/>
  <c r="J159" i="42"/>
  <c r="J160" i="42"/>
  <c r="J161" i="42"/>
  <c r="J162" i="42"/>
  <c r="J163" i="42"/>
  <c r="J164" i="42"/>
  <c r="J165" i="42"/>
  <c r="J166" i="42"/>
  <c r="J167" i="42"/>
  <c r="J168" i="42"/>
  <c r="J169" i="42"/>
  <c r="J170" i="42"/>
  <c r="J171" i="42"/>
  <c r="J172" i="42"/>
  <c r="J173" i="42"/>
  <c r="J174" i="42"/>
  <c r="J175" i="42"/>
  <c r="J176" i="42"/>
  <c r="J177" i="42"/>
  <c r="J178" i="42"/>
  <c r="J179" i="42"/>
  <c r="J180" i="42"/>
  <c r="J181" i="42"/>
  <c r="J182" i="42"/>
  <c r="J183" i="42"/>
  <c r="J184" i="42"/>
  <c r="J185" i="42"/>
  <c r="J186" i="42"/>
  <c r="J187" i="42"/>
  <c r="J188" i="42"/>
  <c r="J189" i="42"/>
  <c r="J190" i="42"/>
  <c r="J191" i="42"/>
  <c r="J192" i="42"/>
  <c r="J193" i="42"/>
  <c r="J194" i="42"/>
  <c r="J195" i="42"/>
  <c r="J196" i="42"/>
  <c r="J197" i="42"/>
  <c r="J198" i="42"/>
  <c r="J199" i="42"/>
  <c r="J200" i="42"/>
  <c r="J201" i="42"/>
  <c r="J202" i="42"/>
  <c r="J203" i="42"/>
  <c r="J204" i="42"/>
  <c r="J205" i="42"/>
  <c r="J206" i="42"/>
  <c r="J207" i="42"/>
  <c r="J208" i="42"/>
  <c r="J209" i="42"/>
  <c r="J210" i="42"/>
  <c r="J211" i="42"/>
  <c r="J212" i="42"/>
  <c r="J213" i="42"/>
  <c r="J214" i="42"/>
  <c r="J215" i="42"/>
  <c r="J216" i="42"/>
  <c r="J217" i="42"/>
  <c r="J218" i="42"/>
  <c r="J219" i="42"/>
  <c r="J220" i="42"/>
  <c r="J221" i="42"/>
  <c r="J222" i="42"/>
  <c r="J223" i="42"/>
  <c r="J224" i="42"/>
  <c r="J225" i="42"/>
  <c r="J226" i="42"/>
  <c r="J227" i="42"/>
  <c r="J228" i="42"/>
  <c r="J229" i="42"/>
  <c r="J230" i="42"/>
  <c r="J231" i="42"/>
  <c r="J232" i="42"/>
  <c r="J233" i="42"/>
  <c r="J234" i="42"/>
  <c r="J235" i="42"/>
  <c r="J236" i="42"/>
  <c r="J237" i="42"/>
  <c r="J238" i="42"/>
  <c r="J239" i="42"/>
  <c r="J240" i="42"/>
  <c r="J241" i="42"/>
  <c r="J242" i="42"/>
  <c r="J243" i="42"/>
  <c r="J244" i="42"/>
  <c r="J245" i="42"/>
  <c r="J246" i="42"/>
  <c r="J247" i="42"/>
  <c r="J248" i="42"/>
  <c r="J3" i="42"/>
  <c r="T61" i="26"/>
  <c r="T58" i="26"/>
  <c r="R39" i="13"/>
  <c r="R40" i="13" s="1"/>
  <c r="R42" i="13" s="1"/>
  <c r="T39" i="13"/>
  <c r="T40" i="13" s="1"/>
  <c r="T42" i="13" s="1"/>
  <c r="Q39" i="13"/>
  <c r="T79" i="13"/>
  <c r="T80" i="13"/>
  <c r="S76" i="13"/>
  <c r="T70" i="13"/>
  <c r="T72" i="13" s="1"/>
  <c r="S69" i="13"/>
  <c r="S68" i="13"/>
  <c r="S67" i="13"/>
  <c r="S66" i="13"/>
  <c r="S65" i="13"/>
  <c r="S64" i="13"/>
  <c r="S63" i="13"/>
  <c r="S62" i="13"/>
  <c r="S61" i="13"/>
  <c r="S60" i="13"/>
  <c r="S59" i="13"/>
  <c r="T54" i="13"/>
  <c r="T56" i="13" s="1"/>
  <c r="S53" i="13"/>
  <c r="S52" i="13"/>
  <c r="S51" i="13"/>
  <c r="S50" i="13"/>
  <c r="S49" i="13"/>
  <c r="S48" i="13"/>
  <c r="S47" i="13"/>
  <c r="S79" i="13"/>
  <c r="S41" i="13"/>
  <c r="S38" i="13"/>
  <c r="S37" i="13"/>
  <c r="S36" i="13"/>
  <c r="S35" i="13"/>
  <c r="S34" i="13"/>
  <c r="S33" i="13"/>
  <c r="S32" i="13"/>
  <c r="S31" i="13"/>
  <c r="T29" i="13"/>
  <c r="S27" i="13"/>
  <c r="S25" i="13"/>
  <c r="S24" i="13"/>
  <c r="S23" i="13"/>
  <c r="S22" i="13"/>
  <c r="S21" i="13"/>
  <c r="S20" i="13"/>
  <c r="S18" i="13"/>
  <c r="S17" i="13"/>
  <c r="S16" i="13"/>
  <c r="S15" i="13"/>
  <c r="S14" i="13"/>
  <c r="S10" i="13"/>
  <c r="S9" i="13"/>
  <c r="S8" i="13"/>
  <c r="T81" i="27"/>
  <c r="U81" i="27" s="1"/>
  <c r="V81" i="27" s="1"/>
  <c r="X81" i="27" s="1"/>
  <c r="Y81" i="27" s="1"/>
  <c r="AA81" i="27" s="1"/>
  <c r="AB81" i="27" s="1"/>
  <c r="AD81" i="27" s="1"/>
  <c r="AE81" i="27" s="1"/>
  <c r="AG81" i="27" s="1"/>
  <c r="AH81" i="27" s="1"/>
  <c r="T80" i="27"/>
  <c r="T78" i="27"/>
  <c r="T79" i="27" s="1"/>
  <c r="T74" i="27"/>
  <c r="T73" i="27"/>
  <c r="U73" i="27"/>
  <c r="V73" i="27"/>
  <c r="X73" i="27" s="1"/>
  <c r="T72" i="27"/>
  <c r="T65" i="27"/>
  <c r="W62" i="27" s="1"/>
  <c r="T63" i="27"/>
  <c r="T54" i="27"/>
  <c r="T43" i="27"/>
  <c r="T23" i="27"/>
  <c r="T95" i="27" s="1"/>
  <c r="T17" i="27"/>
  <c r="T11" i="27"/>
  <c r="S10" i="27"/>
  <c r="S9" i="27"/>
  <c r="T14" i="26"/>
  <c r="T41" i="26"/>
  <c r="S40" i="26"/>
  <c r="S39" i="26"/>
  <c r="S38" i="26"/>
  <c r="S41" i="26" s="1"/>
  <c r="S13" i="26"/>
  <c r="S12" i="26"/>
  <c r="F32" i="37"/>
  <c r="H32" i="37" s="1"/>
  <c r="E195" i="46"/>
  <c r="F195" i="46"/>
  <c r="H195" i="46"/>
  <c r="I195" i="46"/>
  <c r="K195" i="46"/>
  <c r="L195" i="46"/>
  <c r="N195" i="46"/>
  <c r="O195" i="46"/>
  <c r="Q195" i="46"/>
  <c r="R195" i="46"/>
  <c r="E196" i="46"/>
  <c r="F196" i="46"/>
  <c r="H196" i="46"/>
  <c r="I196" i="46"/>
  <c r="K196" i="46"/>
  <c r="L196" i="46"/>
  <c r="N196" i="46"/>
  <c r="O196" i="46"/>
  <c r="Q196" i="46"/>
  <c r="R196" i="46"/>
  <c r="E197" i="46"/>
  <c r="F197" i="46"/>
  <c r="H197" i="46"/>
  <c r="I197" i="46"/>
  <c r="K197" i="46"/>
  <c r="L197" i="46"/>
  <c r="N197" i="46"/>
  <c r="O197" i="46"/>
  <c r="Q197" i="46"/>
  <c r="R197" i="46"/>
  <c r="C197" i="46"/>
  <c r="C196" i="46"/>
  <c r="C195" i="46"/>
  <c r="D188" i="46"/>
  <c r="E188" i="46"/>
  <c r="F188" i="46"/>
  <c r="G188" i="46"/>
  <c r="H188" i="46"/>
  <c r="I188" i="46"/>
  <c r="J188" i="46"/>
  <c r="K188" i="46"/>
  <c r="L188" i="46"/>
  <c r="M188" i="46"/>
  <c r="N188" i="46"/>
  <c r="O188" i="46"/>
  <c r="P188" i="46"/>
  <c r="Q188" i="46"/>
  <c r="R188" i="46"/>
  <c r="S188" i="46"/>
  <c r="T188" i="46"/>
  <c r="U188" i="46"/>
  <c r="V188" i="46"/>
  <c r="W188" i="46"/>
  <c r="X188" i="46"/>
  <c r="Y188" i="46"/>
  <c r="Z188" i="46"/>
  <c r="AA188" i="46"/>
  <c r="AB188" i="46"/>
  <c r="AC188" i="46"/>
  <c r="AD188" i="46"/>
  <c r="AE188" i="46"/>
  <c r="AF188" i="46"/>
  <c r="AG188" i="46"/>
  <c r="AH188" i="46"/>
  <c r="AI188" i="46"/>
  <c r="C188" i="46"/>
  <c r="T87" i="27"/>
  <c r="C48" i="40"/>
  <c r="T28" i="27"/>
  <c r="T93" i="27" s="1"/>
  <c r="S35" i="28"/>
  <c r="S39" i="28" s="1"/>
  <c r="T55" i="27"/>
  <c r="C49" i="40"/>
  <c r="T57" i="27"/>
  <c r="T88" i="27"/>
  <c r="E169" i="46"/>
  <c r="F169" i="46"/>
  <c r="H169" i="46"/>
  <c r="H170" i="46" s="1"/>
  <c r="I169" i="46"/>
  <c r="K169" i="46"/>
  <c r="K170" i="46" s="1"/>
  <c r="L169" i="46"/>
  <c r="L170" i="46" s="1"/>
  <c r="N169" i="46"/>
  <c r="N170" i="46" s="1"/>
  <c r="O169" i="46"/>
  <c r="Q169" i="46"/>
  <c r="R169" i="46"/>
  <c r="T169" i="46"/>
  <c r="E262" i="46" s="1"/>
  <c r="C169" i="46"/>
  <c r="E167" i="46"/>
  <c r="F167" i="46"/>
  <c r="H167" i="46"/>
  <c r="I167" i="46"/>
  <c r="K167" i="46"/>
  <c r="L167" i="46"/>
  <c r="N167" i="46"/>
  <c r="N168" i="46" s="1"/>
  <c r="O167" i="46"/>
  <c r="O168" i="46" s="1"/>
  <c r="Q167" i="46"/>
  <c r="R167" i="46"/>
  <c r="T167" i="46"/>
  <c r="E261" i="46" s="1"/>
  <c r="C167" i="46"/>
  <c r="E165" i="46"/>
  <c r="F165" i="46"/>
  <c r="H165" i="46"/>
  <c r="I165" i="46"/>
  <c r="K165" i="46"/>
  <c r="K166" i="46" s="1"/>
  <c r="N165" i="46"/>
  <c r="O165" i="46"/>
  <c r="O166" i="46" s="1"/>
  <c r="Q165" i="46"/>
  <c r="Q166" i="46" s="1"/>
  <c r="R165" i="46"/>
  <c r="S165" i="46"/>
  <c r="T165" i="46"/>
  <c r="C165" i="46"/>
  <c r="E163" i="46"/>
  <c r="F163" i="46"/>
  <c r="H163" i="46"/>
  <c r="I163" i="46"/>
  <c r="K163" i="46"/>
  <c r="N163" i="46"/>
  <c r="O163" i="46"/>
  <c r="Q163" i="46"/>
  <c r="R163" i="46"/>
  <c r="S163" i="46"/>
  <c r="T163" i="46"/>
  <c r="E259" i="46" s="1"/>
  <c r="C163" i="46"/>
  <c r="E161" i="46"/>
  <c r="F161" i="46"/>
  <c r="H161" i="46"/>
  <c r="I161" i="46"/>
  <c r="K161" i="46"/>
  <c r="L161" i="46"/>
  <c r="N161" i="46"/>
  <c r="O161" i="46"/>
  <c r="Q161" i="46"/>
  <c r="Q162" i="46" s="1"/>
  <c r="R161" i="46"/>
  <c r="T161" i="46"/>
  <c r="C161" i="46"/>
  <c r="H157" i="46"/>
  <c r="H168" i="46" s="1"/>
  <c r="E157" i="46"/>
  <c r="E168" i="46" s="1"/>
  <c r="F157" i="46"/>
  <c r="F158" i="46" s="1"/>
  <c r="I157" i="46"/>
  <c r="I166" i="46" s="1"/>
  <c r="K157" i="46"/>
  <c r="L157" i="46"/>
  <c r="N157" i="46"/>
  <c r="O157" i="46"/>
  <c r="Q157" i="46"/>
  <c r="R157" i="46"/>
  <c r="C157" i="46"/>
  <c r="C37" i="36"/>
  <c r="F37" i="36" s="1"/>
  <c r="D14" i="47" s="1"/>
  <c r="C17" i="36"/>
  <c r="AH70" i="27"/>
  <c r="AB70" i="27"/>
  <c r="Y70" i="27"/>
  <c r="V70" i="27"/>
  <c r="AG79" i="27"/>
  <c r="AG203" i="46" s="1"/>
  <c r="AG204" i="46" s="1"/>
  <c r="AD79" i="27"/>
  <c r="AD203" i="46" s="1"/>
  <c r="AA79" i="27"/>
  <c r="AA203" i="46" s="1"/>
  <c r="X79" i="27"/>
  <c r="X203" i="46"/>
  <c r="U79" i="27"/>
  <c r="U203" i="46"/>
  <c r="V78" i="27"/>
  <c r="V79" i="27" s="1"/>
  <c r="AH78" i="27"/>
  <c r="AH79" i="27" s="1"/>
  <c r="AH203" i="46" s="1"/>
  <c r="AE78" i="27"/>
  <c r="AE79" i="27" s="1"/>
  <c r="AB78" i="27"/>
  <c r="Y78" i="27"/>
  <c r="AE76" i="27"/>
  <c r="AE77" i="27" s="1"/>
  <c r="V76" i="27"/>
  <c r="V77" i="27" s="1"/>
  <c r="U77" i="27"/>
  <c r="AD77" i="27"/>
  <c r="V15" i="26"/>
  <c r="Q81" i="27"/>
  <c r="N81" i="27"/>
  <c r="K81" i="27"/>
  <c r="H81" i="27"/>
  <c r="E81" i="27"/>
  <c r="Q80" i="27"/>
  <c r="N80" i="27"/>
  <c r="K80" i="27"/>
  <c r="H80" i="27"/>
  <c r="M12" i="42"/>
  <c r="M7" i="42"/>
  <c r="M14" i="42"/>
  <c r="M15" i="42" s="1"/>
  <c r="D60" i="42"/>
  <c r="D64" i="42"/>
  <c r="D146" i="42"/>
  <c r="D210" i="42"/>
  <c r="D224" i="42"/>
  <c r="D233" i="42"/>
  <c r="D244" i="42"/>
  <c r="D245" i="42"/>
  <c r="D246" i="42"/>
  <c r="D247" i="42"/>
  <c r="D248" i="42"/>
  <c r="D249" i="42"/>
  <c r="D250" i="42"/>
  <c r="D251" i="42"/>
  <c r="D252" i="42"/>
  <c r="D253" i="42"/>
  <c r="D254" i="42"/>
  <c r="D255" i="42"/>
  <c r="D256" i="42"/>
  <c r="D3" i="42"/>
  <c r="M9" i="42"/>
  <c r="M10" i="42"/>
  <c r="Q58" i="26"/>
  <c r="R58" i="26"/>
  <c r="H58" i="26"/>
  <c r="I58" i="26"/>
  <c r="K58" i="26"/>
  <c r="L58" i="26"/>
  <c r="N58" i="26"/>
  <c r="O58" i="26"/>
  <c r="F58" i="26"/>
  <c r="E58" i="26"/>
  <c r="I13" i="40"/>
  <c r="I11" i="40"/>
  <c r="C10" i="41" s="1"/>
  <c r="U48" i="26"/>
  <c r="V48" i="26"/>
  <c r="S9" i="41"/>
  <c r="S10" i="41"/>
  <c r="S11" i="41"/>
  <c r="S8" i="41"/>
  <c r="V39" i="28"/>
  <c r="V51" i="28"/>
  <c r="X51" i="28" s="1"/>
  <c r="V93" i="28"/>
  <c r="X93" i="28"/>
  <c r="Y93" i="28" s="1"/>
  <c r="AA93" i="28" s="1"/>
  <c r="AB93" i="28" s="1"/>
  <c r="AD93" i="28" s="1"/>
  <c r="AE93" i="28" s="1"/>
  <c r="AG93" i="28" s="1"/>
  <c r="AH93" i="28" s="1"/>
  <c r="V36" i="28"/>
  <c r="X36" i="28" s="1"/>
  <c r="T45" i="28"/>
  <c r="T33" i="28"/>
  <c r="X82" i="28"/>
  <c r="Y82" i="28" s="1"/>
  <c r="AA82" i="28" s="1"/>
  <c r="AB82" i="28" s="1"/>
  <c r="AD82" i="28" s="1"/>
  <c r="AE82" i="28" s="1"/>
  <c r="AG82" i="28" s="1"/>
  <c r="AH82" i="28" s="1"/>
  <c r="V78" i="28"/>
  <c r="X78" i="28" s="1"/>
  <c r="Y78" i="28" s="1"/>
  <c r="AA78" i="28" s="1"/>
  <c r="AB78" i="28" s="1"/>
  <c r="AD78" i="28" s="1"/>
  <c r="AE78" i="28" s="1"/>
  <c r="AG78" i="28" s="1"/>
  <c r="AH78" i="28" s="1"/>
  <c r="V74" i="28"/>
  <c r="X74" i="28" s="1"/>
  <c r="Y74" i="28" s="1"/>
  <c r="AA74" i="28" s="1"/>
  <c r="AB74" i="28" s="1"/>
  <c r="AD74" i="28" s="1"/>
  <c r="AE74" i="28" s="1"/>
  <c r="AG74" i="28" s="1"/>
  <c r="AH74" i="28" s="1"/>
  <c r="T21" i="28"/>
  <c r="G4" i="42"/>
  <c r="G5" i="42"/>
  <c r="D4" i="42"/>
  <c r="G6" i="42"/>
  <c r="D5" i="42" s="1"/>
  <c r="G7" i="42"/>
  <c r="G8" i="42"/>
  <c r="D6" i="42" s="1"/>
  <c r="G9" i="42"/>
  <c r="D7" i="42" s="1"/>
  <c r="G10" i="42"/>
  <c r="D8" i="42"/>
  <c r="G11" i="42"/>
  <c r="D9" i="42" s="1"/>
  <c r="G12" i="42"/>
  <c r="G13" i="42"/>
  <c r="D10" i="42" s="1"/>
  <c r="G14" i="42"/>
  <c r="D11" i="42" s="1"/>
  <c r="G15" i="42"/>
  <c r="D12" i="42" s="1"/>
  <c r="G16" i="42"/>
  <c r="D13" i="42" s="1"/>
  <c r="G17" i="42"/>
  <c r="D14" i="42" s="1"/>
  <c r="G18" i="42"/>
  <c r="D15" i="42" s="1"/>
  <c r="G19" i="42"/>
  <c r="D16" i="42" s="1"/>
  <c r="G20" i="42"/>
  <c r="D17" i="42" s="1"/>
  <c r="G21" i="42"/>
  <c r="D18" i="42"/>
  <c r="G22" i="42"/>
  <c r="D19" i="42" s="1"/>
  <c r="G23" i="42"/>
  <c r="D20" i="42" s="1"/>
  <c r="G24" i="42"/>
  <c r="G25" i="42"/>
  <c r="D21" i="42" s="1"/>
  <c r="G26" i="42"/>
  <c r="D22" i="42" s="1"/>
  <c r="G27" i="42"/>
  <c r="D23" i="42" s="1"/>
  <c r="G28" i="42"/>
  <c r="D24" i="42" s="1"/>
  <c r="G29" i="42"/>
  <c r="D25" i="42" s="1"/>
  <c r="G30" i="42"/>
  <c r="D26" i="42" s="1"/>
  <c r="G31" i="42"/>
  <c r="D27" i="42" s="1"/>
  <c r="G32" i="42"/>
  <c r="G33" i="42"/>
  <c r="D28" i="42" s="1"/>
  <c r="G34" i="42"/>
  <c r="D29" i="42"/>
  <c r="G35" i="42"/>
  <c r="D30" i="42" s="1"/>
  <c r="G36" i="42"/>
  <c r="D31" i="42"/>
  <c r="G37" i="42"/>
  <c r="D32" i="42" s="1"/>
  <c r="G38" i="42"/>
  <c r="D33" i="42" s="1"/>
  <c r="G39" i="42"/>
  <c r="D34" i="42" s="1"/>
  <c r="G40" i="42"/>
  <c r="D35" i="42" s="1"/>
  <c r="G41" i="42"/>
  <c r="D36" i="42"/>
  <c r="G42" i="42"/>
  <c r="D37" i="42"/>
  <c r="G43" i="42"/>
  <c r="D38" i="42"/>
  <c r="G44" i="42"/>
  <c r="D39" i="42" s="1"/>
  <c r="G45" i="42"/>
  <c r="D40" i="42" s="1"/>
  <c r="G46" i="42"/>
  <c r="D41" i="42" s="1"/>
  <c r="G47" i="42"/>
  <c r="D42" i="42" s="1"/>
  <c r="G48" i="42"/>
  <c r="D43" i="42" s="1"/>
  <c r="G49" i="42"/>
  <c r="D44" i="42" s="1"/>
  <c r="G50" i="42"/>
  <c r="G51" i="42"/>
  <c r="D45" i="42" s="1"/>
  <c r="G52" i="42"/>
  <c r="D46" i="42" s="1"/>
  <c r="G53" i="42"/>
  <c r="D47" i="42" s="1"/>
  <c r="G54" i="42"/>
  <c r="D48" i="42" s="1"/>
  <c r="G55" i="42"/>
  <c r="D49" i="42" s="1"/>
  <c r="G56" i="42"/>
  <c r="D50" i="42" s="1"/>
  <c r="G57" i="42"/>
  <c r="G58" i="42"/>
  <c r="D51" i="42"/>
  <c r="G59" i="42"/>
  <c r="D52" i="42"/>
  <c r="G60" i="42"/>
  <c r="D53" i="42" s="1"/>
  <c r="G61" i="42"/>
  <c r="D54" i="42" s="1"/>
  <c r="G62" i="42"/>
  <c r="D55" i="42" s="1"/>
  <c r="G63" i="42"/>
  <c r="D56" i="42"/>
  <c r="G64" i="42"/>
  <c r="D57" i="42" s="1"/>
  <c r="G65" i="42"/>
  <c r="D58" i="42" s="1"/>
  <c r="G66" i="42"/>
  <c r="D59" i="42"/>
  <c r="G67" i="42"/>
  <c r="D61" i="42" s="1"/>
  <c r="G68" i="42"/>
  <c r="D62" i="42" s="1"/>
  <c r="G69" i="42"/>
  <c r="D63" i="42" s="1"/>
  <c r="G70" i="42"/>
  <c r="D65" i="42"/>
  <c r="G71" i="42"/>
  <c r="D66" i="42"/>
  <c r="G72" i="42"/>
  <c r="D67" i="42"/>
  <c r="G73" i="42"/>
  <c r="D68" i="42" s="1"/>
  <c r="G74" i="42"/>
  <c r="D69" i="42" s="1"/>
  <c r="G75" i="42"/>
  <c r="D70" i="42" s="1"/>
  <c r="G76" i="42"/>
  <c r="D71" i="42" s="1"/>
  <c r="G77" i="42"/>
  <c r="D72" i="42"/>
  <c r="G78" i="42"/>
  <c r="D73" i="42"/>
  <c r="G79" i="42"/>
  <c r="D74" i="42"/>
  <c r="G80" i="42"/>
  <c r="D75" i="42"/>
  <c r="G81" i="42"/>
  <c r="D76" i="42" s="1"/>
  <c r="G82" i="42"/>
  <c r="D77" i="42" s="1"/>
  <c r="G83" i="42"/>
  <c r="D78" i="42" s="1"/>
  <c r="G84" i="42"/>
  <c r="D79" i="42" s="1"/>
  <c r="G85" i="42"/>
  <c r="D80" i="42"/>
  <c r="G86" i="42"/>
  <c r="D81" i="42" s="1"/>
  <c r="G87" i="42"/>
  <c r="D82" i="42" s="1"/>
  <c r="G88" i="42"/>
  <c r="D83" i="42" s="1"/>
  <c r="G89" i="42"/>
  <c r="D84" i="42" s="1"/>
  <c r="G90" i="42"/>
  <c r="D85" i="42" s="1"/>
  <c r="G91" i="42"/>
  <c r="D86" i="42"/>
  <c r="G92" i="42"/>
  <c r="D87" i="42" s="1"/>
  <c r="G93" i="42"/>
  <c r="D88" i="42"/>
  <c r="G94" i="42"/>
  <c r="D89" i="42" s="1"/>
  <c r="G95" i="42"/>
  <c r="D90" i="42" s="1"/>
  <c r="G96" i="42"/>
  <c r="D91" i="42" s="1"/>
  <c r="G97" i="42"/>
  <c r="D92" i="42" s="1"/>
  <c r="G98" i="42"/>
  <c r="D93" i="42"/>
  <c r="G99" i="42"/>
  <c r="D94" i="42" s="1"/>
  <c r="G100" i="42"/>
  <c r="D95" i="42" s="1"/>
  <c r="G101" i="42"/>
  <c r="D96" i="42"/>
  <c r="G102" i="42"/>
  <c r="D97" i="42" s="1"/>
  <c r="G103" i="42"/>
  <c r="D98" i="42" s="1"/>
  <c r="G104" i="42"/>
  <c r="D99" i="42" s="1"/>
  <c r="G105" i="42"/>
  <c r="G106" i="42"/>
  <c r="D100" i="42" s="1"/>
  <c r="G107" i="42"/>
  <c r="D101" i="42" s="1"/>
  <c r="G108" i="42"/>
  <c r="D102" i="42" s="1"/>
  <c r="G109" i="42"/>
  <c r="D103" i="42" s="1"/>
  <c r="G110" i="42"/>
  <c r="D104" i="42"/>
  <c r="G111" i="42"/>
  <c r="D105" i="42" s="1"/>
  <c r="G112" i="42"/>
  <c r="D106" i="42" s="1"/>
  <c r="G113" i="42"/>
  <c r="D107" i="42" s="1"/>
  <c r="G114" i="42"/>
  <c r="D108" i="42" s="1"/>
  <c r="G115" i="42"/>
  <c r="G116" i="42"/>
  <c r="G117" i="42"/>
  <c r="D109" i="42" s="1"/>
  <c r="G118" i="42"/>
  <c r="D110" i="42"/>
  <c r="G119" i="42"/>
  <c r="D111" i="42" s="1"/>
  <c r="G120" i="42"/>
  <c r="D112" i="42" s="1"/>
  <c r="G121" i="42"/>
  <c r="D113" i="42"/>
  <c r="G122" i="42"/>
  <c r="D114" i="42" s="1"/>
  <c r="G123" i="42"/>
  <c r="D115" i="42" s="1"/>
  <c r="G124" i="42"/>
  <c r="D116" i="42" s="1"/>
  <c r="G125" i="42"/>
  <c r="D117" i="42"/>
  <c r="G126" i="42"/>
  <c r="D118" i="42" s="1"/>
  <c r="G127" i="42"/>
  <c r="D119" i="42" s="1"/>
  <c r="G128" i="42"/>
  <c r="D120" i="42"/>
  <c r="G129" i="42"/>
  <c r="G130" i="42"/>
  <c r="D121" i="42" s="1"/>
  <c r="G131" i="42"/>
  <c r="D122" i="42"/>
  <c r="G132" i="42"/>
  <c r="D123" i="42" s="1"/>
  <c r="G133" i="42"/>
  <c r="D124" i="42" s="1"/>
  <c r="G134" i="42"/>
  <c r="D125" i="42" s="1"/>
  <c r="G135" i="42"/>
  <c r="D126" i="42"/>
  <c r="G136" i="42"/>
  <c r="D127" i="42" s="1"/>
  <c r="G137" i="42"/>
  <c r="D128" i="42"/>
  <c r="G138" i="42"/>
  <c r="D129" i="42" s="1"/>
  <c r="G139" i="42"/>
  <c r="D130" i="42" s="1"/>
  <c r="G140" i="42"/>
  <c r="D131" i="42" s="1"/>
  <c r="G141" i="42"/>
  <c r="D132" i="42" s="1"/>
  <c r="G142" i="42"/>
  <c r="D133" i="42"/>
  <c r="G143" i="42"/>
  <c r="D134" i="42" s="1"/>
  <c r="G144" i="42"/>
  <c r="D135" i="42"/>
  <c r="G145" i="42"/>
  <c r="D136" i="42" s="1"/>
  <c r="G146" i="42"/>
  <c r="D137" i="42" s="1"/>
  <c r="G147" i="42"/>
  <c r="G148" i="42"/>
  <c r="D138" i="42"/>
  <c r="G149" i="42"/>
  <c r="D139" i="42" s="1"/>
  <c r="G150" i="42"/>
  <c r="D140" i="42" s="1"/>
  <c r="G151" i="42"/>
  <c r="D141" i="42" s="1"/>
  <c r="G152" i="42"/>
  <c r="D142" i="42" s="1"/>
  <c r="G153" i="42"/>
  <c r="D143" i="42" s="1"/>
  <c r="G154" i="42"/>
  <c r="D144" i="42"/>
  <c r="G155" i="42"/>
  <c r="G156" i="42"/>
  <c r="D145" i="42" s="1"/>
  <c r="G157" i="42"/>
  <c r="D147" i="42" s="1"/>
  <c r="G158" i="42"/>
  <c r="D148" i="42"/>
  <c r="G159" i="42"/>
  <c r="D149" i="42" s="1"/>
  <c r="G160" i="42"/>
  <c r="D150" i="42" s="1"/>
  <c r="G161" i="42"/>
  <c r="D151" i="42"/>
  <c r="G162" i="42"/>
  <c r="G163" i="42"/>
  <c r="D152" i="42"/>
  <c r="G164" i="42"/>
  <c r="D153" i="42" s="1"/>
  <c r="G165" i="42"/>
  <c r="D154" i="42" s="1"/>
  <c r="G166" i="42"/>
  <c r="D155" i="42" s="1"/>
  <c r="G167" i="42"/>
  <c r="D156" i="42"/>
  <c r="G168" i="42"/>
  <c r="D157" i="42" s="1"/>
  <c r="G169" i="42"/>
  <c r="D158" i="42" s="1"/>
  <c r="G170" i="42"/>
  <c r="D159" i="42" s="1"/>
  <c r="G171" i="42"/>
  <c r="D160" i="42" s="1"/>
  <c r="G172" i="42"/>
  <c r="D161" i="42" s="1"/>
  <c r="G173" i="42"/>
  <c r="D162" i="42" s="1"/>
  <c r="G174" i="42"/>
  <c r="D163" i="42" s="1"/>
  <c r="G175" i="42"/>
  <c r="D164" i="42" s="1"/>
  <c r="G176" i="42"/>
  <c r="D165" i="42" s="1"/>
  <c r="G177" i="42"/>
  <c r="D166" i="42" s="1"/>
  <c r="G178" i="42"/>
  <c r="D167" i="42" s="1"/>
  <c r="G179" i="42"/>
  <c r="D168" i="42"/>
  <c r="G180" i="42"/>
  <c r="D169" i="42" s="1"/>
  <c r="G181" i="42"/>
  <c r="D170" i="42" s="1"/>
  <c r="G182" i="42"/>
  <c r="D171" i="42" s="1"/>
  <c r="G183" i="42"/>
  <c r="D172" i="42" s="1"/>
  <c r="G184" i="42"/>
  <c r="D173" i="42" s="1"/>
  <c r="G185" i="42"/>
  <c r="D174" i="42" s="1"/>
  <c r="G186" i="42"/>
  <c r="D175" i="42"/>
  <c r="G187" i="42"/>
  <c r="D176" i="42" s="1"/>
  <c r="G188" i="42"/>
  <c r="D177" i="42"/>
  <c r="G189" i="42"/>
  <c r="D178" i="42" s="1"/>
  <c r="G190" i="42"/>
  <c r="D179" i="42" s="1"/>
  <c r="G191" i="42"/>
  <c r="D180" i="42"/>
  <c r="G192" i="42"/>
  <c r="D181" i="42" s="1"/>
  <c r="G193" i="42"/>
  <c r="D182" i="42"/>
  <c r="G194" i="42"/>
  <c r="D183" i="42" s="1"/>
  <c r="G195" i="42"/>
  <c r="D184" i="42"/>
  <c r="G196" i="42"/>
  <c r="D185" i="42" s="1"/>
  <c r="G197" i="42"/>
  <c r="D186" i="42" s="1"/>
  <c r="G198" i="42"/>
  <c r="D187" i="42"/>
  <c r="G199" i="42"/>
  <c r="D188" i="42" s="1"/>
  <c r="G200" i="42"/>
  <c r="D189" i="42" s="1"/>
  <c r="G201" i="42"/>
  <c r="D190" i="42" s="1"/>
  <c r="G202" i="42"/>
  <c r="D191" i="42" s="1"/>
  <c r="G203" i="42"/>
  <c r="D192" i="42" s="1"/>
  <c r="G204" i="42"/>
  <c r="D193" i="42" s="1"/>
  <c r="G205" i="42"/>
  <c r="D194" i="42" s="1"/>
  <c r="G206" i="42"/>
  <c r="D195" i="42" s="1"/>
  <c r="G207" i="42"/>
  <c r="D196" i="42" s="1"/>
  <c r="G208" i="42"/>
  <c r="D197" i="42" s="1"/>
  <c r="G209" i="42"/>
  <c r="D198" i="42" s="1"/>
  <c r="G210" i="42"/>
  <c r="D199" i="42" s="1"/>
  <c r="G211" i="42"/>
  <c r="D200" i="42" s="1"/>
  <c r="G212" i="42"/>
  <c r="D201" i="42"/>
  <c r="G213" i="42"/>
  <c r="D202" i="42" s="1"/>
  <c r="G214" i="42"/>
  <c r="D203" i="42" s="1"/>
  <c r="G215" i="42"/>
  <c r="D204" i="42" s="1"/>
  <c r="G216" i="42"/>
  <c r="D205" i="42"/>
  <c r="G217" i="42"/>
  <c r="D206" i="42" s="1"/>
  <c r="G218" i="42"/>
  <c r="D207" i="42" s="1"/>
  <c r="G219" i="42"/>
  <c r="D208" i="42"/>
  <c r="G220" i="42"/>
  <c r="D209" i="42"/>
  <c r="G221" i="42"/>
  <c r="D211" i="42"/>
  <c r="G222" i="42"/>
  <c r="D212" i="42" s="1"/>
  <c r="G223" i="42"/>
  <c r="D213" i="42" s="1"/>
  <c r="G224" i="42"/>
  <c r="D214" i="42" s="1"/>
  <c r="G225" i="42"/>
  <c r="D215" i="42" s="1"/>
  <c r="G226" i="42"/>
  <c r="D216" i="42" s="1"/>
  <c r="G227" i="42"/>
  <c r="D217" i="42"/>
  <c r="G228" i="42"/>
  <c r="D218" i="42" s="1"/>
  <c r="G229" i="42"/>
  <c r="D219" i="42" s="1"/>
  <c r="G230" i="42"/>
  <c r="G231" i="42"/>
  <c r="D220" i="42" s="1"/>
  <c r="G232" i="42"/>
  <c r="D221" i="42"/>
  <c r="G233" i="42"/>
  <c r="D222" i="42" s="1"/>
  <c r="G234" i="42"/>
  <c r="D223" i="42" s="1"/>
  <c r="G235" i="42"/>
  <c r="D225" i="42"/>
  <c r="G236" i="42"/>
  <c r="G237" i="42"/>
  <c r="D226" i="42" s="1"/>
  <c r="G238" i="42"/>
  <c r="D227" i="42" s="1"/>
  <c r="G239" i="42"/>
  <c r="D228" i="42"/>
  <c r="G240" i="42"/>
  <c r="D229" i="42" s="1"/>
  <c r="G241" i="42"/>
  <c r="D230" i="42"/>
  <c r="G242" i="42"/>
  <c r="D231" i="42" s="1"/>
  <c r="G243" i="42"/>
  <c r="D232" i="42" s="1"/>
  <c r="G244" i="42"/>
  <c r="D234" i="42" s="1"/>
  <c r="G245" i="42"/>
  <c r="D235" i="42" s="1"/>
  <c r="G246" i="42"/>
  <c r="D236" i="42"/>
  <c r="G247" i="42"/>
  <c r="G248" i="42"/>
  <c r="D237" i="42" s="1"/>
  <c r="G249" i="42"/>
  <c r="G250" i="42"/>
  <c r="D238" i="42" s="1"/>
  <c r="G251" i="42"/>
  <c r="D239" i="42"/>
  <c r="G252" i="42"/>
  <c r="D240" i="42"/>
  <c r="G253" i="42"/>
  <c r="D241" i="42" s="1"/>
  <c r="G254" i="42"/>
  <c r="D242" i="42" s="1"/>
  <c r="G255" i="42"/>
  <c r="D243" i="42"/>
  <c r="G3" i="42"/>
  <c r="C4" i="42"/>
  <c r="C5" i="42"/>
  <c r="C6" i="42"/>
  <c r="C7" i="42"/>
  <c r="C8" i="42"/>
  <c r="C9" i="42"/>
  <c r="C10" i="42"/>
  <c r="C11" i="42"/>
  <c r="C12" i="42"/>
  <c r="C13" i="42"/>
  <c r="C14" i="42"/>
  <c r="C15" i="42"/>
  <c r="C16" i="42"/>
  <c r="C17" i="42"/>
  <c r="C18" i="42"/>
  <c r="C19" i="42"/>
  <c r="C20" i="42"/>
  <c r="C21" i="42"/>
  <c r="C22" i="42"/>
  <c r="C23" i="42"/>
  <c r="C24" i="42"/>
  <c r="C25" i="42"/>
  <c r="C26" i="42"/>
  <c r="C27" i="42"/>
  <c r="C28" i="42"/>
  <c r="C29" i="42"/>
  <c r="C30" i="42"/>
  <c r="C31" i="42"/>
  <c r="C32" i="42"/>
  <c r="C33" i="42"/>
  <c r="C34" i="42"/>
  <c r="C35" i="42"/>
  <c r="C36" i="42"/>
  <c r="C37" i="42"/>
  <c r="C38" i="42"/>
  <c r="C39" i="42"/>
  <c r="C40" i="42"/>
  <c r="C41" i="42"/>
  <c r="C42" i="42"/>
  <c r="C43" i="42"/>
  <c r="C44" i="42"/>
  <c r="C45" i="42"/>
  <c r="C46" i="42"/>
  <c r="C47" i="42"/>
  <c r="C48" i="42"/>
  <c r="C49" i="42"/>
  <c r="C50" i="42"/>
  <c r="C51" i="42"/>
  <c r="C52" i="42"/>
  <c r="C53" i="42"/>
  <c r="C54" i="42"/>
  <c r="C55" i="42"/>
  <c r="C56" i="42"/>
  <c r="C57" i="42"/>
  <c r="C58" i="42"/>
  <c r="C59" i="42"/>
  <c r="C60" i="42"/>
  <c r="C61" i="42"/>
  <c r="C62" i="42"/>
  <c r="C63" i="42"/>
  <c r="C64" i="42"/>
  <c r="C65" i="42"/>
  <c r="C66" i="42"/>
  <c r="C67" i="42"/>
  <c r="C68" i="42"/>
  <c r="C69" i="42"/>
  <c r="C70" i="42"/>
  <c r="C71" i="42"/>
  <c r="C72" i="42"/>
  <c r="C73" i="42"/>
  <c r="C74" i="42"/>
  <c r="C75" i="42"/>
  <c r="C76" i="42"/>
  <c r="C77" i="42"/>
  <c r="C78" i="42"/>
  <c r="C79" i="42"/>
  <c r="C80" i="42"/>
  <c r="C81" i="42"/>
  <c r="C82" i="42"/>
  <c r="C83" i="42"/>
  <c r="C84" i="42"/>
  <c r="C85" i="42"/>
  <c r="C86" i="42"/>
  <c r="C87" i="42"/>
  <c r="C88" i="42"/>
  <c r="C89" i="42"/>
  <c r="C90" i="42"/>
  <c r="C91" i="42"/>
  <c r="C92" i="42"/>
  <c r="C93" i="42"/>
  <c r="C94" i="42"/>
  <c r="C95" i="42"/>
  <c r="C96" i="42"/>
  <c r="C97" i="42"/>
  <c r="C98" i="42"/>
  <c r="C99" i="42"/>
  <c r="C100" i="42"/>
  <c r="C101" i="42"/>
  <c r="C102" i="42"/>
  <c r="C103" i="42"/>
  <c r="C104" i="42"/>
  <c r="C105" i="42"/>
  <c r="C106" i="42"/>
  <c r="C107" i="42"/>
  <c r="C108" i="42"/>
  <c r="C109" i="42"/>
  <c r="C110" i="42"/>
  <c r="C111" i="42"/>
  <c r="C112" i="42"/>
  <c r="C113" i="42"/>
  <c r="C114" i="42"/>
  <c r="C115" i="42"/>
  <c r="C116" i="42"/>
  <c r="C117" i="42"/>
  <c r="C118" i="42"/>
  <c r="C119" i="42"/>
  <c r="C120" i="42"/>
  <c r="C121" i="42"/>
  <c r="C122" i="42"/>
  <c r="C123" i="42"/>
  <c r="C124" i="42"/>
  <c r="C125" i="42"/>
  <c r="C126" i="42"/>
  <c r="C127" i="42"/>
  <c r="C128" i="42"/>
  <c r="C129" i="42"/>
  <c r="C130" i="42"/>
  <c r="C131" i="42"/>
  <c r="C132" i="42"/>
  <c r="C133" i="42"/>
  <c r="C134" i="42"/>
  <c r="C135" i="42"/>
  <c r="C136" i="42"/>
  <c r="C137" i="42"/>
  <c r="C138" i="42"/>
  <c r="C139" i="42"/>
  <c r="C140" i="42"/>
  <c r="C141" i="42"/>
  <c r="C142" i="42"/>
  <c r="C143" i="42"/>
  <c r="C144" i="42"/>
  <c r="C145" i="42"/>
  <c r="C146" i="42"/>
  <c r="C147" i="42"/>
  <c r="C148" i="42"/>
  <c r="C149" i="42"/>
  <c r="C150" i="42"/>
  <c r="C151" i="42"/>
  <c r="C152" i="42"/>
  <c r="C153" i="42"/>
  <c r="C154" i="42"/>
  <c r="C155" i="42"/>
  <c r="C156" i="42"/>
  <c r="C157" i="42"/>
  <c r="C158" i="42"/>
  <c r="C159" i="42"/>
  <c r="C160" i="42"/>
  <c r="C161" i="42"/>
  <c r="C162" i="42"/>
  <c r="C163" i="42"/>
  <c r="C164" i="42"/>
  <c r="C165" i="42"/>
  <c r="C166" i="42"/>
  <c r="C167" i="42"/>
  <c r="C168" i="42"/>
  <c r="C169" i="42"/>
  <c r="C170" i="42"/>
  <c r="C171" i="42"/>
  <c r="C172" i="42"/>
  <c r="C173" i="42"/>
  <c r="C174" i="42"/>
  <c r="C175" i="42"/>
  <c r="C176" i="42"/>
  <c r="C177" i="42"/>
  <c r="C178" i="42"/>
  <c r="C179" i="42"/>
  <c r="C180" i="42"/>
  <c r="C181" i="42"/>
  <c r="C182" i="42"/>
  <c r="C183" i="42"/>
  <c r="C184" i="42"/>
  <c r="C185" i="42"/>
  <c r="C186" i="42"/>
  <c r="C187" i="42"/>
  <c r="C188" i="42"/>
  <c r="C189" i="42"/>
  <c r="C190" i="42"/>
  <c r="C191" i="42"/>
  <c r="C192" i="42"/>
  <c r="C193" i="42"/>
  <c r="C194" i="42"/>
  <c r="C195" i="42"/>
  <c r="C196" i="42"/>
  <c r="C197" i="42"/>
  <c r="C198" i="42"/>
  <c r="C199" i="42"/>
  <c r="C200" i="42"/>
  <c r="C201" i="42"/>
  <c r="C202" i="42"/>
  <c r="C203" i="42"/>
  <c r="C204" i="42"/>
  <c r="C205" i="42"/>
  <c r="C206" i="42"/>
  <c r="C207" i="42"/>
  <c r="C208" i="42"/>
  <c r="C209" i="42"/>
  <c r="C210" i="42"/>
  <c r="C211" i="42"/>
  <c r="C212" i="42"/>
  <c r="C213" i="42"/>
  <c r="C214" i="42"/>
  <c r="C215" i="42"/>
  <c r="C216" i="42"/>
  <c r="C217" i="42"/>
  <c r="C218" i="42"/>
  <c r="C219" i="42"/>
  <c r="C220" i="42"/>
  <c r="C221" i="42"/>
  <c r="C222" i="42"/>
  <c r="C223" i="42"/>
  <c r="C224" i="42"/>
  <c r="C225" i="42"/>
  <c r="C226" i="42"/>
  <c r="C227" i="42"/>
  <c r="C228" i="42"/>
  <c r="C229" i="42"/>
  <c r="C230" i="42"/>
  <c r="C231" i="42"/>
  <c r="C232" i="42"/>
  <c r="C233" i="42"/>
  <c r="C234" i="42"/>
  <c r="C235" i="42"/>
  <c r="C236" i="42"/>
  <c r="C237" i="42"/>
  <c r="C238" i="42"/>
  <c r="C239" i="42"/>
  <c r="C240" i="42"/>
  <c r="C241" i="42"/>
  <c r="C242" i="42"/>
  <c r="C243" i="42"/>
  <c r="C244" i="42"/>
  <c r="C3" i="42"/>
  <c r="N10" i="41"/>
  <c r="N9" i="41"/>
  <c r="N8" i="41"/>
  <c r="M10" i="41"/>
  <c r="M9" i="41"/>
  <c r="M8" i="41"/>
  <c r="K9" i="41"/>
  <c r="D14" i="28"/>
  <c r="D161" i="46"/>
  <c r="AI21" i="27"/>
  <c r="AI22" i="27"/>
  <c r="AF21" i="27"/>
  <c r="AF22" i="27"/>
  <c r="AC21" i="27"/>
  <c r="AC22" i="27"/>
  <c r="Z21" i="27"/>
  <c r="Z22" i="27"/>
  <c r="W21" i="27"/>
  <c r="W22" i="27"/>
  <c r="G10" i="40"/>
  <c r="C14" i="40"/>
  <c r="T11" i="41" s="1"/>
  <c r="E14" i="40"/>
  <c r="E251" i="46"/>
  <c r="C9" i="40"/>
  <c r="E9" i="40" s="1"/>
  <c r="U8" i="41" s="1"/>
  <c r="F13" i="40"/>
  <c r="G13" i="40"/>
  <c r="G50" i="40"/>
  <c r="F12" i="40"/>
  <c r="G12" i="40"/>
  <c r="H50" i="40"/>
  <c r="F50" i="40"/>
  <c r="F11" i="40"/>
  <c r="G11" i="40"/>
  <c r="E53" i="40"/>
  <c r="C10" i="40"/>
  <c r="E10" i="40" s="1"/>
  <c r="U9" i="41"/>
  <c r="E50" i="40"/>
  <c r="F10" i="40"/>
  <c r="H53" i="40"/>
  <c r="C13" i="40" s="1"/>
  <c r="E13" i="40" s="1"/>
  <c r="G53" i="40"/>
  <c r="C12" i="40" s="1"/>
  <c r="E12" i="40" s="1"/>
  <c r="F53" i="40"/>
  <c r="C11" i="40" s="1"/>
  <c r="G9" i="40"/>
  <c r="F9" i="40"/>
  <c r="F14" i="40"/>
  <c r="E253" i="46" s="1"/>
  <c r="G14" i="40"/>
  <c r="E252" i="46" s="1"/>
  <c r="E254" i="46" s="1"/>
  <c r="I12" i="40"/>
  <c r="N12" i="40" s="1"/>
  <c r="I10" i="40"/>
  <c r="I9" i="40"/>
  <c r="C8" i="41"/>
  <c r="D19" i="37"/>
  <c r="D22" i="37"/>
  <c r="D16" i="37"/>
  <c r="D13" i="37"/>
  <c r="D10" i="37"/>
  <c r="E35" i="37"/>
  <c r="G35" i="37" s="1"/>
  <c r="E34" i="37"/>
  <c r="E33" i="37"/>
  <c r="E32" i="37"/>
  <c r="G32" i="37"/>
  <c r="E31" i="37"/>
  <c r="E25" i="37"/>
  <c r="E8" i="37"/>
  <c r="AI53" i="13"/>
  <c r="AF53" i="13"/>
  <c r="AC53" i="13"/>
  <c r="Z53" i="13"/>
  <c r="W53" i="13"/>
  <c r="W66" i="13"/>
  <c r="W62" i="13"/>
  <c r="W61" i="13"/>
  <c r="W60" i="13"/>
  <c r="W59" i="13"/>
  <c r="W51" i="13"/>
  <c r="W50" i="13"/>
  <c r="W48" i="13"/>
  <c r="W27" i="13"/>
  <c r="W25" i="13"/>
  <c r="W24" i="13"/>
  <c r="W23" i="13"/>
  <c r="W22" i="13"/>
  <c r="W21" i="13"/>
  <c r="W20" i="13"/>
  <c r="W18" i="13"/>
  <c r="W16" i="13"/>
  <c r="W15" i="13"/>
  <c r="W14" i="13"/>
  <c r="W9" i="13"/>
  <c r="H42" i="36"/>
  <c r="G42" i="36"/>
  <c r="F42" i="36"/>
  <c r="E42" i="36"/>
  <c r="D42" i="36"/>
  <c r="C53" i="36"/>
  <c r="B15" i="47" s="1"/>
  <c r="C8" i="36"/>
  <c r="C7" i="36"/>
  <c r="X62" i="35"/>
  <c r="X61" i="35"/>
  <c r="X60" i="35"/>
  <c r="X59" i="35"/>
  <c r="X58" i="35"/>
  <c r="X57" i="35"/>
  <c r="X56" i="35"/>
  <c r="X55" i="35"/>
  <c r="X54" i="35"/>
  <c r="X53" i="35"/>
  <c r="X52" i="35"/>
  <c r="X51" i="35"/>
  <c r="X50" i="35"/>
  <c r="X49" i="35"/>
  <c r="X48" i="35"/>
  <c r="X47" i="35"/>
  <c r="X46" i="35"/>
  <c r="X45" i="35"/>
  <c r="X44" i="35"/>
  <c r="X43" i="35"/>
  <c r="X42" i="35"/>
  <c r="X41" i="35"/>
  <c r="X40" i="35"/>
  <c r="X39" i="35"/>
  <c r="X38" i="35"/>
  <c r="X37" i="35"/>
  <c r="X36" i="35"/>
  <c r="X35" i="35"/>
  <c r="X34" i="35"/>
  <c r="X33" i="35"/>
  <c r="X32" i="35"/>
  <c r="X31" i="35"/>
  <c r="X30" i="35"/>
  <c r="X29" i="35"/>
  <c r="X28" i="35"/>
  <c r="X27" i="35"/>
  <c r="X26" i="35"/>
  <c r="X25" i="35"/>
  <c r="X24" i="35"/>
  <c r="X23" i="35"/>
  <c r="X22" i="35"/>
  <c r="X21" i="35"/>
  <c r="X20" i="35"/>
  <c r="X19" i="35"/>
  <c r="X18" i="35"/>
  <c r="X17" i="35"/>
  <c r="X16" i="35"/>
  <c r="X15" i="35"/>
  <c r="X14" i="35"/>
  <c r="X13" i="35"/>
  <c r="X12" i="35"/>
  <c r="X11" i="35"/>
  <c r="X10" i="35"/>
  <c r="X9" i="35"/>
  <c r="X8" i="35"/>
  <c r="X7" i="35"/>
  <c r="X6" i="35"/>
  <c r="X5" i="35"/>
  <c r="X4" i="35"/>
  <c r="X3" i="35"/>
  <c r="T4" i="35"/>
  <c r="T5" i="35"/>
  <c r="T6" i="35"/>
  <c r="T7" i="35"/>
  <c r="T8" i="35"/>
  <c r="T9" i="35"/>
  <c r="T10" i="35"/>
  <c r="T11" i="35"/>
  <c r="T12" i="35"/>
  <c r="T13" i="35"/>
  <c r="T14" i="35"/>
  <c r="T15" i="35"/>
  <c r="T16" i="35"/>
  <c r="T17" i="35"/>
  <c r="T18" i="35"/>
  <c r="T19" i="35"/>
  <c r="T20" i="35"/>
  <c r="T21" i="35"/>
  <c r="T22" i="35"/>
  <c r="T23" i="35"/>
  <c r="T24" i="35"/>
  <c r="T25" i="35"/>
  <c r="T26" i="35"/>
  <c r="T27" i="35"/>
  <c r="T28" i="35"/>
  <c r="T29" i="35"/>
  <c r="T30" i="35"/>
  <c r="T31" i="35"/>
  <c r="T32" i="35"/>
  <c r="T33" i="35"/>
  <c r="T34" i="35"/>
  <c r="T35" i="35"/>
  <c r="T36" i="35"/>
  <c r="T37" i="35"/>
  <c r="T38" i="35"/>
  <c r="T39" i="35"/>
  <c r="T40" i="35"/>
  <c r="T41" i="35"/>
  <c r="T42" i="35"/>
  <c r="T43" i="35"/>
  <c r="T44" i="35"/>
  <c r="T45" i="35"/>
  <c r="T46" i="35"/>
  <c r="T47" i="35"/>
  <c r="T48" i="35"/>
  <c r="T49" i="35"/>
  <c r="T50" i="35"/>
  <c r="T51" i="35"/>
  <c r="T52" i="35"/>
  <c r="T53" i="35"/>
  <c r="T54" i="35"/>
  <c r="T55" i="35"/>
  <c r="T56" i="35"/>
  <c r="T57" i="35"/>
  <c r="T58" i="35"/>
  <c r="T59" i="35"/>
  <c r="T60" i="35"/>
  <c r="T61" i="35"/>
  <c r="T62" i="35"/>
  <c r="T3" i="35"/>
  <c r="P263" i="35"/>
  <c r="P262" i="35"/>
  <c r="P261" i="35"/>
  <c r="P260" i="35"/>
  <c r="P259" i="35"/>
  <c r="P258" i="35"/>
  <c r="P257" i="35"/>
  <c r="P256" i="35"/>
  <c r="P255" i="35"/>
  <c r="P254" i="35"/>
  <c r="P253" i="35"/>
  <c r="P252" i="35"/>
  <c r="P251" i="35"/>
  <c r="P250" i="35"/>
  <c r="P249" i="35"/>
  <c r="P248" i="35"/>
  <c r="P247" i="35"/>
  <c r="P246" i="35"/>
  <c r="P245" i="35"/>
  <c r="P244" i="35"/>
  <c r="P243" i="35"/>
  <c r="P242" i="35"/>
  <c r="P241" i="35"/>
  <c r="P240" i="35"/>
  <c r="P239" i="35"/>
  <c r="P238" i="35"/>
  <c r="P237" i="35"/>
  <c r="P236" i="35"/>
  <c r="P235" i="35"/>
  <c r="P234" i="35"/>
  <c r="P233" i="35"/>
  <c r="P232" i="35"/>
  <c r="P231" i="35"/>
  <c r="P230" i="35"/>
  <c r="P229" i="35"/>
  <c r="P228" i="35"/>
  <c r="P227" i="35"/>
  <c r="P226" i="35"/>
  <c r="P225" i="35"/>
  <c r="P224" i="35"/>
  <c r="P223" i="35"/>
  <c r="P222" i="35"/>
  <c r="P221" i="35"/>
  <c r="P220" i="35"/>
  <c r="P219" i="35"/>
  <c r="P218" i="35"/>
  <c r="P217" i="35"/>
  <c r="P216" i="35"/>
  <c r="P215" i="35"/>
  <c r="P214" i="35"/>
  <c r="P213" i="35"/>
  <c r="P212" i="35"/>
  <c r="P211" i="35"/>
  <c r="P210" i="35"/>
  <c r="P209" i="35"/>
  <c r="P208" i="35"/>
  <c r="P207" i="35"/>
  <c r="P206" i="35"/>
  <c r="P205" i="35"/>
  <c r="P204" i="35"/>
  <c r="P203" i="35"/>
  <c r="P202" i="35"/>
  <c r="P201" i="35"/>
  <c r="P200" i="35"/>
  <c r="P199" i="35"/>
  <c r="P198" i="35"/>
  <c r="P197" i="35"/>
  <c r="P196" i="35"/>
  <c r="P195" i="35"/>
  <c r="P194" i="35"/>
  <c r="P193" i="35"/>
  <c r="P192" i="35"/>
  <c r="P191" i="35"/>
  <c r="P190" i="35"/>
  <c r="P189" i="35"/>
  <c r="P188" i="35"/>
  <c r="P187" i="35"/>
  <c r="P186" i="35"/>
  <c r="P185" i="35"/>
  <c r="P184" i="35"/>
  <c r="P183" i="35"/>
  <c r="P182" i="35"/>
  <c r="P181" i="35"/>
  <c r="P180" i="35"/>
  <c r="P179" i="35"/>
  <c r="P178" i="35"/>
  <c r="P177" i="35"/>
  <c r="P176" i="35"/>
  <c r="P175" i="35"/>
  <c r="P174" i="35"/>
  <c r="P173" i="35"/>
  <c r="P172" i="35"/>
  <c r="P171" i="35"/>
  <c r="P170" i="35"/>
  <c r="P169" i="35"/>
  <c r="P168" i="35"/>
  <c r="P167" i="35"/>
  <c r="P166" i="35"/>
  <c r="P165" i="35"/>
  <c r="P164" i="35"/>
  <c r="P163" i="35"/>
  <c r="P162" i="35"/>
  <c r="P161" i="35"/>
  <c r="P160" i="35"/>
  <c r="P159" i="35"/>
  <c r="P158" i="35"/>
  <c r="P157" i="35"/>
  <c r="P156" i="35"/>
  <c r="P155" i="35"/>
  <c r="P154" i="35"/>
  <c r="P153" i="35"/>
  <c r="P152" i="35"/>
  <c r="P151" i="35"/>
  <c r="P150" i="35"/>
  <c r="P149" i="35"/>
  <c r="P148" i="35"/>
  <c r="P147" i="35"/>
  <c r="P146" i="35"/>
  <c r="P145" i="35"/>
  <c r="P144" i="35"/>
  <c r="P143" i="35"/>
  <c r="P142" i="35"/>
  <c r="P141" i="35"/>
  <c r="P140" i="35"/>
  <c r="P139" i="35"/>
  <c r="P138" i="35"/>
  <c r="P137" i="35"/>
  <c r="P136" i="35"/>
  <c r="P135" i="35"/>
  <c r="P134" i="35"/>
  <c r="P133" i="35"/>
  <c r="P132" i="35"/>
  <c r="P131" i="35"/>
  <c r="P130" i="35"/>
  <c r="P129" i="35"/>
  <c r="P128" i="35"/>
  <c r="P127" i="35"/>
  <c r="P126" i="35"/>
  <c r="P125" i="35"/>
  <c r="P124" i="35"/>
  <c r="P123" i="35"/>
  <c r="P122" i="35"/>
  <c r="P121" i="35"/>
  <c r="P120" i="35"/>
  <c r="P119" i="35"/>
  <c r="P118" i="35"/>
  <c r="P117" i="35"/>
  <c r="P116" i="35"/>
  <c r="P115" i="35"/>
  <c r="P114" i="35"/>
  <c r="P113" i="35"/>
  <c r="P112" i="35"/>
  <c r="P111" i="35"/>
  <c r="P110" i="35"/>
  <c r="P109" i="35"/>
  <c r="P108" i="35"/>
  <c r="P107" i="35"/>
  <c r="P106" i="35"/>
  <c r="P105" i="35"/>
  <c r="P104" i="35"/>
  <c r="P103" i="35"/>
  <c r="P102" i="35"/>
  <c r="P101" i="35"/>
  <c r="P100" i="35"/>
  <c r="P99" i="35"/>
  <c r="P98" i="35"/>
  <c r="P97" i="35"/>
  <c r="P96" i="35"/>
  <c r="P95" i="35"/>
  <c r="P94" i="35"/>
  <c r="P93" i="35"/>
  <c r="P92" i="35"/>
  <c r="P91" i="35"/>
  <c r="P90" i="35"/>
  <c r="P89" i="35"/>
  <c r="P88" i="35"/>
  <c r="P87" i="35"/>
  <c r="P86" i="35"/>
  <c r="P85" i="35"/>
  <c r="P84" i="35"/>
  <c r="P83" i="35"/>
  <c r="P82" i="35"/>
  <c r="P81" i="35"/>
  <c r="P80" i="35"/>
  <c r="P79" i="35"/>
  <c r="P78" i="35"/>
  <c r="P77" i="35"/>
  <c r="P76" i="35"/>
  <c r="P75" i="35"/>
  <c r="P74" i="35"/>
  <c r="P73" i="35"/>
  <c r="P72" i="35"/>
  <c r="P71" i="35"/>
  <c r="P70" i="35"/>
  <c r="P69" i="35"/>
  <c r="P68" i="35"/>
  <c r="P67" i="35"/>
  <c r="P66" i="35"/>
  <c r="P65" i="35"/>
  <c r="P64" i="35"/>
  <c r="P63" i="35"/>
  <c r="P62" i="35"/>
  <c r="P61" i="35"/>
  <c r="P60" i="35"/>
  <c r="P59" i="35"/>
  <c r="P58" i="35"/>
  <c r="P57" i="35"/>
  <c r="P56" i="35"/>
  <c r="P55" i="35"/>
  <c r="P54" i="35"/>
  <c r="P53" i="35"/>
  <c r="P52" i="35"/>
  <c r="P51" i="35"/>
  <c r="P50" i="35"/>
  <c r="P49" i="35"/>
  <c r="P48" i="35"/>
  <c r="P47" i="35"/>
  <c r="P46" i="35"/>
  <c r="P45" i="35"/>
  <c r="P44" i="35"/>
  <c r="P43" i="35"/>
  <c r="P42" i="35"/>
  <c r="P41" i="35"/>
  <c r="P40" i="35"/>
  <c r="P39" i="35"/>
  <c r="P38" i="35"/>
  <c r="P37" i="35"/>
  <c r="P36" i="35"/>
  <c r="P35" i="35"/>
  <c r="P34" i="35"/>
  <c r="P33" i="35"/>
  <c r="P32" i="35"/>
  <c r="P31" i="35"/>
  <c r="P30" i="35"/>
  <c r="P29" i="35"/>
  <c r="P28" i="35"/>
  <c r="P27" i="35"/>
  <c r="P26" i="35"/>
  <c r="P25" i="35"/>
  <c r="P24" i="35"/>
  <c r="P23" i="35"/>
  <c r="P22" i="35"/>
  <c r="P21" i="35"/>
  <c r="P20" i="35"/>
  <c r="P19" i="35"/>
  <c r="P18" i="35"/>
  <c r="P17" i="35"/>
  <c r="P16" i="35"/>
  <c r="P15" i="35"/>
  <c r="P14" i="35"/>
  <c r="P13" i="35"/>
  <c r="P12" i="35"/>
  <c r="P11" i="35"/>
  <c r="P10" i="35"/>
  <c r="P9" i="35"/>
  <c r="P8" i="35"/>
  <c r="P7" i="35"/>
  <c r="P6" i="35"/>
  <c r="P5" i="35"/>
  <c r="P4" i="35"/>
  <c r="P3" i="35"/>
  <c r="L4" i="35"/>
  <c r="L5" i="35"/>
  <c r="L6" i="35"/>
  <c r="L7" i="35"/>
  <c r="L8" i="35"/>
  <c r="L9" i="35"/>
  <c r="L10" i="35"/>
  <c r="L11" i="35"/>
  <c r="L12" i="35"/>
  <c r="L13" i="35"/>
  <c r="L14" i="35"/>
  <c r="L15" i="35"/>
  <c r="L16" i="35"/>
  <c r="L17" i="35"/>
  <c r="L18" i="35"/>
  <c r="L19" i="35"/>
  <c r="L20" i="35"/>
  <c r="L21" i="35"/>
  <c r="L22" i="35"/>
  <c r="L23" i="35"/>
  <c r="L24" i="35"/>
  <c r="L25" i="35"/>
  <c r="L26" i="35"/>
  <c r="L27" i="35"/>
  <c r="L28" i="35"/>
  <c r="L29" i="35"/>
  <c r="L30" i="35"/>
  <c r="L31" i="35"/>
  <c r="L32" i="35"/>
  <c r="L33" i="35"/>
  <c r="L34" i="35"/>
  <c r="L35" i="35"/>
  <c r="L36" i="35"/>
  <c r="L37" i="35"/>
  <c r="L38" i="35"/>
  <c r="L39" i="35"/>
  <c r="L40" i="35"/>
  <c r="L41" i="35"/>
  <c r="L42" i="35"/>
  <c r="L43" i="35"/>
  <c r="L44" i="35"/>
  <c r="L45" i="35"/>
  <c r="L46" i="35"/>
  <c r="L47" i="35"/>
  <c r="L48" i="35"/>
  <c r="L49" i="35"/>
  <c r="L50" i="35"/>
  <c r="L51" i="35"/>
  <c r="L52" i="35"/>
  <c r="L53" i="35"/>
  <c r="L54" i="35"/>
  <c r="L55" i="35"/>
  <c r="L56" i="35"/>
  <c r="L57" i="35"/>
  <c r="L58" i="35"/>
  <c r="L59" i="35"/>
  <c r="L60" i="35"/>
  <c r="L61" i="35"/>
  <c r="L62" i="35"/>
  <c r="L63" i="35"/>
  <c r="L64" i="35"/>
  <c r="L65" i="35"/>
  <c r="L66" i="35"/>
  <c r="L67" i="35"/>
  <c r="L68" i="35"/>
  <c r="L69" i="35"/>
  <c r="L70" i="35"/>
  <c r="L71" i="35"/>
  <c r="L72" i="35"/>
  <c r="L73" i="35"/>
  <c r="L74" i="35"/>
  <c r="L75" i="35"/>
  <c r="L76" i="35"/>
  <c r="L77" i="35"/>
  <c r="L78" i="35"/>
  <c r="L79" i="35"/>
  <c r="L80" i="35"/>
  <c r="L81" i="35"/>
  <c r="L82" i="35"/>
  <c r="L83" i="35"/>
  <c r="L84" i="35"/>
  <c r="L85" i="35"/>
  <c r="L86" i="35"/>
  <c r="L87" i="35"/>
  <c r="L88" i="35"/>
  <c r="L89" i="35"/>
  <c r="L90" i="35"/>
  <c r="L91" i="35"/>
  <c r="L92" i="35"/>
  <c r="L93" i="35"/>
  <c r="L94" i="35"/>
  <c r="L95" i="35"/>
  <c r="L96" i="35"/>
  <c r="L97" i="35"/>
  <c r="L98" i="35"/>
  <c r="L99" i="35"/>
  <c r="L100" i="35"/>
  <c r="L101" i="35"/>
  <c r="L102" i="35"/>
  <c r="L103" i="35"/>
  <c r="L104" i="35"/>
  <c r="L105" i="35"/>
  <c r="L106" i="35"/>
  <c r="L107" i="35"/>
  <c r="L108" i="35"/>
  <c r="L109" i="35"/>
  <c r="L110" i="35"/>
  <c r="L111" i="35"/>
  <c r="L112" i="35"/>
  <c r="L113" i="35"/>
  <c r="L114" i="35"/>
  <c r="L115" i="35"/>
  <c r="L116" i="35"/>
  <c r="L117" i="35"/>
  <c r="L118" i="35"/>
  <c r="L119" i="35"/>
  <c r="L120" i="35"/>
  <c r="L121" i="35"/>
  <c r="L122" i="35"/>
  <c r="L123" i="35"/>
  <c r="L124" i="35"/>
  <c r="L125" i="35"/>
  <c r="L126" i="35"/>
  <c r="L127" i="35"/>
  <c r="L128" i="35"/>
  <c r="L129" i="35"/>
  <c r="L130" i="35"/>
  <c r="L131" i="35"/>
  <c r="L132" i="35"/>
  <c r="L133" i="35"/>
  <c r="L134" i="35"/>
  <c r="L135" i="35"/>
  <c r="L136" i="35"/>
  <c r="L137" i="35"/>
  <c r="L138" i="35"/>
  <c r="L139" i="35"/>
  <c r="L140" i="35"/>
  <c r="L141" i="35"/>
  <c r="L142" i="35"/>
  <c r="L143" i="35"/>
  <c r="L144" i="35"/>
  <c r="L145" i="35"/>
  <c r="L146" i="35"/>
  <c r="L147" i="35"/>
  <c r="L148" i="35"/>
  <c r="L149" i="35"/>
  <c r="L150" i="35"/>
  <c r="L151" i="35"/>
  <c r="L152" i="35"/>
  <c r="L153" i="35"/>
  <c r="L154" i="35"/>
  <c r="L155" i="35"/>
  <c r="L156" i="35"/>
  <c r="L157" i="35"/>
  <c r="L158" i="35"/>
  <c r="L159" i="35"/>
  <c r="L160" i="35"/>
  <c r="L161" i="35"/>
  <c r="L162" i="35"/>
  <c r="L163" i="35"/>
  <c r="L164" i="35"/>
  <c r="L165" i="35"/>
  <c r="L166" i="35"/>
  <c r="L167" i="35"/>
  <c r="L168" i="35"/>
  <c r="L169" i="35"/>
  <c r="L170" i="35"/>
  <c r="L171" i="35"/>
  <c r="L172" i="35"/>
  <c r="L173" i="35"/>
  <c r="L174" i="35"/>
  <c r="L175" i="35"/>
  <c r="L176" i="35"/>
  <c r="L177" i="35"/>
  <c r="L178" i="35"/>
  <c r="L179" i="35"/>
  <c r="L180" i="35"/>
  <c r="L181" i="35"/>
  <c r="L182" i="35"/>
  <c r="L183" i="35"/>
  <c r="L184" i="35"/>
  <c r="L185" i="35"/>
  <c r="L186" i="35"/>
  <c r="L187" i="35"/>
  <c r="L188" i="35"/>
  <c r="L189" i="35"/>
  <c r="L190" i="35"/>
  <c r="L191" i="35"/>
  <c r="L192" i="35"/>
  <c r="L193" i="35"/>
  <c r="L194" i="35"/>
  <c r="L195" i="35"/>
  <c r="L196" i="35"/>
  <c r="L197" i="35"/>
  <c r="L198" i="35"/>
  <c r="L199" i="35"/>
  <c r="L200" i="35"/>
  <c r="L201" i="35"/>
  <c r="L202" i="35"/>
  <c r="L203" i="35"/>
  <c r="L204" i="35"/>
  <c r="L205" i="35"/>
  <c r="L206" i="35"/>
  <c r="L207" i="35"/>
  <c r="L208" i="35"/>
  <c r="L209" i="35"/>
  <c r="L210" i="35"/>
  <c r="L211" i="35"/>
  <c r="L212" i="35"/>
  <c r="L213" i="35"/>
  <c r="L214" i="35"/>
  <c r="L215" i="35"/>
  <c r="L216" i="35"/>
  <c r="L217" i="35"/>
  <c r="L218" i="35"/>
  <c r="L219" i="35"/>
  <c r="L220" i="35"/>
  <c r="L221" i="35"/>
  <c r="L222" i="35"/>
  <c r="L223" i="35"/>
  <c r="L224" i="35"/>
  <c r="L225" i="35"/>
  <c r="L226" i="35"/>
  <c r="L227" i="35"/>
  <c r="L228" i="35"/>
  <c r="L229" i="35"/>
  <c r="L230" i="35"/>
  <c r="L231" i="35"/>
  <c r="L232" i="35"/>
  <c r="L233" i="35"/>
  <c r="L234" i="35"/>
  <c r="L235" i="35"/>
  <c r="L236" i="35"/>
  <c r="L237" i="35"/>
  <c r="L238" i="35"/>
  <c r="L239" i="35"/>
  <c r="L240" i="35"/>
  <c r="L241" i="35"/>
  <c r="L242" i="35"/>
  <c r="L243" i="35"/>
  <c r="L244" i="35"/>
  <c r="L245" i="35"/>
  <c r="L246" i="35"/>
  <c r="L247" i="35"/>
  <c r="L248" i="35"/>
  <c r="L249" i="35"/>
  <c r="L250" i="35"/>
  <c r="L251" i="35"/>
  <c r="L252" i="35"/>
  <c r="L253" i="35"/>
  <c r="L254" i="35"/>
  <c r="L255" i="35"/>
  <c r="L256" i="35"/>
  <c r="L257" i="35"/>
  <c r="L258" i="35"/>
  <c r="L259" i="35"/>
  <c r="L260" i="35"/>
  <c r="L261" i="35"/>
  <c r="L262" i="35"/>
  <c r="L263" i="35"/>
  <c r="L3" i="35"/>
  <c r="H1240" i="35"/>
  <c r="H1239" i="35"/>
  <c r="H1238" i="35"/>
  <c r="H1237" i="35"/>
  <c r="H1236" i="35"/>
  <c r="H1235" i="35"/>
  <c r="H1234" i="35"/>
  <c r="H1233" i="35"/>
  <c r="H1232" i="35"/>
  <c r="H1231" i="35"/>
  <c r="H1230" i="35"/>
  <c r="H1229" i="35"/>
  <c r="H1228" i="35"/>
  <c r="H1227" i="35"/>
  <c r="H1226" i="35"/>
  <c r="H1225" i="35"/>
  <c r="H1224" i="35"/>
  <c r="H1223" i="35"/>
  <c r="H1222" i="35"/>
  <c r="H1221" i="35"/>
  <c r="H1220" i="35"/>
  <c r="H1219" i="35"/>
  <c r="H1218" i="35"/>
  <c r="H1217" i="35"/>
  <c r="H1216" i="35"/>
  <c r="H1215" i="35"/>
  <c r="H1214" i="35"/>
  <c r="H1213" i="35"/>
  <c r="H1212" i="35"/>
  <c r="H1211" i="35"/>
  <c r="H1210" i="35"/>
  <c r="H1209" i="35"/>
  <c r="H1208" i="35"/>
  <c r="H1207" i="35"/>
  <c r="H1206" i="35"/>
  <c r="H1205" i="35"/>
  <c r="H1204" i="35"/>
  <c r="H1203" i="35"/>
  <c r="H1202" i="35"/>
  <c r="H1201" i="35"/>
  <c r="H1200" i="35"/>
  <c r="H1199" i="35"/>
  <c r="H1198" i="35"/>
  <c r="H1197" i="35"/>
  <c r="H1196" i="35"/>
  <c r="H1195" i="35"/>
  <c r="H1194" i="35"/>
  <c r="H1193" i="35"/>
  <c r="H1192" i="35"/>
  <c r="H1191" i="35"/>
  <c r="H1190" i="35"/>
  <c r="H1189" i="35"/>
  <c r="H1188" i="35"/>
  <c r="H1187" i="35"/>
  <c r="H1186" i="35"/>
  <c r="H1185" i="35"/>
  <c r="H1184" i="35"/>
  <c r="H1183" i="35"/>
  <c r="H1182" i="35"/>
  <c r="H1181" i="35"/>
  <c r="H1180" i="35"/>
  <c r="H1179" i="35"/>
  <c r="H1178" i="35"/>
  <c r="H1177" i="35"/>
  <c r="H1176" i="35"/>
  <c r="H1175" i="35"/>
  <c r="H1174" i="35"/>
  <c r="H1173" i="35"/>
  <c r="H1172" i="35"/>
  <c r="H1171" i="35"/>
  <c r="H1170" i="35"/>
  <c r="H1169" i="35"/>
  <c r="H1168" i="35"/>
  <c r="H1167" i="35"/>
  <c r="H1166" i="35"/>
  <c r="H1165" i="35"/>
  <c r="H1164" i="35"/>
  <c r="H1163" i="35"/>
  <c r="H1162" i="35"/>
  <c r="H1161" i="35"/>
  <c r="H1160" i="35"/>
  <c r="H1159" i="35"/>
  <c r="H1158" i="35"/>
  <c r="H1157" i="35"/>
  <c r="H1156" i="35"/>
  <c r="H1155" i="35"/>
  <c r="H1154" i="35"/>
  <c r="H1153" i="35"/>
  <c r="H1152" i="35"/>
  <c r="H1151" i="35"/>
  <c r="H1150" i="35"/>
  <c r="H1149" i="35"/>
  <c r="H1148" i="35"/>
  <c r="H1147" i="35"/>
  <c r="H1146" i="35"/>
  <c r="H1145" i="35"/>
  <c r="H1144" i="35"/>
  <c r="H1143" i="35"/>
  <c r="H1142" i="35"/>
  <c r="H1141" i="35"/>
  <c r="H1140" i="35"/>
  <c r="H1139" i="35"/>
  <c r="H1138" i="35"/>
  <c r="H1137" i="35"/>
  <c r="H1136" i="35"/>
  <c r="H1135" i="35"/>
  <c r="H1134" i="35"/>
  <c r="H1133" i="35"/>
  <c r="H1132" i="35"/>
  <c r="H1131" i="35"/>
  <c r="H1130" i="35"/>
  <c r="H1129" i="35"/>
  <c r="H1128" i="35"/>
  <c r="H1127" i="35"/>
  <c r="H1126" i="35"/>
  <c r="H1125" i="35"/>
  <c r="H1124" i="35"/>
  <c r="H1123" i="35"/>
  <c r="H1122" i="35"/>
  <c r="H1121" i="35"/>
  <c r="H1120" i="35"/>
  <c r="H1119" i="35"/>
  <c r="H1118" i="35"/>
  <c r="H1117" i="35"/>
  <c r="H1116" i="35"/>
  <c r="H1115" i="35"/>
  <c r="H1114" i="35"/>
  <c r="H1113" i="35"/>
  <c r="H1112" i="35"/>
  <c r="H1111" i="35"/>
  <c r="H1110" i="35"/>
  <c r="H1109" i="35"/>
  <c r="H1108" i="35"/>
  <c r="H1107" i="35"/>
  <c r="H1106" i="35"/>
  <c r="H1105" i="35"/>
  <c r="H1104" i="35"/>
  <c r="H1103" i="35"/>
  <c r="H1102" i="35"/>
  <c r="H1101" i="35"/>
  <c r="H1100" i="35"/>
  <c r="H1099" i="35"/>
  <c r="H1098" i="35"/>
  <c r="H1097" i="35"/>
  <c r="H1096" i="35"/>
  <c r="H1095" i="35"/>
  <c r="H1094" i="35"/>
  <c r="H1093" i="35"/>
  <c r="H1092" i="35"/>
  <c r="H1091" i="35"/>
  <c r="H1090" i="35"/>
  <c r="H1089" i="35"/>
  <c r="H1088" i="35"/>
  <c r="H1087" i="35"/>
  <c r="H1086" i="35"/>
  <c r="H1085" i="35"/>
  <c r="H1084" i="35"/>
  <c r="H1083" i="35"/>
  <c r="H1082" i="35"/>
  <c r="H1081" i="35"/>
  <c r="H1080" i="35"/>
  <c r="H1079" i="35"/>
  <c r="H1078" i="35"/>
  <c r="H1077" i="35"/>
  <c r="H1076" i="35"/>
  <c r="H1075" i="35"/>
  <c r="H1074" i="35"/>
  <c r="H1073" i="35"/>
  <c r="H1072" i="35"/>
  <c r="H1071" i="35"/>
  <c r="H1070" i="35"/>
  <c r="H1069" i="35"/>
  <c r="H1068" i="35"/>
  <c r="H1067" i="35"/>
  <c r="H1066" i="35"/>
  <c r="H1065" i="35"/>
  <c r="H1064" i="35"/>
  <c r="H1063" i="35"/>
  <c r="H1062" i="35"/>
  <c r="H1061" i="35"/>
  <c r="H1060" i="35"/>
  <c r="H1059" i="35"/>
  <c r="H1058" i="35"/>
  <c r="H1057" i="35"/>
  <c r="H1056" i="35"/>
  <c r="H1055" i="35"/>
  <c r="H1054" i="35"/>
  <c r="H1053" i="35"/>
  <c r="H1052" i="35"/>
  <c r="H1051" i="35"/>
  <c r="H1050" i="35"/>
  <c r="H1049" i="35"/>
  <c r="H1048" i="35"/>
  <c r="H1047" i="35"/>
  <c r="H1046" i="35"/>
  <c r="H1045" i="35"/>
  <c r="H1044" i="35"/>
  <c r="H1043" i="35"/>
  <c r="H1042" i="35"/>
  <c r="H1041" i="35"/>
  <c r="H1040" i="35"/>
  <c r="H1039" i="35"/>
  <c r="H1038" i="35"/>
  <c r="H1037" i="35"/>
  <c r="H1036" i="35"/>
  <c r="H1035" i="35"/>
  <c r="H1034" i="35"/>
  <c r="H1033" i="35"/>
  <c r="H1032" i="35"/>
  <c r="H1031" i="35"/>
  <c r="H1030" i="35"/>
  <c r="H1029" i="35"/>
  <c r="H1028" i="35"/>
  <c r="H1027" i="35"/>
  <c r="H1026" i="35"/>
  <c r="H1025" i="35"/>
  <c r="H1024" i="35"/>
  <c r="H1023" i="35"/>
  <c r="H1022" i="35"/>
  <c r="H1021" i="35"/>
  <c r="H1020" i="35"/>
  <c r="H1019" i="35"/>
  <c r="H1018" i="35"/>
  <c r="H1017" i="35"/>
  <c r="H1016" i="35"/>
  <c r="H1015" i="35"/>
  <c r="H1014" i="35"/>
  <c r="H1013" i="35"/>
  <c r="H1012" i="35"/>
  <c r="H1011" i="35"/>
  <c r="H1010" i="35"/>
  <c r="H1009" i="35"/>
  <c r="H1008" i="35"/>
  <c r="H1007" i="35"/>
  <c r="H1006" i="35"/>
  <c r="H1005" i="35"/>
  <c r="H1004" i="35"/>
  <c r="H1003" i="35"/>
  <c r="H1002" i="35"/>
  <c r="H1001" i="35"/>
  <c r="H1000" i="35"/>
  <c r="H999" i="35"/>
  <c r="H998" i="35"/>
  <c r="H997" i="35"/>
  <c r="H996" i="35"/>
  <c r="H995" i="35"/>
  <c r="H994" i="35"/>
  <c r="H993" i="35"/>
  <c r="H992" i="35"/>
  <c r="H991" i="35"/>
  <c r="H990" i="35"/>
  <c r="H989" i="35"/>
  <c r="H988" i="35"/>
  <c r="H987" i="35"/>
  <c r="H986" i="35"/>
  <c r="H985" i="35"/>
  <c r="H984" i="35"/>
  <c r="H983" i="35"/>
  <c r="H982" i="35"/>
  <c r="H981" i="35"/>
  <c r="H980" i="35"/>
  <c r="H979" i="35"/>
  <c r="H978" i="35"/>
  <c r="H977" i="35"/>
  <c r="H976" i="35"/>
  <c r="H975" i="35"/>
  <c r="H974" i="35"/>
  <c r="H973" i="35"/>
  <c r="H972" i="35"/>
  <c r="H971" i="35"/>
  <c r="H970" i="35"/>
  <c r="H969" i="35"/>
  <c r="H968" i="35"/>
  <c r="H967" i="35"/>
  <c r="H966" i="35"/>
  <c r="H965" i="35"/>
  <c r="H964" i="35"/>
  <c r="H963" i="35"/>
  <c r="H962" i="35"/>
  <c r="H961" i="35"/>
  <c r="H960" i="35"/>
  <c r="H959" i="35"/>
  <c r="H958" i="35"/>
  <c r="H957" i="35"/>
  <c r="H956" i="35"/>
  <c r="H955" i="35"/>
  <c r="H954" i="35"/>
  <c r="H953" i="35"/>
  <c r="H952" i="35"/>
  <c r="H951" i="35"/>
  <c r="H950" i="35"/>
  <c r="H949" i="35"/>
  <c r="H948" i="35"/>
  <c r="H947" i="35"/>
  <c r="H946" i="35"/>
  <c r="H945" i="35"/>
  <c r="H944" i="35"/>
  <c r="H943" i="35"/>
  <c r="H942" i="35"/>
  <c r="H941" i="35"/>
  <c r="H940" i="35"/>
  <c r="H939" i="35"/>
  <c r="H938" i="35"/>
  <c r="H937" i="35"/>
  <c r="H936" i="35"/>
  <c r="H935" i="35"/>
  <c r="H934" i="35"/>
  <c r="H933" i="35"/>
  <c r="H932" i="35"/>
  <c r="H931" i="35"/>
  <c r="H930" i="35"/>
  <c r="H929" i="35"/>
  <c r="H928" i="35"/>
  <c r="H927" i="35"/>
  <c r="H926" i="35"/>
  <c r="H925" i="35"/>
  <c r="H924" i="35"/>
  <c r="H923" i="35"/>
  <c r="H922" i="35"/>
  <c r="H921" i="35"/>
  <c r="H920" i="35"/>
  <c r="H919" i="35"/>
  <c r="H918" i="35"/>
  <c r="H917" i="35"/>
  <c r="H916" i="35"/>
  <c r="H915" i="35"/>
  <c r="H914" i="35"/>
  <c r="H913" i="35"/>
  <c r="H912" i="35"/>
  <c r="H911" i="35"/>
  <c r="H910" i="35"/>
  <c r="H909" i="35"/>
  <c r="H908" i="35"/>
  <c r="H907" i="35"/>
  <c r="H906" i="35"/>
  <c r="H905" i="35"/>
  <c r="H904" i="35"/>
  <c r="H903" i="35"/>
  <c r="H902" i="35"/>
  <c r="H901" i="35"/>
  <c r="H900" i="35"/>
  <c r="H899" i="35"/>
  <c r="H898" i="35"/>
  <c r="H897" i="35"/>
  <c r="H896" i="35"/>
  <c r="H895" i="35"/>
  <c r="H894" i="35"/>
  <c r="H893" i="35"/>
  <c r="H892" i="35"/>
  <c r="H891" i="35"/>
  <c r="H890" i="35"/>
  <c r="H889" i="35"/>
  <c r="H888" i="35"/>
  <c r="H887" i="35"/>
  <c r="H886" i="35"/>
  <c r="H885" i="35"/>
  <c r="H884" i="35"/>
  <c r="H883" i="35"/>
  <c r="H882" i="35"/>
  <c r="H881" i="35"/>
  <c r="H880" i="35"/>
  <c r="H879" i="35"/>
  <c r="H878" i="35"/>
  <c r="H877" i="35"/>
  <c r="H876" i="35"/>
  <c r="H875" i="35"/>
  <c r="H874" i="35"/>
  <c r="H873" i="35"/>
  <c r="H872" i="35"/>
  <c r="H871" i="35"/>
  <c r="H870" i="35"/>
  <c r="H869" i="35"/>
  <c r="H868" i="35"/>
  <c r="H867" i="35"/>
  <c r="H866" i="35"/>
  <c r="H865" i="35"/>
  <c r="H864" i="35"/>
  <c r="H863" i="35"/>
  <c r="H862" i="35"/>
  <c r="H861" i="35"/>
  <c r="H860" i="35"/>
  <c r="H859" i="35"/>
  <c r="H858" i="35"/>
  <c r="H857" i="35"/>
  <c r="H856" i="35"/>
  <c r="H855" i="35"/>
  <c r="H854" i="35"/>
  <c r="H853" i="35"/>
  <c r="H852" i="35"/>
  <c r="H851" i="35"/>
  <c r="H850" i="35"/>
  <c r="H849" i="35"/>
  <c r="H848" i="35"/>
  <c r="H847" i="35"/>
  <c r="H846" i="35"/>
  <c r="H845" i="35"/>
  <c r="H844" i="35"/>
  <c r="H843" i="35"/>
  <c r="H842" i="35"/>
  <c r="H841" i="35"/>
  <c r="H840" i="35"/>
  <c r="H839" i="35"/>
  <c r="H838" i="35"/>
  <c r="H837" i="35"/>
  <c r="H836" i="35"/>
  <c r="H835" i="35"/>
  <c r="H834" i="35"/>
  <c r="H833" i="35"/>
  <c r="H832" i="35"/>
  <c r="H831" i="35"/>
  <c r="H830" i="35"/>
  <c r="H829" i="35"/>
  <c r="H828" i="35"/>
  <c r="H827" i="35"/>
  <c r="H826" i="35"/>
  <c r="H825" i="35"/>
  <c r="H824" i="35"/>
  <c r="H823" i="35"/>
  <c r="H822" i="35"/>
  <c r="H821" i="35"/>
  <c r="H820" i="35"/>
  <c r="H819" i="35"/>
  <c r="H818" i="35"/>
  <c r="H817" i="35"/>
  <c r="H816" i="35"/>
  <c r="H815" i="35"/>
  <c r="H814" i="35"/>
  <c r="H813" i="35"/>
  <c r="H812" i="35"/>
  <c r="H811" i="35"/>
  <c r="H810" i="35"/>
  <c r="H809" i="35"/>
  <c r="H808" i="35"/>
  <c r="H807" i="35"/>
  <c r="H806" i="35"/>
  <c r="H805" i="35"/>
  <c r="H804" i="35"/>
  <c r="H803" i="35"/>
  <c r="H802" i="35"/>
  <c r="H801" i="35"/>
  <c r="H800" i="35"/>
  <c r="H799" i="35"/>
  <c r="H798" i="35"/>
  <c r="H797" i="35"/>
  <c r="H796" i="35"/>
  <c r="H795" i="35"/>
  <c r="H794" i="35"/>
  <c r="H793" i="35"/>
  <c r="H792" i="35"/>
  <c r="H791" i="35"/>
  <c r="H790" i="35"/>
  <c r="H789" i="35"/>
  <c r="H788" i="35"/>
  <c r="H787" i="35"/>
  <c r="H786" i="35"/>
  <c r="H785" i="35"/>
  <c r="H784" i="35"/>
  <c r="H783" i="35"/>
  <c r="H782" i="35"/>
  <c r="H781" i="35"/>
  <c r="H780" i="35"/>
  <c r="H779" i="35"/>
  <c r="H778" i="35"/>
  <c r="H777" i="35"/>
  <c r="H776" i="35"/>
  <c r="H775" i="35"/>
  <c r="H774" i="35"/>
  <c r="H773" i="35"/>
  <c r="H772" i="35"/>
  <c r="H771" i="35"/>
  <c r="H770" i="35"/>
  <c r="H769" i="35"/>
  <c r="H768" i="35"/>
  <c r="H767" i="35"/>
  <c r="H766" i="35"/>
  <c r="H765" i="35"/>
  <c r="H764" i="35"/>
  <c r="H763" i="35"/>
  <c r="H762" i="35"/>
  <c r="H761" i="35"/>
  <c r="H760" i="35"/>
  <c r="H759" i="35"/>
  <c r="H758" i="35"/>
  <c r="H757" i="35"/>
  <c r="H756" i="35"/>
  <c r="H755" i="35"/>
  <c r="H754" i="35"/>
  <c r="H753" i="35"/>
  <c r="H752" i="35"/>
  <c r="H751" i="35"/>
  <c r="H750" i="35"/>
  <c r="H749" i="35"/>
  <c r="H748" i="35"/>
  <c r="H747" i="35"/>
  <c r="H746" i="35"/>
  <c r="H745" i="35"/>
  <c r="H744" i="35"/>
  <c r="H743" i="35"/>
  <c r="H742" i="35"/>
  <c r="H741" i="35"/>
  <c r="H740" i="35"/>
  <c r="H739" i="35"/>
  <c r="H738" i="35"/>
  <c r="H737" i="35"/>
  <c r="H736" i="35"/>
  <c r="H735" i="35"/>
  <c r="H734" i="35"/>
  <c r="H733" i="35"/>
  <c r="H732" i="35"/>
  <c r="H731" i="35"/>
  <c r="H730" i="35"/>
  <c r="H729" i="35"/>
  <c r="H728" i="35"/>
  <c r="H727" i="35"/>
  <c r="H726" i="35"/>
  <c r="H725" i="35"/>
  <c r="H724" i="35"/>
  <c r="H723" i="35"/>
  <c r="H722" i="35"/>
  <c r="H721" i="35"/>
  <c r="H720" i="35"/>
  <c r="H719" i="35"/>
  <c r="H718" i="35"/>
  <c r="H717" i="35"/>
  <c r="H716" i="35"/>
  <c r="H715" i="35"/>
  <c r="H714" i="35"/>
  <c r="H713" i="35"/>
  <c r="H712" i="35"/>
  <c r="H711" i="35"/>
  <c r="H710" i="35"/>
  <c r="H709" i="35"/>
  <c r="H708" i="35"/>
  <c r="H707" i="35"/>
  <c r="H706" i="35"/>
  <c r="H705" i="35"/>
  <c r="H704" i="35"/>
  <c r="H703" i="35"/>
  <c r="H702" i="35"/>
  <c r="H701" i="35"/>
  <c r="H700" i="35"/>
  <c r="H699" i="35"/>
  <c r="H698" i="35"/>
  <c r="H697" i="35"/>
  <c r="H696" i="35"/>
  <c r="H695" i="35"/>
  <c r="H694" i="35"/>
  <c r="H693" i="35"/>
  <c r="H692" i="35"/>
  <c r="H691" i="35"/>
  <c r="H690" i="35"/>
  <c r="H689" i="35"/>
  <c r="H688" i="35"/>
  <c r="H687" i="35"/>
  <c r="H686" i="35"/>
  <c r="H685" i="35"/>
  <c r="H684" i="35"/>
  <c r="H683" i="35"/>
  <c r="H682" i="35"/>
  <c r="H681" i="35"/>
  <c r="H680" i="35"/>
  <c r="H679" i="35"/>
  <c r="H678" i="35"/>
  <c r="H677" i="35"/>
  <c r="H676" i="35"/>
  <c r="H675" i="35"/>
  <c r="H674" i="35"/>
  <c r="H673" i="35"/>
  <c r="H672" i="35"/>
  <c r="H671" i="35"/>
  <c r="H670" i="35"/>
  <c r="H669" i="35"/>
  <c r="H668" i="35"/>
  <c r="H667" i="35"/>
  <c r="H666" i="35"/>
  <c r="H665" i="35"/>
  <c r="H664" i="35"/>
  <c r="H663" i="35"/>
  <c r="H662" i="35"/>
  <c r="H661" i="35"/>
  <c r="H660" i="35"/>
  <c r="H659" i="35"/>
  <c r="H658" i="35"/>
  <c r="H657" i="35"/>
  <c r="H656" i="35"/>
  <c r="H655" i="35"/>
  <c r="H654" i="35"/>
  <c r="H653" i="35"/>
  <c r="H652" i="35"/>
  <c r="H651" i="35"/>
  <c r="H650" i="35"/>
  <c r="H649" i="35"/>
  <c r="H648" i="35"/>
  <c r="H647" i="35"/>
  <c r="H646" i="35"/>
  <c r="H645" i="35"/>
  <c r="H644" i="35"/>
  <c r="H643" i="35"/>
  <c r="H642" i="35"/>
  <c r="H641" i="35"/>
  <c r="H640" i="35"/>
  <c r="H639" i="35"/>
  <c r="H638" i="35"/>
  <c r="H637" i="35"/>
  <c r="H636" i="35"/>
  <c r="H635" i="35"/>
  <c r="H634" i="35"/>
  <c r="H633" i="35"/>
  <c r="H632" i="35"/>
  <c r="H631" i="35"/>
  <c r="H630" i="35"/>
  <c r="H629" i="35"/>
  <c r="H628" i="35"/>
  <c r="H627" i="35"/>
  <c r="H626" i="35"/>
  <c r="H625" i="35"/>
  <c r="H624" i="35"/>
  <c r="H623" i="35"/>
  <c r="H622" i="35"/>
  <c r="H621" i="35"/>
  <c r="H620" i="35"/>
  <c r="H619" i="35"/>
  <c r="H618" i="35"/>
  <c r="H617" i="35"/>
  <c r="H616" i="35"/>
  <c r="H615" i="35"/>
  <c r="H614" i="35"/>
  <c r="H613" i="35"/>
  <c r="H612" i="35"/>
  <c r="H611" i="35"/>
  <c r="H610" i="35"/>
  <c r="H609" i="35"/>
  <c r="H608" i="35"/>
  <c r="H607" i="35"/>
  <c r="H606" i="35"/>
  <c r="H605" i="35"/>
  <c r="H604" i="35"/>
  <c r="H603" i="35"/>
  <c r="H602" i="35"/>
  <c r="H601" i="35"/>
  <c r="H600" i="35"/>
  <c r="H599" i="35"/>
  <c r="H598" i="35"/>
  <c r="H597" i="35"/>
  <c r="H596" i="35"/>
  <c r="H595" i="35"/>
  <c r="H594" i="35"/>
  <c r="H593" i="35"/>
  <c r="H592" i="35"/>
  <c r="H591" i="35"/>
  <c r="H590" i="35"/>
  <c r="H589" i="35"/>
  <c r="H588" i="35"/>
  <c r="H587" i="35"/>
  <c r="H586" i="35"/>
  <c r="H585" i="35"/>
  <c r="H584" i="35"/>
  <c r="H583" i="35"/>
  <c r="H582" i="35"/>
  <c r="H581" i="35"/>
  <c r="H580" i="35"/>
  <c r="H579" i="35"/>
  <c r="H578" i="35"/>
  <c r="H577" i="35"/>
  <c r="H576" i="35"/>
  <c r="H575" i="35"/>
  <c r="H574" i="35"/>
  <c r="H573" i="35"/>
  <c r="H572" i="35"/>
  <c r="H571" i="35"/>
  <c r="H570" i="35"/>
  <c r="H569" i="35"/>
  <c r="H568" i="35"/>
  <c r="H567" i="35"/>
  <c r="H566" i="35"/>
  <c r="H565" i="35"/>
  <c r="H564" i="35"/>
  <c r="H563" i="35"/>
  <c r="H562" i="35"/>
  <c r="H561" i="35"/>
  <c r="H560" i="35"/>
  <c r="H559" i="35"/>
  <c r="H558" i="35"/>
  <c r="H557" i="35"/>
  <c r="H556" i="35"/>
  <c r="H555" i="35"/>
  <c r="H554" i="35"/>
  <c r="H553" i="35"/>
  <c r="H552" i="35"/>
  <c r="H551" i="35"/>
  <c r="H550" i="35"/>
  <c r="H549" i="35"/>
  <c r="H548" i="35"/>
  <c r="H547" i="35"/>
  <c r="H546" i="35"/>
  <c r="H545" i="35"/>
  <c r="H544" i="35"/>
  <c r="H543" i="35"/>
  <c r="H542" i="35"/>
  <c r="H541" i="35"/>
  <c r="H540" i="35"/>
  <c r="H539" i="35"/>
  <c r="H538" i="35"/>
  <c r="H537" i="35"/>
  <c r="H536" i="35"/>
  <c r="H535" i="35"/>
  <c r="H534" i="35"/>
  <c r="H533" i="35"/>
  <c r="H532" i="35"/>
  <c r="H531" i="35"/>
  <c r="H530" i="35"/>
  <c r="H529" i="35"/>
  <c r="H528" i="35"/>
  <c r="H527" i="35"/>
  <c r="H526" i="35"/>
  <c r="H525" i="35"/>
  <c r="H524" i="35"/>
  <c r="H523" i="35"/>
  <c r="H522" i="35"/>
  <c r="H521" i="35"/>
  <c r="H520" i="35"/>
  <c r="H519" i="35"/>
  <c r="H518" i="35"/>
  <c r="H517" i="35"/>
  <c r="H516" i="35"/>
  <c r="H515" i="35"/>
  <c r="H514" i="35"/>
  <c r="H513" i="35"/>
  <c r="H512" i="35"/>
  <c r="H511" i="35"/>
  <c r="H510" i="35"/>
  <c r="H509" i="35"/>
  <c r="H508" i="35"/>
  <c r="H507" i="35"/>
  <c r="H506" i="35"/>
  <c r="H505" i="35"/>
  <c r="H504" i="35"/>
  <c r="H503" i="35"/>
  <c r="H502" i="35"/>
  <c r="H501" i="35"/>
  <c r="H500" i="35"/>
  <c r="H499" i="35"/>
  <c r="H498" i="35"/>
  <c r="H497" i="35"/>
  <c r="H496" i="35"/>
  <c r="H495" i="35"/>
  <c r="H494" i="35"/>
  <c r="H493" i="35"/>
  <c r="H492" i="35"/>
  <c r="H491" i="35"/>
  <c r="H490" i="35"/>
  <c r="H489" i="35"/>
  <c r="H488" i="35"/>
  <c r="H487" i="35"/>
  <c r="H486" i="35"/>
  <c r="H485" i="35"/>
  <c r="H484" i="35"/>
  <c r="H483" i="35"/>
  <c r="H482" i="35"/>
  <c r="H481" i="35"/>
  <c r="H480" i="35"/>
  <c r="H479" i="35"/>
  <c r="H478" i="35"/>
  <c r="H477" i="35"/>
  <c r="H476" i="35"/>
  <c r="H475" i="35"/>
  <c r="H474" i="35"/>
  <c r="H473" i="35"/>
  <c r="H472" i="35"/>
  <c r="H471" i="35"/>
  <c r="H470" i="35"/>
  <c r="H469" i="35"/>
  <c r="H468" i="35"/>
  <c r="H467" i="35"/>
  <c r="H466" i="35"/>
  <c r="H465" i="35"/>
  <c r="H464" i="35"/>
  <c r="H463" i="35"/>
  <c r="H462" i="35"/>
  <c r="H461" i="35"/>
  <c r="H460" i="35"/>
  <c r="H459" i="35"/>
  <c r="H458" i="35"/>
  <c r="H457" i="35"/>
  <c r="H456" i="35"/>
  <c r="H455" i="35"/>
  <c r="H454" i="35"/>
  <c r="H453" i="35"/>
  <c r="H452" i="35"/>
  <c r="H451" i="35"/>
  <c r="H450" i="35"/>
  <c r="H449" i="35"/>
  <c r="H448" i="35"/>
  <c r="H447" i="35"/>
  <c r="H446" i="35"/>
  <c r="H445" i="35"/>
  <c r="H444" i="35"/>
  <c r="H443" i="35"/>
  <c r="H442" i="35"/>
  <c r="H441" i="35"/>
  <c r="H440" i="35"/>
  <c r="H439" i="35"/>
  <c r="H438" i="35"/>
  <c r="H437" i="35"/>
  <c r="H436" i="35"/>
  <c r="H435" i="35"/>
  <c r="H434" i="35"/>
  <c r="H433" i="35"/>
  <c r="H432" i="35"/>
  <c r="H431" i="35"/>
  <c r="H430" i="35"/>
  <c r="H429" i="35"/>
  <c r="H428" i="35"/>
  <c r="H427" i="35"/>
  <c r="H426" i="35"/>
  <c r="H425" i="35"/>
  <c r="H424" i="35"/>
  <c r="H423" i="35"/>
  <c r="H422" i="35"/>
  <c r="H421" i="35"/>
  <c r="H420" i="35"/>
  <c r="H419" i="35"/>
  <c r="H418" i="35"/>
  <c r="H417" i="35"/>
  <c r="H416" i="35"/>
  <c r="H415" i="35"/>
  <c r="H414" i="35"/>
  <c r="H413" i="35"/>
  <c r="H412" i="35"/>
  <c r="H411" i="35"/>
  <c r="H410" i="35"/>
  <c r="H409" i="35"/>
  <c r="H408" i="35"/>
  <c r="H407" i="35"/>
  <c r="H406" i="35"/>
  <c r="H405" i="35"/>
  <c r="H404" i="35"/>
  <c r="H403" i="35"/>
  <c r="H402" i="35"/>
  <c r="H401" i="35"/>
  <c r="H400" i="35"/>
  <c r="H399" i="35"/>
  <c r="H398" i="35"/>
  <c r="H397" i="35"/>
  <c r="H396" i="35"/>
  <c r="H395" i="35"/>
  <c r="H394" i="35"/>
  <c r="H393" i="35"/>
  <c r="H392" i="35"/>
  <c r="H391" i="35"/>
  <c r="H390" i="35"/>
  <c r="H389" i="35"/>
  <c r="H388" i="35"/>
  <c r="H387" i="35"/>
  <c r="H386" i="35"/>
  <c r="H385" i="35"/>
  <c r="H384" i="35"/>
  <c r="H383" i="35"/>
  <c r="H382" i="35"/>
  <c r="H381" i="35"/>
  <c r="H380" i="35"/>
  <c r="H379" i="35"/>
  <c r="H378" i="35"/>
  <c r="H377" i="35"/>
  <c r="H376" i="35"/>
  <c r="H375" i="35"/>
  <c r="H374" i="35"/>
  <c r="H373" i="35"/>
  <c r="H372" i="35"/>
  <c r="H371" i="35"/>
  <c r="H370" i="35"/>
  <c r="H369" i="35"/>
  <c r="H368" i="35"/>
  <c r="H367" i="35"/>
  <c r="H366" i="35"/>
  <c r="H365" i="35"/>
  <c r="H364" i="35"/>
  <c r="H363" i="35"/>
  <c r="H362" i="35"/>
  <c r="H361" i="35"/>
  <c r="H360" i="35"/>
  <c r="H359" i="35"/>
  <c r="H358" i="35"/>
  <c r="H357" i="35"/>
  <c r="H356" i="35"/>
  <c r="H355" i="35"/>
  <c r="H354" i="35"/>
  <c r="H353" i="35"/>
  <c r="H352" i="35"/>
  <c r="H351" i="35"/>
  <c r="H350" i="35"/>
  <c r="H349" i="35"/>
  <c r="H348" i="35"/>
  <c r="H347" i="35"/>
  <c r="H346" i="35"/>
  <c r="H345" i="35"/>
  <c r="H344" i="35"/>
  <c r="H343" i="35"/>
  <c r="H342" i="35"/>
  <c r="H341" i="35"/>
  <c r="H340" i="35"/>
  <c r="H339" i="35"/>
  <c r="H338" i="35"/>
  <c r="H337" i="35"/>
  <c r="H336" i="35"/>
  <c r="H335" i="35"/>
  <c r="H334" i="35"/>
  <c r="H333" i="35"/>
  <c r="H332" i="35"/>
  <c r="H331" i="35"/>
  <c r="H330" i="35"/>
  <c r="H329" i="35"/>
  <c r="H328" i="35"/>
  <c r="H327" i="35"/>
  <c r="H326" i="35"/>
  <c r="H325" i="35"/>
  <c r="H324" i="35"/>
  <c r="H323" i="35"/>
  <c r="H322" i="35"/>
  <c r="H321" i="35"/>
  <c r="H320" i="35"/>
  <c r="H319" i="35"/>
  <c r="H318" i="35"/>
  <c r="H317" i="35"/>
  <c r="H316" i="35"/>
  <c r="H315" i="35"/>
  <c r="H314" i="35"/>
  <c r="H313" i="35"/>
  <c r="H312" i="35"/>
  <c r="H311" i="35"/>
  <c r="H310" i="35"/>
  <c r="H309" i="35"/>
  <c r="H308" i="35"/>
  <c r="H307" i="35"/>
  <c r="H306" i="35"/>
  <c r="H305" i="35"/>
  <c r="H304" i="35"/>
  <c r="H303" i="35"/>
  <c r="H302" i="35"/>
  <c r="H301" i="35"/>
  <c r="H300" i="35"/>
  <c r="H299" i="35"/>
  <c r="H298" i="35"/>
  <c r="H297" i="35"/>
  <c r="H296" i="35"/>
  <c r="H295" i="35"/>
  <c r="H294" i="35"/>
  <c r="H293" i="35"/>
  <c r="H292" i="35"/>
  <c r="H291" i="35"/>
  <c r="H290" i="35"/>
  <c r="H289" i="35"/>
  <c r="H288" i="35"/>
  <c r="H287" i="35"/>
  <c r="H286" i="35"/>
  <c r="H285" i="35"/>
  <c r="H284" i="35"/>
  <c r="H283" i="35"/>
  <c r="H282" i="35"/>
  <c r="H281" i="35"/>
  <c r="H280" i="35"/>
  <c r="H279" i="35"/>
  <c r="H278" i="35"/>
  <c r="H277" i="35"/>
  <c r="H276" i="35"/>
  <c r="H275" i="35"/>
  <c r="H274" i="35"/>
  <c r="H273" i="35"/>
  <c r="H272" i="35"/>
  <c r="H271" i="35"/>
  <c r="H270" i="35"/>
  <c r="H269" i="35"/>
  <c r="H268" i="35"/>
  <c r="H267" i="35"/>
  <c r="H266" i="35"/>
  <c r="H265" i="35"/>
  <c r="H264" i="35"/>
  <c r="H263" i="35"/>
  <c r="H262" i="35"/>
  <c r="H261" i="35"/>
  <c r="H260" i="35"/>
  <c r="H259" i="35"/>
  <c r="H258" i="35"/>
  <c r="H257" i="35"/>
  <c r="H256" i="35"/>
  <c r="H255" i="35"/>
  <c r="H254" i="35"/>
  <c r="H253" i="35"/>
  <c r="H252" i="35"/>
  <c r="H251" i="35"/>
  <c r="H250" i="35"/>
  <c r="H249" i="35"/>
  <c r="H248" i="35"/>
  <c r="H247" i="35"/>
  <c r="H246" i="35"/>
  <c r="H245" i="35"/>
  <c r="H244" i="35"/>
  <c r="H243" i="35"/>
  <c r="H242" i="35"/>
  <c r="H241" i="35"/>
  <c r="H240" i="35"/>
  <c r="H239" i="35"/>
  <c r="H238" i="35"/>
  <c r="H237" i="35"/>
  <c r="H236" i="35"/>
  <c r="H235" i="35"/>
  <c r="H234" i="35"/>
  <c r="H233" i="35"/>
  <c r="H232" i="35"/>
  <c r="H231" i="35"/>
  <c r="H230" i="35"/>
  <c r="H229" i="35"/>
  <c r="H228" i="35"/>
  <c r="H227" i="35"/>
  <c r="H226" i="35"/>
  <c r="H225" i="35"/>
  <c r="H224" i="35"/>
  <c r="H223" i="35"/>
  <c r="H222" i="35"/>
  <c r="H221" i="35"/>
  <c r="H220" i="35"/>
  <c r="H219" i="35"/>
  <c r="H218" i="35"/>
  <c r="H217" i="35"/>
  <c r="H216" i="35"/>
  <c r="H215" i="35"/>
  <c r="H214" i="35"/>
  <c r="H213" i="35"/>
  <c r="H212" i="35"/>
  <c r="H211" i="35"/>
  <c r="H210" i="35"/>
  <c r="H209" i="35"/>
  <c r="H208" i="35"/>
  <c r="H207" i="35"/>
  <c r="H206" i="35"/>
  <c r="H205" i="35"/>
  <c r="H204" i="35"/>
  <c r="H203" i="35"/>
  <c r="H202" i="35"/>
  <c r="H201" i="35"/>
  <c r="H200" i="35"/>
  <c r="H199" i="35"/>
  <c r="H198" i="35"/>
  <c r="H197" i="35"/>
  <c r="H196" i="35"/>
  <c r="H195" i="35"/>
  <c r="H194" i="35"/>
  <c r="H193" i="35"/>
  <c r="H192" i="35"/>
  <c r="H191" i="35"/>
  <c r="H190" i="35"/>
  <c r="H189" i="35"/>
  <c r="H188" i="35"/>
  <c r="H187" i="35"/>
  <c r="H186" i="35"/>
  <c r="H185" i="35"/>
  <c r="H184" i="35"/>
  <c r="H183" i="35"/>
  <c r="H182" i="35"/>
  <c r="H181" i="35"/>
  <c r="H180" i="35"/>
  <c r="H179" i="35"/>
  <c r="H178" i="35"/>
  <c r="H177" i="35"/>
  <c r="H176" i="35"/>
  <c r="H175" i="35"/>
  <c r="H174" i="35"/>
  <c r="H173" i="35"/>
  <c r="H172" i="35"/>
  <c r="H171" i="35"/>
  <c r="H170" i="35"/>
  <c r="H169" i="35"/>
  <c r="H168" i="35"/>
  <c r="H167" i="35"/>
  <c r="H166" i="35"/>
  <c r="H165" i="35"/>
  <c r="H164" i="35"/>
  <c r="H163" i="35"/>
  <c r="H162" i="35"/>
  <c r="H161" i="35"/>
  <c r="H160" i="35"/>
  <c r="H159" i="35"/>
  <c r="H158" i="35"/>
  <c r="H157" i="35"/>
  <c r="H156" i="35"/>
  <c r="H155" i="35"/>
  <c r="H154" i="35"/>
  <c r="H153" i="35"/>
  <c r="H152" i="35"/>
  <c r="H151" i="35"/>
  <c r="H150" i="35"/>
  <c r="H149" i="35"/>
  <c r="H148" i="35"/>
  <c r="H147" i="35"/>
  <c r="H146" i="35"/>
  <c r="H145" i="35"/>
  <c r="H144" i="35"/>
  <c r="H143" i="35"/>
  <c r="H142" i="35"/>
  <c r="H141" i="35"/>
  <c r="H140" i="35"/>
  <c r="H139" i="35"/>
  <c r="H138" i="35"/>
  <c r="H137" i="35"/>
  <c r="H136" i="35"/>
  <c r="H135" i="35"/>
  <c r="H134" i="35"/>
  <c r="H133" i="35"/>
  <c r="H132" i="35"/>
  <c r="H131" i="35"/>
  <c r="H130" i="35"/>
  <c r="H129" i="35"/>
  <c r="H128" i="35"/>
  <c r="H127" i="35"/>
  <c r="H126" i="35"/>
  <c r="H125" i="35"/>
  <c r="H124" i="35"/>
  <c r="H123" i="35"/>
  <c r="H122" i="35"/>
  <c r="H121" i="35"/>
  <c r="H120" i="35"/>
  <c r="H119" i="35"/>
  <c r="H118" i="35"/>
  <c r="H117" i="35"/>
  <c r="H116" i="35"/>
  <c r="H115" i="35"/>
  <c r="H114" i="35"/>
  <c r="H113" i="35"/>
  <c r="H112" i="35"/>
  <c r="H111" i="35"/>
  <c r="H110" i="35"/>
  <c r="H109" i="35"/>
  <c r="H108" i="35"/>
  <c r="H107" i="35"/>
  <c r="H106" i="35"/>
  <c r="H105" i="35"/>
  <c r="H104" i="35"/>
  <c r="H103" i="35"/>
  <c r="H102" i="35"/>
  <c r="H101" i="35"/>
  <c r="H100" i="35"/>
  <c r="H99" i="35"/>
  <c r="H98" i="35"/>
  <c r="H97" i="35"/>
  <c r="H96" i="35"/>
  <c r="H95" i="35"/>
  <c r="H94" i="35"/>
  <c r="H93" i="35"/>
  <c r="H92" i="35"/>
  <c r="H91" i="35"/>
  <c r="H90" i="35"/>
  <c r="H89" i="35"/>
  <c r="H88" i="35"/>
  <c r="H87" i="35"/>
  <c r="H86" i="35"/>
  <c r="H85" i="35"/>
  <c r="H84" i="35"/>
  <c r="H83" i="35"/>
  <c r="H82" i="35"/>
  <c r="H81" i="35"/>
  <c r="H80" i="35"/>
  <c r="H79" i="35"/>
  <c r="H78" i="35"/>
  <c r="H77" i="35"/>
  <c r="H76" i="35"/>
  <c r="H75" i="35"/>
  <c r="H74" i="35"/>
  <c r="H73" i="35"/>
  <c r="H72" i="35"/>
  <c r="H71" i="35"/>
  <c r="H70" i="35"/>
  <c r="H69" i="35"/>
  <c r="H68" i="35"/>
  <c r="H67" i="35"/>
  <c r="H66" i="35"/>
  <c r="H65" i="35"/>
  <c r="H64" i="35"/>
  <c r="H63" i="35"/>
  <c r="H62" i="35"/>
  <c r="H61" i="35"/>
  <c r="H60" i="35"/>
  <c r="H59" i="35"/>
  <c r="H58" i="35"/>
  <c r="H57" i="35"/>
  <c r="H56" i="35"/>
  <c r="H55" i="35"/>
  <c r="H54" i="35"/>
  <c r="H53" i="35"/>
  <c r="H52" i="35"/>
  <c r="H51" i="35"/>
  <c r="H50" i="35"/>
  <c r="H49" i="35"/>
  <c r="H48" i="35"/>
  <c r="H47" i="35"/>
  <c r="H46" i="35"/>
  <c r="H45" i="35"/>
  <c r="H44" i="35"/>
  <c r="H43" i="35"/>
  <c r="H42" i="35"/>
  <c r="H41" i="35"/>
  <c r="H40" i="35"/>
  <c r="H39" i="35"/>
  <c r="H38" i="35"/>
  <c r="H37" i="35"/>
  <c r="H36" i="35"/>
  <c r="H35" i="35"/>
  <c r="H34" i="35"/>
  <c r="H33" i="35"/>
  <c r="H32" i="35"/>
  <c r="H31" i="35"/>
  <c r="H30" i="35"/>
  <c r="H29" i="35"/>
  <c r="H28" i="35"/>
  <c r="H27" i="35"/>
  <c r="H26" i="35"/>
  <c r="H25" i="35"/>
  <c r="H24" i="35"/>
  <c r="H23" i="35"/>
  <c r="H22" i="35"/>
  <c r="H21" i="35"/>
  <c r="H20" i="35"/>
  <c r="H19" i="35"/>
  <c r="H18" i="35"/>
  <c r="H17" i="35"/>
  <c r="H16" i="35"/>
  <c r="H15" i="35"/>
  <c r="H14" i="35"/>
  <c r="H13" i="35"/>
  <c r="H12" i="35"/>
  <c r="H11" i="35"/>
  <c r="H10" i="35"/>
  <c r="H9" i="35"/>
  <c r="H8" i="35"/>
  <c r="H7" i="35"/>
  <c r="H6" i="35"/>
  <c r="H5" i="35"/>
  <c r="H4" i="35"/>
  <c r="H3" i="35"/>
  <c r="D3" i="35"/>
  <c r="T94" i="27"/>
  <c r="X39" i="28"/>
  <c r="Y39" i="28" s="1"/>
  <c r="AA39" i="28" s="1"/>
  <c r="AB39" i="28" s="1"/>
  <c r="AD39" i="28" s="1"/>
  <c r="AE39" i="28" s="1"/>
  <c r="AG39" i="28" s="1"/>
  <c r="AH39" i="28" s="1"/>
  <c r="Y15" i="26"/>
  <c r="Y51" i="28"/>
  <c r="AA51" i="28"/>
  <c r="AB51" i="28" s="1"/>
  <c r="AD51" i="28" s="1"/>
  <c r="AE51" i="28" s="1"/>
  <c r="AG51" i="28" s="1"/>
  <c r="G37" i="40"/>
  <c r="H24" i="40"/>
  <c r="H25" i="40" s="1"/>
  <c r="H37" i="40"/>
  <c r="G24" i="40"/>
  <c r="G25" i="40"/>
  <c r="F37" i="40"/>
  <c r="F24" i="40"/>
  <c r="F25" i="40"/>
  <c r="J11" i="40" s="1"/>
  <c r="V48" i="28"/>
  <c r="X48" i="28"/>
  <c r="Y48" i="28" s="1"/>
  <c r="AA48" i="28" s="1"/>
  <c r="K162" i="46"/>
  <c r="K164" i="46"/>
  <c r="E166" i="46"/>
  <c r="F168" i="46"/>
  <c r="O170" i="46"/>
  <c r="Q164" i="46"/>
  <c r="I164" i="46"/>
  <c r="L168" i="46"/>
  <c r="E170" i="46"/>
  <c r="H162" i="46"/>
  <c r="H164" i="46"/>
  <c r="K168" i="46"/>
  <c r="O164" i="46"/>
  <c r="N164" i="46"/>
  <c r="H166" i="46"/>
  <c r="Q168" i="46"/>
  <c r="I168" i="46"/>
  <c r="E164" i="46"/>
  <c r="Q170" i="46"/>
  <c r="I170" i="46"/>
  <c r="N166" i="46"/>
  <c r="F166" i="46"/>
  <c r="O162" i="46"/>
  <c r="N162" i="46"/>
  <c r="F162" i="46"/>
  <c r="E258" i="46"/>
  <c r="D24" i="40"/>
  <c r="D25" i="40"/>
  <c r="D28" i="40" s="1"/>
  <c r="D37" i="40"/>
  <c r="T8" i="41"/>
  <c r="E24" i="40"/>
  <c r="E25" i="40"/>
  <c r="E28" i="40"/>
  <c r="E37" i="40"/>
  <c r="K158" i="46"/>
  <c r="Q158" i="46"/>
  <c r="N158" i="46"/>
  <c r="L158" i="46"/>
  <c r="I158" i="46"/>
  <c r="H158" i="46"/>
  <c r="S12" i="41"/>
  <c r="Y8" i="41"/>
  <c r="AE70" i="27"/>
  <c r="AB79" i="27"/>
  <c r="AB203" i="46"/>
  <c r="Y79" i="27"/>
  <c r="Y203" i="46" s="1"/>
  <c r="L9" i="41"/>
  <c r="K8" i="41"/>
  <c r="O8" i="41" s="1"/>
  <c r="K10" i="41"/>
  <c r="T9" i="41"/>
  <c r="L8" i="41"/>
  <c r="L12" i="41" s="1"/>
  <c r="L11" i="41"/>
  <c r="K11" i="41"/>
  <c r="U96" i="28"/>
  <c r="I14" i="40"/>
  <c r="C11" i="41" s="1"/>
  <c r="AH15" i="28"/>
  <c r="J12" i="40"/>
  <c r="F28" i="40"/>
  <c r="D10" i="41"/>
  <c r="E10" i="41" s="1"/>
  <c r="Y36" i="28"/>
  <c r="AA36" i="28"/>
  <c r="AB36" i="28" s="1"/>
  <c r="AD36" i="28" s="1"/>
  <c r="V24" i="28"/>
  <c r="V90" i="28"/>
  <c r="V96" i="28"/>
  <c r="N14" i="40"/>
  <c r="J10" i="40"/>
  <c r="D9" i="41"/>
  <c r="AB15" i="26"/>
  <c r="AD15" i="26"/>
  <c r="AE15" i="26" s="1"/>
  <c r="AG15" i="26" s="1"/>
  <c r="AH15" i="26" s="1"/>
  <c r="X90" i="28"/>
  <c r="J9" i="40"/>
  <c r="D8" i="41" s="1"/>
  <c r="AH51" i="28"/>
  <c r="AI51" i="13"/>
  <c r="AI50" i="13"/>
  <c r="AI48" i="13"/>
  <c r="AF51" i="13"/>
  <c r="AF50" i="13"/>
  <c r="AF48" i="13"/>
  <c r="AC51" i="13"/>
  <c r="AC50" i="13"/>
  <c r="AC48" i="13"/>
  <c r="Z51" i="13"/>
  <c r="Z50" i="13"/>
  <c r="Z48" i="13"/>
  <c r="AF19" i="27"/>
  <c r="AG64" i="13" s="1"/>
  <c r="AC19" i="27"/>
  <c r="Z19" i="27"/>
  <c r="W36" i="27"/>
  <c r="X36" i="27" s="1"/>
  <c r="AI27" i="13"/>
  <c r="AI25" i="13"/>
  <c r="AI24" i="13"/>
  <c r="AI23" i="13"/>
  <c r="AI22" i="13"/>
  <c r="AI21" i="13"/>
  <c r="AI20" i="13"/>
  <c r="AI18" i="13"/>
  <c r="AI16" i="13"/>
  <c r="AI15" i="13"/>
  <c r="AI9" i="13"/>
  <c r="AF27" i="13"/>
  <c r="AF25" i="13"/>
  <c r="AF24" i="13"/>
  <c r="AF23" i="13"/>
  <c r="AF22" i="13"/>
  <c r="AF21" i="13"/>
  <c r="AF20" i="13"/>
  <c r="AF18" i="13"/>
  <c r="AF16" i="13"/>
  <c r="AF15" i="13"/>
  <c r="AF9" i="13"/>
  <c r="AC27" i="13"/>
  <c r="AC25" i="13"/>
  <c r="AC24" i="13"/>
  <c r="AC23" i="13"/>
  <c r="AC22" i="13"/>
  <c r="AC21" i="13"/>
  <c r="AC20" i="13"/>
  <c r="AC18" i="13"/>
  <c r="AC16" i="13"/>
  <c r="AC15" i="13"/>
  <c r="AC9" i="13"/>
  <c r="Z27" i="13"/>
  <c r="Z25" i="13"/>
  <c r="Z24" i="13"/>
  <c r="Z23" i="13"/>
  <c r="Z22" i="13"/>
  <c r="Z21" i="13"/>
  <c r="Z20" i="13"/>
  <c r="Z18" i="13"/>
  <c r="Z16" i="13"/>
  <c r="Z15" i="13"/>
  <c r="Z9" i="13"/>
  <c r="W19" i="27"/>
  <c r="E74" i="27"/>
  <c r="H74" i="27"/>
  <c r="K74" i="27"/>
  <c r="N74" i="27"/>
  <c r="Q74" i="27"/>
  <c r="U9" i="27"/>
  <c r="V9" i="27"/>
  <c r="W9" i="27" s="1"/>
  <c r="X9" i="27" s="1"/>
  <c r="Y9" i="27" s="1"/>
  <c r="Z9" i="27"/>
  <c r="AA9" i="27" s="1"/>
  <c r="AB9" i="27" s="1"/>
  <c r="AC9" i="27" s="1"/>
  <c r="T53" i="26"/>
  <c r="C63" i="27"/>
  <c r="E63" i="27"/>
  <c r="F63" i="27"/>
  <c r="H63" i="27"/>
  <c r="I63" i="27"/>
  <c r="K63" i="27"/>
  <c r="L63" i="27"/>
  <c r="N63" i="27"/>
  <c r="O63" i="27"/>
  <c r="Q63" i="27"/>
  <c r="R63" i="27"/>
  <c r="U64" i="27"/>
  <c r="V64" i="27"/>
  <c r="X64" i="27"/>
  <c r="Y64" i="27"/>
  <c r="AA64" i="27"/>
  <c r="AB64" i="27"/>
  <c r="AD64" i="27"/>
  <c r="AE64" i="27"/>
  <c r="AG64" i="27"/>
  <c r="AH64" i="27"/>
  <c r="C65" i="27"/>
  <c r="D62" i="27"/>
  <c r="E65" i="27"/>
  <c r="F62" i="27"/>
  <c r="F65" i="27"/>
  <c r="G62" i="27" s="1"/>
  <c r="H65" i="27"/>
  <c r="K62" i="27" s="1"/>
  <c r="I65" i="27"/>
  <c r="J62" i="27"/>
  <c r="K65" i="27"/>
  <c r="L62" i="27" s="1"/>
  <c r="L65" i="27"/>
  <c r="M62" i="27" s="1"/>
  <c r="N65" i="27"/>
  <c r="O62" i="27"/>
  <c r="O65" i="27"/>
  <c r="P62" i="27" s="1"/>
  <c r="Q65" i="27"/>
  <c r="R65" i="27"/>
  <c r="C61" i="26"/>
  <c r="E61" i="26"/>
  <c r="F61" i="26"/>
  <c r="H61" i="26"/>
  <c r="I61" i="26"/>
  <c r="K61" i="26"/>
  <c r="L61" i="26"/>
  <c r="N61" i="26"/>
  <c r="O61" i="26"/>
  <c r="Q61" i="26"/>
  <c r="R61" i="26"/>
  <c r="R60" i="26" s="1"/>
  <c r="E80" i="27"/>
  <c r="C79" i="27"/>
  <c r="C203" i="46" s="1"/>
  <c r="E78" i="27"/>
  <c r="E79" i="27" s="1"/>
  <c r="E203" i="46" s="1"/>
  <c r="H78" i="27"/>
  <c r="H79" i="27" s="1"/>
  <c r="K78" i="27"/>
  <c r="K79" i="27"/>
  <c r="K203" i="46" s="1"/>
  <c r="N78" i="27"/>
  <c r="N79" i="27"/>
  <c r="N203" i="46"/>
  <c r="Q78" i="27"/>
  <c r="Q79" i="27"/>
  <c r="E72" i="27"/>
  <c r="H72" i="27"/>
  <c r="K72" i="27"/>
  <c r="N72" i="27"/>
  <c r="Q72" i="27"/>
  <c r="N73" i="27"/>
  <c r="K73" i="27"/>
  <c r="H73" i="27"/>
  <c r="E73" i="27"/>
  <c r="M56" i="26"/>
  <c r="J56" i="26"/>
  <c r="G56" i="26"/>
  <c r="D56" i="26"/>
  <c r="R54" i="26"/>
  <c r="Q54" i="26"/>
  <c r="O54" i="26"/>
  <c r="N54" i="26"/>
  <c r="L54" i="26"/>
  <c r="K54" i="26"/>
  <c r="I54" i="26"/>
  <c r="H54" i="26"/>
  <c r="F54" i="26"/>
  <c r="E54" i="26"/>
  <c r="C54" i="26"/>
  <c r="S51" i="26"/>
  <c r="T51" i="26"/>
  <c r="T75" i="26" s="1"/>
  <c r="Y36" i="27"/>
  <c r="Z36" i="27" s="1"/>
  <c r="AA36" i="27" s="1"/>
  <c r="AB36" i="27" s="1"/>
  <c r="AC36" i="27" s="1"/>
  <c r="AD36" i="27" s="1"/>
  <c r="F27" i="37"/>
  <c r="H27" i="37"/>
  <c r="F25" i="37"/>
  <c r="T54" i="26"/>
  <c r="AD64" i="13"/>
  <c r="H62" i="27"/>
  <c r="H64" i="27"/>
  <c r="Q62" i="27"/>
  <c r="L64" i="27"/>
  <c r="AB24" i="28"/>
  <c r="I27" i="37"/>
  <c r="H67" i="27"/>
  <c r="U62" i="27"/>
  <c r="AE24" i="28"/>
  <c r="AE36" i="27"/>
  <c r="AF36" i="27" s="1"/>
  <c r="AG36" i="27" s="1"/>
  <c r="AH36" i="27" s="1"/>
  <c r="AI36" i="27" s="1"/>
  <c r="AH19" i="27"/>
  <c r="AH64" i="13" s="1"/>
  <c r="AE64" i="13"/>
  <c r="AF64" i="13" s="1"/>
  <c r="AB64" i="13"/>
  <c r="T57" i="28"/>
  <c r="R57" i="28"/>
  <c r="Q57" i="28"/>
  <c r="Q59" i="28" s="1"/>
  <c r="Q63" i="28" s="1"/>
  <c r="P57" i="28"/>
  <c r="O57" i="28"/>
  <c r="N57" i="28"/>
  <c r="N59" i="28" s="1"/>
  <c r="M57" i="28"/>
  <c r="L57" i="28"/>
  <c r="L59" i="28" s="1"/>
  <c r="K57" i="28"/>
  <c r="J57" i="28"/>
  <c r="I57" i="28"/>
  <c r="H57" i="28"/>
  <c r="H59" i="28" s="1"/>
  <c r="G57" i="28"/>
  <c r="F57" i="28"/>
  <c r="D57" i="28"/>
  <c r="P65" i="28"/>
  <c r="P59" i="28" s="1"/>
  <c r="M65" i="28"/>
  <c r="J65" i="28"/>
  <c r="G65" i="28"/>
  <c r="D65" i="28"/>
  <c r="R45" i="28"/>
  <c r="R47" i="28" s="1"/>
  <c r="T47" i="28" s="1"/>
  <c r="Q45" i="28"/>
  <c r="Q47" i="28" s="1"/>
  <c r="E42" i="37" s="1"/>
  <c r="P45" i="28"/>
  <c r="O45" i="28"/>
  <c r="O47" i="28" s="1"/>
  <c r="N45" i="28"/>
  <c r="N47" i="28" s="1"/>
  <c r="M45" i="28"/>
  <c r="L45" i="28"/>
  <c r="L47" i="28" s="1"/>
  <c r="K45" i="28"/>
  <c r="K47" i="28" s="1"/>
  <c r="L29" i="28" s="1"/>
  <c r="J45" i="28"/>
  <c r="I45" i="28"/>
  <c r="I47" i="28" s="1"/>
  <c r="H45" i="28"/>
  <c r="G45" i="28"/>
  <c r="F45" i="28"/>
  <c r="F47" i="28" s="1"/>
  <c r="D45" i="28"/>
  <c r="P53" i="28"/>
  <c r="M53" i="28"/>
  <c r="J53" i="28"/>
  <c r="G53" i="28"/>
  <c r="D53" i="28"/>
  <c r="C47" i="28"/>
  <c r="E47" i="28"/>
  <c r="Q33" i="28"/>
  <c r="N33" i="28"/>
  <c r="K33" i="28"/>
  <c r="H33" i="28"/>
  <c r="R33" i="28"/>
  <c r="P33" i="28"/>
  <c r="O33" i="28"/>
  <c r="L33" i="28"/>
  <c r="J33" i="28"/>
  <c r="I33" i="28"/>
  <c r="G33" i="28"/>
  <c r="F33" i="28"/>
  <c r="D33" i="28"/>
  <c r="D35" i="28" s="1"/>
  <c r="P41" i="28"/>
  <c r="M41" i="28"/>
  <c r="L41" i="28"/>
  <c r="J41" i="28"/>
  <c r="G41" i="28"/>
  <c r="D41" i="28"/>
  <c r="Q21" i="28"/>
  <c r="Q23" i="28" s="1"/>
  <c r="N21" i="28"/>
  <c r="N23" i="28"/>
  <c r="N27" i="28"/>
  <c r="K21" i="28"/>
  <c r="H21" i="28"/>
  <c r="T9" i="28"/>
  <c r="H9" i="28"/>
  <c r="E11" i="28"/>
  <c r="K9" i="28"/>
  <c r="N9" i="28"/>
  <c r="N11" i="28"/>
  <c r="Q9" i="28"/>
  <c r="R21" i="28"/>
  <c r="P21" i="28"/>
  <c r="O21" i="28"/>
  <c r="L21" i="28"/>
  <c r="J21" i="28"/>
  <c r="I21" i="28"/>
  <c r="I23" i="28" s="1"/>
  <c r="I27" i="28" s="1"/>
  <c r="G21" i="28"/>
  <c r="F21" i="28"/>
  <c r="F23" i="28" s="1"/>
  <c r="F27" i="28" s="1"/>
  <c r="E23" i="28"/>
  <c r="E27" i="28"/>
  <c r="D21" i="28"/>
  <c r="P29" i="28"/>
  <c r="M29" i="28"/>
  <c r="J29" i="28"/>
  <c r="G29" i="28"/>
  <c r="D29" i="28"/>
  <c r="R9" i="28"/>
  <c r="R11" i="28"/>
  <c r="P9" i="28"/>
  <c r="O9" i="28"/>
  <c r="M9" i="28"/>
  <c r="L9" i="28"/>
  <c r="J9" i="28"/>
  <c r="I9" i="28"/>
  <c r="G9" i="28"/>
  <c r="F9" i="28"/>
  <c r="D9" i="28"/>
  <c r="P17" i="28"/>
  <c r="M17" i="28"/>
  <c r="J17" i="28"/>
  <c r="J11" i="28" s="1"/>
  <c r="G17" i="28"/>
  <c r="D17" i="28"/>
  <c r="C59" i="28"/>
  <c r="E59" i="28"/>
  <c r="P53" i="27"/>
  <c r="P52" i="27"/>
  <c r="P51" i="27"/>
  <c r="P50" i="27"/>
  <c r="P49" i="27"/>
  <c r="P48" i="27"/>
  <c r="P47" i="27"/>
  <c r="P45" i="27"/>
  <c r="M50" i="27"/>
  <c r="M51" i="27"/>
  <c r="M80" i="27" s="1"/>
  <c r="M52" i="27"/>
  <c r="M53" i="27"/>
  <c r="M81" i="27" s="1"/>
  <c r="M49" i="27"/>
  <c r="M48" i="27"/>
  <c r="M47" i="27"/>
  <c r="M45" i="27"/>
  <c r="J53" i="27"/>
  <c r="J52" i="27"/>
  <c r="J51" i="27"/>
  <c r="J50" i="27"/>
  <c r="J49" i="27"/>
  <c r="J48" i="27"/>
  <c r="J45" i="27"/>
  <c r="G53" i="27"/>
  <c r="G52" i="27"/>
  <c r="G51" i="27"/>
  <c r="G50" i="27"/>
  <c r="G49" i="27"/>
  <c r="G48" i="27"/>
  <c r="G45" i="27"/>
  <c r="D53" i="27"/>
  <c r="D52" i="27"/>
  <c r="D51" i="27"/>
  <c r="D50" i="27"/>
  <c r="D49" i="27"/>
  <c r="D48" i="27"/>
  <c r="D54" i="27" s="1"/>
  <c r="D45" i="27"/>
  <c r="P42" i="27"/>
  <c r="P41" i="27"/>
  <c r="P40" i="27"/>
  <c r="P39" i="27"/>
  <c r="P38" i="27"/>
  <c r="P37" i="27"/>
  <c r="P36" i="27"/>
  <c r="P35" i="27"/>
  <c r="P65" i="27"/>
  <c r="M42" i="27"/>
  <c r="M41" i="27"/>
  <c r="M40" i="27"/>
  <c r="M39" i="27"/>
  <c r="M38" i="27"/>
  <c r="M37" i="27"/>
  <c r="M36" i="27"/>
  <c r="M35" i="27"/>
  <c r="M65" i="27" s="1"/>
  <c r="M64" i="27" s="1"/>
  <c r="J42" i="27"/>
  <c r="J41" i="27"/>
  <c r="J40" i="27"/>
  <c r="J39" i="27"/>
  <c r="J38" i="27"/>
  <c r="J37" i="27"/>
  <c r="J36" i="27"/>
  <c r="J35" i="27"/>
  <c r="J65" i="27"/>
  <c r="G42" i="27"/>
  <c r="G41" i="27"/>
  <c r="G40" i="27"/>
  <c r="G39" i="27"/>
  <c r="G38" i="27"/>
  <c r="G37" i="27"/>
  <c r="G36" i="27"/>
  <c r="G35" i="27"/>
  <c r="G65" i="27" s="1"/>
  <c r="G64" i="27" s="1"/>
  <c r="D36" i="27"/>
  <c r="D37" i="27"/>
  <c r="D38" i="27"/>
  <c r="D39" i="27"/>
  <c r="D40" i="27"/>
  <c r="D41" i="27"/>
  <c r="D42" i="27"/>
  <c r="D35" i="27"/>
  <c r="P27" i="27"/>
  <c r="P26" i="27"/>
  <c r="P25" i="27"/>
  <c r="P24" i="27"/>
  <c r="M27" i="27"/>
  <c r="M26" i="27"/>
  <c r="M73" i="27" s="1"/>
  <c r="M25" i="27"/>
  <c r="M24" i="27"/>
  <c r="M72" i="27" s="1"/>
  <c r="J27" i="27"/>
  <c r="J74" i="27" s="1"/>
  <c r="J26" i="27"/>
  <c r="J25" i="27"/>
  <c r="J24" i="27"/>
  <c r="J72" i="27" s="1"/>
  <c r="G27" i="27"/>
  <c r="G74" i="27"/>
  <c r="G26" i="27"/>
  <c r="G25" i="27"/>
  <c r="G24" i="27"/>
  <c r="G72" i="27" s="1"/>
  <c r="D27" i="27"/>
  <c r="D26" i="27"/>
  <c r="D73" i="27" s="1"/>
  <c r="D25" i="27"/>
  <c r="D24" i="27"/>
  <c r="P22" i="27"/>
  <c r="P21" i="27"/>
  <c r="P23" i="27" s="1"/>
  <c r="P20" i="27"/>
  <c r="P19" i="27"/>
  <c r="M22" i="27"/>
  <c r="M21" i="27"/>
  <c r="M20" i="27"/>
  <c r="M19" i="27"/>
  <c r="J22" i="27"/>
  <c r="J21" i="27"/>
  <c r="J23" i="27" s="1"/>
  <c r="J20" i="27"/>
  <c r="J19" i="27"/>
  <c r="K59" i="26" s="1"/>
  <c r="G22" i="27"/>
  <c r="G21" i="27"/>
  <c r="G20" i="27"/>
  <c r="G19" i="27"/>
  <c r="D22" i="27"/>
  <c r="D21" i="27"/>
  <c r="D20" i="27"/>
  <c r="D19" i="27"/>
  <c r="P16" i="27"/>
  <c r="P15" i="27"/>
  <c r="P14" i="27"/>
  <c r="P13" i="27"/>
  <c r="P17" i="27" s="1"/>
  <c r="M16" i="27"/>
  <c r="M15" i="27"/>
  <c r="M14" i="27"/>
  <c r="M13" i="27"/>
  <c r="J16" i="27"/>
  <c r="J15" i="27"/>
  <c r="J14" i="27"/>
  <c r="J13" i="27"/>
  <c r="G16" i="27"/>
  <c r="G15" i="27"/>
  <c r="G14" i="27"/>
  <c r="G13" i="27"/>
  <c r="P10" i="27"/>
  <c r="P9" i="27"/>
  <c r="P11" i="27" s="1"/>
  <c r="M10" i="27"/>
  <c r="M9" i="27"/>
  <c r="M11" i="27" s="1"/>
  <c r="J10" i="27"/>
  <c r="J9" i="27"/>
  <c r="G10" i="27"/>
  <c r="G9" i="27"/>
  <c r="G11" i="27" s="1"/>
  <c r="D15" i="27"/>
  <c r="D16" i="27"/>
  <c r="D14" i="27"/>
  <c r="D13" i="27"/>
  <c r="D10" i="27"/>
  <c r="D9" i="27"/>
  <c r="D11" i="27" s="1"/>
  <c r="L38" i="28"/>
  <c r="M38" i="28" s="1"/>
  <c r="L165" i="46"/>
  <c r="L166" i="46" s="1"/>
  <c r="L26" i="28"/>
  <c r="L69" i="28" s="1"/>
  <c r="L70" i="28" s="1"/>
  <c r="L163" i="46"/>
  <c r="L164" i="46" s="1"/>
  <c r="H47" i="28"/>
  <c r="E59" i="26"/>
  <c r="D59" i="26"/>
  <c r="R35" i="28"/>
  <c r="T35" i="28" s="1"/>
  <c r="R59" i="28"/>
  <c r="R23" i="28"/>
  <c r="N63" i="28"/>
  <c r="K11" i="28"/>
  <c r="M26" i="28"/>
  <c r="M163" i="46" s="1"/>
  <c r="C23" i="28"/>
  <c r="I11" i="28"/>
  <c r="L11" i="28"/>
  <c r="E43" i="37"/>
  <c r="C35" i="28"/>
  <c r="C68" i="28"/>
  <c r="C172" i="46"/>
  <c r="C174" i="46" s="1"/>
  <c r="E85" i="28"/>
  <c r="F85" i="28"/>
  <c r="H85" i="28"/>
  <c r="I85" i="28"/>
  <c r="K85" i="28"/>
  <c r="L85" i="28"/>
  <c r="N85" i="28"/>
  <c r="O85" i="28"/>
  <c r="Q85" i="28"/>
  <c r="R85" i="28"/>
  <c r="C85" i="28"/>
  <c r="D51" i="26"/>
  <c r="E51" i="26"/>
  <c r="E75" i="26" s="1"/>
  <c r="F51" i="26"/>
  <c r="F75" i="26"/>
  <c r="G51" i="26"/>
  <c r="G75" i="26" s="1"/>
  <c r="H51" i="26"/>
  <c r="H75" i="26"/>
  <c r="I51" i="26"/>
  <c r="I75" i="26" s="1"/>
  <c r="J51" i="26"/>
  <c r="K51" i="26"/>
  <c r="L51" i="26"/>
  <c r="L75" i="26" s="1"/>
  <c r="M51" i="26"/>
  <c r="N51" i="26"/>
  <c r="N75" i="26"/>
  <c r="O51" i="26"/>
  <c r="O75" i="26"/>
  <c r="P51" i="26"/>
  <c r="Q51" i="26"/>
  <c r="Q75" i="26"/>
  <c r="R51" i="26"/>
  <c r="R77" i="26" s="1"/>
  <c r="R75" i="26"/>
  <c r="C51" i="26"/>
  <c r="C75" i="26" s="1"/>
  <c r="E23" i="27"/>
  <c r="E95" i="27" s="1"/>
  <c r="F23" i="27"/>
  <c r="F28" i="27" s="1"/>
  <c r="H23" i="27"/>
  <c r="I23" i="27"/>
  <c r="K23" i="27"/>
  <c r="L23" i="27"/>
  <c r="N23" i="27"/>
  <c r="O23" i="27"/>
  <c r="Q23" i="27"/>
  <c r="R23" i="27"/>
  <c r="R95" i="27" s="1"/>
  <c r="C23" i="27"/>
  <c r="O83" i="28"/>
  <c r="Q83" i="28"/>
  <c r="R83" i="28"/>
  <c r="I79" i="28"/>
  <c r="K79" i="28"/>
  <c r="L79" i="28"/>
  <c r="N79" i="28"/>
  <c r="O79" i="28"/>
  <c r="Q79" i="28"/>
  <c r="R79" i="28"/>
  <c r="I75" i="28"/>
  <c r="K75" i="28"/>
  <c r="L75" i="28"/>
  <c r="N75" i="28"/>
  <c r="O75" i="28"/>
  <c r="Q75" i="28"/>
  <c r="R75" i="28"/>
  <c r="C82" i="28"/>
  <c r="E82" i="28"/>
  <c r="F82" i="28"/>
  <c r="H82" i="28"/>
  <c r="I82" i="28"/>
  <c r="K82" i="28"/>
  <c r="L82" i="28"/>
  <c r="N82" i="28"/>
  <c r="O82" i="28"/>
  <c r="Q82" i="28"/>
  <c r="R82" i="28"/>
  <c r="C78" i="28"/>
  <c r="E78" i="28"/>
  <c r="F78" i="28"/>
  <c r="H78" i="28"/>
  <c r="I78" i="28"/>
  <c r="K78" i="28"/>
  <c r="L78" i="28"/>
  <c r="N78" i="28"/>
  <c r="O78" i="28"/>
  <c r="Q78" i="28"/>
  <c r="R78" i="28"/>
  <c r="C74" i="28"/>
  <c r="E74" i="28"/>
  <c r="F74" i="28"/>
  <c r="H74" i="28"/>
  <c r="I74" i="28"/>
  <c r="K74" i="28"/>
  <c r="L74" i="28"/>
  <c r="N74" i="28"/>
  <c r="O74" i="28"/>
  <c r="Q74" i="28"/>
  <c r="R74" i="28"/>
  <c r="C69" i="28"/>
  <c r="C114" i="28"/>
  <c r="C207" i="46"/>
  <c r="E69" i="28"/>
  <c r="E114" i="28" s="1"/>
  <c r="E207" i="46" s="1"/>
  <c r="H69" i="28"/>
  <c r="I69" i="28"/>
  <c r="K69" i="28"/>
  <c r="N70" i="28" s="1"/>
  <c r="N69" i="28"/>
  <c r="O69" i="28"/>
  <c r="R70" i="28" s="1"/>
  <c r="Q69" i="28"/>
  <c r="E257" i="46"/>
  <c r="R69" i="28"/>
  <c r="R114" i="28" s="1"/>
  <c r="R207" i="46" s="1"/>
  <c r="F69" i="28"/>
  <c r="F114" i="28" s="1"/>
  <c r="F207" i="46" s="1"/>
  <c r="M50" i="28"/>
  <c r="M167" i="46" s="1"/>
  <c r="M62" i="28"/>
  <c r="M169" i="46"/>
  <c r="M14" i="28"/>
  <c r="M11" i="28" s="1"/>
  <c r="M161" i="46"/>
  <c r="D81" i="28"/>
  <c r="D197" i="46" s="1"/>
  <c r="D77" i="28"/>
  <c r="D195" i="46" s="1"/>
  <c r="D73" i="28"/>
  <c r="D196" i="46" s="1"/>
  <c r="G81" i="28"/>
  <c r="G197" i="46" s="1"/>
  <c r="G77" i="28"/>
  <c r="G195" i="46"/>
  <c r="G73" i="28"/>
  <c r="G196" i="46"/>
  <c r="P81" i="28"/>
  <c r="P77" i="28"/>
  <c r="P73" i="28"/>
  <c r="S75" i="28" s="1"/>
  <c r="M81" i="28"/>
  <c r="M77" i="28"/>
  <c r="M195" i="46"/>
  <c r="M73" i="28"/>
  <c r="M196" i="46" s="1"/>
  <c r="J77" i="28"/>
  <c r="J79" i="28" s="1"/>
  <c r="J195" i="46"/>
  <c r="J81" i="28"/>
  <c r="J197" i="46" s="1"/>
  <c r="J73" i="28"/>
  <c r="J196" i="46"/>
  <c r="D62" i="28"/>
  <c r="D169" i="46"/>
  <c r="D50" i="28"/>
  <c r="D38" i="28"/>
  <c r="D26" i="28"/>
  <c r="G26" i="28"/>
  <c r="G163" i="46" s="1"/>
  <c r="G38" i="28"/>
  <c r="G35" i="28" s="1"/>
  <c r="G165" i="46"/>
  <c r="G50" i="28"/>
  <c r="G167" i="46" s="1"/>
  <c r="G62" i="28"/>
  <c r="G14" i="28"/>
  <c r="G161" i="46" s="1"/>
  <c r="J26" i="28"/>
  <c r="J163" i="46"/>
  <c r="J38" i="28"/>
  <c r="J165" i="46"/>
  <c r="J50" i="28"/>
  <c r="J62" i="28"/>
  <c r="J14" i="28"/>
  <c r="J161" i="46"/>
  <c r="J162" i="46" s="1"/>
  <c r="P26" i="28"/>
  <c r="P163" i="46"/>
  <c r="P38" i="28"/>
  <c r="P165" i="46"/>
  <c r="P50" i="28"/>
  <c r="P62" i="28"/>
  <c r="P169" i="46"/>
  <c r="P14" i="28"/>
  <c r="P161" i="46" s="1"/>
  <c r="D165" i="46"/>
  <c r="P167" i="46"/>
  <c r="P197" i="46"/>
  <c r="S83" i="28"/>
  <c r="O114" i="28"/>
  <c r="O207" i="46" s="1"/>
  <c r="H114" i="28"/>
  <c r="H207" i="46" s="1"/>
  <c r="N114" i="28"/>
  <c r="N207" i="46" s="1"/>
  <c r="K70" i="28"/>
  <c r="F85" i="27"/>
  <c r="F95" i="27"/>
  <c r="I28" i="27"/>
  <c r="I85" i="27"/>
  <c r="I95" i="27"/>
  <c r="G11" i="28"/>
  <c r="J75" i="28"/>
  <c r="E28" i="27"/>
  <c r="E85" i="27" s="1"/>
  <c r="P63" i="28"/>
  <c r="F40" i="37"/>
  <c r="H40" i="37" s="1"/>
  <c r="V12" i="28"/>
  <c r="X12" i="28"/>
  <c r="R17" i="27"/>
  <c r="Q17" i="27"/>
  <c r="O17" i="27"/>
  <c r="N17" i="27"/>
  <c r="L17" i="27"/>
  <c r="K17" i="27"/>
  <c r="I17" i="27"/>
  <c r="H17" i="27"/>
  <c r="F17" i="27"/>
  <c r="E17" i="27"/>
  <c r="D17" i="27"/>
  <c r="C17" i="27"/>
  <c r="R11" i="27"/>
  <c r="R87" i="27" s="1"/>
  <c r="Q11" i="27"/>
  <c r="Q87" i="27" s="1"/>
  <c r="O11" i="27"/>
  <c r="N11" i="27"/>
  <c r="L11" i="27"/>
  <c r="L87" i="27" s="1"/>
  <c r="K11" i="27"/>
  <c r="I11" i="27"/>
  <c r="H11" i="27"/>
  <c r="H87" i="27" s="1"/>
  <c r="F11" i="27"/>
  <c r="E11" i="27"/>
  <c r="E87" i="27" s="1"/>
  <c r="C11" i="27"/>
  <c r="R54" i="27"/>
  <c r="Q54" i="27"/>
  <c r="O54" i="27"/>
  <c r="N54" i="27"/>
  <c r="L54" i="27"/>
  <c r="K54" i="27"/>
  <c r="I54" i="27"/>
  <c r="H54" i="27"/>
  <c r="F54" i="27"/>
  <c r="E54" i="27"/>
  <c r="E55" i="27" s="1"/>
  <c r="C54" i="27"/>
  <c r="R43" i="27"/>
  <c r="Q43" i="27"/>
  <c r="O43" i="27"/>
  <c r="N43" i="27"/>
  <c r="M43" i="27"/>
  <c r="L43" i="27"/>
  <c r="L55" i="27" s="1"/>
  <c r="K43" i="27"/>
  <c r="I43" i="27"/>
  <c r="I55" i="27" s="1"/>
  <c r="H43" i="27"/>
  <c r="F43" i="27"/>
  <c r="E43" i="27"/>
  <c r="C43" i="27"/>
  <c r="E79" i="13"/>
  <c r="E80" i="13"/>
  <c r="F79" i="13"/>
  <c r="F80" i="13" s="1"/>
  <c r="H79" i="13"/>
  <c r="H80" i="13"/>
  <c r="I79" i="13"/>
  <c r="I80" i="13" s="1"/>
  <c r="K79" i="13"/>
  <c r="K80" i="13" s="1"/>
  <c r="L79" i="13"/>
  <c r="L80" i="13" s="1"/>
  <c r="N79" i="13"/>
  <c r="N80" i="13" s="1"/>
  <c r="O79" i="13"/>
  <c r="O80" i="13"/>
  <c r="Q79" i="13"/>
  <c r="Q80" i="13" s="1"/>
  <c r="R79" i="13"/>
  <c r="R80" i="13"/>
  <c r="C79" i="13"/>
  <c r="C80" i="13"/>
  <c r="E21" i="26"/>
  <c r="F21" i="26"/>
  <c r="H21" i="26"/>
  <c r="I21" i="26"/>
  <c r="K21" i="26"/>
  <c r="L21" i="26"/>
  <c r="N21" i="26"/>
  <c r="O21" i="26"/>
  <c r="Q21" i="26"/>
  <c r="R21" i="26"/>
  <c r="C21" i="26"/>
  <c r="E14" i="26"/>
  <c r="F14" i="26"/>
  <c r="H14" i="26"/>
  <c r="I14" i="26"/>
  <c r="K14" i="26"/>
  <c r="K76" i="27" s="1"/>
  <c r="K77" i="27" s="1"/>
  <c r="L14" i="26"/>
  <c r="N14" i="26"/>
  <c r="O14" i="26"/>
  <c r="O15" i="26" s="1"/>
  <c r="Q14" i="26"/>
  <c r="R14" i="26"/>
  <c r="C14" i="26"/>
  <c r="C76" i="27" s="1"/>
  <c r="H9" i="26"/>
  <c r="I9" i="26"/>
  <c r="K9" i="26"/>
  <c r="L9" i="26"/>
  <c r="N9" i="26"/>
  <c r="O9" i="26"/>
  <c r="Q9" i="26"/>
  <c r="R9" i="26"/>
  <c r="F9" i="26"/>
  <c r="P30" i="26"/>
  <c r="M30" i="26"/>
  <c r="J30" i="26"/>
  <c r="G30" i="26"/>
  <c r="D30" i="26"/>
  <c r="R41" i="26"/>
  <c r="Q41" i="26"/>
  <c r="O41" i="26"/>
  <c r="N41" i="26"/>
  <c r="L41" i="26"/>
  <c r="K41" i="26"/>
  <c r="I41" i="26"/>
  <c r="H41" i="26"/>
  <c r="F41" i="26"/>
  <c r="E41" i="26"/>
  <c r="C41" i="26"/>
  <c r="P40" i="26"/>
  <c r="M40" i="26"/>
  <c r="J40" i="26"/>
  <c r="G40" i="26"/>
  <c r="D40" i="26"/>
  <c r="P39" i="26"/>
  <c r="M39" i="26"/>
  <c r="M41" i="26" s="1"/>
  <c r="J39" i="26"/>
  <c r="G39" i="26"/>
  <c r="D39" i="26"/>
  <c r="D41" i="26" s="1"/>
  <c r="P38" i="26"/>
  <c r="M38" i="26"/>
  <c r="J38" i="26"/>
  <c r="J41" i="26" s="1"/>
  <c r="G38" i="26"/>
  <c r="D38" i="26"/>
  <c r="P31" i="26"/>
  <c r="P61" i="26" s="1"/>
  <c r="M31" i="26"/>
  <c r="M61" i="26"/>
  <c r="J31" i="26"/>
  <c r="J61" i="26" s="1"/>
  <c r="G31" i="26"/>
  <c r="G61" i="26" s="1"/>
  <c r="D31" i="26"/>
  <c r="D61" i="26" s="1"/>
  <c r="P26" i="26"/>
  <c r="P63" i="27" s="1"/>
  <c r="M26" i="26"/>
  <c r="M63" i="27" s="1"/>
  <c r="J26" i="26"/>
  <c r="J63" i="27"/>
  <c r="J67" i="27" s="1"/>
  <c r="G26" i="26"/>
  <c r="G63" i="27"/>
  <c r="D26" i="26"/>
  <c r="D63" i="27" s="1"/>
  <c r="P22" i="26"/>
  <c r="M22" i="26"/>
  <c r="J22" i="26"/>
  <c r="G22" i="26"/>
  <c r="D22" i="26"/>
  <c r="P20" i="26"/>
  <c r="M20" i="26"/>
  <c r="M21" i="26" s="1"/>
  <c r="J20" i="26"/>
  <c r="G20" i="26"/>
  <c r="G21" i="26" s="1"/>
  <c r="D20" i="26"/>
  <c r="P13" i="26"/>
  <c r="P14" i="26" s="1"/>
  <c r="M13" i="26"/>
  <c r="J13" i="26"/>
  <c r="J14" i="26" s="1"/>
  <c r="G13" i="26"/>
  <c r="G14" i="26" s="1"/>
  <c r="D13" i="26"/>
  <c r="P12" i="26"/>
  <c r="M12" i="26"/>
  <c r="J12" i="26"/>
  <c r="G12" i="26"/>
  <c r="D12" i="26"/>
  <c r="P8" i="26"/>
  <c r="P9" i="26" s="1"/>
  <c r="M8" i="26"/>
  <c r="J8" i="26"/>
  <c r="G8" i="26"/>
  <c r="D8" i="26"/>
  <c r="M76" i="13"/>
  <c r="P76" i="13"/>
  <c r="E70" i="13"/>
  <c r="E72" i="13" s="1"/>
  <c r="F70" i="13"/>
  <c r="F72" i="13" s="1"/>
  <c r="H70" i="13"/>
  <c r="H72" i="13"/>
  <c r="I70" i="13"/>
  <c r="I72" i="13" s="1"/>
  <c r="K70" i="13"/>
  <c r="K72" i="13"/>
  <c r="L70" i="13"/>
  <c r="L72" i="13" s="1"/>
  <c r="N70" i="13"/>
  <c r="N72" i="13"/>
  <c r="O70" i="13"/>
  <c r="Q70" i="13"/>
  <c r="Q72" i="13" s="1"/>
  <c r="R70" i="13"/>
  <c r="R72" i="13"/>
  <c r="E54" i="13"/>
  <c r="F54" i="13"/>
  <c r="F56" i="13" s="1"/>
  <c r="H54" i="13"/>
  <c r="H74" i="13" s="1"/>
  <c r="H77" i="13" s="1"/>
  <c r="H56" i="13"/>
  <c r="I54" i="13"/>
  <c r="I56" i="13" s="1"/>
  <c r="K54" i="13"/>
  <c r="K56" i="13" s="1"/>
  <c r="L54" i="13"/>
  <c r="L56" i="13"/>
  <c r="N54" i="13"/>
  <c r="N56" i="13"/>
  <c r="O54" i="13"/>
  <c r="O56" i="13" s="1"/>
  <c r="Q54" i="13"/>
  <c r="Q56" i="13"/>
  <c r="R54" i="13"/>
  <c r="R56" i="13" s="1"/>
  <c r="E42" i="13"/>
  <c r="E44" i="13" s="1"/>
  <c r="H42" i="13"/>
  <c r="H44" i="13"/>
  <c r="K42" i="13"/>
  <c r="E29" i="13"/>
  <c r="F29" i="13"/>
  <c r="H29" i="13"/>
  <c r="I29" i="13"/>
  <c r="I40" i="13" s="1"/>
  <c r="I42" i="13" s="1"/>
  <c r="K29" i="13"/>
  <c r="L29" i="13"/>
  <c r="N29" i="13"/>
  <c r="N40" i="13" s="1"/>
  <c r="N42" i="13" s="1"/>
  <c r="O29" i="13"/>
  <c r="Q29" i="13"/>
  <c r="Q40" i="13"/>
  <c r="Q42" i="13" s="1"/>
  <c r="R29" i="13"/>
  <c r="P69" i="13"/>
  <c r="P68" i="13"/>
  <c r="P67" i="13"/>
  <c r="P66" i="13"/>
  <c r="P65" i="13"/>
  <c r="P64" i="13"/>
  <c r="P63" i="13"/>
  <c r="P62" i="13"/>
  <c r="P61" i="13"/>
  <c r="P60" i="13"/>
  <c r="P59" i="13"/>
  <c r="P53" i="13"/>
  <c r="P52" i="13"/>
  <c r="P51" i="13"/>
  <c r="P50" i="13"/>
  <c r="P49" i="13"/>
  <c r="P48" i="13"/>
  <c r="P47" i="13"/>
  <c r="P79" i="13" s="1"/>
  <c r="P41" i="13"/>
  <c r="P38" i="13"/>
  <c r="P37" i="13"/>
  <c r="P36" i="13"/>
  <c r="P35" i="13"/>
  <c r="P34" i="13"/>
  <c r="P33" i="13"/>
  <c r="P32" i="13"/>
  <c r="P31" i="13"/>
  <c r="P27" i="13"/>
  <c r="P25" i="13"/>
  <c r="P24" i="13"/>
  <c r="P23" i="13"/>
  <c r="P22" i="13"/>
  <c r="P21" i="13"/>
  <c r="P20" i="13"/>
  <c r="P18" i="13"/>
  <c r="P17" i="13"/>
  <c r="P16" i="13"/>
  <c r="P15" i="13"/>
  <c r="P14" i="13"/>
  <c r="P10" i="13"/>
  <c r="P9" i="13"/>
  <c r="P8" i="13"/>
  <c r="M69" i="13"/>
  <c r="M68" i="13"/>
  <c r="M67" i="13"/>
  <c r="M66" i="13"/>
  <c r="M65" i="13"/>
  <c r="M64" i="13"/>
  <c r="M63" i="13"/>
  <c r="M62" i="13"/>
  <c r="M61" i="13"/>
  <c r="M60" i="13"/>
  <c r="M59" i="13"/>
  <c r="M53" i="13"/>
  <c r="M52" i="13"/>
  <c r="M51" i="13"/>
  <c r="M50" i="13"/>
  <c r="M49" i="13"/>
  <c r="M48" i="13"/>
  <c r="M47" i="13"/>
  <c r="M79" i="13"/>
  <c r="M80" i="13" s="1"/>
  <c r="M41" i="13"/>
  <c r="M38" i="13"/>
  <c r="M37" i="13"/>
  <c r="M36" i="13"/>
  <c r="M35" i="13"/>
  <c r="M34" i="13"/>
  <c r="M33" i="13"/>
  <c r="M32" i="13"/>
  <c r="M31" i="13"/>
  <c r="M27" i="13"/>
  <c r="M25" i="13"/>
  <c r="M24" i="13"/>
  <c r="M23" i="13"/>
  <c r="M22" i="13"/>
  <c r="M21" i="13"/>
  <c r="M20" i="13"/>
  <c r="M18" i="13"/>
  <c r="M17" i="13"/>
  <c r="M16" i="13"/>
  <c r="M15" i="13"/>
  <c r="M14" i="13"/>
  <c r="M10" i="13"/>
  <c r="M9" i="13"/>
  <c r="M8" i="13"/>
  <c r="J69" i="13"/>
  <c r="J68" i="13"/>
  <c r="J67" i="13"/>
  <c r="J66" i="13"/>
  <c r="J65" i="13"/>
  <c r="J64" i="13"/>
  <c r="J63" i="13"/>
  <c r="J62" i="13"/>
  <c r="J61" i="13"/>
  <c r="J60" i="13"/>
  <c r="J59" i="13"/>
  <c r="J53" i="13"/>
  <c r="J52" i="13"/>
  <c r="J51" i="13"/>
  <c r="J50" i="13"/>
  <c r="J49" i="13"/>
  <c r="J48" i="13"/>
  <c r="J47" i="13"/>
  <c r="J79" i="13"/>
  <c r="J80" i="13" s="1"/>
  <c r="J41" i="13"/>
  <c r="J38" i="13"/>
  <c r="J37" i="13"/>
  <c r="J36" i="13"/>
  <c r="J35" i="13"/>
  <c r="J34" i="13"/>
  <c r="J33" i="13"/>
  <c r="J32" i="13"/>
  <c r="J31" i="13"/>
  <c r="J27" i="13"/>
  <c r="J25" i="13"/>
  <c r="J24" i="13"/>
  <c r="J23" i="13"/>
  <c r="J22" i="13"/>
  <c r="J21" i="13"/>
  <c r="J20" i="13"/>
  <c r="J18" i="13"/>
  <c r="J17" i="13"/>
  <c r="J16" i="13"/>
  <c r="J15" i="13"/>
  <c r="J14" i="13"/>
  <c r="J10" i="13"/>
  <c r="J9" i="13"/>
  <c r="J8" i="13"/>
  <c r="G69" i="13"/>
  <c r="G68" i="13"/>
  <c r="G67" i="13"/>
  <c r="G66" i="13"/>
  <c r="G65" i="13"/>
  <c r="G64" i="13"/>
  <c r="G63" i="13"/>
  <c r="G62" i="13"/>
  <c r="G61" i="13"/>
  <c r="G60" i="13"/>
  <c r="G59" i="13"/>
  <c r="G53" i="13"/>
  <c r="G52" i="13"/>
  <c r="G51" i="13"/>
  <c r="G50" i="13"/>
  <c r="G49" i="13"/>
  <c r="G48" i="13"/>
  <c r="G47" i="13"/>
  <c r="G41" i="13"/>
  <c r="G38" i="13"/>
  <c r="G37" i="13"/>
  <c r="G36" i="13"/>
  <c r="G35" i="13"/>
  <c r="G34" i="13"/>
  <c r="G33" i="13"/>
  <c r="G32" i="13"/>
  <c r="G31" i="13"/>
  <c r="G27" i="13"/>
  <c r="G25" i="13"/>
  <c r="G24" i="13"/>
  <c r="G23" i="13"/>
  <c r="G22" i="13"/>
  <c r="G21" i="13"/>
  <c r="G20" i="13"/>
  <c r="G18" i="13"/>
  <c r="G17" i="13"/>
  <c r="G16" i="13"/>
  <c r="G15" i="13"/>
  <c r="G14" i="13"/>
  <c r="G10" i="13"/>
  <c r="G9" i="13"/>
  <c r="G8" i="13"/>
  <c r="D69" i="13"/>
  <c r="D68" i="13"/>
  <c r="D67" i="13"/>
  <c r="D66" i="13"/>
  <c r="D65" i="13"/>
  <c r="D64" i="13"/>
  <c r="D63" i="13"/>
  <c r="D62" i="13"/>
  <c r="D61" i="13"/>
  <c r="D60" i="13"/>
  <c r="D59" i="13"/>
  <c r="D53" i="13"/>
  <c r="D52" i="13"/>
  <c r="D51" i="13"/>
  <c r="D50" i="13"/>
  <c r="D49" i="13"/>
  <c r="D48" i="13"/>
  <c r="D47" i="13"/>
  <c r="D79" i="13" s="1"/>
  <c r="D80" i="13" s="1"/>
  <c r="D41" i="13"/>
  <c r="D38" i="13"/>
  <c r="D37" i="13"/>
  <c r="D36" i="13"/>
  <c r="D35" i="13"/>
  <c r="D34" i="13"/>
  <c r="D33" i="13"/>
  <c r="D32" i="13"/>
  <c r="D31" i="13"/>
  <c r="D27" i="13"/>
  <c r="D25" i="13"/>
  <c r="D24" i="13"/>
  <c r="D23" i="13"/>
  <c r="D22" i="13"/>
  <c r="D21" i="13"/>
  <c r="D20" i="13"/>
  <c r="D18" i="13"/>
  <c r="D17" i="13"/>
  <c r="D16" i="13"/>
  <c r="D15" i="13"/>
  <c r="D14" i="13"/>
  <c r="D10" i="13"/>
  <c r="D9" i="13"/>
  <c r="D8" i="13"/>
  <c r="C70" i="13"/>
  <c r="C72" i="13"/>
  <c r="C54" i="13"/>
  <c r="C56" i="13" s="1"/>
  <c r="F39" i="13"/>
  <c r="I39" i="13"/>
  <c r="L39" i="13"/>
  <c r="O39" i="13"/>
  <c r="C39" i="13"/>
  <c r="C29" i="13"/>
  <c r="C40" i="13" s="1"/>
  <c r="C42" i="13" s="1"/>
  <c r="O40" i="13"/>
  <c r="O42" i="13" s="1"/>
  <c r="O44" i="13" s="1"/>
  <c r="J157" i="46"/>
  <c r="J58" i="26"/>
  <c r="D75" i="26"/>
  <c r="M75" i="26"/>
  <c r="J64" i="27"/>
  <c r="O87" i="27"/>
  <c r="N87" i="27"/>
  <c r="K87" i="27"/>
  <c r="I83" i="27"/>
  <c r="I84" i="27"/>
  <c r="C77" i="27"/>
  <c r="Q76" i="27"/>
  <c r="Q77" i="27"/>
  <c r="F55" i="27"/>
  <c r="K55" i="27"/>
  <c r="R15" i="26"/>
  <c r="Q15" i="26"/>
  <c r="J74" i="28"/>
  <c r="J78" i="28"/>
  <c r="C15" i="26"/>
  <c r="N55" i="27"/>
  <c r="D21" i="26"/>
  <c r="C17" i="26"/>
  <c r="C66" i="26"/>
  <c r="R17" i="26"/>
  <c r="R23" i="26" s="1"/>
  <c r="R66" i="26"/>
  <c r="Q17" i="26"/>
  <c r="D14" i="26"/>
  <c r="D76" i="27" s="1"/>
  <c r="I15" i="26"/>
  <c r="J9" i="26"/>
  <c r="G41" i="26"/>
  <c r="U45" i="28"/>
  <c r="F34" i="37"/>
  <c r="W45" i="28"/>
  <c r="W21" i="28"/>
  <c r="U21" i="28"/>
  <c r="L57" i="27"/>
  <c r="L88" i="27"/>
  <c r="D77" i="27"/>
  <c r="G15" i="26"/>
  <c r="C18" i="26"/>
  <c r="C23" i="26"/>
  <c r="W57" i="28"/>
  <c r="F35" i="37"/>
  <c r="U57" i="28"/>
  <c r="R89" i="27"/>
  <c r="R65" i="26"/>
  <c r="H35" i="37"/>
  <c r="O35" i="28"/>
  <c r="I35" i="28"/>
  <c r="I39" i="28" s="1"/>
  <c r="H35" i="28"/>
  <c r="H39" i="28" s="1"/>
  <c r="J68" i="28"/>
  <c r="J172" i="46" s="1"/>
  <c r="J174" i="46" s="1"/>
  <c r="I68" i="28"/>
  <c r="I172" i="46" s="1"/>
  <c r="O68" i="28"/>
  <c r="O172" i="46" s="1"/>
  <c r="O174" i="46" s="1"/>
  <c r="E35" i="28"/>
  <c r="E68" i="28"/>
  <c r="E172" i="46" s="1"/>
  <c r="E174" i="46" s="1"/>
  <c r="H68" i="28"/>
  <c r="H172" i="46" s="1"/>
  <c r="F68" i="28"/>
  <c r="F35" i="28"/>
  <c r="F172" i="46"/>
  <c r="F174" i="46"/>
  <c r="H174" i="46"/>
  <c r="Q68" i="28"/>
  <c r="Q172" i="46" s="1"/>
  <c r="N68" i="28"/>
  <c r="K68" i="28"/>
  <c r="K172" i="46" s="1"/>
  <c r="K174" i="46" s="1"/>
  <c r="J35" i="28"/>
  <c r="J39" i="28" s="1"/>
  <c r="N172" i="46"/>
  <c r="N174" i="46" s="1"/>
  <c r="Q174" i="46"/>
  <c r="R68" i="28"/>
  <c r="R172" i="46" s="1"/>
  <c r="T69" i="28"/>
  <c r="W33" i="28"/>
  <c r="F33" i="37"/>
  <c r="S196" i="46"/>
  <c r="S68" i="28"/>
  <c r="S172" i="46" s="1"/>
  <c r="H33" i="37"/>
  <c r="G33" i="37"/>
  <c r="T197" i="46"/>
  <c r="S197" i="46"/>
  <c r="T196" i="46"/>
  <c r="U33" i="28"/>
  <c r="S195" i="46"/>
  <c r="Z14" i="13"/>
  <c r="AC14" i="13"/>
  <c r="AF14" i="13"/>
  <c r="AI14" i="13"/>
  <c r="T56" i="26"/>
  <c r="Q56" i="26"/>
  <c r="X64" i="13"/>
  <c r="AA64" i="13"/>
  <c r="Y64" i="13"/>
  <c r="Z64" i="13"/>
  <c r="W9" i="28"/>
  <c r="F31" i="37"/>
  <c r="T68" i="28"/>
  <c r="U9" i="28"/>
  <c r="T172" i="46"/>
  <c r="Y76" i="27"/>
  <c r="X77" i="27"/>
  <c r="Y77" i="27"/>
  <c r="AB76" i="27"/>
  <c r="AA77" i="27"/>
  <c r="AB77" i="27"/>
  <c r="AH76" i="27"/>
  <c r="AH77" i="27" s="1"/>
  <c r="AG77" i="27"/>
  <c r="AH71" i="27"/>
  <c r="AG71" i="27"/>
  <c r="AB71" i="27"/>
  <c r="AA71" i="27"/>
  <c r="Y71" i="27"/>
  <c r="X71" i="27"/>
  <c r="U71" i="27"/>
  <c r="AE71" i="27"/>
  <c r="V71" i="27"/>
  <c r="AD71" i="27"/>
  <c r="AD91" i="27"/>
  <c r="U91" i="27"/>
  <c r="AA91" i="27"/>
  <c r="T157" i="46"/>
  <c r="T17" i="26"/>
  <c r="T66" i="26" s="1"/>
  <c r="T9" i="26"/>
  <c r="F8" i="37"/>
  <c r="S8" i="26"/>
  <c r="S82" i="28"/>
  <c r="S74" i="28"/>
  <c r="S80" i="13"/>
  <c r="S78" i="28"/>
  <c r="S75" i="26"/>
  <c r="I8" i="37"/>
  <c r="T164" i="46"/>
  <c r="T170" i="46"/>
  <c r="S157" i="46"/>
  <c r="T21" i="26"/>
  <c r="S20" i="26"/>
  <c r="S21" i="26" s="1"/>
  <c r="V21" i="26"/>
  <c r="X21" i="26" s="1"/>
  <c r="Y21" i="26" s="1"/>
  <c r="AA21" i="26" s="1"/>
  <c r="AB21" i="26" s="1"/>
  <c r="AD21" i="26" s="1"/>
  <c r="AE21" i="26" s="1"/>
  <c r="AG21" i="26" s="1"/>
  <c r="AH21" i="26" s="1"/>
  <c r="S22" i="26"/>
  <c r="S58" i="26"/>
  <c r="V58" i="26"/>
  <c r="S26" i="26"/>
  <c r="S63" i="27" s="1"/>
  <c r="S30" i="26"/>
  <c r="C15" i="36"/>
  <c r="C16" i="36"/>
  <c r="C18" i="36" s="1"/>
  <c r="S31" i="26"/>
  <c r="S61" i="26" s="1"/>
  <c r="H53" i="36"/>
  <c r="G53" i="36"/>
  <c r="J53" i="36"/>
  <c r="K53" i="36" s="1"/>
  <c r="Y62" i="26"/>
  <c r="X62" i="26"/>
  <c r="U63" i="13"/>
  <c r="S13" i="27"/>
  <c r="V13" i="27"/>
  <c r="W13" i="27" s="1"/>
  <c r="W59" i="26" s="1"/>
  <c r="V63" i="13"/>
  <c r="S14" i="27"/>
  <c r="V14" i="27"/>
  <c r="S15" i="27"/>
  <c r="V15" i="27"/>
  <c r="V16" i="27"/>
  <c r="S16" i="27"/>
  <c r="S19" i="27"/>
  <c r="S20" i="27"/>
  <c r="V20" i="27"/>
  <c r="S21" i="27"/>
  <c r="U39" i="27"/>
  <c r="V39" i="27" s="1"/>
  <c r="W39" i="27" s="1"/>
  <c r="X39" i="27" s="1"/>
  <c r="Y39" i="27" s="1"/>
  <c r="Z39" i="27" s="1"/>
  <c r="AA39" i="27"/>
  <c r="AB39" i="27" s="1"/>
  <c r="AC39" i="27" s="1"/>
  <c r="AD39" i="27" s="1"/>
  <c r="AE39" i="27" s="1"/>
  <c r="AF39" i="27" s="1"/>
  <c r="AG39" i="27" s="1"/>
  <c r="AH39" i="27" s="1"/>
  <c r="AI39" i="27" s="1"/>
  <c r="S39" i="27"/>
  <c r="S47" i="27"/>
  <c r="S52" i="27"/>
  <c r="W52" i="27"/>
  <c r="X52" i="27" s="1"/>
  <c r="S41" i="27"/>
  <c r="V41" i="27"/>
  <c r="W41" i="27" s="1"/>
  <c r="S51" i="27"/>
  <c r="S80" i="27" s="1"/>
  <c r="U80" i="27" s="1"/>
  <c r="S22" i="27"/>
  <c r="S48" i="27"/>
  <c r="S78" i="27" s="1"/>
  <c r="S79" i="27" s="1"/>
  <c r="S38" i="27"/>
  <c r="U38" i="27"/>
  <c r="V38" i="27"/>
  <c r="W38" i="27" s="1"/>
  <c r="X38" i="27" s="1"/>
  <c r="Y38" i="27" s="1"/>
  <c r="Z38" i="27" s="1"/>
  <c r="AA38" i="27" s="1"/>
  <c r="AB38" i="27" s="1"/>
  <c r="AC38" i="27" s="1"/>
  <c r="AD38" i="27" s="1"/>
  <c r="AE38" i="27" s="1"/>
  <c r="AF38" i="27" s="1"/>
  <c r="AG38" i="27" s="1"/>
  <c r="AH38" i="27" s="1"/>
  <c r="AI38" i="27" s="1"/>
  <c r="S35" i="27"/>
  <c r="S65" i="27" s="1"/>
  <c r="S50" i="27"/>
  <c r="U50" i="27"/>
  <c r="V50" i="27" s="1"/>
  <c r="W50" i="27" s="1"/>
  <c r="X50" i="27"/>
  <c r="Y50" i="27"/>
  <c r="Z50" i="27" s="1"/>
  <c r="AA50" i="27" s="1"/>
  <c r="AB50" i="27" s="1"/>
  <c r="AC50" i="27" s="1"/>
  <c r="AD50" i="27" s="1"/>
  <c r="AE50" i="27" s="1"/>
  <c r="AF50" i="27" s="1"/>
  <c r="AG50" i="27" s="1"/>
  <c r="AH50" i="27" s="1"/>
  <c r="AI50" i="27" s="1"/>
  <c r="S53" i="27"/>
  <c r="S81" i="27"/>
  <c r="S42" i="27"/>
  <c r="S24" i="27"/>
  <c r="S49" i="27"/>
  <c r="S40" i="27"/>
  <c r="U40" i="27"/>
  <c r="S37" i="27"/>
  <c r="U37" i="27"/>
  <c r="V37" i="27"/>
  <c r="W37" i="27" s="1"/>
  <c r="S27" i="27"/>
  <c r="S74" i="27" s="1"/>
  <c r="U74" i="27" s="1"/>
  <c r="V27" i="27"/>
  <c r="W27" i="27" s="1"/>
  <c r="X27" i="27" s="1"/>
  <c r="S45" i="27"/>
  <c r="S26" i="27"/>
  <c r="S36" i="27"/>
  <c r="S72" i="27"/>
  <c r="U72" i="27" s="1"/>
  <c r="S23" i="27"/>
  <c r="Y52" i="27"/>
  <c r="Z52" i="27" s="1"/>
  <c r="AA52" i="27" s="1"/>
  <c r="AB52" i="27" s="1"/>
  <c r="AC52" i="27" s="1"/>
  <c r="AD52" i="27" s="1"/>
  <c r="AE52" i="27" s="1"/>
  <c r="AF52" i="27" s="1"/>
  <c r="AG52" i="27" s="1"/>
  <c r="AH52" i="27" s="1"/>
  <c r="AI52" i="27" s="1"/>
  <c r="V80" i="27"/>
  <c r="X80" i="27" s="1"/>
  <c r="Y27" i="27"/>
  <c r="Z27" i="27" s="1"/>
  <c r="AA27" i="27" s="1"/>
  <c r="AB27" i="27" s="1"/>
  <c r="AC27" i="27" s="1"/>
  <c r="AD27" i="27" s="1"/>
  <c r="AE27" i="27" s="1"/>
  <c r="AF27" i="27" s="1"/>
  <c r="AG27" i="27" s="1"/>
  <c r="AH27" i="27" s="1"/>
  <c r="AI27" i="27" s="1"/>
  <c r="T51" i="28" l="1"/>
  <c r="F42" i="37"/>
  <c r="H42" i="37" s="1"/>
  <c r="T48" i="28"/>
  <c r="M12" i="41"/>
  <c r="V30" i="26"/>
  <c r="X30" i="26" s="1"/>
  <c r="G68" i="28"/>
  <c r="G172" i="46" s="1"/>
  <c r="G174" i="46" s="1"/>
  <c r="O23" i="28"/>
  <c r="O24" i="28" s="1"/>
  <c r="S51" i="28"/>
  <c r="S48" i="28"/>
  <c r="S69" i="28"/>
  <c r="Q24" i="28"/>
  <c r="E40" i="37"/>
  <c r="J95" i="27"/>
  <c r="J96" i="27" s="1"/>
  <c r="M11" i="41"/>
  <c r="O11" i="41" s="1"/>
  <c r="N11" i="41"/>
  <c r="N12" i="41" s="1"/>
  <c r="S63" i="28"/>
  <c r="S169" i="46"/>
  <c r="S170" i="46" s="1"/>
  <c r="C177" i="46"/>
  <c r="C24" i="26"/>
  <c r="C178" i="46" s="1"/>
  <c r="D82" i="28"/>
  <c r="G67" i="27"/>
  <c r="Q93" i="27"/>
  <c r="Q94" i="27" s="1"/>
  <c r="R177" i="46"/>
  <c r="R67" i="26"/>
  <c r="R27" i="26"/>
  <c r="R180" i="46" s="1"/>
  <c r="R24" i="26"/>
  <c r="R178" i="46" s="1"/>
  <c r="D17" i="26"/>
  <c r="D18" i="26" s="1"/>
  <c r="D157" i="46"/>
  <c r="Q55" i="27"/>
  <c r="F11" i="28"/>
  <c r="F15" i="28"/>
  <c r="N15" i="28"/>
  <c r="T62" i="27"/>
  <c r="T67" i="27" s="1"/>
  <c r="R62" i="27"/>
  <c r="R67" i="27" s="1"/>
  <c r="L67" i="27"/>
  <c r="V64" i="13"/>
  <c r="R18" i="26"/>
  <c r="P78" i="28"/>
  <c r="O74" i="13"/>
  <c r="O77" i="13" s="1"/>
  <c r="P75" i="13" s="1"/>
  <c r="G58" i="26"/>
  <c r="G73" i="27"/>
  <c r="G80" i="27"/>
  <c r="G157" i="46"/>
  <c r="G74" i="28"/>
  <c r="F96" i="27"/>
  <c r="I12" i="28"/>
  <c r="M164" i="46"/>
  <c r="C9" i="41"/>
  <c r="N10" i="40"/>
  <c r="R162" i="46"/>
  <c r="R168" i="46"/>
  <c r="S174" i="46"/>
  <c r="K114" i="28"/>
  <c r="K207" i="46" s="1"/>
  <c r="P69" i="28"/>
  <c r="P114" i="28" s="1"/>
  <c r="P207" i="46" s="1"/>
  <c r="Q28" i="27"/>
  <c r="Q85" i="27" s="1"/>
  <c r="Q95" i="27"/>
  <c r="Q70" i="27"/>
  <c r="Q71" i="27" s="1"/>
  <c r="Q91" i="27" s="1"/>
  <c r="R51" i="28"/>
  <c r="G76" i="27"/>
  <c r="G77" i="27" s="1"/>
  <c r="U64" i="13"/>
  <c r="W64" i="13" s="1"/>
  <c r="P74" i="27"/>
  <c r="S9" i="26"/>
  <c r="P81" i="27"/>
  <c r="E76" i="27"/>
  <c r="E77" i="27" s="1"/>
  <c r="E15" i="26"/>
  <c r="E17" i="26"/>
  <c r="G168" i="46"/>
  <c r="B17" i="47"/>
  <c r="C22" i="36"/>
  <c r="C25" i="36" s="1"/>
  <c r="C26" i="36" s="1"/>
  <c r="C27" i="36" s="1"/>
  <c r="L74" i="13"/>
  <c r="L77" i="13" s="1"/>
  <c r="M75" i="13" s="1"/>
  <c r="C70" i="27"/>
  <c r="C71" i="27" s="1"/>
  <c r="C91" i="27" s="1"/>
  <c r="C95" i="27"/>
  <c r="C28" i="27"/>
  <c r="E70" i="27"/>
  <c r="E71" i="27" s="1"/>
  <c r="F40" i="13"/>
  <c r="F42" i="13" s="1"/>
  <c r="G69" i="28"/>
  <c r="G114" i="28" s="1"/>
  <c r="G207" i="46" s="1"/>
  <c r="J36" i="28"/>
  <c r="P72" i="27"/>
  <c r="R166" i="46"/>
  <c r="AA204" i="46"/>
  <c r="X204" i="46"/>
  <c r="AA5" i="35"/>
  <c r="O28" i="27"/>
  <c r="O29" i="27" s="1"/>
  <c r="O31" i="27" s="1"/>
  <c r="O95" i="27"/>
  <c r="T59" i="28"/>
  <c r="V67" i="13"/>
  <c r="W67" i="13" s="1"/>
  <c r="W20" i="27"/>
  <c r="X20" i="27" s="1"/>
  <c r="G23" i="28"/>
  <c r="G28" i="40"/>
  <c r="Q59" i="26"/>
  <c r="Q60" i="26" s="1"/>
  <c r="R170" i="46"/>
  <c r="R174" i="46"/>
  <c r="O55" i="27"/>
  <c r="O57" i="27" s="1"/>
  <c r="Q27" i="28"/>
  <c r="K35" i="28"/>
  <c r="K36" i="28" s="1"/>
  <c r="R64" i="27"/>
  <c r="S62" i="27"/>
  <c r="S67" i="27" s="1"/>
  <c r="U67" i="27" s="1"/>
  <c r="R164" i="46"/>
  <c r="J70" i="13"/>
  <c r="AH91" i="27"/>
  <c r="P82" i="28"/>
  <c r="H76" i="27"/>
  <c r="H77" i="27" s="1"/>
  <c r="H15" i="26"/>
  <c r="H17" i="26"/>
  <c r="J75" i="26"/>
  <c r="D72" i="27"/>
  <c r="W48" i="26"/>
  <c r="X48" i="26" s="1"/>
  <c r="Y48" i="26" s="1"/>
  <c r="V56" i="26"/>
  <c r="V65" i="13" s="1"/>
  <c r="V59" i="26"/>
  <c r="K88" i="27"/>
  <c r="K57" i="27"/>
  <c r="L40" i="13"/>
  <c r="L42" i="13" s="1"/>
  <c r="L44" i="13" s="1"/>
  <c r="M9" i="26"/>
  <c r="M74" i="27"/>
  <c r="M58" i="26"/>
  <c r="M78" i="27"/>
  <c r="M79" i="27" s="1"/>
  <c r="M203" i="46" s="1"/>
  <c r="M157" i="46"/>
  <c r="J21" i="26"/>
  <c r="F17" i="26"/>
  <c r="F15" i="26"/>
  <c r="J81" i="27"/>
  <c r="R158" i="46"/>
  <c r="S161" i="46"/>
  <c r="S14" i="26"/>
  <c r="Q64" i="27"/>
  <c r="E27" i="37" s="1"/>
  <c r="G27" i="37" s="1"/>
  <c r="S28" i="27"/>
  <c r="P80" i="13"/>
  <c r="P21" i="26"/>
  <c r="J15" i="28"/>
  <c r="P79" i="28"/>
  <c r="M54" i="27"/>
  <c r="M68" i="28"/>
  <c r="M172" i="46" s="1"/>
  <c r="M174" i="46" s="1"/>
  <c r="AC64" i="13"/>
  <c r="O60" i="26"/>
  <c r="M67" i="27"/>
  <c r="N13" i="40"/>
  <c r="O158" i="46"/>
  <c r="L162" i="46"/>
  <c r="T70" i="27"/>
  <c r="T71" i="27" s="1"/>
  <c r="T15" i="26"/>
  <c r="S11" i="28"/>
  <c r="L95" i="27"/>
  <c r="L28" i="27"/>
  <c r="P73" i="27"/>
  <c r="G43" i="27"/>
  <c r="G55" i="27" s="1"/>
  <c r="G88" i="27" s="1"/>
  <c r="P43" i="27"/>
  <c r="P55" i="27" s="1"/>
  <c r="P88" i="27" s="1"/>
  <c r="P35" i="28"/>
  <c r="S36" i="28" s="1"/>
  <c r="U47" i="28"/>
  <c r="U50" i="28" s="1"/>
  <c r="U53" i="28" s="1"/>
  <c r="V45" i="28" s="1"/>
  <c r="G59" i="28"/>
  <c r="G63" i="28" s="1"/>
  <c r="I162" i="46"/>
  <c r="F164" i="46"/>
  <c r="S11" i="27"/>
  <c r="S87" i="27" s="1"/>
  <c r="D59" i="28"/>
  <c r="N204" i="46"/>
  <c r="S27" i="28"/>
  <c r="J29" i="13"/>
  <c r="M29" i="13"/>
  <c r="P28" i="27"/>
  <c r="P85" i="27" s="1"/>
  <c r="K60" i="26"/>
  <c r="Y9" i="41"/>
  <c r="S73" i="27"/>
  <c r="U17" i="27"/>
  <c r="D54" i="13"/>
  <c r="G29" i="13"/>
  <c r="G39" i="13"/>
  <c r="M39" i="13"/>
  <c r="K64" i="27"/>
  <c r="H13" i="40"/>
  <c r="F170" i="46"/>
  <c r="O9" i="41"/>
  <c r="E162" i="46"/>
  <c r="E260" i="46"/>
  <c r="E263" i="46" s="1"/>
  <c r="T29" i="27"/>
  <c r="T63" i="28"/>
  <c r="E9" i="41"/>
  <c r="L60" i="26"/>
  <c r="H36" i="28"/>
  <c r="J39" i="13"/>
  <c r="J54" i="13"/>
  <c r="P54" i="13"/>
  <c r="J166" i="46"/>
  <c r="G59" i="26"/>
  <c r="H14" i="40"/>
  <c r="V11" i="41" s="1"/>
  <c r="S95" i="27"/>
  <c r="S96" i="27" s="1"/>
  <c r="I174" i="46"/>
  <c r="P58" i="26"/>
  <c r="J11" i="27"/>
  <c r="J87" i="27" s="1"/>
  <c r="M59" i="26"/>
  <c r="M60" i="26" s="1"/>
  <c r="G23" i="27"/>
  <c r="G70" i="27" s="1"/>
  <c r="G71" i="27" s="1"/>
  <c r="G81" i="27"/>
  <c r="P47" i="28"/>
  <c r="Y24" i="28"/>
  <c r="U11" i="41"/>
  <c r="Y11" i="41" s="1"/>
  <c r="P64" i="27"/>
  <c r="J80" i="27"/>
  <c r="P54" i="27"/>
  <c r="J23" i="28"/>
  <c r="J24" i="28" s="1"/>
  <c r="S29" i="13"/>
  <c r="M5" i="42"/>
  <c r="D39" i="13"/>
  <c r="D70" i="13"/>
  <c r="I93" i="27"/>
  <c r="I94" i="27" s="1"/>
  <c r="D81" i="27"/>
  <c r="M59" i="28"/>
  <c r="M63" i="28" s="1"/>
  <c r="S70" i="13"/>
  <c r="S39" i="13"/>
  <c r="S54" i="13"/>
  <c r="O39" i="28"/>
  <c r="P70" i="27"/>
  <c r="P71" i="27" s="1"/>
  <c r="P15" i="26"/>
  <c r="P76" i="27"/>
  <c r="P77" i="27" s="1"/>
  <c r="P17" i="26"/>
  <c r="S76" i="27"/>
  <c r="S77" i="27" s="1"/>
  <c r="S15" i="26"/>
  <c r="S17" i="26"/>
  <c r="S70" i="27"/>
  <c r="S71" i="27" s="1"/>
  <c r="S91" i="27" s="1"/>
  <c r="F39" i="28"/>
  <c r="F41" i="37"/>
  <c r="S85" i="27"/>
  <c r="R55" i="27"/>
  <c r="M33" i="28"/>
  <c r="L35" i="28"/>
  <c r="N35" i="28"/>
  <c r="O10" i="41"/>
  <c r="O12" i="41" s="1"/>
  <c r="K12" i="41"/>
  <c r="Y73" i="27"/>
  <c r="Y60" i="28"/>
  <c r="W16" i="27"/>
  <c r="X16" i="27" s="1"/>
  <c r="V13" i="13"/>
  <c r="W13" i="13" s="1"/>
  <c r="AA62" i="26"/>
  <c r="AB62" i="26"/>
  <c r="C87" i="27"/>
  <c r="C29" i="27"/>
  <c r="Y12" i="28"/>
  <c r="L12" i="28"/>
  <c r="L15" i="28"/>
  <c r="Q35" i="28"/>
  <c r="Q39" i="28"/>
  <c r="L68" i="28"/>
  <c r="L172" i="46" s="1"/>
  <c r="L174" i="46" s="1"/>
  <c r="L23" i="28"/>
  <c r="M21" i="28"/>
  <c r="M23" i="28" s="1"/>
  <c r="F59" i="28"/>
  <c r="F173" i="46" s="1"/>
  <c r="F175" i="46" s="1"/>
  <c r="Y63" i="28"/>
  <c r="Y30" i="26"/>
  <c r="AA30" i="26" s="1"/>
  <c r="Z30" i="26"/>
  <c r="V74" i="27"/>
  <c r="T59" i="26"/>
  <c r="T60" i="26" s="1"/>
  <c r="S17" i="27"/>
  <c r="S29" i="27" s="1"/>
  <c r="S59" i="26"/>
  <c r="S60" i="26" s="1"/>
  <c r="U60" i="26" s="1"/>
  <c r="W63" i="13"/>
  <c r="D66" i="26"/>
  <c r="K44" i="13"/>
  <c r="K74" i="13"/>
  <c r="K77" i="13" s="1"/>
  <c r="V203" i="46"/>
  <c r="Y204" i="46" s="1"/>
  <c r="V91" i="27"/>
  <c r="C74" i="13"/>
  <c r="C77" i="13" s="1"/>
  <c r="D75" i="13" s="1"/>
  <c r="C44" i="13"/>
  <c r="P29" i="13"/>
  <c r="P40" i="13" s="1"/>
  <c r="P42" i="13" s="1"/>
  <c r="R74" i="13"/>
  <c r="R77" i="13" s="1"/>
  <c r="S75" i="13" s="1"/>
  <c r="R44" i="13"/>
  <c r="AB48" i="28"/>
  <c r="AE203" i="46"/>
  <c r="AE204" i="46" s="1"/>
  <c r="AE91" i="27"/>
  <c r="I74" i="13"/>
  <c r="I77" i="13" s="1"/>
  <c r="J75" i="13" s="1"/>
  <c r="I44" i="13"/>
  <c r="G54" i="27"/>
  <c r="Q29" i="27"/>
  <c r="Q44" i="13"/>
  <c r="Q74" i="13"/>
  <c r="Q77" i="13" s="1"/>
  <c r="H55" i="27"/>
  <c r="T166" i="46"/>
  <c r="T158" i="46"/>
  <c r="T162" i="46"/>
  <c r="T168" i="46"/>
  <c r="N57" i="27"/>
  <c r="N88" i="27"/>
  <c r="M70" i="13"/>
  <c r="P70" i="13"/>
  <c r="E56" i="13"/>
  <c r="E74" i="13"/>
  <c r="E77" i="13" s="1"/>
  <c r="S203" i="46"/>
  <c r="E57" i="27"/>
  <c r="E88" i="27"/>
  <c r="S54" i="27"/>
  <c r="T39" i="28"/>
  <c r="R29" i="27"/>
  <c r="Y80" i="27"/>
  <c r="T114" i="28"/>
  <c r="T207" i="46" s="1"/>
  <c r="T70" i="28"/>
  <c r="D163" i="46"/>
  <c r="D23" i="28"/>
  <c r="D27" i="28" s="1"/>
  <c r="P196" i="46"/>
  <c r="P75" i="28"/>
  <c r="P74" i="28"/>
  <c r="P85" i="28"/>
  <c r="H25" i="37"/>
  <c r="G25" i="37"/>
  <c r="I25" i="37"/>
  <c r="AB204" i="46"/>
  <c r="X37" i="27"/>
  <c r="S64" i="27"/>
  <c r="J76" i="27"/>
  <c r="J77" i="27" s="1"/>
  <c r="J17" i="26"/>
  <c r="J15" i="26"/>
  <c r="J70" i="27"/>
  <c r="J71" i="27" s="1"/>
  <c r="L70" i="27"/>
  <c r="L71" i="27" s="1"/>
  <c r="J169" i="46"/>
  <c r="J170" i="46" s="1"/>
  <c r="H203" i="46"/>
  <c r="AD9" i="27"/>
  <c r="V72" i="27"/>
  <c r="R68" i="26"/>
  <c r="R28" i="26"/>
  <c r="R181" i="46" s="1"/>
  <c r="R32" i="26"/>
  <c r="J167" i="46"/>
  <c r="J168" i="46" s="1"/>
  <c r="J69" i="28"/>
  <c r="D47" i="28"/>
  <c r="D167" i="46"/>
  <c r="N95" i="27"/>
  <c r="N70" i="27"/>
  <c r="N71" i="27" s="1"/>
  <c r="S43" i="27"/>
  <c r="R74" i="26"/>
  <c r="N28" i="27"/>
  <c r="W15" i="27"/>
  <c r="X15" i="27" s="1"/>
  <c r="V12" i="13"/>
  <c r="W12" i="13" s="1"/>
  <c r="T174" i="46"/>
  <c r="O67" i="27"/>
  <c r="O64" i="27"/>
  <c r="F74" i="13"/>
  <c r="F77" i="13" s="1"/>
  <c r="G75" i="13" s="1"/>
  <c r="F44" i="13"/>
  <c r="P87" i="27"/>
  <c r="P29" i="27"/>
  <c r="P58" i="27" s="1"/>
  <c r="Q66" i="26"/>
  <c r="Q18" i="26"/>
  <c r="Q23" i="26"/>
  <c r="G87" i="27"/>
  <c r="E15" i="28"/>
  <c r="E173" i="46"/>
  <c r="E175" i="46" s="1"/>
  <c r="X47" i="28"/>
  <c r="Q203" i="46"/>
  <c r="Q204" i="46" s="1"/>
  <c r="AB91" i="27"/>
  <c r="T10" i="41"/>
  <c r="T12" i="41" s="1"/>
  <c r="E11" i="40"/>
  <c r="S168" i="46"/>
  <c r="S164" i="46"/>
  <c r="S166" i="46"/>
  <c r="S162" i="46"/>
  <c r="Y91" i="27"/>
  <c r="O58" i="27"/>
  <c r="I76" i="27"/>
  <c r="I77" i="27" s="1"/>
  <c r="I70" i="27"/>
  <c r="I71" i="27" s="1"/>
  <c r="I17" i="26"/>
  <c r="T222" i="46"/>
  <c r="F30" i="40"/>
  <c r="K11" i="40"/>
  <c r="F10" i="41" s="1"/>
  <c r="G10" i="41" s="1"/>
  <c r="AA4" i="35"/>
  <c r="H12" i="40"/>
  <c r="V68" i="13"/>
  <c r="V17" i="27"/>
  <c r="W14" i="27"/>
  <c r="X14" i="27" s="1"/>
  <c r="V40" i="27"/>
  <c r="W40" i="27" s="1"/>
  <c r="E9" i="37"/>
  <c r="E10" i="37" s="1"/>
  <c r="F93" i="27"/>
  <c r="F94" i="27" s="1"/>
  <c r="F83" i="27"/>
  <c r="N259" i="46"/>
  <c r="G8" i="37"/>
  <c r="H8" i="37"/>
  <c r="F36" i="37"/>
  <c r="G31" i="37"/>
  <c r="H31" i="37"/>
  <c r="F84" i="27"/>
  <c r="C55" i="27"/>
  <c r="T60" i="28"/>
  <c r="F43" i="37"/>
  <c r="X13" i="27"/>
  <c r="D29" i="13"/>
  <c r="G169" i="46"/>
  <c r="K75" i="26"/>
  <c r="D67" i="27"/>
  <c r="F67" i="27"/>
  <c r="L114" i="28"/>
  <c r="L207" i="46" s="1"/>
  <c r="O70" i="28"/>
  <c r="X41" i="27"/>
  <c r="C27" i="26"/>
  <c r="C67" i="26"/>
  <c r="C89" i="27"/>
  <c r="C65" i="26"/>
  <c r="F57" i="27"/>
  <c r="F88" i="27"/>
  <c r="N76" i="27"/>
  <c r="N77" i="27" s="1"/>
  <c r="N17" i="26"/>
  <c r="N15" i="26"/>
  <c r="M55" i="27"/>
  <c r="M88" i="27" s="1"/>
  <c r="F87" i="27"/>
  <c r="F29" i="27"/>
  <c r="G12" i="28"/>
  <c r="G15" i="28"/>
  <c r="K12" i="28"/>
  <c r="N59" i="26"/>
  <c r="N60" i="26" s="1"/>
  <c r="M17" i="27"/>
  <c r="J73" i="27"/>
  <c r="J28" i="27"/>
  <c r="J85" i="27" s="1"/>
  <c r="E8" i="41"/>
  <c r="T18" i="26"/>
  <c r="F9" i="37"/>
  <c r="T23" i="26"/>
  <c r="O72" i="13"/>
  <c r="G42" i="37"/>
  <c r="M12" i="28"/>
  <c r="M15" i="28"/>
  <c r="H11" i="28"/>
  <c r="D65" i="27"/>
  <c r="D43" i="27"/>
  <c r="D55" i="27" s="1"/>
  <c r="D88" i="27" s="1"/>
  <c r="I62" i="27"/>
  <c r="Y47" i="13"/>
  <c r="D15" i="26"/>
  <c r="G40" i="37"/>
  <c r="G79" i="13"/>
  <c r="G80" i="13" s="1"/>
  <c r="G54" i="13"/>
  <c r="P41" i="26"/>
  <c r="K15" i="26"/>
  <c r="K17" i="26"/>
  <c r="K70" i="27"/>
  <c r="K71" i="27" s="1"/>
  <c r="K91" i="27" s="1"/>
  <c r="M197" i="46"/>
  <c r="M82" i="28"/>
  <c r="P83" i="28"/>
  <c r="M85" i="28"/>
  <c r="X47" i="13"/>
  <c r="N83" i="27"/>
  <c r="K28" i="27"/>
  <c r="K95" i="27"/>
  <c r="R36" i="28"/>
  <c r="O11" i="28"/>
  <c r="O15" i="28"/>
  <c r="H23" i="28"/>
  <c r="H24" i="28" s="1"/>
  <c r="H27" i="28"/>
  <c r="G39" i="28"/>
  <c r="G47" i="28"/>
  <c r="X91" i="27"/>
  <c r="I24" i="28"/>
  <c r="Y90" i="28"/>
  <c r="X96" i="28"/>
  <c r="M6" i="42"/>
  <c r="H34" i="37"/>
  <c r="G34" i="37"/>
  <c r="N44" i="13"/>
  <c r="N74" i="13"/>
  <c r="N77" i="13" s="1"/>
  <c r="E93" i="27"/>
  <c r="E94" i="27" s="1"/>
  <c r="E83" i="27"/>
  <c r="E84" i="27"/>
  <c r="G78" i="28"/>
  <c r="G85" i="28"/>
  <c r="H95" i="27"/>
  <c r="H28" i="27"/>
  <c r="H85" i="27" s="1"/>
  <c r="H70" i="27"/>
  <c r="H71" i="27" s="1"/>
  <c r="H91" i="27" s="1"/>
  <c r="J54" i="27"/>
  <c r="D11" i="28"/>
  <c r="D68" i="28"/>
  <c r="D172" i="46" s="1"/>
  <c r="D174" i="46" s="1"/>
  <c r="R173" i="46"/>
  <c r="R175" i="46" s="1"/>
  <c r="R15" i="28"/>
  <c r="K67" i="27"/>
  <c r="I57" i="27"/>
  <c r="I88" i="27"/>
  <c r="J85" i="28"/>
  <c r="J82" i="28"/>
  <c r="AE47" i="13"/>
  <c r="I36" i="28"/>
  <c r="G70" i="13"/>
  <c r="P39" i="13"/>
  <c r="O17" i="26"/>
  <c r="G164" i="46"/>
  <c r="I70" i="28"/>
  <c r="I114" i="28"/>
  <c r="I207" i="46" s="1"/>
  <c r="I59" i="28"/>
  <c r="I60" i="28" s="1"/>
  <c r="I63" i="28"/>
  <c r="E30" i="40"/>
  <c r="T221" i="46"/>
  <c r="K10" i="40"/>
  <c r="F9" i="41" s="1"/>
  <c r="H28" i="40"/>
  <c r="J13" i="40"/>
  <c r="V49" i="13"/>
  <c r="U49" i="13"/>
  <c r="W49" i="13" s="1"/>
  <c r="D87" i="27"/>
  <c r="M165" i="46"/>
  <c r="M166" i="46" s="1"/>
  <c r="M69" i="28"/>
  <c r="G17" i="27"/>
  <c r="M23" i="27"/>
  <c r="P93" i="27"/>
  <c r="P94" i="27" s="1"/>
  <c r="P11" i="28"/>
  <c r="P68" i="28"/>
  <c r="P172" i="46" s="1"/>
  <c r="P174" i="46" s="1"/>
  <c r="H9" i="40"/>
  <c r="N9" i="40"/>
  <c r="M3" i="42"/>
  <c r="U11" i="13"/>
  <c r="AG91" i="27"/>
  <c r="C77" i="26"/>
  <c r="E29" i="27"/>
  <c r="T24" i="28"/>
  <c r="C173" i="46"/>
  <c r="H60" i="28"/>
  <c r="H63" i="28"/>
  <c r="AE36" i="28"/>
  <c r="T220" i="46"/>
  <c r="K9" i="40"/>
  <c r="F8" i="41" s="1"/>
  <c r="D30" i="40"/>
  <c r="P67" i="27"/>
  <c r="L76" i="27"/>
  <c r="L77" i="27" s="1"/>
  <c r="I29" i="27"/>
  <c r="I87" i="27"/>
  <c r="M78" i="28"/>
  <c r="M79" i="28"/>
  <c r="H59" i="26"/>
  <c r="C12" i="41"/>
  <c r="L15" i="26"/>
  <c r="M14" i="26"/>
  <c r="F76" i="27"/>
  <c r="F77" i="27" s="1"/>
  <c r="F70" i="27"/>
  <c r="F71" i="27" s="1"/>
  <c r="M87" i="27"/>
  <c r="P95" i="27"/>
  <c r="E36" i="37"/>
  <c r="H10" i="40"/>
  <c r="L17" i="26"/>
  <c r="M54" i="13"/>
  <c r="O93" i="27"/>
  <c r="O94" i="27" s="1"/>
  <c r="O85" i="27"/>
  <c r="Q60" i="28"/>
  <c r="O59" i="28"/>
  <c r="O60" i="28" s="1"/>
  <c r="P23" i="28"/>
  <c r="Q11" i="28"/>
  <c r="Q15" i="28"/>
  <c r="R39" i="28"/>
  <c r="J59" i="28"/>
  <c r="J63" i="28" s="1"/>
  <c r="T44" i="13"/>
  <c r="T74" i="13"/>
  <c r="T77" i="13" s="1"/>
  <c r="D69" i="28"/>
  <c r="D114" i="28" s="1"/>
  <c r="D207" i="46" s="1"/>
  <c r="G17" i="26"/>
  <c r="G9" i="26"/>
  <c r="F80" i="27"/>
  <c r="F73" i="27"/>
  <c r="F72" i="27"/>
  <c r="F74" i="27"/>
  <c r="F81" i="27"/>
  <c r="F78" i="27"/>
  <c r="F79" i="27" s="1"/>
  <c r="D78" i="27"/>
  <c r="D79" i="27" s="1"/>
  <c r="D74" i="27"/>
  <c r="D78" i="28"/>
  <c r="Q114" i="28"/>
  <c r="Q207" i="46" s="1"/>
  <c r="Q70" i="28"/>
  <c r="J17" i="27"/>
  <c r="J59" i="26"/>
  <c r="J60" i="26" s="1"/>
  <c r="D23" i="27"/>
  <c r="K23" i="28"/>
  <c r="J47" i="28"/>
  <c r="K59" i="28"/>
  <c r="K60" i="28" s="1"/>
  <c r="K63" i="28"/>
  <c r="AH47" i="13"/>
  <c r="J164" i="46"/>
  <c r="I80" i="27"/>
  <c r="I73" i="27"/>
  <c r="I72" i="27"/>
  <c r="I74" i="27"/>
  <c r="I81" i="27"/>
  <c r="I78" i="27"/>
  <c r="I79" i="27" s="1"/>
  <c r="G82" i="28"/>
  <c r="G78" i="27"/>
  <c r="G79" i="27" s="1"/>
  <c r="J12" i="28"/>
  <c r="G27" i="28"/>
  <c r="M74" i="28"/>
  <c r="M75" i="28"/>
  <c r="D74" i="28"/>
  <c r="D85" i="28"/>
  <c r="M47" i="28"/>
  <c r="AG47" i="13"/>
  <c r="P195" i="46"/>
  <c r="S79" i="28"/>
  <c r="P59" i="26"/>
  <c r="P60" i="26" s="1"/>
  <c r="N12" i="28"/>
  <c r="V59" i="28"/>
  <c r="R81" i="27"/>
  <c r="R73" i="27"/>
  <c r="P78" i="27"/>
  <c r="P79" i="27" s="1"/>
  <c r="R78" i="27"/>
  <c r="R79" i="27" s="1"/>
  <c r="R80" i="27"/>
  <c r="R72" i="27"/>
  <c r="R74" i="27"/>
  <c r="P75" i="26"/>
  <c r="P80" i="27"/>
  <c r="P157" i="46"/>
  <c r="S158" i="46" s="1"/>
  <c r="R28" i="27"/>
  <c r="R85" i="27" s="1"/>
  <c r="J27" i="28"/>
  <c r="J43" i="27"/>
  <c r="AI64" i="13"/>
  <c r="Q67" i="27"/>
  <c r="M4" i="42"/>
  <c r="R76" i="27"/>
  <c r="R77" i="27" s="1"/>
  <c r="V47" i="13"/>
  <c r="I15" i="28"/>
  <c r="K15" i="28"/>
  <c r="R63" i="28"/>
  <c r="N62" i="27"/>
  <c r="N67" i="27" s="1"/>
  <c r="F64" i="27"/>
  <c r="U47" i="13"/>
  <c r="D80" i="27"/>
  <c r="L63" i="28"/>
  <c r="AD47" i="13"/>
  <c r="T31" i="27"/>
  <c r="T58" i="27"/>
  <c r="C25" i="40"/>
  <c r="L78" i="27"/>
  <c r="L79" i="27" s="1"/>
  <c r="L80" i="27"/>
  <c r="L73" i="27"/>
  <c r="L72" i="27"/>
  <c r="L74" i="27"/>
  <c r="L81" i="27"/>
  <c r="R27" i="28"/>
  <c r="AB47" i="13"/>
  <c r="AA3" i="35"/>
  <c r="O78" i="27"/>
  <c r="O79" i="27" s="1"/>
  <c r="O80" i="27"/>
  <c r="O73" i="27"/>
  <c r="O72" i="27"/>
  <c r="O74" i="27"/>
  <c r="O81" i="27"/>
  <c r="R70" i="27"/>
  <c r="R71" i="27" s="1"/>
  <c r="J78" i="27"/>
  <c r="J79" i="27" s="1"/>
  <c r="AA47" i="13"/>
  <c r="AD204" i="46"/>
  <c r="V52" i="13"/>
  <c r="T203" i="46"/>
  <c r="C51" i="40"/>
  <c r="U52" i="13"/>
  <c r="C50" i="40"/>
  <c r="T76" i="27"/>
  <c r="T77" i="27" s="1"/>
  <c r="T91" i="27" s="1"/>
  <c r="T85" i="27"/>
  <c r="T83" i="27"/>
  <c r="T84" i="27"/>
  <c r="F57" i="36"/>
  <c r="F58" i="36" s="1"/>
  <c r="K228" i="46"/>
  <c r="G37" i="36"/>
  <c r="D37" i="36"/>
  <c r="H37" i="36"/>
  <c r="E37" i="36"/>
  <c r="V67" i="27" l="1"/>
  <c r="X67" i="27" s="1"/>
  <c r="Y67" i="27" s="1"/>
  <c r="AA67" i="27" s="1"/>
  <c r="AB67" i="27" s="1"/>
  <c r="AD67" i="27" s="1"/>
  <c r="AE67" i="27" s="1"/>
  <c r="AG67" i="27" s="1"/>
  <c r="AH67" i="27" s="1"/>
  <c r="U63" i="27"/>
  <c r="R96" i="27"/>
  <c r="T96" i="27"/>
  <c r="H83" i="27"/>
  <c r="C93" i="27"/>
  <c r="C94" i="27" s="1"/>
  <c r="C85" i="27"/>
  <c r="H93" i="27"/>
  <c r="H94" i="27" s="1"/>
  <c r="G9" i="41"/>
  <c r="D173" i="46"/>
  <c r="G40" i="13"/>
  <c r="G42" i="13" s="1"/>
  <c r="G74" i="13" s="1"/>
  <c r="G77" i="13" s="1"/>
  <c r="P60" i="28"/>
  <c r="O27" i="28"/>
  <c r="G162" i="46"/>
  <c r="G158" i="46"/>
  <c r="F66" i="26"/>
  <c r="F18" i="26"/>
  <c r="F23" i="26"/>
  <c r="U59" i="28"/>
  <c r="X59" i="28" s="1"/>
  <c r="Z59" i="28" s="1"/>
  <c r="S40" i="13"/>
  <c r="S42" i="13" s="1"/>
  <c r="S74" i="13" s="1"/>
  <c r="M168" i="46"/>
  <c r="M158" i="46"/>
  <c r="C83" i="27"/>
  <c r="D23" i="26"/>
  <c r="D67" i="26" s="1"/>
  <c r="R93" i="27"/>
  <c r="R94" i="27" s="1"/>
  <c r="M40" i="13"/>
  <c r="M42" i="13" s="1"/>
  <c r="M74" i="13" s="1"/>
  <c r="M77" i="13" s="1"/>
  <c r="L85" i="27"/>
  <c r="L83" i="27"/>
  <c r="M162" i="46"/>
  <c r="Q84" i="27"/>
  <c r="W30" i="26"/>
  <c r="E23" i="26"/>
  <c r="E66" i="26"/>
  <c r="E18" i="26"/>
  <c r="G95" i="27"/>
  <c r="G96" i="27" s="1"/>
  <c r="G28" i="27"/>
  <c r="G85" i="27" s="1"/>
  <c r="Z48" i="26"/>
  <c r="AA48" i="26" s="1"/>
  <c r="AB48" i="26" s="1"/>
  <c r="Y56" i="26"/>
  <c r="Y65" i="13" s="1"/>
  <c r="Q88" i="27"/>
  <c r="Q57" i="27"/>
  <c r="R84" i="27"/>
  <c r="S15" i="28"/>
  <c r="S173" i="46"/>
  <c r="S175" i="46" s="1"/>
  <c r="P96" i="27"/>
  <c r="V11" i="13"/>
  <c r="D40" i="13"/>
  <c r="D42" i="13" s="1"/>
  <c r="D74" i="13" s="1"/>
  <c r="D77" i="13" s="1"/>
  <c r="H84" i="27"/>
  <c r="O83" i="27"/>
  <c r="K39" i="28"/>
  <c r="G173" i="46"/>
  <c r="G175" i="46" s="1"/>
  <c r="D15" i="28"/>
  <c r="O88" i="27"/>
  <c r="H29" i="27"/>
  <c r="H58" i="27" s="1"/>
  <c r="H66" i="26"/>
  <c r="H23" i="26"/>
  <c r="H18" i="26"/>
  <c r="P70" i="28"/>
  <c r="C84" i="27"/>
  <c r="M170" i="46"/>
  <c r="O63" i="28"/>
  <c r="R24" i="28"/>
  <c r="V47" i="28"/>
  <c r="W47" i="28" s="1"/>
  <c r="W48" i="28" s="1"/>
  <c r="P39" i="28"/>
  <c r="R83" i="27"/>
  <c r="P83" i="27"/>
  <c r="P84" i="27"/>
  <c r="J40" i="13"/>
  <c r="J42" i="13" s="1"/>
  <c r="J74" i="13" s="1"/>
  <c r="J77" i="13" s="1"/>
  <c r="T223" i="46"/>
  <c r="G30" i="40"/>
  <c r="K12" i="40"/>
  <c r="O12" i="40" s="1"/>
  <c r="Q223" i="46" s="1"/>
  <c r="E91" i="27"/>
  <c r="G166" i="46"/>
  <c r="Q83" i="27"/>
  <c r="J158" i="46"/>
  <c r="W11" i="13"/>
  <c r="G170" i="46"/>
  <c r="S55" i="27"/>
  <c r="S88" i="27" s="1"/>
  <c r="L29" i="27"/>
  <c r="L58" i="27" s="1"/>
  <c r="K96" i="27"/>
  <c r="L93" i="27"/>
  <c r="L94" i="27" s="1"/>
  <c r="S77" i="13"/>
  <c r="L84" i="27"/>
  <c r="O84" i="27"/>
  <c r="S114" i="28"/>
  <c r="S207" i="46" s="1"/>
  <c r="S70" i="28"/>
  <c r="T11" i="28"/>
  <c r="V60" i="26"/>
  <c r="U61" i="26"/>
  <c r="AG79" i="13"/>
  <c r="AI47" i="13"/>
  <c r="AE9" i="27"/>
  <c r="U75" i="13"/>
  <c r="W75" i="13"/>
  <c r="L23" i="26"/>
  <c r="L66" i="26"/>
  <c r="L18" i="26"/>
  <c r="L9" i="40"/>
  <c r="P9" i="40" s="1"/>
  <c r="D33" i="40"/>
  <c r="D38" i="40" s="1"/>
  <c r="D40" i="40" s="1"/>
  <c r="M9" i="40" s="1"/>
  <c r="H8" i="41" s="1"/>
  <c r="Q8" i="41"/>
  <c r="D64" i="27"/>
  <c r="E62" i="27"/>
  <c r="C57" i="27"/>
  <c r="C88" i="27"/>
  <c r="H88" i="27"/>
  <c r="H57" i="27"/>
  <c r="X74" i="27"/>
  <c r="N173" i="46"/>
  <c r="N175" i="46" s="1"/>
  <c r="N36" i="28"/>
  <c r="AA79" i="13"/>
  <c r="AC47" i="13"/>
  <c r="P10" i="40"/>
  <c r="V9" i="41"/>
  <c r="X9" i="41" s="1"/>
  <c r="O10" i="40"/>
  <c r="Q221" i="46" s="1"/>
  <c r="G8" i="41"/>
  <c r="H12" i="28"/>
  <c r="H173" i="46"/>
  <c r="H175" i="46" s="1"/>
  <c r="T67" i="26"/>
  <c r="T77" i="26"/>
  <c r="F12" i="37"/>
  <c r="T177" i="46"/>
  <c r="T24" i="26"/>
  <c r="T178" i="46" s="1"/>
  <c r="T89" i="27"/>
  <c r="T27" i="26"/>
  <c r="T65" i="26"/>
  <c r="X11" i="13"/>
  <c r="X40" i="27"/>
  <c r="K204" i="46"/>
  <c r="H204" i="46"/>
  <c r="AA80" i="27"/>
  <c r="N39" i="28"/>
  <c r="S66" i="26"/>
  <c r="S23" i="26"/>
  <c r="S18" i="26"/>
  <c r="J91" i="27"/>
  <c r="J203" i="46"/>
  <c r="AH204" i="46"/>
  <c r="M70" i="27"/>
  <c r="M71" i="27" s="1"/>
  <c r="M15" i="26"/>
  <c r="M17" i="26"/>
  <c r="M76" i="27"/>
  <c r="M77" i="27" s="1"/>
  <c r="K18" i="26"/>
  <c r="K66" i="26"/>
  <c r="K23" i="26"/>
  <c r="U62" i="28"/>
  <c r="U65" i="28" s="1"/>
  <c r="V57" i="28" s="1"/>
  <c r="H9" i="37"/>
  <c r="I9" i="37"/>
  <c r="F10" i="37"/>
  <c r="G9" i="37"/>
  <c r="X68" i="13"/>
  <c r="Y14" i="27"/>
  <c r="U167" i="46"/>
  <c r="N96" i="27"/>
  <c r="O96" i="27"/>
  <c r="AD48" i="28"/>
  <c r="AB30" i="26"/>
  <c r="AD30" i="26" s="1"/>
  <c r="U35" i="28"/>
  <c r="L39" i="28"/>
  <c r="L36" i="28"/>
  <c r="V79" i="13"/>
  <c r="V54" i="13"/>
  <c r="R203" i="46"/>
  <c r="R91" i="27"/>
  <c r="AH79" i="13"/>
  <c r="D203" i="46"/>
  <c r="N64" i="27"/>
  <c r="C180" i="46"/>
  <c r="C72" i="26"/>
  <c r="C201" i="46" s="1"/>
  <c r="C74" i="26"/>
  <c r="C68" i="26"/>
  <c r="C28" i="26"/>
  <c r="C181" i="46" s="1"/>
  <c r="C32" i="26"/>
  <c r="R31" i="27"/>
  <c r="R58" i="27"/>
  <c r="AA47" i="28"/>
  <c r="M35" i="28"/>
  <c r="L203" i="46"/>
  <c r="L91" i="27"/>
  <c r="P203" i="46"/>
  <c r="P204" i="46" s="1"/>
  <c r="P91" i="27"/>
  <c r="F203" i="46"/>
  <c r="F91" i="27"/>
  <c r="J60" i="28"/>
  <c r="M60" i="28"/>
  <c r="AG36" i="28"/>
  <c r="V8" i="41"/>
  <c r="O9" i="40"/>
  <c r="Q220" i="46" s="1"/>
  <c r="O12" i="28"/>
  <c r="O173" i="46"/>
  <c r="O175" i="46" s="1"/>
  <c r="R12" i="28"/>
  <c r="F31" i="27"/>
  <c r="F58" i="27"/>
  <c r="W68" i="13"/>
  <c r="D65" i="26"/>
  <c r="D177" i="46"/>
  <c r="AA63" i="28"/>
  <c r="L173" i="46"/>
  <c r="L175" i="46" s="1"/>
  <c r="AD62" i="26"/>
  <c r="AE62" i="26"/>
  <c r="P23" i="26"/>
  <c r="P66" i="26"/>
  <c r="P18" i="26"/>
  <c r="C28" i="40"/>
  <c r="J14" i="40"/>
  <c r="D11" i="41" s="1"/>
  <c r="O70" i="27"/>
  <c r="O71" i="27" s="1"/>
  <c r="J93" i="27"/>
  <c r="J94" i="27" s="1"/>
  <c r="J83" i="27"/>
  <c r="J84" i="27"/>
  <c r="Y41" i="27"/>
  <c r="Z41" i="27" s="1"/>
  <c r="J114" i="28"/>
  <c r="J207" i="46" s="1"/>
  <c r="J70" i="28"/>
  <c r="Q31" i="27"/>
  <c r="Q58" i="27"/>
  <c r="U11" i="28"/>
  <c r="J173" i="46"/>
  <c r="J175" i="46" s="1"/>
  <c r="P173" i="46"/>
  <c r="P175" i="46" s="1"/>
  <c r="S12" i="28"/>
  <c r="P12" i="28"/>
  <c r="O18" i="26"/>
  <c r="O23" i="26"/>
  <c r="O66" i="26"/>
  <c r="X52" i="13"/>
  <c r="H36" i="37"/>
  <c r="G36" i="37"/>
  <c r="AA8" i="35"/>
  <c r="C9" i="36"/>
  <c r="C10" i="36" s="1"/>
  <c r="C28" i="36" s="1"/>
  <c r="S93" i="27"/>
  <c r="S94" i="27" s="1"/>
  <c r="S84" i="27"/>
  <c r="S83" i="27"/>
  <c r="P74" i="13"/>
  <c r="P77" i="13" s="1"/>
  <c r="F63" i="28"/>
  <c r="G203" i="46"/>
  <c r="G91" i="27"/>
  <c r="K24" i="28"/>
  <c r="N24" i="28"/>
  <c r="Q12" i="28"/>
  <c r="Q173" i="46"/>
  <c r="Q175" i="46" s="1"/>
  <c r="E39" i="37"/>
  <c r="V23" i="28"/>
  <c r="Y23" i="28" s="1"/>
  <c r="M24" i="28"/>
  <c r="O76" i="27"/>
  <c r="O77" i="27" s="1"/>
  <c r="Y96" i="28"/>
  <c r="AA90" i="28"/>
  <c r="K84" i="27"/>
  <c r="K29" i="27"/>
  <c r="K83" i="27"/>
  <c r="K93" i="27"/>
  <c r="K94" i="27" s="1"/>
  <c r="K85" i="27"/>
  <c r="H15" i="28"/>
  <c r="R33" i="26"/>
  <c r="R35" i="26"/>
  <c r="R43" i="26"/>
  <c r="R62" i="26"/>
  <c r="J23" i="26"/>
  <c r="J66" i="26"/>
  <c r="J18" i="26"/>
  <c r="U26" i="26"/>
  <c r="U10" i="13"/>
  <c r="U65" i="27"/>
  <c r="M27" i="28"/>
  <c r="AA12" i="28"/>
  <c r="X13" i="13"/>
  <c r="Y16" i="27"/>
  <c r="R57" i="27"/>
  <c r="R72" i="26"/>
  <c r="R201" i="46" s="1"/>
  <c r="R88" i="27"/>
  <c r="AD79" i="13"/>
  <c r="AF47" i="13"/>
  <c r="J55" i="27"/>
  <c r="J88" i="27" s="1"/>
  <c r="K27" i="28"/>
  <c r="S24" i="28"/>
  <c r="P24" i="28"/>
  <c r="P27" i="28"/>
  <c r="L96" i="27"/>
  <c r="M95" i="27"/>
  <c r="M96" i="27" s="1"/>
  <c r="M28" i="27"/>
  <c r="N66" i="26"/>
  <c r="N23" i="26"/>
  <c r="N18" i="26"/>
  <c r="L60" i="28"/>
  <c r="Q10" i="41"/>
  <c r="F33" i="40"/>
  <c r="F38" i="40" s="1"/>
  <c r="F40" i="40" s="1"/>
  <c r="L11" i="40"/>
  <c r="L27" i="28"/>
  <c r="L24" i="28"/>
  <c r="U23" i="28"/>
  <c r="O203" i="46"/>
  <c r="I91" i="27"/>
  <c r="I203" i="46"/>
  <c r="D28" i="27"/>
  <c r="D95" i="27"/>
  <c r="D70" i="27"/>
  <c r="D71" i="27" s="1"/>
  <c r="D91" i="27" s="1"/>
  <c r="R60" i="28"/>
  <c r="T224" i="46"/>
  <c r="H30" i="40"/>
  <c r="K13" i="40"/>
  <c r="O13" i="40" s="1"/>
  <c r="Q224" i="46" s="1"/>
  <c r="I96" i="27"/>
  <c r="H96" i="27"/>
  <c r="P15" i="28"/>
  <c r="X79" i="13"/>
  <c r="Z47" i="13"/>
  <c r="N91" i="27"/>
  <c r="X63" i="13"/>
  <c r="X59" i="26"/>
  <c r="Y13" i="27"/>
  <c r="X17" i="27"/>
  <c r="E12" i="37"/>
  <c r="E13" i="37" s="1"/>
  <c r="Q24" i="26"/>
  <c r="Q178" i="46" s="1"/>
  <c r="Q67" i="26"/>
  <c r="Q65" i="26"/>
  <c r="Q77" i="26"/>
  <c r="Q89" i="27"/>
  <c r="Q27" i="26"/>
  <c r="Q177" i="46"/>
  <c r="C58" i="27"/>
  <c r="C31" i="27"/>
  <c r="AA60" i="28"/>
  <c r="Y59" i="28"/>
  <c r="W52" i="13"/>
  <c r="N60" i="28"/>
  <c r="I58" i="27"/>
  <c r="I31" i="27"/>
  <c r="E58" i="27"/>
  <c r="E31" i="27"/>
  <c r="M114" i="28"/>
  <c r="M207" i="46" s="1"/>
  <c r="M70" i="28"/>
  <c r="K173" i="46"/>
  <c r="K175" i="46" s="1"/>
  <c r="W17" i="27"/>
  <c r="I23" i="26"/>
  <c r="I66" i="26"/>
  <c r="I18" i="26"/>
  <c r="N11" i="40"/>
  <c r="H11" i="40"/>
  <c r="U10" i="41"/>
  <c r="X12" i="13"/>
  <c r="Y15" i="27"/>
  <c r="H41" i="37"/>
  <c r="O36" i="28"/>
  <c r="AB79" i="13"/>
  <c r="U79" i="13"/>
  <c r="U54" i="13"/>
  <c r="W47" i="13"/>
  <c r="P158" i="46"/>
  <c r="P166" i="46"/>
  <c r="P168" i="46"/>
  <c r="P170" i="46"/>
  <c r="P162" i="46"/>
  <c r="P164" i="46"/>
  <c r="J29" i="27"/>
  <c r="G66" i="26"/>
  <c r="G18" i="26"/>
  <c r="G23" i="26"/>
  <c r="Y79" i="13"/>
  <c r="N85" i="27"/>
  <c r="N29" i="27"/>
  <c r="N84" i="27"/>
  <c r="N93" i="27"/>
  <c r="N94" i="27" s="1"/>
  <c r="X72" i="27"/>
  <c r="Y37" i="27"/>
  <c r="Z37" i="27" s="1"/>
  <c r="V204" i="46"/>
  <c r="E41" i="37"/>
  <c r="G41" i="37" s="1"/>
  <c r="Q36" i="28"/>
  <c r="AA73" i="27"/>
  <c r="T36" i="28"/>
  <c r="T12" i="28"/>
  <c r="T204" i="46"/>
  <c r="Q96" i="27"/>
  <c r="V11" i="28"/>
  <c r="Q9" i="41"/>
  <c r="L10" i="40"/>
  <c r="E33" i="40"/>
  <c r="E38" i="40" s="1"/>
  <c r="E40" i="40" s="1"/>
  <c r="AE79" i="13"/>
  <c r="I173" i="46"/>
  <c r="I175" i="46" s="1"/>
  <c r="I64" i="27"/>
  <c r="I67" i="27"/>
  <c r="H43" i="37"/>
  <c r="G43" i="37"/>
  <c r="X49" i="13"/>
  <c r="X54" i="13" s="1"/>
  <c r="Y20" i="27"/>
  <c r="X67" i="13"/>
  <c r="F14" i="47"/>
  <c r="E14" i="47"/>
  <c r="C14" i="47"/>
  <c r="B14" i="47"/>
  <c r="D89" i="27" l="1"/>
  <c r="O91" i="27"/>
  <c r="AC48" i="26"/>
  <c r="AD48" i="26" s="1"/>
  <c r="AE48" i="26" s="1"/>
  <c r="AB56" i="26"/>
  <c r="AB65" i="13" s="1"/>
  <c r="Y47" i="28"/>
  <c r="AB47" i="28" s="1"/>
  <c r="G83" i="27"/>
  <c r="L31" i="27"/>
  <c r="V53" i="28"/>
  <c r="G84" i="27"/>
  <c r="I204" i="46"/>
  <c r="D77" i="26"/>
  <c r="L204" i="46"/>
  <c r="AC30" i="26"/>
  <c r="W59" i="28"/>
  <c r="Z60" i="28" s="1"/>
  <c r="V50" i="28"/>
  <c r="T15" i="28"/>
  <c r="T173" i="46"/>
  <c r="T175" i="46" s="1"/>
  <c r="F39" i="37"/>
  <c r="E89" i="27"/>
  <c r="E24" i="26"/>
  <c r="E178" i="46" s="1"/>
  <c r="E77" i="26"/>
  <c r="E67" i="26"/>
  <c r="E27" i="26"/>
  <c r="E177" i="46"/>
  <c r="E65" i="26"/>
  <c r="F27" i="26"/>
  <c r="F67" i="26"/>
  <c r="F65" i="26"/>
  <c r="F89" i="27"/>
  <c r="F77" i="26"/>
  <c r="F177" i="46"/>
  <c r="F24" i="26"/>
  <c r="F178" i="46" s="1"/>
  <c r="H31" i="27"/>
  <c r="G93" i="27"/>
  <c r="G94" i="27" s="1"/>
  <c r="Y52" i="13"/>
  <c r="D24" i="26"/>
  <c r="D178" i="46" s="1"/>
  <c r="G29" i="27"/>
  <c r="G58" i="27" s="1"/>
  <c r="S58" i="27"/>
  <c r="D27" i="26"/>
  <c r="D180" i="46" s="1"/>
  <c r="L12" i="40"/>
  <c r="P12" i="40" s="1"/>
  <c r="G33" i="40"/>
  <c r="G38" i="40" s="1"/>
  <c r="G40" i="40" s="1"/>
  <c r="M12" i="40" s="1"/>
  <c r="H177" i="46"/>
  <c r="H27" i="26"/>
  <c r="H77" i="26"/>
  <c r="H65" i="26"/>
  <c r="H89" i="27"/>
  <c r="H67" i="26"/>
  <c r="H24" i="26"/>
  <c r="H178" i="46" s="1"/>
  <c r="J58" i="27"/>
  <c r="V62" i="28"/>
  <c r="V169" i="46" s="1"/>
  <c r="V65" i="28"/>
  <c r="AB73" i="27"/>
  <c r="I67" i="26"/>
  <c r="I65" i="26"/>
  <c r="I177" i="46"/>
  <c r="I89" i="27"/>
  <c r="I24" i="26"/>
  <c r="I178" i="46" s="1"/>
  <c r="I77" i="26"/>
  <c r="I27" i="26"/>
  <c r="D93" i="27"/>
  <c r="D94" i="27" s="1"/>
  <c r="D83" i="27"/>
  <c r="D84" i="27"/>
  <c r="D29" i="27"/>
  <c r="D58" i="27" s="1"/>
  <c r="D85" i="27"/>
  <c r="I10" i="37"/>
  <c r="H10" i="37"/>
  <c r="G10" i="37"/>
  <c r="J204" i="46"/>
  <c r="M204" i="46"/>
  <c r="T72" i="26"/>
  <c r="T201" i="46" s="1"/>
  <c r="T68" i="26"/>
  <c r="T32" i="26"/>
  <c r="T74" i="26"/>
  <c r="F15" i="37"/>
  <c r="T28" i="26"/>
  <c r="T181" i="46" s="1"/>
  <c r="T180" i="46"/>
  <c r="L77" i="26"/>
  <c r="L89" i="27"/>
  <c r="L177" i="46"/>
  <c r="L27" i="26"/>
  <c r="L67" i="26"/>
  <c r="L65" i="26"/>
  <c r="L24" i="26"/>
  <c r="L178" i="46" s="1"/>
  <c r="N65" i="26"/>
  <c r="N177" i="46"/>
  <c r="N89" i="27"/>
  <c r="N77" i="26"/>
  <c r="N67" i="26"/>
  <c r="N24" i="26"/>
  <c r="N178" i="46" s="1"/>
  <c r="N27" i="26"/>
  <c r="J177" i="46"/>
  <c r="J65" i="26"/>
  <c r="J89" i="27"/>
  <c r="J27" i="26"/>
  <c r="J67" i="26"/>
  <c r="J77" i="26"/>
  <c r="J24" i="26"/>
  <c r="J178" i="46" s="1"/>
  <c r="D74" i="26"/>
  <c r="D68" i="26"/>
  <c r="D32" i="26"/>
  <c r="D28" i="26"/>
  <c r="D181" i="46" s="1"/>
  <c r="M36" i="28"/>
  <c r="P36" i="28"/>
  <c r="V35" i="28"/>
  <c r="M173" i="46"/>
  <c r="M175" i="46" s="1"/>
  <c r="M39" i="28"/>
  <c r="Q68" i="26"/>
  <c r="E15" i="37"/>
  <c r="E16" i="37" s="1"/>
  <c r="Q180" i="46"/>
  <c r="Q74" i="26"/>
  <c r="Q72" i="26"/>
  <c r="Q201" i="46" s="1"/>
  <c r="Q32" i="26"/>
  <c r="Q28" i="26"/>
  <c r="Q181" i="46" s="1"/>
  <c r="O204" i="46"/>
  <c r="AC47" i="28"/>
  <c r="S24" i="26"/>
  <c r="S178" i="46" s="1"/>
  <c r="S67" i="26"/>
  <c r="S65" i="26"/>
  <c r="S89" i="27"/>
  <c r="S177" i="46"/>
  <c r="S27" i="26"/>
  <c r="S77" i="26"/>
  <c r="Y13" i="13"/>
  <c r="Z16" i="27"/>
  <c r="AA16" i="27" s="1"/>
  <c r="B6" i="47"/>
  <c r="E47" i="36"/>
  <c r="E48" i="36" s="1"/>
  <c r="F47" i="36"/>
  <c r="F48" i="36" s="1"/>
  <c r="D47" i="36"/>
  <c r="D48" i="36" s="1"/>
  <c r="G47" i="36"/>
  <c r="G48" i="36" s="1"/>
  <c r="H47" i="36"/>
  <c r="H48" i="36" s="1"/>
  <c r="E11" i="41"/>
  <c r="E12" i="41" s="1"/>
  <c r="D12" i="41"/>
  <c r="V12" i="41"/>
  <c r="X8" i="41"/>
  <c r="X12" i="41" s="1"/>
  <c r="C16" i="41" s="1"/>
  <c r="AF9" i="27"/>
  <c r="Z13" i="13"/>
  <c r="E44" i="37"/>
  <c r="U204" i="46"/>
  <c r="R204" i="46"/>
  <c r="W60" i="28"/>
  <c r="E64" i="27"/>
  <c r="E67" i="27"/>
  <c r="Z12" i="13"/>
  <c r="AH36" i="28"/>
  <c r="K65" i="26"/>
  <c r="K89" i="27"/>
  <c r="K27" i="26"/>
  <c r="K24" i="26"/>
  <c r="K178" i="46" s="1"/>
  <c r="K67" i="26"/>
  <c r="K177" i="46"/>
  <c r="K77" i="26"/>
  <c r="Y67" i="13"/>
  <c r="Z67" i="13" s="1"/>
  <c r="Z20" i="27"/>
  <c r="AB80" i="27"/>
  <c r="S204" i="46"/>
  <c r="N31" i="27"/>
  <c r="N58" i="27"/>
  <c r="P11" i="40"/>
  <c r="V10" i="41"/>
  <c r="X10" i="41" s="1"/>
  <c r="O11" i="40"/>
  <c r="Q222" i="46" s="1"/>
  <c r="Z52" i="13"/>
  <c r="P27" i="26"/>
  <c r="P177" i="46"/>
  <c r="P24" i="26"/>
  <c r="P178" i="46" s="1"/>
  <c r="P67" i="26"/>
  <c r="P65" i="26"/>
  <c r="P77" i="26"/>
  <c r="P89" i="27"/>
  <c r="L13" i="40"/>
  <c r="P13" i="40" s="1"/>
  <c r="H33" i="40"/>
  <c r="H38" i="40" s="1"/>
  <c r="H40" i="40" s="1"/>
  <c r="M13" i="40" s="1"/>
  <c r="AH62" i="26"/>
  <c r="AG62" i="26"/>
  <c r="M91" i="27"/>
  <c r="W79" i="13"/>
  <c r="W54" i="13"/>
  <c r="AB60" i="28"/>
  <c r="AA59" i="28"/>
  <c r="U35" i="27"/>
  <c r="U43" i="27" s="1"/>
  <c r="V62" i="27"/>
  <c r="W35" i="28"/>
  <c r="U38" i="28"/>
  <c r="U41" i="28" s="1"/>
  <c r="V33" i="28" s="1"/>
  <c r="X35" i="28"/>
  <c r="AA35" i="28" s="1"/>
  <c r="M23" i="26"/>
  <c r="M66" i="26"/>
  <c r="M18" i="26"/>
  <c r="Z47" i="28"/>
  <c r="Z48" i="28" s="1"/>
  <c r="R8" i="41"/>
  <c r="J8" i="41"/>
  <c r="P8" i="41"/>
  <c r="I8" i="41"/>
  <c r="U31" i="26"/>
  <c r="O65" i="26"/>
  <c r="O89" i="27"/>
  <c r="O177" i="46"/>
  <c r="O67" i="26"/>
  <c r="O27" i="26"/>
  <c r="O24" i="26"/>
  <c r="O178" i="46" s="1"/>
  <c r="O77" i="26"/>
  <c r="AF79" i="13"/>
  <c r="AB90" i="28"/>
  <c r="AA96" i="28"/>
  <c r="AB63" i="28"/>
  <c r="G24" i="26"/>
  <c r="G178" i="46" s="1"/>
  <c r="G177" i="46"/>
  <c r="G89" i="27"/>
  <c r="G67" i="26"/>
  <c r="G65" i="26"/>
  <c r="G27" i="26"/>
  <c r="G77" i="26"/>
  <c r="AC79" i="13"/>
  <c r="AA37" i="27"/>
  <c r="AA49" i="13" s="1"/>
  <c r="M10" i="40"/>
  <c r="H9" i="41" s="1"/>
  <c r="E52" i="40"/>
  <c r="Y49" i="13"/>
  <c r="Y54" i="13" s="1"/>
  <c r="Z79" i="13"/>
  <c r="M85" i="27"/>
  <c r="M93" i="27"/>
  <c r="M94" i="27" s="1"/>
  <c r="M83" i="27"/>
  <c r="M84" i="27"/>
  <c r="M29" i="27"/>
  <c r="M58" i="27" s="1"/>
  <c r="R49" i="26"/>
  <c r="R70" i="26"/>
  <c r="R199" i="46" s="1"/>
  <c r="R46" i="26"/>
  <c r="R184" i="46" s="1"/>
  <c r="R45" i="26"/>
  <c r="R69" i="26"/>
  <c r="R71" i="26"/>
  <c r="R200" i="46" s="1"/>
  <c r="R183" i="46"/>
  <c r="W62" i="28"/>
  <c r="U169" i="46"/>
  <c r="AB23" i="28"/>
  <c r="U173" i="46"/>
  <c r="W11" i="28"/>
  <c r="U14" i="28"/>
  <c r="U17" i="28" s="1"/>
  <c r="AE30" i="26"/>
  <c r="AG30" i="26" s="1"/>
  <c r="AF30" i="26"/>
  <c r="G12" i="37"/>
  <c r="F13" i="37"/>
  <c r="H12" i="37"/>
  <c r="I12" i="37"/>
  <c r="Y72" i="27"/>
  <c r="Y12" i="13"/>
  <c r="Z15" i="27"/>
  <c r="AA15" i="27" s="1"/>
  <c r="C30" i="40"/>
  <c r="T225" i="46"/>
  <c r="K14" i="40"/>
  <c r="AE48" i="28"/>
  <c r="AD47" i="28"/>
  <c r="Y74" i="27"/>
  <c r="AI79" i="13"/>
  <c r="V173" i="46"/>
  <c r="X11" i="28"/>
  <c r="Y11" i="28"/>
  <c r="C43" i="26"/>
  <c r="C62" i="26"/>
  <c r="C33" i="26"/>
  <c r="C35" i="26"/>
  <c r="Y10" i="41"/>
  <c r="Y12" i="41" s="1"/>
  <c r="U12" i="41"/>
  <c r="W23" i="28"/>
  <c r="U26" i="28"/>
  <c r="X23" i="28"/>
  <c r="AD23" i="28" s="1"/>
  <c r="AA23" i="28"/>
  <c r="AC23" i="28" s="1"/>
  <c r="AB12" i="28"/>
  <c r="AA11" i="28"/>
  <c r="Y59" i="26"/>
  <c r="Y17" i="27"/>
  <c r="Y63" i="13"/>
  <c r="Z13" i="27"/>
  <c r="M11" i="40"/>
  <c r="H10" i="41" s="1"/>
  <c r="F52" i="40"/>
  <c r="K31" i="27"/>
  <c r="K58" i="27"/>
  <c r="AA41" i="27"/>
  <c r="AA52" i="13" s="1"/>
  <c r="Y68" i="13"/>
  <c r="Z68" i="13" s="1"/>
  <c r="Z14" i="27"/>
  <c r="AA14" i="27" s="1"/>
  <c r="Y40" i="27"/>
  <c r="Z40" i="27" s="1"/>
  <c r="X60" i="26"/>
  <c r="Y60" i="26" s="1"/>
  <c r="AA60" i="26" s="1"/>
  <c r="AB60" i="26" s="1"/>
  <c r="AD60" i="26" s="1"/>
  <c r="AE60" i="26" s="1"/>
  <c r="AG60" i="26" s="1"/>
  <c r="AH60" i="26" s="1"/>
  <c r="V61" i="26"/>
  <c r="V31" i="26" s="1"/>
  <c r="AC48" i="28" l="1"/>
  <c r="D72" i="26"/>
  <c r="D201" i="46" s="1"/>
  <c r="F44" i="37"/>
  <c r="H39" i="37"/>
  <c r="G39" i="37"/>
  <c r="F180" i="46"/>
  <c r="F32" i="26"/>
  <c r="F72" i="26"/>
  <c r="F201" i="46" s="1"/>
  <c r="F74" i="26"/>
  <c r="F68" i="26"/>
  <c r="F28" i="26"/>
  <c r="F181" i="46" s="1"/>
  <c r="AF48" i="26"/>
  <c r="AG48" i="26" s="1"/>
  <c r="AH48" i="26" s="1"/>
  <c r="AE56" i="26"/>
  <c r="AE65" i="13" s="1"/>
  <c r="H74" i="26"/>
  <c r="H28" i="26"/>
  <c r="H181" i="46" s="1"/>
  <c r="H68" i="26"/>
  <c r="H32" i="26"/>
  <c r="H180" i="46"/>
  <c r="H72" i="26"/>
  <c r="H201" i="46" s="1"/>
  <c r="V167" i="46"/>
  <c r="W50" i="28"/>
  <c r="W61" i="26"/>
  <c r="W60" i="26" s="1"/>
  <c r="E28" i="26"/>
  <c r="E181" i="46" s="1"/>
  <c r="E180" i="46"/>
  <c r="E72" i="26"/>
  <c r="E201" i="46" s="1"/>
  <c r="E68" i="26"/>
  <c r="E74" i="26"/>
  <c r="E32" i="26"/>
  <c r="AA54" i="13"/>
  <c r="U163" i="46"/>
  <c r="U29" i="28"/>
  <c r="V21" i="28" s="1"/>
  <c r="V9" i="28"/>
  <c r="W31" i="26"/>
  <c r="U69" i="13"/>
  <c r="U17" i="13"/>
  <c r="U165" i="46"/>
  <c r="W38" i="28"/>
  <c r="W41" i="28" s="1"/>
  <c r="I32" i="26"/>
  <c r="I28" i="26"/>
  <c r="I181" i="46" s="1"/>
  <c r="I74" i="26"/>
  <c r="I68" i="26"/>
  <c r="I72" i="26"/>
  <c r="I201" i="46" s="1"/>
  <c r="I180" i="46"/>
  <c r="R76" i="26"/>
  <c r="R187" i="46" s="1"/>
  <c r="R186" i="46"/>
  <c r="R55" i="26"/>
  <c r="AB96" i="28"/>
  <c r="AD90" i="28"/>
  <c r="S72" i="26"/>
  <c r="S201" i="46" s="1"/>
  <c r="S28" i="26"/>
  <c r="S181" i="46" s="1"/>
  <c r="S180" i="46"/>
  <c r="S74" i="26"/>
  <c r="S68" i="26"/>
  <c r="S32" i="26"/>
  <c r="J72" i="26"/>
  <c r="J201" i="46" s="1"/>
  <c r="J28" i="26"/>
  <c r="J181" i="46" s="1"/>
  <c r="J32" i="26"/>
  <c r="J68" i="26"/>
  <c r="J74" i="26"/>
  <c r="J180" i="46"/>
  <c r="G13" i="37"/>
  <c r="H13" i="37"/>
  <c r="I13" i="37"/>
  <c r="AA74" i="27"/>
  <c r="V38" i="28"/>
  <c r="V165" i="46" s="1"/>
  <c r="AB59" i="28"/>
  <c r="AD60" i="28"/>
  <c r="W24" i="28"/>
  <c r="W36" i="28"/>
  <c r="AB37" i="27"/>
  <c r="AC37" i="27" s="1"/>
  <c r="AG9" i="27"/>
  <c r="L74" i="26"/>
  <c r="L68" i="26"/>
  <c r="L180" i="46"/>
  <c r="L28" i="26"/>
  <c r="L181" i="46" s="1"/>
  <c r="L72" i="26"/>
  <c r="L201" i="46" s="1"/>
  <c r="L32" i="26"/>
  <c r="AG23" i="28"/>
  <c r="Z23" i="28"/>
  <c r="Z24" i="28" s="1"/>
  <c r="AD35" i="28"/>
  <c r="AG35" i="28" s="1"/>
  <c r="AC59" i="28"/>
  <c r="AC60" i="28" s="1"/>
  <c r="AD80" i="27"/>
  <c r="I10" i="41"/>
  <c r="J10" i="41"/>
  <c r="P10" i="41"/>
  <c r="R10" i="41"/>
  <c r="AH30" i="26"/>
  <c r="AI30" i="26"/>
  <c r="W8" i="41"/>
  <c r="E220" i="46"/>
  <c r="K220" i="46" s="1"/>
  <c r="Y35" i="28"/>
  <c r="Z35" i="28" s="1"/>
  <c r="Z36" i="28" s="1"/>
  <c r="AG48" i="28"/>
  <c r="AE47" i="28"/>
  <c r="AF47" i="28" s="1"/>
  <c r="AF48" i="28" s="1"/>
  <c r="W169" i="46"/>
  <c r="W63" i="28"/>
  <c r="V17" i="13"/>
  <c r="V69" i="13"/>
  <c r="V70" i="13" s="1"/>
  <c r="W12" i="28"/>
  <c r="W173" i="46"/>
  <c r="O74" i="26"/>
  <c r="O68" i="26"/>
  <c r="O180" i="46"/>
  <c r="O28" i="26"/>
  <c r="O181" i="46" s="1"/>
  <c r="O72" i="26"/>
  <c r="O201" i="46" s="1"/>
  <c r="O32" i="26"/>
  <c r="P32" i="26"/>
  <c r="P180" i="46"/>
  <c r="P28" i="26"/>
  <c r="P181" i="46" s="1"/>
  <c r="P72" i="26"/>
  <c r="P201" i="46" s="1"/>
  <c r="P74" i="26"/>
  <c r="P68" i="26"/>
  <c r="Y61" i="26"/>
  <c r="Y31" i="26" s="1"/>
  <c r="C33" i="40"/>
  <c r="C38" i="40" s="1"/>
  <c r="C40" i="40" s="1"/>
  <c r="M14" i="40" s="1"/>
  <c r="H11" i="41" s="1"/>
  <c r="L14" i="40"/>
  <c r="P14" i="40" s="1"/>
  <c r="Q11" i="41"/>
  <c r="Q12" i="41" s="1"/>
  <c r="Q62" i="26"/>
  <c r="Q35" i="26"/>
  <c r="Q43" i="26"/>
  <c r="E18" i="37"/>
  <c r="E19" i="37" s="1"/>
  <c r="Q33" i="26"/>
  <c r="D33" i="26"/>
  <c r="D43" i="26"/>
  <c r="D62" i="26"/>
  <c r="I15" i="37"/>
  <c r="H15" i="37"/>
  <c r="G15" i="37"/>
  <c r="F16" i="37"/>
  <c r="J9" i="41"/>
  <c r="I9" i="41"/>
  <c r="P9" i="41"/>
  <c r="R9" i="41"/>
  <c r="B1019" i="47"/>
  <c r="C1019" i="47" s="1"/>
  <c r="B340" i="47"/>
  <c r="C340" i="47" s="1"/>
  <c r="B649" i="47"/>
  <c r="C649" i="47" s="1"/>
  <c r="B225" i="47"/>
  <c r="C225" i="47" s="1"/>
  <c r="B358" i="47"/>
  <c r="C358" i="47" s="1"/>
  <c r="B61" i="47"/>
  <c r="C61" i="47" s="1"/>
  <c r="B558" i="47"/>
  <c r="C558" i="47" s="1"/>
  <c r="B182" i="47"/>
  <c r="C182" i="47" s="1"/>
  <c r="B438" i="47"/>
  <c r="C438" i="47" s="1"/>
  <c r="B45" i="47"/>
  <c r="C45" i="47" s="1"/>
  <c r="B360" i="47"/>
  <c r="C360" i="47" s="1"/>
  <c r="B316" i="47"/>
  <c r="C316" i="47" s="1"/>
  <c r="B189" i="47"/>
  <c r="C189" i="47" s="1"/>
  <c r="B954" i="47"/>
  <c r="C954" i="47" s="1"/>
  <c r="B300" i="47"/>
  <c r="C300" i="47" s="1"/>
  <c r="B114" i="47"/>
  <c r="C114" i="47" s="1"/>
  <c r="B428" i="47"/>
  <c r="C428" i="47" s="1"/>
  <c r="B268" i="47"/>
  <c r="C268" i="47" s="1"/>
  <c r="B174" i="47"/>
  <c r="C174" i="47" s="1"/>
  <c r="B487" i="47"/>
  <c r="C487" i="47" s="1"/>
  <c r="B131" i="47"/>
  <c r="C131" i="47" s="1"/>
  <c r="B118" i="47"/>
  <c r="C118" i="47" s="1"/>
  <c r="B465" i="47"/>
  <c r="C465" i="47" s="1"/>
  <c r="B292" i="47"/>
  <c r="C292" i="47" s="1"/>
  <c r="B506" i="47"/>
  <c r="C506" i="47" s="1"/>
  <c r="B224" i="47"/>
  <c r="C224" i="47" s="1"/>
  <c r="B586" i="47"/>
  <c r="C586" i="47" s="1"/>
  <c r="B557" i="47"/>
  <c r="C557" i="47" s="1"/>
  <c r="B284" i="47"/>
  <c r="C284" i="47" s="1"/>
  <c r="B576" i="47"/>
  <c r="C576" i="47" s="1"/>
  <c r="B914" i="47"/>
  <c r="C914" i="47" s="1"/>
  <c r="B559" i="47"/>
  <c r="C559" i="47" s="1"/>
  <c r="B396" i="47"/>
  <c r="C396" i="47" s="1"/>
  <c r="B31" i="47"/>
  <c r="C31" i="47" s="1"/>
  <c r="B297" i="47"/>
  <c r="C297" i="47" s="1"/>
  <c r="B520" i="47"/>
  <c r="C520" i="47" s="1"/>
  <c r="B812" i="47"/>
  <c r="C812" i="47" s="1"/>
  <c r="B981" i="47"/>
  <c r="C981" i="47" s="1"/>
  <c r="B800" i="47"/>
  <c r="C800" i="47" s="1"/>
  <c r="B630" i="47"/>
  <c r="C630" i="47" s="1"/>
  <c r="B1000" i="47"/>
  <c r="C1000" i="47" s="1"/>
  <c r="B834" i="47"/>
  <c r="C834" i="47" s="1"/>
  <c r="B660" i="47"/>
  <c r="C660" i="47" s="1"/>
  <c r="B434" i="47"/>
  <c r="C434" i="47" s="1"/>
  <c r="B234" i="47"/>
  <c r="C234" i="47" s="1"/>
  <c r="B844" i="47"/>
  <c r="C844" i="47" s="1"/>
  <c r="B607" i="47"/>
  <c r="C607" i="47" s="1"/>
  <c r="B361" i="47"/>
  <c r="C361" i="47" s="1"/>
  <c r="B148" i="47"/>
  <c r="C148" i="47" s="1"/>
  <c r="B901" i="47"/>
  <c r="C901" i="47" s="1"/>
  <c r="B653" i="47"/>
  <c r="C653" i="47" s="1"/>
  <c r="B769" i="47"/>
  <c r="C769" i="47" s="1"/>
  <c r="B929" i="47"/>
  <c r="C929" i="47" s="1"/>
  <c r="B713" i="47"/>
  <c r="C713" i="47" s="1"/>
  <c r="B920" i="47"/>
  <c r="C920" i="47" s="1"/>
  <c r="B743" i="47"/>
  <c r="C743" i="47" s="1"/>
  <c r="B47" i="47"/>
  <c r="C47" i="47" s="1"/>
  <c r="B235" i="47"/>
  <c r="C235" i="47" s="1"/>
  <c r="B496" i="47"/>
  <c r="C496" i="47" s="1"/>
  <c r="B787" i="47"/>
  <c r="C787" i="47" s="1"/>
  <c r="B127" i="47"/>
  <c r="C127" i="47" s="1"/>
  <c r="B456" i="47"/>
  <c r="C456" i="47" s="1"/>
  <c r="B655" i="47"/>
  <c r="C655" i="47" s="1"/>
  <c r="B565" i="47"/>
  <c r="C565" i="47" s="1"/>
  <c r="B839" i="47"/>
  <c r="C839" i="47" s="1"/>
  <c r="B552" i="47"/>
  <c r="C552" i="47" s="1"/>
  <c r="B941" i="47"/>
  <c r="C941" i="47" s="1"/>
  <c r="B744" i="47"/>
  <c r="C744" i="47" s="1"/>
  <c r="B77" i="47"/>
  <c r="C77" i="47" s="1"/>
  <c r="B346" i="47"/>
  <c r="C346" i="47" s="1"/>
  <c r="B602" i="47"/>
  <c r="C602" i="47" s="1"/>
  <c r="B958" i="47"/>
  <c r="C958" i="47" s="1"/>
  <c r="B170" i="47"/>
  <c r="C170" i="47" s="1"/>
  <c r="B154" i="47"/>
  <c r="C154" i="47" s="1"/>
  <c r="B264" i="47"/>
  <c r="C264" i="47" s="1"/>
  <c r="B688" i="47"/>
  <c r="C688" i="47" s="1"/>
  <c r="B100" i="47"/>
  <c r="C100" i="47" s="1"/>
  <c r="B616" i="47"/>
  <c r="C616" i="47" s="1"/>
  <c r="B205" i="47"/>
  <c r="C205" i="47" s="1"/>
  <c r="B450" i="47"/>
  <c r="C450" i="47" s="1"/>
  <c r="B68" i="47"/>
  <c r="C68" i="47" s="1"/>
  <c r="B444" i="47"/>
  <c r="C444" i="47" s="1"/>
  <c r="B337" i="47"/>
  <c r="C337" i="47" s="1"/>
  <c r="B206" i="47"/>
  <c r="C206" i="47" s="1"/>
  <c r="B1013" i="47"/>
  <c r="C1013" i="47" s="1"/>
  <c r="B322" i="47"/>
  <c r="C322" i="47" s="1"/>
  <c r="B130" i="47"/>
  <c r="C130" i="47" s="1"/>
  <c r="B440" i="47"/>
  <c r="C440" i="47" s="1"/>
  <c r="B458" i="47"/>
  <c r="C458" i="47" s="1"/>
  <c r="B197" i="47"/>
  <c r="C197" i="47" s="1"/>
  <c r="B493" i="47"/>
  <c r="C493" i="47" s="1"/>
  <c r="B169" i="47"/>
  <c r="C169" i="47" s="1"/>
  <c r="B129" i="47"/>
  <c r="C129" i="47" s="1"/>
  <c r="B482" i="47"/>
  <c r="C482" i="47" s="1"/>
  <c r="B350" i="47"/>
  <c r="C350" i="47" s="1"/>
  <c r="B511" i="47"/>
  <c r="C511" i="47" s="1"/>
  <c r="B50" i="47"/>
  <c r="C50" i="47" s="1"/>
  <c r="B229" i="47"/>
  <c r="C229" i="47" s="1"/>
  <c r="B633" i="47"/>
  <c r="C633" i="47" s="1"/>
  <c r="B568" i="47"/>
  <c r="C568" i="47" s="1"/>
  <c r="B294" i="47"/>
  <c r="C294" i="47" s="1"/>
  <c r="B612" i="47"/>
  <c r="C612" i="47" s="1"/>
  <c r="B939" i="47"/>
  <c r="C939" i="47" s="1"/>
  <c r="B589" i="47"/>
  <c r="C589" i="47" s="1"/>
  <c r="B407" i="47"/>
  <c r="C407" i="47" s="1"/>
  <c r="B35" i="47"/>
  <c r="C35" i="47" s="1"/>
  <c r="B301" i="47"/>
  <c r="C301" i="47" s="1"/>
  <c r="B524" i="47"/>
  <c r="C524" i="47" s="1"/>
  <c r="B823" i="47"/>
  <c r="C823" i="47" s="1"/>
  <c r="B965" i="47"/>
  <c r="C965" i="47" s="1"/>
  <c r="B796" i="47"/>
  <c r="C796" i="47" s="1"/>
  <c r="B622" i="47"/>
  <c r="C622" i="47" s="1"/>
  <c r="B988" i="47"/>
  <c r="C988" i="47" s="1"/>
  <c r="B830" i="47"/>
  <c r="C830" i="47" s="1"/>
  <c r="B656" i="47"/>
  <c r="C656" i="47" s="1"/>
  <c r="B427" i="47"/>
  <c r="C427" i="47" s="1"/>
  <c r="B219" i="47"/>
  <c r="C219" i="47" s="1"/>
  <c r="B840" i="47"/>
  <c r="C840" i="47" s="1"/>
  <c r="B603" i="47"/>
  <c r="C603" i="47" s="1"/>
  <c r="B357" i="47"/>
  <c r="C357" i="47" s="1"/>
  <c r="B144" i="47"/>
  <c r="C144" i="47" s="1"/>
  <c r="B893" i="47"/>
  <c r="C893" i="47" s="1"/>
  <c r="B623" i="47"/>
  <c r="C623" i="47" s="1"/>
  <c r="B760" i="47"/>
  <c r="C760" i="47" s="1"/>
  <c r="B916" i="47"/>
  <c r="C916" i="47" s="1"/>
  <c r="B705" i="47"/>
  <c r="C705" i="47" s="1"/>
  <c r="B903" i="47"/>
  <c r="C903" i="47" s="1"/>
  <c r="B672" i="47"/>
  <c r="C672" i="47" s="1"/>
  <c r="B71" i="47"/>
  <c r="C71" i="47" s="1"/>
  <c r="B252" i="47"/>
  <c r="C252" i="47" s="1"/>
  <c r="B504" i="47"/>
  <c r="C504" i="47" s="1"/>
  <c r="B869" i="47"/>
  <c r="C869" i="47" s="1"/>
  <c r="B163" i="47"/>
  <c r="C163" i="47" s="1"/>
  <c r="B460" i="47"/>
  <c r="C460" i="47" s="1"/>
  <c r="B675" i="47"/>
  <c r="C675" i="47" s="1"/>
  <c r="B596" i="47"/>
  <c r="C596" i="47" s="1"/>
  <c r="B849" i="47"/>
  <c r="C849" i="47" s="1"/>
  <c r="B561" i="47"/>
  <c r="C561" i="47" s="1"/>
  <c r="B946" i="47"/>
  <c r="C946" i="47" s="1"/>
  <c r="B794" i="47"/>
  <c r="C794" i="47" s="1"/>
  <c r="B105" i="47"/>
  <c r="C105" i="47" s="1"/>
  <c r="B355" i="47"/>
  <c r="C355" i="47" s="1"/>
  <c r="B606" i="47"/>
  <c r="C606" i="47" s="1"/>
  <c r="B23" i="47"/>
  <c r="C23" i="47" s="1"/>
  <c r="B927" i="47"/>
  <c r="C927" i="47" s="1"/>
  <c r="B919" i="47"/>
  <c r="C919" i="47" s="1"/>
  <c r="B324" i="47"/>
  <c r="C324" i="47" s="1"/>
  <c r="B66" i="47"/>
  <c r="C66" i="47" s="1"/>
  <c r="B142" i="47"/>
  <c r="C142" i="47" s="1"/>
  <c r="B122" i="47"/>
  <c r="C122" i="47" s="1"/>
  <c r="B629" i="47"/>
  <c r="C629" i="47" s="1"/>
  <c r="B215" i="47"/>
  <c r="C215" i="47" s="1"/>
  <c r="B467" i="47"/>
  <c r="C467" i="47" s="1"/>
  <c r="B80" i="47"/>
  <c r="C80" i="47" s="1"/>
  <c r="B462" i="47"/>
  <c r="C462" i="47" s="1"/>
  <c r="B378" i="47"/>
  <c r="C378" i="47" s="1"/>
  <c r="B216" i="47"/>
  <c r="C216" i="47" s="1"/>
  <c r="B25" i="47"/>
  <c r="C25" i="47" s="1"/>
  <c r="B327" i="47"/>
  <c r="C327" i="47" s="1"/>
  <c r="B135" i="47"/>
  <c r="C135" i="47" s="1"/>
  <c r="B475" i="47"/>
  <c r="C475" i="47" s="1"/>
  <c r="B481" i="47"/>
  <c r="C481" i="47" s="1"/>
  <c r="B246" i="47"/>
  <c r="C246" i="47" s="1"/>
  <c r="B499" i="47"/>
  <c r="C499" i="47" s="1"/>
  <c r="B208" i="47"/>
  <c r="C208" i="47" s="1"/>
  <c r="B156" i="47"/>
  <c r="C156" i="47" s="1"/>
  <c r="B563" i="47"/>
  <c r="C563" i="47" s="1"/>
  <c r="B371" i="47"/>
  <c r="C371" i="47" s="1"/>
  <c r="B528" i="47"/>
  <c r="C528" i="47" s="1"/>
  <c r="B76" i="47"/>
  <c r="C76" i="47" s="1"/>
  <c r="B240" i="47"/>
  <c r="C240" i="47" s="1"/>
  <c r="B702" i="47"/>
  <c r="C702" i="47" s="1"/>
  <c r="B592" i="47"/>
  <c r="C592" i="47" s="1"/>
  <c r="B347" i="47"/>
  <c r="C347" i="47" s="1"/>
  <c r="B635" i="47"/>
  <c r="C635" i="47" s="1"/>
  <c r="B976" i="47"/>
  <c r="C976" i="47" s="1"/>
  <c r="B594" i="47"/>
  <c r="C594" i="47" s="1"/>
  <c r="B446" i="47"/>
  <c r="C446" i="47" s="1"/>
  <c r="B51" i="47"/>
  <c r="C51" i="47" s="1"/>
  <c r="B305" i="47"/>
  <c r="C305" i="47" s="1"/>
  <c r="B529" i="47"/>
  <c r="C529" i="47" s="1"/>
  <c r="B843" i="47"/>
  <c r="C843" i="47" s="1"/>
  <c r="B961" i="47"/>
  <c r="C961" i="47" s="1"/>
  <c r="B792" i="47"/>
  <c r="C792" i="47" s="1"/>
  <c r="B599" i="47"/>
  <c r="C599" i="47" s="1"/>
  <c r="B1016" i="47"/>
  <c r="C1016" i="47" s="1"/>
  <c r="B814" i="47"/>
  <c r="C814" i="47" s="1"/>
  <c r="B652" i="47"/>
  <c r="C652" i="47" s="1"/>
  <c r="B419" i="47"/>
  <c r="C419" i="47" s="1"/>
  <c r="B207" i="47"/>
  <c r="C207" i="47" s="1"/>
  <c r="B831" i="47"/>
  <c r="C831" i="47" s="1"/>
  <c r="B582" i="47"/>
  <c r="C582" i="47" s="1"/>
  <c r="B353" i="47"/>
  <c r="C353" i="47" s="1"/>
  <c r="B125" i="47"/>
  <c r="C125" i="47" s="1"/>
  <c r="B870" i="47"/>
  <c r="C870" i="47" s="1"/>
  <c r="B570" i="47"/>
  <c r="C570" i="47" s="1"/>
  <c r="B756" i="47"/>
  <c r="C756" i="47" s="1"/>
  <c r="B912" i="47"/>
  <c r="C912" i="47" s="1"/>
  <c r="B701" i="47"/>
  <c r="C701" i="47" s="1"/>
  <c r="B891" i="47"/>
  <c r="C891" i="47" s="1"/>
  <c r="B664" i="47"/>
  <c r="C664" i="47" s="1"/>
  <c r="B87" i="47"/>
  <c r="C87" i="47" s="1"/>
  <c r="B256" i="47"/>
  <c r="C256" i="47" s="1"/>
  <c r="B516" i="47"/>
  <c r="C516" i="47" s="1"/>
  <c r="B915" i="47"/>
  <c r="C915" i="47" s="1"/>
  <c r="B187" i="47"/>
  <c r="C187" i="47" s="1"/>
  <c r="B464" i="47"/>
  <c r="C464" i="47" s="1"/>
  <c r="B699" i="47"/>
  <c r="C699" i="47" s="1"/>
  <c r="B609" i="47"/>
  <c r="C609" i="47" s="1"/>
  <c r="B854" i="47"/>
  <c r="C854" i="47" s="1"/>
  <c r="B578" i="47"/>
  <c r="C578" i="47" s="1"/>
  <c r="B968" i="47"/>
  <c r="C968" i="47" s="1"/>
  <c r="B820" i="47"/>
  <c r="C820" i="47" s="1"/>
  <c r="B136" i="47"/>
  <c r="C136" i="47" s="1"/>
  <c r="B372" i="47"/>
  <c r="C372" i="47" s="1"/>
  <c r="B624" i="47"/>
  <c r="C624" i="47" s="1"/>
  <c r="B94" i="47"/>
  <c r="C94" i="47" s="1"/>
  <c r="B546" i="47"/>
  <c r="C546" i="47" s="1"/>
  <c r="B186" i="47"/>
  <c r="C186" i="47" s="1"/>
  <c r="B280" i="47"/>
  <c r="C280" i="47" s="1"/>
  <c r="B138" i="47"/>
  <c r="C138" i="47" s="1"/>
  <c r="B795" i="47"/>
  <c r="C795" i="47" s="1"/>
  <c r="B226" i="47"/>
  <c r="C226" i="47" s="1"/>
  <c r="B473" i="47"/>
  <c r="C473" i="47" s="1"/>
  <c r="B139" i="47"/>
  <c r="C139" i="47" s="1"/>
  <c r="B598" i="47"/>
  <c r="C598" i="47" s="1"/>
  <c r="B433" i="47"/>
  <c r="C433" i="47" s="1"/>
  <c r="B233" i="47"/>
  <c r="C233" i="47" s="1"/>
  <c r="B36" i="47"/>
  <c r="C36" i="47" s="1"/>
  <c r="B373" i="47"/>
  <c r="C373" i="47" s="1"/>
  <c r="B184" i="47"/>
  <c r="C184" i="47" s="1"/>
  <c r="B510" i="47"/>
  <c r="C510" i="47" s="1"/>
  <c r="B549" i="47"/>
  <c r="C549" i="47" s="1"/>
  <c r="B263" i="47"/>
  <c r="C263" i="47" s="1"/>
  <c r="B505" i="47"/>
  <c r="C505" i="47" s="1"/>
  <c r="B213" i="47"/>
  <c r="C213" i="47" s="1"/>
  <c r="B27" i="47"/>
  <c r="C27" i="47" s="1"/>
  <c r="B826" i="47"/>
  <c r="C826" i="47" s="1"/>
  <c r="B382" i="47"/>
  <c r="C382" i="47" s="1"/>
  <c r="B545" i="47"/>
  <c r="C545" i="47" s="1"/>
  <c r="B81" i="47"/>
  <c r="C81" i="47" s="1"/>
  <c r="B267" i="47"/>
  <c r="C267" i="47" s="1"/>
  <c r="B746" i="47"/>
  <c r="C746" i="47" s="1"/>
  <c r="B784" i="47"/>
  <c r="C784" i="47" s="1"/>
  <c r="B352" i="47"/>
  <c r="C352" i="47" s="1"/>
  <c r="B692" i="47"/>
  <c r="C692" i="47" s="1"/>
  <c r="B519" i="47"/>
  <c r="C519" i="47" s="1"/>
  <c r="B618" i="47"/>
  <c r="C618" i="47" s="1"/>
  <c r="B532" i="47"/>
  <c r="C532" i="47" s="1"/>
  <c r="B55" i="47"/>
  <c r="C55" i="47" s="1"/>
  <c r="B309" i="47"/>
  <c r="C309" i="47" s="1"/>
  <c r="B551" i="47"/>
  <c r="C551" i="47" s="1"/>
  <c r="B853" i="47"/>
  <c r="C853" i="47" s="1"/>
  <c r="B952" i="47"/>
  <c r="C952" i="47" s="1"/>
  <c r="B788" i="47"/>
  <c r="C788" i="47" s="1"/>
  <c r="B587" i="47"/>
  <c r="C587" i="47" s="1"/>
  <c r="B987" i="47"/>
  <c r="C987" i="47" s="1"/>
  <c r="B798" i="47"/>
  <c r="C798" i="47" s="1"/>
  <c r="B636" i="47"/>
  <c r="C636" i="47" s="1"/>
  <c r="B408" i="47"/>
  <c r="C408" i="47" s="1"/>
  <c r="B192" i="47"/>
  <c r="C192" i="47" s="1"/>
  <c r="B818" i="47"/>
  <c r="C818" i="47" s="1"/>
  <c r="B574" i="47"/>
  <c r="C574" i="47" s="1"/>
  <c r="B349" i="47"/>
  <c r="C349" i="47" s="1"/>
  <c r="B121" i="47"/>
  <c r="C121" i="47" s="1"/>
  <c r="B813" i="47"/>
  <c r="C813" i="47" s="1"/>
  <c r="B566" i="47"/>
  <c r="C566" i="47" s="1"/>
  <c r="B740" i="47"/>
  <c r="C740" i="47" s="1"/>
  <c r="B900" i="47"/>
  <c r="C900" i="47" s="1"/>
  <c r="B697" i="47"/>
  <c r="C697" i="47" s="1"/>
  <c r="B868" i="47"/>
  <c r="C868" i="47" s="1"/>
  <c r="B621" i="47"/>
  <c r="C621" i="47" s="1"/>
  <c r="B91" i="47"/>
  <c r="C91" i="47" s="1"/>
  <c r="B313" i="47"/>
  <c r="C313" i="47" s="1"/>
  <c r="B547" i="47"/>
  <c r="C547" i="47" s="1"/>
  <c r="B940" i="47"/>
  <c r="C940" i="47" s="1"/>
  <c r="B191" i="47"/>
  <c r="C191" i="47" s="1"/>
  <c r="B468" i="47"/>
  <c r="C468" i="47" s="1"/>
  <c r="B708" i="47"/>
  <c r="C708" i="47" s="1"/>
  <c r="B637" i="47"/>
  <c r="C637" i="47" s="1"/>
  <c r="B875" i="47"/>
  <c r="C875" i="47" s="1"/>
  <c r="B605" i="47"/>
  <c r="C605" i="47" s="1"/>
  <c r="B984" i="47"/>
  <c r="C984" i="47" s="1"/>
  <c r="B835" i="47"/>
  <c r="C835" i="47" s="1"/>
  <c r="B149" i="47"/>
  <c r="C149" i="47" s="1"/>
  <c r="B388" i="47"/>
  <c r="C388" i="47" s="1"/>
  <c r="B638" i="47"/>
  <c r="C638" i="47" s="1"/>
  <c r="B259" i="47"/>
  <c r="C259" i="47" s="1"/>
  <c r="B477" i="47"/>
  <c r="C477" i="47" s="1"/>
  <c r="B336" i="47"/>
  <c r="C336" i="47" s="1"/>
  <c r="B319" i="47"/>
  <c r="C319" i="47" s="1"/>
  <c r="B165" i="47"/>
  <c r="C165" i="47" s="1"/>
  <c r="B841" i="47"/>
  <c r="C841" i="47" s="1"/>
  <c r="B232" i="47"/>
  <c r="C232" i="47" s="1"/>
  <c r="B502" i="47"/>
  <c r="C502" i="47" s="1"/>
  <c r="B161" i="47"/>
  <c r="C161" i="47" s="1"/>
  <c r="B663" i="47"/>
  <c r="C663" i="47" s="1"/>
  <c r="B491" i="47"/>
  <c r="C491" i="47" s="1"/>
  <c r="B332" i="47"/>
  <c r="C332" i="47" s="1"/>
  <c r="B41" i="47"/>
  <c r="C41" i="47" s="1"/>
  <c r="B391" i="47"/>
  <c r="C391" i="47" s="1"/>
  <c r="B212" i="47"/>
  <c r="C212" i="47" s="1"/>
  <c r="B555" i="47"/>
  <c r="C555" i="47" s="1"/>
  <c r="B659" i="47"/>
  <c r="C659" i="47" s="1"/>
  <c r="B290" i="47"/>
  <c r="C290" i="47" s="1"/>
  <c r="B614" i="47"/>
  <c r="C614" i="47" s="1"/>
  <c r="B241" i="47"/>
  <c r="C241" i="47" s="1"/>
  <c r="B48" i="47"/>
  <c r="C48" i="47" s="1"/>
  <c r="B846" i="47"/>
  <c r="C846" i="47" s="1"/>
  <c r="B387" i="47"/>
  <c r="C387" i="47" s="1"/>
  <c r="B550" i="47"/>
  <c r="C550" i="47" s="1"/>
  <c r="B96" i="47"/>
  <c r="C96" i="47" s="1"/>
  <c r="B272" i="47"/>
  <c r="C272" i="47" s="1"/>
  <c r="B765" i="47"/>
  <c r="C765" i="47" s="1"/>
  <c r="B26" i="47"/>
  <c r="C26" i="47" s="1"/>
  <c r="B363" i="47"/>
  <c r="C363" i="47" s="1"/>
  <c r="B735" i="47"/>
  <c r="C735" i="47" s="1"/>
  <c r="B531" i="47"/>
  <c r="C531" i="47" s="1"/>
  <c r="B642" i="47"/>
  <c r="C642" i="47" s="1"/>
  <c r="B608" i="47"/>
  <c r="C608" i="47" s="1"/>
  <c r="B75" i="47"/>
  <c r="C75" i="47" s="1"/>
  <c r="B344" i="47"/>
  <c r="C344" i="47" s="1"/>
  <c r="B581" i="47"/>
  <c r="C581" i="47" s="1"/>
  <c r="B858" i="47"/>
  <c r="C858" i="47" s="1"/>
  <c r="B925" i="47"/>
  <c r="C925" i="47" s="1"/>
  <c r="B780" i="47"/>
  <c r="C780" i="47" s="1"/>
  <c r="B583" i="47"/>
  <c r="C583" i="47" s="1"/>
  <c r="B983" i="47"/>
  <c r="C983" i="47" s="1"/>
  <c r="B790" i="47"/>
  <c r="C790" i="47" s="1"/>
  <c r="B632" i="47"/>
  <c r="C632" i="47" s="1"/>
  <c r="B404" i="47"/>
  <c r="C404" i="47" s="1"/>
  <c r="B1008" i="47"/>
  <c r="C1008" i="47" s="1"/>
  <c r="B809" i="47"/>
  <c r="C809" i="47" s="1"/>
  <c r="B543" i="47"/>
  <c r="C543" i="47" s="1"/>
  <c r="B341" i="47"/>
  <c r="C341" i="47" s="1"/>
  <c r="B83" i="47"/>
  <c r="C83" i="47" s="1"/>
  <c r="B801" i="47"/>
  <c r="C801" i="47" s="1"/>
  <c r="B562" i="47"/>
  <c r="C562" i="47" s="1"/>
  <c r="B736" i="47"/>
  <c r="C736" i="47" s="1"/>
  <c r="B882" i="47"/>
  <c r="C882" i="47" s="1"/>
  <c r="B693" i="47"/>
  <c r="C693" i="47" s="1"/>
  <c r="B864" i="47"/>
  <c r="C864" i="47" s="1"/>
  <c r="B613" i="47"/>
  <c r="C613" i="47" s="1"/>
  <c r="B99" i="47"/>
  <c r="C99" i="47" s="1"/>
  <c r="B317" i="47"/>
  <c r="C317" i="47" s="1"/>
  <c r="B556" i="47"/>
  <c r="C556" i="47" s="1"/>
  <c r="B1014" i="47"/>
  <c r="C1014" i="47" s="1"/>
  <c r="B227" i="47"/>
  <c r="C227" i="47" s="1"/>
  <c r="B476" i="47"/>
  <c r="C476" i="47" s="1"/>
  <c r="B828" i="47"/>
  <c r="C828" i="47" s="1"/>
  <c r="B650" i="47"/>
  <c r="C650" i="47" s="1"/>
  <c r="B911" i="47"/>
  <c r="C911" i="47" s="1"/>
  <c r="B646" i="47"/>
  <c r="C646" i="47" s="1"/>
  <c r="B999" i="47"/>
  <c r="C999" i="47" s="1"/>
  <c r="B845" i="47"/>
  <c r="C845" i="47" s="1"/>
  <c r="B153" i="47"/>
  <c r="C153" i="47" s="1"/>
  <c r="B392" i="47"/>
  <c r="C392" i="47" s="1"/>
  <c r="B647" i="47"/>
  <c r="C647" i="47" s="1"/>
  <c r="B143" i="47"/>
  <c r="C143" i="47" s="1"/>
  <c r="B33" i="47"/>
  <c r="C33" i="47" s="1"/>
  <c r="B376" i="47"/>
  <c r="C376" i="47" s="1"/>
  <c r="B571" i="47"/>
  <c r="C571" i="47" s="1"/>
  <c r="B176" i="47"/>
  <c r="C176" i="47" s="1"/>
  <c r="B867" i="47"/>
  <c r="C867" i="47" s="1"/>
  <c r="B271" i="47"/>
  <c r="C271" i="47" s="1"/>
  <c r="B527" i="47"/>
  <c r="C527" i="47" s="1"/>
  <c r="B166" i="47"/>
  <c r="C166" i="47" s="1"/>
  <c r="B783" i="47"/>
  <c r="C783" i="47" s="1"/>
  <c r="B541" i="47"/>
  <c r="C541" i="47" s="1"/>
  <c r="B367" i="47"/>
  <c r="C367" i="47" s="1"/>
  <c r="B46" i="47"/>
  <c r="C46" i="47" s="1"/>
  <c r="B397" i="47"/>
  <c r="C397" i="47" s="1"/>
  <c r="B228" i="47"/>
  <c r="C228" i="47" s="1"/>
  <c r="B619" i="47"/>
  <c r="C619" i="47" s="1"/>
  <c r="B712" i="47"/>
  <c r="C712" i="47" s="1"/>
  <c r="B318" i="47"/>
  <c r="C318" i="47" s="1"/>
  <c r="B640" i="47"/>
  <c r="C640" i="47" s="1"/>
  <c r="B274" i="47"/>
  <c r="C274" i="47" s="1"/>
  <c r="B54" i="47"/>
  <c r="C54" i="47" s="1"/>
  <c r="B904" i="47"/>
  <c r="C904" i="47" s="1"/>
  <c r="B403" i="47"/>
  <c r="C403" i="47" s="1"/>
  <c r="B615" i="47"/>
  <c r="C615" i="47" s="1"/>
  <c r="B101" i="47"/>
  <c r="C101" i="47" s="1"/>
  <c r="B282" i="47"/>
  <c r="C282" i="47" s="1"/>
  <c r="B827" i="47"/>
  <c r="C827" i="47" s="1"/>
  <c r="B52" i="47"/>
  <c r="C52" i="47" s="1"/>
  <c r="B384" i="47"/>
  <c r="C384" i="47" s="1"/>
  <c r="B799" i="47"/>
  <c r="C799" i="47" s="1"/>
  <c r="B542" i="47"/>
  <c r="C542" i="47" s="1"/>
  <c r="B648" i="47"/>
  <c r="C648" i="47" s="1"/>
  <c r="B625" i="47"/>
  <c r="C625" i="47" s="1"/>
  <c r="B79" i="47"/>
  <c r="C79" i="47" s="1"/>
  <c r="B366" i="47"/>
  <c r="C366" i="47" s="1"/>
  <c r="B595" i="47"/>
  <c r="C595" i="47" s="1"/>
  <c r="B910" i="47"/>
  <c r="C910" i="47" s="1"/>
  <c r="B921" i="47"/>
  <c r="C921" i="47" s="1"/>
  <c r="B772" i="47"/>
  <c r="C772" i="47" s="1"/>
  <c r="B1022" i="47"/>
  <c r="C1022" i="47" s="1"/>
  <c r="B979" i="47"/>
  <c r="C979" i="47" s="1"/>
  <c r="B786" i="47"/>
  <c r="C786" i="47" s="1"/>
  <c r="B628" i="47"/>
  <c r="C628" i="47" s="1"/>
  <c r="B400" i="47"/>
  <c r="C400" i="47" s="1"/>
  <c r="B980" i="47"/>
  <c r="C980" i="47" s="1"/>
  <c r="B797" i="47"/>
  <c r="C797" i="47" s="1"/>
  <c r="B534" i="47"/>
  <c r="C534" i="47" s="1"/>
  <c r="B287" i="47"/>
  <c r="C287" i="47" s="1"/>
  <c r="B1012" i="47"/>
  <c r="C1012" i="47" s="1"/>
  <c r="B753" i="47"/>
  <c r="C753" i="47" s="1"/>
  <c r="B554" i="47"/>
  <c r="C554" i="47" s="1"/>
  <c r="B665" i="47"/>
  <c r="C665" i="47" s="1"/>
  <c r="B855" i="47"/>
  <c r="C855" i="47" s="1"/>
  <c r="B681" i="47"/>
  <c r="C681" i="47" s="1"/>
  <c r="B838" i="47"/>
  <c r="C838" i="47" s="1"/>
  <c r="B601" i="47"/>
  <c r="C601" i="47" s="1"/>
  <c r="B103" i="47"/>
  <c r="C103" i="47" s="1"/>
  <c r="B321" i="47"/>
  <c r="C321" i="47" s="1"/>
  <c r="B560" i="47"/>
  <c r="C560" i="47" s="1"/>
  <c r="B39" i="47"/>
  <c r="C39" i="47" s="1"/>
  <c r="B260" i="47"/>
  <c r="C260" i="47" s="1"/>
  <c r="B500" i="47"/>
  <c r="C500" i="47" s="1"/>
  <c r="B880" i="47"/>
  <c r="C880" i="47" s="1"/>
  <c r="B670" i="47"/>
  <c r="C670" i="47" s="1"/>
  <c r="B931" i="47"/>
  <c r="C931" i="47" s="1"/>
  <c r="B661" i="47"/>
  <c r="C661" i="47" s="1"/>
  <c r="B588" i="47"/>
  <c r="C588" i="47" s="1"/>
  <c r="B850" i="47"/>
  <c r="C850" i="47" s="1"/>
  <c r="B181" i="47"/>
  <c r="C181" i="47" s="1"/>
  <c r="B412" i="47"/>
  <c r="C412" i="47" s="1"/>
  <c r="B657" i="47"/>
  <c r="C657" i="47" s="1"/>
  <c r="B198" i="47"/>
  <c r="C198" i="47" s="1"/>
  <c r="B270" i="47"/>
  <c r="C270" i="47" s="1"/>
  <c r="B873" i="47"/>
  <c r="C873" i="47" s="1"/>
  <c r="B709" i="47"/>
  <c r="C709" i="47" s="1"/>
  <c r="B193" i="47"/>
  <c r="C193" i="47" s="1"/>
  <c r="B899" i="47"/>
  <c r="C899" i="47" s="1"/>
  <c r="B276" i="47"/>
  <c r="C276" i="47" s="1"/>
  <c r="B585" i="47"/>
  <c r="C585" i="47" s="1"/>
  <c r="B177" i="47"/>
  <c r="C177" i="47" s="1"/>
  <c r="B862" i="47"/>
  <c r="C862" i="47" s="1"/>
  <c r="B644" i="47"/>
  <c r="C644" i="47" s="1"/>
  <c r="B421" i="47"/>
  <c r="C421" i="47" s="1"/>
  <c r="B69" i="47"/>
  <c r="C69" i="47" s="1"/>
  <c r="B463" i="47"/>
  <c r="C463" i="47" s="1"/>
  <c r="B251" i="47"/>
  <c r="C251" i="47" s="1"/>
  <c r="B883" i="47"/>
  <c r="C883" i="47" s="1"/>
  <c r="B725" i="47"/>
  <c r="C725" i="47" s="1"/>
  <c r="B323" i="47"/>
  <c r="C323" i="47" s="1"/>
  <c r="B766" i="47"/>
  <c r="C766" i="47" s="1"/>
  <c r="B279" i="47"/>
  <c r="C279" i="47" s="1"/>
  <c r="B110" i="47"/>
  <c r="C110" i="47" s="1"/>
  <c r="B963" i="47"/>
  <c r="C963" i="47" s="1"/>
  <c r="B432" i="47"/>
  <c r="C432" i="47" s="1"/>
  <c r="B683" i="47"/>
  <c r="C683" i="47" s="1"/>
  <c r="B116" i="47"/>
  <c r="C116" i="47" s="1"/>
  <c r="B330" i="47"/>
  <c r="C330" i="47" s="1"/>
  <c r="B894" i="47"/>
  <c r="C894" i="47" s="1"/>
  <c r="B57" i="47"/>
  <c r="C57" i="47" s="1"/>
  <c r="B389" i="47"/>
  <c r="C389" i="47" s="1"/>
  <c r="B805" i="47"/>
  <c r="C805" i="47" s="1"/>
  <c r="B673" i="47"/>
  <c r="C673" i="47" s="1"/>
  <c r="B711" i="47"/>
  <c r="C711" i="47" s="1"/>
  <c r="B631" i="47"/>
  <c r="C631" i="47" s="1"/>
  <c r="B107" i="47"/>
  <c r="C107" i="47" s="1"/>
  <c r="B370" i="47"/>
  <c r="C370" i="47" s="1"/>
  <c r="B604" i="47"/>
  <c r="C604" i="47" s="1"/>
  <c r="B935" i="47"/>
  <c r="C935" i="47" s="1"/>
  <c r="B917" i="47"/>
  <c r="C917" i="47" s="1"/>
  <c r="B768" i="47"/>
  <c r="C768" i="47" s="1"/>
  <c r="B1005" i="47"/>
  <c r="C1005" i="47" s="1"/>
  <c r="B967" i="47"/>
  <c r="C967" i="47" s="1"/>
  <c r="B778" i="47"/>
  <c r="C778" i="47" s="1"/>
  <c r="B620" i="47"/>
  <c r="C620" i="47" s="1"/>
  <c r="B381" i="47"/>
  <c r="C381" i="47" s="1"/>
  <c r="B962" i="47"/>
  <c r="C962" i="47" s="1"/>
  <c r="B779" i="47"/>
  <c r="C779" i="47" s="1"/>
  <c r="B486" i="47"/>
  <c r="C486" i="47" s="1"/>
  <c r="B262" i="47"/>
  <c r="C262" i="47" s="1"/>
  <c r="B1003" i="47"/>
  <c r="C1003" i="47" s="1"/>
  <c r="B749" i="47"/>
  <c r="C749" i="47" s="1"/>
  <c r="B530" i="47"/>
  <c r="C530" i="47" s="1"/>
  <c r="B1020" i="47"/>
  <c r="C1020" i="47" s="1"/>
  <c r="B825" i="47"/>
  <c r="C825" i="47" s="1"/>
  <c r="B677" i="47"/>
  <c r="C677" i="47" s="1"/>
  <c r="B833" i="47"/>
  <c r="C833" i="47" s="1"/>
  <c r="B572" i="47"/>
  <c r="C572" i="47" s="1"/>
  <c r="B147" i="47"/>
  <c r="C147" i="47" s="1"/>
  <c r="B362" i="47"/>
  <c r="C362" i="47" s="1"/>
  <c r="B577" i="47"/>
  <c r="C577" i="47" s="1"/>
  <c r="B43" i="47"/>
  <c r="C43" i="47" s="1"/>
  <c r="B265" i="47"/>
  <c r="C265" i="47" s="1"/>
  <c r="B508" i="47"/>
  <c r="C508" i="47" s="1"/>
  <c r="B885" i="47"/>
  <c r="C885" i="47" s="1"/>
  <c r="B680" i="47"/>
  <c r="C680" i="47" s="1"/>
  <c r="B951" i="47"/>
  <c r="C951" i="47" s="1"/>
  <c r="B685" i="47"/>
  <c r="C685" i="47" s="1"/>
  <c r="B610" i="47"/>
  <c r="C610" i="47" s="1"/>
  <c r="B876" i="47"/>
  <c r="C876" i="47" s="1"/>
  <c r="B245" i="47"/>
  <c r="C245" i="47" s="1"/>
  <c r="B424" i="47"/>
  <c r="C424" i="47" s="1"/>
  <c r="B667" i="47"/>
  <c r="C667" i="47" s="1"/>
  <c r="B275" i="47"/>
  <c r="C275" i="47" s="1"/>
  <c r="B395" i="47"/>
  <c r="C395" i="47" s="1"/>
  <c r="B214" i="47"/>
  <c r="C214" i="47" s="1"/>
  <c r="B89" i="47"/>
  <c r="C89" i="47" s="1"/>
  <c r="B248" i="47"/>
  <c r="C248" i="47" s="1"/>
  <c r="B991" i="47"/>
  <c r="C991" i="47" s="1"/>
  <c r="B304" i="47"/>
  <c r="C304" i="47" s="1"/>
  <c r="B611" i="47"/>
  <c r="C611" i="47" s="1"/>
  <c r="B200" i="47"/>
  <c r="C200" i="47" s="1"/>
  <c r="B74" i="47"/>
  <c r="C74" i="47" s="1"/>
  <c r="B770" i="47"/>
  <c r="C770" i="47" s="1"/>
  <c r="B457" i="47"/>
  <c r="C457" i="47" s="1"/>
  <c r="B97" i="47"/>
  <c r="C97" i="47" s="1"/>
  <c r="B567" i="47"/>
  <c r="C567" i="47" s="1"/>
  <c r="B273" i="47"/>
  <c r="C273" i="47" s="1"/>
  <c r="B994" i="47"/>
  <c r="C994" i="47" s="1"/>
  <c r="B975" i="47"/>
  <c r="C975" i="47" s="1"/>
  <c r="B328" i="47"/>
  <c r="C328" i="47" s="1"/>
  <c r="B982" i="47"/>
  <c r="C982" i="47" s="1"/>
  <c r="B296" i="47"/>
  <c r="C296" i="47" s="1"/>
  <c r="B164" i="47"/>
  <c r="C164" i="47" s="1"/>
  <c r="B34" i="47"/>
  <c r="C34" i="47" s="1"/>
  <c r="B437" i="47"/>
  <c r="C437" i="47" s="1"/>
  <c r="B720" i="47"/>
  <c r="C720" i="47" s="1"/>
  <c r="B137" i="47"/>
  <c r="C137" i="47" s="1"/>
  <c r="B335" i="47"/>
  <c r="C335" i="47" s="1"/>
  <c r="B918" i="47"/>
  <c r="C918" i="47" s="1"/>
  <c r="B62" i="47"/>
  <c r="C62" i="47" s="1"/>
  <c r="B411" i="47"/>
  <c r="C411" i="47" s="1"/>
  <c r="B817" i="47"/>
  <c r="C817" i="47" s="1"/>
  <c r="B811" i="47"/>
  <c r="C811" i="47" s="1"/>
  <c r="B842" i="47"/>
  <c r="C842" i="47" s="1"/>
  <c r="B668" i="47"/>
  <c r="C668" i="47" s="1"/>
  <c r="B134" i="47"/>
  <c r="C134" i="47" s="1"/>
  <c r="B374" i="47"/>
  <c r="C374" i="47" s="1"/>
  <c r="B645" i="47"/>
  <c r="C645" i="47" s="1"/>
  <c r="B955" i="47"/>
  <c r="C955" i="47" s="1"/>
  <c r="B898" i="47"/>
  <c r="C898" i="47" s="1"/>
  <c r="B745" i="47"/>
  <c r="C745" i="47" s="1"/>
  <c r="B1001" i="47"/>
  <c r="C1001" i="47" s="1"/>
  <c r="B950" i="47"/>
  <c r="C950" i="47" s="1"/>
  <c r="B774" i="47"/>
  <c r="C774" i="47" s="1"/>
  <c r="B573" i="47"/>
  <c r="C573" i="47" s="1"/>
  <c r="B308" i="47"/>
  <c r="C308" i="47" s="1"/>
  <c r="B957" i="47"/>
  <c r="C957" i="47" s="1"/>
  <c r="B761" i="47"/>
  <c r="C761" i="47" s="1"/>
  <c r="B451" i="47"/>
  <c r="C451" i="47" s="1"/>
  <c r="B258" i="47"/>
  <c r="C258" i="47" s="1"/>
  <c r="B998" i="47"/>
  <c r="C998" i="47" s="1"/>
  <c r="B732" i="47"/>
  <c r="C732" i="47" s="1"/>
  <c r="B1007" i="47"/>
  <c r="C1007" i="47" s="1"/>
  <c r="B1015" i="47"/>
  <c r="C1015" i="47" s="1"/>
  <c r="B821" i="47"/>
  <c r="C821" i="47" s="1"/>
  <c r="B643" i="47"/>
  <c r="C643" i="47" s="1"/>
  <c r="B816" i="47"/>
  <c r="C816" i="47" s="1"/>
  <c r="B488" i="47"/>
  <c r="C488" i="47" s="1"/>
  <c r="B151" i="47"/>
  <c r="C151" i="47" s="1"/>
  <c r="B394" i="47"/>
  <c r="C394" i="47" s="1"/>
  <c r="B600" i="47"/>
  <c r="C600" i="47" s="1"/>
  <c r="B59" i="47"/>
  <c r="C59" i="47" s="1"/>
  <c r="B269" i="47"/>
  <c r="C269" i="47" s="1"/>
  <c r="B512" i="47"/>
  <c r="C512" i="47" s="1"/>
  <c r="B906" i="47"/>
  <c r="C906" i="47" s="1"/>
  <c r="B690" i="47"/>
  <c r="C690" i="47" s="1"/>
  <c r="B973" i="47"/>
  <c r="C973" i="47" s="1"/>
  <c r="B695" i="47"/>
  <c r="C695" i="47" s="1"/>
  <c r="B651" i="47"/>
  <c r="C651" i="47" s="1"/>
  <c r="B907" i="47"/>
  <c r="C907" i="47" s="1"/>
  <c r="B249" i="47"/>
  <c r="C249" i="47" s="1"/>
  <c r="B429" i="47"/>
  <c r="C429" i="47" s="1"/>
  <c r="B696" i="47"/>
  <c r="C696" i="47" s="1"/>
  <c r="B364" i="47"/>
  <c r="C364" i="47" s="1"/>
  <c r="B478" i="47"/>
  <c r="C478" i="47" s="1"/>
  <c r="B253" i="47"/>
  <c r="C253" i="47" s="1"/>
  <c r="B210" i="47"/>
  <c r="C210" i="47" s="1"/>
  <c r="B413" i="47"/>
  <c r="C413" i="47" s="1"/>
  <c r="B1017" i="47"/>
  <c r="C1017" i="47" s="1"/>
  <c r="B310" i="47"/>
  <c r="C310" i="47" s="1"/>
  <c r="B822" i="47"/>
  <c r="C822" i="47" s="1"/>
  <c r="B255" i="47"/>
  <c r="C255" i="47" s="1"/>
  <c r="B150" i="47"/>
  <c r="C150" i="47" s="1"/>
  <c r="B856" i="47"/>
  <c r="C856" i="47" s="1"/>
  <c r="B515" i="47"/>
  <c r="C515" i="47" s="1"/>
  <c r="B140" i="47"/>
  <c r="C140" i="47" s="1"/>
  <c r="B593" i="47"/>
  <c r="C593" i="47" s="1"/>
  <c r="B278" i="47"/>
  <c r="C278" i="47" s="1"/>
  <c r="B53" i="47"/>
  <c r="C53" i="47" s="1"/>
  <c r="B37" i="47"/>
  <c r="C37" i="47" s="1"/>
  <c r="B339" i="47"/>
  <c r="C339" i="47" s="1"/>
  <c r="B32" i="47"/>
  <c r="C32" i="47" s="1"/>
  <c r="B334" i="47"/>
  <c r="C334" i="47" s="1"/>
  <c r="B180" i="47"/>
  <c r="C180" i="47" s="1"/>
  <c r="B60" i="47"/>
  <c r="C60" i="47" s="1"/>
  <c r="B442" i="47"/>
  <c r="C442" i="47" s="1"/>
  <c r="B758" i="47"/>
  <c r="C758" i="47" s="1"/>
  <c r="B158" i="47"/>
  <c r="C158" i="47" s="1"/>
  <c r="B345" i="47"/>
  <c r="C345" i="47" s="1"/>
  <c r="B943" i="47"/>
  <c r="C943" i="47" s="1"/>
  <c r="B78" i="47"/>
  <c r="C78" i="47" s="1"/>
  <c r="B461" i="47"/>
  <c r="C461" i="47" s="1"/>
  <c r="B829" i="47"/>
  <c r="C829" i="47" s="1"/>
  <c r="B836" i="47"/>
  <c r="C836" i="47" s="1"/>
  <c r="B971" i="47"/>
  <c r="C971" i="47" s="1"/>
  <c r="B700" i="47"/>
  <c r="C700" i="47" s="1"/>
  <c r="B155" i="47"/>
  <c r="C155" i="47" s="1"/>
  <c r="B386" i="47"/>
  <c r="C386" i="47" s="1"/>
  <c r="B669" i="47"/>
  <c r="C669" i="47" s="1"/>
  <c r="B972" i="47"/>
  <c r="C972" i="47" s="1"/>
  <c r="B890" i="47"/>
  <c r="C890" i="47" s="1"/>
  <c r="B728" i="47"/>
  <c r="C728" i="47" s="1"/>
  <c r="B977" i="47"/>
  <c r="C977" i="47" s="1"/>
  <c r="B117" i="47"/>
  <c r="C117" i="47" s="1"/>
  <c r="B533" i="47"/>
  <c r="C533" i="47" s="1"/>
  <c r="B298" i="47"/>
  <c r="C298" i="47" s="1"/>
  <c r="B236" i="47"/>
  <c r="C236" i="47" s="1"/>
  <c r="B425" i="47"/>
  <c r="C425" i="47" s="1"/>
  <c r="B56" i="47"/>
  <c r="C56" i="47" s="1"/>
  <c r="B331" i="47"/>
  <c r="C331" i="47" s="1"/>
  <c r="B881" i="47"/>
  <c r="C881" i="47" s="1"/>
  <c r="B266" i="47"/>
  <c r="C266" i="47" s="1"/>
  <c r="B172" i="47"/>
  <c r="C172" i="47" s="1"/>
  <c r="B30" i="47"/>
  <c r="C30" i="47" s="1"/>
  <c r="B698" i="47"/>
  <c r="C698" i="47" s="1"/>
  <c r="B145" i="47"/>
  <c r="C145" i="47" s="1"/>
  <c r="B751" i="47"/>
  <c r="C751" i="47" s="1"/>
  <c r="B306" i="47"/>
  <c r="C306" i="47" s="1"/>
  <c r="B82" i="47"/>
  <c r="C82" i="47" s="1"/>
  <c r="B42" i="47"/>
  <c r="C42" i="47" s="1"/>
  <c r="B351" i="47"/>
  <c r="C351" i="47" s="1"/>
  <c r="B88" i="47"/>
  <c r="C88" i="47" s="1"/>
  <c r="B417" i="47"/>
  <c r="C417" i="47" s="1"/>
  <c r="B203" i="47"/>
  <c r="C203" i="47" s="1"/>
  <c r="B65" i="47"/>
  <c r="C65" i="47" s="1"/>
  <c r="B469" i="47"/>
  <c r="C469" i="47" s="1"/>
  <c r="B851" i="47"/>
  <c r="C851" i="47" s="1"/>
  <c r="B168" i="47"/>
  <c r="C168" i="47" s="1"/>
  <c r="B409" i="47"/>
  <c r="C409" i="47" s="1"/>
  <c r="B393" i="47"/>
  <c r="C393" i="47" s="1"/>
  <c r="B113" i="47"/>
  <c r="C113" i="47" s="1"/>
  <c r="B466" i="47"/>
  <c r="C466" i="47" s="1"/>
  <c r="B860" i="47"/>
  <c r="C860" i="47" s="1"/>
  <c r="B964" i="47"/>
  <c r="C964" i="47" s="1"/>
  <c r="B995" i="47"/>
  <c r="C995" i="47" s="1"/>
  <c r="B750" i="47"/>
  <c r="C750" i="47" s="1"/>
  <c r="B202" i="47"/>
  <c r="C202" i="47" s="1"/>
  <c r="B390" i="47"/>
  <c r="C390" i="47" s="1"/>
  <c r="B679" i="47"/>
  <c r="C679" i="47" s="1"/>
  <c r="B1009" i="47"/>
  <c r="C1009" i="47" s="1"/>
  <c r="B886" i="47"/>
  <c r="C886" i="47" s="1"/>
  <c r="B716" i="47"/>
  <c r="C716" i="47" s="1"/>
  <c r="B969" i="47"/>
  <c r="C969" i="47" s="1"/>
  <c r="B896" i="47"/>
  <c r="C896" i="47" s="1"/>
  <c r="B726" i="47"/>
  <c r="C726" i="47" s="1"/>
  <c r="B526" i="47"/>
  <c r="C526" i="47" s="1"/>
  <c r="B281" i="47"/>
  <c r="C281" i="47" s="1"/>
  <c r="B909" i="47"/>
  <c r="C909" i="47" s="1"/>
  <c r="B741" i="47"/>
  <c r="C741" i="47" s="1"/>
  <c r="B443" i="47"/>
  <c r="C443" i="47" s="1"/>
  <c r="B222" i="47"/>
  <c r="C222" i="47" s="1"/>
  <c r="B947" i="47"/>
  <c r="C947" i="47" s="1"/>
  <c r="B706" i="47"/>
  <c r="C706" i="47" s="1"/>
  <c r="B878" i="47"/>
  <c r="C878" i="47" s="1"/>
  <c r="B1002" i="47"/>
  <c r="C1002" i="47" s="1"/>
  <c r="B773" i="47"/>
  <c r="C773" i="47" s="1"/>
  <c r="B626" i="47"/>
  <c r="C626" i="47" s="1"/>
  <c r="B803" i="47"/>
  <c r="C803" i="47" s="1"/>
  <c r="B445" i="47"/>
  <c r="C445" i="47" s="1"/>
  <c r="B167" i="47"/>
  <c r="C167" i="47" s="1"/>
  <c r="B402" i="47"/>
  <c r="C402" i="47" s="1"/>
  <c r="B694" i="47"/>
  <c r="C694" i="47" s="1"/>
  <c r="B67" i="47"/>
  <c r="C67" i="47" s="1"/>
  <c r="B329" i="47"/>
  <c r="C329" i="47" s="1"/>
  <c r="B569" i="47"/>
  <c r="C569" i="47" s="1"/>
  <c r="B1004" i="47"/>
  <c r="C1004" i="47" s="1"/>
  <c r="B733" i="47"/>
  <c r="C733" i="47" s="1"/>
  <c r="B489" i="47"/>
  <c r="C489" i="47" s="1"/>
  <c r="B763" i="47"/>
  <c r="C763" i="47" s="1"/>
  <c r="B691" i="47"/>
  <c r="C691" i="47" s="1"/>
  <c r="B974" i="47"/>
  <c r="C974" i="47" s="1"/>
  <c r="B295" i="47"/>
  <c r="C295" i="47" s="1"/>
  <c r="B553" i="47"/>
  <c r="C553" i="47" s="1"/>
  <c r="B739" i="47"/>
  <c r="C739" i="47" s="1"/>
  <c r="B128" i="47"/>
  <c r="C128" i="47" s="1"/>
  <c r="B996" i="47"/>
  <c r="C996" i="47" s="1"/>
  <c r="B802" i="47"/>
  <c r="C802" i="47" s="1"/>
  <c r="B494" i="47"/>
  <c r="C494" i="47" s="1"/>
  <c r="B242" i="47"/>
  <c r="C242" i="47" s="1"/>
  <c r="B455" i="47"/>
  <c r="C455" i="47" s="1"/>
  <c r="B85" i="47"/>
  <c r="C85" i="47" s="1"/>
  <c r="B348" i="47"/>
  <c r="C348" i="47" s="1"/>
  <c r="B913" i="47"/>
  <c r="C913" i="47" s="1"/>
  <c r="B288" i="47"/>
  <c r="C288" i="47" s="1"/>
  <c r="B211" i="47"/>
  <c r="C211" i="47" s="1"/>
  <c r="B86" i="47"/>
  <c r="C86" i="47" s="1"/>
  <c r="B730" i="47"/>
  <c r="C730" i="47" s="1"/>
  <c r="B162" i="47"/>
  <c r="C162" i="47" s="1"/>
  <c r="B889" i="47"/>
  <c r="C889" i="47" s="1"/>
  <c r="B312" i="47"/>
  <c r="C312" i="47" s="1"/>
  <c r="B109" i="47"/>
  <c r="C109" i="47" s="1"/>
  <c r="B98" i="47"/>
  <c r="C98" i="47" s="1"/>
  <c r="B368" i="47"/>
  <c r="C368" i="47" s="1"/>
  <c r="B93" i="47"/>
  <c r="C93" i="47" s="1"/>
  <c r="B441" i="47"/>
  <c r="C441" i="47" s="1"/>
  <c r="B302" i="47"/>
  <c r="C302" i="47" s="1"/>
  <c r="B70" i="47"/>
  <c r="C70" i="47" s="1"/>
  <c r="B474" i="47"/>
  <c r="C474" i="47" s="1"/>
  <c r="B863" i="47"/>
  <c r="C863" i="47" s="1"/>
  <c r="B173" i="47"/>
  <c r="C173" i="47" s="1"/>
  <c r="B454" i="47"/>
  <c r="C454" i="47" s="1"/>
  <c r="B415" i="47"/>
  <c r="C415" i="47" s="1"/>
  <c r="B160" i="47"/>
  <c r="C160" i="47" s="1"/>
  <c r="B471" i="47"/>
  <c r="C471" i="47" s="1"/>
  <c r="B872" i="47"/>
  <c r="C872" i="47" s="1"/>
  <c r="B509" i="47"/>
  <c r="C509" i="47" s="1"/>
  <c r="B338" i="47"/>
  <c r="C338" i="47" s="1"/>
  <c r="B775" i="47"/>
  <c r="C775" i="47" s="1"/>
  <c r="B231" i="47"/>
  <c r="C231" i="47" s="1"/>
  <c r="B406" i="47"/>
  <c r="C406" i="47" s="1"/>
  <c r="B703" i="47"/>
  <c r="C703" i="47" s="1"/>
  <c r="B1018" i="47"/>
  <c r="C1018" i="47" s="1"/>
  <c r="B877" i="47"/>
  <c r="C877" i="47" s="1"/>
  <c r="B689" i="47"/>
  <c r="C689" i="47" s="1"/>
  <c r="B956" i="47"/>
  <c r="C956" i="47" s="1"/>
  <c r="B888" i="47"/>
  <c r="C888" i="47" s="1"/>
  <c r="B722" i="47"/>
  <c r="C722" i="47" s="1"/>
  <c r="B522" i="47"/>
  <c r="C522" i="47" s="1"/>
  <c r="B277" i="47"/>
  <c r="C277" i="47" s="1"/>
  <c r="B874" i="47"/>
  <c r="C874" i="47" s="1"/>
  <c r="B737" i="47"/>
  <c r="C737" i="47" s="1"/>
  <c r="B420" i="47"/>
  <c r="C420" i="47" s="1"/>
  <c r="B194" i="47"/>
  <c r="C194" i="47" s="1"/>
  <c r="B938" i="47"/>
  <c r="C938" i="47" s="1"/>
  <c r="B686" i="47"/>
  <c r="C686" i="47" s="1"/>
  <c r="B847" i="47"/>
  <c r="C847" i="47" s="1"/>
  <c r="B970" i="47"/>
  <c r="C970" i="47" s="1"/>
  <c r="B764" i="47"/>
  <c r="C764" i="47" s="1"/>
  <c r="B1006" i="47"/>
  <c r="C1006" i="47" s="1"/>
  <c r="B785" i="47"/>
  <c r="C785" i="47" s="1"/>
  <c r="B430" i="47"/>
  <c r="C430" i="47" s="1"/>
  <c r="B171" i="47"/>
  <c r="C171" i="47" s="1"/>
  <c r="B418" i="47"/>
  <c r="C418" i="47" s="1"/>
  <c r="B727" i="47"/>
  <c r="C727" i="47" s="1"/>
  <c r="B95" i="47"/>
  <c r="C95" i="47" s="1"/>
  <c r="B333" i="47"/>
  <c r="C333" i="47" s="1"/>
  <c r="B591" i="47"/>
  <c r="C591" i="47" s="1"/>
  <c r="B423" i="47"/>
  <c r="C423" i="47" s="1"/>
  <c r="B738" i="47"/>
  <c r="C738" i="47" s="1"/>
  <c r="B497" i="47"/>
  <c r="C497" i="47" s="1"/>
  <c r="B824" i="47"/>
  <c r="C824" i="47" s="1"/>
  <c r="B719" i="47"/>
  <c r="C719" i="47" s="1"/>
  <c r="B990" i="47"/>
  <c r="C990" i="47" s="1"/>
  <c r="B299" i="47"/>
  <c r="C299" i="47" s="1"/>
  <c r="B575" i="47"/>
  <c r="C575" i="47" s="1"/>
  <c r="B754" i="47"/>
  <c r="C754" i="47" s="1"/>
  <c r="B320" i="47"/>
  <c r="C320" i="47" s="1"/>
  <c r="B315" i="47"/>
  <c r="C315" i="47" s="1"/>
  <c r="B38" i="47"/>
  <c r="C38" i="47" s="1"/>
  <c r="B590" i="47"/>
  <c r="C590" i="47" s="1"/>
  <c r="B314" i="47"/>
  <c r="C314" i="47" s="1"/>
  <c r="B483" i="47"/>
  <c r="C483" i="47" s="1"/>
  <c r="B90" i="47"/>
  <c r="C90" i="47" s="1"/>
  <c r="B354" i="47"/>
  <c r="C354" i="47" s="1"/>
  <c r="B953" i="47"/>
  <c r="C953" i="47" s="1"/>
  <c r="B293" i="47"/>
  <c r="C293" i="47" s="1"/>
  <c r="B221" i="47"/>
  <c r="C221" i="47" s="1"/>
  <c r="B102" i="47"/>
  <c r="C102" i="47" s="1"/>
  <c r="B810" i="47"/>
  <c r="C810" i="47" s="1"/>
  <c r="B178" i="47"/>
  <c r="C178" i="47" s="1"/>
  <c r="B58" i="47"/>
  <c r="C58" i="47" s="1"/>
  <c r="B356" i="47"/>
  <c r="C356" i="47" s="1"/>
  <c r="B157" i="47"/>
  <c r="C157" i="47" s="1"/>
  <c r="B120" i="47"/>
  <c r="C120" i="47" s="1"/>
  <c r="B380" i="47"/>
  <c r="C380" i="47" s="1"/>
  <c r="B104" i="47"/>
  <c r="C104" i="47" s="1"/>
  <c r="B707" i="47"/>
  <c r="C707" i="47" s="1"/>
  <c r="B399" i="47"/>
  <c r="C399" i="47" s="1"/>
  <c r="B106" i="47"/>
  <c r="C106" i="47" s="1"/>
  <c r="B479" i="47"/>
  <c r="C479" i="47" s="1"/>
  <c r="B949" i="47"/>
  <c r="C949" i="47" s="1"/>
  <c r="B199" i="47"/>
  <c r="C199" i="47" s="1"/>
  <c r="B459" i="47"/>
  <c r="C459" i="47" s="1"/>
  <c r="B485" i="47"/>
  <c r="C485" i="47" s="1"/>
  <c r="B185" i="47"/>
  <c r="C185" i="47" s="1"/>
  <c r="B498" i="47"/>
  <c r="C498" i="47" s="1"/>
  <c r="B884" i="47"/>
  <c r="C884" i="47" s="1"/>
  <c r="B514" i="47"/>
  <c r="C514" i="47" s="1"/>
  <c r="B343" i="47"/>
  <c r="C343" i="47" s="1"/>
  <c r="B837" i="47"/>
  <c r="C837" i="47" s="1"/>
  <c r="B239" i="47"/>
  <c r="C239" i="47" s="1"/>
  <c r="B410" i="47"/>
  <c r="C410" i="47" s="1"/>
  <c r="B717" i="47"/>
  <c r="C717" i="47" s="1"/>
  <c r="B997" i="47"/>
  <c r="C997" i="47" s="1"/>
  <c r="B861" i="47"/>
  <c r="C861" i="47" s="1"/>
  <c r="B658" i="47"/>
  <c r="C658" i="47" s="1"/>
  <c r="B948" i="47"/>
  <c r="C948" i="47" s="1"/>
  <c r="B879" i="47"/>
  <c r="C879" i="47" s="1"/>
  <c r="B714" i="47"/>
  <c r="C714" i="47" s="1"/>
  <c r="B518" i="47"/>
  <c r="C518" i="47" s="1"/>
  <c r="B254" i="47"/>
  <c r="C254" i="47" s="1"/>
  <c r="B866" i="47"/>
  <c r="C866" i="47" s="1"/>
  <c r="B710" i="47"/>
  <c r="C710" i="47" s="1"/>
  <c r="B377" i="47"/>
  <c r="C377" i="47" s="1"/>
  <c r="B179" i="47"/>
  <c r="C179" i="47" s="1"/>
  <c r="B930" i="47"/>
  <c r="C930" i="47" s="1"/>
  <c r="B682" i="47"/>
  <c r="C682" i="47" s="1"/>
  <c r="B804" i="47"/>
  <c r="C804" i="47" s="1"/>
  <c r="B960" i="47"/>
  <c r="C960" i="47" s="1"/>
  <c r="B752" i="47"/>
  <c r="C752" i="47" s="1"/>
  <c r="B978" i="47"/>
  <c r="C978" i="47" s="1"/>
  <c r="B781" i="47"/>
  <c r="C781" i="47" s="1"/>
  <c r="B426" i="47"/>
  <c r="C426" i="47" s="1"/>
  <c r="B183" i="47"/>
  <c r="C183" i="47" s="1"/>
  <c r="B435" i="47"/>
  <c r="C435" i="47" s="1"/>
  <c r="B742" i="47"/>
  <c r="C742" i="47" s="1"/>
  <c r="B111" i="47"/>
  <c r="C111" i="47" s="1"/>
  <c r="B379" i="47"/>
  <c r="C379" i="47" s="1"/>
  <c r="B617" i="47"/>
  <c r="C617" i="47" s="1"/>
  <c r="B472" i="47"/>
  <c r="C472" i="47" s="1"/>
  <c r="B793" i="47"/>
  <c r="C793" i="47" s="1"/>
  <c r="B521" i="47"/>
  <c r="C521" i="47" s="1"/>
  <c r="B865" i="47"/>
  <c r="C865" i="47" s="1"/>
  <c r="B724" i="47"/>
  <c r="C724" i="47" s="1"/>
  <c r="B29" i="47"/>
  <c r="C29" i="47" s="1"/>
  <c r="B303" i="47"/>
  <c r="C303" i="47" s="1"/>
  <c r="B579" i="47"/>
  <c r="C579" i="47" s="1"/>
  <c r="B789" i="47"/>
  <c r="C789" i="47" s="1"/>
  <c r="B237" i="47"/>
  <c r="C237" i="47" s="1"/>
  <c r="B84" i="47"/>
  <c r="C84" i="47" s="1"/>
  <c r="B72" i="47"/>
  <c r="C72" i="47" s="1"/>
  <c r="B721" i="47"/>
  <c r="C721" i="47" s="1"/>
  <c r="B28" i="47"/>
  <c r="C28" i="47" s="1"/>
  <c r="B507" i="47"/>
  <c r="C507" i="47" s="1"/>
  <c r="B112" i="47"/>
  <c r="C112" i="47" s="1"/>
  <c r="B383" i="47"/>
  <c r="C383" i="47" s="1"/>
  <c r="B959" i="47"/>
  <c r="C959" i="47" s="1"/>
  <c r="B326" i="47"/>
  <c r="C326" i="47" s="1"/>
  <c r="B244" i="47"/>
  <c r="C244" i="47" s="1"/>
  <c r="B108" i="47"/>
  <c r="C108" i="47" s="1"/>
  <c r="B895" i="47"/>
  <c r="C895" i="47" s="1"/>
  <c r="B201" i="47"/>
  <c r="C201" i="47" s="1"/>
  <c r="B64" i="47"/>
  <c r="C64" i="47" s="1"/>
  <c r="B385" i="47"/>
  <c r="C385" i="47" s="1"/>
  <c r="B217" i="47"/>
  <c r="C217" i="47" s="1"/>
  <c r="B141" i="47"/>
  <c r="C141" i="47" s="1"/>
  <c r="B453" i="47"/>
  <c r="C453" i="47" s="1"/>
  <c r="B115" i="47"/>
  <c r="C115" i="47" s="1"/>
  <c r="B806" i="47"/>
  <c r="C806" i="47" s="1"/>
  <c r="B405" i="47"/>
  <c r="C405" i="47" s="1"/>
  <c r="B188" i="47"/>
  <c r="C188" i="47" s="1"/>
  <c r="B490" i="47"/>
  <c r="C490" i="47" s="1"/>
  <c r="B986" i="47"/>
  <c r="C986" i="47" s="1"/>
  <c r="B204" i="47"/>
  <c r="C204" i="47" s="1"/>
  <c r="B540" i="47"/>
  <c r="C540" i="47" s="1"/>
  <c r="B517" i="47"/>
  <c r="C517" i="47" s="1"/>
  <c r="B190" i="47"/>
  <c r="C190" i="47" s="1"/>
  <c r="B503" i="47"/>
  <c r="C503" i="47" s="1"/>
  <c r="B902" i="47"/>
  <c r="C902" i="47" s="1"/>
  <c r="B537" i="47"/>
  <c r="C537" i="47" s="1"/>
  <c r="B359" i="47"/>
  <c r="C359" i="47" s="1"/>
  <c r="B892" i="47"/>
  <c r="C892" i="47" s="1"/>
  <c r="B243" i="47"/>
  <c r="C243" i="47" s="1"/>
  <c r="B414" i="47"/>
  <c r="C414" i="47" s="1"/>
  <c r="B771" i="47"/>
  <c r="C771" i="47" s="1"/>
  <c r="B989" i="47"/>
  <c r="C989" i="47" s="1"/>
  <c r="B857" i="47"/>
  <c r="C857" i="47" s="1"/>
  <c r="B654" i="47"/>
  <c r="C654" i="47" s="1"/>
  <c r="B944" i="47"/>
  <c r="C944" i="47" s="1"/>
  <c r="B871" i="47"/>
  <c r="C871" i="47" s="1"/>
  <c r="B687" i="47"/>
  <c r="C687" i="47" s="1"/>
  <c r="B495" i="47"/>
  <c r="C495" i="47" s="1"/>
  <c r="B250" i="47"/>
  <c r="C250" i="47" s="1"/>
  <c r="B852" i="47"/>
  <c r="C852" i="47" s="1"/>
  <c r="B666" i="47"/>
  <c r="C666" i="47" s="1"/>
  <c r="B291" i="47"/>
  <c r="C291" i="47" s="1"/>
  <c r="B220" i="47"/>
  <c r="C220" i="47" s="1"/>
  <c r="B132" i="47"/>
  <c r="C132" i="47" s="1"/>
  <c r="B286" i="47"/>
  <c r="C286" i="47" s="1"/>
  <c r="B44" i="47"/>
  <c r="C44" i="47" s="1"/>
  <c r="B513" i="47"/>
  <c r="C513" i="47" s="1"/>
  <c r="B133" i="47"/>
  <c r="C133" i="47" s="1"/>
  <c r="B401" i="47"/>
  <c r="C401" i="47" s="1"/>
  <c r="B40" i="47"/>
  <c r="C40" i="47" s="1"/>
  <c r="B342" i="47"/>
  <c r="C342" i="47" s="1"/>
  <c r="B261" i="47"/>
  <c r="C261" i="47" s="1"/>
  <c r="B124" i="47"/>
  <c r="C124" i="47" s="1"/>
  <c r="B934" i="47"/>
  <c r="C934" i="47" s="1"/>
  <c r="B289" i="47"/>
  <c r="C289" i="47" s="1"/>
  <c r="B92" i="47"/>
  <c r="C92" i="47" s="1"/>
  <c r="B416" i="47"/>
  <c r="C416" i="47" s="1"/>
  <c r="B257" i="47"/>
  <c r="C257" i="47" s="1"/>
  <c r="B146" i="47"/>
  <c r="C146" i="47" s="1"/>
  <c r="B470" i="47"/>
  <c r="C470" i="47" s="1"/>
  <c r="B126" i="47"/>
  <c r="C126" i="47" s="1"/>
  <c r="B923" i="47"/>
  <c r="C923" i="47" s="1"/>
  <c r="B436" i="47"/>
  <c r="C436" i="47" s="1"/>
  <c r="B218" i="47"/>
  <c r="C218" i="47" s="1"/>
  <c r="B501" i="47"/>
  <c r="C501" i="47" s="1"/>
  <c r="B992" i="47"/>
  <c r="C992" i="47" s="1"/>
  <c r="B209" i="47"/>
  <c r="C209" i="47" s="1"/>
  <c r="B580" i="47"/>
  <c r="C580" i="47" s="1"/>
  <c r="B523" i="47"/>
  <c r="C523" i="47" s="1"/>
  <c r="B196" i="47"/>
  <c r="C196" i="47" s="1"/>
  <c r="B564" i="47"/>
  <c r="C564" i="47" s="1"/>
  <c r="B908" i="47"/>
  <c r="C908" i="47" s="1"/>
  <c r="B548" i="47"/>
  <c r="C548" i="47" s="1"/>
  <c r="B375" i="47"/>
  <c r="C375" i="47" s="1"/>
  <c r="B928" i="47"/>
  <c r="C928" i="47" s="1"/>
  <c r="B247" i="47"/>
  <c r="C247" i="47" s="1"/>
  <c r="B431" i="47"/>
  <c r="C431" i="47" s="1"/>
  <c r="B776" i="47"/>
  <c r="C776" i="47" s="1"/>
  <c r="B985" i="47"/>
  <c r="C985" i="47" s="1"/>
  <c r="B832" i="47"/>
  <c r="C832" i="47" s="1"/>
  <c r="B634" i="47"/>
  <c r="C634" i="47" s="1"/>
  <c r="B1021" i="47"/>
  <c r="C1021" i="47" s="1"/>
  <c r="B859" i="47"/>
  <c r="C859" i="47" s="1"/>
  <c r="B671" i="47"/>
  <c r="C671" i="47" s="1"/>
  <c r="B484" i="47"/>
  <c r="C484" i="47" s="1"/>
  <c r="B238" i="47"/>
  <c r="C238" i="47" s="1"/>
  <c r="B848" i="47"/>
  <c r="C848" i="47" s="1"/>
  <c r="B662" i="47"/>
  <c r="C662" i="47" s="1"/>
  <c r="B365" i="47"/>
  <c r="C365" i="47" s="1"/>
  <c r="B152" i="47"/>
  <c r="C152" i="47" s="1"/>
  <c r="B905" i="47"/>
  <c r="C905" i="47" s="1"/>
  <c r="B674" i="47"/>
  <c r="C674" i="47" s="1"/>
  <c r="B782" i="47"/>
  <c r="C782" i="47" s="1"/>
  <c r="B933" i="47"/>
  <c r="C933" i="47" s="1"/>
  <c r="B731" i="47"/>
  <c r="C731" i="47" s="1"/>
  <c r="B924" i="47"/>
  <c r="C924" i="47" s="1"/>
  <c r="B755" i="47"/>
  <c r="C755" i="47" s="1"/>
  <c r="B24" i="47"/>
  <c r="C24" i="47" s="1"/>
  <c r="B223" i="47"/>
  <c r="C223" i="47" s="1"/>
  <c r="B492" i="47"/>
  <c r="C492" i="47" s="1"/>
  <c r="B767" i="47"/>
  <c r="C767" i="47" s="1"/>
  <c r="B123" i="47"/>
  <c r="C123" i="47" s="1"/>
  <c r="B448" i="47"/>
  <c r="C448" i="47" s="1"/>
  <c r="B641" i="47"/>
  <c r="C641" i="47" s="1"/>
  <c r="B525" i="47"/>
  <c r="C525" i="47" s="1"/>
  <c r="B819" i="47"/>
  <c r="C819" i="47" s="1"/>
  <c r="B544" i="47"/>
  <c r="C544" i="47" s="1"/>
  <c r="B936" i="47"/>
  <c r="C936" i="47" s="1"/>
  <c r="B734" i="47"/>
  <c r="C734" i="47" s="1"/>
  <c r="B73" i="47"/>
  <c r="C73" i="47" s="1"/>
  <c r="B311" i="47"/>
  <c r="C311" i="47" s="1"/>
  <c r="B597" i="47"/>
  <c r="C597" i="47" s="1"/>
  <c r="B887" i="47"/>
  <c r="C887" i="47" s="1"/>
  <c r="B762" i="47"/>
  <c r="C762" i="47" s="1"/>
  <c r="B538" i="47"/>
  <c r="C538" i="47" s="1"/>
  <c r="B757" i="47"/>
  <c r="C757" i="47" s="1"/>
  <c r="B748" i="47"/>
  <c r="C748" i="47" s="1"/>
  <c r="B119" i="47"/>
  <c r="C119" i="47" s="1"/>
  <c r="B729" i="47"/>
  <c r="C729" i="47" s="1"/>
  <c r="B932" i="47"/>
  <c r="C932" i="47" s="1"/>
  <c r="B945" i="47"/>
  <c r="C945" i="47" s="1"/>
  <c r="B49" i="47"/>
  <c r="C49" i="47" s="1"/>
  <c r="B230" i="47"/>
  <c r="C230" i="47" s="1"/>
  <c r="B539" i="47"/>
  <c r="C539" i="47" s="1"/>
  <c r="B283" i="47"/>
  <c r="C283" i="47" s="1"/>
  <c r="B759" i="47"/>
  <c r="C759" i="47" s="1"/>
  <c r="B966" i="47"/>
  <c r="C966" i="47" s="1"/>
  <c r="B993" i="47"/>
  <c r="C993" i="47" s="1"/>
  <c r="B536" i="47"/>
  <c r="C536" i="47" s="1"/>
  <c r="B926" i="47"/>
  <c r="C926" i="47" s="1"/>
  <c r="B480" i="47"/>
  <c r="C480" i="47" s="1"/>
  <c r="B584" i="47"/>
  <c r="C584" i="47" s="1"/>
  <c r="B159" i="47"/>
  <c r="C159" i="47" s="1"/>
  <c r="B815" i="47"/>
  <c r="C815" i="47" s="1"/>
  <c r="B398" i="47"/>
  <c r="C398" i="47" s="1"/>
  <c r="B452" i="47"/>
  <c r="C452" i="47" s="1"/>
  <c r="B684" i="47"/>
  <c r="C684" i="47" s="1"/>
  <c r="B937" i="47"/>
  <c r="C937" i="47" s="1"/>
  <c r="B777" i="47"/>
  <c r="C777" i="47" s="1"/>
  <c r="B63" i="47"/>
  <c r="C63" i="47" s="1"/>
  <c r="B676" i="47"/>
  <c r="C676" i="47" s="1"/>
  <c r="B447" i="47"/>
  <c r="C447" i="47" s="1"/>
  <c r="B639" i="47"/>
  <c r="C639" i="47" s="1"/>
  <c r="B325" i="47"/>
  <c r="C325" i="47" s="1"/>
  <c r="B369" i="47"/>
  <c r="C369" i="47" s="1"/>
  <c r="B439" i="47"/>
  <c r="C439" i="47" s="1"/>
  <c r="B807" i="47"/>
  <c r="C807" i="47" s="1"/>
  <c r="B175" i="47"/>
  <c r="C175" i="47" s="1"/>
  <c r="B627" i="47"/>
  <c r="C627" i="47" s="1"/>
  <c r="B307" i="47"/>
  <c r="C307" i="47" s="1"/>
  <c r="B449" i="47"/>
  <c r="C449" i="47" s="1"/>
  <c r="B422" i="47"/>
  <c r="C422" i="47" s="1"/>
  <c r="B723" i="47"/>
  <c r="C723" i="47" s="1"/>
  <c r="B718" i="47"/>
  <c r="C718" i="47" s="1"/>
  <c r="B715" i="47"/>
  <c r="C715" i="47" s="1"/>
  <c r="B678" i="47"/>
  <c r="C678" i="47" s="1"/>
  <c r="B195" i="47"/>
  <c r="C195" i="47" s="1"/>
  <c r="B808" i="47"/>
  <c r="C808" i="47" s="1"/>
  <c r="B942" i="47"/>
  <c r="C942" i="47" s="1"/>
  <c r="B1010" i="47"/>
  <c r="C1010" i="47" s="1"/>
  <c r="B791" i="47"/>
  <c r="C791" i="47" s="1"/>
  <c r="B535" i="47"/>
  <c r="C535" i="47" s="1"/>
  <c r="B1011" i="47"/>
  <c r="C1011" i="47" s="1"/>
  <c r="B704" i="47"/>
  <c r="C704" i="47" s="1"/>
  <c r="B285" i="47"/>
  <c r="C285" i="47" s="1"/>
  <c r="B747" i="47"/>
  <c r="C747" i="47" s="1"/>
  <c r="B897" i="47"/>
  <c r="C897" i="47" s="1"/>
  <c r="B922" i="47"/>
  <c r="C922" i="47" s="1"/>
  <c r="AD73" i="27"/>
  <c r="AE23" i="28"/>
  <c r="AF23" i="28" s="1"/>
  <c r="AF24" i="28" s="1"/>
  <c r="M27" i="26"/>
  <c r="M65" i="26"/>
  <c r="M89" i="27"/>
  <c r="M24" i="26"/>
  <c r="M178" i="46" s="1"/>
  <c r="M177" i="46"/>
  <c r="M67" i="26"/>
  <c r="M77" i="26"/>
  <c r="AB16" i="27"/>
  <c r="AA13" i="13"/>
  <c r="T33" i="26"/>
  <c r="T43" i="26"/>
  <c r="F18" i="37"/>
  <c r="T35" i="26"/>
  <c r="T62" i="26"/>
  <c r="AA173" i="46"/>
  <c r="AC11" i="28"/>
  <c r="AA72" i="27"/>
  <c r="V63" i="27"/>
  <c r="V65" i="27"/>
  <c r="V35" i="27" s="1"/>
  <c r="K72" i="26"/>
  <c r="K201" i="46" s="1"/>
  <c r="K180" i="46"/>
  <c r="K74" i="26"/>
  <c r="K68" i="26"/>
  <c r="K32" i="26"/>
  <c r="K28" i="26"/>
  <c r="K181" i="46" s="1"/>
  <c r="AA20" i="27"/>
  <c r="Z17" i="27"/>
  <c r="Z59" i="26"/>
  <c r="AA13" i="27"/>
  <c r="U161" i="46"/>
  <c r="U69" i="28"/>
  <c r="W65" i="28"/>
  <c r="F11" i="41"/>
  <c r="O14" i="40"/>
  <c r="Q225" i="46" s="1"/>
  <c r="G68" i="26"/>
  <c r="G72" i="26"/>
  <c r="G201" i="46" s="1"/>
  <c r="G32" i="26"/>
  <c r="G74" i="26"/>
  <c r="G180" i="46"/>
  <c r="G28" i="26"/>
  <c r="G181" i="46" s="1"/>
  <c r="N68" i="26"/>
  <c r="N72" i="26"/>
  <c r="N201" i="46" s="1"/>
  <c r="N180" i="46"/>
  <c r="N74" i="26"/>
  <c r="N28" i="26"/>
  <c r="N181" i="46" s="1"/>
  <c r="N32" i="26"/>
  <c r="AA11" i="13"/>
  <c r="AA40" i="27"/>
  <c r="Y11" i="13"/>
  <c r="Z11" i="13" s="1"/>
  <c r="AA12" i="13"/>
  <c r="AB15" i="27"/>
  <c r="AA68" i="13"/>
  <c r="AB14" i="27"/>
  <c r="C69" i="26"/>
  <c r="C70" i="26"/>
  <c r="C199" i="46" s="1"/>
  <c r="C71" i="26"/>
  <c r="C200" i="46" s="1"/>
  <c r="C45" i="26"/>
  <c r="C183" i="46"/>
  <c r="C49" i="26"/>
  <c r="C46" i="26"/>
  <c r="C184" i="46" s="1"/>
  <c r="Z63" i="13"/>
  <c r="AB41" i="27"/>
  <c r="AC41" i="27" s="1"/>
  <c r="AB11" i="28"/>
  <c r="AD12" i="28"/>
  <c r="Z11" i="28"/>
  <c r="X173" i="46"/>
  <c r="AD63" i="28"/>
  <c r="X61" i="26"/>
  <c r="Z49" i="13"/>
  <c r="Z54" i="13" s="1"/>
  <c r="U68" i="28" l="1"/>
  <c r="U172" i="46" s="1"/>
  <c r="AI48" i="26"/>
  <c r="AH56" i="26"/>
  <c r="AH65" i="13" s="1"/>
  <c r="AH23" i="28"/>
  <c r="AI23" i="28" s="1"/>
  <c r="AI24" i="28" s="1"/>
  <c r="W53" i="28"/>
  <c r="W167" i="46"/>
  <c r="W51" i="28"/>
  <c r="H35" i="26"/>
  <c r="H43" i="26"/>
  <c r="H62" i="26"/>
  <c r="H33" i="26"/>
  <c r="G44" i="37"/>
  <c r="H44" i="37"/>
  <c r="Y173" i="46"/>
  <c r="E33" i="26"/>
  <c r="E35" i="26"/>
  <c r="E62" i="26"/>
  <c r="E43" i="26"/>
  <c r="AB49" i="13"/>
  <c r="F33" i="26"/>
  <c r="F35" i="26"/>
  <c r="F43" i="26"/>
  <c r="F62" i="26"/>
  <c r="Z33" i="28"/>
  <c r="X33" i="28"/>
  <c r="G33" i="26"/>
  <c r="G43" i="26"/>
  <c r="G62" i="26"/>
  <c r="Z61" i="26"/>
  <c r="Z60" i="26" s="1"/>
  <c r="X31" i="26"/>
  <c r="G11" i="41"/>
  <c r="G12" i="41" s="1"/>
  <c r="H230" i="46"/>
  <c r="E230" i="46"/>
  <c r="K230" i="46" s="1"/>
  <c r="X11" i="41"/>
  <c r="F12" i="41"/>
  <c r="O33" i="26"/>
  <c r="O43" i="26"/>
  <c r="O35" i="26"/>
  <c r="O62" i="26"/>
  <c r="AB74" i="27"/>
  <c r="AB13" i="13"/>
  <c r="AC13" i="13" s="1"/>
  <c r="AC16" i="27"/>
  <c r="AD16" i="27" s="1"/>
  <c r="L35" i="26"/>
  <c r="L33" i="26"/>
  <c r="L62" i="26"/>
  <c r="L43" i="26"/>
  <c r="N35" i="26"/>
  <c r="N33" i="26"/>
  <c r="N43" i="26"/>
  <c r="N62" i="26"/>
  <c r="Q183" i="46"/>
  <c r="Q70" i="26"/>
  <c r="Q199" i="46" s="1"/>
  <c r="Q69" i="26"/>
  <c r="Q46" i="26"/>
  <c r="Q184" i="46" s="1"/>
  <c r="Q49" i="26"/>
  <c r="Q45" i="26"/>
  <c r="E21" i="37"/>
  <c r="E22" i="37" s="1"/>
  <c r="Q71" i="26"/>
  <c r="Q200" i="46" s="1"/>
  <c r="P33" i="26"/>
  <c r="P43" i="26"/>
  <c r="P62" i="26"/>
  <c r="AE90" i="28"/>
  <c r="AD96" i="28"/>
  <c r="K33" i="26"/>
  <c r="K43" i="26"/>
  <c r="K35" i="26"/>
  <c r="K62" i="26"/>
  <c r="AE63" i="28"/>
  <c r="V14" i="28"/>
  <c r="AB68" i="13"/>
  <c r="AC68" i="13" s="1"/>
  <c r="AC14" i="27"/>
  <c r="AD14" i="27" s="1"/>
  <c r="U70" i="28"/>
  <c r="U77" i="28"/>
  <c r="U73" i="28"/>
  <c r="U8" i="26"/>
  <c r="U114" i="28"/>
  <c r="U81" i="28"/>
  <c r="Z12" i="28"/>
  <c r="Z173" i="46"/>
  <c r="E221" i="46"/>
  <c r="K221" i="46" s="1"/>
  <c r="W9" i="41"/>
  <c r="N221" i="46" s="1"/>
  <c r="AH48" i="28"/>
  <c r="AH47" i="28" s="1"/>
  <c r="AG47" i="28"/>
  <c r="AE80" i="27"/>
  <c r="AC24" i="28"/>
  <c r="J33" i="26"/>
  <c r="J43" i="26"/>
  <c r="J62" i="26"/>
  <c r="V26" i="28"/>
  <c r="V29" i="28"/>
  <c r="AE12" i="28"/>
  <c r="AD11" i="28"/>
  <c r="M180" i="46"/>
  <c r="M32" i="26"/>
  <c r="M68" i="26"/>
  <c r="M28" i="26"/>
  <c r="M181" i="46" s="1"/>
  <c r="M74" i="26"/>
  <c r="M72" i="26"/>
  <c r="M201" i="46" s="1"/>
  <c r="H16" i="37"/>
  <c r="G16" i="37"/>
  <c r="I16" i="37"/>
  <c r="AA59" i="26"/>
  <c r="AA61" i="26" s="1"/>
  <c r="AB13" i="27"/>
  <c r="AA63" i="13"/>
  <c r="AA17" i="27"/>
  <c r="AH9" i="27"/>
  <c r="AE60" i="28"/>
  <c r="AD59" i="28"/>
  <c r="V10" i="13"/>
  <c r="W10" i="13" s="1"/>
  <c r="V26" i="26"/>
  <c r="W26" i="26" s="1"/>
  <c r="W63" i="27"/>
  <c r="AB35" i="28"/>
  <c r="AB173" i="46" s="1"/>
  <c r="C17" i="41"/>
  <c r="C57" i="36" s="1"/>
  <c r="AB52" i="13"/>
  <c r="AC52" i="13" s="1"/>
  <c r="F19" i="37"/>
  <c r="I18" i="37"/>
  <c r="H18" i="37"/>
  <c r="G18" i="37"/>
  <c r="AE73" i="27"/>
  <c r="S62" i="26"/>
  <c r="S33" i="26"/>
  <c r="S43" i="26"/>
  <c r="AA67" i="13"/>
  <c r="AB20" i="27"/>
  <c r="D71" i="26"/>
  <c r="D200" i="46" s="1"/>
  <c r="D49" i="26"/>
  <c r="D70" i="26"/>
  <c r="D199" i="46" s="1"/>
  <c r="D69" i="26"/>
  <c r="D183" i="46"/>
  <c r="D46" i="26"/>
  <c r="D184" i="46" s="1"/>
  <c r="AB54" i="13"/>
  <c r="I43" i="26"/>
  <c r="I33" i="26"/>
  <c r="I35" i="26"/>
  <c r="I62" i="26"/>
  <c r="C76" i="26"/>
  <c r="C187" i="46" s="1"/>
  <c r="C186" i="46"/>
  <c r="W165" i="46"/>
  <c r="W39" i="28"/>
  <c r="W17" i="13"/>
  <c r="W69" i="13"/>
  <c r="AB72" i="27"/>
  <c r="Z57" i="28"/>
  <c r="X57" i="28"/>
  <c r="W10" i="41"/>
  <c r="N222" i="46" s="1"/>
  <c r="E222" i="46"/>
  <c r="K222" i="46" s="1"/>
  <c r="R189" i="46"/>
  <c r="R190" i="46"/>
  <c r="R191" i="46"/>
  <c r="R192" i="46"/>
  <c r="R193" i="46"/>
  <c r="AC12" i="28"/>
  <c r="AB12" i="13"/>
  <c r="AC12" i="13" s="1"/>
  <c r="AC15" i="27"/>
  <c r="AD15" i="27" s="1"/>
  <c r="W35" i="27"/>
  <c r="W43" i="27" s="1"/>
  <c r="V43" i="27"/>
  <c r="I11" i="41"/>
  <c r="I12" i="41" s="1"/>
  <c r="R11" i="41"/>
  <c r="R12" i="41" s="1"/>
  <c r="J11" i="41"/>
  <c r="P11" i="41"/>
  <c r="P12" i="41" s="1"/>
  <c r="H12" i="41"/>
  <c r="AD41" i="27"/>
  <c r="Y17" i="13"/>
  <c r="Y69" i="13"/>
  <c r="Y70" i="13" s="1"/>
  <c r="AB11" i="13"/>
  <c r="AC11" i="13" s="1"/>
  <c r="AB40" i="27"/>
  <c r="AC40" i="27" s="1"/>
  <c r="F21" i="37"/>
  <c r="T69" i="26"/>
  <c r="T45" i="26"/>
  <c r="T183" i="46"/>
  <c r="T70" i="26"/>
  <c r="T199" i="46" s="1"/>
  <c r="T49" i="26"/>
  <c r="T46" i="26"/>
  <c r="T184" i="46" s="1"/>
  <c r="T71" i="26"/>
  <c r="T200" i="46" s="1"/>
  <c r="N220" i="46"/>
  <c r="AD37" i="27"/>
  <c r="V41" i="28"/>
  <c r="AC49" i="13"/>
  <c r="AC54" i="13" s="1"/>
  <c r="H183" i="46" l="1"/>
  <c r="H70" i="26"/>
  <c r="H199" i="46" s="1"/>
  <c r="H45" i="26"/>
  <c r="H69" i="26"/>
  <c r="H71" i="26"/>
  <c r="H200" i="46" s="1"/>
  <c r="H49" i="26"/>
  <c r="H46" i="26"/>
  <c r="H184" i="46" s="1"/>
  <c r="Z45" i="28"/>
  <c r="X45" i="28"/>
  <c r="X50" i="28" s="1"/>
  <c r="AI47" i="28"/>
  <c r="AI48" i="28" s="1"/>
  <c r="E183" i="46"/>
  <c r="E69" i="26"/>
  <c r="E70" i="26"/>
  <c r="E199" i="46" s="1"/>
  <c r="E46" i="26"/>
  <c r="E184" i="46" s="1"/>
  <c r="E49" i="26"/>
  <c r="E45" i="26"/>
  <c r="E71" i="26"/>
  <c r="E200" i="46" s="1"/>
  <c r="F45" i="26"/>
  <c r="F49" i="26"/>
  <c r="F46" i="26"/>
  <c r="F184" i="46" s="1"/>
  <c r="F69" i="26"/>
  <c r="F183" i="46"/>
  <c r="F71" i="26"/>
  <c r="F200" i="46" s="1"/>
  <c r="F70" i="26"/>
  <c r="F199" i="46" s="1"/>
  <c r="AD72" i="27"/>
  <c r="AA31" i="26"/>
  <c r="AE41" i="27"/>
  <c r="AF41" i="27" s="1"/>
  <c r="AE52" i="13"/>
  <c r="AG63" i="28"/>
  <c r="E24" i="37"/>
  <c r="Q55" i="26"/>
  <c r="Q186" i="46"/>
  <c r="Q76" i="26"/>
  <c r="Q187" i="46" s="1"/>
  <c r="AE16" i="27"/>
  <c r="AD13" i="13"/>
  <c r="AD52" i="13"/>
  <c r="T186" i="46"/>
  <c r="F24" i="37"/>
  <c r="T76" i="26"/>
  <c r="T187" i="46" s="1"/>
  <c r="T55" i="26"/>
  <c r="C52" i="40"/>
  <c r="W65" i="27"/>
  <c r="D41" i="36"/>
  <c r="W67" i="27"/>
  <c r="J183" i="46"/>
  <c r="J69" i="26"/>
  <c r="J49" i="26"/>
  <c r="J46" i="26"/>
  <c r="J184" i="46" s="1"/>
  <c r="J71" i="26"/>
  <c r="J200" i="46" s="1"/>
  <c r="J70" i="26"/>
  <c r="J199" i="46" s="1"/>
  <c r="AD74" i="27"/>
  <c r="U207" i="46"/>
  <c r="E225" i="46"/>
  <c r="W11" i="41"/>
  <c r="N225" i="46" s="1"/>
  <c r="J12" i="41"/>
  <c r="I45" i="26"/>
  <c r="I69" i="26"/>
  <c r="I183" i="46"/>
  <c r="I71" i="26"/>
  <c r="I200" i="46" s="1"/>
  <c r="I49" i="26"/>
  <c r="I46" i="26"/>
  <c r="I184" i="46" s="1"/>
  <c r="I70" i="26"/>
  <c r="I199" i="46" s="1"/>
  <c r="AE37" i="27"/>
  <c r="AF37" i="27" s="1"/>
  <c r="AI9" i="27"/>
  <c r="P71" i="26"/>
  <c r="P200" i="46" s="1"/>
  <c r="P46" i="26"/>
  <c r="P184" i="46" s="1"/>
  <c r="P49" i="26"/>
  <c r="P70" i="26"/>
  <c r="P199" i="46" s="1"/>
  <c r="P183" i="46"/>
  <c r="P69" i="26"/>
  <c r="O70" i="26"/>
  <c r="O199" i="46" s="1"/>
  <c r="O46" i="26"/>
  <c r="O184" i="46" s="1"/>
  <c r="O71" i="26"/>
  <c r="O200" i="46" s="1"/>
  <c r="O183" i="46"/>
  <c r="O69" i="26"/>
  <c r="O45" i="26"/>
  <c r="O49" i="26"/>
  <c r="AD49" i="13"/>
  <c r="X62" i="28"/>
  <c r="D76" i="26"/>
  <c r="D187" i="46" s="1"/>
  <c r="D186" i="46"/>
  <c r="L71" i="26"/>
  <c r="L200" i="46" s="1"/>
  <c r="L70" i="26"/>
  <c r="L199" i="46" s="1"/>
  <c r="L46" i="26"/>
  <c r="L184" i="46" s="1"/>
  <c r="L183" i="46"/>
  <c r="L49" i="26"/>
  <c r="L69" i="26"/>
  <c r="L45" i="26"/>
  <c r="X38" i="28"/>
  <c r="X41" i="28"/>
  <c r="Y33" i="28" s="1"/>
  <c r="G19" i="37"/>
  <c r="H19" i="37"/>
  <c r="I19" i="37"/>
  <c r="AD173" i="46"/>
  <c r="V161" i="46"/>
  <c r="V69" i="28"/>
  <c r="W14" i="28"/>
  <c r="W12" i="41"/>
  <c r="AE15" i="27"/>
  <c r="AD12" i="13"/>
  <c r="AB67" i="13"/>
  <c r="AC67" i="13" s="1"/>
  <c r="AC20" i="27"/>
  <c r="AB17" i="27"/>
  <c r="AB59" i="26"/>
  <c r="AB61" i="26" s="1"/>
  <c r="AB31" i="26" s="1"/>
  <c r="AB63" i="13"/>
  <c r="AC13" i="27"/>
  <c r="AE11" i="28"/>
  <c r="AF11" i="28" s="1"/>
  <c r="AG12" i="28"/>
  <c r="V17" i="28"/>
  <c r="V68" i="28" s="1"/>
  <c r="V172" i="46" s="1"/>
  <c r="C192" i="46"/>
  <c r="C191" i="46"/>
  <c r="C189" i="46"/>
  <c r="C193" i="46"/>
  <c r="C190" i="46"/>
  <c r="V163" i="46"/>
  <c r="W26" i="28"/>
  <c r="AE35" i="28"/>
  <c r="AF35" i="28" s="1"/>
  <c r="AC35" i="28"/>
  <c r="S71" i="26"/>
  <c r="S200" i="46" s="1"/>
  <c r="S70" i="26"/>
  <c r="S199" i="46" s="1"/>
  <c r="S46" i="26"/>
  <c r="S184" i="46" s="1"/>
  <c r="S49" i="26"/>
  <c r="S183" i="46"/>
  <c r="S69" i="26"/>
  <c r="U197" i="46"/>
  <c r="X17" i="13"/>
  <c r="Z17" i="13" s="1"/>
  <c r="Z31" i="26"/>
  <c r="X69" i="13"/>
  <c r="Z69" i="13" s="1"/>
  <c r="U48" i="27"/>
  <c r="U26" i="27"/>
  <c r="U37" i="13" s="1"/>
  <c r="U75" i="26"/>
  <c r="U9" i="26"/>
  <c r="U20" i="26"/>
  <c r="U157" i="46"/>
  <c r="U53" i="27"/>
  <c r="U14" i="26"/>
  <c r="U22" i="26"/>
  <c r="U25" i="27"/>
  <c r="U38" i="13" s="1"/>
  <c r="U51" i="27"/>
  <c r="U24" i="27"/>
  <c r="U36" i="13" s="1"/>
  <c r="U80" i="13"/>
  <c r="K183" i="46"/>
  <c r="K69" i="26"/>
  <c r="K46" i="26"/>
  <c r="K184" i="46" s="1"/>
  <c r="K71" i="26"/>
  <c r="K200" i="46" s="1"/>
  <c r="K70" i="26"/>
  <c r="K199" i="46" s="1"/>
  <c r="K45" i="26"/>
  <c r="K49" i="26"/>
  <c r="U85" i="28"/>
  <c r="U196" i="46"/>
  <c r="G70" i="26"/>
  <c r="G199" i="46" s="1"/>
  <c r="G46" i="26"/>
  <c r="G184" i="46" s="1"/>
  <c r="G69" i="26"/>
  <c r="G183" i="46"/>
  <c r="G71" i="26"/>
  <c r="G200" i="46" s="1"/>
  <c r="G49" i="26"/>
  <c r="AG80" i="27"/>
  <c r="U102" i="28"/>
  <c r="U95" i="28"/>
  <c r="U92" i="28"/>
  <c r="U125" i="28"/>
  <c r="U89" i="28"/>
  <c r="N183" i="46"/>
  <c r="N70" i="26"/>
  <c r="N199" i="46" s="1"/>
  <c r="N46" i="26"/>
  <c r="N184" i="46" s="1"/>
  <c r="N69" i="26"/>
  <c r="N49" i="26"/>
  <c r="N71" i="26"/>
  <c r="N200" i="46" s="1"/>
  <c r="N45" i="26"/>
  <c r="G21" i="37"/>
  <c r="F22" i="37"/>
  <c r="H21" i="37"/>
  <c r="I21" i="37"/>
  <c r="AG73" i="27"/>
  <c r="AG60" i="28"/>
  <c r="AE59" i="28"/>
  <c r="AF59" i="28" s="1"/>
  <c r="AF60" i="28" s="1"/>
  <c r="AG90" i="28"/>
  <c r="AE96" i="28"/>
  <c r="AD40" i="27"/>
  <c r="M43" i="26"/>
  <c r="M33" i="26"/>
  <c r="M62" i="26"/>
  <c r="AD68" i="13"/>
  <c r="AE14" i="27"/>
  <c r="X53" i="28" l="1"/>
  <c r="Y45" i="28" s="1"/>
  <c r="X167" i="46"/>
  <c r="F186" i="46"/>
  <c r="F76" i="26"/>
  <c r="F187" i="46" s="1"/>
  <c r="H186" i="46"/>
  <c r="H55" i="26"/>
  <c r="H76" i="26"/>
  <c r="H187" i="46" s="1"/>
  <c r="E76" i="26"/>
  <c r="E187" i="46" s="1"/>
  <c r="E186" i="46"/>
  <c r="E55" i="26"/>
  <c r="AF12" i="28"/>
  <c r="AF173" i="46"/>
  <c r="AH90" i="28"/>
  <c r="AH96" i="28" s="1"/>
  <c r="AG96" i="28"/>
  <c r="K55" i="26"/>
  <c r="K186" i="46"/>
  <c r="K76" i="26"/>
  <c r="K187" i="46" s="1"/>
  <c r="U34" i="13"/>
  <c r="S186" i="46"/>
  <c r="S76" i="26"/>
  <c r="S187" i="46" s="1"/>
  <c r="W15" i="28"/>
  <c r="W69" i="28"/>
  <c r="W161" i="46"/>
  <c r="W17" i="28"/>
  <c r="AH80" i="27"/>
  <c r="V114" i="28"/>
  <c r="V8" i="26"/>
  <c r="V81" i="28"/>
  <c r="V77" i="28"/>
  <c r="V73" i="28"/>
  <c r="V70" i="28"/>
  <c r="X165" i="46"/>
  <c r="AC17" i="27"/>
  <c r="AC59" i="26"/>
  <c r="AD13" i="27"/>
  <c r="AC36" i="28"/>
  <c r="AC173" i="46"/>
  <c r="Z62" i="27"/>
  <c r="X62" i="27"/>
  <c r="AE68" i="13"/>
  <c r="AF68" i="13" s="1"/>
  <c r="AF14" i="27"/>
  <c r="AG14" i="27" s="1"/>
  <c r="AB17" i="13"/>
  <c r="AB69" i="13"/>
  <c r="AB70" i="13" s="1"/>
  <c r="AH35" i="28"/>
  <c r="AI35" i="28" s="1"/>
  <c r="AI36" i="28" s="1"/>
  <c r="G22" i="37"/>
  <c r="H22" i="37"/>
  <c r="I22" i="37"/>
  <c r="U117" i="28"/>
  <c r="U103" i="28"/>
  <c r="U123" i="28"/>
  <c r="U98" i="28"/>
  <c r="AD20" i="27"/>
  <c r="AE74" i="27"/>
  <c r="I24" i="37"/>
  <c r="H24" i="37"/>
  <c r="G24" i="37"/>
  <c r="AC31" i="26"/>
  <c r="AA69" i="13"/>
  <c r="AC69" i="13" s="1"/>
  <c r="AA17" i="13"/>
  <c r="M69" i="26"/>
  <c r="M71" i="26"/>
  <c r="M200" i="46" s="1"/>
  <c r="M183" i="46"/>
  <c r="M70" i="26"/>
  <c r="M199" i="46" s="1"/>
  <c r="M46" i="26"/>
  <c r="M184" i="46" s="1"/>
  <c r="M49" i="26"/>
  <c r="U33" i="13"/>
  <c r="D192" i="46"/>
  <c r="D193" i="46"/>
  <c r="D189" i="46"/>
  <c r="D190" i="46"/>
  <c r="D191" i="46"/>
  <c r="T193" i="46"/>
  <c r="T191" i="46"/>
  <c r="T189" i="46"/>
  <c r="T190" i="46"/>
  <c r="T192" i="46"/>
  <c r="AC61" i="26"/>
  <c r="AC60" i="26" s="1"/>
  <c r="AF52" i="13"/>
  <c r="U105" i="28"/>
  <c r="Y38" i="28"/>
  <c r="Y165" i="46" s="1"/>
  <c r="AF49" i="13"/>
  <c r="AF54" i="13" s="1"/>
  <c r="AD54" i="13"/>
  <c r="Q191" i="46"/>
  <c r="Q190" i="46"/>
  <c r="Q193" i="46"/>
  <c r="Q192" i="46"/>
  <c r="Q189" i="46"/>
  <c r="U158" i="46"/>
  <c r="U168" i="46"/>
  <c r="U175" i="46"/>
  <c r="U170" i="46"/>
  <c r="U164" i="46"/>
  <c r="U162" i="46"/>
  <c r="U166" i="46"/>
  <c r="U174" i="46"/>
  <c r="AH12" i="28"/>
  <c r="AH11" i="28" s="1"/>
  <c r="AG11" i="28"/>
  <c r="O186" i="46"/>
  <c r="O76" i="26"/>
  <c r="O187" i="46" s="1"/>
  <c r="AH60" i="28"/>
  <c r="AH59" i="28" s="1"/>
  <c r="AG59" i="28"/>
  <c r="AI59" i="28" s="1"/>
  <c r="AI60" i="28" s="1"/>
  <c r="AE173" i="46"/>
  <c r="AG37" i="27"/>
  <c r="AG49" i="13" s="1"/>
  <c r="N55" i="26"/>
  <c r="N76" i="26"/>
  <c r="N187" i="46" s="1"/>
  <c r="N186" i="46"/>
  <c r="AE49" i="13"/>
  <c r="AE54" i="13" s="1"/>
  <c r="AH73" i="27"/>
  <c r="L186" i="46"/>
  <c r="L76" i="26"/>
  <c r="L187" i="46" s="1"/>
  <c r="L55" i="26"/>
  <c r="K225" i="46"/>
  <c r="H231" i="46"/>
  <c r="H229" i="46"/>
  <c r="E229" i="46"/>
  <c r="K229" i="46" s="1"/>
  <c r="E231" i="46"/>
  <c r="AH63" i="28"/>
  <c r="G76" i="26"/>
  <c r="G187" i="46" s="1"/>
  <c r="G186" i="46"/>
  <c r="AF36" i="28"/>
  <c r="AC63" i="13"/>
  <c r="U32" i="13"/>
  <c r="I76" i="26"/>
  <c r="I187" i="46" s="1"/>
  <c r="I186" i="46"/>
  <c r="AG41" i="27"/>
  <c r="AG52" i="13" s="1"/>
  <c r="W163" i="46"/>
  <c r="W27" i="28"/>
  <c r="W29" i="28"/>
  <c r="AE40" i="27"/>
  <c r="AF40" i="27" s="1"/>
  <c r="U118" i="28"/>
  <c r="U124" i="28"/>
  <c r="AF15" i="27"/>
  <c r="AG15" i="27" s="1"/>
  <c r="AE12" i="13"/>
  <c r="AF12" i="13" s="1"/>
  <c r="X169" i="46"/>
  <c r="P186" i="46"/>
  <c r="P76" i="26"/>
  <c r="P187" i="46" s="1"/>
  <c r="AD11" i="13"/>
  <c r="U109" i="28"/>
  <c r="U110" i="28" s="1"/>
  <c r="U45" i="27"/>
  <c r="U23" i="27"/>
  <c r="X65" i="28"/>
  <c r="Y57" i="28" s="1"/>
  <c r="AE13" i="13"/>
  <c r="AF13" i="13" s="1"/>
  <c r="AF16" i="27"/>
  <c r="AG16" i="27" s="1"/>
  <c r="AE72" i="27"/>
  <c r="U17" i="26"/>
  <c r="J186" i="46"/>
  <c r="J76" i="26"/>
  <c r="J187" i="46" s="1"/>
  <c r="H189" i="46" l="1"/>
  <c r="H190" i="46"/>
  <c r="H191" i="46"/>
  <c r="H192" i="46"/>
  <c r="H193" i="46"/>
  <c r="E192" i="46"/>
  <c r="E193" i="46"/>
  <c r="E190" i="46"/>
  <c r="E189" i="46"/>
  <c r="E191" i="46"/>
  <c r="F191" i="46"/>
  <c r="F193" i="46"/>
  <c r="F190" i="46"/>
  <c r="F192" i="46"/>
  <c r="F189" i="46"/>
  <c r="Y50" i="28"/>
  <c r="AG54" i="13"/>
  <c r="AG72" i="27"/>
  <c r="U106" i="28"/>
  <c r="U195" i="46"/>
  <c r="W114" i="28"/>
  <c r="W207" i="46" s="1"/>
  <c r="W8" i="26"/>
  <c r="W70" i="28"/>
  <c r="I193" i="46"/>
  <c r="I189" i="46"/>
  <c r="I191" i="46"/>
  <c r="I192" i="46"/>
  <c r="I190" i="46"/>
  <c r="Y62" i="28"/>
  <c r="AG74" i="27"/>
  <c r="Z38" i="28"/>
  <c r="U28" i="27"/>
  <c r="U35" i="13"/>
  <c r="AG12" i="13"/>
  <c r="AH15" i="27"/>
  <c r="M186" i="46"/>
  <c r="M76" i="26"/>
  <c r="M187" i="46" s="1"/>
  <c r="S193" i="46"/>
  <c r="S189" i="46"/>
  <c r="S190" i="46"/>
  <c r="S191" i="46"/>
  <c r="S192" i="46"/>
  <c r="U31" i="13"/>
  <c r="U95" i="27"/>
  <c r="U96" i="27" s="1"/>
  <c r="AD67" i="13"/>
  <c r="AE20" i="27"/>
  <c r="L191" i="46"/>
  <c r="L193" i="46"/>
  <c r="L189" i="46"/>
  <c r="L190" i="46"/>
  <c r="L192" i="46"/>
  <c r="AG68" i="13"/>
  <c r="AH14" i="27"/>
  <c r="V196" i="46"/>
  <c r="V85" i="28"/>
  <c r="W85" i="28" s="1"/>
  <c r="W73" i="28"/>
  <c r="V92" i="28"/>
  <c r="V125" i="28"/>
  <c r="V95" i="28"/>
  <c r="W95" i="28" s="1"/>
  <c r="V89" i="28"/>
  <c r="V102" i="28"/>
  <c r="W77" i="28"/>
  <c r="O189" i="46"/>
  <c r="O190" i="46"/>
  <c r="O191" i="46"/>
  <c r="O193" i="46"/>
  <c r="O192" i="46"/>
  <c r="X63" i="27"/>
  <c r="V197" i="46"/>
  <c r="W81" i="28"/>
  <c r="K190" i="46"/>
  <c r="K189" i="46"/>
  <c r="K191" i="46"/>
  <c r="K192" i="46"/>
  <c r="K193" i="46"/>
  <c r="J191" i="46"/>
  <c r="J190" i="46"/>
  <c r="J193" i="46"/>
  <c r="J192" i="46"/>
  <c r="J189" i="46"/>
  <c r="AG40" i="27"/>
  <c r="G190" i="46"/>
  <c r="G192" i="46"/>
  <c r="G193" i="46"/>
  <c r="G191" i="46"/>
  <c r="G189" i="46"/>
  <c r="AI11" i="28"/>
  <c r="AG173" i="46"/>
  <c r="U126" i="28"/>
  <c r="V26" i="27"/>
  <c r="V48" i="27"/>
  <c r="V53" i="27"/>
  <c r="V20" i="26"/>
  <c r="W20" i="26" s="1"/>
  <c r="V75" i="26"/>
  <c r="V9" i="26"/>
  <c r="V51" i="27"/>
  <c r="V22" i="26"/>
  <c r="W22" i="26" s="1"/>
  <c r="V157" i="46"/>
  <c r="V14" i="26"/>
  <c r="V25" i="27"/>
  <c r="V24" i="27"/>
  <c r="V80" i="13"/>
  <c r="AE11" i="13"/>
  <c r="AF11" i="13" s="1"/>
  <c r="AH173" i="46"/>
  <c r="AC17" i="13"/>
  <c r="V207" i="46"/>
  <c r="AH41" i="27"/>
  <c r="AI41" i="27" s="1"/>
  <c r="AG13" i="13"/>
  <c r="AH16" i="27"/>
  <c r="AH37" i="27"/>
  <c r="AI37" i="27" s="1"/>
  <c r="U18" i="26"/>
  <c r="U66" i="26"/>
  <c r="U23" i="26"/>
  <c r="U111" i="28" s="1"/>
  <c r="X21" i="28"/>
  <c r="Z21" i="28"/>
  <c r="U119" i="28"/>
  <c r="P189" i="46"/>
  <c r="P191" i="46"/>
  <c r="P193" i="46"/>
  <c r="P190" i="46"/>
  <c r="P192" i="46"/>
  <c r="N189" i="46"/>
  <c r="N192" i="46"/>
  <c r="N193" i="46"/>
  <c r="N190" i="46"/>
  <c r="N191" i="46"/>
  <c r="AE13" i="27"/>
  <c r="AD59" i="26"/>
  <c r="AD61" i="26" s="1"/>
  <c r="AD17" i="27"/>
  <c r="AD63" i="13"/>
  <c r="K231" i="46"/>
  <c r="Y41" i="28"/>
  <c r="X9" i="28"/>
  <c r="W68" i="28"/>
  <c r="W172" i="46" s="1"/>
  <c r="Z9" i="28"/>
  <c r="Y167" i="46" l="1"/>
  <c r="Z50" i="28"/>
  <c r="Y53" i="28"/>
  <c r="V37" i="13"/>
  <c r="W37" i="13" s="1"/>
  <c r="W26" i="27"/>
  <c r="AI15" i="27"/>
  <c r="AH12" i="13"/>
  <c r="U39" i="13"/>
  <c r="AH13" i="13"/>
  <c r="AI13" i="13" s="1"/>
  <c r="AI16" i="27"/>
  <c r="AI173" i="46"/>
  <c r="AI12" i="28"/>
  <c r="W75" i="26"/>
  <c r="W9" i="26"/>
  <c r="W157" i="46"/>
  <c r="W80" i="13"/>
  <c r="AD31" i="26"/>
  <c r="AF61" i="26"/>
  <c r="U120" i="28"/>
  <c r="U208" i="46"/>
  <c r="AH52" i="13"/>
  <c r="AI52" i="13" s="1"/>
  <c r="W51" i="27"/>
  <c r="V33" i="13"/>
  <c r="W33" i="13" s="1"/>
  <c r="AH74" i="27"/>
  <c r="AF13" i="27"/>
  <c r="AE63" i="13"/>
  <c r="AE17" i="27"/>
  <c r="AE59" i="26"/>
  <c r="AE61" i="26" s="1"/>
  <c r="AE31" i="26" s="1"/>
  <c r="V103" i="28"/>
  <c r="V105" i="28" s="1"/>
  <c r="V117" i="28"/>
  <c r="V123" i="28"/>
  <c r="V98" i="28"/>
  <c r="W89" i="28"/>
  <c r="W96" i="28"/>
  <c r="Y169" i="46"/>
  <c r="Z62" i="28"/>
  <c r="X26" i="28"/>
  <c r="W21" i="26"/>
  <c r="W82" i="28"/>
  <c r="W197" i="46"/>
  <c r="Y65" i="28"/>
  <c r="AH72" i="27"/>
  <c r="AH49" i="13"/>
  <c r="W24" i="27"/>
  <c r="V36" i="13"/>
  <c r="W36" i="13" s="1"/>
  <c r="U127" i="28"/>
  <c r="U209" i="46"/>
  <c r="W74" i="28"/>
  <c r="W196" i="46"/>
  <c r="AI12" i="13"/>
  <c r="V38" i="13"/>
  <c r="W38" i="13" s="1"/>
  <c r="W25" i="27"/>
  <c r="V45" i="27"/>
  <c r="V109" i="28"/>
  <c r="V110" i="28" s="1"/>
  <c r="V23" i="27"/>
  <c r="W14" i="26"/>
  <c r="W17" i="26" s="1"/>
  <c r="V158" i="46"/>
  <c r="V168" i="46"/>
  <c r="V175" i="46"/>
  <c r="V170" i="46"/>
  <c r="V166" i="46"/>
  <c r="V174" i="46"/>
  <c r="V164" i="46"/>
  <c r="V162" i="46"/>
  <c r="AH68" i="13"/>
  <c r="AI68" i="13" s="1"/>
  <c r="AI14" i="27"/>
  <c r="Z39" i="28"/>
  <c r="Z165" i="46"/>
  <c r="Z41" i="28"/>
  <c r="W58" i="26"/>
  <c r="X58" i="26" s="1"/>
  <c r="Y58" i="26" s="1"/>
  <c r="W78" i="28"/>
  <c r="W102" i="28"/>
  <c r="W174" i="46"/>
  <c r="U177" i="46"/>
  <c r="U89" i="27"/>
  <c r="U24" i="26"/>
  <c r="U178" i="46" s="1"/>
  <c r="U67" i="26"/>
  <c r="U65" i="26"/>
  <c r="U27" i="26"/>
  <c r="V17" i="26"/>
  <c r="AH40" i="27"/>
  <c r="AI40" i="27" s="1"/>
  <c r="X14" i="28"/>
  <c r="X17" i="28"/>
  <c r="W53" i="27"/>
  <c r="V34" i="13"/>
  <c r="W34" i="13" s="1"/>
  <c r="AG11" i="13"/>
  <c r="X26" i="26"/>
  <c r="X10" i="13"/>
  <c r="V118" i="28"/>
  <c r="W118" i="28" s="1"/>
  <c r="V124" i="28"/>
  <c r="W92" i="28"/>
  <c r="W93" i="28" s="1"/>
  <c r="M191" i="46"/>
  <c r="M192" i="46"/>
  <c r="M193" i="46"/>
  <c r="M190" i="46"/>
  <c r="M189" i="46"/>
  <c r="W48" i="27"/>
  <c r="W78" i="27" s="1"/>
  <c r="W79" i="27" s="1"/>
  <c r="V32" i="13"/>
  <c r="W32" i="13" s="1"/>
  <c r="X65" i="27"/>
  <c r="AF20" i="27"/>
  <c r="AE67" i="13"/>
  <c r="AF67" i="13" s="1"/>
  <c r="AH11" i="13" l="1"/>
  <c r="AI11" i="13" s="1"/>
  <c r="Z53" i="28"/>
  <c r="Z51" i="28"/>
  <c r="Z167" i="46"/>
  <c r="V106" i="28"/>
  <c r="V195" i="46"/>
  <c r="V119" i="28"/>
  <c r="W117" i="28"/>
  <c r="AG20" i="27"/>
  <c r="AD69" i="13"/>
  <c r="AF69" i="13" s="1"/>
  <c r="AF31" i="26"/>
  <c r="AD17" i="13"/>
  <c r="AF17" i="13" s="1"/>
  <c r="X163" i="46"/>
  <c r="AC33" i="28"/>
  <c r="AA33" i="28"/>
  <c r="W23" i="27"/>
  <c r="V35" i="13"/>
  <c r="W35" i="13" s="1"/>
  <c r="V28" i="27"/>
  <c r="W72" i="27"/>
  <c r="W80" i="27"/>
  <c r="AF63" i="13"/>
  <c r="V66" i="26"/>
  <c r="V18" i="26"/>
  <c r="V23" i="26"/>
  <c r="AH54" i="13"/>
  <c r="AI49" i="13"/>
  <c r="AI54" i="13" s="1"/>
  <c r="W98" i="28"/>
  <c r="W90" i="28"/>
  <c r="W103" i="28"/>
  <c r="W213" i="46" s="1"/>
  <c r="W73" i="27"/>
  <c r="U28" i="26"/>
  <c r="U181" i="46" s="1"/>
  <c r="U68" i="26"/>
  <c r="U180" i="46"/>
  <c r="U32" i="26"/>
  <c r="U74" i="26"/>
  <c r="W45" i="27"/>
  <c r="W76" i="27" s="1"/>
  <c r="W77" i="27" s="1"/>
  <c r="W91" i="27" s="1"/>
  <c r="V95" i="27"/>
  <c r="V96" i="27" s="1"/>
  <c r="V31" i="13"/>
  <c r="V126" i="28"/>
  <c r="W74" i="27"/>
  <c r="AE69" i="13"/>
  <c r="AE70" i="13" s="1"/>
  <c r="AE17" i="13"/>
  <c r="Y62" i="27"/>
  <c r="X35" i="27"/>
  <c r="X43" i="27" s="1"/>
  <c r="W203" i="46"/>
  <c r="W204" i="46" s="1"/>
  <c r="X29" i="28"/>
  <c r="Y21" i="28" s="1"/>
  <c r="AG13" i="27"/>
  <c r="AF59" i="26"/>
  <c r="AF60" i="26" s="1"/>
  <c r="AF17" i="27"/>
  <c r="W23" i="26"/>
  <c r="W66" i="26"/>
  <c r="W18" i="26"/>
  <c r="W81" i="27"/>
  <c r="W212" i="46"/>
  <c r="W158" i="46"/>
  <c r="W168" i="46"/>
  <c r="W175" i="46"/>
  <c r="W170" i="46"/>
  <c r="W166" i="46"/>
  <c r="W164" i="46"/>
  <c r="W162" i="46"/>
  <c r="Y9" i="28"/>
  <c r="Z63" i="28"/>
  <c r="Z169" i="46"/>
  <c r="Z65" i="28"/>
  <c r="X69" i="28"/>
  <c r="X161" i="46"/>
  <c r="W15" i="26"/>
  <c r="W70" i="27"/>
  <c r="W71" i="27" s="1"/>
  <c r="W109" i="28"/>
  <c r="W110" i="28" s="1"/>
  <c r="W111" i="28" l="1"/>
  <c r="AA45" i="28"/>
  <c r="AC45" i="28"/>
  <c r="W105" i="28"/>
  <c r="V127" i="28"/>
  <c r="V209" i="46"/>
  <c r="W126" i="28"/>
  <c r="Y26" i="28"/>
  <c r="X77" i="28"/>
  <c r="X8" i="26"/>
  <c r="X114" i="28"/>
  <c r="X81" i="28"/>
  <c r="X73" i="28"/>
  <c r="X70" i="28"/>
  <c r="X68" i="28"/>
  <c r="X172" i="46" s="1"/>
  <c r="U8" i="13"/>
  <c r="U33" i="26"/>
  <c r="U41" i="26"/>
  <c r="U43" i="26" s="1"/>
  <c r="AA38" i="28"/>
  <c r="V67" i="26"/>
  <c r="V27" i="26"/>
  <c r="V24" i="26"/>
  <c r="V178" i="46" s="1"/>
  <c r="V89" i="27"/>
  <c r="V65" i="26"/>
  <c r="V177" i="46"/>
  <c r="W177" i="46"/>
  <c r="W89" i="27"/>
  <c r="W65" i="26"/>
  <c r="W27" i="26"/>
  <c r="W67" i="26"/>
  <c r="W24" i="26"/>
  <c r="W178" i="46" s="1"/>
  <c r="AG63" i="13"/>
  <c r="AG17" i="27"/>
  <c r="AG59" i="26"/>
  <c r="AG61" i="26" s="1"/>
  <c r="AH13" i="27"/>
  <c r="W106" i="28"/>
  <c r="W214" i="46"/>
  <c r="W195" i="46"/>
  <c r="W215" i="46"/>
  <c r="V39" i="13"/>
  <c r="W31" i="13"/>
  <c r="W39" i="13" s="1"/>
  <c r="AA57" i="28"/>
  <c r="AC57" i="28"/>
  <c r="AH20" i="27"/>
  <c r="AG67" i="13"/>
  <c r="W95" i="27"/>
  <c r="W96" i="27" s="1"/>
  <c r="D43" i="36" s="1"/>
  <c r="Y14" i="28"/>
  <c r="Y17" i="28"/>
  <c r="Y63" i="27"/>
  <c r="V111" i="28"/>
  <c r="W28" i="27"/>
  <c r="V208" i="46"/>
  <c r="V120" i="28"/>
  <c r="W119" i="28"/>
  <c r="AA50" i="28" l="1"/>
  <c r="AA53" i="28"/>
  <c r="AB45" i="28" s="1"/>
  <c r="W68" i="26"/>
  <c r="W74" i="26"/>
  <c r="W32" i="26"/>
  <c r="W28" i="26"/>
  <c r="W181" i="46" s="1"/>
  <c r="W180" i="46"/>
  <c r="D38" i="36"/>
  <c r="Y69" i="28"/>
  <c r="Y161" i="46"/>
  <c r="Z14" i="28"/>
  <c r="U183" i="46"/>
  <c r="U46" i="26"/>
  <c r="U184" i="46" s="1"/>
  <c r="U69" i="26"/>
  <c r="U49" i="26"/>
  <c r="U29" i="13"/>
  <c r="U40" i="13" s="1"/>
  <c r="W120" i="28"/>
  <c r="W208" i="46"/>
  <c r="X85" i="28"/>
  <c r="X196" i="46"/>
  <c r="X197" i="46"/>
  <c r="AH59" i="26"/>
  <c r="AH61" i="26" s="1"/>
  <c r="AH31" i="26" s="1"/>
  <c r="AH63" i="13"/>
  <c r="AI13" i="27"/>
  <c r="AH17" i="27"/>
  <c r="X207" i="46"/>
  <c r="AG31" i="26"/>
  <c r="X75" i="26"/>
  <c r="X53" i="27"/>
  <c r="X48" i="27"/>
  <c r="X9" i="26"/>
  <c r="X22" i="26"/>
  <c r="X20" i="26"/>
  <c r="X14" i="26"/>
  <c r="X157" i="46"/>
  <c r="X26" i="27"/>
  <c r="X51" i="27"/>
  <c r="X24" i="27"/>
  <c r="X80" i="13"/>
  <c r="X25" i="27"/>
  <c r="AI20" i="27"/>
  <c r="AH67" i="13"/>
  <c r="AI67" i="13" s="1"/>
  <c r="V28" i="26"/>
  <c r="V181" i="46" s="1"/>
  <c r="V74" i="26"/>
  <c r="V32" i="26"/>
  <c r="V68" i="26"/>
  <c r="V180" i="46"/>
  <c r="X89" i="28"/>
  <c r="X95" i="28"/>
  <c r="X102" i="28"/>
  <c r="X125" i="28"/>
  <c r="X92" i="28"/>
  <c r="AI63" i="13"/>
  <c r="Y163" i="46"/>
  <c r="Z26" i="28"/>
  <c r="AA62" i="28"/>
  <c r="AA165" i="46"/>
  <c r="Y29" i="28"/>
  <c r="Y68" i="28" s="1"/>
  <c r="Y172" i="46" s="1"/>
  <c r="Y26" i="26"/>
  <c r="Z26" i="26" s="1"/>
  <c r="Y10" i="13"/>
  <c r="Z10" i="13" s="1"/>
  <c r="Z63" i="27"/>
  <c r="AA41" i="28"/>
  <c r="AB33" i="28" s="1"/>
  <c r="Y65" i="27"/>
  <c r="Y35" i="27" s="1"/>
  <c r="U41" i="13"/>
  <c r="W127" i="28"/>
  <c r="W209" i="46"/>
  <c r="AB50" i="28" l="1"/>
  <c r="AB167" i="46" s="1"/>
  <c r="AB53" i="28"/>
  <c r="AI61" i="26"/>
  <c r="AA167" i="46"/>
  <c r="AC50" i="28"/>
  <c r="X38" i="13"/>
  <c r="AI31" i="26"/>
  <c r="AG17" i="13"/>
  <c r="AG69" i="13"/>
  <c r="X33" i="13"/>
  <c r="Z69" i="28"/>
  <c r="Z15" i="28"/>
  <c r="Z161" i="46"/>
  <c r="Z17" i="28"/>
  <c r="X37" i="13"/>
  <c r="U76" i="26"/>
  <c r="U187" i="46" s="1"/>
  <c r="U186" i="46"/>
  <c r="D52" i="40"/>
  <c r="W33" i="26"/>
  <c r="Y43" i="27"/>
  <c r="Z35" i="27"/>
  <c r="Z43" i="27" s="1"/>
  <c r="X32" i="13"/>
  <c r="AB38" i="28"/>
  <c r="X34" i="13"/>
  <c r="E41" i="36"/>
  <c r="Z67" i="27"/>
  <c r="Z65" i="27"/>
  <c r="X118" i="28"/>
  <c r="X124" i="28"/>
  <c r="X212" i="46"/>
  <c r="AI60" i="26"/>
  <c r="X36" i="13"/>
  <c r="X103" i="28"/>
  <c r="X213" i="46" s="1"/>
  <c r="X98" i="28"/>
  <c r="X123" i="28"/>
  <c r="X117" i="28"/>
  <c r="AA169" i="46"/>
  <c r="X158" i="46"/>
  <c r="X175" i="46"/>
  <c r="X168" i="46"/>
  <c r="X166" i="46"/>
  <c r="X170" i="46"/>
  <c r="X162" i="46"/>
  <c r="X164" i="46"/>
  <c r="Y8" i="26"/>
  <c r="Y77" i="28"/>
  <c r="Y81" i="28"/>
  <c r="Y70" i="28"/>
  <c r="Y114" i="28"/>
  <c r="Y73" i="28"/>
  <c r="AA65" i="28"/>
  <c r="AB57" i="28" s="1"/>
  <c r="X45" i="27"/>
  <c r="X109" i="28"/>
  <c r="X110" i="28" s="1"/>
  <c r="X23" i="27"/>
  <c r="AI59" i="26"/>
  <c r="AI17" i="27"/>
  <c r="D39" i="36"/>
  <c r="D40" i="36"/>
  <c r="D44" i="36" s="1"/>
  <c r="Z163" i="46"/>
  <c r="Z27" i="28"/>
  <c r="Z29" i="28"/>
  <c r="V41" i="26"/>
  <c r="V43" i="26"/>
  <c r="V33" i="26"/>
  <c r="V8" i="13"/>
  <c r="X174" i="46"/>
  <c r="AH17" i="13"/>
  <c r="AH69" i="13"/>
  <c r="AH70" i="13" s="1"/>
  <c r="U42" i="13"/>
  <c r="X17" i="26"/>
  <c r="AC167" i="46" l="1"/>
  <c r="AC51" i="28"/>
  <c r="AC53" i="28"/>
  <c r="X105" i="28"/>
  <c r="X106" i="28" s="1"/>
  <c r="X215" i="46"/>
  <c r="X95" i="27"/>
  <c r="X96" i="27" s="1"/>
  <c r="X31" i="13"/>
  <c r="AB62" i="28"/>
  <c r="V41" i="13"/>
  <c r="W41" i="13" s="1"/>
  <c r="W41" i="26"/>
  <c r="Z8" i="26"/>
  <c r="Z114" i="28"/>
  <c r="Z207" i="46" s="1"/>
  <c r="Z70" i="28"/>
  <c r="Y207" i="46"/>
  <c r="X28" i="27"/>
  <c r="X35" i="13"/>
  <c r="AB165" i="46"/>
  <c r="AC38" i="28"/>
  <c r="V29" i="13"/>
  <c r="V40" i="13" s="1"/>
  <c r="W8" i="13"/>
  <c r="W29" i="13" s="1"/>
  <c r="W40" i="13" s="1"/>
  <c r="AB41" i="28"/>
  <c r="Z68" i="28"/>
  <c r="Z172" i="46" s="1"/>
  <c r="AA9" i="28"/>
  <c r="AC9" i="28"/>
  <c r="V183" i="46"/>
  <c r="V46" i="26"/>
  <c r="V184" i="46" s="1"/>
  <c r="V49" i="26"/>
  <c r="V69" i="26"/>
  <c r="X195" i="46"/>
  <c r="Y85" i="28"/>
  <c r="Z85" i="28" s="1"/>
  <c r="Y196" i="46"/>
  <c r="Z73" i="28"/>
  <c r="AC21" i="28"/>
  <c r="AA21" i="28"/>
  <c r="X18" i="26"/>
  <c r="X66" i="26"/>
  <c r="X23" i="26"/>
  <c r="X111" i="28" s="1"/>
  <c r="Y197" i="46"/>
  <c r="Z81" i="28"/>
  <c r="B13" i="47"/>
  <c r="D46" i="36"/>
  <c r="D49" i="36" s="1"/>
  <c r="Y89" i="28"/>
  <c r="Y102" i="28"/>
  <c r="Y125" i="28"/>
  <c r="Y95" i="28"/>
  <c r="Z95" i="28" s="1"/>
  <c r="Y92" i="28"/>
  <c r="Z77" i="28"/>
  <c r="X119" i="28"/>
  <c r="Y17" i="26"/>
  <c r="Y9" i="26"/>
  <c r="Y22" i="26"/>
  <c r="Z22" i="26" s="1"/>
  <c r="Z58" i="26" s="1"/>
  <c r="AA58" i="26" s="1"/>
  <c r="AB58" i="26" s="1"/>
  <c r="Y75" i="26"/>
  <c r="Y157" i="46"/>
  <c r="Y48" i="27"/>
  <c r="Y20" i="26"/>
  <c r="Z20" i="26" s="1"/>
  <c r="Y14" i="26"/>
  <c r="Y53" i="27"/>
  <c r="Y26" i="27"/>
  <c r="Y51" i="27"/>
  <c r="Y80" i="13"/>
  <c r="Y25" i="27"/>
  <c r="Y24" i="27"/>
  <c r="X126" i="28"/>
  <c r="AC62" i="27"/>
  <c r="AA62" i="27"/>
  <c r="U189" i="46"/>
  <c r="U193" i="46"/>
  <c r="U191" i="46"/>
  <c r="U190" i="46"/>
  <c r="U192" i="46"/>
  <c r="AI69" i="13"/>
  <c r="AI17" i="13"/>
  <c r="W42" i="13" l="1"/>
  <c r="Z21" i="26"/>
  <c r="Z96" i="28"/>
  <c r="V42" i="13"/>
  <c r="V74" i="13" s="1"/>
  <c r="X214" i="46"/>
  <c r="AF45" i="28"/>
  <c r="AD45" i="28"/>
  <c r="Y212" i="46"/>
  <c r="AA14" i="28"/>
  <c r="Z174" i="46"/>
  <c r="AA63" i="27"/>
  <c r="AA65" i="27"/>
  <c r="Z75" i="26"/>
  <c r="Z17" i="26"/>
  <c r="Z9" i="26"/>
  <c r="Z157" i="46"/>
  <c r="Z80" i="13"/>
  <c r="Z82" i="28"/>
  <c r="Z197" i="46"/>
  <c r="W62" i="26"/>
  <c r="W43" i="26"/>
  <c r="X209" i="46"/>
  <c r="X127" i="28"/>
  <c r="Y23" i="26"/>
  <c r="Y18" i="26"/>
  <c r="Y66" i="26"/>
  <c r="Z24" i="27"/>
  <c r="Y36" i="13"/>
  <c r="AC165" i="46"/>
  <c r="AC39" i="28"/>
  <c r="AC41" i="28"/>
  <c r="AB169" i="46"/>
  <c r="AC62" i="28"/>
  <c r="Z25" i="27"/>
  <c r="Y38" i="13"/>
  <c r="X208" i="46"/>
  <c r="X120" i="28"/>
  <c r="AB65" i="28"/>
  <c r="X27" i="26"/>
  <c r="X24" i="26"/>
  <c r="X178" i="46" s="1"/>
  <c r="X65" i="26"/>
  <c r="X67" i="26"/>
  <c r="X89" i="27"/>
  <c r="X177" i="46"/>
  <c r="Z51" i="27"/>
  <c r="Y33" i="13"/>
  <c r="Z78" i="28"/>
  <c r="Z102" i="28"/>
  <c r="V186" i="46"/>
  <c r="V76" i="26"/>
  <c r="V187" i="46" s="1"/>
  <c r="X39" i="13"/>
  <c r="Z48" i="27"/>
  <c r="Y32" i="13"/>
  <c r="Y158" i="46"/>
  <c r="Y175" i="46"/>
  <c r="Y168" i="46"/>
  <c r="Y166" i="46"/>
  <c r="Y170" i="46"/>
  <c r="Y164" i="46"/>
  <c r="Y162" i="46"/>
  <c r="Y174" i="46"/>
  <c r="Y103" i="28"/>
  <c r="Y98" i="28"/>
  <c r="Y123" i="28"/>
  <c r="Y126" i="28" s="1"/>
  <c r="Y117" i="28"/>
  <c r="Z89" i="28"/>
  <c r="Z74" i="28"/>
  <c r="Z196" i="46"/>
  <c r="Z26" i="27"/>
  <c r="Y37" i="13"/>
  <c r="Z53" i="27"/>
  <c r="Y34" i="13"/>
  <c r="Y118" i="28"/>
  <c r="Z118" i="28" s="1"/>
  <c r="Y124" i="28"/>
  <c r="Z92" i="28"/>
  <c r="Z93" i="28" s="1"/>
  <c r="Y109" i="28"/>
  <c r="Y110" i="28" s="1"/>
  <c r="Y45" i="27"/>
  <c r="Y23" i="27"/>
  <c r="Z14" i="26"/>
  <c r="AA26" i="28"/>
  <c r="AA29" i="28" s="1"/>
  <c r="AB21" i="28" s="1"/>
  <c r="AD50" i="28" l="1"/>
  <c r="AD167" i="46" s="1"/>
  <c r="Y111" i="28"/>
  <c r="X180" i="46"/>
  <c r="X68" i="26"/>
  <c r="X28" i="26"/>
  <c r="X181" i="46" s="1"/>
  <c r="X32" i="26"/>
  <c r="X74" i="26"/>
  <c r="Y127" i="28"/>
  <c r="Y209" i="46"/>
  <c r="Z126" i="28"/>
  <c r="Z45" i="27"/>
  <c r="Z76" i="27" s="1"/>
  <c r="Z77" i="27" s="1"/>
  <c r="Y95" i="27"/>
  <c r="Y96" i="27" s="1"/>
  <c r="Y31" i="13"/>
  <c r="Z72" i="27"/>
  <c r="Z36" i="13"/>
  <c r="Y213" i="46"/>
  <c r="Y105" i="28"/>
  <c r="Z18" i="26"/>
  <c r="Z66" i="26"/>
  <c r="Z23" i="26"/>
  <c r="AA35" i="27"/>
  <c r="AA43" i="27" s="1"/>
  <c r="AB62" i="27"/>
  <c r="AC169" i="46"/>
  <c r="AC63" i="28"/>
  <c r="AC65" i="28"/>
  <c r="AA26" i="26"/>
  <c r="AA10" i="13"/>
  <c r="AA163" i="46"/>
  <c r="V190" i="46"/>
  <c r="V191" i="46"/>
  <c r="V189" i="46"/>
  <c r="V192" i="46"/>
  <c r="V193" i="46"/>
  <c r="Z81" i="27"/>
  <c r="Z34" i="13"/>
  <c r="W183" i="46"/>
  <c r="W69" i="26"/>
  <c r="W46" i="26"/>
  <c r="W184" i="46" s="1"/>
  <c r="W49" i="26"/>
  <c r="AB26" i="28"/>
  <c r="AB163" i="46" s="1"/>
  <c r="AF33" i="28"/>
  <c r="AD33" i="28"/>
  <c r="Z15" i="26"/>
  <c r="Z109" i="28"/>
  <c r="Z110" i="28" s="1"/>
  <c r="Z90" i="28"/>
  <c r="Z103" i="28"/>
  <c r="Z213" i="46" s="1"/>
  <c r="Z98" i="28"/>
  <c r="Z32" i="13"/>
  <c r="Z23" i="27"/>
  <c r="Y28" i="27"/>
  <c r="Y35" i="13"/>
  <c r="Y119" i="28"/>
  <c r="Z117" i="28"/>
  <c r="Z78" i="27"/>
  <c r="Z79" i="27" s="1"/>
  <c r="Z212" i="46"/>
  <c r="Z158" i="46"/>
  <c r="Z175" i="46"/>
  <c r="Z168" i="46"/>
  <c r="Z166" i="46"/>
  <c r="Z170" i="46"/>
  <c r="Z162" i="46"/>
  <c r="Z164" i="46"/>
  <c r="AA161" i="46"/>
  <c r="AA69" i="28"/>
  <c r="AA17" i="28"/>
  <c r="Y24" i="26"/>
  <c r="Y178" i="46" s="1"/>
  <c r="Y27" i="26"/>
  <c r="Y65" i="26"/>
  <c r="Y177" i="46"/>
  <c r="Y67" i="26"/>
  <c r="Y89" i="27"/>
  <c r="Y215" i="46"/>
  <c r="Z73" i="27"/>
  <c r="Z37" i="13"/>
  <c r="Z80" i="27"/>
  <c r="Z33" i="13"/>
  <c r="Z74" i="27"/>
  <c r="Z38" i="13"/>
  <c r="Z105" i="28" l="1"/>
  <c r="AD53" i="28"/>
  <c r="AE45" i="28" s="1"/>
  <c r="Z215" i="46"/>
  <c r="Y208" i="46"/>
  <c r="Y120" i="28"/>
  <c r="Z119" i="28"/>
  <c r="Z28" i="27"/>
  <c r="Z35" i="13"/>
  <c r="Z214" i="46"/>
  <c r="Z106" i="28"/>
  <c r="Z195" i="46"/>
  <c r="Y180" i="46"/>
  <c r="Y68" i="26"/>
  <c r="Y28" i="26"/>
  <c r="Y181" i="46" s="1"/>
  <c r="Y32" i="26"/>
  <c r="Y74" i="26"/>
  <c r="Z70" i="27"/>
  <c r="Z71" i="27" s="1"/>
  <c r="Z91" i="27"/>
  <c r="Z203" i="46"/>
  <c r="Z204" i="46" s="1"/>
  <c r="AF57" i="28"/>
  <c r="AD57" i="28"/>
  <c r="AB9" i="28"/>
  <c r="AA68" i="28"/>
  <c r="AA172" i="46" s="1"/>
  <c r="Z111" i="28"/>
  <c r="AA8" i="26"/>
  <c r="AA70" i="28"/>
  <c r="AA77" i="28"/>
  <c r="AA114" i="28"/>
  <c r="AA73" i="28"/>
  <c r="AA81" i="28"/>
  <c r="Y39" i="13"/>
  <c r="Z31" i="13"/>
  <c r="AD38" i="28"/>
  <c r="AD41" i="28"/>
  <c r="AE33" i="28" s="1"/>
  <c r="AB63" i="27"/>
  <c r="AB65" i="27"/>
  <c r="AB35" i="27" s="1"/>
  <c r="Z95" i="27"/>
  <c r="Z96" i="27" s="1"/>
  <c r="E43" i="36" s="1"/>
  <c r="AB29" i="28"/>
  <c r="Z209" i="46"/>
  <c r="Z127" i="28"/>
  <c r="Z24" i="26"/>
  <c r="Z178" i="46" s="1"/>
  <c r="Z67" i="26"/>
  <c r="Z27" i="26"/>
  <c r="Z89" i="27"/>
  <c r="Z65" i="26"/>
  <c r="Z177" i="46"/>
  <c r="W186" i="46"/>
  <c r="W53" i="26"/>
  <c r="W56" i="26" s="1"/>
  <c r="U56" i="26" s="1"/>
  <c r="W76" i="26"/>
  <c r="W187" i="46" s="1"/>
  <c r="AC26" i="28"/>
  <c r="Y214" i="46"/>
  <c r="Y106" i="28"/>
  <c r="Y195" i="46"/>
  <c r="X41" i="26"/>
  <c r="X43" i="26"/>
  <c r="X33" i="26"/>
  <c r="X8" i="13"/>
  <c r="AE50" i="28" l="1"/>
  <c r="AE53" i="28"/>
  <c r="X29" i="13"/>
  <c r="X40" i="13" s="1"/>
  <c r="AA174" i="46"/>
  <c r="AB43" i="27"/>
  <c r="AC35" i="27"/>
  <c r="AC43" i="27" s="1"/>
  <c r="AB14" i="28"/>
  <c r="AB17" i="28"/>
  <c r="AB68" i="28" s="1"/>
  <c r="AB172" i="46" s="1"/>
  <c r="X41" i="13"/>
  <c r="AB26" i="26"/>
  <c r="AC26" i="26" s="1"/>
  <c r="AB10" i="13"/>
  <c r="AC10" i="13" s="1"/>
  <c r="AC63" i="27"/>
  <c r="AE38" i="28"/>
  <c r="AE165" i="46" s="1"/>
  <c r="Z39" i="13"/>
  <c r="AC27" i="28"/>
  <c r="AC163" i="46"/>
  <c r="AC29" i="28"/>
  <c r="AA197" i="46"/>
  <c r="AA196" i="46"/>
  <c r="AA85" i="28"/>
  <c r="U53" i="26"/>
  <c r="U65" i="13"/>
  <c r="U10" i="27"/>
  <c r="AA207" i="46"/>
  <c r="Y41" i="26"/>
  <c r="Y41" i="13" s="1"/>
  <c r="Y33" i="26"/>
  <c r="Y8" i="13"/>
  <c r="Y29" i="13" s="1"/>
  <c r="Y40" i="13" s="1"/>
  <c r="Z208" i="46"/>
  <c r="Z120" i="28"/>
  <c r="Z32" i="26"/>
  <c r="Z180" i="46"/>
  <c r="Z68" i="26"/>
  <c r="Z74" i="26"/>
  <c r="Z28" i="26"/>
  <c r="Z181" i="46" s="1"/>
  <c r="E38" i="36"/>
  <c r="X69" i="26"/>
  <c r="X46" i="26"/>
  <c r="X184" i="46" s="1"/>
  <c r="X183" i="46"/>
  <c r="X49" i="26"/>
  <c r="AD62" i="28"/>
  <c r="AD165" i="46"/>
  <c r="W189" i="46"/>
  <c r="W190" i="46"/>
  <c r="W193" i="46"/>
  <c r="W192" i="46"/>
  <c r="W191" i="46"/>
  <c r="AA92" i="28"/>
  <c r="AA125" i="28"/>
  <c r="AA89" i="28"/>
  <c r="AA102" i="28"/>
  <c r="AA95" i="28"/>
  <c r="AA75" i="26"/>
  <c r="AA14" i="26"/>
  <c r="AA53" i="27"/>
  <c r="AA157" i="46"/>
  <c r="AA20" i="26"/>
  <c r="AA48" i="27"/>
  <c r="AA22" i="26"/>
  <c r="AA9" i="26"/>
  <c r="AA26" i="27"/>
  <c r="AA51" i="27"/>
  <c r="AA80" i="13"/>
  <c r="AA25" i="27"/>
  <c r="AA24" i="27"/>
  <c r="Y42" i="13" l="1"/>
  <c r="Y74" i="13" s="1"/>
  <c r="Z41" i="26"/>
  <c r="AF50" i="28"/>
  <c r="AE167" i="46"/>
  <c r="W65" i="13"/>
  <c r="W70" i="13" s="1"/>
  <c r="W74" i="13" s="1"/>
  <c r="W77" i="13" s="1"/>
  <c r="U70" i="13"/>
  <c r="U74" i="13" s="1"/>
  <c r="U77" i="13" s="1"/>
  <c r="AA36" i="13"/>
  <c r="AA38" i="13"/>
  <c r="AA212" i="46"/>
  <c r="AA37" i="13"/>
  <c r="AA158" i="46"/>
  <c r="AA175" i="46"/>
  <c r="AA168" i="46"/>
  <c r="AA166" i="46"/>
  <c r="AA170" i="46"/>
  <c r="AA162" i="46"/>
  <c r="AA164" i="46"/>
  <c r="E39" i="36"/>
  <c r="E40" i="36"/>
  <c r="E44" i="36" s="1"/>
  <c r="X42" i="13"/>
  <c r="AA34" i="13"/>
  <c r="Z8" i="13"/>
  <c r="Z29" i="13" s="1"/>
  <c r="Z40" i="13" s="1"/>
  <c r="AA45" i="27"/>
  <c r="AA109" i="28"/>
  <c r="AA110" i="28" s="1"/>
  <c r="AA23" i="27"/>
  <c r="AF38" i="28"/>
  <c r="V10" i="27"/>
  <c r="U11" i="27"/>
  <c r="AE41" i="28"/>
  <c r="AC67" i="27"/>
  <c r="F41" i="36"/>
  <c r="AC65" i="27"/>
  <c r="AD169" i="46"/>
  <c r="Z33" i="26"/>
  <c r="Z43" i="26"/>
  <c r="AA123" i="28"/>
  <c r="AA126" i="28" s="1"/>
  <c r="AA103" i="28"/>
  <c r="AA213" i="46" s="1"/>
  <c r="AA117" i="28"/>
  <c r="AA98" i="28"/>
  <c r="AD65" i="28"/>
  <c r="AE57" i="28" s="1"/>
  <c r="AA33" i="13"/>
  <c r="X186" i="46"/>
  <c r="X76" i="26"/>
  <c r="X187" i="46" s="1"/>
  <c r="Z41" i="13"/>
  <c r="Z62" i="26"/>
  <c r="AA118" i="28"/>
  <c r="AA124" i="28"/>
  <c r="AB161" i="46"/>
  <c r="AB69" i="28"/>
  <c r="AC14" i="28"/>
  <c r="AA32" i="13"/>
  <c r="Y43" i="26"/>
  <c r="AA17" i="26"/>
  <c r="AF21" i="28"/>
  <c r="AD21" i="28"/>
  <c r="AA215" i="46" l="1"/>
  <c r="AF53" i="28"/>
  <c r="AF167" i="46"/>
  <c r="AF51" i="28"/>
  <c r="AA95" i="27"/>
  <c r="AA96" i="27" s="1"/>
  <c r="AA31" i="13"/>
  <c r="X192" i="46"/>
  <c r="X190" i="46"/>
  <c r="X189" i="46"/>
  <c r="X193" i="46"/>
  <c r="X191" i="46"/>
  <c r="AC161" i="46"/>
  <c r="AC69" i="28"/>
  <c r="AC15" i="28"/>
  <c r="AC17" i="28"/>
  <c r="C13" i="47"/>
  <c r="E46" i="36"/>
  <c r="E49" i="36" s="1"/>
  <c r="AA105" i="28"/>
  <c r="AE62" i="28"/>
  <c r="AD26" i="28"/>
  <c r="U29" i="27"/>
  <c r="U87" i="27"/>
  <c r="U71" i="26"/>
  <c r="U200" i="46" s="1"/>
  <c r="AA119" i="28"/>
  <c r="V11" i="27"/>
  <c r="W10" i="27"/>
  <c r="Y49" i="26"/>
  <c r="Y46" i="26"/>
  <c r="Y184" i="46" s="1"/>
  <c r="Y69" i="26"/>
  <c r="Y183" i="46"/>
  <c r="Z42" i="13"/>
  <c r="AF62" i="27"/>
  <c r="AD62" i="27"/>
  <c r="AB70" i="28"/>
  <c r="AB114" i="28"/>
  <c r="AB73" i="28"/>
  <c r="AB8" i="26"/>
  <c r="AB81" i="28"/>
  <c r="AB77" i="28"/>
  <c r="AA23" i="26"/>
  <c r="AA18" i="26"/>
  <c r="AA66" i="26"/>
  <c r="AF165" i="46"/>
  <c r="AF39" i="28"/>
  <c r="AF41" i="28"/>
  <c r="V75" i="13"/>
  <c r="V77" i="13" s="1"/>
  <c r="V49" i="27" s="1"/>
  <c r="U49" i="27"/>
  <c r="AA127" i="28"/>
  <c r="AA209" i="46"/>
  <c r="AA28" i="27"/>
  <c r="AA35" i="13"/>
  <c r="X75" i="13"/>
  <c r="Z75" i="13"/>
  <c r="Z183" i="46"/>
  <c r="Z46" i="26"/>
  <c r="Z184" i="46" s="1"/>
  <c r="Z49" i="26"/>
  <c r="Z69" i="26"/>
  <c r="AG45" i="28" l="1"/>
  <c r="AI45" i="28"/>
  <c r="AC114" i="28"/>
  <c r="AC207" i="46" s="1"/>
  <c r="AC8" i="26"/>
  <c r="AC70" i="28"/>
  <c r="AA177" i="46"/>
  <c r="AA24" i="26"/>
  <c r="AA178" i="46" s="1"/>
  <c r="AA67" i="26"/>
  <c r="AA27" i="26"/>
  <c r="AA89" i="27"/>
  <c r="AA65" i="26"/>
  <c r="AB89" i="28"/>
  <c r="AB102" i="28"/>
  <c r="AB125" i="28"/>
  <c r="AB92" i="28"/>
  <c r="AB95" i="28"/>
  <c r="AC95" i="28" s="1"/>
  <c r="AC77" i="28"/>
  <c r="AE169" i="46"/>
  <c r="AF62" i="28"/>
  <c r="AB197" i="46"/>
  <c r="AC81" i="28"/>
  <c r="Y186" i="46"/>
  <c r="Y76" i="26"/>
  <c r="Y187" i="46" s="1"/>
  <c r="AE65" i="28"/>
  <c r="AB75" i="26"/>
  <c r="AB48" i="27"/>
  <c r="AB14" i="26"/>
  <c r="AB157" i="46"/>
  <c r="AB9" i="26"/>
  <c r="AB22" i="26"/>
  <c r="AC22" i="26" s="1"/>
  <c r="AB53" i="27"/>
  <c r="AB20" i="26"/>
  <c r="AC20" i="26" s="1"/>
  <c r="AB80" i="13"/>
  <c r="AB51" i="27"/>
  <c r="AB26" i="27"/>
  <c r="AB24" i="27"/>
  <c r="AB25" i="27"/>
  <c r="AA111" i="28"/>
  <c r="AA214" i="46"/>
  <c r="AA106" i="28"/>
  <c r="AA195" i="46"/>
  <c r="AA39" i="13"/>
  <c r="AB196" i="46"/>
  <c r="AB85" i="28"/>
  <c r="AC85" i="28" s="1"/>
  <c r="AC73" i="28"/>
  <c r="W11" i="27"/>
  <c r="AB207" i="46"/>
  <c r="V87" i="27"/>
  <c r="V29" i="27"/>
  <c r="V71" i="26"/>
  <c r="V200" i="46" s="1"/>
  <c r="AI33" i="28"/>
  <c r="AG33" i="28"/>
  <c r="AD163" i="46"/>
  <c r="AD29" i="28"/>
  <c r="AE21" i="28" s="1"/>
  <c r="AA208" i="46"/>
  <c r="AA120" i="28"/>
  <c r="U85" i="27"/>
  <c r="U77" i="26"/>
  <c r="U54" i="27"/>
  <c r="AD63" i="27"/>
  <c r="AD65" i="27" s="1"/>
  <c r="Z76" i="26"/>
  <c r="Z187" i="46" s="1"/>
  <c r="Z186" i="46"/>
  <c r="Z53" i="26"/>
  <c r="Z56" i="26" s="1"/>
  <c r="X56" i="26" s="1"/>
  <c r="X10" i="27" s="1"/>
  <c r="V85" i="27"/>
  <c r="W49" i="27"/>
  <c r="V77" i="26"/>
  <c r="V54" i="27"/>
  <c r="AF9" i="28"/>
  <c r="AC68" i="28"/>
  <c r="AC172" i="46" s="1"/>
  <c r="AD9" i="28"/>
  <c r="AC96" i="28" l="1"/>
  <c r="AG50" i="28"/>
  <c r="AE62" i="27"/>
  <c r="AD35" i="27"/>
  <c r="AD43" i="27" s="1"/>
  <c r="AD10" i="13"/>
  <c r="AD26" i="26"/>
  <c r="AB212" i="46"/>
  <c r="AC48" i="27"/>
  <c r="AC78" i="27" s="1"/>
  <c r="AC79" i="27" s="1"/>
  <c r="AB32" i="13"/>
  <c r="AD14" i="28"/>
  <c r="AD17" i="28"/>
  <c r="AB45" i="27"/>
  <c r="AB109" i="28"/>
  <c r="AB110" i="28" s="1"/>
  <c r="AB23" i="27"/>
  <c r="AC14" i="26"/>
  <c r="AC17" i="26" s="1"/>
  <c r="AB17" i="26"/>
  <c r="U93" i="27"/>
  <c r="U94" i="27" s="1"/>
  <c r="U83" i="27"/>
  <c r="U84" i="27"/>
  <c r="U55" i="27"/>
  <c r="AB103" i="28"/>
  <c r="AB213" i="46" s="1"/>
  <c r="AB98" i="28"/>
  <c r="AB123" i="28"/>
  <c r="AB117" i="28"/>
  <c r="AC89" i="28"/>
  <c r="AC25" i="27"/>
  <c r="AB38" i="13"/>
  <c r="Y190" i="46"/>
  <c r="Y191" i="46"/>
  <c r="Y192" i="46"/>
  <c r="Y193" i="46"/>
  <c r="Y189" i="46"/>
  <c r="AC82" i="28"/>
  <c r="AC197" i="46"/>
  <c r="X11" i="27"/>
  <c r="Y10" i="27"/>
  <c r="V83" i="27"/>
  <c r="V84" i="27"/>
  <c r="V93" i="27"/>
  <c r="V94" i="27" s="1"/>
  <c r="V55" i="27"/>
  <c r="AC74" i="28"/>
  <c r="AC196" i="46"/>
  <c r="AC21" i="26"/>
  <c r="AF169" i="46"/>
  <c r="AF63" i="28"/>
  <c r="AF65" i="28"/>
  <c r="AC53" i="27"/>
  <c r="AB34" i="13"/>
  <c r="W85" i="27"/>
  <c r="W77" i="26"/>
  <c r="W54" i="27"/>
  <c r="AE26" i="28"/>
  <c r="AE29" i="28"/>
  <c r="AC58" i="26"/>
  <c r="AD58" i="26" s="1"/>
  <c r="AE58" i="26" s="1"/>
  <c r="AC78" i="28"/>
  <c r="AC102" i="28"/>
  <c r="AC24" i="27"/>
  <c r="AB36" i="13"/>
  <c r="AG38" i="28"/>
  <c r="AC26" i="27"/>
  <c r="AB37" i="13"/>
  <c r="AA180" i="46"/>
  <c r="AA74" i="26"/>
  <c r="AA28" i="26"/>
  <c r="AA181" i="46" s="1"/>
  <c r="AA32" i="26"/>
  <c r="AA68" i="26"/>
  <c r="W29" i="27"/>
  <c r="W87" i="27"/>
  <c r="W71" i="26"/>
  <c r="W200" i="46" s="1"/>
  <c r="AC51" i="27"/>
  <c r="AB33" i="13"/>
  <c r="AC9" i="26"/>
  <c r="AC157" i="46"/>
  <c r="AC174" i="46" s="1"/>
  <c r="AC75" i="26"/>
  <c r="AC80" i="13"/>
  <c r="X65" i="13"/>
  <c r="X53" i="26"/>
  <c r="AB124" i="28"/>
  <c r="AB118" i="28"/>
  <c r="AC118" i="28" s="1"/>
  <c r="AC92" i="28"/>
  <c r="AC93" i="28" s="1"/>
  <c r="Z189" i="46"/>
  <c r="Z193" i="46"/>
  <c r="Z192" i="46"/>
  <c r="Z190" i="46"/>
  <c r="Z191" i="46"/>
  <c r="AB158" i="46"/>
  <c r="AB175" i="46"/>
  <c r="AB168" i="46"/>
  <c r="AB166" i="46"/>
  <c r="AB170" i="46"/>
  <c r="AB164" i="46"/>
  <c r="AB174" i="46"/>
  <c r="AB162" i="46"/>
  <c r="AB126" i="28" l="1"/>
  <c r="AG167" i="46"/>
  <c r="AG53" i="28"/>
  <c r="AH45" i="28" s="1"/>
  <c r="AC18" i="26"/>
  <c r="AC66" i="26"/>
  <c r="AC23" i="26"/>
  <c r="AA8" i="13"/>
  <c r="AA41" i="26"/>
  <c r="AA33" i="26"/>
  <c r="AA43" i="26"/>
  <c r="AC23" i="27"/>
  <c r="AC70" i="27" s="1"/>
  <c r="AC71" i="27" s="1"/>
  <c r="AB28" i="27"/>
  <c r="AB35" i="13"/>
  <c r="AC203" i="46"/>
  <c r="AC204" i="46" s="1"/>
  <c r="W83" i="27"/>
  <c r="W84" i="27"/>
  <c r="W93" i="27"/>
  <c r="W94" i="27" s="1"/>
  <c r="W55" i="27"/>
  <c r="AE63" i="27"/>
  <c r="AC74" i="27"/>
  <c r="AC38" i="13"/>
  <c r="AC45" i="27"/>
  <c r="AB95" i="27"/>
  <c r="AB96" i="27" s="1"/>
  <c r="AB31" i="13"/>
  <c r="Y11" i="27"/>
  <c r="Z10" i="27"/>
  <c r="AC103" i="28"/>
  <c r="AC213" i="46" s="1"/>
  <c r="AC90" i="28"/>
  <c r="AC98" i="28"/>
  <c r="Z65" i="13"/>
  <c r="Z70" i="13" s="1"/>
  <c r="Z74" i="13" s="1"/>
  <c r="Z77" i="13" s="1"/>
  <c r="X70" i="13"/>
  <c r="X74" i="13" s="1"/>
  <c r="X77" i="13" s="1"/>
  <c r="V88" i="27"/>
  <c r="V72" i="26"/>
  <c r="V201" i="46" s="1"/>
  <c r="V70" i="26"/>
  <c r="V199" i="46" s="1"/>
  <c r="AC109" i="28"/>
  <c r="AC110" i="28" s="1"/>
  <c r="AC111" i="28" s="1"/>
  <c r="AC15" i="26"/>
  <c r="AE163" i="46"/>
  <c r="AF26" i="28"/>
  <c r="AC158" i="46"/>
  <c r="AC175" i="46"/>
  <c r="AC168" i="46"/>
  <c r="AC166" i="46"/>
  <c r="AC170" i="46"/>
  <c r="AC164" i="46"/>
  <c r="AC162" i="46"/>
  <c r="AC73" i="27"/>
  <c r="AC37" i="13"/>
  <c r="X29" i="27"/>
  <c r="X87" i="27"/>
  <c r="X71" i="26"/>
  <c r="X200" i="46" s="1"/>
  <c r="AC117" i="28"/>
  <c r="AB119" i="28"/>
  <c r="V58" i="27"/>
  <c r="AG165" i="46"/>
  <c r="AB127" i="28"/>
  <c r="AB209" i="46"/>
  <c r="AC126" i="28"/>
  <c r="AD68" i="28"/>
  <c r="AD172" i="46" s="1"/>
  <c r="AE9" i="28"/>
  <c r="AG41" i="28"/>
  <c r="AH33" i="28" s="1"/>
  <c r="AC81" i="27"/>
  <c r="AC34" i="13"/>
  <c r="AD69" i="28"/>
  <c r="AD161" i="46"/>
  <c r="AC80" i="27"/>
  <c r="AC33" i="13"/>
  <c r="AI57" i="28"/>
  <c r="AG57" i="28"/>
  <c r="AC72" i="27"/>
  <c r="AC36" i="13"/>
  <c r="U88" i="27"/>
  <c r="U72" i="26"/>
  <c r="U201" i="46" s="1"/>
  <c r="U70" i="26"/>
  <c r="U199" i="46" s="1"/>
  <c r="U58" i="27"/>
  <c r="AC32" i="13"/>
  <c r="AB215" i="46"/>
  <c r="W58" i="27"/>
  <c r="AC212" i="46"/>
  <c r="AB105" i="28"/>
  <c r="AB18" i="26"/>
  <c r="AB66" i="26"/>
  <c r="AB23" i="26"/>
  <c r="AC215" i="46" l="1"/>
  <c r="AC105" i="28"/>
  <c r="AC214" i="46" s="1"/>
  <c r="AH50" i="28"/>
  <c r="AH53" i="28"/>
  <c r="AH38" i="28"/>
  <c r="AG62" i="28"/>
  <c r="AG65" i="28" s="1"/>
  <c r="AH57" i="28" s="1"/>
  <c r="AC95" i="27"/>
  <c r="AC96" i="27" s="1"/>
  <c r="F43" i="36" s="1"/>
  <c r="X49" i="27"/>
  <c r="Y75" i="13"/>
  <c r="Y77" i="13" s="1"/>
  <c r="Y49" i="27" s="1"/>
  <c r="AA75" i="13"/>
  <c r="AC75" i="13"/>
  <c r="AE26" i="26"/>
  <c r="AF26" i="26" s="1"/>
  <c r="AE10" i="13"/>
  <c r="AF10" i="13" s="1"/>
  <c r="AF63" i="27"/>
  <c r="AA183" i="46"/>
  <c r="AA69" i="26"/>
  <c r="AA49" i="26"/>
  <c r="AA46" i="26"/>
  <c r="AA184" i="46" s="1"/>
  <c r="AE65" i="27"/>
  <c r="AE35" i="27" s="1"/>
  <c r="AB27" i="26"/>
  <c r="AB24" i="26"/>
  <c r="AB178" i="46" s="1"/>
  <c r="AB89" i="27"/>
  <c r="AB67" i="26"/>
  <c r="AB65" i="26"/>
  <c r="AB177" i="46"/>
  <c r="AD114" i="28"/>
  <c r="AD8" i="26"/>
  <c r="AD81" i="28"/>
  <c r="AD73" i="28"/>
  <c r="AD77" i="28"/>
  <c r="AD70" i="28"/>
  <c r="AB120" i="28"/>
  <c r="AB208" i="46"/>
  <c r="AC119" i="28"/>
  <c r="AB111" i="28"/>
  <c r="AA41" i="13"/>
  <c r="W88" i="27"/>
  <c r="W72" i="26"/>
  <c r="W201" i="46" s="1"/>
  <c r="W70" i="26"/>
  <c r="W199" i="46" s="1"/>
  <c r="AA29" i="13"/>
  <c r="AA40" i="13" s="1"/>
  <c r="AC106" i="28"/>
  <c r="AC195" i="46"/>
  <c r="AE14" i="28"/>
  <c r="AC127" i="28"/>
  <c r="AC209" i="46"/>
  <c r="AC28" i="27"/>
  <c r="AC35" i="13"/>
  <c r="AF27" i="28"/>
  <c r="AF163" i="46"/>
  <c r="AF29" i="28"/>
  <c r="Z11" i="27"/>
  <c r="AC24" i="26"/>
  <c r="AC178" i="46" s="1"/>
  <c r="AC65" i="26"/>
  <c r="AC177" i="46"/>
  <c r="AC27" i="26"/>
  <c r="AC89" i="27"/>
  <c r="AC67" i="26"/>
  <c r="AB106" i="28"/>
  <c r="AB214" i="46"/>
  <c r="AB195" i="46"/>
  <c r="Y87" i="27"/>
  <c r="Y29" i="27"/>
  <c r="Y71" i="26"/>
  <c r="Y200" i="46" s="1"/>
  <c r="AC76" i="27"/>
  <c r="AC77" i="27" s="1"/>
  <c r="AC91" i="27" s="1"/>
  <c r="AB39" i="13"/>
  <c r="AC31" i="13"/>
  <c r="AC39" i="13" s="1"/>
  <c r="AH167" i="46" l="1"/>
  <c r="AI50" i="28"/>
  <c r="AC180" i="46"/>
  <c r="AC28" i="26"/>
  <c r="AC181" i="46" s="1"/>
  <c r="AC68" i="26"/>
  <c r="AC74" i="26"/>
  <c r="F38" i="36"/>
  <c r="AC32" i="26"/>
  <c r="AC208" i="46"/>
  <c r="AC120" i="28"/>
  <c r="AB32" i="26"/>
  <c r="AB28" i="26"/>
  <c r="AB181" i="46" s="1"/>
  <c r="AB68" i="26"/>
  <c r="AB74" i="26"/>
  <c r="AB180" i="46"/>
  <c r="Y77" i="26"/>
  <c r="Y85" i="27"/>
  <c r="Z49" i="27"/>
  <c r="Y54" i="27"/>
  <c r="AE161" i="46"/>
  <c r="AE69" i="28"/>
  <c r="AF14" i="28"/>
  <c r="X77" i="26"/>
  <c r="X85" i="27"/>
  <c r="X54" i="27"/>
  <c r="Z87" i="27"/>
  <c r="Z29" i="27"/>
  <c r="Z71" i="26"/>
  <c r="Z200" i="46" s="1"/>
  <c r="AE17" i="28"/>
  <c r="AE68" i="28" s="1"/>
  <c r="AE172" i="46" s="1"/>
  <c r="AI21" i="28"/>
  <c r="AG21" i="28"/>
  <c r="AD89" i="28"/>
  <c r="AD95" i="28"/>
  <c r="AD92" i="28"/>
  <c r="AD102" i="28"/>
  <c r="AD125" i="28"/>
  <c r="AD85" i="28"/>
  <c r="AD196" i="46"/>
  <c r="AA186" i="46"/>
  <c r="AA76" i="26"/>
  <c r="AA187" i="46" s="1"/>
  <c r="AD75" i="26"/>
  <c r="AD9" i="26"/>
  <c r="AD20" i="26"/>
  <c r="AD14" i="26"/>
  <c r="AD17" i="26"/>
  <c r="AD48" i="27"/>
  <c r="AD157" i="46"/>
  <c r="AD22" i="26"/>
  <c r="AD53" i="27"/>
  <c r="AD80" i="13"/>
  <c r="AD26" i="27"/>
  <c r="AD51" i="27"/>
  <c r="AD24" i="27"/>
  <c r="AD25" i="27"/>
  <c r="AH62" i="28"/>
  <c r="AH169" i="46" s="1"/>
  <c r="AD207" i="46"/>
  <c r="G41" i="36"/>
  <c r="AF67" i="27"/>
  <c r="AF65" i="27"/>
  <c r="AH165" i="46"/>
  <c r="AI38" i="28"/>
  <c r="AH41" i="28"/>
  <c r="AE43" i="27"/>
  <c r="AF35" i="27"/>
  <c r="AF43" i="27" s="1"/>
  <c r="AA42" i="13"/>
  <c r="AD197" i="46"/>
  <c r="AG169" i="46"/>
  <c r="AH65" i="28" l="1"/>
  <c r="AI51" i="28"/>
  <c r="AI53" i="28"/>
  <c r="AI167" i="46"/>
  <c r="AI62" i="28"/>
  <c r="AD34" i="13"/>
  <c r="AD158" i="46"/>
  <c r="AD175" i="46"/>
  <c r="AD168" i="46"/>
  <c r="AD166" i="46"/>
  <c r="AD170" i="46"/>
  <c r="AD164" i="46"/>
  <c r="AD162" i="46"/>
  <c r="AD174" i="46"/>
  <c r="AD212" i="46"/>
  <c r="AD32" i="13"/>
  <c r="AF161" i="46"/>
  <c r="AF15" i="28"/>
  <c r="AF69" i="28"/>
  <c r="AF17" i="28"/>
  <c r="AD23" i="26"/>
  <c r="AD66" i="26"/>
  <c r="AD18" i="26"/>
  <c r="AD124" i="28"/>
  <c r="AD118" i="28"/>
  <c r="AE70" i="28"/>
  <c r="AE81" i="28"/>
  <c r="AE8" i="26"/>
  <c r="AE114" i="28"/>
  <c r="AE73" i="28"/>
  <c r="AE77" i="28"/>
  <c r="AC33" i="26"/>
  <c r="AI169" i="46"/>
  <c r="AI63" i="28"/>
  <c r="AI65" i="28"/>
  <c r="AD45" i="27"/>
  <c r="AD23" i="27"/>
  <c r="AD109" i="28"/>
  <c r="AD110" i="28" s="1"/>
  <c r="AD111" i="28" s="1"/>
  <c r="Y84" i="27"/>
  <c r="Y93" i="27"/>
  <c r="Y94" i="27" s="1"/>
  <c r="Y83" i="27"/>
  <c r="Y55" i="27"/>
  <c r="F39" i="36"/>
  <c r="F40" i="36"/>
  <c r="F44" i="36" s="1"/>
  <c r="AD103" i="28"/>
  <c r="AD213" i="46" s="1"/>
  <c r="AD98" i="28"/>
  <c r="AD117" i="28"/>
  <c r="AD123" i="28"/>
  <c r="Z85" i="27"/>
  <c r="Z77" i="26"/>
  <c r="Z54" i="27"/>
  <c r="AD33" i="13"/>
  <c r="AD37" i="13"/>
  <c r="AI165" i="46"/>
  <c r="AI39" i="28"/>
  <c r="AI41" i="28"/>
  <c r="X83" i="27"/>
  <c r="X93" i="27"/>
  <c r="X94" i="27" s="1"/>
  <c r="X84" i="27"/>
  <c r="X55" i="27"/>
  <c r="AG62" i="27"/>
  <c r="AI62" i="27"/>
  <c r="AB41" i="26"/>
  <c r="AB8" i="13"/>
  <c r="AB33" i="26"/>
  <c r="AB43" i="26"/>
  <c r="AG26" i="28"/>
  <c r="AG29" i="28" s="1"/>
  <c r="AH21" i="28" s="1"/>
  <c r="AD38" i="13"/>
  <c r="AD36" i="13"/>
  <c r="AA189" i="46"/>
  <c r="AA191" i="46"/>
  <c r="AA192" i="46"/>
  <c r="AA190" i="46"/>
  <c r="AA193" i="46"/>
  <c r="AD126" i="28" l="1"/>
  <c r="AD215" i="46"/>
  <c r="AD105" i="28"/>
  <c r="AH26" i="28"/>
  <c r="AH163" i="46" s="1"/>
  <c r="AD209" i="46"/>
  <c r="AD127" i="28"/>
  <c r="AD28" i="27"/>
  <c r="AD35" i="13"/>
  <c r="D13" i="47"/>
  <c r="F46" i="36"/>
  <c r="F49" i="36" s="1"/>
  <c r="AD89" i="27"/>
  <c r="AD27" i="26"/>
  <c r="AD177" i="46"/>
  <c r="AD67" i="26"/>
  <c r="AD24" i="26"/>
  <c r="AD178" i="46" s="1"/>
  <c r="AD65" i="26"/>
  <c r="AB41" i="13"/>
  <c r="AC41" i="26"/>
  <c r="Y88" i="27"/>
  <c r="Y72" i="26"/>
  <c r="Y201" i="46" s="1"/>
  <c r="Y70" i="26"/>
  <c r="Y199" i="46" s="1"/>
  <c r="Y58" i="27"/>
  <c r="AF68" i="28"/>
  <c r="AF172" i="46" s="1"/>
  <c r="AI9" i="28"/>
  <c r="AG9" i="28"/>
  <c r="AG63" i="27"/>
  <c r="AG65" i="27" s="1"/>
  <c r="AE92" i="28"/>
  <c r="AE89" i="28"/>
  <c r="AE125" i="28"/>
  <c r="AE95" i="28"/>
  <c r="AF95" i="28" s="1"/>
  <c r="AE102" i="28"/>
  <c r="AF77" i="28"/>
  <c r="AF8" i="26"/>
  <c r="AF114" i="28"/>
  <c r="AF207" i="46" s="1"/>
  <c r="AF70" i="28"/>
  <c r="X88" i="27"/>
  <c r="X72" i="26"/>
  <c r="X201" i="46" s="1"/>
  <c r="X70" i="26"/>
  <c r="X199" i="46" s="1"/>
  <c r="X58" i="27"/>
  <c r="Z83" i="27"/>
  <c r="Z93" i="27"/>
  <c r="Z94" i="27" s="1"/>
  <c r="Z84" i="27"/>
  <c r="Z55" i="27"/>
  <c r="AE85" i="28"/>
  <c r="AF85" i="28" s="1"/>
  <c r="AE196" i="46"/>
  <c r="AF73" i="28"/>
  <c r="AI26" i="28"/>
  <c r="AG163" i="46"/>
  <c r="AD119" i="28"/>
  <c r="AD214" i="46"/>
  <c r="AD106" i="28"/>
  <c r="AD195" i="46"/>
  <c r="AD95" i="27"/>
  <c r="AD96" i="27" s="1"/>
  <c r="AD31" i="13"/>
  <c r="AB69" i="26"/>
  <c r="AB46" i="26"/>
  <c r="AB184" i="46" s="1"/>
  <c r="AB183" i="46"/>
  <c r="AB49" i="26"/>
  <c r="AB29" i="13"/>
  <c r="AB40" i="13" s="1"/>
  <c r="AB42" i="13" s="1"/>
  <c r="AB74" i="13" s="1"/>
  <c r="AC8" i="13"/>
  <c r="AC29" i="13" s="1"/>
  <c r="AC40" i="13" s="1"/>
  <c r="AE207" i="46"/>
  <c r="AE48" i="27"/>
  <c r="AE9" i="26"/>
  <c r="AE157" i="46"/>
  <c r="AE14" i="26"/>
  <c r="AE17" i="26"/>
  <c r="AE20" i="26"/>
  <c r="AF20" i="26" s="1"/>
  <c r="AF21" i="26" s="1"/>
  <c r="AE53" i="27"/>
  <c r="AE75" i="26"/>
  <c r="AE22" i="26"/>
  <c r="AF22" i="26" s="1"/>
  <c r="AE80" i="13"/>
  <c r="AE26" i="27"/>
  <c r="AE51" i="27"/>
  <c r="AE25" i="27"/>
  <c r="AE24" i="27"/>
  <c r="AE197" i="46"/>
  <c r="AF81" i="28"/>
  <c r="AF58" i="26" l="1"/>
  <c r="AG58" i="26" s="1"/>
  <c r="AH58" i="26" s="1"/>
  <c r="AD74" i="26"/>
  <c r="AD180" i="46"/>
  <c r="AD32" i="26"/>
  <c r="AD68" i="26"/>
  <c r="AD28" i="26"/>
  <c r="AD181" i="46" s="1"/>
  <c r="AB186" i="46"/>
  <c r="AB76" i="26"/>
  <c r="AB187" i="46" s="1"/>
  <c r="AE109" i="28"/>
  <c r="AE110" i="28" s="1"/>
  <c r="AE23" i="27"/>
  <c r="AE45" i="27"/>
  <c r="AF14" i="26"/>
  <c r="AF17" i="26" s="1"/>
  <c r="AI163" i="46"/>
  <c r="AI27" i="28"/>
  <c r="AI29" i="28"/>
  <c r="AF78" i="28"/>
  <c r="AF102" i="28"/>
  <c r="AF82" i="28"/>
  <c r="AF197" i="46"/>
  <c r="AE212" i="46"/>
  <c r="AF48" i="27"/>
  <c r="AE32" i="13"/>
  <c r="AD39" i="13"/>
  <c r="AF96" i="28"/>
  <c r="AF24" i="27"/>
  <c r="AE36" i="13"/>
  <c r="Z88" i="27"/>
  <c r="Z72" i="26"/>
  <c r="Z201" i="46" s="1"/>
  <c r="Z70" i="26"/>
  <c r="Z199" i="46" s="1"/>
  <c r="Z58" i="27"/>
  <c r="AC62" i="26"/>
  <c r="AC41" i="13"/>
  <c r="AC43" i="26"/>
  <c r="AF25" i="27"/>
  <c r="AE38" i="13"/>
  <c r="AE98" i="28"/>
  <c r="AE103" i="28"/>
  <c r="AE213" i="46" s="1"/>
  <c r="AE123" i="28"/>
  <c r="AE117" i="28"/>
  <c r="AF89" i="28"/>
  <c r="AC42" i="13"/>
  <c r="AH62" i="27"/>
  <c r="AG35" i="27"/>
  <c r="AG43" i="27" s="1"/>
  <c r="AG14" i="28"/>
  <c r="AF53" i="27"/>
  <c r="AE34" i="13"/>
  <c r="AD208" i="46"/>
  <c r="AD120" i="28"/>
  <c r="AE18" i="26"/>
  <c r="AE23" i="26"/>
  <c r="AE66" i="26"/>
  <c r="AF157" i="46"/>
  <c r="AF75" i="26"/>
  <c r="AF9" i="26"/>
  <c r="AF78" i="27"/>
  <c r="AF79" i="27" s="1"/>
  <c r="AF80" i="13"/>
  <c r="AE158" i="46"/>
  <c r="AE175" i="46"/>
  <c r="AE168" i="46"/>
  <c r="AE166" i="46"/>
  <c r="AE170" i="46"/>
  <c r="AE164" i="46"/>
  <c r="AE162" i="46"/>
  <c r="AE174" i="46"/>
  <c r="AF74" i="28"/>
  <c r="AF196" i="46"/>
  <c r="AF51" i="27"/>
  <c r="AE33" i="13"/>
  <c r="AE124" i="28"/>
  <c r="AE118" i="28"/>
  <c r="AF118" i="28" s="1"/>
  <c r="AF92" i="28"/>
  <c r="AF93" i="28" s="1"/>
  <c r="AF26" i="27"/>
  <c r="AE37" i="13"/>
  <c r="AG26" i="26"/>
  <c r="AG10" i="13"/>
  <c r="AH29" i="28"/>
  <c r="AE126" i="28" l="1"/>
  <c r="AE105" i="28"/>
  <c r="AF212" i="46"/>
  <c r="AH63" i="27"/>
  <c r="AE119" i="28"/>
  <c r="AF117" i="28"/>
  <c r="AF23" i="26"/>
  <c r="AF66" i="26"/>
  <c r="AF18" i="26"/>
  <c r="AE67" i="26"/>
  <c r="AE27" i="26"/>
  <c r="AE65" i="26"/>
  <c r="AE177" i="46"/>
  <c r="AE24" i="26"/>
  <c r="AE178" i="46" s="1"/>
  <c r="AE89" i="27"/>
  <c r="AF98" i="28"/>
  <c r="AF90" i="28"/>
  <c r="AF103" i="28"/>
  <c r="AF213" i="46" s="1"/>
  <c r="AF158" i="46"/>
  <c r="AF175" i="46"/>
  <c r="AF168" i="46"/>
  <c r="AF166" i="46"/>
  <c r="AF170" i="46"/>
  <c r="AF164" i="46"/>
  <c r="AF162" i="46"/>
  <c r="AF174" i="46"/>
  <c r="AF72" i="27"/>
  <c r="AF36" i="13"/>
  <c r="AE127" i="28"/>
  <c r="AE209" i="46"/>
  <c r="AF126" i="28"/>
  <c r="AC46" i="26"/>
  <c r="AC184" i="46" s="1"/>
  <c r="AC69" i="26"/>
  <c r="AC49" i="26"/>
  <c r="AC183" i="46"/>
  <c r="AE106" i="28"/>
  <c r="AE214" i="46"/>
  <c r="AE195" i="46"/>
  <c r="AF81" i="27"/>
  <c r="AF34" i="13"/>
  <c r="AE215" i="46"/>
  <c r="AF203" i="46"/>
  <c r="AF204" i="46" s="1"/>
  <c r="AG161" i="46"/>
  <c r="AG69" i="28"/>
  <c r="AF80" i="27"/>
  <c r="AF33" i="13"/>
  <c r="AG17" i="28"/>
  <c r="AB193" i="46"/>
  <c r="AB189" i="46"/>
  <c r="AB192" i="46"/>
  <c r="AB191" i="46"/>
  <c r="AB190" i="46"/>
  <c r="AF109" i="28"/>
  <c r="AF110" i="28" s="1"/>
  <c r="AF111" i="28" s="1"/>
  <c r="AF15" i="26"/>
  <c r="AE95" i="27"/>
  <c r="AE96" i="27" s="1"/>
  <c r="AF45" i="27"/>
  <c r="AE31" i="13"/>
  <c r="AF73" i="27"/>
  <c r="AF37" i="13"/>
  <c r="AF23" i="27"/>
  <c r="AF70" i="27" s="1"/>
  <c r="AF71" i="27" s="1"/>
  <c r="AE28" i="27"/>
  <c r="AE35" i="13"/>
  <c r="AF74" i="27"/>
  <c r="AF38" i="13"/>
  <c r="AF32" i="13"/>
  <c r="AE111" i="28"/>
  <c r="AD8" i="13"/>
  <c r="AD33" i="26"/>
  <c r="AD41" i="26"/>
  <c r="AD43" i="26" s="1"/>
  <c r="AF215" i="46" l="1"/>
  <c r="AF105" i="28"/>
  <c r="AF95" i="27"/>
  <c r="AF96" i="27" s="1"/>
  <c r="G43" i="36" s="1"/>
  <c r="AH26" i="26"/>
  <c r="AI26" i="26" s="1"/>
  <c r="AH10" i="13"/>
  <c r="AI10" i="13" s="1"/>
  <c r="AI63" i="27"/>
  <c r="AF76" i="27"/>
  <c r="AF77" i="27" s="1"/>
  <c r="AF91" i="27" s="1"/>
  <c r="AF106" i="28"/>
  <c r="AF214" i="46"/>
  <c r="AF195" i="46"/>
  <c r="AG70" i="28"/>
  <c r="AG77" i="28"/>
  <c r="AG73" i="28"/>
  <c r="AG8" i="26"/>
  <c r="AG81" i="28"/>
  <c r="AG114" i="28"/>
  <c r="AC186" i="46"/>
  <c r="AC53" i="26"/>
  <c r="AC56" i="26" s="1"/>
  <c r="AA56" i="26" s="1"/>
  <c r="AC76" i="26"/>
  <c r="AC187" i="46" s="1"/>
  <c r="AE32" i="26"/>
  <c r="AE74" i="26"/>
  <c r="AE68" i="26"/>
  <c r="AE28" i="26"/>
  <c r="AE181" i="46" s="1"/>
  <c r="AE180" i="46"/>
  <c r="AD46" i="26"/>
  <c r="AD184" i="46" s="1"/>
  <c r="AD49" i="26"/>
  <c r="AD69" i="26"/>
  <c r="AD183" i="46"/>
  <c r="AF28" i="27"/>
  <c r="AF35" i="13"/>
  <c r="AD41" i="13"/>
  <c r="AF127" i="28"/>
  <c r="AF209" i="46"/>
  <c r="AD29" i="13"/>
  <c r="AD40" i="13" s="1"/>
  <c r="AD42" i="13" s="1"/>
  <c r="AF177" i="46"/>
  <c r="AF27" i="26"/>
  <c r="AF89" i="27"/>
  <c r="AF67" i="26"/>
  <c r="AF24" i="26"/>
  <c r="AF178" i="46" s="1"/>
  <c r="AF65" i="26"/>
  <c r="AE39" i="13"/>
  <c r="AF31" i="13"/>
  <c r="AF39" i="13" s="1"/>
  <c r="AE208" i="46"/>
  <c r="AE120" i="28"/>
  <c r="AF119" i="28"/>
  <c r="AH9" i="28"/>
  <c r="AG68" i="28"/>
  <c r="AG172" i="46" s="1"/>
  <c r="AH65" i="27"/>
  <c r="AH35" i="27" s="1"/>
  <c r="AG14" i="26" l="1"/>
  <c r="AG9" i="26"/>
  <c r="AG53" i="27"/>
  <c r="AG75" i="26"/>
  <c r="AG22" i="26"/>
  <c r="AG20" i="26"/>
  <c r="AG48" i="27"/>
  <c r="AG157" i="46"/>
  <c r="AG80" i="13"/>
  <c r="AG51" i="27"/>
  <c r="AG26" i="27"/>
  <c r="AG25" i="27"/>
  <c r="AG24" i="27"/>
  <c r="AG196" i="46"/>
  <c r="AG85" i="28"/>
  <c r="AG125" i="28"/>
  <c r="AG102" i="28"/>
  <c r="AG95" i="28"/>
  <c r="AG89" i="28"/>
  <c r="AG92" i="28"/>
  <c r="AC190" i="46"/>
  <c r="AC189" i="46"/>
  <c r="AC193" i="46"/>
  <c r="AC192" i="46"/>
  <c r="AC191" i="46"/>
  <c r="AI35" i="27"/>
  <c r="AI43" i="27" s="1"/>
  <c r="AH43" i="27"/>
  <c r="AD76" i="26"/>
  <c r="AD187" i="46" s="1"/>
  <c r="AD186" i="46"/>
  <c r="AH14" i="28"/>
  <c r="AH17" i="28"/>
  <c r="AH68" i="28" s="1"/>
  <c r="AH172" i="46" s="1"/>
  <c r="AF120" i="28"/>
  <c r="AF208" i="46"/>
  <c r="AE41" i="26"/>
  <c r="AE43" i="26" s="1"/>
  <c r="AE33" i="26"/>
  <c r="AE8" i="13"/>
  <c r="H41" i="36"/>
  <c r="AI67" i="27"/>
  <c r="AI65" i="27"/>
  <c r="AA65" i="13"/>
  <c r="AA53" i="26"/>
  <c r="AA10" i="27"/>
  <c r="AF68" i="26"/>
  <c r="AF28" i="26"/>
  <c r="AF181" i="46" s="1"/>
  <c r="G38" i="36"/>
  <c r="AF32" i="26"/>
  <c r="AF74" i="26"/>
  <c r="AF180" i="46"/>
  <c r="AG207" i="46"/>
  <c r="AG197" i="46"/>
  <c r="AF33" i="26" l="1"/>
  <c r="AG118" i="28"/>
  <c r="AG124" i="28"/>
  <c r="G39" i="36"/>
  <c r="G40" i="36"/>
  <c r="G44" i="36" s="1"/>
  <c r="AG45" i="27"/>
  <c r="AG23" i="27"/>
  <c r="AG109" i="28"/>
  <c r="AG110" i="28" s="1"/>
  <c r="AE29" i="13"/>
  <c r="AE40" i="13" s="1"/>
  <c r="AF8" i="13"/>
  <c r="AF29" i="13" s="1"/>
  <c r="AF40" i="13" s="1"/>
  <c r="AG17" i="26"/>
  <c r="AG36" i="13"/>
  <c r="AE41" i="13"/>
  <c r="AF41" i="26"/>
  <c r="AG38" i="13"/>
  <c r="AE49" i="26"/>
  <c r="AE69" i="26"/>
  <c r="AE183" i="46"/>
  <c r="AE46" i="26"/>
  <c r="AE184" i="46" s="1"/>
  <c r="AG37" i="13"/>
  <c r="AG33" i="13"/>
  <c r="AG123" i="28"/>
  <c r="AG103" i="28"/>
  <c r="AG213" i="46" s="1"/>
  <c r="AG98" i="28"/>
  <c r="AG117" i="28"/>
  <c r="AG158" i="46"/>
  <c r="AG175" i="46"/>
  <c r="AG168" i="46"/>
  <c r="AG166" i="46"/>
  <c r="AG170" i="46"/>
  <c r="AG164" i="46"/>
  <c r="AG162" i="46"/>
  <c r="AH161" i="46"/>
  <c r="AH69" i="28"/>
  <c r="AI14" i="28"/>
  <c r="AG32" i="13"/>
  <c r="AB10" i="27"/>
  <c r="AA11" i="27"/>
  <c r="AG174" i="46"/>
  <c r="AG212" i="46"/>
  <c r="AG215" i="46" s="1"/>
  <c r="AG105" i="28"/>
  <c r="AD191" i="46"/>
  <c r="AD193" i="46"/>
  <c r="AD192" i="46"/>
  <c r="AD189" i="46"/>
  <c r="AD190" i="46"/>
  <c r="AC65" i="13"/>
  <c r="AC70" i="13" s="1"/>
  <c r="AC74" i="13" s="1"/>
  <c r="AC77" i="13" s="1"/>
  <c r="AA70" i="13"/>
  <c r="AA74" i="13" s="1"/>
  <c r="AA77" i="13" s="1"/>
  <c r="AG34" i="13"/>
  <c r="AE42" i="13" l="1"/>
  <c r="AE74" i="13" s="1"/>
  <c r="AG106" i="28"/>
  <c r="AG214" i="46"/>
  <c r="AG195" i="46"/>
  <c r="AB11" i="27"/>
  <c r="AC10" i="27"/>
  <c r="AB75" i="13"/>
  <c r="AB77" i="13" s="1"/>
  <c r="AB49" i="27" s="1"/>
  <c r="AA49" i="27"/>
  <c r="AG119" i="28"/>
  <c r="AD75" i="13"/>
  <c r="AF75" i="13"/>
  <c r="E13" i="47"/>
  <c r="G46" i="36"/>
  <c r="G49" i="36" s="1"/>
  <c r="AI15" i="28"/>
  <c r="AI69" i="28"/>
  <c r="AI161" i="46"/>
  <c r="AI17" i="28"/>
  <c r="AI68" i="28" s="1"/>
  <c r="AI172" i="46" s="1"/>
  <c r="AF62" i="26"/>
  <c r="AF41" i="13"/>
  <c r="AH77" i="28"/>
  <c r="AH8" i="26"/>
  <c r="AH73" i="28"/>
  <c r="AH81" i="28"/>
  <c r="AH70" i="28"/>
  <c r="AH114" i="28"/>
  <c r="AG126" i="28"/>
  <c r="AF42" i="13"/>
  <c r="AG111" i="28"/>
  <c r="AA29" i="27"/>
  <c r="AA87" i="27"/>
  <c r="AA71" i="26"/>
  <c r="AA200" i="46" s="1"/>
  <c r="AG28" i="27"/>
  <c r="AG35" i="13"/>
  <c r="AG95" i="27"/>
  <c r="AG96" i="27" s="1"/>
  <c r="AG31" i="13"/>
  <c r="AE186" i="46"/>
  <c r="AE76" i="26"/>
  <c r="AE187" i="46" s="1"/>
  <c r="AG18" i="26"/>
  <c r="AG66" i="26"/>
  <c r="AG23" i="26"/>
  <c r="AF43" i="26"/>
  <c r="AE189" i="46" l="1"/>
  <c r="AE193" i="46"/>
  <c r="AE192" i="46"/>
  <c r="AE191" i="46"/>
  <c r="AE190" i="46"/>
  <c r="AI70" i="28"/>
  <c r="AI8" i="26"/>
  <c r="AI114" i="28"/>
  <c r="AI207" i="46" s="1"/>
  <c r="AG39" i="13"/>
  <c r="AG209" i="46"/>
  <c r="AG127" i="28"/>
  <c r="AH207" i="46"/>
  <c r="AH197" i="46"/>
  <c r="AI81" i="28"/>
  <c r="AG208" i="46"/>
  <c r="AG120" i="28"/>
  <c r="AH85" i="28"/>
  <c r="AI85" i="28" s="1"/>
  <c r="AH196" i="46"/>
  <c r="AI73" i="28"/>
  <c r="AH48" i="27"/>
  <c r="AH20" i="26"/>
  <c r="AI20" i="26" s="1"/>
  <c r="AH9" i="26"/>
  <c r="AH14" i="26"/>
  <c r="AH17" i="26" s="1"/>
  <c r="AH53" i="27"/>
  <c r="AH75" i="26"/>
  <c r="AH22" i="26"/>
  <c r="AI22" i="26" s="1"/>
  <c r="AH157" i="46"/>
  <c r="AH80" i="13"/>
  <c r="AH26" i="27"/>
  <c r="AH51" i="27"/>
  <c r="AH25" i="27"/>
  <c r="AH24" i="27"/>
  <c r="AA85" i="27"/>
  <c r="AA77" i="26"/>
  <c r="AA54" i="27"/>
  <c r="AH125" i="28"/>
  <c r="AH102" i="28"/>
  <c r="AH92" i="28"/>
  <c r="AH89" i="28"/>
  <c r="AH95" i="28"/>
  <c r="AI95" i="28" s="1"/>
  <c r="AI77" i="28"/>
  <c r="AC49" i="27"/>
  <c r="AB77" i="26"/>
  <c r="AB85" i="27"/>
  <c r="AB54" i="27"/>
  <c r="AF49" i="26"/>
  <c r="AF69" i="26"/>
  <c r="AF46" i="26"/>
  <c r="AF184" i="46" s="1"/>
  <c r="AF183" i="46"/>
  <c r="AC11" i="27"/>
  <c r="AG24" i="26"/>
  <c r="AG178" i="46" s="1"/>
  <c r="AG65" i="26"/>
  <c r="AG177" i="46"/>
  <c r="AG67" i="26"/>
  <c r="AG27" i="26"/>
  <c r="AG89" i="27"/>
  <c r="AB29" i="27"/>
  <c r="AB87" i="27"/>
  <c r="AB71" i="26"/>
  <c r="AB200" i="46" s="1"/>
  <c r="AH66" i="26" l="1"/>
  <c r="AH23" i="26"/>
  <c r="AH18" i="26"/>
  <c r="AH124" i="28"/>
  <c r="AH118" i="28"/>
  <c r="AI118" i="28" s="1"/>
  <c r="AI92" i="28"/>
  <c r="AI93" i="28" s="1"/>
  <c r="AH212" i="46"/>
  <c r="AI157" i="46"/>
  <c r="AI9" i="26"/>
  <c r="AI75" i="26"/>
  <c r="AI80" i="13"/>
  <c r="AA84" i="27"/>
  <c r="AA93" i="27"/>
  <c r="AA94" i="27" s="1"/>
  <c r="AA83" i="27"/>
  <c r="AA55" i="27"/>
  <c r="AF186" i="46"/>
  <c r="AF53" i="26"/>
  <c r="AF56" i="26" s="1"/>
  <c r="AD56" i="26" s="1"/>
  <c r="AF76" i="26"/>
  <c r="AF187" i="46" s="1"/>
  <c r="AI21" i="26"/>
  <c r="AB58" i="27"/>
  <c r="AI48" i="27"/>
  <c r="AI32" i="13" s="1"/>
  <c r="AH32" i="13"/>
  <c r="AC85" i="27"/>
  <c r="AC77" i="26"/>
  <c r="AC54" i="27"/>
  <c r="AI26" i="27"/>
  <c r="AH37" i="13"/>
  <c r="AI78" i="28"/>
  <c r="AI102" i="28"/>
  <c r="AH158" i="46"/>
  <c r="AH175" i="46"/>
  <c r="AH168" i="46"/>
  <c r="AH166" i="46"/>
  <c r="AH170" i="46"/>
  <c r="AH164" i="46"/>
  <c r="AH174" i="46"/>
  <c r="AH162" i="46"/>
  <c r="AC29" i="27"/>
  <c r="AC87" i="27"/>
  <c r="AC71" i="26"/>
  <c r="AC200" i="46" s="1"/>
  <c r="AI96" i="28"/>
  <c r="AI58" i="26"/>
  <c r="AI82" i="28"/>
  <c r="AI197" i="46"/>
  <c r="AH123" i="28"/>
  <c r="AH126" i="28" s="1"/>
  <c r="AH117" i="28"/>
  <c r="AH98" i="28"/>
  <c r="AH103" i="28"/>
  <c r="AH213" i="46" s="1"/>
  <c r="AI89" i="28"/>
  <c r="AI53" i="27"/>
  <c r="AH34" i="13"/>
  <c r="AH45" i="27"/>
  <c r="AH109" i="28"/>
  <c r="AH110" i="28" s="1"/>
  <c r="AH23" i="27"/>
  <c r="AI14" i="26"/>
  <c r="AI17" i="26" s="1"/>
  <c r="AB93" i="27"/>
  <c r="AB94" i="27" s="1"/>
  <c r="AB84" i="27"/>
  <c r="AB83" i="27"/>
  <c r="AB55" i="27"/>
  <c r="AI24" i="27"/>
  <c r="AH36" i="13"/>
  <c r="AI74" i="28"/>
  <c r="AI196" i="46"/>
  <c r="AG32" i="26"/>
  <c r="AG68" i="26"/>
  <c r="AG28" i="26"/>
  <c r="AG181" i="46" s="1"/>
  <c r="AG74" i="26"/>
  <c r="AG180" i="46"/>
  <c r="AI25" i="27"/>
  <c r="AH38" i="13"/>
  <c r="AI51" i="27"/>
  <c r="AH33" i="13"/>
  <c r="AG33" i="26" l="1"/>
  <c r="AG8" i="13"/>
  <c r="AG41" i="26"/>
  <c r="AG43" i="26" s="1"/>
  <c r="AI98" i="28"/>
  <c r="AI103" i="28"/>
  <c r="AI213" i="46" s="1"/>
  <c r="AI90" i="28"/>
  <c r="AI78" i="27"/>
  <c r="AI79" i="27" s="1"/>
  <c r="AI117" i="28"/>
  <c r="AH119" i="28"/>
  <c r="AH209" i="46"/>
  <c r="AH127" i="28"/>
  <c r="AI126" i="28"/>
  <c r="AH215" i="46"/>
  <c r="AF191" i="46"/>
  <c r="AF189" i="46"/>
  <c r="AF190" i="46"/>
  <c r="AF192" i="46"/>
  <c r="AF193" i="46"/>
  <c r="AI15" i="26"/>
  <c r="AI109" i="28"/>
  <c r="AI110" i="28" s="1"/>
  <c r="AI111" i="28" s="1"/>
  <c r="AI76" i="27"/>
  <c r="AI77" i="27" s="1"/>
  <c r="AI23" i="27"/>
  <c r="AH28" i="27"/>
  <c r="AH35" i="13"/>
  <c r="AH177" i="46"/>
  <c r="AH67" i="26"/>
  <c r="AH27" i="26"/>
  <c r="AH24" i="26"/>
  <c r="AH178" i="46" s="1"/>
  <c r="AH89" i="27"/>
  <c r="AH65" i="26"/>
  <c r="AH111" i="28"/>
  <c r="AI73" i="27"/>
  <c r="AI37" i="13"/>
  <c r="AI45" i="27"/>
  <c r="AH95" i="27"/>
  <c r="AH96" i="27" s="1"/>
  <c r="AH31" i="13"/>
  <c r="AC84" i="27"/>
  <c r="AC83" i="27"/>
  <c r="AC93" i="27"/>
  <c r="AC94" i="27" s="1"/>
  <c r="AC55" i="27"/>
  <c r="AC58" i="27" s="1"/>
  <c r="AI18" i="26"/>
  <c r="AI23" i="26"/>
  <c r="AI66" i="26"/>
  <c r="AI81" i="27"/>
  <c r="AI34" i="13"/>
  <c r="AI158" i="46"/>
  <c r="AI175" i="46"/>
  <c r="AI168" i="46"/>
  <c r="AI170" i="46"/>
  <c r="AI166" i="46"/>
  <c r="AI164" i="46"/>
  <c r="AI174" i="46"/>
  <c r="AI162" i="46"/>
  <c r="AI72" i="27"/>
  <c r="AI36" i="13"/>
  <c r="AH105" i="28"/>
  <c r="AB88" i="27"/>
  <c r="AB72" i="26"/>
  <c r="AB201" i="46" s="1"/>
  <c r="AB70" i="26"/>
  <c r="AB199" i="46" s="1"/>
  <c r="AI80" i="27"/>
  <c r="AI33" i="13"/>
  <c r="AD53" i="26"/>
  <c r="AD65" i="13"/>
  <c r="AD10" i="27"/>
  <c r="AI74" i="27"/>
  <c r="AI38" i="13"/>
  <c r="AI212" i="46"/>
  <c r="AI105" i="28"/>
  <c r="AA88" i="27"/>
  <c r="AA72" i="26"/>
  <c r="AA201" i="46" s="1"/>
  <c r="AA70" i="26"/>
  <c r="AA199" i="46" s="1"/>
  <c r="AA58" i="27"/>
  <c r="AI127" i="28" l="1"/>
  <c r="AI209" i="46"/>
  <c r="AE10" i="27"/>
  <c r="AD11" i="27"/>
  <c r="AF65" i="13"/>
  <c r="AF70" i="13" s="1"/>
  <c r="AF74" i="13" s="1"/>
  <c r="AF77" i="13" s="1"/>
  <c r="AD70" i="13"/>
  <c r="AD74" i="13" s="1"/>
  <c r="AD77" i="13" s="1"/>
  <c r="AI28" i="27"/>
  <c r="AI35" i="13"/>
  <c r="AI95" i="27"/>
  <c r="AI96" i="27" s="1"/>
  <c r="H43" i="36" s="1"/>
  <c r="AI203" i="46"/>
  <c r="AI204" i="46" s="1"/>
  <c r="AI70" i="27"/>
  <c r="AI71" i="27" s="1"/>
  <c r="AI91" i="27" s="1"/>
  <c r="AH214" i="46"/>
  <c r="AH106" i="28"/>
  <c r="AH195" i="46"/>
  <c r="AI24" i="26"/>
  <c r="AI178" i="46" s="1"/>
  <c r="AI65" i="26"/>
  <c r="AI67" i="26"/>
  <c r="AI27" i="26"/>
  <c r="AI89" i="27"/>
  <c r="AI177" i="46"/>
  <c r="AG41" i="13"/>
  <c r="AH39" i="13"/>
  <c r="AI31" i="13"/>
  <c r="AI39" i="13" s="1"/>
  <c r="AH208" i="46"/>
  <c r="AH120" i="28"/>
  <c r="AI119" i="28"/>
  <c r="AG29" i="13"/>
  <c r="AG40" i="13" s="1"/>
  <c r="AG42" i="13" s="1"/>
  <c r="AI106" i="28"/>
  <c r="AI214" i="46"/>
  <c r="AI195" i="46"/>
  <c r="AC88" i="27"/>
  <c r="AC72" i="26"/>
  <c r="AC201" i="46" s="1"/>
  <c r="AC70" i="26"/>
  <c r="AC199" i="46" s="1"/>
  <c r="AI215" i="46"/>
  <c r="AH32" i="26"/>
  <c r="AH68" i="26"/>
  <c r="AH180" i="46"/>
  <c r="AH74" i="26"/>
  <c r="AH28" i="26"/>
  <c r="AH181" i="46" s="1"/>
  <c r="AG49" i="26"/>
  <c r="AG183" i="46"/>
  <c r="AG46" i="26"/>
  <c r="AG184" i="46" s="1"/>
  <c r="AG69" i="26"/>
  <c r="AH33" i="26" l="1"/>
  <c r="AH41" i="26"/>
  <c r="AH8" i="13"/>
  <c r="H38" i="36"/>
  <c r="AI32" i="26"/>
  <c r="AI68" i="26"/>
  <c r="AI28" i="26"/>
  <c r="AI181" i="46" s="1"/>
  <c r="AI74" i="26"/>
  <c r="AI180" i="46"/>
  <c r="AD49" i="27"/>
  <c r="AE75" i="13"/>
  <c r="AE77" i="13" s="1"/>
  <c r="AE49" i="27" s="1"/>
  <c r="AI75" i="13"/>
  <c r="AG75" i="13"/>
  <c r="AD87" i="27"/>
  <c r="AD29" i="27"/>
  <c r="AD71" i="26"/>
  <c r="AD200" i="46" s="1"/>
  <c r="AG76" i="26"/>
  <c r="AG187" i="46" s="1"/>
  <c r="AG186" i="46"/>
  <c r="AF10" i="27"/>
  <c r="AE11" i="27"/>
  <c r="AI120" i="28"/>
  <c r="AI208" i="46"/>
  <c r="AD85" i="27" l="1"/>
  <c r="AD77" i="26"/>
  <c r="AD54" i="27"/>
  <c r="AH41" i="13"/>
  <c r="AI41" i="26"/>
  <c r="AH43" i="26"/>
  <c r="AE85" i="27"/>
  <c r="AF49" i="27"/>
  <c r="AE77" i="26"/>
  <c r="AE54" i="27"/>
  <c r="AE87" i="27"/>
  <c r="AE29" i="27"/>
  <c r="AE71" i="26"/>
  <c r="AE200" i="46" s="1"/>
  <c r="AF11" i="27"/>
  <c r="AG189" i="46"/>
  <c r="AG193" i="46"/>
  <c r="AG192" i="46"/>
  <c r="AG191" i="46"/>
  <c r="AG190" i="46"/>
  <c r="AI33" i="26"/>
  <c r="AI43" i="26"/>
  <c r="H39" i="36"/>
  <c r="H40" i="36"/>
  <c r="H44" i="36" s="1"/>
  <c r="AH29" i="13"/>
  <c r="AH40" i="13" s="1"/>
  <c r="AH42" i="13" s="1"/>
  <c r="AH74" i="13" s="1"/>
  <c r="AI8" i="13"/>
  <c r="AI29" i="13" s="1"/>
  <c r="AI40" i="13" s="1"/>
  <c r="F13" i="47" l="1"/>
  <c r="H45" i="36"/>
  <c r="H46" i="36" s="1"/>
  <c r="H49" i="36" s="1"/>
  <c r="C51" i="36" s="1"/>
  <c r="C52" i="36" s="1"/>
  <c r="C55" i="36" s="1"/>
  <c r="C56" i="36" s="1"/>
  <c r="AE84" i="27"/>
  <c r="AE83" i="27"/>
  <c r="AE93" i="27"/>
  <c r="AE94" i="27" s="1"/>
  <c r="AE55" i="27"/>
  <c r="AE58" i="27" s="1"/>
  <c r="AI69" i="26"/>
  <c r="AI49" i="26"/>
  <c r="AI183" i="46"/>
  <c r="AI46" i="26"/>
  <c r="AI184" i="46" s="1"/>
  <c r="AF85" i="27"/>
  <c r="AF77" i="26"/>
  <c r="AF54" i="27"/>
  <c r="AH69" i="26"/>
  <c r="AH183" i="46"/>
  <c r="AH46" i="26"/>
  <c r="AH184" i="46" s="1"/>
  <c r="AH49" i="26"/>
  <c r="AI41" i="13"/>
  <c r="AI42" i="13" s="1"/>
  <c r="AI62" i="26"/>
  <c r="AD93" i="27"/>
  <c r="AD94" i="27" s="1"/>
  <c r="AD84" i="27"/>
  <c r="AD83" i="27"/>
  <c r="AD55" i="27"/>
  <c r="AF87" i="27"/>
  <c r="AF29" i="27"/>
  <c r="AF71" i="26"/>
  <c r="AF200" i="46" s="1"/>
  <c r="AF83" i="27" l="1"/>
  <c r="AF84" i="27"/>
  <c r="AF93" i="27"/>
  <c r="AF94" i="27" s="1"/>
  <c r="AF55" i="27"/>
  <c r="E640" i="47" a="1"/>
  <c r="E640" i="47" s="1"/>
  <c r="E601" i="47" a="1"/>
  <c r="E601" i="47" s="1"/>
  <c r="E109" i="47" a="1"/>
  <c r="E109" i="47" s="1"/>
  <c r="E857" i="47" a="1"/>
  <c r="E857" i="47" s="1"/>
  <c r="E832" i="47" a="1"/>
  <c r="E832" i="47" s="1"/>
  <c r="E302" i="47" a="1"/>
  <c r="E302" i="47" s="1"/>
  <c r="E63" i="47" a="1"/>
  <c r="E63" i="47" s="1"/>
  <c r="E103" i="47" a="1"/>
  <c r="E103" i="47" s="1"/>
  <c r="E252" i="47" a="1"/>
  <c r="E252" i="47" s="1"/>
  <c r="E722" i="47" a="1"/>
  <c r="E722" i="47" s="1"/>
  <c r="E230" i="47" a="1"/>
  <c r="E230" i="47" s="1"/>
  <c r="E897" i="47" a="1"/>
  <c r="E897" i="47" s="1"/>
  <c r="E153" i="47" a="1"/>
  <c r="E153" i="47" s="1"/>
  <c r="E542" i="47" a="1"/>
  <c r="E542" i="47" s="1"/>
  <c r="E337" i="47" a="1"/>
  <c r="E337" i="47" s="1"/>
  <c r="E660" i="47" a="1"/>
  <c r="E660" i="47" s="1"/>
  <c r="E691" i="47" a="1"/>
  <c r="E691" i="47" s="1"/>
  <c r="E420" i="47" a="1"/>
  <c r="E420" i="47" s="1"/>
  <c r="E1015" i="47" a="1"/>
  <c r="E1015" i="47" s="1"/>
  <c r="E766" i="47" a="1"/>
  <c r="E766" i="47" s="1"/>
  <c r="E121" i="47" a="1"/>
  <c r="E121" i="47" s="1"/>
  <c r="E548" i="47" a="1"/>
  <c r="E548" i="47" s="1"/>
  <c r="E437" i="47" a="1"/>
  <c r="E437" i="47" s="1"/>
  <c r="E796" i="47" a="1"/>
  <c r="E796" i="47" s="1"/>
  <c r="E43" i="47" a="1"/>
  <c r="E43" i="47" s="1"/>
  <c r="E538" i="47" a="1"/>
  <c r="E538" i="47" s="1"/>
  <c r="E280" i="47" a="1"/>
  <c r="E280" i="47" s="1"/>
  <c r="E233" i="47" a="1"/>
  <c r="E233" i="47" s="1"/>
  <c r="E658" i="47" a="1"/>
  <c r="E658" i="47" s="1"/>
  <c r="E85" i="47" a="1"/>
  <c r="E85" i="47" s="1"/>
  <c r="E694" i="47" a="1"/>
  <c r="E694" i="47" s="1"/>
  <c r="E889" i="47" a="1"/>
  <c r="E889" i="47" s="1"/>
  <c r="E185" i="47" a="1"/>
  <c r="E185" i="47" s="1"/>
  <c r="E751" i="47" a="1"/>
  <c r="E751" i="47" s="1"/>
  <c r="E277" i="47" a="1"/>
  <c r="E277" i="47" s="1"/>
  <c r="E625" i="47" a="1"/>
  <c r="E625" i="47" s="1"/>
  <c r="E656" i="47" a="1"/>
  <c r="E656" i="47" s="1"/>
  <c r="E343" i="47" a="1"/>
  <c r="E343" i="47" s="1"/>
  <c r="E696" i="47" a="1"/>
  <c r="E696" i="47" s="1"/>
  <c r="E791" i="47" a="1"/>
  <c r="E791" i="47" s="1"/>
  <c r="E492" i="47" a="1"/>
  <c r="E492" i="47" s="1"/>
  <c r="E322" i="47" a="1"/>
  <c r="E322" i="47" s="1"/>
  <c r="E345" i="47" a="1"/>
  <c r="E345" i="47" s="1"/>
  <c r="E427" i="47" a="1"/>
  <c r="E427" i="47" s="1"/>
  <c r="E309" i="47" a="1"/>
  <c r="E309" i="47" s="1"/>
  <c r="E312" i="47" a="1"/>
  <c r="E312" i="47" s="1"/>
  <c r="E681" i="47" a="1"/>
  <c r="E681" i="47" s="1"/>
  <c r="E441" i="47" a="1"/>
  <c r="E441" i="47" s="1"/>
  <c r="E678" i="47" a="1"/>
  <c r="E678" i="47" s="1"/>
  <c r="E508" i="47" a="1"/>
  <c r="E508" i="47" s="1"/>
  <c r="E443" i="47" a="1"/>
  <c r="E443" i="47" s="1"/>
  <c r="E80" i="47" a="1"/>
  <c r="E80" i="47" s="1"/>
  <c r="E745" i="47" a="1"/>
  <c r="E745" i="47" s="1"/>
  <c r="E672" i="47" a="1"/>
  <c r="E672" i="47" s="1"/>
  <c r="E908" i="47" a="1"/>
  <c r="E908" i="47" s="1"/>
  <c r="E396" i="47" a="1"/>
  <c r="E396" i="47" s="1"/>
  <c r="E275" i="47" a="1"/>
  <c r="E275" i="47" s="1"/>
  <c r="E349" i="47" a="1"/>
  <c r="E349" i="47" s="1"/>
  <c r="E837" i="47" a="1"/>
  <c r="E837" i="47" s="1"/>
  <c r="E913" i="47" a="1"/>
  <c r="E913" i="47" s="1"/>
  <c r="E398" i="47" a="1"/>
  <c r="E398" i="47" s="1"/>
  <c r="E863" i="47" a="1"/>
  <c r="E863" i="47" s="1"/>
  <c r="E163" i="47" a="1"/>
  <c r="E163" i="47" s="1"/>
  <c r="E270" i="47" a="1"/>
  <c r="E270" i="47" s="1"/>
  <c r="E920" i="47" a="1"/>
  <c r="E920" i="47" s="1"/>
  <c r="E453" i="47" a="1"/>
  <c r="E453" i="47" s="1"/>
  <c r="E324" i="47" a="1"/>
  <c r="E324" i="47" s="1"/>
  <c r="E550" i="47" a="1"/>
  <c r="E550" i="47" s="1"/>
  <c r="E155" i="47" a="1"/>
  <c r="E155" i="47" s="1"/>
  <c r="E370" i="47" a="1"/>
  <c r="E370" i="47" s="1"/>
  <c r="E930" i="47" a="1"/>
  <c r="E930" i="47" s="1"/>
  <c r="E793" i="47" a="1"/>
  <c r="E793" i="47" s="1"/>
  <c r="E697" i="47" a="1"/>
  <c r="E697" i="47" s="1"/>
  <c r="E195" i="47" a="1"/>
  <c r="E195" i="47" s="1"/>
  <c r="E825" i="47" a="1"/>
  <c r="E825" i="47" s="1"/>
  <c r="E481" i="47" a="1"/>
  <c r="E481" i="47" s="1"/>
  <c r="E341" i="47" a="1"/>
  <c r="E341" i="47" s="1"/>
  <c r="E431" i="47" a="1"/>
  <c r="E431" i="47" s="1"/>
  <c r="E405" i="47" a="1"/>
  <c r="E405" i="47" s="1"/>
  <c r="E651" i="47" a="1"/>
  <c r="E651" i="47" s="1"/>
  <c r="E792" i="47" a="1"/>
  <c r="E792" i="47" s="1"/>
  <c r="E399" i="47" a="1"/>
  <c r="E399" i="47" s="1"/>
  <c r="E714" i="47" a="1"/>
  <c r="E714" i="47" s="1"/>
  <c r="E987" i="47" a="1"/>
  <c r="E987" i="47" s="1"/>
  <c r="E547" i="47" a="1"/>
  <c r="E547" i="47" s="1"/>
  <c r="E715" i="47" a="1"/>
  <c r="E715" i="47" s="1"/>
  <c r="E123" i="47" a="1"/>
  <c r="E123" i="47" s="1"/>
  <c r="E961" i="47" a="1"/>
  <c r="E961" i="47" s="1"/>
  <c r="E906" i="47" a="1"/>
  <c r="E906" i="47" s="1"/>
  <c r="E206" i="47" a="1"/>
  <c r="E206" i="47" s="1"/>
  <c r="E37" i="47" a="1"/>
  <c r="E37" i="47" s="1"/>
  <c r="E408" i="47" a="1"/>
  <c r="E408" i="47" s="1"/>
  <c r="E951" i="47" a="1"/>
  <c r="E951" i="47" s="1"/>
  <c r="E203" i="47" a="1"/>
  <c r="E203" i="47" s="1"/>
  <c r="E35" i="47" a="1"/>
  <c r="E35" i="47" s="1"/>
  <c r="E390" i="47" a="1"/>
  <c r="E390" i="47" s="1"/>
  <c r="E924" i="47" a="1"/>
  <c r="E924" i="47" s="1"/>
  <c r="E899" i="47" a="1"/>
  <c r="E899" i="47" s="1"/>
  <c r="E316" i="47" a="1"/>
  <c r="E316" i="47" s="1"/>
  <c r="E191" i="47" a="1"/>
  <c r="E191" i="47" s="1"/>
  <c r="E115" i="47" a="1"/>
  <c r="E115" i="47" s="1"/>
  <c r="E677" i="47" a="1"/>
  <c r="E677" i="47" s="1"/>
  <c r="E42" i="47" a="1"/>
  <c r="E42" i="47" s="1"/>
  <c r="E818" i="47" a="1"/>
  <c r="E818" i="47" s="1"/>
  <c r="E727" i="47" a="1"/>
  <c r="E727" i="47" s="1"/>
  <c r="E61" i="47" a="1"/>
  <c r="E61" i="47" s="1"/>
  <c r="E159" i="47" a="1"/>
  <c r="E159" i="47" s="1"/>
  <c r="E148" i="47" a="1"/>
  <c r="E148" i="47" s="1"/>
  <c r="E461" i="47" a="1"/>
  <c r="E461" i="47" s="1"/>
  <c r="E180" i="47" a="1"/>
  <c r="E180" i="47" s="1"/>
  <c r="E869" i="47" a="1"/>
  <c r="E869" i="47" s="1"/>
  <c r="E925" i="47" a="1"/>
  <c r="E925" i="47" s="1"/>
  <c r="E485" i="47" a="1"/>
  <c r="E485" i="47" s="1"/>
  <c r="E353" i="47" a="1"/>
  <c r="E353" i="47" s="1"/>
  <c r="E310" i="47" a="1"/>
  <c r="E310" i="47" s="1"/>
  <c r="E114" i="47" a="1"/>
  <c r="E114" i="47" s="1"/>
  <c r="E67" i="47" a="1"/>
  <c r="E67" i="47" s="1"/>
  <c r="E244" i="47" a="1"/>
  <c r="E244" i="47" s="1"/>
  <c r="E385" i="47" a="1"/>
  <c r="E385" i="47" s="1"/>
  <c r="E391" i="47" a="1"/>
  <c r="E391" i="47" s="1"/>
  <c r="E814" i="47" a="1"/>
  <c r="E814" i="47" s="1"/>
  <c r="E48" i="47" a="1"/>
  <c r="E48" i="47" s="1"/>
  <c r="E747" i="47" a="1"/>
  <c r="E747" i="47" s="1"/>
  <c r="E236" i="47" a="1"/>
  <c r="E236" i="47" s="1"/>
  <c r="E196" i="47" a="1"/>
  <c r="E196" i="47" s="1"/>
  <c r="E258" i="47" a="1"/>
  <c r="E258" i="47" s="1"/>
  <c r="E323" i="47" a="1"/>
  <c r="E323" i="47" s="1"/>
  <c r="E558" i="47" a="1"/>
  <c r="E558" i="47" s="1"/>
  <c r="E856" i="47" a="1"/>
  <c r="E856" i="47" s="1"/>
  <c r="E419" i="47" a="1"/>
  <c r="E419" i="47" s="1"/>
  <c r="E147" i="47" a="1"/>
  <c r="E147" i="47" s="1"/>
  <c r="E199" i="47" a="1"/>
  <c r="E199" i="47" s="1"/>
  <c r="E803" i="47" a="1"/>
  <c r="E803" i="47" s="1"/>
  <c r="E328" i="47" a="1"/>
  <c r="E328" i="47" s="1"/>
  <c r="E279" i="47" a="1"/>
  <c r="E279" i="47" s="1"/>
  <c r="E748" i="47" a="1"/>
  <c r="E748" i="47" s="1"/>
  <c r="E74" i="47" a="1"/>
  <c r="E74" i="47" s="1"/>
  <c r="E265" i="47" a="1"/>
  <c r="E265" i="47" s="1"/>
  <c r="E283" i="47" a="1"/>
  <c r="E283" i="47" s="1"/>
  <c r="E483" i="47" a="1"/>
  <c r="E483" i="47" s="1"/>
  <c r="E761" i="47" a="1"/>
  <c r="E761" i="47" s="1"/>
  <c r="E458" i="47" a="1"/>
  <c r="E458" i="47" s="1"/>
  <c r="E708" i="47" a="1"/>
  <c r="E708" i="47" s="1"/>
  <c r="E445" i="47" a="1"/>
  <c r="E445" i="47" s="1"/>
  <c r="E184" i="47" a="1"/>
  <c r="E184" i="47" s="1"/>
  <c r="E57" i="47" a="1"/>
  <c r="E57" i="47" s="1"/>
  <c r="E384" i="47" a="1"/>
  <c r="E384" i="47" s="1"/>
  <c r="E118" i="47" a="1"/>
  <c r="E118" i="47" s="1"/>
  <c r="E202" i="47" a="1"/>
  <c r="E202" i="47" s="1"/>
  <c r="E581" i="47" a="1"/>
  <c r="E581" i="47" s="1"/>
  <c r="E719" i="47" a="1"/>
  <c r="E719" i="47" s="1"/>
  <c r="E923" i="47" a="1"/>
  <c r="E923" i="47" s="1"/>
  <c r="E564" i="47" a="1"/>
  <c r="E564" i="47" s="1"/>
  <c r="E1019" i="47" a="1"/>
  <c r="E1019" i="47" s="1"/>
  <c r="E953" i="47" a="1"/>
  <c r="E953" i="47" s="1"/>
  <c r="E977" i="47" a="1"/>
  <c r="E977" i="47" s="1"/>
  <c r="E783" i="47" a="1"/>
  <c r="E783" i="47" s="1"/>
  <c r="E652" i="47" a="1"/>
  <c r="E652" i="47" s="1"/>
  <c r="E164" i="47" a="1"/>
  <c r="E164" i="47" s="1"/>
  <c r="E551" i="47" a="1"/>
  <c r="E551" i="47" s="1"/>
  <c r="E559" i="47" a="1"/>
  <c r="E559" i="47" s="1"/>
  <c r="E878" i="47" a="1"/>
  <c r="E878" i="47" s="1"/>
  <c r="E630" i="47" a="1"/>
  <c r="E630" i="47" s="1"/>
  <c r="E828" i="47" a="1"/>
  <c r="E828" i="47" s="1"/>
  <c r="E546" i="47" a="1"/>
  <c r="E546" i="47" s="1"/>
  <c r="E261" i="47" a="1"/>
  <c r="E261" i="47" s="1"/>
  <c r="E591" i="47" a="1"/>
  <c r="E591" i="47" s="1"/>
  <c r="E535" i="47" a="1"/>
  <c r="E535" i="47" s="1"/>
  <c r="E151" i="47" a="1"/>
  <c r="E151" i="47" s="1"/>
  <c r="E212" i="47" a="1"/>
  <c r="E212" i="47" s="1"/>
  <c r="E937" i="47" a="1"/>
  <c r="E937" i="47" s="1"/>
  <c r="E254" i="47" a="1"/>
  <c r="E254" i="47" s="1"/>
  <c r="E314" i="47" a="1"/>
  <c r="E314" i="47" s="1"/>
  <c r="E711" i="47" a="1"/>
  <c r="E711" i="47" s="1"/>
  <c r="E276" i="47" a="1"/>
  <c r="E276" i="47" s="1"/>
  <c r="E888" i="47" a="1"/>
  <c r="E888" i="47" s="1"/>
  <c r="E317" i="47" a="1"/>
  <c r="E317" i="47" s="1"/>
  <c r="E243" i="47" a="1"/>
  <c r="E243" i="47" s="1"/>
  <c r="E65" i="47" a="1"/>
  <c r="E65" i="47" s="1"/>
  <c r="E227" i="47" a="1"/>
  <c r="E227" i="47" s="1"/>
  <c r="E449" i="47" a="1"/>
  <c r="E449" i="47" s="1"/>
  <c r="E110" i="47" a="1"/>
  <c r="E110" i="47" s="1"/>
  <c r="E579" i="47" a="1"/>
  <c r="E579" i="47" s="1"/>
  <c r="E213" i="47" a="1"/>
  <c r="E213" i="47" s="1"/>
  <c r="E444" i="47" a="1"/>
  <c r="E444" i="47" s="1"/>
  <c r="E271" i="47" a="1"/>
  <c r="E271" i="47" s="1"/>
  <c r="E250" i="47" a="1"/>
  <c r="E250" i="47" s="1"/>
  <c r="E587" i="47" a="1"/>
  <c r="E587" i="47" s="1"/>
  <c r="E933" i="47" a="1"/>
  <c r="E933" i="47" s="1"/>
  <c r="E679" i="47" a="1"/>
  <c r="E679" i="47" s="1"/>
  <c r="E952" i="47" a="1"/>
  <c r="E952" i="47" s="1"/>
  <c r="E787" i="47" a="1"/>
  <c r="E787" i="47" s="1"/>
  <c r="E626" i="47" a="1"/>
  <c r="E626" i="47" s="1"/>
  <c r="E239" i="47" a="1"/>
  <c r="E239" i="47" s="1"/>
  <c r="E344" i="47" a="1"/>
  <c r="E344" i="47" s="1"/>
  <c r="E662" i="47" a="1"/>
  <c r="E662" i="47" s="1"/>
  <c r="E523" i="47" a="1"/>
  <c r="E523" i="47" s="1"/>
  <c r="E457" i="47" a="1"/>
  <c r="E457" i="47" s="1"/>
  <c r="E307" i="47" a="1"/>
  <c r="E307" i="47" s="1"/>
  <c r="E956" i="47" a="1"/>
  <c r="E956" i="47" s="1"/>
  <c r="E782" i="47" a="1"/>
  <c r="E782" i="47" s="1"/>
  <c r="E912" i="47" a="1"/>
  <c r="E912" i="47" s="1"/>
  <c r="E162" i="47" a="1"/>
  <c r="E162" i="47" s="1"/>
  <c r="E718" i="47" a="1"/>
  <c r="E718" i="47" s="1"/>
  <c r="E969" i="47" a="1"/>
  <c r="E969" i="47" s="1"/>
  <c r="E23" i="47" a="1"/>
  <c r="E23" i="47" s="1"/>
  <c r="E70" i="47" a="1"/>
  <c r="E70" i="47" s="1"/>
  <c r="E946" i="47" a="1"/>
  <c r="E946" i="47" s="1"/>
  <c r="E574" i="47" a="1"/>
  <c r="E574" i="47" s="1"/>
  <c r="E934" i="47" a="1"/>
  <c r="E934" i="47" s="1"/>
  <c r="E518" i="47" a="1"/>
  <c r="E518" i="47" s="1"/>
  <c r="E514" i="47" a="1"/>
  <c r="E514" i="47" s="1"/>
  <c r="E75" i="47" a="1"/>
  <c r="E75" i="47" s="1"/>
  <c r="E468" i="47" a="1"/>
  <c r="E468" i="47" s="1"/>
  <c r="E524" i="47" a="1"/>
  <c r="E524" i="47" s="1"/>
  <c r="E849" i="47" a="1"/>
  <c r="E849" i="47" s="1"/>
  <c r="E208" i="47" a="1"/>
  <c r="E208" i="47" s="1"/>
  <c r="E154" i="47" a="1"/>
  <c r="E154" i="47" s="1"/>
  <c r="E360" i="47" a="1"/>
  <c r="E360" i="47" s="1"/>
  <c r="E99" i="47" a="1"/>
  <c r="E99" i="47" s="1"/>
  <c r="E362" i="47" a="1"/>
  <c r="E362" i="47" s="1"/>
  <c r="E674" i="47" a="1"/>
  <c r="E674" i="47" s="1"/>
  <c r="E479" i="47" a="1"/>
  <c r="E479" i="47" s="1"/>
  <c r="E721" i="47" a="1"/>
  <c r="E721" i="47" s="1"/>
  <c r="E87" i="47" a="1"/>
  <c r="E87" i="47" s="1"/>
  <c r="E927" i="47" a="1"/>
  <c r="E927" i="47" s="1"/>
  <c r="E480" i="47" a="1"/>
  <c r="E480" i="47" s="1"/>
  <c r="E204" i="47" a="1"/>
  <c r="E204" i="47" s="1"/>
  <c r="E776" i="47" a="1"/>
  <c r="E776" i="47" s="1"/>
  <c r="E189" i="47" a="1"/>
  <c r="E189" i="47" s="1"/>
  <c r="E935" i="47" a="1"/>
  <c r="E935" i="47" s="1"/>
  <c r="E840" i="47" a="1"/>
  <c r="E840" i="47" s="1"/>
  <c r="E421" i="47" a="1"/>
  <c r="E421" i="47" s="1"/>
  <c r="E220" i="47" a="1"/>
  <c r="E220" i="47" s="1"/>
  <c r="E522" i="47" a="1"/>
  <c r="E522" i="47" s="1"/>
  <c r="E874" i="47" a="1"/>
  <c r="E874" i="47" s="1"/>
  <c r="E914" i="47" a="1"/>
  <c r="E914" i="47" s="1"/>
  <c r="E81" i="47" a="1"/>
  <c r="E81" i="47" s="1"/>
  <c r="E527" i="47" a="1"/>
  <c r="E527" i="47" s="1"/>
  <c r="E376" i="47" a="1"/>
  <c r="E376" i="47" s="1"/>
  <c r="E298" i="47" a="1"/>
  <c r="E298" i="47" s="1"/>
  <c r="E609" i="47" a="1"/>
  <c r="E609" i="47" s="1"/>
  <c r="E894" i="47" a="1"/>
  <c r="E894" i="47" s="1"/>
  <c r="E284" i="47" a="1"/>
  <c r="E284" i="47" s="1"/>
  <c r="E619" i="47" a="1"/>
  <c r="E619" i="47" s="1"/>
  <c r="E354" i="47" a="1"/>
  <c r="E354" i="47" s="1"/>
  <c r="E567" i="47" a="1"/>
  <c r="E567" i="47" s="1"/>
  <c r="E226" i="47" a="1"/>
  <c r="E226" i="47" s="1"/>
  <c r="E424" i="47" a="1"/>
  <c r="E424" i="47" s="1"/>
  <c r="E597" i="47" a="1"/>
  <c r="E597" i="47" s="1"/>
  <c r="E682" i="47" a="1"/>
  <c r="E682" i="47" s="1"/>
  <c r="E79" i="47" a="1"/>
  <c r="E79" i="47" s="1"/>
  <c r="E466" i="47" a="1"/>
  <c r="E466" i="47" s="1"/>
  <c r="E363" i="47" a="1"/>
  <c r="E363" i="47" s="1"/>
  <c r="E403" i="47" a="1"/>
  <c r="E403" i="47" s="1"/>
  <c r="E690" i="47" a="1"/>
  <c r="E690" i="47" s="1"/>
  <c r="E586" i="47" a="1"/>
  <c r="E586" i="47" s="1"/>
  <c r="E545" i="47" a="1"/>
  <c r="E545" i="47" s="1"/>
  <c r="E415" i="47" a="1"/>
  <c r="E415" i="47" s="1"/>
  <c r="E916" i="47" a="1"/>
  <c r="E916" i="47" s="1"/>
  <c r="E642" i="47" a="1"/>
  <c r="E642" i="47" s="1"/>
  <c r="E736" i="47" a="1"/>
  <c r="E736" i="47" s="1"/>
  <c r="E287" i="47" a="1"/>
  <c r="E287" i="47" s="1"/>
  <c r="E1014" i="47" a="1"/>
  <c r="E1014" i="47" s="1"/>
  <c r="E802" i="47" a="1"/>
  <c r="E802" i="47" s="1"/>
  <c r="E426" i="47" a="1"/>
  <c r="E426" i="47" s="1"/>
  <c r="E645" i="47" a="1"/>
  <c r="E645" i="47" s="1"/>
  <c r="E69" i="47" a="1"/>
  <c r="E69" i="47" s="1"/>
  <c r="E467" i="47" a="1"/>
  <c r="E467" i="47" s="1"/>
  <c r="E104" i="47" a="1"/>
  <c r="E104" i="47" s="1"/>
  <c r="E205" i="47" a="1"/>
  <c r="E205" i="47" s="1"/>
  <c r="E274" i="47" a="1"/>
  <c r="E274" i="47" s="1"/>
  <c r="E729" i="47" a="1"/>
  <c r="E729" i="47" s="1"/>
  <c r="E26" i="47" a="1"/>
  <c r="E26" i="47" s="1"/>
  <c r="E475" i="47" a="1"/>
  <c r="E475" i="47" s="1"/>
  <c r="E999" i="47" a="1"/>
  <c r="E999" i="47" s="1"/>
  <c r="E529" i="47" a="1"/>
  <c r="E529" i="47" s="1"/>
  <c r="E303" i="47" a="1"/>
  <c r="E303" i="47" s="1"/>
  <c r="E565" i="47" a="1"/>
  <c r="E565" i="47" s="1"/>
  <c r="E339" i="47" a="1"/>
  <c r="E339" i="47" s="1"/>
  <c r="E167" i="47" a="1"/>
  <c r="E167" i="47" s="1"/>
  <c r="E571" i="47" a="1"/>
  <c r="E571" i="47" s="1"/>
  <c r="E673" i="47" a="1"/>
  <c r="E673" i="47" s="1"/>
  <c r="E122" i="47" a="1"/>
  <c r="E122" i="47" s="1"/>
  <c r="E686" i="47" a="1"/>
  <c r="E686" i="47" s="1"/>
  <c r="E959" i="47" a="1"/>
  <c r="E959" i="47" s="1"/>
  <c r="E563" i="47" a="1"/>
  <c r="E563" i="47" s="1"/>
  <c r="E733" i="47" a="1"/>
  <c r="E733" i="47" s="1"/>
  <c r="E665" i="47" a="1"/>
  <c r="E665" i="47" s="1"/>
  <c r="E872" i="47" a="1"/>
  <c r="E872" i="47" s="1"/>
  <c r="E769" i="47" a="1"/>
  <c r="E769" i="47" s="1"/>
  <c r="E644" i="47" a="1"/>
  <c r="E644" i="47" s="1"/>
  <c r="E333" i="47" a="1"/>
  <c r="E333" i="47" s="1"/>
  <c r="E140" i="47" a="1"/>
  <c r="E140" i="47" s="1"/>
  <c r="E172" i="47" a="1"/>
  <c r="E172" i="47" s="1"/>
  <c r="E40" i="47" a="1"/>
  <c r="E40" i="47" s="1"/>
  <c r="E603" i="47" a="1"/>
  <c r="E603" i="47" s="1"/>
  <c r="E234" i="47" a="1"/>
  <c r="E234" i="47" s="1"/>
  <c r="E197" i="47" a="1"/>
  <c r="E197" i="47" s="1"/>
  <c r="E170" i="47" a="1"/>
  <c r="E170" i="47" s="1"/>
  <c r="E455" i="47" a="1"/>
  <c r="E455" i="47" s="1"/>
  <c r="E517" i="47" a="1"/>
  <c r="E517" i="47" s="1"/>
  <c r="E506" i="47" a="1"/>
  <c r="E506" i="47" s="1"/>
  <c r="E966" i="47" a="1"/>
  <c r="E966" i="47" s="1"/>
  <c r="E904" i="47" a="1"/>
  <c r="E904" i="47" s="1"/>
  <c r="E967" i="47" a="1"/>
  <c r="E967" i="47" s="1"/>
  <c r="E742" i="47" a="1"/>
  <c r="E742" i="47" s="1"/>
  <c r="E158" i="47" a="1"/>
  <c r="E158" i="47" s="1"/>
  <c r="E541" i="47" a="1"/>
  <c r="E541" i="47" s="1"/>
  <c r="E734" i="47" a="1"/>
  <c r="E734" i="47" s="1"/>
  <c r="E51" i="47" a="1"/>
  <c r="E51" i="47" s="1"/>
  <c r="E389" i="47" a="1"/>
  <c r="E389" i="47" s="1"/>
  <c r="E699" i="47" a="1"/>
  <c r="E699" i="47" s="1"/>
  <c r="E214" i="47" a="1"/>
  <c r="E214" i="47" s="1"/>
  <c r="E851" i="47" a="1"/>
  <c r="E851" i="47" s="1"/>
  <c r="E533" i="47" a="1"/>
  <c r="E533" i="47" s="1"/>
  <c r="E978" i="47" a="1"/>
  <c r="E978" i="47" s="1"/>
  <c r="E573" i="47" a="1"/>
  <c r="E573" i="47" s="1"/>
  <c r="E450" i="47" a="1"/>
  <c r="E450" i="47" s="1"/>
  <c r="E717" i="47" a="1"/>
  <c r="E717" i="47" s="1"/>
  <c r="E602" i="47" a="1"/>
  <c r="E602" i="47" s="1"/>
  <c r="E462" i="47" a="1"/>
  <c r="E462" i="47" s="1"/>
  <c r="E182" i="47" a="1"/>
  <c r="E182" i="47" s="1"/>
  <c r="E301" i="47" a="1"/>
  <c r="E301" i="47" s="1"/>
  <c r="E520" i="47" a="1"/>
  <c r="E520" i="47" s="1"/>
  <c r="E64" i="47" a="1"/>
  <c r="E64" i="47" s="1"/>
  <c r="E225" i="47" a="1"/>
  <c r="E225" i="47" s="1"/>
  <c r="E291" i="47" a="1"/>
  <c r="E291" i="47" s="1"/>
  <c r="E47" i="47" a="1"/>
  <c r="E47" i="47" s="1"/>
  <c r="E909" i="47" a="1"/>
  <c r="E909" i="47" s="1"/>
  <c r="E821" i="47" a="1"/>
  <c r="E821" i="47" s="1"/>
  <c r="E245" i="47" a="1"/>
  <c r="E245" i="47" s="1"/>
  <c r="E997" i="47" a="1"/>
  <c r="E997" i="47" s="1"/>
  <c r="E620" i="47" a="1"/>
  <c r="E620" i="47" s="1"/>
  <c r="E995" i="47" a="1"/>
  <c r="E995" i="47" s="1"/>
  <c r="E117" i="47" a="1"/>
  <c r="E117" i="47" s="1"/>
  <c r="E882" i="47" a="1"/>
  <c r="E882" i="47" s="1"/>
  <c r="E989" i="47" a="1"/>
  <c r="E989" i="47" s="1"/>
  <c r="E44" i="47" a="1"/>
  <c r="E44" i="47" s="1"/>
  <c r="E693" i="47" a="1"/>
  <c r="E693" i="47" s="1"/>
  <c r="E795" i="47" a="1"/>
  <c r="E795" i="47" s="1"/>
  <c r="E493" i="47" a="1"/>
  <c r="E493" i="47" s="1"/>
  <c r="E841" i="47" a="1"/>
  <c r="E841" i="47" s="1"/>
  <c r="E84" i="47" a="1"/>
  <c r="E84" i="47" s="1"/>
  <c r="E595" i="47" a="1"/>
  <c r="E595" i="47" s="1"/>
  <c r="E537" i="47" a="1"/>
  <c r="E537" i="47" s="1"/>
  <c r="E702" i="47" a="1"/>
  <c r="E702" i="47" s="1"/>
  <c r="E304" i="47" a="1"/>
  <c r="E304" i="47" s="1"/>
  <c r="E790" i="47" a="1"/>
  <c r="E790" i="47" s="1"/>
  <c r="E515" i="47" a="1"/>
  <c r="E515" i="47" s="1"/>
  <c r="E855" i="47" a="1"/>
  <c r="E855" i="47" s="1"/>
  <c r="E138" i="47" a="1"/>
  <c r="E138" i="47" s="1"/>
  <c r="E131" i="47" a="1"/>
  <c r="E131" i="47" s="1"/>
  <c r="E553" i="47" a="1"/>
  <c r="E553" i="47" s="1"/>
  <c r="E257" i="47" a="1"/>
  <c r="E257" i="47" s="1"/>
  <c r="E762" i="47" a="1"/>
  <c r="E762" i="47" s="1"/>
  <c r="E100" i="47" a="1"/>
  <c r="E100" i="47" s="1"/>
  <c r="E364" i="47" a="1"/>
  <c r="E364" i="47" s="1"/>
  <c r="E357" i="47" a="1"/>
  <c r="E357" i="47" s="1"/>
  <c r="E149" i="47" a="1"/>
  <c r="E149" i="47" s="1"/>
  <c r="E141" i="47" a="1"/>
  <c r="E141" i="47" s="1"/>
  <c r="E380" i="47" a="1"/>
  <c r="E380" i="47" s="1"/>
  <c r="E692" i="47" a="1"/>
  <c r="E692" i="47" s="1"/>
  <c r="E801" i="47" a="1"/>
  <c r="E801" i="47" s="1"/>
  <c r="E351" i="47" a="1"/>
  <c r="E351" i="47" s="1"/>
  <c r="E359" i="47" a="1"/>
  <c r="E359" i="47" s="1"/>
  <c r="E960" i="47" a="1"/>
  <c r="E960" i="47" s="1"/>
  <c r="E194" i="47" a="1"/>
  <c r="E194" i="47" s="1"/>
  <c r="E311" i="47" a="1"/>
  <c r="E311" i="47" s="1"/>
  <c r="E958" i="47" a="1"/>
  <c r="E958" i="47" s="1"/>
  <c r="E530" i="47" a="1"/>
  <c r="E530" i="47" s="1"/>
  <c r="E177" i="47" a="1"/>
  <c r="E177" i="47" s="1"/>
  <c r="E985" i="47" a="1"/>
  <c r="E985" i="47" s="1"/>
  <c r="E931" i="47" a="1"/>
  <c r="E931" i="47" s="1"/>
  <c r="E947" i="47" a="1"/>
  <c r="E947" i="47" s="1"/>
  <c r="E442" i="47" a="1"/>
  <c r="E442" i="47" s="1"/>
  <c r="E83" i="47" a="1"/>
  <c r="E83" i="47" s="1"/>
  <c r="E92" i="47" a="1"/>
  <c r="E92" i="47" s="1"/>
  <c r="E613" i="47" a="1"/>
  <c r="E613" i="47" s="1"/>
  <c r="E386" i="47" a="1"/>
  <c r="E386" i="47" s="1"/>
  <c r="E32" i="47" a="1"/>
  <c r="E32" i="47" s="1"/>
  <c r="E447" i="47" a="1"/>
  <c r="E447" i="47" s="1"/>
  <c r="E173" i="47" a="1"/>
  <c r="E173" i="47" s="1"/>
  <c r="E107" i="47" a="1"/>
  <c r="E107" i="47" s="1"/>
  <c r="E759" i="47" a="1"/>
  <c r="E759" i="47" s="1"/>
  <c r="E653" i="47" a="1"/>
  <c r="E653" i="47" s="1"/>
  <c r="E146" i="47" a="1"/>
  <c r="E146" i="47" s="1"/>
  <c r="E286" i="47" a="1"/>
  <c r="E286" i="47" s="1"/>
  <c r="E984" i="47" a="1"/>
  <c r="E984" i="47" s="1"/>
  <c r="E489" i="47" a="1"/>
  <c r="E489" i="47" s="1"/>
  <c r="E73" i="47" a="1"/>
  <c r="E73" i="47" s="1"/>
  <c r="E361" i="47" a="1"/>
  <c r="E361" i="47" s="1"/>
  <c r="E556" i="47" a="1"/>
  <c r="E556" i="47" s="1"/>
  <c r="E611" i="47" a="1"/>
  <c r="E611" i="47" s="1"/>
  <c r="E562" i="47" a="1"/>
  <c r="E562" i="47" s="1"/>
  <c r="E293" i="47" a="1"/>
  <c r="E293" i="47" s="1"/>
  <c r="E675" i="47" a="1"/>
  <c r="E675" i="47" s="1"/>
  <c r="E305" i="47" a="1"/>
  <c r="E305" i="47" s="1"/>
  <c r="E992" i="47" a="1"/>
  <c r="E992" i="47" s="1"/>
  <c r="E775" i="47" a="1"/>
  <c r="E775" i="47" s="1"/>
  <c r="E348" i="47" a="1"/>
  <c r="E348" i="47" s="1"/>
  <c r="E1001" i="47" a="1"/>
  <c r="E1001" i="47" s="1"/>
  <c r="E778" i="47" a="1"/>
  <c r="E778" i="47" s="1"/>
  <c r="E903" i="47" a="1"/>
  <c r="E903" i="47" s="1"/>
  <c r="E756" i="47" a="1"/>
  <c r="E756" i="47" s="1"/>
  <c r="E165" i="47" a="1"/>
  <c r="E165" i="47" s="1"/>
  <c r="E231" i="47" a="1"/>
  <c r="E231" i="47" s="1"/>
  <c r="E218" i="47" a="1"/>
  <c r="E218" i="47" s="1"/>
  <c r="E240" i="47" a="1"/>
  <c r="E240" i="47" s="1"/>
  <c r="E358" i="47" a="1"/>
  <c r="E358" i="47" s="1"/>
  <c r="E1021" i="47" a="1"/>
  <c r="E1021" i="47" s="1"/>
  <c r="E222" i="47" a="1"/>
  <c r="E222" i="47" s="1"/>
  <c r="E822" i="47" a="1"/>
  <c r="E822" i="47" s="1"/>
  <c r="E812" i="47" a="1"/>
  <c r="E812" i="47" s="1"/>
  <c r="E201" i="47" a="1"/>
  <c r="E201" i="47" s="1"/>
  <c r="E346" i="47" a="1"/>
  <c r="E346" i="47" s="1"/>
  <c r="E478" i="47" a="1"/>
  <c r="E478" i="47" s="1"/>
  <c r="E470" i="47" a="1"/>
  <c r="E470" i="47" s="1"/>
  <c r="E991" i="47" a="1"/>
  <c r="E991" i="47" s="1"/>
  <c r="E968" i="47" a="1"/>
  <c r="E968" i="47" s="1"/>
  <c r="E804" i="47" a="1"/>
  <c r="E804" i="47" s="1"/>
  <c r="E948" i="47" a="1"/>
  <c r="E948" i="47" s="1"/>
  <c r="E171" i="47" a="1"/>
  <c r="E171" i="47" s="1"/>
  <c r="E976" i="47" a="1"/>
  <c r="E976" i="47" s="1"/>
  <c r="E434" i="47" a="1"/>
  <c r="E434" i="47" s="1"/>
  <c r="E152" i="47" a="1"/>
  <c r="E152" i="47" s="1"/>
  <c r="E797" i="47" a="1"/>
  <c r="E797" i="47" s="1"/>
  <c r="E898" i="47" a="1"/>
  <c r="E898" i="47" s="1"/>
  <c r="E629" i="47" a="1"/>
  <c r="E629" i="47" s="1"/>
  <c r="E488" i="47" a="1"/>
  <c r="E488" i="47" s="1"/>
  <c r="E321" i="47" a="1"/>
  <c r="E321" i="47" s="1"/>
  <c r="E922" i="47" a="1"/>
  <c r="E922" i="47" s="1"/>
  <c r="E256" i="47" a="1"/>
  <c r="E256" i="47" s="1"/>
  <c r="E320" i="47" a="1"/>
  <c r="E320" i="47" s="1"/>
  <c r="E885" i="47" a="1"/>
  <c r="E885" i="47" s="1"/>
  <c r="E915" i="47" a="1"/>
  <c r="E915" i="47" s="1"/>
  <c r="E306" i="47" a="1"/>
  <c r="E306" i="47" s="1"/>
  <c r="E278" i="47" a="1"/>
  <c r="E278" i="47" s="1"/>
  <c r="E710" i="47" a="1"/>
  <c r="E710" i="47" s="1"/>
  <c r="E543" i="47" a="1"/>
  <c r="E543" i="47" s="1"/>
  <c r="E649" i="47" a="1"/>
  <c r="E649" i="47" s="1"/>
  <c r="E38" i="47" a="1"/>
  <c r="E38" i="47" s="1"/>
  <c r="E404" i="47" a="1"/>
  <c r="E404" i="47" s="1"/>
  <c r="E342" i="47" a="1"/>
  <c r="E342" i="47" s="1"/>
  <c r="E655" i="47" a="1"/>
  <c r="E655" i="47" s="1"/>
  <c r="E561" i="47" a="1"/>
  <c r="E561" i="47" s="1"/>
  <c r="E371" i="47" a="1"/>
  <c r="E371" i="47" s="1"/>
  <c r="E816" i="47" a="1"/>
  <c r="E816" i="47" s="1"/>
  <c r="E175" i="47" a="1"/>
  <c r="E175" i="47" s="1"/>
  <c r="E267" i="47" a="1"/>
  <c r="E267" i="47" s="1"/>
  <c r="E780" i="47" a="1"/>
  <c r="E780" i="47" s="1"/>
  <c r="E456" i="47" a="1"/>
  <c r="E456" i="47" s="1"/>
  <c r="E166" i="47" a="1"/>
  <c r="E166" i="47" s="1"/>
  <c r="E685" i="47" a="1"/>
  <c r="E685" i="47" s="1"/>
  <c r="E957" i="47" a="1"/>
  <c r="E957" i="47" s="1"/>
  <c r="E988" i="47" a="1"/>
  <c r="E988" i="47" s="1"/>
  <c r="E272" i="47" a="1"/>
  <c r="E272" i="47" s="1"/>
  <c r="E896" i="47" a="1"/>
  <c r="E896" i="47" s="1"/>
  <c r="E130" i="47" a="1"/>
  <c r="E130" i="47" s="1"/>
  <c r="E979" i="47" a="1"/>
  <c r="E979" i="47" s="1"/>
  <c r="E650" i="47" a="1"/>
  <c r="E650" i="47" s="1"/>
  <c r="E669" i="47" a="1"/>
  <c r="E669" i="47" s="1"/>
  <c r="E664" i="47" a="1"/>
  <c r="E664" i="47" s="1"/>
  <c r="E683" i="47" a="1"/>
  <c r="E683" i="47" s="1"/>
  <c r="E411" i="47" a="1"/>
  <c r="E411" i="47" s="1"/>
  <c r="E246" i="47" a="1"/>
  <c r="E246" i="47" s="1"/>
  <c r="E368" i="47" a="1"/>
  <c r="E368" i="47" s="1"/>
  <c r="E806" i="47" a="1"/>
  <c r="E806" i="47" s="1"/>
  <c r="E974" i="47" a="1"/>
  <c r="E974" i="47" s="1"/>
  <c r="E737" i="47" a="1"/>
  <c r="E737" i="47" s="1"/>
  <c r="E614" i="47" a="1"/>
  <c r="E614" i="47" s="1"/>
  <c r="E436" i="47" a="1"/>
  <c r="E436" i="47" s="1"/>
  <c r="E900" i="47" a="1"/>
  <c r="E900" i="47" s="1"/>
  <c r="E425" i="47" a="1"/>
  <c r="E425" i="47" s="1"/>
  <c r="E179" i="47" a="1"/>
  <c r="E179" i="47" s="1"/>
  <c r="E417" i="47" a="1"/>
  <c r="E417" i="47" s="1"/>
  <c r="E770" i="47" a="1"/>
  <c r="E770" i="47" s="1"/>
  <c r="E982" i="47" a="1"/>
  <c r="E982" i="47" s="1"/>
  <c r="E137" i="47" a="1"/>
  <c r="E137" i="47" s="1"/>
  <c r="E853" i="47" a="1"/>
  <c r="E853" i="47" s="1"/>
  <c r="E779" i="47" a="1"/>
  <c r="E779" i="47" s="1"/>
  <c r="E503" i="47" a="1"/>
  <c r="E503" i="47" s="1"/>
  <c r="E592" i="47" a="1"/>
  <c r="E592" i="47" s="1"/>
  <c r="E983" i="47" a="1"/>
  <c r="E983" i="47" s="1"/>
  <c r="E288" i="47" a="1"/>
  <c r="E288" i="47" s="1"/>
  <c r="E568" i="47" a="1"/>
  <c r="E568" i="47" s="1"/>
  <c r="E192" i="47" a="1"/>
  <c r="E192" i="47" s="1"/>
  <c r="E28" i="47" a="1"/>
  <c r="E28" i="47" s="1"/>
  <c r="E945" i="47" a="1"/>
  <c r="E945" i="47" s="1"/>
  <c r="E950" i="47" a="1"/>
  <c r="E950" i="47" s="1"/>
  <c r="E315" i="47" a="1"/>
  <c r="E315" i="47" s="1"/>
  <c r="E848" i="47" a="1"/>
  <c r="E848" i="47" s="1"/>
  <c r="E496" i="47" a="1"/>
  <c r="E496" i="47" s="1"/>
  <c r="E743" i="47" a="1"/>
  <c r="E743" i="47" s="1"/>
  <c r="E572" i="47" a="1"/>
  <c r="E572" i="47" s="1"/>
  <c r="E418" i="47" a="1"/>
  <c r="E418" i="47" s="1"/>
  <c r="E393" i="47" a="1"/>
  <c r="E393" i="47" s="1"/>
  <c r="E156" i="47" a="1"/>
  <c r="E156" i="47" s="1"/>
  <c r="E289" i="47" a="1"/>
  <c r="E289" i="47" s="1"/>
  <c r="E687" i="47" a="1"/>
  <c r="E687" i="47" s="1"/>
  <c r="E578" i="47" a="1"/>
  <c r="E578" i="47" s="1"/>
  <c r="E847" i="47" a="1"/>
  <c r="E847" i="47" s="1"/>
  <c r="E703" i="47" a="1"/>
  <c r="E703" i="47" s="1"/>
  <c r="E891" i="47" a="1"/>
  <c r="E891" i="47" s="1"/>
  <c r="E566" i="47" a="1"/>
  <c r="E566" i="47" s="1"/>
  <c r="E452" i="47" a="1"/>
  <c r="E452" i="47" s="1"/>
  <c r="E996" i="47" a="1"/>
  <c r="E996" i="47" s="1"/>
  <c r="E1006" i="47" a="1"/>
  <c r="E1006" i="47" s="1"/>
  <c r="E429" i="47" a="1"/>
  <c r="E429" i="47" s="1"/>
  <c r="E476" i="47" a="1"/>
  <c r="E476" i="47" s="1"/>
  <c r="E209" i="47" a="1"/>
  <c r="E209" i="47" s="1"/>
  <c r="E235" i="47" a="1"/>
  <c r="E235" i="47" s="1"/>
  <c r="E33" i="47" a="1"/>
  <c r="E33" i="47" s="1"/>
  <c r="E1018" i="47" a="1"/>
  <c r="E1018" i="47" s="1"/>
  <c r="E292" i="47" a="1"/>
  <c r="E292" i="47" s="1"/>
  <c r="E836" i="47" a="1"/>
  <c r="E836" i="47" s="1"/>
  <c r="E794" i="47" a="1"/>
  <c r="E794" i="47" s="1"/>
  <c r="E557" i="47" a="1"/>
  <c r="E557" i="47" s="1"/>
  <c r="E800" i="47" a="1"/>
  <c r="E800" i="47" s="1"/>
  <c r="E689" i="47" a="1"/>
  <c r="E689" i="47" s="1"/>
  <c r="E125" i="47" a="1"/>
  <c r="E125" i="47" s="1"/>
  <c r="E422" i="47" a="1"/>
  <c r="E422" i="47" s="1"/>
  <c r="E95" i="47" a="1"/>
  <c r="E95" i="47" s="1"/>
  <c r="E671" i="47" a="1"/>
  <c r="E671" i="47" s="1"/>
  <c r="E829" i="47" a="1"/>
  <c r="E829" i="47" s="1"/>
  <c r="E60" i="47" a="1"/>
  <c r="E60" i="47" s="1"/>
  <c r="E744" i="47" a="1"/>
  <c r="E744" i="47" s="1"/>
  <c r="E596" i="47" a="1"/>
  <c r="E596" i="47" s="1"/>
  <c r="E807" i="47" a="1"/>
  <c r="E807" i="47" s="1"/>
  <c r="E962" i="47" a="1"/>
  <c r="E962" i="47" s="1"/>
  <c r="E698" i="47" a="1"/>
  <c r="E698" i="47" s="1"/>
  <c r="E940" i="47" a="1"/>
  <c r="E940" i="47" s="1"/>
  <c r="E633" i="47" a="1"/>
  <c r="E633" i="47" s="1"/>
  <c r="E588" i="47" a="1"/>
  <c r="E588" i="47" s="1"/>
  <c r="E116" i="47" a="1"/>
  <c r="E116" i="47" s="1"/>
  <c r="E373" i="47" a="1"/>
  <c r="E373" i="47" s="1"/>
  <c r="E750" i="47" a="1"/>
  <c r="E750" i="47" s="1"/>
  <c r="E639" i="47" a="1"/>
  <c r="E639" i="47" s="1"/>
  <c r="E463" i="47" a="1"/>
  <c r="E463" i="47" s="1"/>
  <c r="E24" i="47" a="1"/>
  <c r="E24" i="47" s="1"/>
  <c r="E435" i="47" a="1"/>
  <c r="E435" i="47" s="1"/>
  <c r="E210" i="47" a="1"/>
  <c r="E210" i="47" s="1"/>
  <c r="E701" i="47" a="1"/>
  <c r="E701" i="47" s="1"/>
  <c r="E839" i="47" a="1"/>
  <c r="E839" i="47" s="1"/>
  <c r="E296" i="47" a="1"/>
  <c r="E296" i="47" s="1"/>
  <c r="E400" i="47" a="1"/>
  <c r="E400" i="47" s="1"/>
  <c r="E705" i="47" a="1"/>
  <c r="E705" i="47" s="1"/>
  <c r="E331" i="47" a="1"/>
  <c r="E331" i="47" s="1"/>
  <c r="E308" i="47" a="1"/>
  <c r="E308" i="47" s="1"/>
  <c r="E381" i="47" a="1"/>
  <c r="E381" i="47" s="1"/>
  <c r="E941" i="47" a="1"/>
  <c r="E941" i="47" s="1"/>
  <c r="E207" i="47" a="1"/>
  <c r="E207" i="47" s="1"/>
  <c r="E356" i="47" a="1"/>
  <c r="E356" i="47" s="1"/>
  <c r="E329" i="47" a="1"/>
  <c r="E329" i="47" s="1"/>
  <c r="E612" i="47" a="1"/>
  <c r="E612" i="47" s="1"/>
  <c r="E621" i="47" a="1"/>
  <c r="E621" i="47" s="1"/>
  <c r="E826" i="47" a="1"/>
  <c r="E826" i="47" s="1"/>
  <c r="E634" i="47" a="1"/>
  <c r="E634" i="47" s="1"/>
  <c r="E433" i="47" a="1"/>
  <c r="E433" i="47" s="1"/>
  <c r="E45" i="47" a="1"/>
  <c r="E45" i="47" s="1"/>
  <c r="E36" i="47" a="1"/>
  <c r="E36" i="47" s="1"/>
  <c r="E397" i="47" a="1"/>
  <c r="E397" i="47" s="1"/>
  <c r="E379" i="47" a="1"/>
  <c r="E379" i="47" s="1"/>
  <c r="E615" i="47" a="1"/>
  <c r="E615" i="47" s="1"/>
  <c r="E86" i="47" a="1"/>
  <c r="E86" i="47" s="1"/>
  <c r="E161" i="47" a="1"/>
  <c r="E161" i="47" s="1"/>
  <c r="E78" i="47" a="1"/>
  <c r="E78" i="47" s="1"/>
  <c r="E932" i="47" a="1"/>
  <c r="E932" i="47" s="1"/>
  <c r="E112" i="47" a="1"/>
  <c r="E112" i="47" s="1"/>
  <c r="E716" i="47" a="1"/>
  <c r="E716" i="47" s="1"/>
  <c r="E325" i="47" a="1"/>
  <c r="E325" i="47" s="1"/>
  <c r="E830" i="47" a="1"/>
  <c r="E830" i="47" s="1"/>
  <c r="E105" i="47" a="1"/>
  <c r="E105" i="47" s="1"/>
  <c r="E965" i="47" a="1"/>
  <c r="E965" i="47" s="1"/>
  <c r="E667" i="47" a="1"/>
  <c r="E667" i="47" s="1"/>
  <c r="E707" i="47" a="1"/>
  <c r="E707" i="47" s="1"/>
  <c r="E178" i="47" a="1"/>
  <c r="E178" i="47" s="1"/>
  <c r="E1000" i="47" a="1"/>
  <c r="E1000" i="47" s="1"/>
  <c r="E82" i="47" a="1"/>
  <c r="E82" i="47" s="1"/>
  <c r="E730" i="47" a="1"/>
  <c r="E730" i="47" s="1"/>
  <c r="E71" i="47" a="1"/>
  <c r="E71" i="47" s="1"/>
  <c r="E472" i="47" a="1"/>
  <c r="E472" i="47" s="1"/>
  <c r="E247" i="47" a="1"/>
  <c r="E247" i="47" s="1"/>
  <c r="E510" i="47" a="1"/>
  <c r="E510" i="47" s="1"/>
  <c r="E886" i="47" a="1"/>
  <c r="E886" i="47" s="1"/>
  <c r="E585" i="47" a="1"/>
  <c r="E585" i="47" s="1"/>
  <c r="E242" i="47" a="1"/>
  <c r="E242" i="47" s="1"/>
  <c r="E606" i="47" a="1"/>
  <c r="E606" i="47" s="1"/>
  <c r="E539" i="47" a="1"/>
  <c r="E539" i="47" s="1"/>
  <c r="E627" i="47" a="1"/>
  <c r="E627" i="47" s="1"/>
  <c r="E873" i="47" a="1"/>
  <c r="E873" i="47" s="1"/>
  <c r="E834" i="47" a="1"/>
  <c r="E834" i="47" s="1"/>
  <c r="E725" i="47" a="1"/>
  <c r="E725" i="47" s="1"/>
  <c r="E448" i="47" a="1"/>
  <c r="E448" i="47" s="1"/>
  <c r="E670" i="47" a="1"/>
  <c r="E670" i="47" s="1"/>
  <c r="E846" i="47" a="1"/>
  <c r="E846" i="47" s="1"/>
  <c r="E157" i="47" a="1"/>
  <c r="E157" i="47" s="1"/>
  <c r="E618" i="47" a="1"/>
  <c r="E618" i="47" s="1"/>
  <c r="E895" i="47" a="1"/>
  <c r="E895" i="47" s="1"/>
  <c r="E248" i="47" a="1"/>
  <c r="E248" i="47" s="1"/>
  <c r="E495" i="47" a="1"/>
  <c r="E495" i="47" s="1"/>
  <c r="E858" i="47" a="1"/>
  <c r="E858" i="47" s="1"/>
  <c r="E446" i="47" a="1"/>
  <c r="E446" i="47" s="1"/>
  <c r="E487" i="47" a="1"/>
  <c r="E487" i="47" s="1"/>
  <c r="E454" i="47" a="1"/>
  <c r="E454" i="47" s="1"/>
  <c r="E632" i="47" a="1"/>
  <c r="E632" i="47" s="1"/>
  <c r="E451" i="47" a="1"/>
  <c r="E451" i="47" s="1"/>
  <c r="E560" i="47" a="1"/>
  <c r="E560" i="47" s="1"/>
  <c r="E34" i="47" a="1"/>
  <c r="E34" i="47" s="1"/>
  <c r="E440" i="47" a="1"/>
  <c r="E440" i="47" s="1"/>
  <c r="E129" i="47" a="1"/>
  <c r="E129" i="47" s="1"/>
  <c r="E486" i="47" a="1"/>
  <c r="E486" i="47" s="1"/>
  <c r="E128" i="47" a="1"/>
  <c r="E128" i="47" s="1"/>
  <c r="E866" i="47" a="1"/>
  <c r="E866" i="47" s="1"/>
  <c r="E852" i="47" a="1"/>
  <c r="E852" i="47" s="1"/>
  <c r="E68" i="47" a="1"/>
  <c r="E68" i="47" s="1"/>
  <c r="E600" i="47" a="1"/>
  <c r="E600" i="47" s="1"/>
  <c r="E31" i="47" a="1"/>
  <c r="E31" i="47" s="1"/>
  <c r="E764" i="47" a="1"/>
  <c r="E764" i="47" s="1"/>
  <c r="E781" i="47" a="1"/>
  <c r="E781" i="47" s="1"/>
  <c r="E355" i="47" a="1"/>
  <c r="E355" i="47" s="1"/>
  <c r="E211" i="47" a="1"/>
  <c r="E211" i="47" s="1"/>
  <c r="E255" i="47" a="1"/>
  <c r="E255" i="47" s="1"/>
  <c r="E877" i="47" a="1"/>
  <c r="E877" i="47" s="1"/>
  <c r="E739" i="47" a="1"/>
  <c r="E739" i="47" s="1"/>
  <c r="E819" i="47" a="1"/>
  <c r="E819" i="47" s="1"/>
  <c r="E169" i="47" a="1"/>
  <c r="E169" i="47" s="1"/>
  <c r="E106" i="47" a="1"/>
  <c r="E106" i="47" s="1"/>
  <c r="E986" i="47" a="1"/>
  <c r="E986" i="47" s="1"/>
  <c r="E724" i="47" a="1"/>
  <c r="E724" i="47" s="1"/>
  <c r="E94" i="47" a="1"/>
  <c r="E94" i="47" s="1"/>
  <c r="E972" i="47" a="1"/>
  <c r="E972" i="47" s="1"/>
  <c r="E139" i="47" a="1"/>
  <c r="E139" i="47" s="1"/>
  <c r="E1005" i="47" a="1"/>
  <c r="E1005" i="47" s="1"/>
  <c r="E93" i="47" a="1"/>
  <c r="E93" i="47" s="1"/>
  <c r="E501" i="47" a="1"/>
  <c r="E501" i="47" s="1"/>
  <c r="E706" i="47" a="1"/>
  <c r="E706" i="47" s="1"/>
  <c r="E96" i="47" a="1"/>
  <c r="E96" i="47" s="1"/>
  <c r="E525" i="47" a="1"/>
  <c r="E525" i="47" s="1"/>
  <c r="E760" i="47" a="1"/>
  <c r="E760" i="47" s="1"/>
  <c r="E295" i="47" a="1"/>
  <c r="E295" i="47" s="1"/>
  <c r="E1020" i="47" a="1"/>
  <c r="E1020" i="47" s="1"/>
  <c r="E646" i="47" a="1"/>
  <c r="E646" i="47" s="1"/>
  <c r="E616" i="47" a="1"/>
  <c r="E616" i="47" s="1"/>
  <c r="E879" i="47" a="1"/>
  <c r="E879" i="47" s="1"/>
  <c r="E583" i="47" a="1"/>
  <c r="E583" i="47" s="1"/>
  <c r="E507" i="47" a="1"/>
  <c r="E507" i="47" s="1"/>
  <c r="E53" i="47" a="1"/>
  <c r="E53" i="47" s="1"/>
  <c r="E285" i="47" a="1"/>
  <c r="E285" i="47" s="1"/>
  <c r="E76" i="47" a="1"/>
  <c r="E76" i="47" s="1"/>
  <c r="E382" i="47" a="1"/>
  <c r="E382" i="47" s="1"/>
  <c r="E970" i="47" a="1"/>
  <c r="E970" i="47" s="1"/>
  <c r="E695" i="47" a="1"/>
  <c r="E695" i="47" s="1"/>
  <c r="E392" i="47" a="1"/>
  <c r="E392" i="47" s="1"/>
  <c r="E30" i="47" a="1"/>
  <c r="E30" i="47" s="1"/>
  <c r="E659" i="47" a="1"/>
  <c r="E659" i="47" s="1"/>
  <c r="E774" i="47" a="1"/>
  <c r="E774" i="47" s="1"/>
  <c r="E313" i="47" a="1"/>
  <c r="E313" i="47" s="1"/>
  <c r="E350" i="47" a="1"/>
  <c r="E350" i="47" s="1"/>
  <c r="E143" i="47" a="1"/>
  <c r="E143" i="47" s="1"/>
  <c r="E232" i="47" a="1"/>
  <c r="E232" i="47" s="1"/>
  <c r="E738" i="47" a="1"/>
  <c r="E738" i="47" s="1"/>
  <c r="E266" i="47" a="1"/>
  <c r="E266" i="47" s="1"/>
  <c r="E610" i="47" a="1"/>
  <c r="E610" i="47" s="1"/>
  <c r="E406" i="47" a="1"/>
  <c r="E406" i="47" s="1"/>
  <c r="E127" i="47" a="1"/>
  <c r="E127" i="47" s="1"/>
  <c r="E413" i="47" a="1"/>
  <c r="E413" i="47" s="1"/>
  <c r="E25" i="47" a="1"/>
  <c r="E25" i="47" s="1"/>
  <c r="E439" i="47" a="1"/>
  <c r="E439" i="47" s="1"/>
  <c r="E773" i="47" a="1"/>
  <c r="E773" i="47" s="1"/>
  <c r="E97" i="47" a="1"/>
  <c r="E97" i="47" s="1"/>
  <c r="E798" i="47" a="1"/>
  <c r="E798" i="47" s="1"/>
  <c r="E860" i="47" a="1"/>
  <c r="E860" i="47" s="1"/>
  <c r="E757" i="47" a="1"/>
  <c r="E757" i="47" s="1"/>
  <c r="E369" i="47" a="1"/>
  <c r="E369" i="47" s="1"/>
  <c r="E269" i="47" a="1"/>
  <c r="E269" i="47" s="1"/>
  <c r="E1017" i="47" a="1"/>
  <c r="E1017" i="47" s="1"/>
  <c r="E504" i="47" a="1"/>
  <c r="E504" i="47" s="1"/>
  <c r="E753" i="47" a="1"/>
  <c r="E753" i="47" s="1"/>
  <c r="E657" i="47" a="1"/>
  <c r="E657" i="47" s="1"/>
  <c r="E700" i="47" a="1"/>
  <c r="E700" i="47" s="1"/>
  <c r="E228" i="47" a="1"/>
  <c r="E228" i="47" s="1"/>
  <c r="E536" i="47" a="1"/>
  <c r="E536" i="47" s="1"/>
  <c r="E347" i="47" a="1"/>
  <c r="E347" i="47" s="1"/>
  <c r="E917" i="47" a="1"/>
  <c r="E917" i="47" s="1"/>
  <c r="E859" i="47" a="1"/>
  <c r="E859" i="47" s="1"/>
  <c r="E273" i="47" a="1"/>
  <c r="E273" i="47" s="1"/>
  <c r="E414" i="47" a="1"/>
  <c r="E414" i="47" s="1"/>
  <c r="E907" i="47" a="1"/>
  <c r="E907" i="47" s="1"/>
  <c r="E528" i="47" a="1"/>
  <c r="E528" i="47" s="1"/>
  <c r="E513" i="47" a="1"/>
  <c r="E513" i="47" s="1"/>
  <c r="E608" i="47" a="1"/>
  <c r="E608" i="47" s="1"/>
  <c r="E735" i="47" a="1"/>
  <c r="E735" i="47" s="1"/>
  <c r="E955" i="47" a="1"/>
  <c r="E955" i="47" s="1"/>
  <c r="E330" i="47" a="1"/>
  <c r="E330" i="47" s="1"/>
  <c r="E768" i="47" a="1"/>
  <c r="E768" i="47" s="1"/>
  <c r="E412" i="47" a="1"/>
  <c r="E412" i="47" s="1"/>
  <c r="E499" i="47" a="1"/>
  <c r="E499" i="47" s="1"/>
  <c r="E471" i="47" a="1"/>
  <c r="E471" i="47" s="1"/>
  <c r="E868" i="47" a="1"/>
  <c r="E868" i="47" s="1"/>
  <c r="E820" i="47" a="1"/>
  <c r="E820" i="47" s="1"/>
  <c r="E704" i="47" a="1"/>
  <c r="E704" i="47" s="1"/>
  <c r="E809" i="47" a="1"/>
  <c r="E809" i="47" s="1"/>
  <c r="E788" i="47" a="1"/>
  <c r="E788" i="47" s="1"/>
  <c r="E505" i="47" a="1"/>
  <c r="E505" i="47" s="1"/>
  <c r="E582" i="47" a="1"/>
  <c r="E582" i="47" s="1"/>
  <c r="E1011" i="47" a="1"/>
  <c r="E1011" i="47" s="1"/>
  <c r="E555" i="47" a="1"/>
  <c r="E555" i="47" s="1"/>
  <c r="E540" i="47" a="1"/>
  <c r="E540" i="47" s="1"/>
  <c r="E120" i="47" a="1"/>
  <c r="E120" i="47" s="1"/>
  <c r="E901" i="47" a="1"/>
  <c r="E901" i="47" s="1"/>
  <c r="E593" i="47" a="1"/>
  <c r="E593" i="47" s="1"/>
  <c r="E50" i="47" a="1"/>
  <c r="E50" i="47" s="1"/>
  <c r="E133" i="47" a="1"/>
  <c r="E133" i="47" s="1"/>
  <c r="E200" i="47" a="1"/>
  <c r="E200" i="47" s="1"/>
  <c r="E728" i="47" a="1"/>
  <c r="E728" i="47" s="1"/>
  <c r="E534" i="47" a="1"/>
  <c r="E534" i="47" s="1"/>
  <c r="E340" i="47" a="1"/>
  <c r="E340" i="47" s="1"/>
  <c r="E981" i="47" a="1"/>
  <c r="E981" i="47" s="1"/>
  <c r="E186" i="47" a="1"/>
  <c r="E186" i="47" s="1"/>
  <c r="E763" i="47" a="1"/>
  <c r="E763" i="47" s="1"/>
  <c r="E142" i="47" a="1"/>
  <c r="E142" i="47" s="1"/>
  <c r="E971" i="47" a="1"/>
  <c r="E971" i="47" s="1"/>
  <c r="E752" i="47" a="1"/>
  <c r="E752" i="47" s="1"/>
  <c r="E464" i="47" a="1"/>
  <c r="E464" i="47" s="1"/>
  <c r="E865" i="47" a="1"/>
  <c r="E865" i="47" s="1"/>
  <c r="E870" i="47" a="1"/>
  <c r="E870" i="47" s="1"/>
  <c r="E949" i="47" a="1"/>
  <c r="E949" i="47" s="1"/>
  <c r="E867" i="47" a="1"/>
  <c r="E867" i="47" s="1"/>
  <c r="E374" i="47" a="1"/>
  <c r="E374" i="47" s="1"/>
  <c r="E833" i="47" a="1"/>
  <c r="E833" i="47" s="1"/>
  <c r="E973" i="47" a="1"/>
  <c r="E973" i="47" s="1"/>
  <c r="E617" i="47" a="1"/>
  <c r="E617" i="47" s="1"/>
  <c r="E338" i="47" a="1"/>
  <c r="E338" i="47" s="1"/>
  <c r="E785" i="47" a="1"/>
  <c r="E785" i="47" s="1"/>
  <c r="E731" i="47" a="1"/>
  <c r="E731" i="47" s="1"/>
  <c r="E1007" i="47" a="1"/>
  <c r="E1007" i="47" s="1"/>
  <c r="E531" i="47" a="1"/>
  <c r="E531" i="47" s="1"/>
  <c r="E993" i="47" a="1"/>
  <c r="E993" i="47" s="1"/>
  <c r="E188" i="47" a="1"/>
  <c r="E188" i="47" s="1"/>
  <c r="E90" i="47" a="1"/>
  <c r="E90" i="47" s="1"/>
  <c r="E576" i="47" a="1"/>
  <c r="E576" i="47" s="1"/>
  <c r="E187" i="47" a="1"/>
  <c r="E187" i="47" s="1"/>
  <c r="E290" i="47" a="1"/>
  <c r="E290" i="47" s="1"/>
  <c r="E636" i="47" a="1"/>
  <c r="E636" i="47" s="1"/>
  <c r="E500" i="47" a="1"/>
  <c r="E500" i="47" s="1"/>
  <c r="E459" i="47" a="1"/>
  <c r="E459" i="47" s="1"/>
  <c r="E850" i="47" a="1"/>
  <c r="E850" i="47" s="1"/>
  <c r="E474" i="47" a="1"/>
  <c r="E474" i="47" s="1"/>
  <c r="E732" i="47" a="1"/>
  <c r="E732" i="47" s="1"/>
  <c r="E584" i="47" a="1"/>
  <c r="E584" i="47" s="1"/>
  <c r="E845" i="47" a="1"/>
  <c r="E845" i="47" s="1"/>
  <c r="E1013" i="47" a="1"/>
  <c r="E1013" i="47" s="1"/>
  <c r="E990" i="47" a="1"/>
  <c r="E990" i="47" s="1"/>
  <c r="E890" i="47" a="1"/>
  <c r="E890" i="47" s="1"/>
  <c r="E835" i="47" a="1"/>
  <c r="E835" i="47" s="1"/>
  <c r="E150" i="47" a="1"/>
  <c r="E150" i="47" s="1"/>
  <c r="E784" i="47" a="1"/>
  <c r="E784" i="47" s="1"/>
  <c r="E465" i="47" a="1"/>
  <c r="E465" i="47" s="1"/>
  <c r="E624" i="47" a="1"/>
  <c r="E624" i="47" s="1"/>
  <c r="E641" i="47" a="1"/>
  <c r="E641" i="47" s="1"/>
  <c r="E842" i="47" a="1"/>
  <c r="E842" i="47" s="1"/>
  <c r="E262" i="47" a="1"/>
  <c r="E262" i="47" s="1"/>
  <c r="E91" i="47" a="1"/>
  <c r="E91" i="47" s="1"/>
  <c r="E604" i="47" a="1"/>
  <c r="E604" i="47" s="1"/>
  <c r="E1022" i="47" a="1"/>
  <c r="E1022" i="47" s="1"/>
  <c r="E352" i="47" a="1"/>
  <c r="E352" i="47" s="1"/>
  <c r="E378" i="47" a="1"/>
  <c r="E378" i="47" s="1"/>
  <c r="E432" i="47" a="1"/>
  <c r="E432" i="47" s="1"/>
  <c r="E174" i="47" a="1"/>
  <c r="E174" i="47" s="1"/>
  <c r="E772" i="47" a="1"/>
  <c r="E772" i="47" s="1"/>
  <c r="E89" i="47" a="1"/>
  <c r="E89" i="47" s="1"/>
  <c r="E49" i="47" a="1"/>
  <c r="E49" i="47" s="1"/>
  <c r="E388" i="47" a="1"/>
  <c r="E388" i="47" s="1"/>
  <c r="E46" i="47" a="1"/>
  <c r="E46" i="47" s="1"/>
  <c r="E638" i="47" a="1"/>
  <c r="E638" i="47" s="1"/>
  <c r="E335" i="47" a="1"/>
  <c r="E335" i="47" s="1"/>
  <c r="E631" i="47" a="1"/>
  <c r="E631" i="47" s="1"/>
  <c r="E647" i="47" a="1"/>
  <c r="E647" i="47" s="1"/>
  <c r="E720" i="47" a="1"/>
  <c r="E720" i="47" s="1"/>
  <c r="E198" i="47" a="1"/>
  <c r="E198" i="47" s="1"/>
  <c r="E144" i="47" a="1"/>
  <c r="E144" i="47" s="1"/>
  <c r="E383" i="47" a="1"/>
  <c r="E383" i="47" s="1"/>
  <c r="E264" i="47" a="1"/>
  <c r="E264" i="47" s="1"/>
  <c r="E473" i="47" a="1"/>
  <c r="E473" i="47" s="1"/>
  <c r="E942" i="47" a="1"/>
  <c r="E942" i="47" s="1"/>
  <c r="E490" i="47" a="1"/>
  <c r="E490" i="47" s="1"/>
  <c r="E862" i="47" a="1"/>
  <c r="E862" i="47" s="1"/>
  <c r="E326" i="47" a="1"/>
  <c r="E326" i="47" s="1"/>
  <c r="E145" i="47" a="1"/>
  <c r="E145" i="47" s="1"/>
  <c r="E544" i="47" a="1"/>
  <c r="E544" i="47" s="1"/>
  <c r="E905" i="47" a="1"/>
  <c r="E905" i="47" s="1"/>
  <c r="E854" i="47" a="1"/>
  <c r="E854" i="47" s="1"/>
  <c r="E428" i="47" a="1"/>
  <c r="E428" i="47" s="1"/>
  <c r="E56" i="47" a="1"/>
  <c r="E56" i="47" s="1"/>
  <c r="E216" i="47" a="1"/>
  <c r="E216" i="47" s="1"/>
  <c r="E549" i="47" a="1"/>
  <c r="E549" i="47" s="1"/>
  <c r="E29" i="47" a="1"/>
  <c r="E29" i="47" s="1"/>
  <c r="E281" i="47" a="1"/>
  <c r="E281" i="47" s="1"/>
  <c r="E111" i="47" a="1"/>
  <c r="E111" i="47" s="1"/>
  <c r="E709" i="47" a="1"/>
  <c r="E709" i="47" s="1"/>
  <c r="E643" i="47" a="1"/>
  <c r="E643" i="47" s="1"/>
  <c r="E237" i="47" a="1"/>
  <c r="E237" i="47" s="1"/>
  <c r="E943" i="47" a="1"/>
  <c r="E943" i="47" s="1"/>
  <c r="E27" i="47" a="1"/>
  <c r="E27" i="47" s="1"/>
  <c r="E623" i="47" a="1"/>
  <c r="E623" i="47" s="1"/>
  <c r="E975" i="47" a="1"/>
  <c r="E975" i="47" s="1"/>
  <c r="E416" i="47" a="1"/>
  <c r="E416" i="47" s="1"/>
  <c r="E297" i="47" a="1"/>
  <c r="E297" i="47" s="1"/>
  <c r="E136" i="47" a="1"/>
  <c r="E136" i="47" s="1"/>
  <c r="E1010" i="47" a="1"/>
  <c r="E1010" i="47" s="1"/>
  <c r="E575" i="47" a="1"/>
  <c r="E575" i="47" s="1"/>
  <c r="E577" i="47" a="1"/>
  <c r="E577" i="47" s="1"/>
  <c r="E168" i="47" a="1"/>
  <c r="E168" i="47" s="1"/>
  <c r="E409" i="47" a="1"/>
  <c r="E409" i="47" s="1"/>
  <c r="E238" i="47" a="1"/>
  <c r="E238" i="47" s="1"/>
  <c r="E39" i="47" a="1"/>
  <c r="E39" i="47" s="1"/>
  <c r="E688" i="47" a="1"/>
  <c r="E688" i="47" s="1"/>
  <c r="E668" i="47" a="1"/>
  <c r="E668" i="47" s="1"/>
  <c r="E469" i="47" a="1"/>
  <c r="E469" i="47" s="1"/>
  <c r="E680" i="47" a="1"/>
  <c r="E680" i="47" s="1"/>
  <c r="E892" i="47" a="1"/>
  <c r="E892" i="47" s="1"/>
  <c r="E726" i="47" a="1"/>
  <c r="E726" i="47" s="1"/>
  <c r="E410" i="47" a="1"/>
  <c r="E410" i="47" s="1"/>
  <c r="E676" i="47" a="1"/>
  <c r="E676" i="47" s="1"/>
  <c r="E229" i="47" a="1"/>
  <c r="E229" i="47" s="1"/>
  <c r="E594" i="47" a="1"/>
  <c r="E594" i="47" s="1"/>
  <c r="E637" i="47" a="1"/>
  <c r="E637" i="47" s="1"/>
  <c r="E395" i="47" a="1"/>
  <c r="E395" i="47" s="1"/>
  <c r="E249" i="47" a="1"/>
  <c r="E249" i="47" s="1"/>
  <c r="E387" i="47" a="1"/>
  <c r="E387" i="47" s="1"/>
  <c r="E477" i="47" a="1"/>
  <c r="E477" i="47" s="1"/>
  <c r="E1008" i="47" a="1"/>
  <c r="E1008" i="47" s="1"/>
  <c r="E1003" i="47" a="1"/>
  <c r="E1003" i="47" s="1"/>
  <c r="E132" i="47" a="1"/>
  <c r="E132" i="47" s="1"/>
  <c r="E864" i="47" a="1"/>
  <c r="E864" i="47" s="1"/>
  <c r="E590" i="47" a="1"/>
  <c r="E590" i="47" s="1"/>
  <c r="E375" i="47" a="1"/>
  <c r="E375" i="47" s="1"/>
  <c r="E509" i="47" a="1"/>
  <c r="E509" i="47" s="1"/>
  <c r="E1002" i="47" a="1"/>
  <c r="E1002" i="47" s="1"/>
  <c r="E813" i="47" a="1"/>
  <c r="E813" i="47" s="1"/>
  <c r="E767" i="47" a="1"/>
  <c r="E767" i="47" s="1"/>
  <c r="E666" i="47" a="1"/>
  <c r="E666" i="47" s="1"/>
  <c r="E336" i="47" a="1"/>
  <c r="E336" i="47" s="1"/>
  <c r="E883" i="47" a="1"/>
  <c r="E883" i="47" s="1"/>
  <c r="E684" i="47" a="1"/>
  <c r="E684" i="47" s="1"/>
  <c r="E746" i="47" a="1"/>
  <c r="E746" i="47" s="1"/>
  <c r="E936" i="47" a="1"/>
  <c r="E936" i="47" s="1"/>
  <c r="E300" i="47" a="1"/>
  <c r="E300" i="47" s="1"/>
  <c r="E62" i="47" a="1"/>
  <c r="E62" i="47" s="1"/>
  <c r="E365" i="47" a="1"/>
  <c r="E365" i="47" s="1"/>
  <c r="E318" i="47" a="1"/>
  <c r="E318" i="47" s="1"/>
  <c r="E599" i="47" a="1"/>
  <c r="E599" i="47" s="1"/>
  <c r="E758" i="47" a="1"/>
  <c r="E758" i="47" s="1"/>
  <c r="E160" i="47" a="1"/>
  <c r="E160" i="47" s="1"/>
  <c r="E980" i="47" a="1"/>
  <c r="E980" i="47" s="1"/>
  <c r="E41" i="47" a="1"/>
  <c r="E41" i="47" s="1"/>
  <c r="E223" i="47" a="1"/>
  <c r="E223" i="47" s="1"/>
  <c r="E880" i="47" a="1"/>
  <c r="E880" i="47" s="1"/>
  <c r="E580" i="47" a="1"/>
  <c r="E580" i="47" s="1"/>
  <c r="E1016" i="47" a="1"/>
  <c r="E1016" i="47" s="1"/>
  <c r="E893" i="47" a="1"/>
  <c r="E893" i="47" s="1"/>
  <c r="E98" i="47" a="1"/>
  <c r="E98" i="47" s="1"/>
  <c r="E921" i="47" a="1"/>
  <c r="E921" i="47" s="1"/>
  <c r="E712" i="47" a="1"/>
  <c r="E712" i="47" s="1"/>
  <c r="E589" i="47" a="1"/>
  <c r="E589" i="47" s="1"/>
  <c r="E253" i="47" a="1"/>
  <c r="E253" i="47" s="1"/>
  <c r="E815" i="47" a="1"/>
  <c r="E815" i="47" s="1"/>
  <c r="E219" i="47" a="1"/>
  <c r="E219" i="47" s="1"/>
  <c r="E605" i="47" a="1"/>
  <c r="E605" i="47" s="1"/>
  <c r="E765" i="47" a="1"/>
  <c r="E765" i="47" s="1"/>
  <c r="E831" i="47" a="1"/>
  <c r="E831" i="47" s="1"/>
  <c r="E939" i="47" a="1"/>
  <c r="E939" i="47" s="1"/>
  <c r="E55" i="47" a="1"/>
  <c r="E55" i="47" s="1"/>
  <c r="E215" i="47" a="1"/>
  <c r="E215" i="47" s="1"/>
  <c r="E954" i="47" a="1"/>
  <c r="E954" i="47" s="1"/>
  <c r="E119" i="47" a="1"/>
  <c r="E119" i="47" s="1"/>
  <c r="E884" i="47" a="1"/>
  <c r="E884" i="47" s="1"/>
  <c r="E929" i="47" a="1"/>
  <c r="E929" i="47" s="1"/>
  <c r="E808" i="47" a="1"/>
  <c r="E808" i="47" s="1"/>
  <c r="E554" i="47" a="1"/>
  <c r="E554" i="47" s="1"/>
  <c r="E491" i="47" a="1"/>
  <c r="E491" i="47" s="1"/>
  <c r="E754" i="47" a="1"/>
  <c r="E754" i="47" s="1"/>
  <c r="E519" i="47" a="1"/>
  <c r="E519" i="47" s="1"/>
  <c r="E101" i="47" a="1"/>
  <c r="E101" i="47" s="1"/>
  <c r="E521" i="47" a="1"/>
  <c r="E521" i="47" s="1"/>
  <c r="E1009" i="47" a="1"/>
  <c r="E1009" i="47" s="1"/>
  <c r="E628" i="47" a="1"/>
  <c r="E628" i="47" s="1"/>
  <c r="E72" i="47" a="1"/>
  <c r="E72" i="47" s="1"/>
  <c r="E918" i="47" a="1"/>
  <c r="E918" i="47" s="1"/>
  <c r="E124" i="47" a="1"/>
  <c r="E124" i="47" s="1"/>
  <c r="E876" i="47" a="1"/>
  <c r="E876" i="47" s="1"/>
  <c r="E789" i="47" a="1"/>
  <c r="E789" i="47" s="1"/>
  <c r="E843" i="47" a="1"/>
  <c r="E843" i="47" s="1"/>
  <c r="E497" i="47" a="1"/>
  <c r="E497" i="47" s="1"/>
  <c r="E438" i="47" a="1"/>
  <c r="E438" i="47" s="1"/>
  <c r="E926" i="47" a="1"/>
  <c r="E926" i="47" s="1"/>
  <c r="E259" i="47" a="1"/>
  <c r="E259" i="47" s="1"/>
  <c r="E928" i="47" a="1"/>
  <c r="E928" i="47" s="1"/>
  <c r="E570" i="47" a="1"/>
  <c r="E570" i="47" s="1"/>
  <c r="E827" i="47" a="1"/>
  <c r="E827" i="47" s="1"/>
  <c r="E319" i="47" a="1"/>
  <c r="E319" i="47" s="1"/>
  <c r="E824" i="47" a="1"/>
  <c r="E824" i="47" s="1"/>
  <c r="E135" i="47" a="1"/>
  <c r="E135" i="47" s="1"/>
  <c r="E799" i="47" a="1"/>
  <c r="E799" i="47" s="1"/>
  <c r="E823" i="47" a="1"/>
  <c r="E823" i="47" s="1"/>
  <c r="E58" i="47" a="1"/>
  <c r="E58" i="47" s="1"/>
  <c r="E861" i="47" a="1"/>
  <c r="E861" i="47" s="1"/>
  <c r="E263" i="47" a="1"/>
  <c r="E263" i="47" s="1"/>
  <c r="E217" i="47" a="1"/>
  <c r="E217" i="47" s="1"/>
  <c r="E919" i="47" a="1"/>
  <c r="E919" i="47" s="1"/>
  <c r="E367" i="47" a="1"/>
  <c r="E367" i="47" s="1"/>
  <c r="E423" i="47" a="1"/>
  <c r="E423" i="47" s="1"/>
  <c r="E811" i="47" a="1"/>
  <c r="E811" i="47" s="1"/>
  <c r="E190" i="47" a="1"/>
  <c r="E190" i="47" s="1"/>
  <c r="E113" i="47" a="1"/>
  <c r="E113" i="47" s="1"/>
  <c r="E944" i="47" a="1"/>
  <c r="E944" i="47" s="1"/>
  <c r="E77" i="47" a="1"/>
  <c r="E77" i="47" s="1"/>
  <c r="E221" i="47" a="1"/>
  <c r="E221" i="47" s="1"/>
  <c r="E552" i="47" a="1"/>
  <c r="E552" i="47" s="1"/>
  <c r="E334" i="47" a="1"/>
  <c r="E334" i="47" s="1"/>
  <c r="E994" i="47" a="1"/>
  <c r="E994" i="47" s="1"/>
  <c r="E998" i="47" a="1"/>
  <c r="E998" i="47" s="1"/>
  <c r="E875" i="47" a="1"/>
  <c r="E875" i="47" s="1"/>
  <c r="E607" i="47" a="1"/>
  <c r="E607" i="47" s="1"/>
  <c r="E183" i="47" a="1"/>
  <c r="E183" i="47" s="1"/>
  <c r="E1012" i="47" a="1"/>
  <c r="E1012" i="47" s="1"/>
  <c r="E881" i="47" a="1"/>
  <c r="E881" i="47" s="1"/>
  <c r="E648" i="47" a="1"/>
  <c r="E648" i="47" s="1"/>
  <c r="E902" i="47" a="1"/>
  <c r="E902" i="47" s="1"/>
  <c r="E494" i="47" a="1"/>
  <c r="E494" i="47" s="1"/>
  <c r="E755" i="47" a="1"/>
  <c r="E755" i="47" s="1"/>
  <c r="E407" i="47" a="1"/>
  <c r="E407" i="47" s="1"/>
  <c r="E963" i="47" a="1"/>
  <c r="E963" i="47" s="1"/>
  <c r="E844" i="47" a="1"/>
  <c r="E844" i="47" s="1"/>
  <c r="E502" i="47" a="1"/>
  <c r="E502" i="47" s="1"/>
  <c r="E372" i="47" a="1"/>
  <c r="E372" i="47" s="1"/>
  <c r="E569" i="47" a="1"/>
  <c r="E569" i="47" s="1"/>
  <c r="E294" i="47" a="1"/>
  <c r="E294" i="47" s="1"/>
  <c r="E817" i="47" a="1"/>
  <c r="E817" i="47" s="1"/>
  <c r="E176" i="47" a="1"/>
  <c r="E176" i="47" s="1"/>
  <c r="E805" i="47" a="1"/>
  <c r="E805" i="47" s="1"/>
  <c r="E661" i="47" a="1"/>
  <c r="E661" i="47" s="1"/>
  <c r="E749" i="47" a="1"/>
  <c r="E749" i="47" s="1"/>
  <c r="E635" i="47" a="1"/>
  <c r="E635" i="47" s="1"/>
  <c r="E598" i="47" a="1"/>
  <c r="E598" i="47" s="1"/>
  <c r="E332" i="47" a="1"/>
  <c r="E332" i="47" s="1"/>
  <c r="E964" i="47" a="1"/>
  <c r="E964" i="47" s="1"/>
  <c r="E282" i="47" a="1"/>
  <c r="E282" i="47" s="1"/>
  <c r="E723" i="47" a="1"/>
  <c r="E723" i="47" s="1"/>
  <c r="E394" i="47" a="1"/>
  <c r="E394" i="47" s="1"/>
  <c r="E193" i="47" a="1"/>
  <c r="E193" i="47" s="1"/>
  <c r="E511" i="47" a="1"/>
  <c r="E511" i="47" s="1"/>
  <c r="E713" i="47" a="1"/>
  <c r="E713" i="47" s="1"/>
  <c r="E740" i="47" a="1"/>
  <c r="E740" i="47" s="1"/>
  <c r="E59" i="47" a="1"/>
  <c r="E59" i="47" s="1"/>
  <c r="E871" i="47" a="1"/>
  <c r="E871" i="47" s="1"/>
  <c r="E299" i="47" a="1"/>
  <c r="E299" i="47" s="1"/>
  <c r="E482" i="47" a="1"/>
  <c r="E482" i="47" s="1"/>
  <c r="E911" i="47" a="1"/>
  <c r="E911" i="47" s="1"/>
  <c r="E663" i="47" a="1"/>
  <c r="E663" i="47" s="1"/>
  <c r="E1004" i="47" a="1"/>
  <c r="E1004" i="47" s="1"/>
  <c r="E134" i="47" a="1"/>
  <c r="E134" i="47" s="1"/>
  <c r="E532" i="47" a="1"/>
  <c r="E532" i="47" s="1"/>
  <c r="E512" i="47" a="1"/>
  <c r="E512" i="47" s="1"/>
  <c r="E526" i="47" a="1"/>
  <c r="E526" i="47" s="1"/>
  <c r="E377" i="47" a="1"/>
  <c r="E377" i="47" s="1"/>
  <c r="E366" i="47" a="1"/>
  <c r="E366" i="47" s="1"/>
  <c r="E741" i="47" a="1"/>
  <c r="E741" i="47" s="1"/>
  <c r="E402" i="47" a="1"/>
  <c r="E402" i="47" s="1"/>
  <c r="E108" i="47" a="1"/>
  <c r="E108" i="47" s="1"/>
  <c r="E66" i="47" a="1"/>
  <c r="E66" i="47" s="1"/>
  <c r="E771" i="47" a="1"/>
  <c r="E771" i="47" s="1"/>
  <c r="E102" i="47" a="1"/>
  <c r="E102" i="47" s="1"/>
  <c r="E938" i="47" a="1"/>
  <c r="E938" i="47" s="1"/>
  <c r="E181" i="47" a="1"/>
  <c r="E181" i="47" s="1"/>
  <c r="E460" i="47" a="1"/>
  <c r="E460" i="47" s="1"/>
  <c r="E401" i="47" a="1"/>
  <c r="E401" i="47" s="1"/>
  <c r="E52" i="47" a="1"/>
  <c r="E52" i="47" s="1"/>
  <c r="E268" i="47" a="1"/>
  <c r="E268" i="47" s="1"/>
  <c r="E251" i="47" a="1"/>
  <c r="E251" i="47" s="1"/>
  <c r="E810" i="47" a="1"/>
  <c r="E810" i="47" s="1"/>
  <c r="E654" i="47" a="1"/>
  <c r="E654" i="47" s="1"/>
  <c r="E88" i="47" a="1"/>
  <c r="E88" i="47" s="1"/>
  <c r="E484" i="47" a="1"/>
  <c r="E484" i="47" s="1"/>
  <c r="E777" i="47" a="1"/>
  <c r="E777" i="47" s="1"/>
  <c r="E910" i="47" a="1"/>
  <c r="E910" i="47" s="1"/>
  <c r="E786" i="47" a="1"/>
  <c r="E786" i="47" s="1"/>
  <c r="E838" i="47" a="1"/>
  <c r="E838" i="47" s="1"/>
  <c r="E224" i="47" a="1"/>
  <c r="E224" i="47" s="1"/>
  <c r="E260" i="47" a="1"/>
  <c r="E260" i="47" s="1"/>
  <c r="E126" i="47" a="1"/>
  <c r="E126" i="47" s="1"/>
  <c r="E498" i="47" a="1"/>
  <c r="E498" i="47" s="1"/>
  <c r="E516" i="47" a="1"/>
  <c r="E516" i="47" s="1"/>
  <c r="E54" i="47" a="1"/>
  <c r="E54" i="47" s="1"/>
  <c r="E622" i="47" a="1"/>
  <c r="E622" i="47" s="1"/>
  <c r="E241" i="47" a="1"/>
  <c r="E241" i="47" s="1"/>
  <c r="E327" i="47" a="1"/>
  <c r="E327" i="47" s="1"/>
  <c r="E430" i="47" a="1"/>
  <c r="E430" i="47" s="1"/>
  <c r="E887" i="47" a="1"/>
  <c r="E887" i="47" s="1"/>
  <c r="AD88" i="27"/>
  <c r="AD72" i="26"/>
  <c r="AD201" i="46" s="1"/>
  <c r="AD70" i="26"/>
  <c r="AD199" i="46" s="1"/>
  <c r="AD58" i="27"/>
  <c r="AI76" i="26"/>
  <c r="AI187" i="46" s="1"/>
  <c r="AI186" i="46"/>
  <c r="AI53" i="26"/>
  <c r="AI56" i="26" s="1"/>
  <c r="AG56" i="26" s="1"/>
  <c r="AH186" i="46"/>
  <c r="AH76" i="26"/>
  <c r="AH187" i="46" s="1"/>
  <c r="AE88" i="27"/>
  <c r="AE72" i="26"/>
  <c r="AE201" i="46" s="1"/>
  <c r="AE70" i="26"/>
  <c r="AE199" i="46" s="1"/>
  <c r="AF58" i="27"/>
  <c r="F53" i="36"/>
  <c r="C58" i="36"/>
  <c r="C60" i="36" s="1"/>
  <c r="B18" i="47"/>
  <c r="I15" i="47" s="1"/>
  <c r="AI193" i="46" l="1"/>
  <c r="AI191" i="46"/>
  <c r="AI189" i="46"/>
  <c r="AI192" i="46"/>
  <c r="AI190" i="46"/>
  <c r="I12" i="47"/>
  <c r="I10" i="47"/>
  <c r="I8" i="47"/>
  <c r="I6" i="47"/>
  <c r="I18" i="47" s="1"/>
  <c r="I5" i="47"/>
  <c r="I17" i="47" s="1"/>
  <c r="I11" i="47"/>
  <c r="I9" i="47"/>
  <c r="I7" i="47"/>
  <c r="I14" i="47"/>
  <c r="I13" i="47"/>
  <c r="AH190" i="46"/>
  <c r="AH192" i="46"/>
  <c r="AH193" i="46"/>
  <c r="AH189" i="46"/>
  <c r="AH191" i="46"/>
  <c r="AF88" i="27"/>
  <c r="AF72" i="26"/>
  <c r="AF201" i="46" s="1"/>
  <c r="AF70" i="26"/>
  <c r="AF199" i="46" s="1"/>
  <c r="AG65" i="13"/>
  <c r="AG53" i="26"/>
  <c r="AG10" i="27"/>
  <c r="H23" i="47" l="1"/>
  <c r="H34" i="47"/>
  <c r="H28" i="47"/>
  <c r="H26" i="47"/>
  <c r="H25" i="47"/>
  <c r="H24" i="47"/>
  <c r="H30" i="47"/>
  <c r="H33" i="47"/>
  <c r="H32" i="47"/>
  <c r="H31" i="47"/>
  <c r="H29" i="47"/>
  <c r="H27" i="47"/>
  <c r="AI65" i="13"/>
  <c r="AI70" i="13" s="1"/>
  <c r="AI74" i="13" s="1"/>
  <c r="AI77" i="13" s="1"/>
  <c r="AG70" i="13"/>
  <c r="AG74" i="13" s="1"/>
  <c r="AG77" i="13" s="1"/>
  <c r="AH10" i="27"/>
  <c r="AG11" i="27"/>
  <c r="AG49" i="27" l="1"/>
  <c r="AH75" i="13"/>
  <c r="AH77" i="13" s="1"/>
  <c r="AH49" i="27" s="1"/>
  <c r="AG87" i="27"/>
  <c r="AG29" i="27"/>
  <c r="AG71" i="26"/>
  <c r="AG200" i="46" s="1"/>
  <c r="AI10" i="27"/>
  <c r="AI11" i="27" s="1"/>
  <c r="AH11" i="27"/>
  <c r="I23" i="47" a="1"/>
  <c r="I23" i="47" s="1"/>
  <c r="AH87" i="27" l="1"/>
  <c r="AH29" i="27"/>
  <c r="AH71" i="26"/>
  <c r="AH200" i="46" s="1"/>
  <c r="AI29" i="27"/>
  <c r="AI87" i="27"/>
  <c r="AI71" i="26"/>
  <c r="AI200" i="46" s="1"/>
  <c r="AI49" i="27"/>
  <c r="AH85" i="27"/>
  <c r="AH77" i="26"/>
  <c r="AH54" i="27"/>
  <c r="AG77" i="26"/>
  <c r="AG85" i="27"/>
  <c r="AG54" i="27"/>
  <c r="AG93" i="27" l="1"/>
  <c r="AG94" i="27" s="1"/>
  <c r="AG84" i="27"/>
  <c r="AG83" i="27"/>
  <c r="AG55" i="27"/>
  <c r="AH84" i="27"/>
  <c r="AH83" i="27"/>
  <c r="AH93" i="27"/>
  <c r="AH94" i="27" s="1"/>
  <c r="AH55" i="27"/>
  <c r="AI85" i="27"/>
  <c r="AI77" i="26"/>
  <c r="AI54" i="27"/>
  <c r="AH58" i="27"/>
  <c r="AI84" i="27" l="1"/>
  <c r="AI93" i="27"/>
  <c r="AI94" i="27" s="1"/>
  <c r="AI83" i="27"/>
  <c r="AI55" i="27"/>
  <c r="AH88" i="27"/>
  <c r="AH72" i="26"/>
  <c r="AH201" i="46" s="1"/>
  <c r="AH70" i="26"/>
  <c r="AH199" i="46" s="1"/>
  <c r="AG88" i="27"/>
  <c r="AG72" i="26"/>
  <c r="AG201" i="46" s="1"/>
  <c r="AG70" i="26"/>
  <c r="AG199" i="46" s="1"/>
  <c r="AG58" i="27"/>
  <c r="AI88" i="27" l="1"/>
  <c r="AI72" i="26"/>
  <c r="AI201" i="46" s="1"/>
  <c r="AI70" i="26"/>
  <c r="AI199" i="46" s="1"/>
  <c r="AI58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 Desai</author>
  </authors>
  <commentList>
    <comment ref="C48" authorId="0" shapeId="0" xr:uid="{47F39929-938C-4F97-81F1-BC3DEF6DC1AB}">
      <text>
        <r>
          <rPr>
            <b/>
            <sz val="9"/>
            <color indexed="81"/>
            <rFont val="Tahoma"/>
            <family val="2"/>
          </rPr>
          <t>Niranjan Desai:</t>
        </r>
        <r>
          <rPr>
            <sz val="9"/>
            <color indexed="81"/>
            <rFont val="Tahoma"/>
            <family val="2"/>
          </rPr>
          <t xml:space="preserve">
There was a stock split on FY2025, it is backdated to make model comparable
</t>
        </r>
      </text>
    </comment>
    <comment ref="O48" authorId="0" shapeId="0" xr:uid="{BE4B9394-A9C6-4375-9270-941819B73416}">
      <text>
        <r>
          <rPr>
            <b/>
            <sz val="9"/>
            <color indexed="81"/>
            <rFont val="Tahoma"/>
            <family val="2"/>
          </rPr>
          <t>Niranjan Desai:</t>
        </r>
        <r>
          <rPr>
            <sz val="9"/>
            <color indexed="81"/>
            <rFont val="Tahoma"/>
            <family val="2"/>
          </rPr>
          <t xml:space="preserve">
Stock Split
</t>
        </r>
      </text>
    </comment>
    <comment ref="O53" authorId="0" shapeId="0" xr:uid="{225F0B49-0C49-4C2C-A1E5-6B83F574D143}">
      <text>
        <r>
          <rPr>
            <b/>
            <sz val="9"/>
            <color indexed="81"/>
            <rFont val="Tahoma"/>
            <family val="2"/>
          </rPr>
          <t>Niranjan Desai:</t>
        </r>
        <r>
          <rPr>
            <sz val="9"/>
            <color indexed="81"/>
            <rFont val="Tahoma"/>
            <family val="2"/>
          </rPr>
          <t xml:space="preserve">
Final Div= 15
Special Div= 5 (excluded)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 Desai</author>
  </authors>
  <commentList>
    <comment ref="V14" authorId="0" shapeId="0" xr:uid="{057E51A8-C259-4B67-B8D5-531C1AE01406}">
      <text>
        <r>
          <rPr>
            <b/>
            <sz val="9"/>
            <color indexed="81"/>
            <rFont val="Tahoma"/>
            <family val="2"/>
          </rPr>
          <t>Niranjan Desai:</t>
        </r>
        <r>
          <rPr>
            <sz val="9"/>
            <color indexed="81"/>
            <rFont val="Tahoma"/>
            <family val="2"/>
          </rPr>
          <t xml:space="preserve">
3 Cr added for Houston office. Guidance: Q3FY26-CC</t>
        </r>
      </text>
    </comment>
    <comment ref="U36" authorId="0" shapeId="0" xr:uid="{162DABF6-1C7B-4A61-A1B6-E0E8463B7537}">
      <text>
        <r>
          <rPr>
            <b/>
            <sz val="9"/>
            <color indexed="81"/>
            <rFont val="Tahoma"/>
            <family val="2"/>
          </rPr>
          <t>Niranjan Desai:</t>
        </r>
        <r>
          <rPr>
            <sz val="9"/>
            <color indexed="81"/>
            <rFont val="Tahoma"/>
            <family val="2"/>
          </rPr>
          <t xml:space="preserve">
Phase-2 Kheda moves to PPE</t>
        </r>
      </text>
    </comment>
    <comment ref="V40" authorId="0" shapeId="0" xr:uid="{4CA3A2F4-7B9E-4EE1-A0EC-5EAB09C32F23}">
      <text>
        <r>
          <rPr>
            <b/>
            <sz val="9"/>
            <color indexed="81"/>
            <rFont val="Tahoma"/>
            <family val="2"/>
          </rPr>
          <t>Niranjan Desai:</t>
        </r>
        <r>
          <rPr>
            <sz val="9"/>
            <color indexed="81"/>
            <rFont val="Tahoma"/>
            <family val="2"/>
          </rPr>
          <t xml:space="preserve">
Houston office Lease 3 Cr: Guidance: Q3 FY26-CC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 Desai</author>
  </authors>
  <commentList>
    <comment ref="Q14" authorId="0" shapeId="0" xr:uid="{8D846923-C7EA-4389-8A7F-11170C419359}">
      <text>
        <r>
          <rPr>
            <b/>
            <sz val="9"/>
            <color indexed="81"/>
            <rFont val="Tahoma"/>
            <family val="2"/>
          </rPr>
          <t xml:space="preserve">Niranjan Desai
</t>
        </r>
        <r>
          <rPr>
            <sz val="9"/>
            <color indexed="81"/>
            <rFont val="Tahoma"/>
            <family val="2"/>
          </rPr>
          <t xml:space="preserve">Only Standalone figures were available
</t>
        </r>
      </text>
    </comment>
    <comment ref="L26" authorId="0" shapeId="0" xr:uid="{E7E42052-4610-46F0-BB70-9FDAEC7AD74A}">
      <text>
        <r>
          <rPr>
            <b/>
            <sz val="9"/>
            <color indexed="81"/>
            <rFont val="Tahoma"/>
            <family val="2"/>
          </rPr>
          <t>Niranjan Desai:</t>
        </r>
        <r>
          <rPr>
            <sz val="9"/>
            <color indexed="81"/>
            <rFont val="Tahoma"/>
            <family val="2"/>
          </rPr>
          <t xml:space="preserve">
Bifurcation of vessels and reactors was not available. Hence, bifurcated in same proportion as last year</t>
        </r>
      </text>
    </comment>
    <comment ref="Q26" authorId="0" shapeId="0" xr:uid="{5C89837B-36AF-410D-A934-BACF1C3DB76F}">
      <text>
        <r>
          <rPr>
            <b/>
            <sz val="9"/>
            <color indexed="81"/>
            <rFont val="Tahoma"/>
            <family val="2"/>
          </rPr>
          <t>Niranjan Desai:</t>
        </r>
        <r>
          <rPr>
            <sz val="9"/>
            <color indexed="81"/>
            <rFont val="Tahoma"/>
            <family val="2"/>
          </rPr>
          <t xml:space="preserve">
Only Standalone figures were available</t>
        </r>
      </text>
    </comment>
    <comment ref="L29" authorId="0" shapeId="0" xr:uid="{8214BE5F-299E-4A31-B1F3-D6CA99A9A417}">
      <text>
        <r>
          <rPr>
            <b/>
            <sz val="9"/>
            <color indexed="81"/>
            <rFont val="Tahoma"/>
            <family val="2"/>
          </rPr>
          <t>Niranjan Desai:</t>
        </r>
        <r>
          <rPr>
            <sz val="9"/>
            <color indexed="81"/>
            <rFont val="Tahoma"/>
            <family val="2"/>
          </rPr>
          <t xml:space="preserve">
Bifurcation of vessels and reactors was not available. Hence, bifurcated in same proportion as last year</t>
        </r>
      </text>
    </comment>
    <comment ref="L33" authorId="0" shapeId="0" xr:uid="{DBDA5551-6A7E-4E63-984A-C31AB455AA47}">
      <text>
        <r>
          <rPr>
            <b/>
            <sz val="9"/>
            <color indexed="81"/>
            <rFont val="Tahoma"/>
            <family val="2"/>
          </rPr>
          <t>Niranjan Desai:</t>
        </r>
        <r>
          <rPr>
            <sz val="9"/>
            <color indexed="81"/>
            <rFont val="Tahoma"/>
            <family val="2"/>
          </rPr>
          <t xml:space="preserve">
Bifurcation of vessels and reactors was not available. Hence, bifurcated in same proportion as last year</t>
        </r>
      </text>
    </comment>
    <comment ref="L38" authorId="0" shapeId="0" xr:uid="{D5B51B16-11DD-4D16-AEE8-B7B8F68A6EC8}">
      <text>
        <r>
          <rPr>
            <b/>
            <sz val="9"/>
            <color indexed="81"/>
            <rFont val="Tahoma"/>
            <family val="2"/>
          </rPr>
          <t>Niranjan Desai:</t>
        </r>
        <r>
          <rPr>
            <sz val="9"/>
            <color indexed="81"/>
            <rFont val="Tahoma"/>
            <family val="2"/>
          </rPr>
          <t xml:space="preserve">
Bifurcation of vessels and reactors was not available. Hence, bifurcated in same proportion as last year</t>
        </r>
      </text>
    </comment>
    <comment ref="Q38" authorId="0" shapeId="0" xr:uid="{54EB6727-B5E4-4E9D-8984-C02B1C3F0CBD}">
      <text>
        <r>
          <rPr>
            <b/>
            <sz val="9"/>
            <color indexed="81"/>
            <rFont val="Tahoma"/>
            <family val="2"/>
          </rPr>
          <t>Niranjan Desai:</t>
        </r>
        <r>
          <rPr>
            <sz val="9"/>
            <color indexed="81"/>
            <rFont val="Tahoma"/>
            <family val="2"/>
          </rPr>
          <t xml:space="preserve">
Only Standalone figures were available</t>
        </r>
      </text>
    </comment>
    <comment ref="L41" authorId="0" shapeId="0" xr:uid="{135F0B52-9000-4FF5-B172-2157119CA58F}">
      <text>
        <r>
          <rPr>
            <b/>
            <sz val="9"/>
            <color indexed="81"/>
            <rFont val="Tahoma"/>
            <family val="2"/>
          </rPr>
          <t>Niranjan Desai:</t>
        </r>
        <r>
          <rPr>
            <sz val="9"/>
            <color indexed="81"/>
            <rFont val="Tahoma"/>
            <family val="2"/>
          </rPr>
          <t xml:space="preserve">
Bifurcation of vessels and reactors was not available. Hence, bifurcated in same proportion as last year</t>
        </r>
      </text>
    </comment>
    <comment ref="L45" authorId="0" shapeId="0" xr:uid="{CE04AF59-7D6C-460F-8C86-0C0840AC8143}">
      <text>
        <r>
          <rPr>
            <b/>
            <sz val="9"/>
            <color indexed="81"/>
            <rFont val="Tahoma"/>
            <family val="2"/>
          </rPr>
          <t>Niranjan Desai:</t>
        </r>
        <r>
          <rPr>
            <sz val="9"/>
            <color indexed="81"/>
            <rFont val="Tahoma"/>
            <family val="2"/>
          </rPr>
          <t xml:space="preserve">
Bifurcation of vessels and reactors was not available. Hence, bifurcated in same proportion as last year</t>
        </r>
      </text>
    </comment>
    <comment ref="L57" authorId="0" shapeId="0" xr:uid="{DBA77B64-DCA6-44A2-91FC-509012715AB2}">
      <text>
        <r>
          <rPr>
            <b/>
            <sz val="9"/>
            <color indexed="81"/>
            <rFont val="Tahoma"/>
            <family val="2"/>
          </rPr>
          <t>Niranjan Desai:</t>
        </r>
        <r>
          <rPr>
            <sz val="9"/>
            <color indexed="81"/>
            <rFont val="Tahoma"/>
            <family val="2"/>
          </rPr>
          <t xml:space="preserve">
Bifurcation of vessels and reactors was not available. Hence, bifurcated in same proportion as last year</t>
        </r>
      </text>
    </comment>
    <comment ref="Q62" authorId="0" shapeId="0" xr:uid="{B8C0682F-1D78-49A4-A758-A85136B2483B}">
      <text>
        <r>
          <rPr>
            <b/>
            <sz val="9"/>
            <color indexed="81"/>
            <rFont val="Tahoma"/>
            <family val="2"/>
          </rPr>
          <t>Niranjan Desai:</t>
        </r>
        <r>
          <rPr>
            <sz val="9"/>
            <color indexed="81"/>
            <rFont val="Tahoma"/>
            <family val="2"/>
          </rPr>
          <t xml:space="preserve">
Only Standalone figures were available</t>
        </r>
      </text>
    </comment>
    <comment ref="B88" authorId="0" shapeId="0" xr:uid="{AAAA9F0D-7F50-44EC-BF0B-9012DC125368}">
      <text>
        <r>
          <rPr>
            <b/>
            <sz val="9"/>
            <color indexed="81"/>
            <rFont val="Tahoma"/>
            <family val="2"/>
          </rPr>
          <t>Niranjan Desai:</t>
        </r>
        <r>
          <rPr>
            <sz val="9"/>
            <color indexed="81"/>
            <rFont val="Tahoma"/>
            <family val="2"/>
          </rPr>
          <t xml:space="preserve">
Anup does not disclose regional split. Estimates from mgmt commentary
</t>
        </r>
      </text>
    </comment>
    <comment ref="E118" authorId="0" shapeId="0" xr:uid="{58A02385-1D78-4DFB-B721-C789811B571E}">
      <text>
        <r>
          <rPr>
            <b/>
            <sz val="9"/>
            <color indexed="81"/>
            <rFont val="Tahoma"/>
            <family val="2"/>
          </rPr>
          <t>Niranjan Desai:</t>
        </r>
        <r>
          <rPr>
            <sz val="9"/>
            <color indexed="81"/>
            <rFont val="Tahoma"/>
            <family val="2"/>
          </rPr>
          <t xml:space="preserve">
Temporary flat tariff rate of 10% as per US Supreme court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<sst xmlns="http://schemas.openxmlformats.org/spreadsheetml/2006/main" count="2087" uniqueCount="1129">
  <si>
    <t>Tax Expense</t>
  </si>
  <si>
    <t>Current Tax</t>
  </si>
  <si>
    <t>Deferred Tax Charge/(Credit)</t>
  </si>
  <si>
    <t>Total Tax Expense</t>
  </si>
  <si>
    <t>Income</t>
  </si>
  <si>
    <t>ASSETS</t>
  </si>
  <si>
    <t>Total Assets</t>
  </si>
  <si>
    <t>EQUITY AND LIABILITIES</t>
  </si>
  <si>
    <t>Equity</t>
  </si>
  <si>
    <t>Total Equity</t>
  </si>
  <si>
    <t>Profit Before Tax</t>
  </si>
  <si>
    <t>Depreciation and Amortization expenses</t>
  </si>
  <si>
    <t>Interest income from financial assets measured at amortised cost</t>
  </si>
  <si>
    <t>Gain on sale of current investments</t>
  </si>
  <si>
    <t>Change in fair valuation of current investments</t>
  </si>
  <si>
    <t>Finance Costs</t>
  </si>
  <si>
    <t>Allowance/(Reversal) for doubtful debts</t>
  </si>
  <si>
    <t>Sundry Debit/(Credit) Balances appropriated (Net)</t>
  </si>
  <si>
    <t>(Profit)/Loss on sale of Property, Plant &amp; Equipment and Intangible</t>
  </si>
  <si>
    <t>Provision for Warranty</t>
  </si>
  <si>
    <t>Share based payment expense</t>
  </si>
  <si>
    <t>Operating Cash flow before Working Capital Changes</t>
  </si>
  <si>
    <t>Adjustments for changes in working capital :</t>
  </si>
  <si>
    <t>(Increase)/Decrease in inventories</t>
  </si>
  <si>
    <t>(Increase)/Decrease in trade receivables</t>
  </si>
  <si>
    <t>(Increase)/Decrease in other financial assets</t>
  </si>
  <si>
    <t>(Increase)/Decrease in other assets</t>
  </si>
  <si>
    <t>Increase/(Decrease) in trade payables</t>
  </si>
  <si>
    <t>Increase/(Decrease) in other financial liabilities</t>
  </si>
  <si>
    <t>Increase/(Decrease) in other current liabilities</t>
  </si>
  <si>
    <t>Increase/(Decrease) in provisions</t>
  </si>
  <si>
    <t>Net Changes in Working Capital</t>
  </si>
  <si>
    <t>Cash Generated from Operations</t>
  </si>
  <si>
    <t>Direct Taxes paid (Net of Tax refund)</t>
  </si>
  <si>
    <t>Proceeds from disposal of Property, Plant &amp; Equipment</t>
  </si>
  <si>
    <t>Investment in Subsidiary</t>
  </si>
  <si>
    <t>Sale of Current Investments</t>
  </si>
  <si>
    <t>Changes in other bank balances not considered as cash and cash</t>
  </si>
  <si>
    <t>Proceeds from Issue of Share Capital</t>
  </si>
  <si>
    <t>Share Issue Expense</t>
  </si>
  <si>
    <t>Repayment of Long Term Borrowings</t>
  </si>
  <si>
    <t>Proceeds/(Repayment) of Short Term Borrowings (Net)</t>
  </si>
  <si>
    <t>Dividend paid</t>
  </si>
  <si>
    <t>Payments towards fractional entitlement</t>
  </si>
  <si>
    <t>Principal repayment of lease liabilities</t>
  </si>
  <si>
    <t>Interest Paid on Lease Liability</t>
  </si>
  <si>
    <t>Interest Paid</t>
  </si>
  <si>
    <t>Cash and Cash equivalent at the beginning of the period</t>
  </si>
  <si>
    <t>Cash Flow from Operating Activities</t>
  </si>
  <si>
    <t>Cash Flow from Investing Activities</t>
  </si>
  <si>
    <t>Cash Flow from Financing Activities</t>
  </si>
  <si>
    <t>Add: Adjustment due to acquisition of Subsidiarv</t>
  </si>
  <si>
    <t>Cash and Cash equivalent at the end of the period</t>
  </si>
  <si>
    <t>Payments for Property, Plant &amp; Equipment, Intangible Assets (including work in progress &amp; Capital advances)</t>
  </si>
  <si>
    <t>Unrealised gain on foreign exchange fluctuation (net)</t>
  </si>
  <si>
    <t>Property, Plant &amp; Equipment written off</t>
  </si>
  <si>
    <t>Purchase of Current Investments</t>
  </si>
  <si>
    <t>Proceeds from Long Term Borrowings (Net)</t>
  </si>
  <si>
    <t>Bad Debts Written off</t>
  </si>
  <si>
    <t>Buy Back of Equity Shares</t>
  </si>
  <si>
    <t>Ratio Analysis</t>
  </si>
  <si>
    <t>Quick Ratio</t>
  </si>
  <si>
    <t>Debt-Equity Ratio</t>
  </si>
  <si>
    <t>Debt-Assets Ratio</t>
  </si>
  <si>
    <t>Interest Coverage Ratio</t>
  </si>
  <si>
    <t>Gross Margin Ratio</t>
  </si>
  <si>
    <t>EBITDA Margin</t>
  </si>
  <si>
    <t>EBIT Margin</t>
  </si>
  <si>
    <t>PAT Margin Ratio</t>
  </si>
  <si>
    <t>Return on Assets</t>
  </si>
  <si>
    <t>Return on Equity</t>
  </si>
  <si>
    <t>Return on Capital Employed</t>
  </si>
  <si>
    <t>Recievable Turnover Ratio</t>
  </si>
  <si>
    <t>Payable Turnover Ratio</t>
  </si>
  <si>
    <t>Recievable Days</t>
  </si>
  <si>
    <t>Payable Days</t>
  </si>
  <si>
    <t>Times Interest Earned Ratio</t>
  </si>
  <si>
    <t>Debt-Service Coverage Ratio</t>
  </si>
  <si>
    <t>Price/Sales Ratio</t>
  </si>
  <si>
    <t>P/E Ratio</t>
  </si>
  <si>
    <t>EV/EBITDA</t>
  </si>
  <si>
    <t>Working Capital</t>
  </si>
  <si>
    <t>Difference</t>
  </si>
  <si>
    <t>Anup Engineering Limited</t>
  </si>
  <si>
    <t>EBITDA</t>
  </si>
  <si>
    <t>PBT</t>
  </si>
  <si>
    <t>PAT</t>
  </si>
  <si>
    <t>Revenue from operations</t>
  </si>
  <si>
    <t>Cost of materials consumed</t>
  </si>
  <si>
    <t>Cost of Goods Sold</t>
  </si>
  <si>
    <t>As % of Sales</t>
  </si>
  <si>
    <t xml:space="preserve">Gross Profit </t>
  </si>
  <si>
    <t>Gross Margin</t>
  </si>
  <si>
    <t>Employee benefits expense</t>
  </si>
  <si>
    <t>Other expenses</t>
  </si>
  <si>
    <t>D&amp;A Expenses</t>
  </si>
  <si>
    <t>EBIT/Operating Income</t>
  </si>
  <si>
    <t>Other Income</t>
  </si>
  <si>
    <t>Finance Cost</t>
  </si>
  <si>
    <t>PBT Margin</t>
  </si>
  <si>
    <t xml:space="preserve">  Earlier Years tax</t>
  </si>
  <si>
    <t>PAT Margin</t>
  </si>
  <si>
    <t>Changes in inventories</t>
  </si>
  <si>
    <t>Capex</t>
  </si>
  <si>
    <t>Capex As % of Sales</t>
  </si>
  <si>
    <t>Outstanding Shares (in crores)</t>
  </si>
  <si>
    <t>EPS</t>
  </si>
  <si>
    <t>MPS</t>
  </si>
  <si>
    <t>Market Cap</t>
  </si>
  <si>
    <t>Results Date</t>
  </si>
  <si>
    <t>Dividend per Share</t>
  </si>
  <si>
    <t>Dividend Yield</t>
  </si>
  <si>
    <t>Dividend payout ratio</t>
  </si>
  <si>
    <t>Interest Rate</t>
  </si>
  <si>
    <t>All amounts in ₹ crores except per share data</t>
  </si>
  <si>
    <t xml:space="preserve">Net Cash Flow from Financing Activities </t>
  </si>
  <si>
    <t>Net Cash from Investing Activities</t>
  </si>
  <si>
    <t>Net Cash Flow from Operating Activities</t>
  </si>
  <si>
    <t>check</t>
  </si>
  <si>
    <t>Heat Exchangers</t>
  </si>
  <si>
    <t>Vessels</t>
  </si>
  <si>
    <t>Towers &amp; Reactors</t>
  </si>
  <si>
    <t>Tank &amp; Silos</t>
  </si>
  <si>
    <t>Centrifuge &amp; Others</t>
  </si>
  <si>
    <t>Domestic</t>
  </si>
  <si>
    <t>DE/SEZ</t>
  </si>
  <si>
    <t>Geographical Bifurcation</t>
  </si>
  <si>
    <t>Export</t>
  </si>
  <si>
    <t xml:space="preserve">Total </t>
  </si>
  <si>
    <t>% of Total Revenue</t>
  </si>
  <si>
    <t>Growth %</t>
  </si>
  <si>
    <t>Cash Ratio</t>
  </si>
  <si>
    <t>Total Trade Payables</t>
  </si>
  <si>
    <t>Operating Working Capital</t>
  </si>
  <si>
    <t>Working Capital Days</t>
  </si>
  <si>
    <t>Execution %</t>
  </si>
  <si>
    <t>difference</t>
  </si>
  <si>
    <t>Master Check</t>
  </si>
  <si>
    <t>PRODUCT CATEGORY</t>
  </si>
  <si>
    <t>Opening order book</t>
  </si>
  <si>
    <t>Revenue Executed</t>
  </si>
  <si>
    <t>Closing Order Book</t>
  </si>
  <si>
    <t>Order Inflow</t>
  </si>
  <si>
    <t xml:space="preserve">Revenue Total </t>
  </si>
  <si>
    <t>Order Book Total</t>
  </si>
  <si>
    <t>Borrowings</t>
  </si>
  <si>
    <t>Inventories</t>
  </si>
  <si>
    <t>Investments</t>
  </si>
  <si>
    <t>PPE Schedule</t>
  </si>
  <si>
    <t>Opening PPE</t>
  </si>
  <si>
    <t>Depreciation</t>
  </si>
  <si>
    <t>Closing PPE</t>
  </si>
  <si>
    <t>Dep Rate</t>
  </si>
  <si>
    <t xml:space="preserve">Average Debt </t>
  </si>
  <si>
    <t xml:space="preserve">Finance Cost  </t>
  </si>
  <si>
    <t>Effective Tax Rate</t>
  </si>
  <si>
    <t>Dividend Paid</t>
  </si>
  <si>
    <t>Inventory Turnover Ratio</t>
  </si>
  <si>
    <t>Interest Received/other income</t>
  </si>
  <si>
    <t>H2</t>
  </si>
  <si>
    <t>FY</t>
  </si>
  <si>
    <t>H1</t>
  </si>
  <si>
    <t>2027 E</t>
  </si>
  <si>
    <t>2028 E</t>
  </si>
  <si>
    <t>2029 E</t>
  </si>
  <si>
    <t>2030 E</t>
  </si>
  <si>
    <t>2031 E</t>
  </si>
  <si>
    <t>YoY Growth %</t>
  </si>
  <si>
    <t>FY26</t>
  </si>
  <si>
    <t>FY27</t>
  </si>
  <si>
    <t>Source</t>
  </si>
  <si>
    <t>Q2 FY26 Earnings Call</t>
  </si>
  <si>
    <t>Capacity (MT)</t>
  </si>
  <si>
    <t>CARE Ratings</t>
  </si>
  <si>
    <t>700-750</t>
  </si>
  <si>
    <t>Opening Order Book Target (Cr)</t>
  </si>
  <si>
    <t>Capex (Cr) (Phase 2 Kheda Plant)</t>
  </si>
  <si>
    <t>Revenue Split</t>
  </si>
  <si>
    <t>Hydrogen Revenue Share</t>
  </si>
  <si>
    <t>~40% Target</t>
  </si>
  <si>
    <t>AR FY24-25 MD Letter</t>
  </si>
  <si>
    <t>Nuclear</t>
  </si>
  <si>
    <t xml:space="preserve">First order won Q3 </t>
  </si>
  <si>
    <t>Scaling FY28+</t>
  </si>
  <si>
    <t>Q3 FY26 Press Release</t>
  </si>
  <si>
    <t>Export Mix</t>
  </si>
  <si>
    <t>AR FY25</t>
  </si>
  <si>
    <t>Geopolitical Risks</t>
  </si>
  <si>
    <t>Middle East Exports affected</t>
  </si>
  <si>
    <t>Monarch Networth Sector Report</t>
  </si>
  <si>
    <t>Tax Rate</t>
  </si>
  <si>
    <t>Date</t>
  </si>
  <si>
    <t>Returns</t>
  </si>
  <si>
    <t xml:space="preserve">Anup </t>
  </si>
  <si>
    <t>Nifty 50</t>
  </si>
  <si>
    <t>Weekly Closing Price</t>
  </si>
  <si>
    <t>Daily Closing Price</t>
  </si>
  <si>
    <t>Monthly Closing Price</t>
  </si>
  <si>
    <t>Beta (Monthly)</t>
  </si>
  <si>
    <t>Beta (Weekly)</t>
  </si>
  <si>
    <t>Beta (Daily)</t>
  </si>
  <si>
    <t>Rf</t>
  </si>
  <si>
    <t>Ke</t>
  </si>
  <si>
    <t>https://www.rbi.org.in/Scripts/BS_NSDPDisplay.aspx?param=4</t>
  </si>
  <si>
    <t>https://pages.stern.nyu.edu/~adamodar/New_Home_Page/datafile/ctryprem.html</t>
  </si>
  <si>
    <t>ERP</t>
  </si>
  <si>
    <t>WACC Calculation</t>
  </si>
  <si>
    <t>Risk Free Rate (Rf)</t>
  </si>
  <si>
    <t>Equity Risk Premium (ERP)</t>
  </si>
  <si>
    <t>Cost of Equity (Ke)</t>
  </si>
  <si>
    <t xml:space="preserve">COST OF EQUITY   </t>
  </si>
  <si>
    <t xml:space="preserve">COST OF DEBT </t>
  </si>
  <si>
    <t>Debt Outstanding (closing Balance)</t>
  </si>
  <si>
    <t>Debt Outstanding (Opening Balance)</t>
  </si>
  <si>
    <t>Interest Expense for the year</t>
  </si>
  <si>
    <t>Cost of Debt (Kd)</t>
  </si>
  <si>
    <t>No. of Outstanding Shares</t>
  </si>
  <si>
    <t>Market Value of Equity (Rs crores)</t>
  </si>
  <si>
    <t>WACC</t>
  </si>
  <si>
    <t>Total Capital</t>
  </si>
  <si>
    <t>Debt (%)</t>
  </si>
  <si>
    <t>Equity (%)</t>
  </si>
  <si>
    <t>Discounted Cash Flow</t>
  </si>
  <si>
    <t>FY2027 E</t>
  </si>
  <si>
    <t>FY2028 E</t>
  </si>
  <si>
    <t>FY2029 E</t>
  </si>
  <si>
    <t>FY2030 E</t>
  </si>
  <si>
    <t>Year Fraction</t>
  </si>
  <si>
    <t>EBIT</t>
  </si>
  <si>
    <t>Less:Cash Taxes</t>
  </si>
  <si>
    <t>NOPAT</t>
  </si>
  <si>
    <t>Add: D&amp;A</t>
  </si>
  <si>
    <t>Less: Capex</t>
  </si>
  <si>
    <t>Less: Changes in NWC</t>
  </si>
  <si>
    <t>FCF</t>
  </si>
  <si>
    <t>Terminal value</t>
  </si>
  <si>
    <t>Total FCF</t>
  </si>
  <si>
    <t>Discounting Rate(%)</t>
  </si>
  <si>
    <t>Discounting Factor</t>
  </si>
  <si>
    <t>PV of FCF</t>
  </si>
  <si>
    <t>FY2031 E</t>
  </si>
  <si>
    <t>Conservative</t>
  </si>
  <si>
    <t>Base Case</t>
  </si>
  <si>
    <t>Aggressive</t>
  </si>
  <si>
    <t>Indian GDP Growth + Inflation</t>
  </si>
  <si>
    <t>DCF Value of Firm/ Operating Business Enterprise Value</t>
  </si>
  <si>
    <t>Total Value of the Firm</t>
  </si>
  <si>
    <t>Less: Gross Debt &amp; Debt Equivalents</t>
  </si>
  <si>
    <t>Add: Cash</t>
  </si>
  <si>
    <t>DCF Value of Common Equity</t>
  </si>
  <si>
    <t>% Upside to current market price</t>
  </si>
  <si>
    <t>Particulars</t>
  </si>
  <si>
    <t>FY26 E</t>
  </si>
  <si>
    <t>FY26 Consensus</t>
  </si>
  <si>
    <t>FY25 (PY)</t>
  </si>
  <si>
    <t>FY26 Actual</t>
  </si>
  <si>
    <t>YoY%</t>
  </si>
  <si>
    <t>Vs Estimate %</t>
  </si>
  <si>
    <t>Vs Consensus %</t>
  </si>
  <si>
    <t>Revenue</t>
  </si>
  <si>
    <t>Gross Profit</t>
  </si>
  <si>
    <t>Gross Margin %</t>
  </si>
  <si>
    <t>EBITDA Margin %</t>
  </si>
  <si>
    <t>PAT Margin %</t>
  </si>
  <si>
    <t xml:space="preserve">EPS </t>
  </si>
  <si>
    <t>Dividend per share</t>
  </si>
  <si>
    <t>EBIT Margin %</t>
  </si>
  <si>
    <t>OPERATIONAL METRICS</t>
  </si>
  <si>
    <t>Total Order Book (Clg)</t>
  </si>
  <si>
    <t>Closing Order Book:</t>
  </si>
  <si>
    <t>Total Order Inflows</t>
  </si>
  <si>
    <t>FINANCIAL METRICS</t>
  </si>
  <si>
    <t>Order Inflows:</t>
  </si>
  <si>
    <t xml:space="preserve">   </t>
  </si>
  <si>
    <t>PBT Margin %</t>
  </si>
  <si>
    <t>GMM Pfaudler</t>
  </si>
  <si>
    <t>Thermax</t>
  </si>
  <si>
    <t>ISGEC Heavy Engineering</t>
  </si>
  <si>
    <t>Praj Industries</t>
  </si>
  <si>
    <t>Patels Airtemp India</t>
  </si>
  <si>
    <t>Peer Company</t>
  </si>
  <si>
    <t>Anup Engineering Ltd</t>
  </si>
  <si>
    <t xml:space="preserve">Net Increase/(Decrease) in cash and cash equivalents </t>
  </si>
  <si>
    <t>FY25</t>
  </si>
  <si>
    <t xml:space="preserve">Income Statement </t>
  </si>
  <si>
    <t>Revenue from Operations</t>
  </si>
  <si>
    <t>Cost of Materials Consumed</t>
  </si>
  <si>
    <t>Purchase of Stock-in-Trade</t>
  </si>
  <si>
    <t>Changes in Inventories</t>
  </si>
  <si>
    <t>Employee Benefits Expenses</t>
  </si>
  <si>
    <t>Other Expenses</t>
  </si>
  <si>
    <t>EBIT/ Operating Income</t>
  </si>
  <si>
    <t>Earlier Years tax</t>
  </si>
  <si>
    <t>Deferred Tax</t>
  </si>
  <si>
    <t>Exceptional Items</t>
  </si>
  <si>
    <t>Net Profit</t>
  </si>
  <si>
    <t>Balance Sheet Items</t>
  </si>
  <si>
    <t>Debt</t>
  </si>
  <si>
    <t xml:space="preserve">Cash </t>
  </si>
  <si>
    <t>Total Liabilities</t>
  </si>
  <si>
    <t>Current Liabilities</t>
  </si>
  <si>
    <t>No of o/s shares</t>
  </si>
  <si>
    <t>Comparable Company Analysis</t>
  </si>
  <si>
    <t>Market Data</t>
  </si>
  <si>
    <t>Shares O/s</t>
  </si>
  <si>
    <t>Cash</t>
  </si>
  <si>
    <t>EV</t>
  </si>
  <si>
    <t>Sales</t>
  </si>
  <si>
    <t>Net Earnings</t>
  </si>
  <si>
    <t>EV/EBIT</t>
  </si>
  <si>
    <t>Price/ Sales</t>
  </si>
  <si>
    <t>Financial Data</t>
  </si>
  <si>
    <t>Valuation</t>
  </si>
  <si>
    <t>Peer Set</t>
  </si>
  <si>
    <t>No. of o/s Shares</t>
  </si>
  <si>
    <t xml:space="preserve">Revenue </t>
  </si>
  <si>
    <t>Gross profit</t>
  </si>
  <si>
    <t>Gross margin</t>
  </si>
  <si>
    <t>EBITDA margin</t>
  </si>
  <si>
    <t>Net margin</t>
  </si>
  <si>
    <t>ROE</t>
  </si>
  <si>
    <t>ROA</t>
  </si>
  <si>
    <t>CMP</t>
  </si>
  <si>
    <t>93.2088</t>
  </si>
  <si>
    <t>94.6543</t>
  </si>
  <si>
    <t>94.5988</t>
  </si>
  <si>
    <t>93.9657</t>
  </si>
  <si>
    <t>93.8792</t>
  </si>
  <si>
    <t>93.8980</t>
  </si>
  <si>
    <t>93.3483</t>
  </si>
  <si>
    <t>92.4514</t>
  </si>
  <si>
    <t>92.4570</t>
  </si>
  <si>
    <t>92.3966</t>
  </si>
  <si>
    <t>92.4405</t>
  </si>
  <si>
    <t>92.3530</t>
  </si>
  <si>
    <t>91.9257</t>
  </si>
  <si>
    <t>92.0174</t>
  </si>
  <si>
    <t>92.2639</t>
  </si>
  <si>
    <t>91.6829</t>
  </si>
  <si>
    <t>91.6275</t>
  </si>
  <si>
    <t>92.2828</t>
  </si>
  <si>
    <t>91.4514</t>
  </si>
  <si>
    <t>90.9542</t>
  </si>
  <si>
    <t>90.9072</t>
  </si>
  <si>
    <t>90.9502</t>
  </si>
  <si>
    <t>90.9661</t>
  </si>
  <si>
    <t>90.7461</t>
  </si>
  <si>
    <t>90.9518</t>
  </si>
  <si>
    <t>90.6669</t>
  </si>
  <si>
    <t>90.7744</t>
  </si>
  <si>
    <t>90.7125</t>
  </si>
  <si>
    <t>90.7415</t>
  </si>
  <si>
    <t>90.5947</t>
  </si>
  <si>
    <t>90.5675</t>
  </si>
  <si>
    <t>90.5773</t>
  </si>
  <si>
    <t>90.4006</t>
  </si>
  <si>
    <t>90.4163</t>
  </si>
  <si>
    <t>90.3957</t>
  </si>
  <si>
    <t>90.4693</t>
  </si>
  <si>
    <t>90.4495</t>
  </si>
  <si>
    <t>91.6443</t>
  </si>
  <si>
    <t>91.8983</t>
  </si>
  <si>
    <t>91.9644</t>
  </si>
  <si>
    <t>91.6945</t>
  </si>
  <si>
    <t>91.8244</t>
  </si>
  <si>
    <t>91.6195</t>
  </si>
  <si>
    <t>91.5826</t>
  </si>
  <si>
    <t>91.5500</t>
  </si>
  <si>
    <t>91.0356</t>
  </si>
  <si>
    <t>90.9705</t>
  </si>
  <si>
    <t>90.6497</t>
  </si>
  <si>
    <t>90.2016</t>
  </si>
  <si>
    <t>90.2677</t>
  </si>
  <si>
    <t>90.1899</t>
  </si>
  <si>
    <t>90.1395</t>
  </si>
  <si>
    <t>89.8930</t>
  </si>
  <si>
    <t>89.9432</t>
  </si>
  <si>
    <t>90.1810</t>
  </si>
  <si>
    <t>90.2729</t>
  </si>
  <si>
    <t>90.1242</t>
  </si>
  <si>
    <t>89.9792</t>
  </si>
  <si>
    <t>31/12/2025</t>
  </si>
  <si>
    <t>89.9198</t>
  </si>
  <si>
    <t>30/12/2025</t>
  </si>
  <si>
    <t>89.9429</t>
  </si>
  <si>
    <t>29/12/2025</t>
  </si>
  <si>
    <t>89.9756</t>
  </si>
  <si>
    <t>26/12/2025</t>
  </si>
  <si>
    <t>89.8296</t>
  </si>
  <si>
    <t>24/12/2025</t>
  </si>
  <si>
    <t>89.7703</t>
  </si>
  <si>
    <t>23/12/2025</t>
  </si>
  <si>
    <t>89.8314</t>
  </si>
  <si>
    <t>22/12/2025</t>
  </si>
  <si>
    <t>89.5467</t>
  </si>
  <si>
    <t>19/12/2025</t>
  </si>
  <si>
    <t>90.1975</t>
  </si>
  <si>
    <t>18/12/2025</t>
  </si>
  <si>
    <t>90.1303</t>
  </si>
  <si>
    <t>17/12/2025</t>
  </si>
  <si>
    <t>90.3291</t>
  </si>
  <si>
    <t>16/12/2025</t>
  </si>
  <si>
    <t>91.0202</t>
  </si>
  <si>
    <t>15/12/2025</t>
  </si>
  <si>
    <t>90.7228</t>
  </si>
  <si>
    <t>12/12/2025</t>
  </si>
  <si>
    <t>90.3883</t>
  </si>
  <si>
    <t>11/12/2025</t>
  </si>
  <si>
    <t>90.3702</t>
  </si>
  <si>
    <t>10/12/2025</t>
  </si>
  <si>
    <t>89.8822</t>
  </si>
  <si>
    <t>89.9644</t>
  </si>
  <si>
    <t>90.1745</t>
  </si>
  <si>
    <t>89.9238</t>
  </si>
  <si>
    <t>90.1865</t>
  </si>
  <si>
    <t>90.2697</t>
  </si>
  <si>
    <t>89.8887</t>
  </si>
  <si>
    <t>89.7436</t>
  </si>
  <si>
    <t>28/11/2025</t>
  </si>
  <si>
    <t>89.4557</t>
  </si>
  <si>
    <t>27/11/2025</t>
  </si>
  <si>
    <t>89.2942</t>
  </si>
  <si>
    <t>26/11/2025</t>
  </si>
  <si>
    <t>89.2649</t>
  </si>
  <si>
    <t>25/11/2025</t>
  </si>
  <si>
    <t>89.2213</t>
  </si>
  <si>
    <t>24/11/2025</t>
  </si>
  <si>
    <t>89.1919</t>
  </si>
  <si>
    <t>21/11/2025</t>
  </si>
  <si>
    <t>88.6402</t>
  </si>
  <si>
    <t>20/11/2025</t>
  </si>
  <si>
    <t>88.6915</t>
  </si>
  <si>
    <t>19/11/2025</t>
  </si>
  <si>
    <t>88.4558</t>
  </si>
  <si>
    <t>18/11/2025</t>
  </si>
  <si>
    <t>88.6344</t>
  </si>
  <si>
    <t>17/11/2025</t>
  </si>
  <si>
    <t>88.6300</t>
  </si>
  <si>
    <t>14/11/2025</t>
  </si>
  <si>
    <t>88.7420</t>
  </si>
  <si>
    <t>13/11/2025</t>
  </si>
  <si>
    <t>88.7160</t>
  </si>
  <si>
    <t>12/11/2025</t>
  </si>
  <si>
    <t>88.6362</t>
  </si>
  <si>
    <t>11/11/2025</t>
  </si>
  <si>
    <t>88.6983</t>
  </si>
  <si>
    <t>10/11/2025</t>
  </si>
  <si>
    <t>88.6761</t>
  </si>
  <si>
    <t>88.7050</t>
  </si>
  <si>
    <t>88.6026</t>
  </si>
  <si>
    <t>88.6372</t>
  </si>
  <si>
    <t>88.7932</t>
  </si>
  <si>
    <t>31/10/2025</t>
  </si>
  <si>
    <t>88.7241</t>
  </si>
  <si>
    <t>30/10/2025</t>
  </si>
  <si>
    <t>88.6048</t>
  </si>
  <si>
    <t>29/10/2025</t>
  </si>
  <si>
    <t>88.2834</t>
  </si>
  <si>
    <t>28/10/2025</t>
  </si>
  <si>
    <t>88.2960</t>
  </si>
  <si>
    <t>27/10/2025</t>
  </si>
  <si>
    <t>88.0637</t>
  </si>
  <si>
    <t>24/10/2025</t>
  </si>
  <si>
    <t>87.7058</t>
  </si>
  <si>
    <t>23/10/2025</t>
  </si>
  <si>
    <t>87.9474</t>
  </si>
  <si>
    <t>20/10/2025</t>
  </si>
  <si>
    <t>87.7861</t>
  </si>
  <si>
    <t>17/10/2025</t>
  </si>
  <si>
    <t>87.9097</t>
  </si>
  <si>
    <t>16/10/2025</t>
  </si>
  <si>
    <t>87.9039</t>
  </si>
  <si>
    <t>15/10/2025</t>
  </si>
  <si>
    <t>88.2898</t>
  </si>
  <si>
    <t>14/10/2025</t>
  </si>
  <si>
    <t>88.7907</t>
  </si>
  <si>
    <t>13/10/2025</t>
  </si>
  <si>
    <t>88.7797</t>
  </si>
  <si>
    <t>10/10/2025</t>
  </si>
  <si>
    <t>88.6920</t>
  </si>
  <si>
    <t>88.7875</t>
  </si>
  <si>
    <t>88.7903</t>
  </si>
  <si>
    <t>88.7319</t>
  </si>
  <si>
    <t>88.7859</t>
  </si>
  <si>
    <t>88.7775</t>
  </si>
  <si>
    <t>88.6778</t>
  </si>
  <si>
    <t>88.7923</t>
  </si>
  <si>
    <t>88.7558</t>
  </si>
  <si>
    <t>88.7234</t>
  </si>
  <si>
    <t>88.6696</t>
  </si>
  <si>
    <t>88.7606</t>
  </si>
  <si>
    <t>88.7435</t>
  </si>
  <si>
    <t>88.1447</t>
  </si>
  <si>
    <t>88.3055</t>
  </si>
  <si>
    <t>88.1209</t>
  </si>
  <si>
    <t>87.7520</t>
  </si>
  <si>
    <t>88.0461</t>
  </si>
  <si>
    <t>88.2690</t>
  </si>
  <si>
    <t>88.2806</t>
  </si>
  <si>
    <t>88.2649</t>
  </si>
  <si>
    <t>88.1252</t>
  </si>
  <si>
    <t>88.1409</t>
  </si>
  <si>
    <t>88.3242</t>
  </si>
  <si>
    <t>88.1641</t>
  </si>
  <si>
    <t>88.1070</t>
  </si>
  <si>
    <t>88.0265</t>
  </si>
  <si>
    <t>88.2576</t>
  </si>
  <si>
    <t>87.8514</t>
  </si>
  <si>
    <t>87.6559</t>
  </si>
  <si>
    <t>87.7414</t>
  </si>
  <si>
    <t>87.4174</t>
  </si>
  <si>
    <t>87.4375</t>
  </si>
  <si>
    <t>86.9741</t>
  </si>
  <si>
    <t>87.0919</t>
  </si>
  <si>
    <t>87.1756</t>
  </si>
  <si>
    <t>87.4137</t>
  </si>
  <si>
    <t>87.4852</t>
  </si>
  <si>
    <t>87.6956</t>
  </si>
  <si>
    <t>87.6726</t>
  </si>
  <si>
    <t>87.5776</t>
  </si>
  <si>
    <t>87.6196</t>
  </si>
  <si>
    <t>87.6945</t>
  </si>
  <si>
    <t>87.7000</t>
  </si>
  <si>
    <t>87.7917</t>
  </si>
  <si>
    <t>87.5018</t>
  </si>
  <si>
    <t>87.3519</t>
  </si>
  <si>
    <t>87.5544</t>
  </si>
  <si>
    <t>87.2713</t>
  </si>
  <si>
    <t>86.8417</t>
  </si>
  <si>
    <t>86.5510</t>
  </si>
  <si>
    <t>86.5247</t>
  </si>
  <si>
    <t>86.3301</t>
  </si>
  <si>
    <t>86.3676</t>
  </si>
  <si>
    <t>86.2581</t>
  </si>
  <si>
    <t>86.2248</t>
  </si>
  <si>
    <t>86.2007</t>
  </si>
  <si>
    <t>85.9149</t>
  </si>
  <si>
    <t>85.8051</t>
  </si>
  <si>
    <t>85.8262</t>
  </si>
  <si>
    <t>85.9910</t>
  </si>
  <si>
    <t>85.8536</t>
  </si>
  <si>
    <t>85.5780</t>
  </si>
  <si>
    <t>85.7979</t>
  </si>
  <si>
    <t>85.7188</t>
  </si>
  <si>
    <t>85.8150</t>
  </si>
  <si>
    <t>85.3886</t>
  </si>
  <si>
    <t>85.5121</t>
  </si>
  <si>
    <t>85.6928</t>
  </si>
  <si>
    <t>85.6179</t>
  </si>
  <si>
    <t>85.5439</t>
  </si>
  <si>
    <t>85.5594</t>
  </si>
  <si>
    <t>85.7528</t>
  </si>
  <si>
    <t>85.8732</t>
  </si>
  <si>
    <t>86.1043</t>
  </si>
  <si>
    <t>86.8080</t>
  </si>
  <si>
    <t>86.6133</t>
  </si>
  <si>
    <t>86.6994</t>
  </si>
  <si>
    <t>86.3030</t>
  </si>
  <si>
    <t>86.0978</t>
  </si>
  <si>
    <t>86.0242</t>
  </si>
  <si>
    <t>86.0979</t>
  </si>
  <si>
    <t>85.5353</t>
  </si>
  <si>
    <t>85.4542</t>
  </si>
  <si>
    <t>85.5949</t>
  </si>
  <si>
    <t>85.4984</t>
  </si>
  <si>
    <t>85.7883</t>
  </si>
  <si>
    <t>85.7730</t>
  </si>
  <si>
    <t>85.9579</t>
  </si>
  <si>
    <t>85.4576</t>
  </si>
  <si>
    <t>85.4353</t>
  </si>
  <si>
    <t>85.4778</t>
  </si>
  <si>
    <t>85.4976</t>
  </si>
  <si>
    <t>85.6873</t>
  </si>
  <si>
    <t>85.3220</t>
  </si>
  <si>
    <t>84.9004</t>
  </si>
  <si>
    <t>85.6821</t>
  </si>
  <si>
    <t>85.6653</t>
  </si>
  <si>
    <t>85.5546</t>
  </si>
  <si>
    <t>85.4582</t>
  </si>
  <si>
    <t>85.4910</t>
  </si>
  <si>
    <t>85.5665</t>
  </si>
  <si>
    <t>85.5871</t>
  </si>
  <si>
    <t>85.2982</t>
  </si>
  <si>
    <t>84.8888</t>
  </si>
  <si>
    <t>85.6438</t>
  </si>
  <si>
    <t>84.8642</t>
  </si>
  <si>
    <t>84.5715</t>
  </si>
  <si>
    <t>84.5436</t>
  </si>
  <si>
    <t>84.2369</t>
  </si>
  <si>
    <t>83.8568</t>
  </si>
  <si>
    <t>85.0535</t>
  </si>
  <si>
    <t>85.2005</t>
  </si>
  <si>
    <t>85.1980</t>
  </si>
  <si>
    <t>85.5788</t>
  </si>
  <si>
    <t>85.5085</t>
  </si>
  <si>
    <t>85.4372</t>
  </si>
  <si>
    <t>85.1003</t>
  </si>
  <si>
    <t>85.1622</t>
  </si>
  <si>
    <t>85.5703</t>
  </si>
  <si>
    <t>85.6464</t>
  </si>
  <si>
    <t>85.6905</t>
  </si>
  <si>
    <t>86.1441</t>
  </si>
  <si>
    <t>86.6171</t>
  </si>
  <si>
    <t>85.9085</t>
  </si>
  <si>
    <t>85.8087</t>
  </si>
  <si>
    <t>85.2281</t>
  </si>
  <si>
    <t>85.6468</t>
  </si>
  <si>
    <t>85.6024</t>
  </si>
  <si>
    <t>85.5814</t>
  </si>
  <si>
    <t>Daily  USD/INR Rates</t>
  </si>
  <si>
    <t>USD/INR Volatility</t>
  </si>
  <si>
    <t xml:space="preserve">Brent-Crude Volatility </t>
  </si>
  <si>
    <t>Daily Log Return</t>
  </si>
  <si>
    <t>Currency Risk (USD/INR)</t>
  </si>
  <si>
    <t>Sigma</t>
  </si>
  <si>
    <t>Risk Type</t>
  </si>
  <si>
    <t>Geoplitical Risk (Brent-Crude)</t>
  </si>
  <si>
    <t>Value ($)</t>
  </si>
  <si>
    <t>Middle East Revenue</t>
  </si>
  <si>
    <t>% of Exports</t>
  </si>
  <si>
    <t>USA Revenue</t>
  </si>
  <si>
    <t>Estimated Export Regional Split (for Risk Analysis)</t>
  </si>
  <si>
    <t>Other Regions (Europe, Africa, SE Asia) Revenue</t>
  </si>
  <si>
    <t>Middle East % of Total Revenue</t>
  </si>
  <si>
    <t>Correlation</t>
  </si>
  <si>
    <t>Z-score (95% Confidence)</t>
  </si>
  <si>
    <t>Z-score (99% Confidence)</t>
  </si>
  <si>
    <t>Risk Analysis (95% Confidence)</t>
  </si>
  <si>
    <t>Stress Scenarios</t>
  </si>
  <si>
    <t>Moderate Case</t>
  </si>
  <si>
    <t>ME Order deferral %</t>
  </si>
  <si>
    <t>US Tariff Impact</t>
  </si>
  <si>
    <t>Adjusted Revenue</t>
  </si>
  <si>
    <t>% Variance Vs Base</t>
  </si>
  <si>
    <t>Severe Case</t>
  </si>
  <si>
    <t>Adverse FX impact on all exports</t>
  </si>
  <si>
    <t>Brent Crude Data</t>
  </si>
  <si>
    <t>RBI Website</t>
  </si>
  <si>
    <t>Income Statement Wise</t>
  </si>
  <si>
    <t>Balance Sheet Wise</t>
  </si>
  <si>
    <t>Debt/Equity</t>
  </si>
  <si>
    <t>INCOME STATEMENT</t>
  </si>
  <si>
    <t>BALANCE SHEET</t>
  </si>
  <si>
    <t>CASH FLOW STATEMENT</t>
  </si>
  <si>
    <t>REVENUE BIFURCATION</t>
  </si>
  <si>
    <t>GUIDANCE NOTES</t>
  </si>
  <si>
    <t>Equity Share Capital</t>
  </si>
  <si>
    <t>Other Equity</t>
  </si>
  <si>
    <t/>
  </si>
  <si>
    <t>Lease Liabilities</t>
  </si>
  <si>
    <t>Long-Term Provisions</t>
  </si>
  <si>
    <t>Deferred Tax Liabilities (Net)</t>
  </si>
  <si>
    <t>Total Non-Current Liabilities</t>
  </si>
  <si>
    <t>Total O/S Dues Of Micro &amp; Small Enterprises</t>
  </si>
  <si>
    <t>Total O/S Dues Of Creditors Other Than Micro &amp; Small Enterprises</t>
  </si>
  <si>
    <t>Other Financial Liabilities</t>
  </si>
  <si>
    <t>Short-Term Provisions</t>
  </si>
  <si>
    <t>Other Current Liabilities</t>
  </si>
  <si>
    <t>Current Tax Liabilities (Net)</t>
  </si>
  <si>
    <t>Total Current Liabilities</t>
  </si>
  <si>
    <t>Check</t>
  </si>
  <si>
    <t>Property, Plant And Equipment</t>
  </si>
  <si>
    <t>Capital Work In Progress</t>
  </si>
  <si>
    <t>Goodwill On Consolidation</t>
  </si>
  <si>
    <t>Intangible Assets</t>
  </si>
  <si>
    <t>Intangible Assets Under Development</t>
  </si>
  <si>
    <t>Right Of Use Assets</t>
  </si>
  <si>
    <t>Other Financial Assets</t>
  </si>
  <si>
    <t>Other Non-Current Assets</t>
  </si>
  <si>
    <t>Total Non-Current Assets</t>
  </si>
  <si>
    <t>Financial Assets</t>
  </si>
  <si>
    <t>Trade Receivables</t>
  </si>
  <si>
    <t>Cash And Cash Equivalents</t>
  </si>
  <si>
    <t>Bank Balance Other Than (Iii) Above</t>
  </si>
  <si>
    <t>Current Tax Assets (Net)</t>
  </si>
  <si>
    <t>Other Current Assets</t>
  </si>
  <si>
    <t>Total Current Assets</t>
  </si>
  <si>
    <t>Current Ratio</t>
  </si>
  <si>
    <t>Cash Conversion Cycle</t>
  </si>
  <si>
    <t>TOTAL EQUITY AND LIABILITIES</t>
  </si>
  <si>
    <t>TOTAL ASSETS</t>
  </si>
  <si>
    <t>ROCE=EBIT/ TA-CL</t>
  </si>
  <si>
    <t>1/4/2026</t>
  </si>
  <si>
    <t>31/3/2026</t>
  </si>
  <si>
    <t>30/3/2026</t>
  </si>
  <si>
    <t>27/3/2026</t>
  </si>
  <si>
    <t>26/3/2026</t>
  </si>
  <si>
    <t>25/3/2026</t>
  </si>
  <si>
    <t>24/3/2026</t>
  </si>
  <si>
    <t>23/3/2026</t>
  </si>
  <si>
    <t>20/3/2026</t>
  </si>
  <si>
    <t>19/3/2026</t>
  </si>
  <si>
    <t>18/3/2026</t>
  </si>
  <si>
    <t>17/3/2026</t>
  </si>
  <si>
    <t>16/3/2026</t>
  </si>
  <si>
    <t>13/3/2026</t>
  </si>
  <si>
    <t>12/3/2026</t>
  </si>
  <si>
    <t>11/3/2026</t>
  </si>
  <si>
    <t>10/3/2026</t>
  </si>
  <si>
    <t>9/3/2026</t>
  </si>
  <si>
    <t>6/3/2026</t>
  </si>
  <si>
    <t>5/3/2026</t>
  </si>
  <si>
    <t>4/3/2026</t>
  </si>
  <si>
    <t>3/3/2026</t>
  </si>
  <si>
    <t>2/3/2026</t>
  </si>
  <si>
    <t>27/2/2026</t>
  </si>
  <si>
    <t>26/2/2026</t>
  </si>
  <si>
    <t>25/2/2026</t>
  </si>
  <si>
    <t>24/2/2026</t>
  </si>
  <si>
    <t>23/2/2026</t>
  </si>
  <si>
    <t>20/2/2026</t>
  </si>
  <si>
    <t>19/2/2026</t>
  </si>
  <si>
    <t>18/2/2026</t>
  </si>
  <si>
    <t>17/2/2026</t>
  </si>
  <si>
    <t>16/2/2026</t>
  </si>
  <si>
    <t>13/2/2026</t>
  </si>
  <si>
    <t>12/2/2026</t>
  </si>
  <si>
    <t>11/2/2026</t>
  </si>
  <si>
    <t>10/2/2026</t>
  </si>
  <si>
    <t>9/2/2026</t>
  </si>
  <si>
    <t>6/2/2026</t>
  </si>
  <si>
    <t>5/2/2026</t>
  </si>
  <si>
    <t>4/2/2026</t>
  </si>
  <si>
    <t>3/2/2026</t>
  </si>
  <si>
    <t>2/2/2026</t>
  </si>
  <si>
    <t>30/1/2026</t>
  </si>
  <si>
    <t>29/1/2026</t>
  </si>
  <si>
    <t>28/1/2026</t>
  </si>
  <si>
    <t>27/1/2026</t>
  </si>
  <si>
    <t>26/1/2026</t>
  </si>
  <si>
    <t>23/1/2026</t>
  </si>
  <si>
    <t>22/1/2026</t>
  </si>
  <si>
    <t>21/1/2026</t>
  </si>
  <si>
    <t>20/1/2026</t>
  </si>
  <si>
    <t>19/1/2026</t>
  </si>
  <si>
    <t>16/1/2026</t>
  </si>
  <si>
    <t>15/1/2026</t>
  </si>
  <si>
    <t>14/1/2026</t>
  </si>
  <si>
    <t>13/1/2026</t>
  </si>
  <si>
    <t>12/1/2026</t>
  </si>
  <si>
    <t>9/1/2026</t>
  </si>
  <si>
    <t>8/1/2026</t>
  </si>
  <si>
    <t>7/1/2026</t>
  </si>
  <si>
    <t>6/1/2026</t>
  </si>
  <si>
    <t>5/1/2026</t>
  </si>
  <si>
    <t>2/1/2026</t>
  </si>
  <si>
    <t>9/12/2025</t>
  </si>
  <si>
    <t>8/12/2025</t>
  </si>
  <si>
    <t>5/12/2025</t>
  </si>
  <si>
    <t>4/12/2025</t>
  </si>
  <si>
    <t>3/12/2025</t>
  </si>
  <si>
    <t>2/12/2025</t>
  </si>
  <si>
    <t>1/12/2025</t>
  </si>
  <si>
    <t>7/11/2025</t>
  </si>
  <si>
    <t>6/11/2025</t>
  </si>
  <si>
    <t>5/11/2025</t>
  </si>
  <si>
    <t>4/11/2025</t>
  </si>
  <si>
    <t>3/11/2025</t>
  </si>
  <si>
    <t>22/10/2025</t>
  </si>
  <si>
    <t>21/10/2025</t>
  </si>
  <si>
    <t>9/10/2025</t>
  </si>
  <si>
    <t>8/10/2025</t>
  </si>
  <si>
    <t>7/10/2025</t>
  </si>
  <si>
    <t>6/10/2025</t>
  </si>
  <si>
    <t>3/10/2025</t>
  </si>
  <si>
    <t>2/10/2025</t>
  </si>
  <si>
    <t>1/10/2025</t>
  </si>
  <si>
    <t>30/9/2025</t>
  </si>
  <si>
    <t>29/9/2025</t>
  </si>
  <si>
    <t>26/9/2025</t>
  </si>
  <si>
    <t>25/9/2025</t>
  </si>
  <si>
    <t>24/9/2025</t>
  </si>
  <si>
    <t>23/9/2025</t>
  </si>
  <si>
    <t>22/9/2025</t>
  </si>
  <si>
    <t>19/9/2025</t>
  </si>
  <si>
    <t>18/9/2025</t>
  </si>
  <si>
    <t>17/9/2025</t>
  </si>
  <si>
    <t>16/9/2025</t>
  </si>
  <si>
    <t>15/9/2025</t>
  </si>
  <si>
    <t>12/9/2025</t>
  </si>
  <si>
    <t>11/9/2025</t>
  </si>
  <si>
    <t>10/9/2025</t>
  </si>
  <si>
    <t>9/9/2025</t>
  </si>
  <si>
    <t>8/9/2025</t>
  </si>
  <si>
    <t>5/9/2025</t>
  </si>
  <si>
    <t>4/9/2025</t>
  </si>
  <si>
    <t>3/9/2025</t>
  </si>
  <si>
    <t>2/9/2025</t>
  </si>
  <si>
    <t>1/9/2025</t>
  </si>
  <si>
    <t>29/8/2025</t>
  </si>
  <si>
    <t>28/8/2025</t>
  </si>
  <si>
    <t>27/8/2025</t>
  </si>
  <si>
    <t>26/8/2025</t>
  </si>
  <si>
    <t>22/8/2025</t>
  </si>
  <si>
    <t>21/8/2025</t>
  </si>
  <si>
    <t>20/8/2025</t>
  </si>
  <si>
    <t>19/8/2025</t>
  </si>
  <si>
    <t>18/8/2025</t>
  </si>
  <si>
    <t>15/8/2025</t>
  </si>
  <si>
    <t>14/8/2025</t>
  </si>
  <si>
    <t>13/8/2025</t>
  </si>
  <si>
    <t>12/8/2025</t>
  </si>
  <si>
    <t>11/8/2025</t>
  </si>
  <si>
    <t>8/8/2025</t>
  </si>
  <si>
    <t>7/8/2025</t>
  </si>
  <si>
    <t>6/8/2025</t>
  </si>
  <si>
    <t>5/8/2025</t>
  </si>
  <si>
    <t>4/8/2025</t>
  </si>
  <si>
    <t>1/8/2025</t>
  </si>
  <si>
    <t>31/7/2025</t>
  </si>
  <si>
    <t>30/7/2025</t>
  </si>
  <si>
    <t>29/7/2025</t>
  </si>
  <si>
    <t>28/7/2025</t>
  </si>
  <si>
    <t>25/7/2025</t>
  </si>
  <si>
    <t>24/7/2025</t>
  </si>
  <si>
    <t>23/7/2025</t>
  </si>
  <si>
    <t>22/7/2025</t>
  </si>
  <si>
    <t>21/7/2025</t>
  </si>
  <si>
    <t>18/7/2025</t>
  </si>
  <si>
    <t>17/7/2025</t>
  </si>
  <si>
    <t>16/7/2025</t>
  </si>
  <si>
    <t>15/7/2025</t>
  </si>
  <si>
    <t>14/7/2025</t>
  </si>
  <si>
    <t>11/7/2025</t>
  </si>
  <si>
    <t>10/7/2025</t>
  </si>
  <si>
    <t>9/7/2025</t>
  </si>
  <si>
    <t>8/7/2025</t>
  </si>
  <si>
    <t>7/7/2025</t>
  </si>
  <si>
    <t>4/7/2025</t>
  </si>
  <si>
    <t>3/7/2025</t>
  </si>
  <si>
    <t>2/7/2025</t>
  </si>
  <si>
    <t>1/7/2025</t>
  </si>
  <si>
    <t>30/6/2025</t>
  </si>
  <si>
    <t>27/6/2025</t>
  </si>
  <si>
    <t>26/6/2025</t>
  </si>
  <si>
    <t>25/6/2025</t>
  </si>
  <si>
    <t>24/6/2025</t>
  </si>
  <si>
    <t>23/6/2025</t>
  </si>
  <si>
    <t>20/6/2025</t>
  </si>
  <si>
    <t>19/6/2025</t>
  </si>
  <si>
    <t>18/6/2025</t>
  </si>
  <si>
    <t>17/6/2025</t>
  </si>
  <si>
    <t>16/6/2025</t>
  </si>
  <si>
    <t>13/6/2025</t>
  </si>
  <si>
    <t>12/6/2025</t>
  </si>
  <si>
    <t>11/6/2025</t>
  </si>
  <si>
    <t>10/6/2025</t>
  </si>
  <si>
    <t>9/6/2025</t>
  </si>
  <si>
    <t>6/6/2025</t>
  </si>
  <si>
    <t>5/6/2025</t>
  </si>
  <si>
    <t>4/6/2025</t>
  </si>
  <si>
    <t>3/6/2025</t>
  </si>
  <si>
    <t>2/6/2025</t>
  </si>
  <si>
    <t>30/5/2025</t>
  </si>
  <si>
    <t>29/5/2025</t>
  </si>
  <si>
    <t>28/5/2025</t>
  </si>
  <si>
    <t>27/5/2025</t>
  </si>
  <si>
    <t>23/5/2025</t>
  </si>
  <si>
    <t>22/5/2025</t>
  </si>
  <si>
    <t>21/5/2025</t>
  </si>
  <si>
    <t>20/5/2025</t>
  </si>
  <si>
    <t>19/5/2025</t>
  </si>
  <si>
    <t>16/5/2025</t>
  </si>
  <si>
    <t>15/5/2025</t>
  </si>
  <si>
    <t>14/5/2025</t>
  </si>
  <si>
    <t>13/5/2025</t>
  </si>
  <si>
    <t>12/5/2025</t>
  </si>
  <si>
    <t>9/5/2025</t>
  </si>
  <si>
    <t>8/5/2025</t>
  </si>
  <si>
    <t>7/5/2025</t>
  </si>
  <si>
    <t>6/5/2025</t>
  </si>
  <si>
    <t>2/5/2025</t>
  </si>
  <si>
    <t>1/5/2025</t>
  </si>
  <si>
    <t>30/4/2025</t>
  </si>
  <si>
    <t>29/4/2025</t>
  </si>
  <si>
    <t>28/4/2025</t>
  </si>
  <si>
    <t>25/4/2025</t>
  </si>
  <si>
    <t>24/4/2025</t>
  </si>
  <si>
    <t>23/4/2025</t>
  </si>
  <si>
    <t>22/4/2025</t>
  </si>
  <si>
    <t>17/4/2025</t>
  </si>
  <si>
    <t>16/4/2025</t>
  </si>
  <si>
    <t>15/4/2025</t>
  </si>
  <si>
    <t>14/4/2025</t>
  </si>
  <si>
    <t>11/4/2025</t>
  </si>
  <si>
    <t>10/4/2025</t>
  </si>
  <si>
    <t>9/4/2025</t>
  </si>
  <si>
    <t>8/4/2025</t>
  </si>
  <si>
    <t>7/4/2025</t>
  </si>
  <si>
    <t>4/4/2025</t>
  </si>
  <si>
    <t>3/4/2025</t>
  </si>
  <si>
    <t>2/4/2025</t>
  </si>
  <si>
    <t>1/4/2025</t>
  </si>
  <si>
    <t>2/4/2026</t>
  </si>
  <si>
    <t>1/1/2026</t>
  </si>
  <si>
    <t>25/8/2025</t>
  </si>
  <si>
    <t>26/5/2025</t>
  </si>
  <si>
    <t>5/5/2025</t>
  </si>
  <si>
    <t>21/4/2025</t>
  </si>
  <si>
    <t>28/3/2025</t>
  </si>
  <si>
    <t>CVaR Multiplier at 95% confidence</t>
  </si>
  <si>
    <t>Confidence Level</t>
  </si>
  <si>
    <t>Probability of Density [p(Z)]</t>
  </si>
  <si>
    <t>Currency CVaR (USD/INR Risk on all Exports)</t>
  </si>
  <si>
    <t>Geopolitical CVaR (ME Exposure with Brent Crude as proxy)</t>
  </si>
  <si>
    <t>Brent-Crude log return (Days matched)</t>
  </si>
  <si>
    <t>Combined CVaR (Markowitz Portfolio Formula)</t>
  </si>
  <si>
    <t>Other Financial Assets as % of Revenue</t>
  </si>
  <si>
    <t>Other Current Assets as % of Revenue</t>
  </si>
  <si>
    <t>Other Expenses as % of Revenue</t>
  </si>
  <si>
    <t>Other Financial Liabilities as % of Revenue</t>
  </si>
  <si>
    <t>Other Current Liabilities as % of Revenue</t>
  </si>
  <si>
    <t>Short Term Provisions as % of Revenue</t>
  </si>
  <si>
    <t>Inventory Days</t>
  </si>
  <si>
    <t>P/B Ratio</t>
  </si>
  <si>
    <t xml:space="preserve"> EV/EBITDA</t>
  </si>
  <si>
    <t>Implied Price</t>
  </si>
  <si>
    <t>Relative Value Per Share</t>
  </si>
  <si>
    <t>DCF Value Per Share</t>
  </si>
  <si>
    <t>Average Blended Target Price</t>
  </si>
  <si>
    <t>Average</t>
  </si>
  <si>
    <t>Weighted Average Value</t>
  </si>
  <si>
    <t xml:space="preserve">Relative Valuation </t>
  </si>
  <si>
    <t>Key Financials</t>
  </si>
  <si>
    <t>FY21</t>
  </si>
  <si>
    <t>FY22</t>
  </si>
  <si>
    <t>FY23</t>
  </si>
  <si>
    <t>FY24</t>
  </si>
  <si>
    <t>FY27 E</t>
  </si>
  <si>
    <t>FY28 E</t>
  </si>
  <si>
    <t>FY29 E</t>
  </si>
  <si>
    <t>FY30 E</t>
  </si>
  <si>
    <t>FY31 E</t>
  </si>
  <si>
    <t>Segment Wise Revenue Execution</t>
  </si>
  <si>
    <t>PE ratio</t>
  </si>
  <si>
    <t>Equity Value</t>
  </si>
  <si>
    <t>+Debt</t>
  </si>
  <si>
    <t>-Cash</t>
  </si>
  <si>
    <t>Enterprise Value</t>
  </si>
  <si>
    <t>Chart Helper: Equity value to Enterprise Value</t>
  </si>
  <si>
    <t>Chart Helper: Revenue Bridge Chart</t>
  </si>
  <si>
    <t>Heat 
Exchangers</t>
  </si>
  <si>
    <t>Towers &amp;
 Reactors</t>
  </si>
  <si>
    <t>Revenue
FY25</t>
  </si>
  <si>
    <t>Tank &amp;
 Silos</t>
  </si>
  <si>
    <t>Centrifuge &amp;
 Others</t>
  </si>
  <si>
    <t>Revenue
FY26</t>
  </si>
  <si>
    <t xml:space="preserve"> Growth %</t>
  </si>
  <si>
    <t>as % of Revenue</t>
  </si>
  <si>
    <t>Order Book</t>
  </si>
  <si>
    <t>Order Book to Bill Ratio</t>
  </si>
  <si>
    <t>10x</t>
  </si>
  <si>
    <t>15x</t>
  </si>
  <si>
    <t>20x</t>
  </si>
  <si>
    <t>25x</t>
  </si>
  <si>
    <t>30x</t>
  </si>
  <si>
    <t>DE/SEX</t>
  </si>
  <si>
    <t>Remeasurement (Gain)/Loss on lease</t>
  </si>
  <si>
    <t>Tax on Exceptional Item</t>
  </si>
  <si>
    <t xml:space="preserve">FY26 </t>
  </si>
  <si>
    <t>Price</t>
  </si>
  <si>
    <t>Steel Price Volatility</t>
  </si>
  <si>
    <t>Steel Price Risk (NCDEX)</t>
  </si>
  <si>
    <t>Fiscal year ending 31st Mar, 2026</t>
  </si>
  <si>
    <t>GRAPHICAL REPRESENTATION</t>
  </si>
  <si>
    <t>FY26 EPS</t>
  </si>
  <si>
    <t>FY25 EPS</t>
  </si>
  <si>
    <t>EPS Growth</t>
  </si>
  <si>
    <t>EBITDA %</t>
  </si>
  <si>
    <t>LTGR</t>
  </si>
  <si>
    <t>P/E Implied</t>
  </si>
  <si>
    <t>Range</t>
  </si>
  <si>
    <t>EV/EBITDA Implied</t>
  </si>
  <si>
    <t>DCF</t>
  </si>
  <si>
    <t>Max</t>
  </si>
  <si>
    <t>Min</t>
  </si>
  <si>
    <t>Football Field Chart</t>
  </si>
  <si>
    <t>ROCE</t>
  </si>
  <si>
    <t>Stress Test Scenario</t>
  </si>
  <si>
    <t>Risk Analysis</t>
  </si>
  <si>
    <t>Currency CVaR</t>
  </si>
  <si>
    <t>Undiversified Sum</t>
  </si>
  <si>
    <t>Geopolitical CVaR</t>
  </si>
  <si>
    <t>Potential Loss (Cr)</t>
  </si>
  <si>
    <t>Probability Density</t>
  </si>
  <si>
    <t>Combined CVaR Chart</t>
  </si>
  <si>
    <t>Combined Sigma</t>
  </si>
  <si>
    <t>Steel Exposure</t>
  </si>
  <si>
    <t>Steel Price Risk Analysis</t>
  </si>
  <si>
    <t>Steel CVaR</t>
  </si>
  <si>
    <t>Steel CVaR as % of EBITDA</t>
  </si>
  <si>
    <t>Steel Futures</t>
  </si>
  <si>
    <t>28/05/2026</t>
  </si>
  <si>
    <t>13/05/2025</t>
  </si>
  <si>
    <t>26/10/2024</t>
  </si>
  <si>
    <t>30/10/2023</t>
  </si>
  <si>
    <t>17/05/2023</t>
  </si>
  <si>
    <t>17/10/2022</t>
  </si>
  <si>
    <t>17/05/2022</t>
  </si>
  <si>
    <t>26/10/2021</t>
  </si>
  <si>
    <t>14/05/2021</t>
  </si>
  <si>
    <t>31/10/2020</t>
  </si>
  <si>
    <t>Year</t>
  </si>
  <si>
    <t>Anup stock price vs BSE Capital Goods Chart</t>
  </si>
  <si>
    <t>Anup Clg Price</t>
  </si>
  <si>
    <t>BSE Capital Goods Clg Price</t>
  </si>
  <si>
    <t>Anup Indexed at 100</t>
  </si>
  <si>
    <t>BSE Capital Goods Indexed at 100</t>
  </si>
  <si>
    <t xml:space="preserve">Chart: Export Vs Domestic </t>
  </si>
  <si>
    <t>FY25 Opn OB</t>
  </si>
  <si>
    <t>FY27 Opn OB</t>
  </si>
  <si>
    <t>Segment</t>
  </si>
  <si>
    <t xml:space="preserve">BSE Capital Goods Index </t>
  </si>
  <si>
    <t>Book to Bill Ratio</t>
  </si>
  <si>
    <t>EV/EBITDA Peer Implied</t>
  </si>
  <si>
    <t>Combined CVaR as % of Total Revenue</t>
  </si>
  <si>
    <t>Combined CVaR (Markowitz)</t>
  </si>
  <si>
    <t>Anup PE (Daily-5 Years)</t>
  </si>
  <si>
    <t>Actuals</t>
  </si>
  <si>
    <t>Chart: Refineries capacity in India</t>
  </si>
  <si>
    <t>Projected</t>
  </si>
  <si>
    <t>FY20</t>
  </si>
  <si>
    <t>FY30</t>
  </si>
  <si>
    <t>FY47 (Viksit Bharat)</t>
  </si>
  <si>
    <t>Source: Ministry of Petroleum &amp; Natural Gas</t>
  </si>
  <si>
    <t>Scenario</t>
  </si>
  <si>
    <t>DCF per share</t>
  </si>
  <si>
    <t>Terminal Value</t>
  </si>
  <si>
    <t>CMP a/o  5th June, 2026</t>
  </si>
  <si>
    <t>a/o 5th June, 2026</t>
  </si>
  <si>
    <t>Relative Valuation a/o 5th June, 2026</t>
  </si>
  <si>
    <t>Actual</t>
  </si>
  <si>
    <t>Series</t>
  </si>
  <si>
    <t>Estimate</t>
  </si>
  <si>
    <t>Consensus</t>
  </si>
  <si>
    <t>Values</t>
  </si>
  <si>
    <t>SENSITIVITY ANALYSIS</t>
  </si>
  <si>
    <t>PREVIEW TABLE</t>
  </si>
  <si>
    <t>Base</t>
  </si>
  <si>
    <t>Capital Goods Sector Long Term Growth</t>
  </si>
  <si>
    <t>Premium for Nuclear &amp; Hydrogen Expansion</t>
  </si>
  <si>
    <t>CASE SCENARIOS</t>
  </si>
  <si>
    <t>Terminal Growth Rate</t>
  </si>
  <si>
    <t>~40%</t>
  </si>
  <si>
    <t>Q4 FY26 Earnings Call</t>
  </si>
  <si>
    <t>Addition/(Deductions) to Right to use Assets</t>
  </si>
  <si>
    <t>Increase/(Decrease) in Long term provisions</t>
  </si>
  <si>
    <t>Deferred Tax (Income)/Expense</t>
  </si>
  <si>
    <t>Adjustments for:</t>
  </si>
  <si>
    <t>Monte Carlo Simulation — DCF Value per Share</t>
  </si>
  <si>
    <t>Anup Engineering Limited  |  ₹ crores except per-share  |  Press F9 to run a new simulation</t>
  </si>
  <si>
    <t>DISTRIBUTION ASSUMPTIONS</t>
  </si>
  <si>
    <t>Variable</t>
  </si>
  <si>
    <t>Mean</t>
  </si>
  <si>
    <t>Std Dev</t>
  </si>
  <si>
    <t>Distribution</t>
  </si>
  <si>
    <t>Normal</t>
  </si>
  <si>
    <t>FCF Performance Multiplier</t>
  </si>
  <si>
    <t>Number of Trials</t>
  </si>
  <si>
    <t>BASE CASE (linked from DCF Model)</t>
  </si>
  <si>
    <t>FY2027E</t>
  </si>
  <si>
    <t>FY2028E</t>
  </si>
  <si>
    <t>FY2029E</t>
  </si>
  <si>
    <t>FY2030E</t>
  </si>
  <si>
    <t>FY2031E</t>
  </si>
  <si>
    <t>FCF (₹ cr)</t>
  </si>
  <si>
    <t>Gross Debt (₹ cr)</t>
  </si>
  <si>
    <t>Cash (₹ cr)</t>
  </si>
  <si>
    <t>Shares Outstanding (cr)</t>
  </si>
  <si>
    <t>Base Value / Share (₹)</t>
  </si>
  <si>
    <t>CMP (5 Jun 26, ₹)</t>
  </si>
  <si>
    <t>SIMULATION TRIALS</t>
  </si>
  <si>
    <t>Trial</t>
  </si>
  <si>
    <t>Term. Growth</t>
  </si>
  <si>
    <t>FCF Mult.</t>
  </si>
  <si>
    <t>Value / Share (₹)</t>
  </si>
  <si>
    <t>SIMULATION RESULTS (₹ / share)</t>
  </si>
  <si>
    <t>Trials</t>
  </si>
  <si>
    <t>Median</t>
  </si>
  <si>
    <t>Minimum</t>
  </si>
  <si>
    <t>Maximum</t>
  </si>
  <si>
    <t>P5 (5th pctile)</t>
  </si>
  <si>
    <t>P25</t>
  </si>
  <si>
    <t>P75</t>
  </si>
  <si>
    <t>P95 (95th pctile)</t>
  </si>
  <si>
    <t>Base Value / Share</t>
  </si>
  <si>
    <t>P(Value &gt; CMP)</t>
  </si>
  <si>
    <t>Mean Upside vs CMP</t>
  </si>
  <si>
    <t>HISTOGRAM</t>
  </si>
  <si>
    <t>Value ≤ (₹)</t>
  </si>
  <si>
    <t>Frequency</t>
  </si>
  <si>
    <t>THE ANUP ENGINEERING LIMITED</t>
  </si>
  <si>
    <t>Integrated Financial Model  •  Forecasts &amp; Equity Valuation</t>
  </si>
  <si>
    <t>ABOUT THE COMPANY</t>
  </si>
  <si>
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</si>
  <si>
    <t>TABLE OF CONTENTS</t>
  </si>
  <si>
    <t>01   Income Statement</t>
  </si>
  <si>
    <t>02   Balance Sheet</t>
  </si>
  <si>
    <t>03   Cash Flow Statement</t>
  </si>
  <si>
    <t>04   Revenue Segments</t>
  </si>
  <si>
    <t>05   Graphical Representation</t>
  </si>
  <si>
    <t>06   Estimate Sheet</t>
  </si>
  <si>
    <t>07   DCF Model</t>
  </si>
  <si>
    <t>08   Peer Comparison</t>
  </si>
  <si>
    <t>09   Peer Data</t>
  </si>
  <si>
    <t>10   Beta</t>
  </si>
  <si>
    <t>11   Risk Data</t>
  </si>
  <si>
    <t>12   Guidance</t>
  </si>
  <si>
    <t>COLOR KEY</t>
  </si>
  <si>
    <t>Hardcoded data / Actuals</t>
  </si>
  <si>
    <t>Formula / Cell links</t>
  </si>
  <si>
    <t>Assumptions / Drivers</t>
  </si>
  <si>
    <t>Niranjan Desai</t>
  </si>
  <si>
    <t>AUTHOR &amp; MODEL INFORMATION</t>
  </si>
  <si>
    <t>Author</t>
  </si>
  <si>
    <t>Purpose</t>
  </si>
  <si>
    <t>Description</t>
  </si>
  <si>
    <t>Acknowledgements</t>
  </si>
  <si>
    <t>Contact</t>
  </si>
  <si>
    <t>Email (Personal)</t>
  </si>
  <si>
    <t>Email (Academic)</t>
  </si>
  <si>
    <t>This forecasting financial model is prepared for academic and competition purposes.</t>
  </si>
  <si>
    <t>This model comprises proprietary formulas, logical structures and analytical frameworks created by the author for The Anup Engineering Limited (standalone entity).</t>
  </si>
  <si>
    <t>Bloomberg (financial data); NMIMS (academic resources); and The Anup Engineering Limited annual reports &amp; investor presentations.</t>
  </si>
  <si>
    <t>+91 97699 87893</t>
  </si>
  <si>
    <t>mr.niranjandesai@gmail.com</t>
  </si>
  <si>
    <t>niranjan.desai553@nmims.in</t>
  </si>
  <si>
    <t>All figures in INR Crores (₹ Cr) unless stated.  Disclaimer: This model is prepared for illustrative and educational purposes only and does not constitute investment advice or a recommendation to buy or sell any security.</t>
  </si>
  <si>
    <t xml:space="preserve">5 June 2026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</si>
</sst>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&quot;$&quot;#,##0.00_);[Red]\(&quot;$&quot;#,##0.00\)"/>
    <numFmt numFmtId="165" formatCode="_(* #,##0.00_);_(* \(#,##0.00\);_(* &quot;-&quot;??_);_(@_)"/>
    <numFmt numFmtId="166" formatCode="0.00_);\(0.00\)"/>
    <numFmt numFmtId="167" formatCode="_(* #,##0_);_(* \(#,##0\);_(* &quot;-&quot;??_);_(@_)"/>
    <numFmt numFmtId="168" formatCode="_(* #,##0.000_);_(* \(#,##0.000\);_(* &quot;-&quot;??_);_(@_)"/>
    <numFmt numFmtId="169" formatCode="#,##0.000"/>
    <numFmt numFmtId="170" formatCode="0.0%"/>
    <numFmt numFmtId="171" formatCode="0.00000"/>
    <numFmt numFmtId="172" formatCode="[$-F800]dddd\,\ mmmm\ dd\,\ yyyy"/>
    <numFmt numFmtId="173" formatCode="0.0%;\(0.0%\);\-"/>
    <numFmt numFmtId="174" formatCode="0.000"/>
    <numFmt numFmtId="175" formatCode="_(* #,##0.0000_);_(* \(#,##0.0000\);_(* &quot;-&quot;????_);_(@_)"/>
    <numFmt numFmtId="176" formatCode="0.0E+00"/>
    <numFmt numFmtId="177" formatCode="_(* #,##0.0000_);_(* \(#,##0.0000\);_(* &quot;-&quot;??_);_(@_)"/>
    <numFmt numFmtId="178" formatCode="0.00&quot;x&quot;"/>
  </numFmts>
  <fonts count="47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rgb="FF0070C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0" tint="-0.499984740745262"/>
      <name val="Aptos Narrow"/>
      <family val="2"/>
      <scheme val="minor"/>
    </font>
    <font>
      <sz val="10"/>
      <color rgb="FFFF0000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i/>
      <sz val="10"/>
      <color theme="2" tint="-0.499984740745262"/>
      <name val="Aptos Narrow"/>
      <family val="2"/>
      <scheme val="minor"/>
    </font>
    <font>
      <b/>
      <i/>
      <sz val="10"/>
      <name val="Aptos Narrow"/>
      <family val="2"/>
      <scheme val="minor"/>
    </font>
    <font>
      <u/>
      <sz val="10"/>
      <color theme="10"/>
      <name val="Arial"/>
      <family val="2"/>
    </font>
    <font>
      <sz val="10"/>
      <color rgb="FF0000FF"/>
      <name val="Aptos Narrow"/>
      <family val="2"/>
      <scheme val="minor"/>
    </font>
    <font>
      <sz val="10"/>
      <color theme="8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u/>
      <sz val="10"/>
      <color theme="1"/>
      <name val="Aptos Narrow"/>
      <family val="2"/>
      <scheme val="minor"/>
    </font>
    <font>
      <b/>
      <i/>
      <sz val="10"/>
      <color theme="1"/>
      <name val="Aptos Narrow"/>
      <family val="2"/>
      <scheme val="minor"/>
    </font>
    <font>
      <sz val="10"/>
      <color rgb="FFC00000"/>
      <name val="Aptos Narrow"/>
      <family val="2"/>
      <scheme val="minor"/>
    </font>
    <font>
      <u/>
      <sz val="10"/>
      <color theme="10"/>
      <name val="Aptos Narrow"/>
      <family val="2"/>
      <scheme val="minor"/>
    </font>
    <font>
      <b/>
      <sz val="10"/>
      <color rgb="FFC00000"/>
      <name val="Aptos Narrow"/>
      <family val="2"/>
      <scheme val="minor"/>
    </font>
    <font>
      <i/>
      <sz val="10"/>
      <color rgb="FFC00000"/>
      <name val="Aptos Narrow"/>
      <family val="2"/>
      <scheme val="minor"/>
    </font>
    <font>
      <b/>
      <sz val="10"/>
      <color rgb="FF0000FF"/>
      <name val="Aptos Narrow"/>
      <family val="2"/>
      <scheme val="minor"/>
    </font>
    <font>
      <u/>
      <sz val="10"/>
      <color theme="10"/>
      <name val="Aptos Narrow"/>
      <family val="2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rgb="FF0000FF"/>
      <name val="Aptos Narrow"/>
      <family val="2"/>
    </font>
    <font>
      <b/>
      <sz val="12"/>
      <color rgb="FF000000"/>
      <name val="Aptos Narrow"/>
      <family val="2"/>
    </font>
    <font>
      <i/>
      <sz val="9"/>
      <color rgb="FF595959"/>
      <name val="Aptos Narrow"/>
      <family val="2"/>
    </font>
    <font>
      <sz val="10"/>
      <color rgb="FF000000"/>
      <name val="Aptos Narrow"/>
      <family val="2"/>
    </font>
    <font>
      <b/>
      <sz val="10"/>
      <color rgb="FF000000"/>
      <name val="Aptos Narrow"/>
      <family val="2"/>
    </font>
    <font>
      <b/>
      <sz val="26"/>
      <color rgb="FFFFFFFF"/>
      <name val="Aptos Narrow"/>
    </font>
    <font>
      <b/>
      <sz val="12"/>
      <color rgb="FFFFFFFF"/>
      <name val="Aptos Narrow"/>
    </font>
    <font>
      <sz val="10.5"/>
      <color rgb="FF333333"/>
      <name val="Aptos Narrow"/>
    </font>
    <font>
      <sz val="10"/>
      <color rgb="FF333333"/>
      <name val="Aptos Narrow"/>
    </font>
    <font>
      <b/>
      <sz val="10"/>
      <color rgb="FF333333"/>
      <name val="Aptos Narrow"/>
    </font>
    <font>
      <i/>
      <sz val="8.5"/>
      <color rgb="FF808080"/>
      <name val="Aptos Narrow"/>
    </font>
    <font>
      <b/>
      <sz val="24"/>
      <color rgb="FFFFFFFF"/>
      <name val="Aptos Narrow"/>
    </font>
    <font>
      <b/>
      <sz val="10"/>
      <color rgb="FF1F3864"/>
      <name val="Aptos Narrow"/>
    </font>
    <font>
      <b/>
      <sz val="11"/>
      <color rgb="FF8E1C2F"/>
      <name val="Aptos Narrow"/>
    </font>
    <font>
      <sz val="10.5"/>
      <color rgb="FF8E1C2F"/>
      <name val="Aptos Narrow"/>
    </font>
    <font>
      <b/>
      <sz val="10"/>
      <color rgb="FF8E1C2F"/>
      <name val="Aptos Narrow"/>
    </font>
    <font>
      <u/>
      <sz val="10"/>
      <color rgb="FF8E1C2F"/>
      <name val="Aptos Narrow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6" fillId="0" borderId="0" applyNumberFormat="0" applyFill="0" applyBorder="0" applyAlignment="0" applyProtection="0"/>
  </cellStyleXfs>
  <cellXfs count="430">
    <xf numFmtId="0" fontId="0" fillId="0" borderId="0" xfId="0"/>
    <xf numFmtId="165" fontId="3" fillId="2" borderId="0" xfId="1" applyFont="1" applyFill="1" applyBorder="1" applyAlignment="1"/>
    <xf numFmtId="165" fontId="2" fillId="2" borderId="0" xfId="1" applyFont="1" applyFill="1" applyBorder="1"/>
    <xf numFmtId="167" fontId="3" fillId="2" borderId="0" xfId="1" applyNumberFormat="1" applyFont="1" applyFill="1" applyBorder="1" applyAlignment="1">
      <alignment vertical="center"/>
    </xf>
    <xf numFmtId="0" fontId="2" fillId="0" borderId="0" xfId="0" applyFont="1"/>
    <xf numFmtId="17" fontId="3" fillId="2" borderId="0" xfId="1" applyNumberFormat="1" applyFont="1" applyFill="1" applyBorder="1" applyAlignment="1">
      <alignment wrapText="1"/>
    </xf>
    <xf numFmtId="0" fontId="3" fillId="2" borderId="0" xfId="0" applyFont="1" applyFill="1"/>
    <xf numFmtId="165" fontId="3" fillId="2" borderId="0" xfId="1" applyFont="1" applyFill="1" applyBorder="1" applyAlignment="1">
      <alignment vertical="center"/>
    </xf>
    <xf numFmtId="167" fontId="2" fillId="2" borderId="0" xfId="1" applyNumberFormat="1" applyFont="1" applyFill="1" applyBorder="1"/>
    <xf numFmtId="165" fontId="3" fillId="2" borderId="0" xfId="1" applyFont="1" applyFill="1" applyBorder="1" applyAlignment="1">
      <alignment wrapText="1"/>
    </xf>
    <xf numFmtId="0" fontId="3" fillId="2" borderId="0" xfId="1" applyNumberFormat="1" applyFont="1" applyFill="1" applyBorder="1" applyAlignment="1">
      <alignment wrapText="1"/>
    </xf>
    <xf numFmtId="170" fontId="2" fillId="2" borderId="0" xfId="2" applyNumberFormat="1" applyFont="1" applyFill="1" applyBorder="1"/>
    <xf numFmtId="0" fontId="2" fillId="2" borderId="0" xfId="0" applyFont="1" applyFill="1"/>
    <xf numFmtId="0" fontId="3" fillId="2" borderId="0" xfId="0" applyFont="1" applyFill="1" applyAlignment="1">
      <alignment wrapText="1"/>
    </xf>
    <xf numFmtId="169" fontId="2" fillId="2" borderId="0" xfId="0" applyNumberFormat="1" applyFont="1" applyFill="1"/>
    <xf numFmtId="0" fontId="3" fillId="2" borderId="0" xfId="0" applyFont="1" applyFill="1" applyAlignment="1">
      <alignment horizontal="right" wrapText="1"/>
    </xf>
    <xf numFmtId="0" fontId="2" fillId="2" borderId="0" xfId="0" applyFont="1" applyFill="1" applyAlignment="1">
      <alignment wrapText="1"/>
    </xf>
    <xf numFmtId="17" fontId="2" fillId="2" borderId="0" xfId="1" applyNumberFormat="1" applyFont="1" applyFill="1" applyBorder="1" applyAlignment="1">
      <alignment horizontal="center" wrapText="1"/>
    </xf>
    <xf numFmtId="0" fontId="4" fillId="2" borderId="0" xfId="0" applyFont="1" applyFill="1"/>
    <xf numFmtId="170" fontId="2" fillId="2" borderId="0" xfId="2" applyNumberFormat="1" applyFont="1" applyFill="1"/>
    <xf numFmtId="166" fontId="2" fillId="2" borderId="0" xfId="0" applyNumberFormat="1" applyFont="1" applyFill="1"/>
    <xf numFmtId="2" fontId="2" fillId="2" borderId="0" xfId="0" applyNumberFormat="1" applyFont="1" applyFill="1"/>
    <xf numFmtId="1" fontId="2" fillId="2" borderId="0" xfId="0" applyNumberFormat="1" applyFont="1" applyFill="1"/>
    <xf numFmtId="165" fontId="2" fillId="2" borderId="0" xfId="0" applyNumberFormat="1" applyFont="1" applyFill="1"/>
    <xf numFmtId="165" fontId="2" fillId="2" borderId="0" xfId="1" applyFont="1" applyFill="1" applyBorder="1" applyAlignment="1">
      <alignment wrapText="1"/>
    </xf>
    <xf numFmtId="165" fontId="5" fillId="2" borderId="0" xfId="1" applyFont="1" applyFill="1" applyBorder="1" applyAlignment="1">
      <alignment wrapText="1"/>
    </xf>
    <xf numFmtId="165" fontId="3" fillId="2" borderId="0" xfId="1" applyFont="1" applyFill="1" applyBorder="1"/>
    <xf numFmtId="4" fontId="2" fillId="2" borderId="0" xfId="0" applyNumberFormat="1" applyFont="1" applyFill="1"/>
    <xf numFmtId="4" fontId="3" fillId="2" borderId="0" xfId="0" applyNumberFormat="1" applyFont="1" applyFill="1"/>
    <xf numFmtId="4" fontId="4" fillId="2" borderId="0" xfId="1" applyNumberFormat="1" applyFont="1" applyFill="1" applyBorder="1" applyAlignment="1">
      <alignment horizontal="right"/>
    </xf>
    <xf numFmtId="4" fontId="10" fillId="2" borderId="0" xfId="0" applyNumberFormat="1" applyFont="1" applyFill="1"/>
    <xf numFmtId="2" fontId="2" fillId="2" borderId="0" xfId="2" applyNumberFormat="1" applyFont="1" applyFill="1"/>
    <xf numFmtId="9" fontId="10" fillId="2" borderId="0" xfId="0" applyNumberFormat="1" applyFont="1" applyFill="1"/>
    <xf numFmtId="10" fontId="2" fillId="2" borderId="0" xfId="2" applyNumberFormat="1" applyFont="1" applyFill="1"/>
    <xf numFmtId="170" fontId="10" fillId="2" borderId="0" xfId="2" applyNumberFormat="1" applyFont="1" applyFill="1"/>
    <xf numFmtId="167" fontId="11" fillId="2" borderId="0" xfId="1" applyNumberFormat="1" applyFont="1" applyFill="1" applyBorder="1"/>
    <xf numFmtId="165" fontId="11" fillId="2" borderId="0" xfId="1" applyFont="1" applyFill="1" applyBorder="1"/>
    <xf numFmtId="170" fontId="13" fillId="2" borderId="0" xfId="2" applyNumberFormat="1" applyFont="1" applyFill="1"/>
    <xf numFmtId="10" fontId="12" fillId="2" borderId="0" xfId="0" applyNumberFormat="1" applyFont="1" applyFill="1"/>
    <xf numFmtId="170" fontId="4" fillId="2" borderId="0" xfId="0" applyNumberFormat="1" applyFont="1" applyFill="1"/>
    <xf numFmtId="170" fontId="2" fillId="2" borderId="0" xfId="0" applyNumberFormat="1" applyFont="1" applyFill="1"/>
    <xf numFmtId="9" fontId="2" fillId="2" borderId="0" xfId="2" applyFont="1" applyFill="1"/>
    <xf numFmtId="170" fontId="2" fillId="2" borderId="0" xfId="2" applyNumberFormat="1" applyFont="1" applyFill="1" applyBorder="1" applyAlignment="1">
      <alignment horizontal="center" wrapText="1"/>
    </xf>
    <xf numFmtId="170" fontId="3" fillId="2" borderId="0" xfId="2" applyNumberFormat="1" applyFont="1" applyFill="1" applyBorder="1" applyAlignment="1">
      <alignment wrapText="1"/>
    </xf>
    <xf numFmtId="0" fontId="14" fillId="2" borderId="0" xfId="0" applyFont="1" applyFill="1" applyAlignment="1">
      <alignment horizontal="left"/>
    </xf>
    <xf numFmtId="170" fontId="10" fillId="2" borderId="0" xfId="0" applyNumberFormat="1" applyFont="1" applyFill="1"/>
    <xf numFmtId="0" fontId="3" fillId="2" borderId="0" xfId="1" applyNumberFormat="1" applyFont="1" applyFill="1" applyBorder="1" applyAlignment="1">
      <alignment horizontal="center"/>
    </xf>
    <xf numFmtId="10" fontId="15" fillId="2" borderId="0" xfId="0" applyNumberFormat="1" applyFont="1" applyFill="1"/>
    <xf numFmtId="2" fontId="3" fillId="2" borderId="0" xfId="2" applyNumberFormat="1" applyFont="1" applyFill="1"/>
    <xf numFmtId="2" fontId="3" fillId="2" borderId="0" xfId="0" applyNumberFormat="1" applyFont="1" applyFill="1"/>
    <xf numFmtId="170" fontId="2" fillId="2" borderId="0" xfId="2" applyNumberFormat="1" applyFont="1" applyFill="1" applyBorder="1" applyAlignment="1">
      <alignment wrapText="1"/>
    </xf>
    <xf numFmtId="4" fontId="5" fillId="2" borderId="0" xfId="0" applyNumberFormat="1" applyFont="1" applyFill="1"/>
    <xf numFmtId="1" fontId="3" fillId="2" borderId="0" xfId="1" applyNumberFormat="1" applyFont="1" applyFill="1" applyBorder="1" applyAlignment="1">
      <alignment horizontal="center"/>
    </xf>
    <xf numFmtId="17" fontId="3" fillId="2" borderId="0" xfId="1" applyNumberFormat="1" applyFont="1" applyFill="1" applyBorder="1" applyAlignment="1">
      <alignment horizontal="center"/>
    </xf>
    <xf numFmtId="1" fontId="3" fillId="2" borderId="0" xfId="1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wrapText="1"/>
    </xf>
    <xf numFmtId="0" fontId="2" fillId="2" borderId="11" xfId="0" applyFont="1" applyFill="1" applyBorder="1"/>
    <xf numFmtId="0" fontId="2" fillId="2" borderId="12" xfId="0" applyFont="1" applyFill="1" applyBorder="1"/>
    <xf numFmtId="0" fontId="3" fillId="2" borderId="6" xfId="0" applyFont="1" applyFill="1" applyBorder="1" applyAlignment="1">
      <alignment horizontal="center"/>
    </xf>
    <xf numFmtId="165" fontId="3" fillId="2" borderId="11" xfId="1" applyFont="1" applyFill="1" applyBorder="1" applyAlignment="1">
      <alignment vertical="center"/>
    </xf>
    <xf numFmtId="0" fontId="2" fillId="2" borderId="1" xfId="0" applyFont="1" applyFill="1" applyBorder="1"/>
    <xf numFmtId="0" fontId="3" fillId="2" borderId="1" xfId="0" applyFont="1" applyFill="1" applyBorder="1"/>
    <xf numFmtId="0" fontId="3" fillId="2" borderId="13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wrapText="1"/>
    </xf>
    <xf numFmtId="0" fontId="3" fillId="2" borderId="10" xfId="0" applyFont="1" applyFill="1" applyBorder="1" applyAlignment="1">
      <alignment horizontal="center" vertical="center" wrapText="1"/>
    </xf>
    <xf numFmtId="165" fontId="17" fillId="2" borderId="0" xfId="0" applyNumberFormat="1" applyFont="1" applyFill="1"/>
    <xf numFmtId="165" fontId="17" fillId="2" borderId="0" xfId="1" applyFont="1" applyFill="1" applyBorder="1" applyAlignment="1" applyProtection="1"/>
    <xf numFmtId="9" fontId="2" fillId="2" borderId="0" xfId="0" applyNumberFormat="1" applyFont="1" applyFill="1"/>
    <xf numFmtId="0" fontId="13" fillId="2" borderId="0" xfId="0" applyFont="1" applyFill="1"/>
    <xf numFmtId="173" fontId="13" fillId="2" borderId="0" xfId="2" applyNumberFormat="1" applyFont="1" applyFill="1"/>
    <xf numFmtId="0" fontId="20" fillId="2" borderId="0" xfId="0" applyFont="1" applyFill="1"/>
    <xf numFmtId="165" fontId="3" fillId="2" borderId="0" xfId="0" applyNumberFormat="1" applyFont="1" applyFill="1"/>
    <xf numFmtId="170" fontId="18" fillId="2" borderId="0" xfId="2" applyNumberFormat="1" applyFont="1" applyFill="1"/>
    <xf numFmtId="0" fontId="20" fillId="2" borderId="2" xfId="0" applyFont="1" applyFill="1" applyBorder="1"/>
    <xf numFmtId="0" fontId="2" fillId="2" borderId="10" xfId="0" applyFont="1" applyFill="1" applyBorder="1"/>
    <xf numFmtId="0" fontId="2" fillId="2" borderId="5" xfId="0" applyFont="1" applyFill="1" applyBorder="1"/>
    <xf numFmtId="170" fontId="2" fillId="2" borderId="11" xfId="2" applyNumberFormat="1" applyFont="1" applyFill="1" applyBorder="1"/>
    <xf numFmtId="2" fontId="2" fillId="2" borderId="11" xfId="0" applyNumberFormat="1" applyFont="1" applyFill="1" applyBorder="1"/>
    <xf numFmtId="0" fontId="3" fillId="2" borderId="5" xfId="0" applyFont="1" applyFill="1" applyBorder="1"/>
    <xf numFmtId="170" fontId="3" fillId="2" borderId="11" xfId="0" applyNumberFormat="1" applyFont="1" applyFill="1" applyBorder="1"/>
    <xf numFmtId="0" fontId="20" fillId="2" borderId="5" xfId="0" applyFont="1" applyFill="1" applyBorder="1"/>
    <xf numFmtId="165" fontId="2" fillId="2" borderId="5" xfId="0" applyNumberFormat="1" applyFont="1" applyFill="1" applyBorder="1"/>
    <xf numFmtId="4" fontId="2" fillId="2" borderId="11" xfId="0" applyNumberFormat="1" applyFont="1" applyFill="1" applyBorder="1"/>
    <xf numFmtId="165" fontId="2" fillId="2" borderId="11" xfId="0" applyNumberFormat="1" applyFont="1" applyFill="1" applyBorder="1"/>
    <xf numFmtId="165" fontId="3" fillId="2" borderId="5" xfId="0" applyNumberFormat="1" applyFont="1" applyFill="1" applyBorder="1"/>
    <xf numFmtId="167" fontId="2" fillId="2" borderId="11" xfId="1" applyNumberFormat="1" applyFont="1" applyFill="1" applyBorder="1"/>
    <xf numFmtId="165" fontId="2" fillId="2" borderId="11" xfId="1" applyFont="1" applyFill="1" applyBorder="1"/>
    <xf numFmtId="170" fontId="2" fillId="2" borderId="11" xfId="0" applyNumberFormat="1" applyFont="1" applyFill="1" applyBorder="1"/>
    <xf numFmtId="0" fontId="3" fillId="2" borderId="7" xfId="0" applyFont="1" applyFill="1" applyBorder="1"/>
    <xf numFmtId="170" fontId="3" fillId="2" borderId="12" xfId="2" applyNumberFormat="1" applyFont="1" applyFill="1" applyBorder="1"/>
    <xf numFmtId="166" fontId="2" fillId="2" borderId="1" xfId="0" applyNumberFormat="1" applyFont="1" applyFill="1" applyBorder="1"/>
    <xf numFmtId="166" fontId="2" fillId="2" borderId="11" xfId="0" applyNumberFormat="1" applyFont="1" applyFill="1" applyBorder="1"/>
    <xf numFmtId="166" fontId="2" fillId="2" borderId="6" xfId="0" applyNumberFormat="1" applyFont="1" applyFill="1" applyBorder="1"/>
    <xf numFmtId="166" fontId="2" fillId="2" borderId="12" xfId="0" applyNumberFormat="1" applyFont="1" applyFill="1" applyBorder="1"/>
    <xf numFmtId="0" fontId="3" fillId="2" borderId="11" xfId="0" applyFont="1" applyFill="1" applyBorder="1"/>
    <xf numFmtId="166" fontId="3" fillId="2" borderId="11" xfId="0" applyNumberFormat="1" applyFont="1" applyFill="1" applyBorder="1"/>
    <xf numFmtId="166" fontId="3" fillId="2" borderId="5" xfId="0" applyNumberFormat="1" applyFont="1" applyFill="1" applyBorder="1"/>
    <xf numFmtId="166" fontId="3" fillId="2" borderId="0" xfId="0" applyNumberFormat="1" applyFont="1" applyFill="1"/>
    <xf numFmtId="166" fontId="2" fillId="2" borderId="7" xfId="0" applyNumberFormat="1" applyFont="1" applyFill="1" applyBorder="1"/>
    <xf numFmtId="166" fontId="2" fillId="2" borderId="8" xfId="0" applyNumberFormat="1" applyFont="1" applyFill="1" applyBorder="1"/>
    <xf numFmtId="166" fontId="3" fillId="2" borderId="10" xfId="0" applyNumberFormat="1" applyFont="1" applyFill="1" applyBorder="1"/>
    <xf numFmtId="166" fontId="3" fillId="2" borderId="6" xfId="0" applyNumberFormat="1" applyFont="1" applyFill="1" applyBorder="1"/>
    <xf numFmtId="165" fontId="3" fillId="2" borderId="11" xfId="1" applyFont="1" applyFill="1" applyBorder="1"/>
    <xf numFmtId="165" fontId="21" fillId="2" borderId="1" xfId="1" applyFont="1" applyFill="1" applyBorder="1"/>
    <xf numFmtId="170" fontId="13" fillId="2" borderId="11" xfId="2" applyNumberFormat="1" applyFont="1" applyFill="1" applyBorder="1"/>
    <xf numFmtId="166" fontId="2" fillId="2" borderId="9" xfId="0" applyNumberFormat="1" applyFont="1" applyFill="1" applyBorder="1"/>
    <xf numFmtId="165" fontId="3" fillId="2" borderId="1" xfId="1" applyFont="1" applyFill="1" applyBorder="1"/>
    <xf numFmtId="165" fontId="3" fillId="2" borderId="13" xfId="1" applyFont="1" applyFill="1" applyBorder="1"/>
    <xf numFmtId="0" fontId="3" fillId="0" borderId="2" xfId="0" applyFont="1" applyBorder="1" applyAlignment="1">
      <alignment wrapText="1"/>
    </xf>
    <xf numFmtId="4" fontId="3" fillId="0" borderId="10" xfId="0" applyNumberFormat="1" applyFont="1" applyBorder="1"/>
    <xf numFmtId="0" fontId="3" fillId="2" borderId="2" xfId="0" applyFont="1" applyFill="1" applyBorder="1"/>
    <xf numFmtId="4" fontId="2" fillId="2" borderId="10" xfId="0" applyNumberFormat="1" applyFont="1" applyFill="1" applyBorder="1"/>
    <xf numFmtId="0" fontId="2" fillId="2" borderId="5" xfId="0" applyFont="1" applyFill="1" applyBorder="1" applyAlignment="1">
      <alignment wrapText="1"/>
    </xf>
    <xf numFmtId="4" fontId="3" fillId="2" borderId="12" xfId="0" applyNumberFormat="1" applyFont="1" applyFill="1" applyBorder="1"/>
    <xf numFmtId="4" fontId="3" fillId="2" borderId="1" xfId="0" applyNumberFormat="1" applyFont="1" applyFill="1" applyBorder="1"/>
    <xf numFmtId="170" fontId="3" fillId="2" borderId="1" xfId="2" applyNumberFormat="1" applyFont="1" applyFill="1" applyBorder="1"/>
    <xf numFmtId="0" fontId="2" fillId="2" borderId="2" xfId="0" applyFont="1" applyFill="1" applyBorder="1"/>
    <xf numFmtId="170" fontId="2" fillId="2" borderId="10" xfId="2" applyNumberFormat="1" applyFont="1" applyFill="1" applyBorder="1"/>
    <xf numFmtId="165" fontId="2" fillId="2" borderId="3" xfId="0" applyNumberFormat="1" applyFont="1" applyFill="1" applyBorder="1"/>
    <xf numFmtId="170" fontId="2" fillId="2" borderId="2" xfId="2" applyNumberFormat="1" applyFont="1" applyFill="1" applyBorder="1"/>
    <xf numFmtId="165" fontId="2" fillId="2" borderId="10" xfId="0" applyNumberFormat="1" applyFont="1" applyFill="1" applyBorder="1"/>
    <xf numFmtId="170" fontId="2" fillId="2" borderId="5" xfId="2" applyNumberFormat="1" applyFont="1" applyFill="1" applyBorder="1"/>
    <xf numFmtId="0" fontId="2" fillId="2" borderId="7" xfId="0" applyFont="1" applyFill="1" applyBorder="1"/>
    <xf numFmtId="165" fontId="2" fillId="2" borderId="12" xfId="0" applyNumberFormat="1" applyFont="1" applyFill="1" applyBorder="1"/>
    <xf numFmtId="0" fontId="3" fillId="0" borderId="7" xfId="0" applyFont="1" applyBorder="1"/>
    <xf numFmtId="0" fontId="2" fillId="2" borderId="9" xfId="0" applyFont="1" applyFill="1" applyBorder="1"/>
    <xf numFmtId="4" fontId="2" fillId="2" borderId="12" xfId="0" applyNumberFormat="1" applyFont="1" applyFill="1" applyBorder="1"/>
    <xf numFmtId="170" fontId="2" fillId="2" borderId="12" xfId="2" applyNumberFormat="1" applyFont="1" applyFill="1" applyBorder="1"/>
    <xf numFmtId="170" fontId="2" fillId="2" borderId="1" xfId="2" applyNumberFormat="1" applyFont="1" applyFill="1" applyBorder="1"/>
    <xf numFmtId="4" fontId="2" fillId="2" borderId="6" xfId="0" applyNumberFormat="1" applyFont="1" applyFill="1" applyBorder="1"/>
    <xf numFmtId="2" fontId="2" fillId="2" borderId="6" xfId="0" applyNumberFormat="1" applyFont="1" applyFill="1" applyBorder="1"/>
    <xf numFmtId="165" fontId="2" fillId="2" borderId="6" xfId="0" applyNumberFormat="1" applyFont="1" applyFill="1" applyBorder="1"/>
    <xf numFmtId="170" fontId="5" fillId="2" borderId="0" xfId="2" applyNumberFormat="1" applyFont="1" applyFill="1"/>
    <xf numFmtId="2" fontId="18" fillId="2" borderId="0" xfId="2" applyNumberFormat="1" applyFont="1" applyFill="1"/>
    <xf numFmtId="167" fontId="3" fillId="2" borderId="0" xfId="1" applyNumberFormat="1" applyFont="1" applyFill="1" applyBorder="1" applyAlignment="1">
      <alignment horizontal="center" vertical="center"/>
    </xf>
    <xf numFmtId="165" fontId="3" fillId="2" borderId="0" xfId="1" applyFont="1" applyFill="1" applyBorder="1" applyAlignment="1">
      <alignment horizontal="center"/>
    </xf>
    <xf numFmtId="170" fontId="12" fillId="2" borderId="0" xfId="2" applyNumberFormat="1" applyFont="1" applyFill="1" applyBorder="1"/>
    <xf numFmtId="0" fontId="3" fillId="2" borderId="1" xfId="0" applyFont="1" applyFill="1" applyBorder="1" applyAlignment="1">
      <alignment horizontal="center"/>
    </xf>
    <xf numFmtId="172" fontId="2" fillId="2" borderId="5" xfId="0" applyNumberFormat="1" applyFont="1" applyFill="1" applyBorder="1" applyAlignment="1">
      <alignment wrapText="1"/>
    </xf>
    <xf numFmtId="171" fontId="2" fillId="2" borderId="6" xfId="0" applyNumberFormat="1" applyFont="1" applyFill="1" applyBorder="1"/>
    <xf numFmtId="0" fontId="23" fillId="2" borderId="0" xfId="3" applyFont="1" applyFill="1"/>
    <xf numFmtId="2" fontId="2" fillId="2" borderId="1" xfId="0" applyNumberFormat="1" applyFont="1" applyFill="1" applyBorder="1"/>
    <xf numFmtId="172" fontId="2" fillId="2" borderId="7" xfId="0" applyNumberFormat="1" applyFont="1" applyFill="1" applyBorder="1" applyAlignment="1">
      <alignment wrapText="1"/>
    </xf>
    <xf numFmtId="0" fontId="2" fillId="2" borderId="8" xfId="0" applyFont="1" applyFill="1" applyBorder="1"/>
    <xf numFmtId="0" fontId="3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wrapText="1"/>
    </xf>
    <xf numFmtId="0" fontId="2" fillId="2" borderId="10" xfId="0" applyFont="1" applyFill="1" applyBorder="1" applyAlignment="1">
      <alignment wrapText="1"/>
    </xf>
    <xf numFmtId="4" fontId="2" fillId="2" borderId="4" xfId="0" applyNumberFormat="1" applyFont="1" applyFill="1" applyBorder="1"/>
    <xf numFmtId="165" fontId="2" fillId="2" borderId="10" xfId="0" applyNumberFormat="1" applyFont="1" applyFill="1" applyBorder="1" applyAlignment="1">
      <alignment horizontal="center"/>
    </xf>
    <xf numFmtId="165" fontId="2" fillId="2" borderId="4" xfId="0" applyNumberFormat="1" applyFont="1" applyFill="1" applyBorder="1" applyAlignment="1">
      <alignment horizontal="center"/>
    </xf>
    <xf numFmtId="165" fontId="2" fillId="2" borderId="3" xfId="0" applyNumberFormat="1" applyFont="1" applyFill="1" applyBorder="1" applyAlignment="1">
      <alignment horizontal="center"/>
    </xf>
    <xf numFmtId="165" fontId="2" fillId="2" borderId="2" xfId="0" applyNumberFormat="1" applyFont="1" applyFill="1" applyBorder="1" applyAlignment="1">
      <alignment horizontal="center"/>
    </xf>
    <xf numFmtId="165" fontId="2" fillId="2" borderId="11" xfId="0" applyNumberFormat="1" applyFont="1" applyFill="1" applyBorder="1" applyAlignment="1">
      <alignment horizontal="center"/>
    </xf>
    <xf numFmtId="165" fontId="2" fillId="2" borderId="6" xfId="0" applyNumberFormat="1" applyFont="1" applyFill="1" applyBorder="1" applyAlignment="1">
      <alignment horizontal="center"/>
    </xf>
    <xf numFmtId="165" fontId="2" fillId="2" borderId="0" xfId="0" applyNumberFormat="1" applyFont="1" applyFill="1" applyAlignment="1">
      <alignment horizontal="center"/>
    </xf>
    <xf numFmtId="165" fontId="2" fillId="2" borderId="5" xfId="0" applyNumberFormat="1" applyFont="1" applyFill="1" applyBorder="1" applyAlignment="1">
      <alignment horizontal="center"/>
    </xf>
    <xf numFmtId="4" fontId="2" fillId="2" borderId="9" xfId="0" applyNumberFormat="1" applyFont="1" applyFill="1" applyBorder="1"/>
    <xf numFmtId="165" fontId="2" fillId="2" borderId="12" xfId="0" applyNumberFormat="1" applyFont="1" applyFill="1" applyBorder="1" applyAlignment="1">
      <alignment horizontal="center"/>
    </xf>
    <xf numFmtId="165" fontId="2" fillId="2" borderId="9" xfId="0" applyNumberFormat="1" applyFont="1" applyFill="1" applyBorder="1" applyAlignment="1">
      <alignment horizontal="center"/>
    </xf>
    <xf numFmtId="165" fontId="2" fillId="2" borderId="8" xfId="0" applyNumberFormat="1" applyFont="1" applyFill="1" applyBorder="1" applyAlignment="1">
      <alignment horizontal="center"/>
    </xf>
    <xf numFmtId="165" fontId="2" fillId="2" borderId="7" xfId="0" applyNumberFormat="1" applyFont="1" applyFill="1" applyBorder="1" applyAlignment="1">
      <alignment horizontal="center"/>
    </xf>
    <xf numFmtId="0" fontId="3" fillId="2" borderId="10" xfId="0" applyFont="1" applyFill="1" applyBorder="1"/>
    <xf numFmtId="165" fontId="3" fillId="2" borderId="6" xfId="0" applyNumberFormat="1" applyFont="1" applyFill="1" applyBorder="1" applyAlignment="1">
      <alignment horizontal="center"/>
    </xf>
    <xf numFmtId="14" fontId="2" fillId="2" borderId="1" xfId="0" applyNumberFormat="1" applyFont="1" applyFill="1" applyBorder="1"/>
    <xf numFmtId="0" fontId="3" fillId="2" borderId="12" xfId="0" applyFont="1" applyFill="1" applyBorder="1"/>
    <xf numFmtId="0" fontId="2" fillId="2" borderId="0" xfId="0" applyFont="1" applyFill="1" applyAlignment="1">
      <alignment horizontal="center" vertical="center"/>
    </xf>
    <xf numFmtId="170" fontId="2" fillId="2" borderId="1" xfId="0" applyNumberFormat="1" applyFont="1" applyFill="1" applyBorder="1"/>
    <xf numFmtId="14" fontId="2" fillId="2" borderId="0" xfId="0" applyNumberFormat="1" applyFont="1" applyFill="1"/>
    <xf numFmtId="0" fontId="3" fillId="2" borderId="4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170" fontId="12" fillId="2" borderId="6" xfId="0" applyNumberFormat="1" applyFont="1" applyFill="1" applyBorder="1" applyAlignment="1">
      <alignment horizontal="right"/>
    </xf>
    <xf numFmtId="2" fontId="3" fillId="2" borderId="6" xfId="0" applyNumberFormat="1" applyFont="1" applyFill="1" applyBorder="1"/>
    <xf numFmtId="2" fontId="3" fillId="2" borderId="9" xfId="0" applyNumberFormat="1" applyFont="1" applyFill="1" applyBorder="1"/>
    <xf numFmtId="0" fontId="20" fillId="2" borderId="11" xfId="0" applyFont="1" applyFill="1" applyBorder="1"/>
    <xf numFmtId="10" fontId="12" fillId="2" borderId="11" xfId="0" applyNumberFormat="1" applyFont="1" applyFill="1" applyBorder="1" applyAlignment="1">
      <alignment horizontal="left"/>
    </xf>
    <xf numFmtId="165" fontId="22" fillId="2" borderId="0" xfId="1" applyFont="1" applyFill="1" applyBorder="1"/>
    <xf numFmtId="165" fontId="24" fillId="2" borderId="0" xfId="1" applyFont="1" applyFill="1" applyBorder="1"/>
    <xf numFmtId="0" fontId="25" fillId="2" borderId="0" xfId="0" applyFont="1" applyFill="1" applyAlignment="1">
      <alignment horizontal="left"/>
    </xf>
    <xf numFmtId="167" fontId="13" fillId="2" borderId="0" xfId="1" applyNumberFormat="1" applyFont="1" applyFill="1" applyBorder="1"/>
    <xf numFmtId="170" fontId="13" fillId="2" borderId="0" xfId="2" applyNumberFormat="1" applyFont="1" applyFill="1" applyBorder="1"/>
    <xf numFmtId="165" fontId="13" fillId="2" borderId="0" xfId="1" applyFont="1" applyFill="1" applyBorder="1"/>
    <xf numFmtId="165" fontId="2" fillId="2" borderId="0" xfId="1" applyFont="1" applyFill="1"/>
    <xf numFmtId="0" fontId="3" fillId="2" borderId="0" xfId="0" applyFont="1" applyFill="1" applyAlignment="1">
      <alignment horizontal="left" wrapText="1"/>
    </xf>
    <xf numFmtId="0" fontId="2" fillId="2" borderId="0" xfId="0" applyFont="1" applyFill="1" applyAlignment="1">
      <alignment horizontal="left" wrapText="1"/>
    </xf>
    <xf numFmtId="4" fontId="22" fillId="2" borderId="0" xfId="0" applyNumberFormat="1" applyFont="1" applyFill="1"/>
    <xf numFmtId="0" fontId="22" fillId="2" borderId="0" xfId="0" applyFont="1" applyFill="1"/>
    <xf numFmtId="0" fontId="25" fillId="0" borderId="0" xfId="0" applyFont="1" applyAlignment="1">
      <alignment horizontal="left"/>
    </xf>
    <xf numFmtId="0" fontId="22" fillId="2" borderId="0" xfId="0" applyFont="1" applyFill="1" applyAlignment="1">
      <alignment wrapText="1"/>
    </xf>
    <xf numFmtId="4" fontId="24" fillId="2" borderId="0" xfId="0" applyNumberFormat="1" applyFont="1" applyFill="1"/>
    <xf numFmtId="1" fontId="18" fillId="2" borderId="0" xfId="2" applyNumberFormat="1" applyFont="1" applyFill="1"/>
    <xf numFmtId="166" fontId="22" fillId="2" borderId="0" xfId="0" applyNumberFormat="1" applyFont="1" applyFill="1"/>
    <xf numFmtId="166" fontId="24" fillId="2" borderId="0" xfId="0" applyNumberFormat="1" applyFont="1" applyFill="1"/>
    <xf numFmtId="0" fontId="24" fillId="2" borderId="0" xfId="0" applyFont="1" applyFill="1"/>
    <xf numFmtId="167" fontId="22" fillId="2" borderId="0" xfId="1" applyNumberFormat="1" applyFont="1" applyFill="1" applyBorder="1"/>
    <xf numFmtId="0" fontId="3" fillId="0" borderId="15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  <xf numFmtId="0" fontId="3" fillId="0" borderId="13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167" fontId="3" fillId="2" borderId="0" xfId="1" applyNumberFormat="1" applyFont="1" applyFill="1" applyBorder="1"/>
    <xf numFmtId="165" fontId="26" fillId="2" borderId="0" xfId="0" applyNumberFormat="1" applyFont="1" applyFill="1"/>
    <xf numFmtId="165" fontId="3" fillId="2" borderId="4" xfId="0" applyNumberFormat="1" applyFont="1" applyFill="1" applyBorder="1" applyAlignment="1">
      <alignment horizontal="center"/>
    </xf>
    <xf numFmtId="165" fontId="3" fillId="2" borderId="6" xfId="0" applyNumberFormat="1" applyFont="1" applyFill="1" applyBorder="1"/>
    <xf numFmtId="165" fontId="3" fillId="2" borderId="9" xfId="0" applyNumberFormat="1" applyFont="1" applyFill="1" applyBorder="1"/>
    <xf numFmtId="171" fontId="2" fillId="2" borderId="0" xfId="0" applyNumberFormat="1" applyFont="1" applyFill="1"/>
    <xf numFmtId="171" fontId="2" fillId="2" borderId="8" xfId="0" applyNumberFormat="1" applyFont="1" applyFill="1" applyBorder="1"/>
    <xf numFmtId="172" fontId="2" fillId="2" borderId="0" xfId="0" applyNumberFormat="1" applyFont="1" applyFill="1"/>
    <xf numFmtId="171" fontId="2" fillId="2" borderId="5" xfId="0" applyNumberFormat="1" applyFont="1" applyFill="1" applyBorder="1"/>
    <xf numFmtId="171" fontId="2" fillId="2" borderId="7" xfId="0" applyNumberFormat="1" applyFont="1" applyFill="1" applyBorder="1"/>
    <xf numFmtId="172" fontId="2" fillId="2" borderId="8" xfId="0" applyNumberFormat="1" applyFont="1" applyFill="1" applyBorder="1"/>
    <xf numFmtId="170" fontId="3" fillId="2" borderId="0" xfId="2" applyNumberFormat="1" applyFont="1" applyFill="1"/>
    <xf numFmtId="164" fontId="2" fillId="2" borderId="0" xfId="0" applyNumberFormat="1" applyFont="1" applyFill="1"/>
    <xf numFmtId="10" fontId="2" fillId="2" borderId="11" xfId="0" applyNumberFormat="1" applyFont="1" applyFill="1" applyBorder="1"/>
    <xf numFmtId="2" fontId="13" fillId="2" borderId="0" xfId="0" applyNumberFormat="1" applyFont="1" applyFill="1"/>
    <xf numFmtId="0" fontId="3" fillId="2" borderId="15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4" fontId="2" fillId="2" borderId="0" xfId="0" applyNumberFormat="1" applyFont="1" applyFill="1" applyAlignment="1">
      <alignment horizontal="right"/>
    </xf>
    <xf numFmtId="167" fontId="2" fillId="2" borderId="0" xfId="1" applyNumberFormat="1" applyFont="1" applyFill="1"/>
    <xf numFmtId="174" fontId="2" fillId="2" borderId="0" xfId="0" applyNumberFormat="1" applyFont="1" applyFill="1" applyAlignment="1">
      <alignment wrapText="1"/>
    </xf>
    <xf numFmtId="174" fontId="2" fillId="2" borderId="8" xfId="0" applyNumberFormat="1" applyFont="1" applyFill="1" applyBorder="1" applyAlignment="1">
      <alignment wrapText="1"/>
    </xf>
    <xf numFmtId="170" fontId="3" fillId="2" borderId="9" xfId="2" applyNumberFormat="1" applyFont="1" applyFill="1" applyBorder="1"/>
    <xf numFmtId="170" fontId="3" fillId="2" borderId="6" xfId="2" applyNumberFormat="1" applyFont="1" applyFill="1" applyBorder="1"/>
    <xf numFmtId="175" fontId="2" fillId="2" borderId="0" xfId="0" applyNumberFormat="1" applyFont="1" applyFill="1"/>
    <xf numFmtId="0" fontId="3" fillId="2" borderId="1" xfId="0" applyFont="1" applyFill="1" applyBorder="1" applyAlignment="1">
      <alignment horizontal="center" vertical="center" wrapText="1"/>
    </xf>
    <xf numFmtId="0" fontId="2" fillId="2" borderId="0" xfId="1" applyNumberFormat="1" applyFont="1" applyFill="1" applyBorder="1" applyAlignment="1">
      <alignment horizontal="left"/>
    </xf>
    <xf numFmtId="0" fontId="3" fillId="2" borderId="0" xfId="1" applyNumberFormat="1" applyFont="1" applyFill="1" applyBorder="1" applyAlignment="1">
      <alignment horizontal="left" vertical="center"/>
    </xf>
    <xf numFmtId="0" fontId="3" fillId="2" borderId="0" xfId="1" applyNumberFormat="1" applyFont="1" applyFill="1" applyBorder="1" applyAlignment="1">
      <alignment horizontal="left"/>
    </xf>
    <xf numFmtId="0" fontId="12" fillId="2" borderId="0" xfId="2" applyNumberFormat="1" applyFont="1" applyFill="1" applyBorder="1" applyAlignment="1">
      <alignment horizontal="left"/>
    </xf>
    <xf numFmtId="0" fontId="6" fillId="2" borderId="0" xfId="0" applyFont="1" applyFill="1" applyAlignment="1">
      <alignment horizontal="left"/>
    </xf>
    <xf numFmtId="0" fontId="1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3" fillId="2" borderId="0" xfId="2" applyNumberFormat="1" applyFont="1" applyFill="1" applyBorder="1" applyAlignment="1">
      <alignment horizontal="left"/>
    </xf>
    <xf numFmtId="0" fontId="13" fillId="2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5" fillId="2" borderId="0" xfId="0" applyFont="1" applyFill="1" applyAlignment="1">
      <alignment horizontal="left"/>
    </xf>
    <xf numFmtId="0" fontId="2" fillId="2" borderId="0" xfId="2" applyNumberFormat="1" applyFont="1" applyFill="1" applyBorder="1"/>
    <xf numFmtId="0" fontId="2" fillId="2" borderId="0" xfId="1" applyNumberFormat="1" applyFont="1" applyFill="1" applyBorder="1" applyAlignment="1"/>
    <xf numFmtId="0" fontId="2" fillId="2" borderId="0" xfId="0" applyFont="1" applyFill="1" applyAlignment="1">
      <alignment horizontal="center"/>
    </xf>
    <xf numFmtId="0" fontId="2" fillId="2" borderId="3" xfId="0" applyFont="1" applyFill="1" applyBorder="1"/>
    <xf numFmtId="0" fontId="3" fillId="2" borderId="3" xfId="0" applyFont="1" applyFill="1" applyBorder="1"/>
    <xf numFmtId="0" fontId="3" fillId="2" borderId="4" xfId="0" applyFont="1" applyFill="1" applyBorder="1"/>
    <xf numFmtId="170" fontId="2" fillId="2" borderId="6" xfId="2" applyNumberFormat="1" applyFont="1" applyFill="1" applyBorder="1"/>
    <xf numFmtId="165" fontId="2" fillId="2" borderId="8" xfId="0" applyNumberFormat="1" applyFont="1" applyFill="1" applyBorder="1"/>
    <xf numFmtId="170" fontId="2" fillId="2" borderId="8" xfId="2" applyNumberFormat="1" applyFont="1" applyFill="1" applyBorder="1"/>
    <xf numFmtId="2" fontId="2" fillId="2" borderId="8" xfId="0" applyNumberFormat="1" applyFont="1" applyFill="1" applyBorder="1"/>
    <xf numFmtId="170" fontId="2" fillId="2" borderId="9" xfId="2" applyNumberFormat="1" applyFont="1" applyFill="1" applyBorder="1"/>
    <xf numFmtId="2" fontId="2" fillId="2" borderId="9" xfId="0" applyNumberFormat="1" applyFont="1" applyFill="1" applyBorder="1"/>
    <xf numFmtId="0" fontId="2" fillId="2" borderId="3" xfId="0" applyFont="1" applyFill="1" applyBorder="1" applyAlignment="1">
      <alignment wrapText="1"/>
    </xf>
    <xf numFmtId="0" fontId="2" fillId="2" borderId="4" xfId="0" applyFont="1" applyFill="1" applyBorder="1"/>
    <xf numFmtId="176" fontId="2" fillId="2" borderId="0" xfId="0" applyNumberFormat="1" applyFont="1" applyFill="1"/>
    <xf numFmtId="176" fontId="2" fillId="2" borderId="8" xfId="0" applyNumberFormat="1" applyFont="1" applyFill="1" applyBorder="1"/>
    <xf numFmtId="0" fontId="2" fillId="2" borderId="5" xfId="0" quotePrefix="1" applyFont="1" applyFill="1" applyBorder="1"/>
    <xf numFmtId="165" fontId="2" fillId="2" borderId="9" xfId="0" applyNumberFormat="1" applyFont="1" applyFill="1" applyBorder="1"/>
    <xf numFmtId="168" fontId="3" fillId="2" borderId="5" xfId="1" applyNumberFormat="1" applyFont="1" applyFill="1" applyBorder="1" applyAlignment="1">
      <alignment horizontal="left"/>
    </xf>
    <xf numFmtId="10" fontId="12" fillId="2" borderId="5" xfId="2" applyNumberFormat="1" applyFont="1" applyFill="1" applyBorder="1" applyAlignment="1">
      <alignment horizontal="left"/>
    </xf>
    <xf numFmtId="170" fontId="12" fillId="2" borderId="6" xfId="2" applyNumberFormat="1" applyFont="1" applyFill="1" applyBorder="1"/>
    <xf numFmtId="0" fontId="13" fillId="2" borderId="5" xfId="0" applyFont="1" applyFill="1" applyBorder="1"/>
    <xf numFmtId="170" fontId="13" fillId="2" borderId="6" xfId="2" applyNumberFormat="1" applyFont="1" applyFill="1" applyBorder="1"/>
    <xf numFmtId="0" fontId="27" fillId="2" borderId="0" xfId="3" applyFont="1" applyFill="1"/>
    <xf numFmtId="165" fontId="13" fillId="2" borderId="0" xfId="0" applyNumberFormat="1" applyFont="1" applyFill="1"/>
    <xf numFmtId="9" fontId="2" fillId="2" borderId="0" xfId="0" quotePrefix="1" applyNumberFormat="1" applyFont="1" applyFill="1"/>
    <xf numFmtId="14" fontId="2" fillId="2" borderId="0" xfId="1" applyNumberFormat="1" applyFont="1" applyFill="1" applyBorder="1"/>
    <xf numFmtId="14" fontId="12" fillId="2" borderId="0" xfId="0" applyNumberFormat="1" applyFont="1" applyFill="1" applyAlignment="1">
      <alignment horizontal="left"/>
    </xf>
    <xf numFmtId="14" fontId="17" fillId="2" borderId="0" xfId="0" applyNumberFormat="1" applyFont="1" applyFill="1"/>
    <xf numFmtId="1" fontId="13" fillId="2" borderId="0" xfId="2" applyNumberFormat="1" applyFont="1" applyFill="1" applyBorder="1"/>
    <xf numFmtId="170" fontId="2" fillId="2" borderId="6" xfId="0" applyNumberFormat="1" applyFont="1" applyFill="1" applyBorder="1"/>
    <xf numFmtId="170" fontId="2" fillId="2" borderId="8" xfId="0" applyNumberFormat="1" applyFont="1" applyFill="1" applyBorder="1"/>
    <xf numFmtId="170" fontId="2" fillId="2" borderId="9" xfId="0" applyNumberFormat="1" applyFont="1" applyFill="1" applyBorder="1"/>
    <xf numFmtId="14" fontId="2" fillId="0" borderId="1" xfId="0" applyNumberFormat="1" applyFont="1" applyBorder="1"/>
    <xf numFmtId="0" fontId="2" fillId="0" borderId="1" xfId="0" applyFont="1" applyBorder="1"/>
    <xf numFmtId="165" fontId="10" fillId="2" borderId="0" xfId="0" applyNumberFormat="1" applyFont="1" applyFill="1"/>
    <xf numFmtId="2" fontId="2" fillId="2" borderId="0" xfId="2" applyNumberFormat="1" applyFont="1" applyFill="1" applyBorder="1"/>
    <xf numFmtId="2" fontId="2" fillId="2" borderId="6" xfId="2" applyNumberFormat="1" applyFont="1" applyFill="1" applyBorder="1"/>
    <xf numFmtId="166" fontId="2" fillId="2" borderId="10" xfId="0" applyNumberFormat="1" applyFont="1" applyFill="1" applyBorder="1"/>
    <xf numFmtId="170" fontId="3" fillId="6" borderId="0" xfId="2" applyNumberFormat="1" applyFont="1" applyFill="1"/>
    <xf numFmtId="2" fontId="3" fillId="6" borderId="0" xfId="0" applyNumberFormat="1" applyFont="1" applyFill="1"/>
    <xf numFmtId="0" fontId="2" fillId="2" borderId="4" xfId="0" applyFont="1" applyFill="1" applyBorder="1" applyAlignment="1">
      <alignment wrapText="1"/>
    </xf>
    <xf numFmtId="14" fontId="2" fillId="2" borderId="5" xfId="0" applyNumberFormat="1" applyFont="1" applyFill="1" applyBorder="1"/>
    <xf numFmtId="14" fontId="2" fillId="2" borderId="7" xfId="0" applyNumberFormat="1" applyFont="1" applyFill="1" applyBorder="1"/>
    <xf numFmtId="2" fontId="13" fillId="2" borderId="0" xfId="2" applyNumberFormat="1" applyFont="1" applyFill="1"/>
    <xf numFmtId="4" fontId="3" fillId="2" borderId="6" xfId="0" applyNumberFormat="1" applyFont="1" applyFill="1" applyBorder="1"/>
    <xf numFmtId="165" fontId="3" fillId="2" borderId="9" xfId="0" applyNumberFormat="1" applyFont="1" applyFill="1" applyBorder="1" applyAlignment="1">
      <alignment horizontal="right"/>
    </xf>
    <xf numFmtId="170" fontId="3" fillId="2" borderId="0" xfId="0" applyNumberFormat="1" applyFont="1" applyFill="1"/>
    <xf numFmtId="167" fontId="2" fillId="2" borderId="6" xfId="1" applyNumberFormat="1" applyFont="1" applyFill="1" applyBorder="1" applyAlignment="1">
      <alignment horizontal="right" wrapText="1"/>
    </xf>
    <xf numFmtId="0" fontId="3" fillId="2" borderId="6" xfId="0" applyFont="1" applyFill="1" applyBorder="1" applyAlignment="1">
      <alignment horizontal="right"/>
    </xf>
    <xf numFmtId="0" fontId="2" fillId="2" borderId="6" xfId="0" applyFont="1" applyFill="1" applyBorder="1" applyAlignment="1">
      <alignment horizontal="right" wrapText="1"/>
    </xf>
    <xf numFmtId="165" fontId="2" fillId="2" borderId="6" xfId="1" applyFont="1" applyFill="1" applyBorder="1" applyAlignment="1">
      <alignment horizontal="right" wrapText="1"/>
    </xf>
    <xf numFmtId="9" fontId="2" fillId="2" borderId="6" xfId="2" applyFont="1" applyFill="1" applyBorder="1" applyAlignment="1">
      <alignment horizontal="right" wrapText="1"/>
    </xf>
    <xf numFmtId="10" fontId="2" fillId="2" borderId="6" xfId="0" applyNumberFormat="1" applyFont="1" applyFill="1" applyBorder="1" applyAlignment="1">
      <alignment horizontal="right" wrapText="1"/>
    </xf>
    <xf numFmtId="0" fontId="2" fillId="2" borderId="9" xfId="0" applyFont="1" applyFill="1" applyBorder="1" applyAlignment="1">
      <alignment horizontal="right" wrapText="1"/>
    </xf>
    <xf numFmtId="0" fontId="2" fillId="2" borderId="6" xfId="0" applyFont="1" applyFill="1" applyBorder="1" applyAlignment="1">
      <alignment horizontal="left" wrapText="1"/>
    </xf>
    <xf numFmtId="0" fontId="2" fillId="2" borderId="9" xfId="0" applyFont="1" applyFill="1" applyBorder="1" applyAlignment="1">
      <alignment horizontal="left" wrapText="1"/>
    </xf>
    <xf numFmtId="172" fontId="2" fillId="2" borderId="7" xfId="0" applyNumberFormat="1" applyFont="1" applyFill="1" applyBorder="1"/>
    <xf numFmtId="167" fontId="2" fillId="2" borderId="8" xfId="1" applyNumberFormat="1" applyFont="1" applyFill="1" applyBorder="1"/>
    <xf numFmtId="171" fontId="2" fillId="2" borderId="9" xfId="0" applyNumberFormat="1" applyFont="1" applyFill="1" applyBorder="1"/>
    <xf numFmtId="0" fontId="3" fillId="2" borderId="11" xfId="0" applyFont="1" applyFill="1" applyBorder="1" applyAlignment="1">
      <alignment horizontal="center" vertical="center" wrapText="1"/>
    </xf>
    <xf numFmtId="165" fontId="17" fillId="2" borderId="11" xfId="0" applyNumberFormat="1" applyFont="1" applyFill="1" applyBorder="1"/>
    <xf numFmtId="170" fontId="12" fillId="2" borderId="11" xfId="0" applyNumberFormat="1" applyFont="1" applyFill="1" applyBorder="1" applyAlignment="1">
      <alignment horizontal="right"/>
    </xf>
    <xf numFmtId="2" fontId="3" fillId="2" borderId="11" xfId="0" applyNumberFormat="1" applyFont="1" applyFill="1" applyBorder="1"/>
    <xf numFmtId="2" fontId="3" fillId="2" borderId="12" xfId="0" applyNumberFormat="1" applyFont="1" applyFill="1" applyBorder="1"/>
    <xf numFmtId="9" fontId="3" fillId="2" borderId="0" xfId="0" applyNumberFormat="1" applyFont="1" applyFill="1"/>
    <xf numFmtId="9" fontId="2" fillId="2" borderId="6" xfId="0" applyNumberFormat="1" applyFont="1" applyFill="1" applyBorder="1" applyAlignment="1">
      <alignment horizontal="right" wrapText="1"/>
    </xf>
    <xf numFmtId="0" fontId="0" fillId="2" borderId="0" xfId="0" applyFill="1"/>
    <xf numFmtId="0" fontId="28" fillId="2" borderId="0" xfId="0" applyFont="1" applyFill="1"/>
    <xf numFmtId="0" fontId="29" fillId="2" borderId="0" xfId="0" applyFont="1" applyFill="1"/>
    <xf numFmtId="0" fontId="29" fillId="2" borderId="0" xfId="0" applyFont="1" applyFill="1" applyAlignment="1">
      <alignment horizontal="center"/>
    </xf>
    <xf numFmtId="3" fontId="28" fillId="2" borderId="0" xfId="0" applyNumberFormat="1" applyFont="1" applyFill="1"/>
    <xf numFmtId="170" fontId="30" fillId="2" borderId="0" xfId="0" applyNumberFormat="1" applyFont="1" applyFill="1"/>
    <xf numFmtId="0" fontId="28" fillId="2" borderId="0" xfId="0" applyFont="1" applyFill="1" applyAlignment="1">
      <alignment horizontal="center"/>
    </xf>
    <xf numFmtId="4" fontId="29" fillId="2" borderId="0" xfId="0" applyNumberFormat="1" applyFont="1" applyFill="1"/>
    <xf numFmtId="4" fontId="28" fillId="2" borderId="0" xfId="0" applyNumberFormat="1" applyFont="1" applyFill="1"/>
    <xf numFmtId="178" fontId="30" fillId="2" borderId="0" xfId="0" applyNumberFormat="1" applyFont="1" applyFill="1"/>
    <xf numFmtId="3" fontId="30" fillId="2" borderId="0" xfId="0" applyNumberFormat="1" applyFont="1" applyFill="1"/>
    <xf numFmtId="170" fontId="29" fillId="2" borderId="0" xfId="0" applyNumberFormat="1" applyFont="1" applyFill="1"/>
    <xf numFmtId="0" fontId="31" fillId="2" borderId="0" xfId="0" applyFont="1" applyFill="1"/>
    <xf numFmtId="0" fontId="32" fillId="2" borderId="0" xfId="0" applyFont="1" applyFill="1"/>
    <xf numFmtId="170" fontId="33" fillId="2" borderId="0" xfId="0" applyNumberFormat="1" applyFont="1" applyFill="1"/>
    <xf numFmtId="4" fontId="33" fillId="2" borderId="0" xfId="0" applyNumberFormat="1" applyFont="1" applyFill="1"/>
    <xf numFmtId="2" fontId="33" fillId="2" borderId="0" xfId="0" applyNumberFormat="1" applyFont="1" applyFill="1"/>
    <xf numFmtId="4" fontId="34" fillId="2" borderId="0" xfId="0" applyNumberFormat="1" applyFont="1" applyFill="1"/>
    <xf numFmtId="0" fontId="3" fillId="5" borderId="0" xfId="0" applyFont="1" applyFill="1" applyAlignment="1">
      <alignment horizont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/>
    </xf>
    <xf numFmtId="0" fontId="3" fillId="2" borderId="2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3" fillId="2" borderId="15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0" fillId="0" borderId="0" xfId="0"/>
    <xf numFmtId="0" fontId="0" fillId="0" borderId="0" xfId="0" applyFill="1" applyBorder="1"/>
    <xf numFmtId="0" fontId="37" fillId="0" borderId="0" xfId="0" applyFont="1" applyAlignment="1">
      <alignment horizontal="left" vertical="top" wrapText="1"/>
    </xf>
    <xf numFmtId="0" fontId="40" fillId="0" borderId="0" xfId="0" applyFont="1" applyAlignment="1">
      <alignment horizontal="left" vertical="center" wrapText="1"/>
    </xf>
    <xf numFmtId="0" fontId="0" fillId="7" borderId="16" xfId="0" applyFill="1" applyBorder="1"/>
    <xf numFmtId="0" fontId="0" fillId="4" borderId="17" xfId="0" applyFill="1" applyBorder="1"/>
    <xf numFmtId="0" fontId="38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0" fontId="0" fillId="0" borderId="18" xfId="0" applyBorder="1"/>
    <xf numFmtId="0" fontId="0" fillId="3" borderId="0" xfId="0" applyFill="1" applyBorder="1"/>
    <xf numFmtId="0" fontId="0" fillId="0" borderId="0" xfId="0" applyBorder="1"/>
    <xf numFmtId="17" fontId="19" fillId="8" borderId="0" xfId="1" applyNumberFormat="1" applyFont="1" applyFill="1" applyBorder="1" applyAlignment="1">
      <alignment horizontal="center"/>
    </xf>
    <xf numFmtId="17" fontId="19" fillId="9" borderId="0" xfId="1" applyNumberFormat="1" applyFont="1" applyFill="1" applyBorder="1" applyAlignment="1">
      <alignment horizontal="center"/>
    </xf>
    <xf numFmtId="1" fontId="19" fillId="8" borderId="0" xfId="1" applyNumberFormat="1" applyFont="1" applyFill="1" applyBorder="1" applyAlignment="1">
      <alignment horizontal="center"/>
    </xf>
    <xf numFmtId="1" fontId="19" fillId="8" borderId="0" xfId="1" applyNumberFormat="1" applyFont="1" applyFill="1" applyBorder="1" applyAlignment="1">
      <alignment horizontal="center" vertical="center"/>
    </xf>
    <xf numFmtId="0" fontId="19" fillId="8" borderId="0" xfId="1" applyNumberFormat="1" applyFont="1" applyFill="1" applyBorder="1" applyAlignment="1">
      <alignment horizontal="center"/>
    </xf>
    <xf numFmtId="0" fontId="19" fillId="9" borderId="0" xfId="1" applyNumberFormat="1" applyFont="1" applyFill="1" applyBorder="1" applyAlignment="1">
      <alignment horizontal="center"/>
    </xf>
    <xf numFmtId="167" fontId="3" fillId="10" borderId="0" xfId="1" applyNumberFormat="1" applyFont="1" applyFill="1" applyBorder="1" applyAlignment="1">
      <alignment horizontal="center" vertical="center"/>
    </xf>
    <xf numFmtId="177" fontId="3" fillId="10" borderId="0" xfId="1" applyNumberFormat="1" applyFont="1" applyFill="1" applyBorder="1" applyAlignment="1">
      <alignment horizontal="left" vertical="center"/>
    </xf>
    <xf numFmtId="165" fontId="3" fillId="10" borderId="0" xfId="1" applyFont="1" applyFill="1" applyBorder="1"/>
    <xf numFmtId="165" fontId="3" fillId="10" borderId="0" xfId="1" applyFont="1" applyFill="1" applyBorder="1" applyAlignment="1">
      <alignment horizontal="center"/>
    </xf>
    <xf numFmtId="0" fontId="3" fillId="10" borderId="0" xfId="0" applyFont="1" applyFill="1"/>
    <xf numFmtId="165" fontId="2" fillId="10" borderId="0" xfId="1" applyFont="1" applyFill="1" applyBorder="1"/>
    <xf numFmtId="167" fontId="3" fillId="10" borderId="0" xfId="1" applyNumberFormat="1" applyFont="1" applyFill="1" applyBorder="1" applyAlignment="1">
      <alignment horizontal="left" vertical="center"/>
    </xf>
    <xf numFmtId="165" fontId="3" fillId="10" borderId="0" xfId="1" applyFont="1" applyFill="1" applyBorder="1" applyAlignment="1">
      <alignment horizontal="left"/>
    </xf>
    <xf numFmtId="0" fontId="3" fillId="10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0" borderId="0" xfId="0" applyFont="1" applyFill="1"/>
    <xf numFmtId="166" fontId="2" fillId="10" borderId="0" xfId="0" applyNumberFormat="1" applyFont="1" applyFill="1"/>
    <xf numFmtId="165" fontId="3" fillId="10" borderId="0" xfId="1" applyFont="1" applyFill="1" applyBorder="1" applyAlignment="1">
      <alignment vertical="center"/>
    </xf>
    <xf numFmtId="17" fontId="3" fillId="10" borderId="0" xfId="1" applyNumberFormat="1" applyFont="1" applyFill="1" applyBorder="1" applyAlignment="1">
      <alignment wrapText="1"/>
    </xf>
    <xf numFmtId="0" fontId="3" fillId="10" borderId="10" xfId="0" applyFont="1" applyFill="1" applyBorder="1" applyAlignment="1">
      <alignment horizontal="center"/>
    </xf>
    <xf numFmtId="9" fontId="3" fillId="10" borderId="1" xfId="0" applyNumberFormat="1" applyFont="1" applyFill="1" applyBorder="1"/>
    <xf numFmtId="0" fontId="3" fillId="10" borderId="0" xfId="0" applyFont="1" applyFill="1" applyAlignment="1">
      <alignment horizontal="center" wrapText="1"/>
    </xf>
    <xf numFmtId="0" fontId="3" fillId="10" borderId="1" xfId="0" applyFont="1" applyFill="1" applyBorder="1"/>
    <xf numFmtId="4" fontId="6" fillId="10" borderId="14" xfId="0" applyNumberFormat="1" applyFont="1" applyFill="1" applyBorder="1" applyAlignment="1">
      <alignment horizontal="right"/>
    </xf>
    <xf numFmtId="4" fontId="6" fillId="10" borderId="1" xfId="0" applyNumberFormat="1" applyFont="1" applyFill="1" applyBorder="1" applyAlignment="1">
      <alignment horizontal="center"/>
    </xf>
    <xf numFmtId="0" fontId="6" fillId="10" borderId="14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10" xfId="0" applyFont="1" applyFill="1" applyBorder="1" applyAlignment="1">
      <alignment horizontal="center"/>
    </xf>
    <xf numFmtId="0" fontId="3" fillId="10" borderId="13" xfId="0" applyFont="1" applyFill="1" applyBorder="1" applyAlignment="1">
      <alignment horizontal="center" wrapText="1"/>
    </xf>
    <xf numFmtId="0" fontId="3" fillId="10" borderId="0" xfId="0" applyFont="1" applyFill="1" applyAlignment="1">
      <alignment horizontal="center"/>
    </xf>
    <xf numFmtId="0" fontId="3" fillId="10" borderId="8" xfId="0" applyFont="1" applyFill="1" applyBorder="1" applyAlignment="1">
      <alignment horizontal="center"/>
    </xf>
    <xf numFmtId="165" fontId="3" fillId="10" borderId="10" xfId="1" applyFont="1" applyFill="1" applyBorder="1" applyAlignment="1">
      <alignment vertical="center"/>
    </xf>
    <xf numFmtId="0" fontId="3" fillId="10" borderId="4" xfId="0" applyFont="1" applyFill="1" applyBorder="1" applyAlignment="1">
      <alignment horizontal="center"/>
    </xf>
    <xf numFmtId="17" fontId="19" fillId="8" borderId="3" xfId="1" applyNumberFormat="1" applyFont="1" applyFill="1" applyBorder="1" applyAlignment="1">
      <alignment horizontal="center"/>
    </xf>
    <xf numFmtId="17" fontId="19" fillId="8" borderId="3" xfId="1" applyNumberFormat="1" applyFont="1" applyFill="1" applyBorder="1" applyAlignment="1">
      <alignment horizontal="center"/>
    </xf>
    <xf numFmtId="17" fontId="19" fillId="9" borderId="3" xfId="1" applyNumberFormat="1" applyFont="1" applyFill="1" applyBorder="1" applyAlignment="1">
      <alignment horizontal="center"/>
    </xf>
    <xf numFmtId="17" fontId="19" fillId="9" borderId="3" xfId="1" applyNumberFormat="1" applyFont="1" applyFill="1" applyBorder="1" applyAlignment="1">
      <alignment horizontal="center"/>
    </xf>
    <xf numFmtId="17" fontId="19" fillId="9" borderId="4" xfId="1" applyNumberFormat="1" applyFont="1" applyFill="1" applyBorder="1" applyAlignment="1">
      <alignment horizontal="center"/>
    </xf>
    <xf numFmtId="17" fontId="19" fillId="8" borderId="0" xfId="1" applyNumberFormat="1" applyFont="1" applyFill="1" applyBorder="1" applyAlignment="1">
      <alignment horizontal="center"/>
    </xf>
    <xf numFmtId="17" fontId="19" fillId="9" borderId="0" xfId="1" applyNumberFormat="1" applyFont="1" applyFill="1" applyBorder="1" applyAlignment="1">
      <alignment horizontal="center"/>
    </xf>
    <xf numFmtId="17" fontId="19" fillId="9" borderId="6" xfId="1" applyNumberFormat="1" applyFont="1" applyFill="1" applyBorder="1" applyAlignment="1">
      <alignment horizontal="center"/>
    </xf>
    <xf numFmtId="0" fontId="29" fillId="10" borderId="0" xfId="0" applyFont="1" applyFill="1"/>
    <xf numFmtId="0" fontId="28" fillId="10" borderId="0" xfId="0" applyFont="1" applyFill="1"/>
    <xf numFmtId="3" fontId="29" fillId="10" borderId="0" xfId="0" applyNumberFormat="1" applyFont="1" applyFill="1" applyAlignment="1">
      <alignment horizontal="center"/>
    </xf>
    <xf numFmtId="170" fontId="28" fillId="10" borderId="0" xfId="0" applyNumberFormat="1" applyFont="1" applyFill="1"/>
    <xf numFmtId="178" fontId="28" fillId="10" borderId="0" xfId="0" applyNumberFormat="1" applyFont="1" applyFill="1"/>
    <xf numFmtId="4" fontId="28" fillId="10" borderId="0" xfId="0" applyNumberFormat="1" applyFont="1" applyFill="1"/>
    <xf numFmtId="0" fontId="3" fillId="10" borderId="10" xfId="0" applyFont="1" applyFill="1" applyBorder="1" applyAlignment="1">
      <alignment horizontal="center" vertical="center" wrapText="1"/>
    </xf>
    <xf numFmtId="0" fontId="3" fillId="10" borderId="13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12" xfId="0" applyFont="1" applyFill="1" applyBorder="1" applyAlignment="1">
      <alignment horizontal="center" vertical="center" wrapText="1"/>
    </xf>
    <xf numFmtId="0" fontId="3" fillId="10" borderId="13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" fillId="10" borderId="15" xfId="0" applyFont="1" applyFill="1" applyBorder="1" applyAlignment="1">
      <alignment horizontal="center"/>
    </xf>
    <xf numFmtId="0" fontId="3" fillId="10" borderId="14" xfId="0" applyFont="1" applyFill="1" applyBorder="1" applyAlignment="1">
      <alignment horizontal="center"/>
    </xf>
    <xf numFmtId="0" fontId="3" fillId="10" borderId="13" xfId="0" applyFont="1" applyFill="1" applyBorder="1" applyAlignment="1">
      <alignment horizontal="center"/>
    </xf>
    <xf numFmtId="49" fontId="3" fillId="10" borderId="15" xfId="0" applyNumberFormat="1" applyFont="1" applyFill="1" applyBorder="1" applyAlignment="1">
      <alignment horizontal="center" wrapText="1"/>
    </xf>
    <xf numFmtId="49" fontId="3" fillId="10" borderId="14" xfId="0" applyNumberFormat="1" applyFont="1" applyFill="1" applyBorder="1" applyAlignment="1">
      <alignment horizontal="center" wrapText="1"/>
    </xf>
    <xf numFmtId="49" fontId="3" fillId="10" borderId="7" xfId="0" applyNumberFormat="1" applyFont="1" applyFill="1" applyBorder="1" applyAlignment="1">
      <alignment horizontal="center" wrapText="1"/>
    </xf>
    <xf numFmtId="49" fontId="3" fillId="10" borderId="8" xfId="0" applyNumberFormat="1" applyFont="1" applyFill="1" applyBorder="1" applyAlignment="1">
      <alignment horizontal="center" wrapText="1"/>
    </xf>
    <xf numFmtId="49" fontId="3" fillId="10" borderId="9" xfId="0" applyNumberFormat="1" applyFont="1" applyFill="1" applyBorder="1" applyAlignment="1">
      <alignment horizontal="center" wrapText="1"/>
    </xf>
    <xf numFmtId="0" fontId="42" fillId="0" borderId="0" xfId="0" applyFont="1" applyFill="1" applyBorder="1"/>
    <xf numFmtId="0" fontId="38" fillId="0" borderId="0" xfId="0" applyFont="1" applyAlignment="1">
      <alignment vertical="top" wrapText="1"/>
    </xf>
    <xf numFmtId="49" fontId="38" fillId="0" borderId="0" xfId="0" applyNumberFormat="1" applyFont="1" applyAlignment="1">
      <alignment horizontal="left" vertical="center"/>
    </xf>
    <xf numFmtId="0" fontId="41" fillId="8" borderId="0" xfId="0" applyFont="1" applyFill="1" applyAlignment="1">
      <alignment horizontal="center" vertical="center" wrapText="1"/>
    </xf>
    <xf numFmtId="0" fontId="0" fillId="8" borderId="0" xfId="0" applyFill="1"/>
    <xf numFmtId="0" fontId="36" fillId="11" borderId="0" xfId="0" applyFont="1" applyFill="1" applyBorder="1" applyAlignment="1">
      <alignment horizontal="center" vertical="center"/>
    </xf>
    <xf numFmtId="0" fontId="0" fillId="11" borderId="0" xfId="0" applyFill="1" applyBorder="1"/>
    <xf numFmtId="0" fontId="0" fillId="11" borderId="19" xfId="0" applyFill="1" applyBorder="1"/>
    <xf numFmtId="0" fontId="43" fillId="0" borderId="18" xfId="0" applyFont="1" applyBorder="1" applyAlignment="1">
      <alignment horizontal="left" vertical="center"/>
    </xf>
    <xf numFmtId="0" fontId="43" fillId="0" borderId="18" xfId="0" applyFont="1" applyBorder="1" applyAlignment="1">
      <alignment vertical="center"/>
    </xf>
    <xf numFmtId="0" fontId="43" fillId="0" borderId="0" xfId="0" applyFont="1" applyBorder="1" applyAlignment="1">
      <alignment horizontal="left" vertical="center"/>
    </xf>
    <xf numFmtId="0" fontId="44" fillId="12" borderId="20" xfId="3" applyFont="1" applyFill="1" applyBorder="1" applyAlignment="1">
      <alignment horizontal="left" vertical="center" indent="1"/>
    </xf>
    <xf numFmtId="0" fontId="44" fillId="12" borderId="0" xfId="3" applyFont="1" applyFill="1" applyBorder="1" applyAlignment="1">
      <alignment horizontal="left" vertical="center" indent="1"/>
    </xf>
    <xf numFmtId="0" fontId="0" fillId="0" borderId="21" xfId="0" applyBorder="1"/>
    <xf numFmtId="0" fontId="0" fillId="0" borderId="22" xfId="0" applyBorder="1"/>
    <xf numFmtId="0" fontId="45" fillId="0" borderId="0" xfId="0" applyFont="1" applyAlignment="1">
      <alignment vertical="center"/>
    </xf>
    <xf numFmtId="0" fontId="45" fillId="0" borderId="0" xfId="0" applyFont="1" applyAlignment="1">
      <alignment vertical="top"/>
    </xf>
    <xf numFmtId="0" fontId="45" fillId="0" borderId="0" xfId="0" applyFont="1" applyFill="1" applyBorder="1" applyAlignment="1">
      <alignment vertical="center"/>
    </xf>
    <xf numFmtId="0" fontId="46" fillId="0" borderId="0" xfId="3" applyFont="1" applyAlignment="1">
      <alignment vertical="center"/>
    </xf>
    <xf numFmtId="0" fontId="35" fillId="13" borderId="0" xfId="0" applyFont="1" applyFill="1" applyAlignment="1">
      <alignment horizontal="center" vertical="center"/>
    </xf>
    <xf numFmtId="0" fontId="0" fillId="13" borderId="0" xfId="0" applyFill="1"/>
    <xf numFmtId="0" fontId="0" fillId="13" borderId="23" xfId="0" applyFill="1" applyBorder="1"/>
  </cellXfs>
  <cellStyles count="4">
    <cellStyle name="Comma" xfId="1" builtinId="3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C00000"/>
      <color rgb="FFBF8F00"/>
      <color rgb="FF1F4E79"/>
      <color rgb="FF375623"/>
      <color rgb="FFC55A11"/>
      <color rgb="FFFF9900"/>
      <color rgb="FF595959"/>
      <color rgb="FFA02B93"/>
      <color rgb="FF00FF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> Revenue</a:t>
            </a:r>
            <a:endParaRPr lang="en-US" sz="15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'Graphical Representation'!$B$157</c:f>
              <c:strCache>
                <c:ptCount val="1"/>
                <c:pt idx="0">
                  <c:v> Revenue from operations 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dPt>
            <c:idx val="6"/>
            <c:invertIfNegative val="0"/>
            <c:bubble3D val="0"/>
            <c:spPr>
              <a:solidFill>
                <a:srgbClr val="BF8F00"/>
              </a:solidFill>
              <a:ln>
                <a:solidFill>
                  <a:srgbClr val="BF8F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7413-4AC9-8392-B08FD031A987}"/>
              </c:ext>
            </c:extLst>
          </c:dPt>
          <c:dLbls>
            <c:delete val="1"/>
          </c:dLbls>
          <c:cat>
            <c:strRef>
              <c:f>'Graphical Representation'!$C$155:$W$156</c:f>
              <c:strCache>
                <c:ptCount val="7"/>
                <c:pt idx="0">
                  <c:v>FY21</c:v>
                </c:pt>
                <c:pt idx="1">
                  <c:v>FY22</c:v>
                </c:pt>
                <c:pt idx="2">
                  <c:v>FY23</c:v>
                </c:pt>
                <c:pt idx="3">
                  <c:v>FY24</c:v>
                </c:pt>
                <c:pt idx="4">
                  <c:v>FY25</c:v>
                </c:pt>
                <c:pt idx="5">
                  <c:v>FY26 </c:v>
                </c:pt>
                <c:pt idx="6">
                  <c:v>FY27 E</c:v>
                </c:pt>
              </c:strCache>
            </c:strRef>
          </c:cat>
          <c:val>
            <c:numRef>
              <c:f>'Graphical Representation'!$C$157:$W$157</c:f>
              <c:numCache>
                <c:formatCode>_(* #,##0.00_);_(* \(#,##0.00\);_(* "-"??_);_(@_)</c:formatCode>
                <c:ptCount val="7"/>
                <c:pt idx="0">
                  <c:v>279.12959999999998</c:v>
                </c:pt>
                <c:pt idx="1">
                  <c:v>288.24160000000001</c:v>
                </c:pt>
                <c:pt idx="2">
                  <c:v>411.3381</c:v>
                </c:pt>
                <c:pt idx="3">
                  <c:v>550.3845</c:v>
                </c:pt>
                <c:pt idx="4">
                  <c:v>732.78600000000006</c:v>
                </c:pt>
                <c:pt idx="5">
                  <c:v>822.28769999999997</c:v>
                </c:pt>
                <c:pt idx="6">
                  <c:v>896.0407503328895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E0-402F-8D71-4C89FC0D978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75144992"/>
        <c:axId val="1075139232"/>
      </c:barChart>
      <c:lineChart>
        <c:grouping val="standard"/>
        <c:varyColors val="0"/>
        <c:ser>
          <c:idx val="1"/>
          <c:order val="1"/>
          <c:tx>
            <c:strRef>
              <c:f>'Graphical Representation'!$B$158</c:f>
              <c:strCache>
                <c:ptCount val="1"/>
                <c:pt idx="0">
                  <c:v> Growth %</c:v>
                </c:pt>
              </c:strCache>
            </c:strRef>
          </c:tx>
          <c:spPr>
            <a:ln w="28575" cap="rnd">
              <a:solidFill>
                <a:srgbClr val="C55A11"/>
              </a:solidFill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5.2047948940105268E-2"/>
                  <c:y val="-5.09366955684710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754-4B0C-B31D-668FEB815CA1}"/>
                </c:ext>
              </c:extLst>
            </c:dLbl>
            <c:dLbl>
              <c:idx val="3"/>
              <c:layout>
                <c:manualLayout>
                  <c:x val="-3.3121422052794204E-2"/>
                  <c:y val="-6.01979129445566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54-4B0C-B31D-668FEB815CA1}"/>
                </c:ext>
              </c:extLst>
            </c:dLbl>
            <c:dLbl>
              <c:idx val="4"/>
              <c:layout>
                <c:manualLayout>
                  <c:x val="-4.4950501357363649E-2"/>
                  <c:y val="-5.55673042565138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754-4B0C-B31D-668FEB815CA1}"/>
                </c:ext>
              </c:extLst>
            </c:dLbl>
            <c:dLbl>
              <c:idx val="5"/>
              <c:layout>
                <c:manualLayout>
                  <c:x val="-2.3658158609140452E-3"/>
                  <c:y val="-3.24142608162998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54-4B0C-B31D-668FEB815CA1}"/>
                </c:ext>
              </c:extLst>
            </c:dLbl>
            <c:dLbl>
              <c:idx val="6"/>
              <c:layout>
                <c:manualLayout>
                  <c:x val="4.73163172182757E-3"/>
                  <c:y val="-8.489351191702446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54-4B0C-B31D-668FEB815CA1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'Graphical Representation'!$C$155:$W$156</c:f>
              <c:strCache>
                <c:ptCount val="7"/>
                <c:pt idx="0">
                  <c:v>FY21</c:v>
                </c:pt>
                <c:pt idx="1">
                  <c:v>FY22</c:v>
                </c:pt>
                <c:pt idx="2">
                  <c:v>FY23</c:v>
                </c:pt>
                <c:pt idx="3">
                  <c:v>FY24</c:v>
                </c:pt>
                <c:pt idx="4">
                  <c:v>FY25</c:v>
                </c:pt>
                <c:pt idx="5">
                  <c:v>FY26 </c:v>
                </c:pt>
                <c:pt idx="6">
                  <c:v>FY27 E</c:v>
                </c:pt>
              </c:strCache>
            </c:strRef>
          </c:cat>
          <c:val>
            <c:numRef>
              <c:f>'Graphical Representation'!$C$158:$W$158</c:f>
              <c:numCache>
                <c:formatCode>0.0%</c:formatCode>
                <c:ptCount val="7"/>
                <c:pt idx="1">
                  <c:v>3.2644334388040624E-2</c:v>
                </c:pt>
                <c:pt idx="2">
                  <c:v>0.4270601467657687</c:v>
                </c:pt>
                <c:pt idx="3">
                  <c:v>0.33803433234120545</c:v>
                </c:pt>
                <c:pt idx="4">
                  <c:v>0.33140740700364935</c:v>
                </c:pt>
                <c:pt idx="5">
                  <c:v>0.1221389327852878</c:v>
                </c:pt>
                <c:pt idx="6">
                  <c:v>8.9692513134866952E-2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5E0-402F-8D71-4C89FC0D978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75141152"/>
        <c:axId val="1075142112"/>
      </c:lineChart>
      <c:catAx>
        <c:axId val="1075144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5139232"/>
        <c:crosses val="autoZero"/>
        <c:auto val="1"/>
        <c:lblAlgn val="ctr"/>
        <c:lblOffset val="100"/>
        <c:noMultiLvlLbl val="0"/>
      </c:catAx>
      <c:valAx>
        <c:axId val="1075139232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5144992"/>
        <c:crosses val="autoZero"/>
        <c:crossBetween val="between"/>
      </c:valAx>
      <c:valAx>
        <c:axId val="107514211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5141152"/>
        <c:crosses val="max"/>
        <c:crossBetween val="between"/>
      </c:valAx>
      <c:catAx>
        <c:axId val="107514115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75142112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> &amp; Profitability Trend</a:t>
            </a:r>
            <a:endParaRPr lang="en-US" sz="15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Revenue (Cr)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dPt>
            <c:idx val="5"/>
            <c:invertIfNegative val="0"/>
            <c:bubble3D val="0"/>
            <c:spPr>
              <a:solidFill>
                <a:srgbClr val="BF8F00"/>
              </a:solidFill>
              <a:ln>
                <a:solidFill>
                  <a:srgbClr val="BF8F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38EB-4254-B4EE-12938557D93E}"/>
              </c:ext>
            </c:extLst>
          </c:dPt>
          <c:dLbls>
            <c:dLbl>
              <c:idx val="0"/>
              <c:layout>
                <c:manualLayout>
                  <c:x val="0"/>
                  <c:y val="0.1256598589745657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BF9-4703-BADC-699F25B604D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Representation'!$H$155:$W$156</c:f>
              <c:strCache>
                <c:ptCount val="6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 </c:v>
                </c:pt>
                <c:pt idx="5">
                  <c:v>FY27 E</c:v>
                </c:pt>
              </c:strCache>
            </c:strRef>
          </c:cat>
          <c:val>
            <c:numRef>
              <c:f>'Graphical Representation'!$H$157:$W$157</c:f>
              <c:numCache>
                <c:formatCode>_(* #,##0.00_);_(* \(#,##0.00\);_(* "-"??_);_(@_)</c:formatCode>
                <c:ptCount val="6"/>
                <c:pt idx="0">
                  <c:v>288.24160000000001</c:v>
                </c:pt>
                <c:pt idx="1">
                  <c:v>411.3381</c:v>
                </c:pt>
                <c:pt idx="2">
                  <c:v>550.3845</c:v>
                </c:pt>
                <c:pt idx="3">
                  <c:v>732.78600000000006</c:v>
                </c:pt>
                <c:pt idx="4">
                  <c:v>822.28769999999997</c:v>
                </c:pt>
                <c:pt idx="5">
                  <c:v>896.0407503328895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F9-4703-BADC-699F25B604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281743520"/>
        <c:axId val="12817411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PAT (Cr)</c:v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'Graphical Representation'!$H$155:$W$156</c15:sqref>
                        </c15:formulaRef>
                      </c:ext>
                    </c:extLst>
                    <c:strCache>
                      <c:ptCount val="6"/>
                      <c:pt idx="0">
                        <c:v>FY22</c:v>
                      </c:pt>
                      <c:pt idx="1">
                        <c:v>FY23</c:v>
                      </c:pt>
                      <c:pt idx="2">
                        <c:v>FY24</c:v>
                      </c:pt>
                      <c:pt idx="3">
                        <c:v>FY25</c:v>
                      </c:pt>
                      <c:pt idx="4">
                        <c:v>FY26 </c:v>
                      </c:pt>
                      <c:pt idx="5">
                        <c:v>FY27 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'Graphical Representation'!$H$183:$W$183</c15:sqref>
                        </c15:formulaRef>
                      </c:ext>
                    </c:extLst>
                    <c:numCache>
                      <c:formatCode>0.00</c:formatCode>
                      <c:ptCount val="6"/>
                      <c:pt idx="0">
                        <c:v>62.054400000000015</c:v>
                      </c:pt>
                      <c:pt idx="1">
                        <c:v>51.43</c:v>
                      </c:pt>
                      <c:pt idx="2">
                        <c:v>103.47499999999995</c:v>
                      </c:pt>
                      <c:pt idx="3">
                        <c:v>118.30270000000009</c:v>
                      </c:pt>
                      <c:pt idx="4">
                        <c:v>110.39239999999999</c:v>
                      </c:pt>
                      <c:pt idx="5">
                        <c:v>115.83163351268308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BF9-4703-BADC-699F25B604DF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EBITDA Margin (%)</c:v>
          </c:tx>
          <c:spPr>
            <a:ln w="28575" cap="rnd">
              <a:solidFill>
                <a:srgbClr val="C55A1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5.100075841397779E-2"/>
                  <c:y val="-4.66766243465272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CBF-4BAA-A1F3-446998EDE6C9}"/>
                </c:ext>
              </c:extLst>
            </c:dLbl>
            <c:dLbl>
              <c:idx val="1"/>
              <c:layout>
                <c:manualLayout>
                  <c:x val="-4.8572150870455057E-2"/>
                  <c:y val="-5.60119492158327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CBF-4BAA-A1F3-446998EDE6C9}"/>
                </c:ext>
              </c:extLst>
            </c:dLbl>
            <c:dLbl>
              <c:idx val="2"/>
              <c:layout>
                <c:manualLayout>
                  <c:x val="-4.1432664541674394E-2"/>
                  <c:y val="-5.1344309571312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CBF-4BAA-A1F3-446998EDE6C9}"/>
                </c:ext>
              </c:extLst>
            </c:dLbl>
            <c:dLbl>
              <c:idx val="3"/>
              <c:layout>
                <c:manualLayout>
                  <c:x val="-3.8857751068586278E-2"/>
                  <c:y val="-4.22787412422683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CBF-4BAA-A1F3-446998EDE6C9}"/>
                </c:ext>
              </c:extLst>
            </c:dLbl>
            <c:dLbl>
              <c:idx val="4"/>
              <c:layout>
                <c:manualLayout>
                  <c:x val="1.2045558035337921E-2"/>
                  <c:y val="-3.74761315007084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CBF-4BAA-A1F3-446998EDE6C9}"/>
                </c:ext>
              </c:extLst>
            </c:dLbl>
            <c:dLbl>
              <c:idx val="5"/>
              <c:layout>
                <c:manualLayout>
                  <c:x val="1.4571645261136504E-2"/>
                  <c:y val="-2.80059746079163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CBF-4BAA-A1F3-446998EDE6C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Representation'!$H$155:$W$156</c:f>
              <c:strCache>
                <c:ptCount val="6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 </c:v>
                </c:pt>
                <c:pt idx="5">
                  <c:v>FY27 E</c:v>
                </c:pt>
              </c:strCache>
            </c:strRef>
          </c:cat>
          <c:val>
            <c:numRef>
              <c:f>'Graphical Representation'!$H$178:$W$178</c:f>
              <c:numCache>
                <c:formatCode>0.0%</c:formatCode>
                <c:ptCount val="6"/>
                <c:pt idx="0">
                  <c:v>0.24277619885540469</c:v>
                </c:pt>
                <c:pt idx="1">
                  <c:v>0.20106306709735858</c:v>
                </c:pt>
                <c:pt idx="2">
                  <c:v>0.23029463947476711</c:v>
                </c:pt>
                <c:pt idx="3">
                  <c:v>0.22547373994590517</c:v>
                </c:pt>
                <c:pt idx="4">
                  <c:v>0.21180202500900838</c:v>
                </c:pt>
                <c:pt idx="5">
                  <c:v>0.21199999999999997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F9-4703-BADC-699F25B604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81744000"/>
        <c:axId val="1281743040"/>
      </c:lineChart>
      <c:catAx>
        <c:axId val="1281743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1741120"/>
        <c:crosses val="autoZero"/>
        <c:auto val="1"/>
        <c:lblAlgn val="ctr"/>
        <c:lblOffset val="100"/>
        <c:noMultiLvlLbl val="0"/>
      </c:catAx>
      <c:valAx>
        <c:axId val="1281741120"/>
        <c:scaling>
          <c:orientation val="minMax"/>
          <c:min val="1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1743520"/>
        <c:crosses val="autoZero"/>
        <c:crossBetween val="between"/>
        <c:majorUnit val="200"/>
      </c:valAx>
      <c:valAx>
        <c:axId val="128174304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1744000"/>
        <c:crosses val="max"/>
        <c:crossBetween val="between"/>
      </c:valAx>
      <c:catAx>
        <c:axId val="128174400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17430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u="none" strike="noStrike" kern="1200" spc="0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'Graphical Representation'!$B$161</c:f>
              <c:strCache>
                <c:ptCount val="1"/>
                <c:pt idx="0">
                  <c:v>Heat Exchangers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'Graphical Representation'!$K$155:$Z$156</c:f>
              <c:strCache>
                <c:ptCount val="6"/>
                <c:pt idx="0">
                  <c:v>FY23</c:v>
                </c:pt>
                <c:pt idx="1">
                  <c:v>FY24</c:v>
                </c:pt>
                <c:pt idx="2">
                  <c:v>FY25</c:v>
                </c:pt>
                <c:pt idx="3">
                  <c:v>FY26 </c:v>
                </c:pt>
                <c:pt idx="4">
                  <c:v>FY27 E</c:v>
                </c:pt>
                <c:pt idx="5">
                  <c:v>FY28 E</c:v>
                </c:pt>
              </c:strCache>
            </c:strRef>
          </c:cat>
          <c:val>
            <c:numRef>
              <c:f>'Graphical Representation'!$K$161:$Z$161</c:f>
              <c:numCache>
                <c:formatCode>0.00</c:formatCode>
                <c:ptCount val="6"/>
                <c:pt idx="0">
                  <c:v>305.8</c:v>
                </c:pt>
                <c:pt idx="1">
                  <c:v>387.6</c:v>
                </c:pt>
                <c:pt idx="2">
                  <c:v>467.6</c:v>
                </c:pt>
                <c:pt idx="3">
                  <c:v>443.2</c:v>
                </c:pt>
                <c:pt idx="4">
                  <c:v>496.55745000000002</c:v>
                </c:pt>
                <c:pt idx="5">
                  <c:v>500.70567250000011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5E-40D2-BBEA-3633E913D594}"/>
            </c:ext>
          </c:extLst>
        </c:ser>
        <c:ser>
          <c:idx val="1"/>
          <c:order val="1"/>
          <c:tx>
            <c:strRef>
              <c:f>'Graphical Representation'!$B$163</c:f>
              <c:strCache>
                <c:ptCount val="1"/>
                <c:pt idx="0">
                  <c:v>Vessels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'Graphical Representation'!$K$155:$Z$156</c:f>
              <c:strCache>
                <c:ptCount val="6"/>
                <c:pt idx="0">
                  <c:v>FY23</c:v>
                </c:pt>
                <c:pt idx="1">
                  <c:v>FY24</c:v>
                </c:pt>
                <c:pt idx="2">
                  <c:v>FY25</c:v>
                </c:pt>
                <c:pt idx="3">
                  <c:v>FY26 </c:v>
                </c:pt>
                <c:pt idx="4">
                  <c:v>FY27 E</c:v>
                </c:pt>
                <c:pt idx="5">
                  <c:v>FY28 E</c:v>
                </c:pt>
              </c:strCache>
            </c:strRef>
          </c:cat>
          <c:val>
            <c:numRef>
              <c:f>'Graphical Representation'!$K$163:$Z$163</c:f>
              <c:numCache>
                <c:formatCode>0.00</c:formatCode>
                <c:ptCount val="6"/>
                <c:pt idx="0">
                  <c:v>44.5</c:v>
                </c:pt>
                <c:pt idx="1">
                  <c:v>71.5</c:v>
                </c:pt>
                <c:pt idx="2">
                  <c:v>130.5</c:v>
                </c:pt>
                <c:pt idx="3">
                  <c:v>267.10000000000002</c:v>
                </c:pt>
                <c:pt idx="4">
                  <c:v>268.73395639147805</c:v>
                </c:pt>
                <c:pt idx="5">
                  <c:v>404.67530816688867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5E-40D2-BBEA-3633E913D594}"/>
            </c:ext>
          </c:extLst>
        </c:ser>
        <c:ser>
          <c:idx val="2"/>
          <c:order val="2"/>
          <c:tx>
            <c:strRef>
              <c:f>'Graphical Representation'!$B$165</c:f>
              <c:strCache>
                <c:ptCount val="1"/>
                <c:pt idx="0">
                  <c:v>Towers &amp; Reactors</c:v>
                </c:pt>
              </c:strCache>
            </c:strRef>
          </c:tx>
          <c:spPr>
            <a:solidFill>
              <a:srgbClr val="375623"/>
            </a:solidFill>
            <a:ln>
              <a:noFill/>
            </a:ln>
            <a:effectLst/>
          </c:spPr>
          <c:invertIfNegative val="0"/>
          <c:cat>
            <c:strRef>
              <c:f>'Graphical Representation'!$K$155:$Z$156</c:f>
              <c:strCache>
                <c:ptCount val="6"/>
                <c:pt idx="0">
                  <c:v>FY23</c:v>
                </c:pt>
                <c:pt idx="1">
                  <c:v>FY24</c:v>
                </c:pt>
                <c:pt idx="2">
                  <c:v>FY25</c:v>
                </c:pt>
                <c:pt idx="3">
                  <c:v>FY26 </c:v>
                </c:pt>
                <c:pt idx="4">
                  <c:v>FY27 E</c:v>
                </c:pt>
                <c:pt idx="5">
                  <c:v>FY28 E</c:v>
                </c:pt>
              </c:strCache>
            </c:strRef>
          </c:cat>
          <c:val>
            <c:numRef>
              <c:f>'Graphical Representation'!$K$165:$Z$165</c:f>
              <c:numCache>
                <c:formatCode>0.00</c:formatCode>
                <c:ptCount val="6"/>
                <c:pt idx="0">
                  <c:v>30.6</c:v>
                </c:pt>
                <c:pt idx="1">
                  <c:v>49.7</c:v>
                </c:pt>
                <c:pt idx="2">
                  <c:v>94.9</c:v>
                </c:pt>
                <c:pt idx="3">
                  <c:v>49.9</c:v>
                </c:pt>
                <c:pt idx="4">
                  <c:v>56.257843941411465</c:v>
                </c:pt>
                <c:pt idx="5">
                  <c:v>40.174541102529957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5E-40D2-BBEA-3633E913D594}"/>
            </c:ext>
          </c:extLst>
        </c:ser>
        <c:ser>
          <c:idx val="3"/>
          <c:order val="3"/>
          <c:tx>
            <c:strRef>
              <c:f>'Graphical Representation'!$B$167</c:f>
              <c:strCache>
                <c:ptCount val="1"/>
                <c:pt idx="0">
                  <c:v>Tank &amp; Silos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invertIfNegative val="0"/>
          <c:cat>
            <c:strRef>
              <c:f>'Graphical Representation'!$K$155:$Z$156</c:f>
              <c:strCache>
                <c:ptCount val="6"/>
                <c:pt idx="0">
                  <c:v>FY23</c:v>
                </c:pt>
                <c:pt idx="1">
                  <c:v>FY24</c:v>
                </c:pt>
                <c:pt idx="2">
                  <c:v>FY25</c:v>
                </c:pt>
                <c:pt idx="3">
                  <c:v>FY26 </c:v>
                </c:pt>
                <c:pt idx="4">
                  <c:v>FY27 E</c:v>
                </c:pt>
                <c:pt idx="5">
                  <c:v>FY28 E</c:v>
                </c:pt>
              </c:strCache>
            </c:strRef>
          </c:cat>
          <c:val>
            <c:numRef>
              <c:f>'Graphical Representation'!$K$167:$Z$167</c:f>
              <c:numCache>
                <c:formatCode>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26.3</c:v>
                </c:pt>
                <c:pt idx="4">
                  <c:v>35.574299999999994</c:v>
                </c:pt>
                <c:pt idx="5">
                  <c:v>80.545982000000009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5E-40D2-BBEA-3633E913D594}"/>
            </c:ext>
          </c:extLst>
        </c:ser>
        <c:ser>
          <c:idx val="4"/>
          <c:order val="4"/>
          <c:tx>
            <c:strRef>
              <c:f>'Graphical Representation'!$B$169</c:f>
              <c:strCache>
                <c:ptCount val="1"/>
                <c:pt idx="0">
                  <c:v>Centrifuge &amp; Others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'Graphical Representation'!$K$155:$Z$156</c:f>
              <c:strCache>
                <c:ptCount val="6"/>
                <c:pt idx="0">
                  <c:v>FY23</c:v>
                </c:pt>
                <c:pt idx="1">
                  <c:v>FY24</c:v>
                </c:pt>
                <c:pt idx="2">
                  <c:v>FY25</c:v>
                </c:pt>
                <c:pt idx="3">
                  <c:v>FY26 </c:v>
                </c:pt>
                <c:pt idx="4">
                  <c:v>FY27 E</c:v>
                </c:pt>
                <c:pt idx="5">
                  <c:v>FY28 E</c:v>
                </c:pt>
              </c:strCache>
            </c:strRef>
          </c:cat>
          <c:val>
            <c:numRef>
              <c:f>'Graphical Representation'!$K$169:$Z$169</c:f>
              <c:numCache>
                <c:formatCode>0.00</c:formatCode>
                <c:ptCount val="6"/>
                <c:pt idx="0">
                  <c:v>30.3</c:v>
                </c:pt>
                <c:pt idx="1">
                  <c:v>41.7</c:v>
                </c:pt>
                <c:pt idx="2">
                  <c:v>15.3</c:v>
                </c:pt>
                <c:pt idx="3">
                  <c:v>35.799999999999997</c:v>
                </c:pt>
                <c:pt idx="4">
                  <c:v>38.917200000000001</c:v>
                </c:pt>
                <c:pt idx="5">
                  <c:v>53.778766666666669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D5E-40D2-BBEA-3633E913D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2730751"/>
        <c:axId val="1302731231"/>
      </c:barChart>
      <c:catAx>
        <c:axId val="1302730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2731231"/>
        <c:crosses val="autoZero"/>
        <c:auto val="1"/>
        <c:lblAlgn val="ctr"/>
        <c:lblOffset val="100"/>
        <c:noMultiLvlLbl val="0"/>
      </c:catAx>
      <c:valAx>
        <c:axId val="130273123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2730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Order Book (Cr)</c:v>
          </c:tx>
          <c:spPr>
            <a:solidFill>
              <a:srgbClr val="1F4E79"/>
            </a:solidFill>
            <a:ln>
              <a:solidFill>
                <a:schemeClr val="accent3"/>
              </a:solidFill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Representation'!$K$155:$Z$156</c:f>
              <c:strCache>
                <c:ptCount val="6"/>
                <c:pt idx="0">
                  <c:v>FY23</c:v>
                </c:pt>
                <c:pt idx="1">
                  <c:v>FY24</c:v>
                </c:pt>
                <c:pt idx="2">
                  <c:v>FY25</c:v>
                </c:pt>
                <c:pt idx="3">
                  <c:v>FY26 </c:v>
                </c:pt>
                <c:pt idx="4">
                  <c:v>FY27 E</c:v>
                </c:pt>
                <c:pt idx="5">
                  <c:v>FY28 E</c:v>
                </c:pt>
              </c:strCache>
            </c:strRef>
          </c:cat>
          <c:val>
            <c:numRef>
              <c:f>'Graphical Representation'!$K$172:$Z$172</c:f>
              <c:numCache>
                <c:formatCode>0.00</c:formatCode>
                <c:ptCount val="6"/>
                <c:pt idx="0">
                  <c:v>530</c:v>
                </c:pt>
                <c:pt idx="1">
                  <c:v>854.1</c:v>
                </c:pt>
                <c:pt idx="2">
                  <c:v>741.30000000000007</c:v>
                </c:pt>
                <c:pt idx="3">
                  <c:v>768.90000000000009</c:v>
                </c:pt>
                <c:pt idx="4">
                  <c:v>792.76212494451852</c:v>
                </c:pt>
                <c:pt idx="5">
                  <c:v>691.47746838326668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B8-43DC-9884-26DE68D10663}"/>
            </c:ext>
          </c:extLst>
        </c:ser>
        <c:ser>
          <c:idx val="1"/>
          <c:order val="1"/>
          <c:tx>
            <c:v>Order Inflow (Cr)</c:v>
          </c:tx>
          <c:spPr>
            <a:solidFill>
              <a:srgbClr val="BF8F00"/>
            </a:solidFill>
            <a:ln>
              <a:solidFill>
                <a:srgbClr val="BF8F00"/>
              </a:solidFill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Representation'!$K$155:$Z$156</c:f>
              <c:strCache>
                <c:ptCount val="6"/>
                <c:pt idx="0">
                  <c:v>FY23</c:v>
                </c:pt>
                <c:pt idx="1">
                  <c:v>FY24</c:v>
                </c:pt>
                <c:pt idx="2">
                  <c:v>FY25</c:v>
                </c:pt>
                <c:pt idx="3">
                  <c:v>FY26 </c:v>
                </c:pt>
                <c:pt idx="4">
                  <c:v>FY27 E</c:v>
                </c:pt>
                <c:pt idx="5">
                  <c:v>FY28 E</c:v>
                </c:pt>
              </c:strCache>
            </c:strRef>
          </c:cat>
          <c:val>
            <c:numRef>
              <c:f>'Graphical Representation'!$K$173:$Z$173</c:f>
              <c:numCache>
                <c:formatCode>0.00</c:formatCode>
                <c:ptCount val="6"/>
                <c:pt idx="0">
                  <c:v>547.9</c:v>
                </c:pt>
                <c:pt idx="1">
                  <c:v>874.6</c:v>
                </c:pt>
                <c:pt idx="2">
                  <c:v>595.49999999999989</c:v>
                </c:pt>
                <c:pt idx="3">
                  <c:v>849.90000000000009</c:v>
                </c:pt>
                <c:pt idx="4">
                  <c:v>919.90287527740804</c:v>
                </c:pt>
                <c:pt idx="5">
                  <c:v>978.59561387483359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B8-43DC-9884-26DE68D106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65698559"/>
        <c:axId val="1365699519"/>
      </c:barChart>
      <c:lineChart>
        <c:grouping val="standard"/>
        <c:varyColors val="0"/>
        <c:ser>
          <c:idx val="2"/>
          <c:order val="2"/>
          <c:tx>
            <c:v>Order Book to Bill ratio</c:v>
          </c:tx>
          <c:spPr>
            <a:ln w="28575" cap="rnd">
              <a:solidFill>
                <a:srgbClr val="C55A1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7.3360917808622764E-2"/>
                  <c:y val="-5.5567324517185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6D5-400C-B906-18AB1A097F48}"/>
                </c:ext>
              </c:extLst>
            </c:dLbl>
            <c:dLbl>
              <c:idx val="1"/>
              <c:layout>
                <c:manualLayout>
                  <c:x val="-6.6024826027760511E-2"/>
                  <c:y val="-5.09367141407537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6D5-400C-B906-18AB1A097F48}"/>
                </c:ext>
              </c:extLst>
            </c:dLbl>
            <c:dLbl>
              <c:idx val="2"/>
              <c:layout>
                <c:manualLayout>
                  <c:x val="-7.3360917808622736E-3"/>
                  <c:y val="-6.945915564648243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6D5-400C-B906-18AB1A097F48}"/>
                </c:ext>
              </c:extLst>
            </c:dLbl>
            <c:dLbl>
              <c:idx val="3"/>
              <c:layout>
                <c:manualLayout>
                  <c:x val="-1.711754748867873E-2"/>
                  <c:y val="-3.24142726350251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6D5-400C-B906-18AB1A097F48}"/>
                </c:ext>
              </c:extLst>
            </c:dLbl>
            <c:dLbl>
              <c:idx val="4"/>
              <c:layout>
                <c:manualLayout>
                  <c:x val="4.8907278539080928E-3"/>
                  <c:y val="-6.01979348936181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6D5-400C-B906-18AB1A097F48}"/>
                </c:ext>
              </c:extLst>
            </c:dLbl>
            <c:dLbl>
              <c:idx val="5"/>
              <c:layout>
                <c:manualLayout>
                  <c:x val="-7.3360917808622736E-3"/>
                  <c:y val="-2.31530518821608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6D5-400C-B906-18AB1A097F48}"/>
                </c:ext>
              </c:extLst>
            </c:dLbl>
            <c:numFmt formatCode="0.00&quot;x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Representation'!$K$155:$Z$156</c:f>
              <c:strCache>
                <c:ptCount val="6"/>
                <c:pt idx="0">
                  <c:v>FY23</c:v>
                </c:pt>
                <c:pt idx="1">
                  <c:v>FY24</c:v>
                </c:pt>
                <c:pt idx="2">
                  <c:v>FY25</c:v>
                </c:pt>
                <c:pt idx="3">
                  <c:v>FY26 </c:v>
                </c:pt>
                <c:pt idx="4">
                  <c:v>FY27 E</c:v>
                </c:pt>
                <c:pt idx="5">
                  <c:v>FY28 E</c:v>
                </c:pt>
              </c:strCache>
            </c:strRef>
          </c:cat>
          <c:val>
            <c:numRef>
              <c:f>'Graphical Representation'!$K$174:$Z$174</c:f>
              <c:numCache>
                <c:formatCode>0.00</c:formatCode>
                <c:ptCount val="6"/>
                <c:pt idx="0">
                  <c:v>1.2884777753385841</c:v>
                </c:pt>
                <c:pt idx="1">
                  <c:v>1.5518242247010954</c:v>
                </c:pt>
                <c:pt idx="2">
                  <c:v>1.0116186717541</c:v>
                </c:pt>
                <c:pt idx="3">
                  <c:v>0.93507418388965335</c:v>
                </c:pt>
                <c:pt idx="4">
                  <c:v>0.88473891912839708</c:v>
                </c:pt>
                <c:pt idx="5">
                  <c:v>0.64032790237387061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B8-43DC-9884-26DE68D106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1044928"/>
        <c:axId val="2051043008"/>
      </c:lineChart>
      <c:catAx>
        <c:axId val="13656985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5699519"/>
        <c:crosses val="autoZero"/>
        <c:auto val="1"/>
        <c:lblAlgn val="ctr"/>
        <c:lblOffset val="100"/>
        <c:noMultiLvlLbl val="0"/>
      </c:catAx>
      <c:valAx>
        <c:axId val="1365699519"/>
        <c:scaling>
          <c:orientation val="minMax"/>
        </c:scaling>
        <c:delete val="0"/>
        <c:axPos val="l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5698559"/>
        <c:crosses val="autoZero"/>
        <c:crossBetween val="between"/>
      </c:valAx>
      <c:valAx>
        <c:axId val="2051043008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044928"/>
        <c:crosses val="max"/>
        <c:crossBetween val="between"/>
      </c:valAx>
      <c:catAx>
        <c:axId val="20510449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51043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'Graphical Representation'!$B$188</c:f>
              <c:strCache>
                <c:ptCount val="1"/>
                <c:pt idx="0">
                  <c:v>CMP</c:v>
                </c:pt>
              </c:strCache>
            </c:strRef>
          </c:tx>
          <c:spPr>
            <a:ln w="28575" cap="rnd">
              <a:solidFill>
                <a:srgbClr val="BF8F00"/>
              </a:solidFill>
              <a:round/>
            </a:ln>
            <a:effectLst/>
          </c:spPr>
          <c:marker>
            <c:symbol val="none"/>
          </c:marker>
          <c:cat>
            <c:strRef>
              <c:f>'Graphical Representation'!$H$155:$T$156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 </c:v>
                </c:pt>
              </c:strCache>
            </c:strRef>
          </c:cat>
          <c:val>
            <c:numRef>
              <c:f>'Graphical Representation'!$H$188:$T$188</c:f>
              <c:numCache>
                <c:formatCode>0.00</c:formatCode>
                <c:ptCount val="5"/>
                <c:pt idx="0">
                  <c:v>400.45</c:v>
                </c:pt>
                <c:pt idx="1">
                  <c:v>699.45</c:v>
                </c:pt>
                <c:pt idx="2">
                  <c:v>1949.25</c:v>
                </c:pt>
                <c:pt idx="3">
                  <c:v>2991.2</c:v>
                </c:pt>
                <c:pt idx="4">
                  <c:v>1840.1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BD-4BC7-BF11-2D19330E8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1439376"/>
        <c:axId val="1191439856"/>
      </c:lineChart>
      <c:lineChart>
        <c:grouping val="standard"/>
        <c:varyColors val="0"/>
        <c:ser>
          <c:idx val="0"/>
          <c:order val="0"/>
          <c:tx>
            <c:strRef>
              <c:f>'Graphical Representation'!$B$187</c:f>
              <c:strCache>
                <c:ptCount val="1"/>
                <c:pt idx="0">
                  <c:v>PE ratio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'Graphical Representation'!$H$155:$T$156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 </c:v>
                </c:pt>
              </c:strCache>
            </c:strRef>
          </c:cat>
          <c:val>
            <c:numRef>
              <c:f>'Graphical Representation'!$H$187:$T$187</c:f>
              <c:numCache>
                <c:formatCode>0.00</c:formatCode>
                <c:ptCount val="5"/>
                <c:pt idx="0">
                  <c:v>12.908030897083847</c:v>
                </c:pt>
                <c:pt idx="1">
                  <c:v>27.203477785339302</c:v>
                </c:pt>
                <c:pt idx="2">
                  <c:v>37.680476564387554</c:v>
                </c:pt>
                <c:pt idx="3">
                  <c:v>50.635587184400656</c:v>
                </c:pt>
                <c:pt idx="4">
                  <c:v>33.389946364061302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BD-4BC7-BF11-2D19330E8712}"/>
            </c:ext>
          </c:extLst>
        </c:ser>
        <c:ser>
          <c:idx val="2"/>
          <c:order val="2"/>
          <c:tx>
            <c:strRef>
              <c:f>'Graphical Representation'!$B$186</c:f>
              <c:strCache>
                <c:ptCount val="1"/>
                <c:pt idx="0">
                  <c:v>EPS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'Graphical Representation'!$H$155:$T$156</c:f>
              <c:strCache>
                <c:ptCount val="5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 </c:v>
                </c:pt>
              </c:strCache>
            </c:strRef>
          </c:cat>
          <c:val>
            <c:numRef>
              <c:f>'Graphical Representation'!$H$186:$T$186</c:f>
              <c:numCache>
                <c:formatCode>0.00</c:formatCode>
                <c:ptCount val="5"/>
                <c:pt idx="0">
                  <c:v>31.023322084739412</c:v>
                </c:pt>
                <c:pt idx="1">
                  <c:v>25.711786026746651</c:v>
                </c:pt>
                <c:pt idx="2">
                  <c:v>51.731033620797369</c:v>
                </c:pt>
                <c:pt idx="3">
                  <c:v>59.073078171422907</c:v>
                </c:pt>
                <c:pt idx="4">
                  <c:v>55.109402690762039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BD-4BC7-BF11-2D19330E8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3979711"/>
        <c:axId val="1423994111"/>
      </c:lineChart>
      <c:catAx>
        <c:axId val="119143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439856"/>
        <c:crosses val="autoZero"/>
        <c:auto val="1"/>
        <c:lblAlgn val="ctr"/>
        <c:lblOffset val="100"/>
        <c:noMultiLvlLbl val="0"/>
      </c:catAx>
      <c:valAx>
        <c:axId val="119143985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439376"/>
        <c:crosses val="autoZero"/>
        <c:crossBetween val="between"/>
      </c:valAx>
      <c:valAx>
        <c:axId val="1423994111"/>
        <c:scaling>
          <c:orientation val="minMax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979711"/>
        <c:crosses val="max"/>
        <c:crossBetween val="between"/>
      </c:valAx>
      <c:catAx>
        <c:axId val="14239797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2399411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v>Export (Cr)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'Graphical Representation'!$H$155:$Z$156</c:f>
              <c:strCache>
                <c:ptCount val="7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 </c:v>
                </c:pt>
                <c:pt idx="5">
                  <c:v>FY27 E</c:v>
                </c:pt>
                <c:pt idx="6">
                  <c:v>FY28 E</c:v>
                </c:pt>
              </c:strCache>
            </c:strRef>
          </c:cat>
          <c:val>
            <c:numRef>
              <c:f>'Graphical Representation'!$H$195:$Z$195</c:f>
              <c:numCache>
                <c:formatCode>0.00</c:formatCode>
                <c:ptCount val="7"/>
                <c:pt idx="0">
                  <c:v>27.5</c:v>
                </c:pt>
                <c:pt idx="1">
                  <c:v>78.7</c:v>
                </c:pt>
                <c:pt idx="2">
                  <c:v>171.8</c:v>
                </c:pt>
                <c:pt idx="3">
                  <c:v>380.2</c:v>
                </c:pt>
                <c:pt idx="4">
                  <c:v>395.1</c:v>
                </c:pt>
                <c:pt idx="5">
                  <c:v>206.48912962940804</c:v>
                </c:pt>
                <c:pt idx="6">
                  <c:v>248.85423688986924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B8-4440-8203-0BEC51315EA9}"/>
            </c:ext>
          </c:extLst>
        </c:ser>
        <c:ser>
          <c:idx val="1"/>
          <c:order val="1"/>
          <c:tx>
            <c:v>Domestic (Cr)</c:v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'Graphical Representation'!$H$155:$Z$156</c:f>
              <c:strCache>
                <c:ptCount val="7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 </c:v>
                </c:pt>
                <c:pt idx="5">
                  <c:v>FY27 E</c:v>
                </c:pt>
                <c:pt idx="6">
                  <c:v>FY28 E</c:v>
                </c:pt>
              </c:strCache>
            </c:strRef>
          </c:cat>
          <c:val>
            <c:numRef>
              <c:f>'Graphical Representation'!$H$196:$Z$196</c:f>
              <c:numCache>
                <c:formatCode>0.00</c:formatCode>
                <c:ptCount val="7"/>
                <c:pt idx="0">
                  <c:v>260.7</c:v>
                </c:pt>
                <c:pt idx="1">
                  <c:v>332.6</c:v>
                </c:pt>
                <c:pt idx="2">
                  <c:v>325.60000000000002</c:v>
                </c:pt>
                <c:pt idx="3">
                  <c:v>265</c:v>
                </c:pt>
                <c:pt idx="4">
                  <c:v>396.7</c:v>
                </c:pt>
                <c:pt idx="5">
                  <c:v>528.66404269640486</c:v>
                </c:pt>
                <c:pt idx="6">
                  <c:v>637.1293595572904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B8-4440-8203-0BEC51315EA9}"/>
            </c:ext>
          </c:extLst>
        </c:ser>
        <c:ser>
          <c:idx val="2"/>
          <c:order val="2"/>
          <c:tx>
            <c:v>DE/SEZ (Cr)</c:v>
          </c:tx>
          <c:spPr>
            <a:solidFill>
              <a:srgbClr val="375623"/>
            </a:solidFill>
            <a:ln>
              <a:noFill/>
            </a:ln>
            <a:effectLst/>
          </c:spPr>
          <c:invertIfNegative val="0"/>
          <c:cat>
            <c:strRef>
              <c:f>'Graphical Representation'!$H$155:$Z$156</c:f>
              <c:strCache>
                <c:ptCount val="7"/>
                <c:pt idx="0">
                  <c:v>FY22</c:v>
                </c:pt>
                <c:pt idx="1">
                  <c:v>FY23</c:v>
                </c:pt>
                <c:pt idx="2">
                  <c:v>FY24</c:v>
                </c:pt>
                <c:pt idx="3">
                  <c:v>FY25</c:v>
                </c:pt>
                <c:pt idx="4">
                  <c:v>FY26 </c:v>
                </c:pt>
                <c:pt idx="5">
                  <c:v>FY27 E</c:v>
                </c:pt>
                <c:pt idx="6">
                  <c:v>FY28 E</c:v>
                </c:pt>
              </c:strCache>
            </c:strRef>
          </c:cat>
          <c:val>
            <c:numRef>
              <c:f>'Graphical Representation'!$H$197:$Z$197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53</c:v>
                </c:pt>
                <c:pt idx="3">
                  <c:v>63.1</c:v>
                </c:pt>
                <c:pt idx="4">
                  <c:v>30.5</c:v>
                </c:pt>
                <c:pt idx="5">
                  <c:v>26.881222509986713</c:v>
                </c:pt>
                <c:pt idx="6">
                  <c:v>32.396408113082593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B8-4440-8203-0BEC51315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71294688"/>
        <c:axId val="1671296608"/>
      </c:barChart>
      <c:catAx>
        <c:axId val="1671294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1296608"/>
        <c:crosses val="autoZero"/>
        <c:auto val="1"/>
        <c:lblAlgn val="ctr"/>
        <c:lblOffset val="100"/>
        <c:noMultiLvlLbl val="0"/>
      </c:catAx>
      <c:valAx>
        <c:axId val="1671296608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129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PAT</c:v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Representation'!$E$155:$T$155</c:f>
              <c:strCache>
                <c:ptCount val="6"/>
                <c:pt idx="0">
                  <c:v>FY21</c:v>
                </c:pt>
                <c:pt idx="1">
                  <c:v>FY22</c:v>
                </c:pt>
                <c:pt idx="2">
                  <c:v>FY23</c:v>
                </c:pt>
                <c:pt idx="3">
                  <c:v>FY24</c:v>
                </c:pt>
                <c:pt idx="4">
                  <c:v>FY25</c:v>
                </c:pt>
                <c:pt idx="5">
                  <c:v>FY26 </c:v>
                </c:pt>
              </c:strCache>
            </c:strRef>
          </c:cat>
          <c:val>
            <c:numRef>
              <c:f>'Graphical Representation'!$E$183:$T$183</c:f>
              <c:numCache>
                <c:formatCode>0.00</c:formatCode>
                <c:ptCount val="6"/>
                <c:pt idx="0">
                  <c:v>53.523200000000024</c:v>
                </c:pt>
                <c:pt idx="1">
                  <c:v>62.054400000000015</c:v>
                </c:pt>
                <c:pt idx="2">
                  <c:v>51.43</c:v>
                </c:pt>
                <c:pt idx="3">
                  <c:v>103.47499999999995</c:v>
                </c:pt>
                <c:pt idx="4">
                  <c:v>118.30270000000009</c:v>
                </c:pt>
                <c:pt idx="5">
                  <c:v>110.39239999999999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1B-4793-9874-2695262E697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18921728"/>
        <c:axId val="1318920288"/>
      </c:barChart>
      <c:lineChart>
        <c:grouping val="standard"/>
        <c:varyColors val="0"/>
        <c:ser>
          <c:idx val="2"/>
          <c:order val="1"/>
          <c:tx>
            <c:v>EPS</c:v>
          </c:tx>
          <c:spPr>
            <a:ln w="28575" cap="rnd">
              <a:solidFill>
                <a:srgbClr val="C55A1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8441341880191562E-2"/>
                  <c:y val="4.62963638140211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01B-4793-9874-2695262E697E}"/>
                </c:ext>
              </c:extLst>
            </c:dLbl>
            <c:dLbl>
              <c:idx val="1"/>
              <c:layout>
                <c:manualLayout>
                  <c:x val="-3.3182113443714301E-2"/>
                  <c:y val="5.09252710039944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01B-4793-9874-2695262E697E}"/>
                </c:ext>
              </c:extLst>
            </c:dLbl>
            <c:dLbl>
              <c:idx val="2"/>
              <c:layout>
                <c:manualLayout>
                  <c:x val="-3.353231636620789E-2"/>
                  <c:y val="3.70370910512168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01B-4793-9874-2695262E697E}"/>
                </c:ext>
              </c:extLst>
            </c:dLbl>
            <c:dLbl>
              <c:idx val="3"/>
              <c:layout>
                <c:manualLayout>
                  <c:x val="-3.5299952088684146E-2"/>
                  <c:y val="5.09252710039944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01B-4793-9874-2695262E697E}"/>
                </c:ext>
              </c:extLst>
            </c:dLbl>
            <c:dLbl>
              <c:idx val="4"/>
              <c:layout>
                <c:manualLayout>
                  <c:x val="-3.3195642254185954E-2"/>
                  <c:y val="4.62963638140211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01B-4793-9874-2695262E697E}"/>
                </c:ext>
              </c:extLst>
            </c:dLbl>
            <c:dLbl>
              <c:idx val="5"/>
              <c:layout>
                <c:manualLayout>
                  <c:x val="-3.5973493581449141E-2"/>
                  <c:y val="3.70378202426457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01B-4793-9874-2695262E697E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Representation'!$E$155:$T$155</c:f>
              <c:strCache>
                <c:ptCount val="6"/>
                <c:pt idx="0">
                  <c:v>FY21</c:v>
                </c:pt>
                <c:pt idx="1">
                  <c:v>FY22</c:v>
                </c:pt>
                <c:pt idx="2">
                  <c:v>FY23</c:v>
                </c:pt>
                <c:pt idx="3">
                  <c:v>FY24</c:v>
                </c:pt>
                <c:pt idx="4">
                  <c:v>FY25</c:v>
                </c:pt>
                <c:pt idx="5">
                  <c:v>FY26 </c:v>
                </c:pt>
              </c:strCache>
            </c:strRef>
          </c:cat>
          <c:val>
            <c:numRef>
              <c:f>'Graphical Representation'!$E$186:$T$186</c:f>
              <c:numCache>
                <c:formatCode>0.00</c:formatCode>
                <c:ptCount val="6"/>
                <c:pt idx="0">
                  <c:v>26.758255218097744</c:v>
                </c:pt>
                <c:pt idx="1">
                  <c:v>31.023322084739412</c:v>
                </c:pt>
                <c:pt idx="2">
                  <c:v>25.711786026746651</c:v>
                </c:pt>
                <c:pt idx="3">
                  <c:v>51.731033620797369</c:v>
                </c:pt>
                <c:pt idx="4">
                  <c:v>59.073078171422907</c:v>
                </c:pt>
                <c:pt idx="5">
                  <c:v>55.109402690762039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01B-4793-9874-2695262E697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8921728"/>
        <c:axId val="1318920288"/>
      </c:lineChart>
      <c:catAx>
        <c:axId val="13189217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8920288"/>
        <c:crosses val="autoZero"/>
        <c:auto val="1"/>
        <c:lblAlgn val="ctr"/>
        <c:lblOffset val="100"/>
        <c:noMultiLvlLbl val="0"/>
      </c:catAx>
      <c:valAx>
        <c:axId val="1318920288"/>
        <c:scaling>
          <c:orientation val="minMax"/>
        </c:scaling>
        <c:delete val="0"/>
        <c:axPos val="l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892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'Graphical Representation'!$Q$220:$Q$225</c:f>
              <c:numCache>
                <c:formatCode>_(* #,##0.00_);_(* \(#,##0.00\);_(* "-"??_);_(@_)</c:formatCode>
                <c:ptCount val="6"/>
                <c:pt idx="0">
                  <c:v>13.139024750779646</c:v>
                </c:pt>
                <c:pt idx="1">
                  <c:v>41.445781312284481</c:v>
                </c:pt>
                <c:pt idx="2">
                  <c:v>9.1502806616660894</c:v>
                </c:pt>
                <c:pt idx="3">
                  <c:v>54.547838377930525</c:v>
                </c:pt>
                <c:pt idx="4">
                  <c:v>9.1739343235965105</c:v>
                </c:pt>
                <c:pt idx="5">
                  <c:v>22.531394111351378</c:v>
                </c:pt>
              </c:numCache>
            </c:numRef>
          </c:xVal>
          <c:yVal>
            <c:numRef>
              <c:f>'Graphical Representation'!$R$220:$R$225</c:f>
            </c:numRef>
          </c:yVal>
          <c:smooth val="0"/>
          <c:extLst>
            <c:ext xmlns:c16="http://schemas.microsoft.com/office/drawing/2014/chart" uri="{C3380CC4-5D6E-409C-BE32-E72D297353CC}">
              <c16:uniqueId val="{00000000-728B-4780-AB6F-A11ADA3A895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'Graphical Representation'!$Q$220:$Q$225</c:f>
              <c:numCache>
                <c:formatCode>_(* #,##0.00_);_(* \(#,##0.00\);_(* "-"??_);_(@_)</c:formatCode>
                <c:ptCount val="6"/>
                <c:pt idx="0">
                  <c:v>13.139024750779646</c:v>
                </c:pt>
                <c:pt idx="1">
                  <c:v>41.445781312284481</c:v>
                </c:pt>
                <c:pt idx="2">
                  <c:v>9.1502806616660894</c:v>
                </c:pt>
                <c:pt idx="3">
                  <c:v>54.547838377930525</c:v>
                </c:pt>
                <c:pt idx="4">
                  <c:v>9.1739343235965105</c:v>
                </c:pt>
                <c:pt idx="5">
                  <c:v>22.531394111351378</c:v>
                </c:pt>
              </c:numCache>
            </c:numRef>
          </c:xVal>
          <c:yVal>
            <c:numRef>
              <c:f>'Graphical Representation'!$S$220:$S$225</c:f>
            </c:numRef>
          </c:yVal>
          <c:smooth val="0"/>
          <c:extLst>
            <c:ext xmlns:c16="http://schemas.microsoft.com/office/drawing/2014/chart" uri="{C3380CC4-5D6E-409C-BE32-E72D297353CC}">
              <c16:uniqueId val="{00000001-728B-4780-AB6F-A11ADA3A8956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BF8F00"/>
              </a:solidFill>
              <a:ln w="9525">
                <a:noFill/>
              </a:ln>
              <a:effectLst/>
            </c:spPr>
          </c:marker>
          <c:dPt>
            <c:idx val="3"/>
            <c:marker>
              <c:symbol val="circle"/>
              <c:size val="10"/>
              <c:spPr>
                <a:solidFill>
                  <a:srgbClr val="C000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728B-4780-AB6F-A11ADA3A8956}"/>
              </c:ext>
            </c:extLst>
          </c:dPt>
          <c:dLbls>
            <c:dLbl>
              <c:idx val="0"/>
              <c:layout>
                <c:manualLayout>
                  <c:x val="-9.4444444444444442E-2"/>
                  <c:y val="-7.407407407407407E-2"/>
                </c:manualLayout>
              </c:layout>
              <c:tx>
                <c:rich>
                  <a:bodyPr/>
                  <a:lstStyle/>
                  <a:p>
                    <a:fld id="{94736397-3827-4C4D-83C4-519497CD26A6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28B-4780-AB6F-A11ADA3A8956}"/>
                </c:ext>
              </c:extLst>
            </c:dLbl>
            <c:dLbl>
              <c:idx val="1"/>
              <c:layout>
                <c:manualLayout>
                  <c:x val="-2.777777777777788E-2"/>
                  <c:y val="5.092592592592584E-2"/>
                </c:manualLayout>
              </c:layout>
              <c:tx>
                <c:rich>
                  <a:bodyPr/>
                  <a:lstStyle/>
                  <a:p>
                    <a:fld id="{11A6BE1F-6352-4725-97A0-BC9BD5CBE94C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28B-4780-AB6F-A11ADA3A8956}"/>
                </c:ext>
              </c:extLst>
            </c:dLbl>
            <c:dLbl>
              <c:idx val="2"/>
              <c:layout>
                <c:manualLayout>
                  <c:x val="-0.18333333333333338"/>
                  <c:y val="5.0925925925925923E-2"/>
                </c:manualLayout>
              </c:layout>
              <c:tx>
                <c:rich>
                  <a:bodyPr/>
                  <a:lstStyle/>
                  <a:p>
                    <a:fld id="{353140A6-7D5B-4D4A-9213-890C41B0BB39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28B-4780-AB6F-A11ADA3A8956}"/>
                </c:ext>
              </c:extLst>
            </c:dLbl>
            <c:dLbl>
              <c:idx val="3"/>
              <c:layout>
                <c:manualLayout>
                  <c:x val="-6.1377890788548002E-2"/>
                  <c:y val="5.6481606465858432E-2"/>
                </c:manualLayout>
              </c:layout>
              <c:tx>
                <c:rich>
                  <a:bodyPr/>
                  <a:lstStyle/>
                  <a:p>
                    <a:fld id="{5A153C5B-BBC9-4DD4-B952-AE2E3693C6F3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28B-4780-AB6F-A11ADA3A895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('Graphical Representation'!$T$220,'Graphical Representation'!$T$222,'Graphical Representation'!$T$224,'Graphical Representation'!$T$225)</c:f>
              <c:numCache>
                <c:formatCode>0.0%</c:formatCode>
                <c:ptCount val="4"/>
                <c:pt idx="0">
                  <c:v>8.1706990157984882E-2</c:v>
                </c:pt>
                <c:pt idx="1">
                  <c:v>0.1142527965856399</c:v>
                </c:pt>
                <c:pt idx="2">
                  <c:v>9.2199290963240685E-2</c:v>
                </c:pt>
                <c:pt idx="3">
                  <c:v>0.21180202500900838</c:v>
                </c:pt>
              </c:numCache>
            </c:numRef>
          </c:xVal>
          <c:yVal>
            <c:numRef>
              <c:f>('Graphical Representation'!$Q$220,'Graphical Representation'!$Q$222,'Graphical Representation'!$Q$224,'Graphical Representation'!$Q$225)</c:f>
              <c:numCache>
                <c:formatCode>_(* #,##0.00_);_(* \(#,##0.00\);_(* "-"??_);_(@_)</c:formatCode>
                <c:ptCount val="4"/>
                <c:pt idx="0">
                  <c:v>13.139024750779646</c:v>
                </c:pt>
                <c:pt idx="1">
                  <c:v>9.1502806616660894</c:v>
                </c:pt>
                <c:pt idx="2">
                  <c:v>9.1739343235965105</c:v>
                </c:pt>
                <c:pt idx="3">
                  <c:v>22.531394111351378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('Graphical Representation'!$B$220,'Graphical Representation'!$B$222,'Graphical Representation'!$B$224,'Graphical Representation'!$B$225)</c15:f>
                <c15:dlblRangeCache>
                  <c:ptCount val="4"/>
                  <c:pt idx="0">
                    <c:v>ISGEC Heavy Engineering</c:v>
                  </c:pt>
                  <c:pt idx="1">
                    <c:v>GMM Pfaudler</c:v>
                  </c:pt>
                  <c:pt idx="2">
                    <c:v>Patels Airtemp India</c:v>
                  </c:pt>
                  <c:pt idx="3">
                    <c:v>Anup Engineering Ltd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728B-4780-AB6F-A11ADA3A89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1619392"/>
        <c:axId val="1441615552"/>
      </c:scatterChart>
      <c:valAx>
        <c:axId val="14416193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> Margin</a:t>
                </a:r>
                <a:endParaRPr lang="en-US" sz="11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1615552"/>
        <c:crosses val="autoZero"/>
        <c:crossBetween val="midCat"/>
      </c:valAx>
      <c:valAx>
        <c:axId val="14416155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> (FY26)</a:t>
                </a:r>
                <a:endParaRPr lang="en-US" sz="11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1619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'Graphical Representation'!$H$227</c:f>
              <c:strCache>
                <c:ptCount val="1"/>
                <c:pt idx="0">
                  <c:v>Min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'Graphical Representation'!$B$228:$B$231</c:f>
              <c:strCache>
                <c:ptCount val="4"/>
                <c:pt idx="0">
                  <c:v>DCF</c:v>
                </c:pt>
                <c:pt idx="1">
                  <c:v>EV/EBITDA Implied</c:v>
                </c:pt>
                <c:pt idx="2">
                  <c:v>EV/EBITDA Peer Implied</c:v>
                </c:pt>
                <c:pt idx="3">
                  <c:v>P/E Implied</c:v>
                </c:pt>
              </c:strCache>
            </c:strRef>
          </c:cat>
          <c:val>
            <c:numRef>
              <c:f>'Graphical Representation'!$H$228:$H$230</c:f>
              <c:numCache>
                <c:formatCode>0.00</c:formatCode>
                <c:ptCount val="3"/>
                <c:pt idx="0">
                  <c:v>1199.0916251612439</c:v>
                </c:pt>
                <c:pt idx="1">
                  <c:v>504.26650171724901</c:v>
                </c:pt>
                <c:pt idx="2">
                  <c:v>748.04029186692026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83-47E0-9787-FB21802C805E}"/>
            </c:ext>
          </c:extLst>
        </c:ser>
        <c:ser>
          <c:idx val="1"/>
          <c:order val="1"/>
          <c:tx>
            <c:strRef>
              <c:f>'Graphical Representation'!$K$227</c:f>
              <c:strCache>
                <c:ptCount val="1"/>
                <c:pt idx="0">
                  <c:v>Range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'Graphical Representation'!$B$228:$B$231</c:f>
              <c:strCache>
                <c:ptCount val="4"/>
                <c:pt idx="0">
                  <c:v>DCF</c:v>
                </c:pt>
                <c:pt idx="1">
                  <c:v>EV/EBITDA Implied</c:v>
                </c:pt>
                <c:pt idx="2">
                  <c:v>EV/EBITDA Peer Implied</c:v>
                </c:pt>
                <c:pt idx="3">
                  <c:v>P/E Implied</c:v>
                </c:pt>
              </c:strCache>
            </c:strRef>
          </c:cat>
          <c:val>
            <c:numRef>
              <c:f>'Graphical Representation'!$K$228:$K$230</c:f>
              <c:numCache>
                <c:formatCode>0.00</c:formatCode>
                <c:ptCount val="3"/>
                <c:pt idx="0">
                  <c:v>741.21213396612916</c:v>
                </c:pt>
                <c:pt idx="1">
                  <c:v>1779.7857504546964</c:v>
                </c:pt>
                <c:pt idx="2">
                  <c:v>2807.9052709048901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83-47E0-9787-FB21802C8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38284528"/>
        <c:axId val="1238279248"/>
      </c:barChart>
      <c:scatterChart>
        <c:scatterStyle val="lineMarker"/>
        <c:varyColors val="0"/>
        <c:ser>
          <c:idx val="2"/>
          <c:order val="2"/>
          <c:tx>
            <c:v>CMP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83-47E0-9787-FB21802C805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83-47E0-9787-FB21802C805E}"/>
                </c:ext>
              </c:extLst>
            </c:dLbl>
            <c:dLbl>
              <c:idx val="2"/>
              <c:layout>
                <c:manualLayout>
                  <c:x val="-9.2825950390449452E-17"/>
                  <c:y val="8.28660314176616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83-47E0-9787-FB21802C805E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Lit>
              <c:formatCode>General</c:formatCode>
              <c:ptCount val="3"/>
              <c:pt idx="0">
                <c:v>1911</c:v>
              </c:pt>
              <c:pt idx="1">
                <c:v>1911</c:v>
              </c:pt>
              <c:pt idx="2">
                <c:v>1911</c:v>
              </c:pt>
            </c:numLit>
          </c:xVal>
          <c:yVal>
            <c:numLit>
              <c:formatCode>General</c:formatCode>
              <c:ptCount val="3"/>
              <c:pt idx="0">
                <c:v>0</c:v>
              </c:pt>
              <c:pt idx="1">
                <c:v>1</c:v>
              </c:pt>
              <c:pt idx="2">
                <c:v>2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DD83-47E0-9787-FB21802C8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4718784"/>
        <c:axId val="1254726944"/>
      </c:scatterChart>
      <c:catAx>
        <c:axId val="12382845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8279248"/>
        <c:crosses val="autoZero"/>
        <c:auto val="1"/>
        <c:lblAlgn val="ctr"/>
        <c:lblOffset val="100"/>
        <c:noMultiLvlLbl val="0"/>
      </c:catAx>
      <c:valAx>
        <c:axId val="1238279248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8284528"/>
        <c:crosses val="autoZero"/>
        <c:crossBetween val="between"/>
      </c:valAx>
      <c:valAx>
        <c:axId val="1254726944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4718784"/>
        <c:crosses val="max"/>
        <c:crossBetween val="midCat"/>
      </c:valAx>
      <c:valAx>
        <c:axId val="12547187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54726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1F4E7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46E-40DC-B25B-145692CF938B}"/>
              </c:ext>
            </c:extLst>
          </c:dPt>
          <c:dPt>
            <c:idx val="1"/>
            <c:invertIfNegative val="0"/>
            <c:bubble3D val="0"/>
            <c:spPr>
              <a:solidFill>
                <a:srgbClr val="BF8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46E-40DC-B25B-145692CF938B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46E-40DC-B25B-145692CF938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Representation'!$B$207:$B$209</c:f>
              <c:strCache>
                <c:ptCount val="3"/>
                <c:pt idx="0">
                  <c:v>Base Case</c:v>
                </c:pt>
                <c:pt idx="1">
                  <c:v>Moderate Case</c:v>
                </c:pt>
                <c:pt idx="2">
                  <c:v>Severe Case</c:v>
                </c:pt>
              </c:strCache>
            </c:strRef>
          </c:cat>
          <c:val>
            <c:numRef>
              <c:f>'Graphical Representation'!$W$207:$W$209</c:f>
              <c:numCache>
                <c:formatCode>0.00</c:formatCode>
                <c:ptCount val="3"/>
                <c:pt idx="0">
                  <c:v>896.0407503328895</c:v>
                </c:pt>
                <c:pt idx="1">
                  <c:v>860.28872439460724</c:v>
                </c:pt>
                <c:pt idx="2">
                  <c:v>786.23095637959398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6E-40DC-B25B-145692CF9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4881904"/>
        <c:axId val="1714876624"/>
      </c:barChart>
      <c:catAx>
        <c:axId val="171488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4876624"/>
        <c:crosses val="autoZero"/>
        <c:auto val="1"/>
        <c:lblAlgn val="ctr"/>
        <c:lblOffset val="100"/>
        <c:noMultiLvlLbl val="0"/>
      </c:catAx>
      <c:valAx>
        <c:axId val="1714876624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4881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'Graphical Representation'!$E$155:$T$155</c:f>
              <c:strCache>
                <c:ptCount val="6"/>
                <c:pt idx="0">
                  <c:v>FY21</c:v>
                </c:pt>
                <c:pt idx="1">
                  <c:v>FY22</c:v>
                </c:pt>
                <c:pt idx="2">
                  <c:v>FY23</c:v>
                </c:pt>
                <c:pt idx="3">
                  <c:v>FY24</c:v>
                </c:pt>
                <c:pt idx="4">
                  <c:v>FY25</c:v>
                </c:pt>
                <c:pt idx="5">
                  <c:v>FY26 </c:v>
                </c:pt>
              </c:strCache>
            </c:strRef>
          </c:cat>
          <c:val>
            <c:numRef>
              <c:f>'Graphical Representation'!$C$199:$D$199</c:f>
            </c:numRef>
          </c:val>
          <c:smooth val="0"/>
          <c:extLst>
            <c:ext xmlns:c16="http://schemas.microsoft.com/office/drawing/2014/chart" uri="{C3380CC4-5D6E-409C-BE32-E72D297353CC}">
              <c16:uniqueId val="{00000000-FE1B-408E-A101-46FC2270CC49}"/>
            </c:ext>
          </c:extLst>
        </c:ser>
        <c:ser>
          <c:idx val="2"/>
          <c:order val="1"/>
          <c:tx>
            <c:v>ROE (%)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-1.6188649298498104E-2"/>
                  <c:y val="-2.27183366313680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52F-4ED4-8110-CA3E3A73DBB3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52F-4ED4-8110-CA3E3A73DBB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Representation'!$E$155:$T$155</c:f>
              <c:strCache>
                <c:ptCount val="6"/>
                <c:pt idx="0">
                  <c:v>FY21</c:v>
                </c:pt>
                <c:pt idx="1">
                  <c:v>FY22</c:v>
                </c:pt>
                <c:pt idx="2">
                  <c:v>FY23</c:v>
                </c:pt>
                <c:pt idx="3">
                  <c:v>FY24</c:v>
                </c:pt>
                <c:pt idx="4">
                  <c:v>FY25</c:v>
                </c:pt>
                <c:pt idx="5">
                  <c:v>FY26 </c:v>
                </c:pt>
              </c:strCache>
            </c:strRef>
          </c:cat>
          <c:val>
            <c:numRef>
              <c:f>'Graphical Representation'!$E$200:$T$200</c:f>
              <c:numCache>
                <c:formatCode>0.0%</c:formatCode>
                <c:ptCount val="6"/>
                <c:pt idx="0">
                  <c:v>0.15875231462875036</c:v>
                </c:pt>
                <c:pt idx="1">
                  <c:v>0.15773431798661405</c:v>
                </c:pt>
                <c:pt idx="2">
                  <c:v>0.1175057256338409</c:v>
                </c:pt>
                <c:pt idx="3">
                  <c:v>0.19580983047665751</c:v>
                </c:pt>
                <c:pt idx="4">
                  <c:v>0.19331830071372547</c:v>
                </c:pt>
                <c:pt idx="5">
                  <c:v>0.15975595019728467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1B-408E-A101-46FC2270CC49}"/>
            </c:ext>
          </c:extLst>
        </c:ser>
        <c:ser>
          <c:idx val="3"/>
          <c:order val="2"/>
          <c:tx>
            <c:v>ROCE (%)</c:v>
          </c:tx>
          <c:spPr>
            <a:ln w="28575" cap="rnd">
              <a:solidFill>
                <a:srgbClr val="BF8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BF8F00"/>
              </a:solidFill>
              <a:ln w="9525">
                <a:solidFill>
                  <a:srgbClr val="BF8F00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-4.6253283709994181E-2"/>
                  <c:y val="-4.54366732627359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52F-4ED4-8110-CA3E3A73DBB3}"/>
                </c:ext>
              </c:extLst>
            </c:dLbl>
            <c:dLbl>
              <c:idx val="5"/>
              <c:layout>
                <c:manualLayout>
                  <c:x val="-4.6253283709994097E-2"/>
                  <c:y val="-5.90676752415567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52F-4ED4-8110-CA3E3A73DBB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Representation'!$E$155:$T$155</c:f>
              <c:strCache>
                <c:ptCount val="6"/>
                <c:pt idx="0">
                  <c:v>FY21</c:v>
                </c:pt>
                <c:pt idx="1">
                  <c:v>FY22</c:v>
                </c:pt>
                <c:pt idx="2">
                  <c:v>FY23</c:v>
                </c:pt>
                <c:pt idx="3">
                  <c:v>FY24</c:v>
                </c:pt>
                <c:pt idx="4">
                  <c:v>FY25</c:v>
                </c:pt>
                <c:pt idx="5">
                  <c:v>FY26 </c:v>
                </c:pt>
              </c:strCache>
            </c:strRef>
          </c:cat>
          <c:val>
            <c:numRef>
              <c:f>'Graphical Representation'!$E$201:$T$201</c:f>
              <c:numCache>
                <c:formatCode>0.0%</c:formatCode>
                <c:ptCount val="6"/>
                <c:pt idx="0">
                  <c:v>0.16658211994006436</c:v>
                </c:pt>
                <c:pt idx="1">
                  <c:v>0.14402221236628507</c:v>
                </c:pt>
                <c:pt idx="2">
                  <c:v>0.14623554618135742</c:v>
                </c:pt>
                <c:pt idx="3">
                  <c:v>0.19588023922902975</c:v>
                </c:pt>
                <c:pt idx="4">
                  <c:v>0.22108297119378251</c:v>
                </c:pt>
                <c:pt idx="5">
                  <c:v>0.19706893342567158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1B-408E-A101-46FC2270CC49}"/>
            </c:ext>
          </c:extLst>
        </c:ser>
        <c:ser>
          <c:idx val="0"/>
          <c:order val="3"/>
          <c:tx>
            <c:v>ROA (%)</c:v>
          </c:tx>
          <c:spPr>
            <a:ln w="28575" cap="rnd">
              <a:solidFill>
                <a:srgbClr val="1F4E79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1F4E79"/>
              </a:solidFill>
              <a:ln w="9525">
                <a:solidFill>
                  <a:srgbClr val="1F4E79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-3.9315291153495066E-2"/>
                  <c:y val="-3.63493386101887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52F-4ED4-8110-CA3E3A73DBB3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52F-4ED4-8110-CA3E3A73DBB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'Graphical Representation'!$E$199:$T$199</c:f>
              <c:numCache>
                <c:formatCode>0.0%</c:formatCode>
                <c:ptCount val="6"/>
                <c:pt idx="0">
                  <c:v>0.12426393921460697</c:v>
                </c:pt>
                <c:pt idx="1">
                  <c:v>0.11812829517453959</c:v>
                </c:pt>
                <c:pt idx="2">
                  <c:v>7.9995072440414344E-2</c:v>
                </c:pt>
                <c:pt idx="3">
                  <c:v>0.1279948759992815</c:v>
                </c:pt>
                <c:pt idx="4">
                  <c:v>0.12773528669924877</c:v>
                </c:pt>
                <c:pt idx="5">
                  <c:v>0.11372930890677181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1B-408E-A101-46FC2270CC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5109120"/>
        <c:axId val="1465114400"/>
      </c:lineChart>
      <c:catAx>
        <c:axId val="146510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5114400"/>
        <c:crosses val="autoZero"/>
        <c:auto val="1"/>
        <c:lblAlgn val="ctr"/>
        <c:lblOffset val="100"/>
        <c:noMultiLvlLbl val="0"/>
      </c:catAx>
      <c:valAx>
        <c:axId val="146511440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5109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4E79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975-439C-99DB-DD5BDF86AC72}"/>
              </c:ext>
            </c:extLst>
          </c:dPt>
          <c:dPt>
            <c:idx val="2"/>
            <c:invertIfNegative val="0"/>
            <c:bubble3D val="0"/>
            <c:spPr>
              <a:solidFill>
                <a:srgbClr val="BF8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975-439C-99DB-DD5BDF86AC72}"/>
              </c:ext>
            </c:extLst>
          </c:dPt>
          <c:dPt>
            <c:idx val="3"/>
            <c:invertIfNegative val="0"/>
            <c:bubble3D val="0"/>
            <c:spPr>
              <a:solidFill>
                <a:srgbClr val="59595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975-439C-99DB-DD5BDF86AC72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Representation'!$B$212:$B$215</c:f>
              <c:strCache>
                <c:ptCount val="4"/>
                <c:pt idx="0">
                  <c:v>Currency CVaR</c:v>
                </c:pt>
                <c:pt idx="1">
                  <c:v>Geopolitical CVaR</c:v>
                </c:pt>
                <c:pt idx="2">
                  <c:v>Combined CVaR (Markowitz)</c:v>
                </c:pt>
                <c:pt idx="3">
                  <c:v>Undiversified Sum</c:v>
                </c:pt>
              </c:strCache>
            </c:strRef>
          </c:cat>
          <c:val>
            <c:numRef>
              <c:f>'Graphical Representation'!$W$212:$W$215</c:f>
              <c:numCache>
                <c:formatCode>_(* #,##0.00_);_(* \(#,##0.00\);_(* "-"??_);_(@_)</c:formatCode>
                <c:ptCount val="4"/>
                <c:pt idx="0">
                  <c:v>37.650306890776299</c:v>
                </c:pt>
                <c:pt idx="1">
                  <c:v>125.15640652754281</c:v>
                </c:pt>
                <c:pt idx="2">
                  <c:v>134.00635549708997</c:v>
                </c:pt>
                <c:pt idx="3">
                  <c:v>162.80671341831911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75-439C-99DB-DD5BDF86AC7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60000079"/>
        <c:axId val="760000559"/>
      </c:barChart>
      <c:catAx>
        <c:axId val="760000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0000559"/>
        <c:crosses val="autoZero"/>
        <c:auto val="1"/>
        <c:lblAlgn val="ctr"/>
        <c:lblOffset val="100"/>
        <c:noMultiLvlLbl val="0"/>
      </c:catAx>
      <c:valAx>
        <c:axId val="7600005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0000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Combined Loss Distribution- CVaR at 95% Confidence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'Graphical Representation'!$F$233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'Graphical Representation'!$E$234:$E$248</c:f>
              <c:numCache>
                <c:formatCode>General</c:formatCode>
                <c:ptCount val="15"/>
                <c:pt idx="0">
                  <c:v>-210</c:v>
                </c:pt>
                <c:pt idx="1">
                  <c:v>-180</c:v>
                </c:pt>
                <c:pt idx="2">
                  <c:v>-150</c:v>
                </c:pt>
                <c:pt idx="3">
                  <c:v>-120</c:v>
                </c:pt>
                <c:pt idx="4">
                  <c:v>-90</c:v>
                </c:pt>
                <c:pt idx="5">
                  <c:v>-60</c:v>
                </c:pt>
                <c:pt idx="6">
                  <c:v>-30</c:v>
                </c:pt>
                <c:pt idx="7">
                  <c:v>0</c:v>
                </c:pt>
                <c:pt idx="8">
                  <c:v>30</c:v>
                </c:pt>
                <c:pt idx="9">
                  <c:v>60</c:v>
                </c:pt>
                <c:pt idx="10">
                  <c:v>90</c:v>
                </c:pt>
                <c:pt idx="11">
                  <c:v>120</c:v>
                </c:pt>
                <c:pt idx="12">
                  <c:v>150</c:v>
                </c:pt>
                <c:pt idx="13">
                  <c:v>180</c:v>
                </c:pt>
                <c:pt idx="14">
                  <c:v>210</c:v>
                </c:pt>
              </c:numCache>
            </c:numRef>
          </c:cat>
          <c:val>
            <c:numRef>
              <c:f>'Graphical Representation'!$F$234:$F$248</c:f>
            </c:numRef>
          </c:val>
          <c:extLst>
            <c:ext xmlns:c16="http://schemas.microsoft.com/office/drawing/2014/chart" uri="{C3380CC4-5D6E-409C-BE32-E72D297353CC}">
              <c16:uniqueId val="{00000000-CE87-4ABE-9C4B-03F4A129F53F}"/>
            </c:ext>
          </c:extLst>
        </c:ser>
        <c:ser>
          <c:idx val="1"/>
          <c:order val="1"/>
          <c:tx>
            <c:strRef>
              <c:f>'Graphical Representation'!$G$233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'Graphical Representation'!$E$234:$E$248</c:f>
              <c:numCache>
                <c:formatCode>General</c:formatCode>
                <c:ptCount val="15"/>
                <c:pt idx="0">
                  <c:v>-210</c:v>
                </c:pt>
                <c:pt idx="1">
                  <c:v>-180</c:v>
                </c:pt>
                <c:pt idx="2">
                  <c:v>-150</c:v>
                </c:pt>
                <c:pt idx="3">
                  <c:v>-120</c:v>
                </c:pt>
                <c:pt idx="4">
                  <c:v>-90</c:v>
                </c:pt>
                <c:pt idx="5">
                  <c:v>-60</c:v>
                </c:pt>
                <c:pt idx="6">
                  <c:v>-30</c:v>
                </c:pt>
                <c:pt idx="7">
                  <c:v>0</c:v>
                </c:pt>
                <c:pt idx="8">
                  <c:v>30</c:v>
                </c:pt>
                <c:pt idx="9">
                  <c:v>60</c:v>
                </c:pt>
                <c:pt idx="10">
                  <c:v>90</c:v>
                </c:pt>
                <c:pt idx="11">
                  <c:v>120</c:v>
                </c:pt>
                <c:pt idx="12">
                  <c:v>150</c:v>
                </c:pt>
                <c:pt idx="13">
                  <c:v>180</c:v>
                </c:pt>
                <c:pt idx="14">
                  <c:v>210</c:v>
                </c:pt>
              </c:numCache>
            </c:numRef>
          </c:cat>
          <c:val>
            <c:numRef>
              <c:f>'Graphical Representation'!$G$234:$G$248</c:f>
            </c:numRef>
          </c:val>
          <c:extLst>
            <c:ext xmlns:c16="http://schemas.microsoft.com/office/drawing/2014/chart" uri="{C3380CC4-5D6E-409C-BE32-E72D297353CC}">
              <c16:uniqueId val="{00000001-CE87-4ABE-9C4B-03F4A129F53F}"/>
            </c:ext>
          </c:extLst>
        </c:ser>
        <c:ser>
          <c:idx val="2"/>
          <c:order val="2"/>
          <c:tx>
            <c:strRef>
              <c:f>'Graphical Representation'!$H$233</c:f>
              <c:strCache>
                <c:ptCount val="1"/>
                <c:pt idx="0">
                  <c:v>Probability Density</c:v>
                </c:pt>
              </c:strCache>
            </c:strRef>
          </c:tx>
          <c:spPr>
            <a:solidFill>
              <a:srgbClr val="1F4E79"/>
            </a:solidFill>
            <a:ln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87-4ABE-9C4B-03F4A129F53F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87-4ABE-9C4B-03F4A129F53F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87-4ABE-9C4B-03F4A129F53F}"/>
              </c:ext>
            </c:extLst>
          </c:dPt>
          <c:cat>
            <c:numRef>
              <c:f>'Graphical Representation'!$E$234:$E$248</c:f>
              <c:numCache>
                <c:formatCode>General</c:formatCode>
                <c:ptCount val="15"/>
                <c:pt idx="0">
                  <c:v>-210</c:v>
                </c:pt>
                <c:pt idx="1">
                  <c:v>-180</c:v>
                </c:pt>
                <c:pt idx="2">
                  <c:v>-150</c:v>
                </c:pt>
                <c:pt idx="3">
                  <c:v>-120</c:v>
                </c:pt>
                <c:pt idx="4">
                  <c:v>-90</c:v>
                </c:pt>
                <c:pt idx="5">
                  <c:v>-60</c:v>
                </c:pt>
                <c:pt idx="6">
                  <c:v>-30</c:v>
                </c:pt>
                <c:pt idx="7">
                  <c:v>0</c:v>
                </c:pt>
                <c:pt idx="8">
                  <c:v>30</c:v>
                </c:pt>
                <c:pt idx="9">
                  <c:v>60</c:v>
                </c:pt>
                <c:pt idx="10">
                  <c:v>90</c:v>
                </c:pt>
                <c:pt idx="11">
                  <c:v>120</c:v>
                </c:pt>
                <c:pt idx="12">
                  <c:v>150</c:v>
                </c:pt>
                <c:pt idx="13">
                  <c:v>180</c:v>
                </c:pt>
                <c:pt idx="14">
                  <c:v>210</c:v>
                </c:pt>
              </c:numCache>
            </c:numRef>
          </c:cat>
          <c:val>
            <c:numRef>
              <c:f>'Graphical Representation'!$H$234:$H$248</c:f>
              <c:numCache>
                <c:formatCode>0.0E+00</c:formatCode>
                <c:ptCount val="15"/>
                <c:pt idx="0">
                  <c:v>6.6097112305951893E-5</c:v>
                </c:pt>
                <c:pt idx="1">
                  <c:v>2.1532430796309833E-4</c:v>
                </c:pt>
                <c:pt idx="2">
                  <c:v>5.8491709577471282E-4</c:v>
                </c:pt>
                <c:pt idx="3">
                  <c:v>1.3249096118122525E-3</c:v>
                </c:pt>
                <c:pt idx="4">
                  <c:v>2.5024699292604279E-3</c:v>
                </c:pt>
                <c:pt idx="5">
                  <c:v>3.9413242476957029E-3</c:v>
                </c:pt>
                <c:pt idx="6">
                  <c:v>5.1761415437617713E-3</c:v>
                </c:pt>
                <c:pt idx="7">
                  <c:v>5.6684040977754016E-3</c:v>
                </c:pt>
                <c:pt idx="8">
                  <c:v>5.1761415437617713E-3</c:v>
                </c:pt>
                <c:pt idx="9">
                  <c:v>3.9413242476957029E-3</c:v>
                </c:pt>
                <c:pt idx="10">
                  <c:v>2.5024699292604279E-3</c:v>
                </c:pt>
                <c:pt idx="11">
                  <c:v>1.3249096118122525E-3</c:v>
                </c:pt>
                <c:pt idx="12">
                  <c:v>5.8491709577471282E-4</c:v>
                </c:pt>
                <c:pt idx="13">
                  <c:v>2.1532430796309833E-4</c:v>
                </c:pt>
                <c:pt idx="14">
                  <c:v>6.6097112305951893E-5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87-4ABE-9C4B-03F4A129F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844802495"/>
        <c:axId val="844794815"/>
      </c:barChart>
      <c:catAx>
        <c:axId val="8448024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794815"/>
        <c:crosses val="autoZero"/>
        <c:auto val="1"/>
        <c:lblAlgn val="ctr"/>
        <c:lblOffset val="100"/>
        <c:noMultiLvlLbl val="0"/>
      </c:catAx>
      <c:valAx>
        <c:axId val="84479481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02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DSO</c:v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C1B-4D5E-9FB1-9EB1BFA94BFD}"/>
              </c:ext>
            </c:extLst>
          </c:dPt>
          <c:dPt>
            <c:idx val="5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73F-4973-A66B-C29A50DD893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Representation'!$E$155:$T$156</c:f>
              <c:strCache>
                <c:ptCount val="6"/>
                <c:pt idx="0">
                  <c:v>FY21</c:v>
                </c:pt>
                <c:pt idx="1">
                  <c:v>FY22</c:v>
                </c:pt>
                <c:pt idx="2">
                  <c:v>FY23</c:v>
                </c:pt>
                <c:pt idx="3">
                  <c:v>FY24</c:v>
                </c:pt>
                <c:pt idx="4">
                  <c:v>FY25</c:v>
                </c:pt>
                <c:pt idx="5">
                  <c:v>FY26 </c:v>
                </c:pt>
              </c:strCache>
            </c:strRef>
          </c:cat>
          <c:val>
            <c:numRef>
              <c:f>'Graphical Representation'!$E$203:$T$203</c:f>
              <c:numCache>
                <c:formatCode>0</c:formatCode>
                <c:ptCount val="6"/>
                <c:pt idx="0">
                  <c:v>143.99128755961388</c:v>
                </c:pt>
                <c:pt idx="1">
                  <c:v>158.02839527674004</c:v>
                </c:pt>
                <c:pt idx="2">
                  <c:v>131.82635646928887</c:v>
                </c:pt>
                <c:pt idx="3">
                  <c:v>84.613682979807749</c:v>
                </c:pt>
                <c:pt idx="4">
                  <c:v>141.2856420564803</c:v>
                </c:pt>
                <c:pt idx="5">
                  <c:v>184.6284439132435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3F-4973-A66B-C29A50DD8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-27"/>
        <c:axId val="1542443791"/>
        <c:axId val="1542438991"/>
      </c:barChart>
      <c:catAx>
        <c:axId val="1542443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2438991"/>
        <c:crosses val="autoZero"/>
        <c:auto val="1"/>
        <c:lblAlgn val="ctr"/>
        <c:lblOffset val="100"/>
        <c:noMultiLvlLbl val="0"/>
      </c:catAx>
      <c:valAx>
        <c:axId val="1542438991"/>
        <c:scaling>
          <c:orientation val="minMax"/>
          <c:min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2443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ANUP (₹)</c:v>
          </c:tx>
          <c:spPr>
            <a:ln w="28575" cap="rnd">
              <a:solidFill>
                <a:srgbClr val="1F4E79"/>
              </a:solidFill>
              <a:round/>
            </a:ln>
            <a:effectLst/>
          </c:spPr>
          <c:marker>
            <c:symbol val="none"/>
          </c:marker>
          <c:cat>
            <c:numRef>
              <c:f>'Graphical Representation'!$B$267:$B$762</c:f>
              <c:numCache>
                <c:formatCode>m/d/yyyy</c:formatCode>
                <c:ptCount val="496"/>
                <c:pt idx="0">
                  <c:v>46176</c:v>
                </c:pt>
                <c:pt idx="1">
                  <c:v>46175</c:v>
                </c:pt>
                <c:pt idx="2">
                  <c:v>46174</c:v>
                </c:pt>
                <c:pt idx="3">
                  <c:v>46171</c:v>
                </c:pt>
                <c:pt idx="4">
                  <c:v>46169</c:v>
                </c:pt>
                <c:pt idx="5">
                  <c:v>46168</c:v>
                </c:pt>
                <c:pt idx="6">
                  <c:v>46167</c:v>
                </c:pt>
                <c:pt idx="7">
                  <c:v>46164</c:v>
                </c:pt>
                <c:pt idx="8">
                  <c:v>46163</c:v>
                </c:pt>
                <c:pt idx="9">
                  <c:v>46162</c:v>
                </c:pt>
                <c:pt idx="10">
                  <c:v>46161</c:v>
                </c:pt>
                <c:pt idx="11">
                  <c:v>46160</c:v>
                </c:pt>
                <c:pt idx="12">
                  <c:v>46157</c:v>
                </c:pt>
                <c:pt idx="13">
                  <c:v>46156</c:v>
                </c:pt>
                <c:pt idx="14">
                  <c:v>46155</c:v>
                </c:pt>
                <c:pt idx="15">
                  <c:v>46154</c:v>
                </c:pt>
                <c:pt idx="16">
                  <c:v>46153</c:v>
                </c:pt>
                <c:pt idx="17">
                  <c:v>46150</c:v>
                </c:pt>
                <c:pt idx="18">
                  <c:v>46149</c:v>
                </c:pt>
                <c:pt idx="19">
                  <c:v>46148</c:v>
                </c:pt>
                <c:pt idx="20">
                  <c:v>46147</c:v>
                </c:pt>
                <c:pt idx="21">
                  <c:v>46146</c:v>
                </c:pt>
                <c:pt idx="22">
                  <c:v>46142</c:v>
                </c:pt>
                <c:pt idx="23">
                  <c:v>46141</c:v>
                </c:pt>
                <c:pt idx="24">
                  <c:v>46140</c:v>
                </c:pt>
                <c:pt idx="25">
                  <c:v>46139</c:v>
                </c:pt>
                <c:pt idx="26">
                  <c:v>46136</c:v>
                </c:pt>
                <c:pt idx="27">
                  <c:v>46135</c:v>
                </c:pt>
                <c:pt idx="28">
                  <c:v>46134</c:v>
                </c:pt>
                <c:pt idx="29">
                  <c:v>46133</c:v>
                </c:pt>
                <c:pt idx="30">
                  <c:v>46132</c:v>
                </c:pt>
                <c:pt idx="31">
                  <c:v>46129</c:v>
                </c:pt>
                <c:pt idx="32">
                  <c:v>46128</c:v>
                </c:pt>
                <c:pt idx="33">
                  <c:v>46127</c:v>
                </c:pt>
                <c:pt idx="34">
                  <c:v>46125</c:v>
                </c:pt>
                <c:pt idx="35">
                  <c:v>46122</c:v>
                </c:pt>
                <c:pt idx="36">
                  <c:v>46121</c:v>
                </c:pt>
                <c:pt idx="37">
                  <c:v>46120</c:v>
                </c:pt>
                <c:pt idx="38">
                  <c:v>46119</c:v>
                </c:pt>
                <c:pt idx="39">
                  <c:v>46118</c:v>
                </c:pt>
                <c:pt idx="40">
                  <c:v>46114</c:v>
                </c:pt>
                <c:pt idx="41">
                  <c:v>46113</c:v>
                </c:pt>
                <c:pt idx="42">
                  <c:v>46111</c:v>
                </c:pt>
                <c:pt idx="43">
                  <c:v>46108</c:v>
                </c:pt>
                <c:pt idx="44">
                  <c:v>46106</c:v>
                </c:pt>
                <c:pt idx="45">
                  <c:v>46105</c:v>
                </c:pt>
                <c:pt idx="46">
                  <c:v>46104</c:v>
                </c:pt>
                <c:pt idx="47">
                  <c:v>46101</c:v>
                </c:pt>
                <c:pt idx="48">
                  <c:v>46100</c:v>
                </c:pt>
                <c:pt idx="49">
                  <c:v>46099</c:v>
                </c:pt>
                <c:pt idx="50">
                  <c:v>46098</c:v>
                </c:pt>
                <c:pt idx="51">
                  <c:v>46097</c:v>
                </c:pt>
                <c:pt idx="52">
                  <c:v>46094</c:v>
                </c:pt>
                <c:pt idx="53">
                  <c:v>46093</c:v>
                </c:pt>
                <c:pt idx="54">
                  <c:v>46092</c:v>
                </c:pt>
                <c:pt idx="55">
                  <c:v>46091</c:v>
                </c:pt>
                <c:pt idx="56">
                  <c:v>46090</c:v>
                </c:pt>
                <c:pt idx="57">
                  <c:v>46087</c:v>
                </c:pt>
                <c:pt idx="58">
                  <c:v>46086</c:v>
                </c:pt>
                <c:pt idx="59">
                  <c:v>46085</c:v>
                </c:pt>
                <c:pt idx="60">
                  <c:v>46083</c:v>
                </c:pt>
                <c:pt idx="61">
                  <c:v>46080</c:v>
                </c:pt>
                <c:pt idx="62">
                  <c:v>46079</c:v>
                </c:pt>
                <c:pt idx="63">
                  <c:v>46078</c:v>
                </c:pt>
                <c:pt idx="64">
                  <c:v>46077</c:v>
                </c:pt>
                <c:pt idx="65">
                  <c:v>46076</c:v>
                </c:pt>
                <c:pt idx="66">
                  <c:v>46073</c:v>
                </c:pt>
                <c:pt idx="67">
                  <c:v>46072</c:v>
                </c:pt>
                <c:pt idx="68">
                  <c:v>46071</c:v>
                </c:pt>
                <c:pt idx="69">
                  <c:v>46070</c:v>
                </c:pt>
                <c:pt idx="70">
                  <c:v>46069</c:v>
                </c:pt>
                <c:pt idx="71">
                  <c:v>46066</c:v>
                </c:pt>
                <c:pt idx="72">
                  <c:v>46065</c:v>
                </c:pt>
                <c:pt idx="73">
                  <c:v>46064</c:v>
                </c:pt>
                <c:pt idx="74">
                  <c:v>46063</c:v>
                </c:pt>
                <c:pt idx="75">
                  <c:v>46062</c:v>
                </c:pt>
                <c:pt idx="76">
                  <c:v>46059</c:v>
                </c:pt>
                <c:pt idx="77">
                  <c:v>46058</c:v>
                </c:pt>
                <c:pt idx="78">
                  <c:v>46057</c:v>
                </c:pt>
                <c:pt idx="79">
                  <c:v>46056</c:v>
                </c:pt>
                <c:pt idx="80">
                  <c:v>46055</c:v>
                </c:pt>
                <c:pt idx="81">
                  <c:v>46054</c:v>
                </c:pt>
                <c:pt idx="82">
                  <c:v>46052</c:v>
                </c:pt>
                <c:pt idx="83">
                  <c:v>46051</c:v>
                </c:pt>
                <c:pt idx="84">
                  <c:v>46050</c:v>
                </c:pt>
                <c:pt idx="85">
                  <c:v>46049</c:v>
                </c:pt>
                <c:pt idx="86">
                  <c:v>46045</c:v>
                </c:pt>
                <c:pt idx="87">
                  <c:v>46044</c:v>
                </c:pt>
                <c:pt idx="88">
                  <c:v>46043</c:v>
                </c:pt>
                <c:pt idx="89">
                  <c:v>46042</c:v>
                </c:pt>
                <c:pt idx="90">
                  <c:v>46041</c:v>
                </c:pt>
                <c:pt idx="91">
                  <c:v>46038</c:v>
                </c:pt>
                <c:pt idx="92">
                  <c:v>46036</c:v>
                </c:pt>
                <c:pt idx="93">
                  <c:v>46035</c:v>
                </c:pt>
                <c:pt idx="94">
                  <c:v>46034</c:v>
                </c:pt>
                <c:pt idx="95">
                  <c:v>46031</c:v>
                </c:pt>
                <c:pt idx="96">
                  <c:v>46030</c:v>
                </c:pt>
                <c:pt idx="97">
                  <c:v>46029</c:v>
                </c:pt>
                <c:pt idx="98">
                  <c:v>46028</c:v>
                </c:pt>
                <c:pt idx="99">
                  <c:v>46027</c:v>
                </c:pt>
                <c:pt idx="100">
                  <c:v>46024</c:v>
                </c:pt>
                <c:pt idx="101">
                  <c:v>46023</c:v>
                </c:pt>
                <c:pt idx="102">
                  <c:v>46022</c:v>
                </c:pt>
                <c:pt idx="103">
                  <c:v>46021</c:v>
                </c:pt>
                <c:pt idx="104">
                  <c:v>46020</c:v>
                </c:pt>
                <c:pt idx="105">
                  <c:v>46017</c:v>
                </c:pt>
                <c:pt idx="106">
                  <c:v>46015</c:v>
                </c:pt>
                <c:pt idx="107">
                  <c:v>46014</c:v>
                </c:pt>
                <c:pt idx="108">
                  <c:v>46013</c:v>
                </c:pt>
                <c:pt idx="109">
                  <c:v>46010</c:v>
                </c:pt>
                <c:pt idx="110">
                  <c:v>46009</c:v>
                </c:pt>
                <c:pt idx="111">
                  <c:v>46008</c:v>
                </c:pt>
                <c:pt idx="112">
                  <c:v>46007</c:v>
                </c:pt>
                <c:pt idx="113">
                  <c:v>46006</c:v>
                </c:pt>
                <c:pt idx="114">
                  <c:v>46003</c:v>
                </c:pt>
                <c:pt idx="115">
                  <c:v>46002</c:v>
                </c:pt>
                <c:pt idx="116">
                  <c:v>46001</c:v>
                </c:pt>
                <c:pt idx="117">
                  <c:v>46000</c:v>
                </c:pt>
                <c:pt idx="118">
                  <c:v>45999</c:v>
                </c:pt>
                <c:pt idx="119">
                  <c:v>45996</c:v>
                </c:pt>
                <c:pt idx="120">
                  <c:v>45995</c:v>
                </c:pt>
                <c:pt idx="121">
                  <c:v>45994</c:v>
                </c:pt>
                <c:pt idx="122">
                  <c:v>45993</c:v>
                </c:pt>
                <c:pt idx="123">
                  <c:v>45992</c:v>
                </c:pt>
                <c:pt idx="124">
                  <c:v>45989</c:v>
                </c:pt>
                <c:pt idx="125">
                  <c:v>45988</c:v>
                </c:pt>
                <c:pt idx="126">
                  <c:v>45987</c:v>
                </c:pt>
                <c:pt idx="127">
                  <c:v>45986</c:v>
                </c:pt>
                <c:pt idx="128">
                  <c:v>45985</c:v>
                </c:pt>
                <c:pt idx="129">
                  <c:v>45982</c:v>
                </c:pt>
                <c:pt idx="130">
                  <c:v>45981</c:v>
                </c:pt>
                <c:pt idx="131">
                  <c:v>45980</c:v>
                </c:pt>
                <c:pt idx="132">
                  <c:v>45979</c:v>
                </c:pt>
                <c:pt idx="133">
                  <c:v>45978</c:v>
                </c:pt>
                <c:pt idx="134">
                  <c:v>45975</c:v>
                </c:pt>
                <c:pt idx="135">
                  <c:v>45974</c:v>
                </c:pt>
                <c:pt idx="136">
                  <c:v>45973</c:v>
                </c:pt>
                <c:pt idx="137">
                  <c:v>45972</c:v>
                </c:pt>
                <c:pt idx="138">
                  <c:v>45971</c:v>
                </c:pt>
                <c:pt idx="139">
                  <c:v>45968</c:v>
                </c:pt>
                <c:pt idx="140">
                  <c:v>45967</c:v>
                </c:pt>
                <c:pt idx="141">
                  <c:v>45965</c:v>
                </c:pt>
                <c:pt idx="142">
                  <c:v>45964</c:v>
                </c:pt>
                <c:pt idx="143">
                  <c:v>45961</c:v>
                </c:pt>
                <c:pt idx="144">
                  <c:v>45960</c:v>
                </c:pt>
                <c:pt idx="145">
                  <c:v>45959</c:v>
                </c:pt>
                <c:pt idx="146">
                  <c:v>45958</c:v>
                </c:pt>
                <c:pt idx="147">
                  <c:v>45957</c:v>
                </c:pt>
                <c:pt idx="148">
                  <c:v>45954</c:v>
                </c:pt>
                <c:pt idx="149">
                  <c:v>45953</c:v>
                </c:pt>
                <c:pt idx="150">
                  <c:v>45951</c:v>
                </c:pt>
                <c:pt idx="151">
                  <c:v>45950</c:v>
                </c:pt>
                <c:pt idx="152">
                  <c:v>45947</c:v>
                </c:pt>
                <c:pt idx="153">
                  <c:v>45946</c:v>
                </c:pt>
                <c:pt idx="154">
                  <c:v>45945</c:v>
                </c:pt>
                <c:pt idx="155">
                  <c:v>45944</c:v>
                </c:pt>
                <c:pt idx="156">
                  <c:v>45943</c:v>
                </c:pt>
                <c:pt idx="157">
                  <c:v>45940</c:v>
                </c:pt>
                <c:pt idx="158">
                  <c:v>45939</c:v>
                </c:pt>
                <c:pt idx="159">
                  <c:v>45938</c:v>
                </c:pt>
                <c:pt idx="160">
                  <c:v>45937</c:v>
                </c:pt>
                <c:pt idx="161">
                  <c:v>45936</c:v>
                </c:pt>
                <c:pt idx="162">
                  <c:v>45933</c:v>
                </c:pt>
                <c:pt idx="163">
                  <c:v>45931</c:v>
                </c:pt>
                <c:pt idx="164">
                  <c:v>45930</c:v>
                </c:pt>
                <c:pt idx="165">
                  <c:v>45929</c:v>
                </c:pt>
                <c:pt idx="166">
                  <c:v>45926</c:v>
                </c:pt>
                <c:pt idx="167">
                  <c:v>45925</c:v>
                </c:pt>
                <c:pt idx="168">
                  <c:v>45924</c:v>
                </c:pt>
                <c:pt idx="169">
                  <c:v>45923</c:v>
                </c:pt>
                <c:pt idx="170">
                  <c:v>45922</c:v>
                </c:pt>
                <c:pt idx="171">
                  <c:v>45919</c:v>
                </c:pt>
                <c:pt idx="172">
                  <c:v>45918</c:v>
                </c:pt>
                <c:pt idx="173">
                  <c:v>45917</c:v>
                </c:pt>
                <c:pt idx="174">
                  <c:v>45916</c:v>
                </c:pt>
                <c:pt idx="175">
                  <c:v>45915</c:v>
                </c:pt>
                <c:pt idx="176">
                  <c:v>45912</c:v>
                </c:pt>
                <c:pt idx="177">
                  <c:v>45911</c:v>
                </c:pt>
                <c:pt idx="178">
                  <c:v>45910</c:v>
                </c:pt>
                <c:pt idx="179">
                  <c:v>45909</c:v>
                </c:pt>
                <c:pt idx="180">
                  <c:v>45908</c:v>
                </c:pt>
                <c:pt idx="181">
                  <c:v>45905</c:v>
                </c:pt>
                <c:pt idx="182">
                  <c:v>45904</c:v>
                </c:pt>
                <c:pt idx="183">
                  <c:v>45903</c:v>
                </c:pt>
                <c:pt idx="184">
                  <c:v>45902</c:v>
                </c:pt>
                <c:pt idx="185">
                  <c:v>45901</c:v>
                </c:pt>
                <c:pt idx="186">
                  <c:v>45898</c:v>
                </c:pt>
                <c:pt idx="187">
                  <c:v>45897</c:v>
                </c:pt>
                <c:pt idx="188">
                  <c:v>45895</c:v>
                </c:pt>
                <c:pt idx="189">
                  <c:v>45894</c:v>
                </c:pt>
                <c:pt idx="190">
                  <c:v>45891</c:v>
                </c:pt>
                <c:pt idx="191">
                  <c:v>45890</c:v>
                </c:pt>
                <c:pt idx="192">
                  <c:v>45889</c:v>
                </c:pt>
                <c:pt idx="193">
                  <c:v>45888</c:v>
                </c:pt>
                <c:pt idx="194">
                  <c:v>45887</c:v>
                </c:pt>
                <c:pt idx="195">
                  <c:v>45883</c:v>
                </c:pt>
                <c:pt idx="196">
                  <c:v>45882</c:v>
                </c:pt>
                <c:pt idx="197">
                  <c:v>45881</c:v>
                </c:pt>
                <c:pt idx="198">
                  <c:v>45880</c:v>
                </c:pt>
                <c:pt idx="199">
                  <c:v>45877</c:v>
                </c:pt>
                <c:pt idx="200">
                  <c:v>45876</c:v>
                </c:pt>
                <c:pt idx="201">
                  <c:v>45875</c:v>
                </c:pt>
                <c:pt idx="202">
                  <c:v>45874</c:v>
                </c:pt>
                <c:pt idx="203">
                  <c:v>45873</c:v>
                </c:pt>
                <c:pt idx="204">
                  <c:v>45870</c:v>
                </c:pt>
                <c:pt idx="205">
                  <c:v>45869</c:v>
                </c:pt>
                <c:pt idx="206">
                  <c:v>45868</c:v>
                </c:pt>
                <c:pt idx="207">
                  <c:v>45867</c:v>
                </c:pt>
                <c:pt idx="208">
                  <c:v>45866</c:v>
                </c:pt>
                <c:pt idx="209">
                  <c:v>45863</c:v>
                </c:pt>
                <c:pt idx="210">
                  <c:v>45862</c:v>
                </c:pt>
                <c:pt idx="211">
                  <c:v>45861</c:v>
                </c:pt>
                <c:pt idx="212">
                  <c:v>45860</c:v>
                </c:pt>
                <c:pt idx="213">
                  <c:v>45859</c:v>
                </c:pt>
                <c:pt idx="214">
                  <c:v>45856</c:v>
                </c:pt>
                <c:pt idx="215">
                  <c:v>45855</c:v>
                </c:pt>
                <c:pt idx="216">
                  <c:v>45854</c:v>
                </c:pt>
                <c:pt idx="217">
                  <c:v>45853</c:v>
                </c:pt>
                <c:pt idx="218">
                  <c:v>45852</c:v>
                </c:pt>
                <c:pt idx="219">
                  <c:v>45849</c:v>
                </c:pt>
                <c:pt idx="220">
                  <c:v>45848</c:v>
                </c:pt>
                <c:pt idx="221">
                  <c:v>45847</c:v>
                </c:pt>
                <c:pt idx="222">
                  <c:v>45846</c:v>
                </c:pt>
                <c:pt idx="223">
                  <c:v>45845</c:v>
                </c:pt>
                <c:pt idx="224">
                  <c:v>45842</c:v>
                </c:pt>
                <c:pt idx="225">
                  <c:v>45841</c:v>
                </c:pt>
                <c:pt idx="226">
                  <c:v>45840</c:v>
                </c:pt>
                <c:pt idx="227">
                  <c:v>45839</c:v>
                </c:pt>
                <c:pt idx="228">
                  <c:v>45838</c:v>
                </c:pt>
                <c:pt idx="229">
                  <c:v>45835</c:v>
                </c:pt>
                <c:pt idx="230">
                  <c:v>45834</c:v>
                </c:pt>
                <c:pt idx="231">
                  <c:v>45833</c:v>
                </c:pt>
                <c:pt idx="232">
                  <c:v>45832</c:v>
                </c:pt>
                <c:pt idx="233">
                  <c:v>45831</c:v>
                </c:pt>
                <c:pt idx="234">
                  <c:v>45828</c:v>
                </c:pt>
                <c:pt idx="235">
                  <c:v>45827</c:v>
                </c:pt>
                <c:pt idx="236">
                  <c:v>45826</c:v>
                </c:pt>
                <c:pt idx="237">
                  <c:v>45825</c:v>
                </c:pt>
                <c:pt idx="238">
                  <c:v>45824</c:v>
                </c:pt>
                <c:pt idx="239">
                  <c:v>45821</c:v>
                </c:pt>
                <c:pt idx="240">
                  <c:v>45820</c:v>
                </c:pt>
                <c:pt idx="241">
                  <c:v>45819</c:v>
                </c:pt>
                <c:pt idx="242">
                  <c:v>45818</c:v>
                </c:pt>
                <c:pt idx="243">
                  <c:v>45817</c:v>
                </c:pt>
                <c:pt idx="244">
                  <c:v>45814</c:v>
                </c:pt>
                <c:pt idx="245">
                  <c:v>45813</c:v>
                </c:pt>
                <c:pt idx="246">
                  <c:v>45812</c:v>
                </c:pt>
                <c:pt idx="247">
                  <c:v>45811</c:v>
                </c:pt>
                <c:pt idx="248">
                  <c:v>45810</c:v>
                </c:pt>
                <c:pt idx="249">
                  <c:v>45807</c:v>
                </c:pt>
                <c:pt idx="250">
                  <c:v>45806</c:v>
                </c:pt>
                <c:pt idx="251">
                  <c:v>45805</c:v>
                </c:pt>
                <c:pt idx="252">
                  <c:v>45804</c:v>
                </c:pt>
                <c:pt idx="253">
                  <c:v>45803</c:v>
                </c:pt>
                <c:pt idx="254">
                  <c:v>45800</c:v>
                </c:pt>
                <c:pt idx="255">
                  <c:v>45799</c:v>
                </c:pt>
                <c:pt idx="256">
                  <c:v>45798</c:v>
                </c:pt>
                <c:pt idx="257">
                  <c:v>45797</c:v>
                </c:pt>
                <c:pt idx="258">
                  <c:v>45796</c:v>
                </c:pt>
                <c:pt idx="259">
                  <c:v>45793</c:v>
                </c:pt>
                <c:pt idx="260">
                  <c:v>45792</c:v>
                </c:pt>
                <c:pt idx="261">
                  <c:v>45791</c:v>
                </c:pt>
                <c:pt idx="262">
                  <c:v>45790</c:v>
                </c:pt>
                <c:pt idx="263">
                  <c:v>45789</c:v>
                </c:pt>
                <c:pt idx="264">
                  <c:v>45786</c:v>
                </c:pt>
                <c:pt idx="265">
                  <c:v>45785</c:v>
                </c:pt>
                <c:pt idx="266">
                  <c:v>45784</c:v>
                </c:pt>
                <c:pt idx="267">
                  <c:v>45783</c:v>
                </c:pt>
                <c:pt idx="268">
                  <c:v>45782</c:v>
                </c:pt>
                <c:pt idx="269">
                  <c:v>45779</c:v>
                </c:pt>
                <c:pt idx="270">
                  <c:v>45777</c:v>
                </c:pt>
                <c:pt idx="271">
                  <c:v>45776</c:v>
                </c:pt>
                <c:pt idx="272">
                  <c:v>45775</c:v>
                </c:pt>
                <c:pt idx="273">
                  <c:v>45772</c:v>
                </c:pt>
                <c:pt idx="274">
                  <c:v>45771</c:v>
                </c:pt>
                <c:pt idx="275">
                  <c:v>45770</c:v>
                </c:pt>
                <c:pt idx="276">
                  <c:v>45769</c:v>
                </c:pt>
                <c:pt idx="277">
                  <c:v>45768</c:v>
                </c:pt>
                <c:pt idx="278">
                  <c:v>45764</c:v>
                </c:pt>
                <c:pt idx="279">
                  <c:v>45763</c:v>
                </c:pt>
                <c:pt idx="280">
                  <c:v>45762</c:v>
                </c:pt>
                <c:pt idx="281">
                  <c:v>45758</c:v>
                </c:pt>
                <c:pt idx="282">
                  <c:v>45756</c:v>
                </c:pt>
                <c:pt idx="283">
                  <c:v>45755</c:v>
                </c:pt>
                <c:pt idx="284">
                  <c:v>45754</c:v>
                </c:pt>
                <c:pt idx="285">
                  <c:v>45751</c:v>
                </c:pt>
                <c:pt idx="286">
                  <c:v>45750</c:v>
                </c:pt>
                <c:pt idx="287">
                  <c:v>45749</c:v>
                </c:pt>
                <c:pt idx="288">
                  <c:v>45748</c:v>
                </c:pt>
                <c:pt idx="289">
                  <c:v>45744</c:v>
                </c:pt>
                <c:pt idx="290">
                  <c:v>45743</c:v>
                </c:pt>
                <c:pt idx="291">
                  <c:v>45742</c:v>
                </c:pt>
                <c:pt idx="292">
                  <c:v>45741</c:v>
                </c:pt>
                <c:pt idx="293">
                  <c:v>45740</c:v>
                </c:pt>
                <c:pt idx="294">
                  <c:v>45737</c:v>
                </c:pt>
                <c:pt idx="295">
                  <c:v>45736</c:v>
                </c:pt>
                <c:pt idx="296">
                  <c:v>45735</c:v>
                </c:pt>
                <c:pt idx="297">
                  <c:v>45734</c:v>
                </c:pt>
                <c:pt idx="298">
                  <c:v>45733</c:v>
                </c:pt>
                <c:pt idx="299">
                  <c:v>45729</c:v>
                </c:pt>
                <c:pt idx="300">
                  <c:v>45728</c:v>
                </c:pt>
                <c:pt idx="301">
                  <c:v>45727</c:v>
                </c:pt>
                <c:pt idx="302">
                  <c:v>45726</c:v>
                </c:pt>
                <c:pt idx="303">
                  <c:v>45723</c:v>
                </c:pt>
                <c:pt idx="304">
                  <c:v>45722</c:v>
                </c:pt>
                <c:pt idx="305">
                  <c:v>45721</c:v>
                </c:pt>
                <c:pt idx="306">
                  <c:v>45720</c:v>
                </c:pt>
                <c:pt idx="307">
                  <c:v>45719</c:v>
                </c:pt>
                <c:pt idx="308">
                  <c:v>45716</c:v>
                </c:pt>
                <c:pt idx="309">
                  <c:v>45715</c:v>
                </c:pt>
                <c:pt idx="310">
                  <c:v>45713</c:v>
                </c:pt>
                <c:pt idx="311">
                  <c:v>45712</c:v>
                </c:pt>
                <c:pt idx="312">
                  <c:v>45709</c:v>
                </c:pt>
                <c:pt idx="313">
                  <c:v>45708</c:v>
                </c:pt>
                <c:pt idx="314">
                  <c:v>45707</c:v>
                </c:pt>
                <c:pt idx="315">
                  <c:v>45706</c:v>
                </c:pt>
                <c:pt idx="316">
                  <c:v>45705</c:v>
                </c:pt>
                <c:pt idx="317">
                  <c:v>45702</c:v>
                </c:pt>
                <c:pt idx="318">
                  <c:v>45701</c:v>
                </c:pt>
                <c:pt idx="319">
                  <c:v>45700</c:v>
                </c:pt>
                <c:pt idx="320">
                  <c:v>45699</c:v>
                </c:pt>
                <c:pt idx="321">
                  <c:v>45698</c:v>
                </c:pt>
                <c:pt idx="322">
                  <c:v>45695</c:v>
                </c:pt>
                <c:pt idx="323">
                  <c:v>45694</c:v>
                </c:pt>
                <c:pt idx="324">
                  <c:v>45693</c:v>
                </c:pt>
                <c:pt idx="325">
                  <c:v>45692</c:v>
                </c:pt>
                <c:pt idx="326">
                  <c:v>45691</c:v>
                </c:pt>
                <c:pt idx="327">
                  <c:v>45689</c:v>
                </c:pt>
                <c:pt idx="328">
                  <c:v>45688</c:v>
                </c:pt>
                <c:pt idx="329">
                  <c:v>45687</c:v>
                </c:pt>
                <c:pt idx="330">
                  <c:v>45686</c:v>
                </c:pt>
                <c:pt idx="331">
                  <c:v>45685</c:v>
                </c:pt>
                <c:pt idx="332">
                  <c:v>45684</c:v>
                </c:pt>
                <c:pt idx="333">
                  <c:v>45681</c:v>
                </c:pt>
                <c:pt idx="334">
                  <c:v>45680</c:v>
                </c:pt>
                <c:pt idx="335">
                  <c:v>45679</c:v>
                </c:pt>
                <c:pt idx="336">
                  <c:v>45678</c:v>
                </c:pt>
                <c:pt idx="337">
                  <c:v>45677</c:v>
                </c:pt>
                <c:pt idx="338">
                  <c:v>45674</c:v>
                </c:pt>
                <c:pt idx="339">
                  <c:v>45673</c:v>
                </c:pt>
                <c:pt idx="340">
                  <c:v>45672</c:v>
                </c:pt>
                <c:pt idx="341">
                  <c:v>45671</c:v>
                </c:pt>
                <c:pt idx="342">
                  <c:v>45670</c:v>
                </c:pt>
                <c:pt idx="343">
                  <c:v>45667</c:v>
                </c:pt>
                <c:pt idx="344">
                  <c:v>45666</c:v>
                </c:pt>
                <c:pt idx="345">
                  <c:v>45665</c:v>
                </c:pt>
                <c:pt idx="346">
                  <c:v>45664</c:v>
                </c:pt>
                <c:pt idx="347">
                  <c:v>45663</c:v>
                </c:pt>
                <c:pt idx="348">
                  <c:v>45660</c:v>
                </c:pt>
                <c:pt idx="349">
                  <c:v>45659</c:v>
                </c:pt>
                <c:pt idx="350">
                  <c:v>45658</c:v>
                </c:pt>
                <c:pt idx="351">
                  <c:v>45657</c:v>
                </c:pt>
                <c:pt idx="352">
                  <c:v>45656</c:v>
                </c:pt>
                <c:pt idx="353">
                  <c:v>45653</c:v>
                </c:pt>
                <c:pt idx="354">
                  <c:v>45652</c:v>
                </c:pt>
                <c:pt idx="355">
                  <c:v>45650</c:v>
                </c:pt>
                <c:pt idx="356">
                  <c:v>45649</c:v>
                </c:pt>
                <c:pt idx="357">
                  <c:v>45646</c:v>
                </c:pt>
                <c:pt idx="358">
                  <c:v>45645</c:v>
                </c:pt>
                <c:pt idx="359">
                  <c:v>45644</c:v>
                </c:pt>
                <c:pt idx="360">
                  <c:v>45643</c:v>
                </c:pt>
                <c:pt idx="361">
                  <c:v>45642</c:v>
                </c:pt>
                <c:pt idx="362">
                  <c:v>45639</c:v>
                </c:pt>
                <c:pt idx="363">
                  <c:v>45638</c:v>
                </c:pt>
                <c:pt idx="364">
                  <c:v>45637</c:v>
                </c:pt>
                <c:pt idx="365">
                  <c:v>45636</c:v>
                </c:pt>
                <c:pt idx="366">
                  <c:v>45635</c:v>
                </c:pt>
                <c:pt idx="367">
                  <c:v>45632</c:v>
                </c:pt>
                <c:pt idx="368">
                  <c:v>45631</c:v>
                </c:pt>
                <c:pt idx="369">
                  <c:v>45630</c:v>
                </c:pt>
                <c:pt idx="370">
                  <c:v>45629</c:v>
                </c:pt>
                <c:pt idx="371">
                  <c:v>45628</c:v>
                </c:pt>
                <c:pt idx="372">
                  <c:v>45625</c:v>
                </c:pt>
                <c:pt idx="373">
                  <c:v>45624</c:v>
                </c:pt>
                <c:pt idx="374">
                  <c:v>45623</c:v>
                </c:pt>
                <c:pt idx="375">
                  <c:v>45622</c:v>
                </c:pt>
                <c:pt idx="376">
                  <c:v>45621</c:v>
                </c:pt>
                <c:pt idx="377">
                  <c:v>45618</c:v>
                </c:pt>
                <c:pt idx="378">
                  <c:v>45617</c:v>
                </c:pt>
                <c:pt idx="379">
                  <c:v>45615</c:v>
                </c:pt>
                <c:pt idx="380">
                  <c:v>45614</c:v>
                </c:pt>
                <c:pt idx="381">
                  <c:v>45610</c:v>
                </c:pt>
                <c:pt idx="382">
                  <c:v>45609</c:v>
                </c:pt>
                <c:pt idx="383">
                  <c:v>45608</c:v>
                </c:pt>
                <c:pt idx="384">
                  <c:v>45607</c:v>
                </c:pt>
                <c:pt idx="385">
                  <c:v>45604</c:v>
                </c:pt>
                <c:pt idx="386">
                  <c:v>45603</c:v>
                </c:pt>
                <c:pt idx="387">
                  <c:v>45602</c:v>
                </c:pt>
                <c:pt idx="388">
                  <c:v>45601</c:v>
                </c:pt>
                <c:pt idx="389">
                  <c:v>45600</c:v>
                </c:pt>
                <c:pt idx="390">
                  <c:v>45597</c:v>
                </c:pt>
                <c:pt idx="391">
                  <c:v>45596</c:v>
                </c:pt>
                <c:pt idx="392">
                  <c:v>45595</c:v>
                </c:pt>
                <c:pt idx="393">
                  <c:v>45594</c:v>
                </c:pt>
                <c:pt idx="394">
                  <c:v>45593</c:v>
                </c:pt>
                <c:pt idx="395">
                  <c:v>45590</c:v>
                </c:pt>
                <c:pt idx="396">
                  <c:v>45589</c:v>
                </c:pt>
                <c:pt idx="397">
                  <c:v>45588</c:v>
                </c:pt>
                <c:pt idx="398">
                  <c:v>45587</c:v>
                </c:pt>
                <c:pt idx="399">
                  <c:v>45586</c:v>
                </c:pt>
                <c:pt idx="400">
                  <c:v>45583</c:v>
                </c:pt>
                <c:pt idx="401">
                  <c:v>45582</c:v>
                </c:pt>
                <c:pt idx="402">
                  <c:v>45581</c:v>
                </c:pt>
                <c:pt idx="403">
                  <c:v>45580</c:v>
                </c:pt>
                <c:pt idx="404">
                  <c:v>45579</c:v>
                </c:pt>
                <c:pt idx="405">
                  <c:v>45576</c:v>
                </c:pt>
                <c:pt idx="406">
                  <c:v>45575</c:v>
                </c:pt>
                <c:pt idx="407">
                  <c:v>45574</c:v>
                </c:pt>
                <c:pt idx="408">
                  <c:v>45573</c:v>
                </c:pt>
                <c:pt idx="409">
                  <c:v>45572</c:v>
                </c:pt>
                <c:pt idx="410">
                  <c:v>45569</c:v>
                </c:pt>
                <c:pt idx="411">
                  <c:v>45568</c:v>
                </c:pt>
                <c:pt idx="412">
                  <c:v>45566</c:v>
                </c:pt>
                <c:pt idx="413">
                  <c:v>45565</c:v>
                </c:pt>
                <c:pt idx="414">
                  <c:v>45562</c:v>
                </c:pt>
                <c:pt idx="415">
                  <c:v>45561</c:v>
                </c:pt>
                <c:pt idx="416">
                  <c:v>45560</c:v>
                </c:pt>
                <c:pt idx="417">
                  <c:v>45559</c:v>
                </c:pt>
                <c:pt idx="418">
                  <c:v>45558</c:v>
                </c:pt>
                <c:pt idx="419">
                  <c:v>45555</c:v>
                </c:pt>
                <c:pt idx="420">
                  <c:v>45554</c:v>
                </c:pt>
                <c:pt idx="421">
                  <c:v>45553</c:v>
                </c:pt>
                <c:pt idx="422">
                  <c:v>45552</c:v>
                </c:pt>
                <c:pt idx="423">
                  <c:v>45551</c:v>
                </c:pt>
                <c:pt idx="424">
                  <c:v>45548</c:v>
                </c:pt>
                <c:pt idx="425">
                  <c:v>45547</c:v>
                </c:pt>
                <c:pt idx="426">
                  <c:v>45546</c:v>
                </c:pt>
                <c:pt idx="427">
                  <c:v>45545</c:v>
                </c:pt>
                <c:pt idx="428">
                  <c:v>45544</c:v>
                </c:pt>
                <c:pt idx="429">
                  <c:v>45541</c:v>
                </c:pt>
                <c:pt idx="430">
                  <c:v>45540</c:v>
                </c:pt>
                <c:pt idx="431">
                  <c:v>45539</c:v>
                </c:pt>
                <c:pt idx="432">
                  <c:v>45538</c:v>
                </c:pt>
                <c:pt idx="433">
                  <c:v>45537</c:v>
                </c:pt>
                <c:pt idx="434">
                  <c:v>45534</c:v>
                </c:pt>
                <c:pt idx="435">
                  <c:v>45533</c:v>
                </c:pt>
                <c:pt idx="436">
                  <c:v>45532</c:v>
                </c:pt>
                <c:pt idx="437">
                  <c:v>45531</c:v>
                </c:pt>
                <c:pt idx="438">
                  <c:v>45530</c:v>
                </c:pt>
                <c:pt idx="439">
                  <c:v>45527</c:v>
                </c:pt>
                <c:pt idx="440">
                  <c:v>45526</c:v>
                </c:pt>
                <c:pt idx="441">
                  <c:v>45525</c:v>
                </c:pt>
                <c:pt idx="442">
                  <c:v>45524</c:v>
                </c:pt>
                <c:pt idx="443">
                  <c:v>45523</c:v>
                </c:pt>
                <c:pt idx="444">
                  <c:v>45520</c:v>
                </c:pt>
                <c:pt idx="445">
                  <c:v>45518</c:v>
                </c:pt>
                <c:pt idx="446">
                  <c:v>45517</c:v>
                </c:pt>
                <c:pt idx="447">
                  <c:v>45516</c:v>
                </c:pt>
                <c:pt idx="448">
                  <c:v>45513</c:v>
                </c:pt>
                <c:pt idx="449">
                  <c:v>45512</c:v>
                </c:pt>
                <c:pt idx="450">
                  <c:v>45511</c:v>
                </c:pt>
                <c:pt idx="451">
                  <c:v>45510</c:v>
                </c:pt>
                <c:pt idx="452">
                  <c:v>45509</c:v>
                </c:pt>
                <c:pt idx="453">
                  <c:v>45506</c:v>
                </c:pt>
                <c:pt idx="454">
                  <c:v>45505</c:v>
                </c:pt>
                <c:pt idx="455">
                  <c:v>45504</c:v>
                </c:pt>
                <c:pt idx="456">
                  <c:v>45503</c:v>
                </c:pt>
                <c:pt idx="457">
                  <c:v>45502</c:v>
                </c:pt>
                <c:pt idx="458">
                  <c:v>45499</c:v>
                </c:pt>
                <c:pt idx="459">
                  <c:v>45498</c:v>
                </c:pt>
                <c:pt idx="460">
                  <c:v>45497</c:v>
                </c:pt>
                <c:pt idx="461">
                  <c:v>45496</c:v>
                </c:pt>
                <c:pt idx="462">
                  <c:v>45495</c:v>
                </c:pt>
                <c:pt idx="463">
                  <c:v>45492</c:v>
                </c:pt>
                <c:pt idx="464">
                  <c:v>45491</c:v>
                </c:pt>
                <c:pt idx="465">
                  <c:v>45489</c:v>
                </c:pt>
                <c:pt idx="466">
                  <c:v>45488</c:v>
                </c:pt>
                <c:pt idx="467">
                  <c:v>45485</c:v>
                </c:pt>
                <c:pt idx="468">
                  <c:v>45484</c:v>
                </c:pt>
                <c:pt idx="469">
                  <c:v>45483</c:v>
                </c:pt>
                <c:pt idx="470">
                  <c:v>45482</c:v>
                </c:pt>
                <c:pt idx="471">
                  <c:v>45481</c:v>
                </c:pt>
                <c:pt idx="472">
                  <c:v>45478</c:v>
                </c:pt>
                <c:pt idx="473">
                  <c:v>45477</c:v>
                </c:pt>
                <c:pt idx="474">
                  <c:v>45476</c:v>
                </c:pt>
                <c:pt idx="475">
                  <c:v>45475</c:v>
                </c:pt>
                <c:pt idx="476">
                  <c:v>45474</c:v>
                </c:pt>
                <c:pt idx="477">
                  <c:v>45471</c:v>
                </c:pt>
                <c:pt idx="478">
                  <c:v>45470</c:v>
                </c:pt>
                <c:pt idx="479">
                  <c:v>45469</c:v>
                </c:pt>
                <c:pt idx="480">
                  <c:v>45468</c:v>
                </c:pt>
                <c:pt idx="481">
                  <c:v>45467</c:v>
                </c:pt>
                <c:pt idx="482">
                  <c:v>45464</c:v>
                </c:pt>
                <c:pt idx="483">
                  <c:v>45463</c:v>
                </c:pt>
                <c:pt idx="484">
                  <c:v>45462</c:v>
                </c:pt>
                <c:pt idx="485">
                  <c:v>45461</c:v>
                </c:pt>
                <c:pt idx="486">
                  <c:v>45457</c:v>
                </c:pt>
                <c:pt idx="487">
                  <c:v>45456</c:v>
                </c:pt>
                <c:pt idx="488">
                  <c:v>45455</c:v>
                </c:pt>
                <c:pt idx="489">
                  <c:v>45454</c:v>
                </c:pt>
                <c:pt idx="490">
                  <c:v>45453</c:v>
                </c:pt>
                <c:pt idx="491">
                  <c:v>45450</c:v>
                </c:pt>
                <c:pt idx="492">
                  <c:v>45449</c:v>
                </c:pt>
                <c:pt idx="493">
                  <c:v>45448</c:v>
                </c:pt>
                <c:pt idx="494">
                  <c:v>45447</c:v>
                </c:pt>
                <c:pt idx="495">
                  <c:v>45446</c:v>
                </c:pt>
              </c:numCache>
            </c:numRef>
          </c:cat>
          <c:val>
            <c:numRef>
              <c:f>'Graphical Representation'!$H$267:$H$762</c:f>
              <c:numCache>
                <c:formatCode>0.00</c:formatCode>
                <c:ptCount val="496"/>
                <c:pt idx="0">
                  <c:v>111.33115205786122</c:v>
                </c:pt>
                <c:pt idx="1">
                  <c:v>107.35893461913784</c:v>
                </c:pt>
                <c:pt idx="2">
                  <c:v>105.6253946386545</c:v>
                </c:pt>
                <c:pt idx="3">
                  <c:v>105.64261523448712</c:v>
                </c:pt>
                <c:pt idx="4">
                  <c:v>111.7616669536766</c:v>
                </c:pt>
                <c:pt idx="5">
                  <c:v>113.7248148785948</c:v>
                </c:pt>
                <c:pt idx="6">
                  <c:v>113.5239079272143</c:v>
                </c:pt>
                <c:pt idx="7">
                  <c:v>113.51816772860342</c:v>
                </c:pt>
                <c:pt idx="8">
                  <c:v>113.5640893174904</c:v>
                </c:pt>
                <c:pt idx="9">
                  <c:v>112.0486768842202</c:v>
                </c:pt>
                <c:pt idx="10">
                  <c:v>112.2495838356007</c:v>
                </c:pt>
                <c:pt idx="11">
                  <c:v>110.76287239538487</c:v>
                </c:pt>
                <c:pt idx="12">
                  <c:v>112.88100568279663</c:v>
                </c:pt>
                <c:pt idx="13">
                  <c:v>112.58825555364216</c:v>
                </c:pt>
                <c:pt idx="14">
                  <c:v>113.61001090637737</c:v>
                </c:pt>
                <c:pt idx="15">
                  <c:v>113.10487342862064</c:v>
                </c:pt>
                <c:pt idx="16">
                  <c:v>118.68434647838815</c:v>
                </c:pt>
                <c:pt idx="17">
                  <c:v>124.0973537684404</c:v>
                </c:pt>
                <c:pt idx="18">
                  <c:v>125.41185925033007</c:v>
                </c:pt>
                <c:pt idx="19">
                  <c:v>121.79553412548077</c:v>
                </c:pt>
                <c:pt idx="20">
                  <c:v>118.94839561448826</c:v>
                </c:pt>
                <c:pt idx="21">
                  <c:v>119.25262614086446</c:v>
                </c:pt>
                <c:pt idx="22">
                  <c:v>118.37437575340107</c:v>
                </c:pt>
                <c:pt idx="23">
                  <c:v>120.1480971241605</c:v>
                </c:pt>
                <c:pt idx="24">
                  <c:v>124.68285402674933</c:v>
                </c:pt>
                <c:pt idx="25">
                  <c:v>127.17410022386775</c:v>
                </c:pt>
                <c:pt idx="26">
                  <c:v>121.04930830606742</c:v>
                </c:pt>
                <c:pt idx="27">
                  <c:v>123.86200562539467</c:v>
                </c:pt>
                <c:pt idx="28">
                  <c:v>117.82331668675737</c:v>
                </c:pt>
                <c:pt idx="29">
                  <c:v>117.3698409964985</c:v>
                </c:pt>
                <c:pt idx="30">
                  <c:v>116.42844842431548</c:v>
                </c:pt>
                <c:pt idx="31">
                  <c:v>116.08403650766317</c:v>
                </c:pt>
                <c:pt idx="32">
                  <c:v>117.6740715228747</c:v>
                </c:pt>
                <c:pt idx="33">
                  <c:v>115.80276677573045</c:v>
                </c:pt>
                <c:pt idx="34">
                  <c:v>110.87193616899145</c:v>
                </c:pt>
                <c:pt idx="35">
                  <c:v>109.74111704264968</c:v>
                </c:pt>
                <c:pt idx="36">
                  <c:v>106.95712071637679</c:v>
                </c:pt>
                <c:pt idx="37">
                  <c:v>105.0743355720108</c:v>
                </c:pt>
                <c:pt idx="38">
                  <c:v>99.747431261121648</c:v>
                </c:pt>
                <c:pt idx="39">
                  <c:v>98.593651340336379</c:v>
                </c:pt>
                <c:pt idx="40">
                  <c:v>100.38459330692842</c:v>
                </c:pt>
                <c:pt idx="41">
                  <c:v>99.236553584754034</c:v>
                </c:pt>
                <c:pt idx="42">
                  <c:v>92.055565122553247</c:v>
                </c:pt>
                <c:pt idx="43">
                  <c:v>96.022042362665744</c:v>
                </c:pt>
                <c:pt idx="44">
                  <c:v>98.432925779231965</c:v>
                </c:pt>
                <c:pt idx="45">
                  <c:v>94.719017277997821</c:v>
                </c:pt>
                <c:pt idx="46">
                  <c:v>86.544974456116179</c:v>
                </c:pt>
                <c:pt idx="47">
                  <c:v>91.165834337868105</c:v>
                </c:pt>
                <c:pt idx="48">
                  <c:v>93.714482521095235</c:v>
                </c:pt>
                <c:pt idx="49">
                  <c:v>95.183973365478465</c:v>
                </c:pt>
                <c:pt idx="50">
                  <c:v>88.674588140749677</c:v>
                </c:pt>
                <c:pt idx="51">
                  <c:v>86.3785086964009</c:v>
                </c:pt>
                <c:pt idx="52">
                  <c:v>87.354342460249129</c:v>
                </c:pt>
                <c:pt idx="53">
                  <c:v>89.351931576832555</c:v>
                </c:pt>
                <c:pt idx="54">
                  <c:v>87.670053383847076</c:v>
                </c:pt>
                <c:pt idx="55">
                  <c:v>86.011135985305103</c:v>
                </c:pt>
                <c:pt idx="56">
                  <c:v>83.209919063199592</c:v>
                </c:pt>
                <c:pt idx="57">
                  <c:v>84.909017852017683</c:v>
                </c:pt>
                <c:pt idx="58">
                  <c:v>83.870041903449859</c:v>
                </c:pt>
                <c:pt idx="59">
                  <c:v>85.540439699213593</c:v>
                </c:pt>
                <c:pt idx="60">
                  <c:v>89.420813960163031</c:v>
                </c:pt>
                <c:pt idx="61">
                  <c:v>90.190000574019862</c:v>
                </c:pt>
                <c:pt idx="62">
                  <c:v>92.60662418919695</c:v>
                </c:pt>
                <c:pt idx="63">
                  <c:v>91.051030365650661</c:v>
                </c:pt>
                <c:pt idx="64">
                  <c:v>93.59967854887779</c:v>
                </c:pt>
                <c:pt idx="65">
                  <c:v>99.276734975030152</c:v>
                </c:pt>
                <c:pt idx="66">
                  <c:v>97.612077377877284</c:v>
                </c:pt>
                <c:pt idx="67">
                  <c:v>99.213592790310557</c:v>
                </c:pt>
                <c:pt idx="68">
                  <c:v>103.22599161931004</c:v>
                </c:pt>
                <c:pt idx="69">
                  <c:v>103.11692784570347</c:v>
                </c:pt>
                <c:pt idx="70">
                  <c:v>108.11664083577293</c:v>
                </c:pt>
                <c:pt idx="71">
                  <c:v>113.91424143275357</c:v>
                </c:pt>
                <c:pt idx="72">
                  <c:v>117.46742437288331</c:v>
                </c:pt>
                <c:pt idx="73">
                  <c:v>119.46501348946671</c:v>
                </c:pt>
                <c:pt idx="74">
                  <c:v>121.43390161299581</c:v>
                </c:pt>
                <c:pt idx="75">
                  <c:v>115.911830549337</c:v>
                </c:pt>
                <c:pt idx="76">
                  <c:v>110.99822053843064</c:v>
                </c:pt>
                <c:pt idx="77">
                  <c:v>109.08673440101029</c:v>
                </c:pt>
                <c:pt idx="78">
                  <c:v>111.25652947591989</c:v>
                </c:pt>
                <c:pt idx="79">
                  <c:v>118.93691521726653</c:v>
                </c:pt>
                <c:pt idx="80">
                  <c:v>101.9803685207508</c:v>
                </c:pt>
                <c:pt idx="81">
                  <c:v>100.87825038746341</c:v>
                </c:pt>
                <c:pt idx="82">
                  <c:v>101.67039779576375</c:v>
                </c:pt>
                <c:pt idx="83">
                  <c:v>99.380058550025836</c:v>
                </c:pt>
                <c:pt idx="84">
                  <c:v>102.27311864990529</c:v>
                </c:pt>
                <c:pt idx="85">
                  <c:v>99.397279145858448</c:v>
                </c:pt>
                <c:pt idx="86">
                  <c:v>104.47161471786926</c:v>
                </c:pt>
                <c:pt idx="87">
                  <c:v>107.64594454968142</c:v>
                </c:pt>
                <c:pt idx="88">
                  <c:v>105.50485046782619</c:v>
                </c:pt>
                <c:pt idx="89">
                  <c:v>113.04173124390104</c:v>
                </c:pt>
                <c:pt idx="90">
                  <c:v>114.05200619941451</c:v>
                </c:pt>
                <c:pt idx="91">
                  <c:v>113.23689799667069</c:v>
                </c:pt>
                <c:pt idx="92">
                  <c:v>114.91303599104529</c:v>
                </c:pt>
                <c:pt idx="93">
                  <c:v>118.04144423397051</c:v>
                </c:pt>
                <c:pt idx="94">
                  <c:v>121.71517134492855</c:v>
                </c:pt>
                <c:pt idx="95">
                  <c:v>124.19493714482522</c:v>
                </c:pt>
                <c:pt idx="96">
                  <c:v>126.2843694391826</c:v>
                </c:pt>
                <c:pt idx="97">
                  <c:v>127.27742379886347</c:v>
                </c:pt>
                <c:pt idx="98">
                  <c:v>129.01096377934678</c:v>
                </c:pt>
                <c:pt idx="99">
                  <c:v>129.12576775156421</c:v>
                </c:pt>
                <c:pt idx="100">
                  <c:v>129.52184145571437</c:v>
                </c:pt>
                <c:pt idx="101">
                  <c:v>128.10975259743989</c:v>
                </c:pt>
                <c:pt idx="102">
                  <c:v>128.7583950404684</c:v>
                </c:pt>
                <c:pt idx="103">
                  <c:v>127.88588485161587</c:v>
                </c:pt>
                <c:pt idx="104">
                  <c:v>128.95930199184892</c:v>
                </c:pt>
                <c:pt idx="105">
                  <c:v>127.656276907181</c:v>
                </c:pt>
                <c:pt idx="106">
                  <c:v>127.07651684748294</c:v>
                </c:pt>
                <c:pt idx="107">
                  <c:v>126.57711956833705</c:v>
                </c:pt>
                <c:pt idx="108">
                  <c:v>127.13391883359166</c:v>
                </c:pt>
                <c:pt idx="109">
                  <c:v>124.93542276562771</c:v>
                </c:pt>
                <c:pt idx="110">
                  <c:v>123.64961827679237</c:v>
                </c:pt>
                <c:pt idx="111">
                  <c:v>124.92968256701683</c:v>
                </c:pt>
                <c:pt idx="112">
                  <c:v>126.42213420584353</c:v>
                </c:pt>
                <c:pt idx="113">
                  <c:v>130.72154296538662</c:v>
                </c:pt>
                <c:pt idx="114">
                  <c:v>127.35204638080478</c:v>
                </c:pt>
                <c:pt idx="115">
                  <c:v>127.45536995580049</c:v>
                </c:pt>
                <c:pt idx="116">
                  <c:v>126.3245508294587</c:v>
                </c:pt>
                <c:pt idx="117">
                  <c:v>127.34056598358305</c:v>
                </c:pt>
                <c:pt idx="118">
                  <c:v>129.06262556684462</c:v>
                </c:pt>
                <c:pt idx="119">
                  <c:v>125.38889845588659</c:v>
                </c:pt>
                <c:pt idx="120">
                  <c:v>126.95597267665461</c:v>
                </c:pt>
                <c:pt idx="121">
                  <c:v>125.41185925033007</c:v>
                </c:pt>
                <c:pt idx="122">
                  <c:v>128.04087021410942</c:v>
                </c:pt>
                <c:pt idx="123">
                  <c:v>129.57924344182311</c:v>
                </c:pt>
                <c:pt idx="124">
                  <c:v>129.71700820848403</c:v>
                </c:pt>
                <c:pt idx="125">
                  <c:v>130.84208713621493</c:v>
                </c:pt>
                <c:pt idx="126">
                  <c:v>132.53544572642215</c:v>
                </c:pt>
                <c:pt idx="127">
                  <c:v>130.42879283623213</c:v>
                </c:pt>
                <c:pt idx="128">
                  <c:v>130.22788588485162</c:v>
                </c:pt>
                <c:pt idx="129">
                  <c:v>132.77653406807877</c:v>
                </c:pt>
                <c:pt idx="130">
                  <c:v>137.9254922220309</c:v>
                </c:pt>
                <c:pt idx="131">
                  <c:v>137.59830090121119</c:v>
                </c:pt>
                <c:pt idx="132">
                  <c:v>139.78531657195339</c:v>
                </c:pt>
                <c:pt idx="133">
                  <c:v>140.46840020664715</c:v>
                </c:pt>
                <c:pt idx="134">
                  <c:v>140.62912576775156</c:v>
                </c:pt>
                <c:pt idx="135">
                  <c:v>140.47988060386891</c:v>
                </c:pt>
                <c:pt idx="136">
                  <c:v>138.76930141782907</c:v>
                </c:pt>
                <c:pt idx="137">
                  <c:v>137.91401182480914</c:v>
                </c:pt>
                <c:pt idx="138">
                  <c:v>137.63274209287641</c:v>
                </c:pt>
                <c:pt idx="139">
                  <c:v>132.77079386946789</c:v>
                </c:pt>
                <c:pt idx="140">
                  <c:v>131.67441593479137</c:v>
                </c:pt>
                <c:pt idx="141">
                  <c:v>133.64904425693132</c:v>
                </c:pt>
                <c:pt idx="142">
                  <c:v>135.43424602491248</c:v>
                </c:pt>
                <c:pt idx="143">
                  <c:v>132.43786235003731</c:v>
                </c:pt>
                <c:pt idx="144">
                  <c:v>134.41823087078814</c:v>
                </c:pt>
                <c:pt idx="145">
                  <c:v>132.20251420699157</c:v>
                </c:pt>
                <c:pt idx="146">
                  <c:v>132.01308765283278</c:v>
                </c:pt>
                <c:pt idx="147">
                  <c:v>131.92698467366972</c:v>
                </c:pt>
                <c:pt idx="148">
                  <c:v>132.96022042362668</c:v>
                </c:pt>
                <c:pt idx="149">
                  <c:v>133.94753458469663</c:v>
                </c:pt>
                <c:pt idx="150">
                  <c:v>133.21852936111591</c:v>
                </c:pt>
                <c:pt idx="151">
                  <c:v>134.5732162332817</c:v>
                </c:pt>
                <c:pt idx="152">
                  <c:v>136.87503587624133</c:v>
                </c:pt>
                <c:pt idx="153">
                  <c:v>136.81763389013258</c:v>
                </c:pt>
                <c:pt idx="154">
                  <c:v>133.9130933930314</c:v>
                </c:pt>
                <c:pt idx="155">
                  <c:v>132.62728890419609</c:v>
                </c:pt>
                <c:pt idx="156">
                  <c:v>134.85448596521442</c:v>
                </c:pt>
                <c:pt idx="157">
                  <c:v>137.66718328454166</c:v>
                </c:pt>
                <c:pt idx="158">
                  <c:v>137.44331553871766</c:v>
                </c:pt>
                <c:pt idx="159">
                  <c:v>136.7602319040239</c:v>
                </c:pt>
                <c:pt idx="160">
                  <c:v>142.40284713851102</c:v>
                </c:pt>
                <c:pt idx="161">
                  <c:v>143.07445037598302</c:v>
                </c:pt>
                <c:pt idx="162">
                  <c:v>133.47683829860514</c:v>
                </c:pt>
                <c:pt idx="163">
                  <c:v>133.35629412777681</c:v>
                </c:pt>
                <c:pt idx="164">
                  <c:v>134.7282015957752</c:v>
                </c:pt>
                <c:pt idx="165">
                  <c:v>132.23121520004594</c:v>
                </c:pt>
                <c:pt idx="166">
                  <c:v>131.60553355146087</c:v>
                </c:pt>
                <c:pt idx="167">
                  <c:v>135.72125595545609</c:v>
                </c:pt>
                <c:pt idx="168">
                  <c:v>138.49951208311811</c:v>
                </c:pt>
                <c:pt idx="169">
                  <c:v>140.43969921359277</c:v>
                </c:pt>
                <c:pt idx="170">
                  <c:v>143.13185236209173</c:v>
                </c:pt>
                <c:pt idx="171">
                  <c:v>145.61161816198839</c:v>
                </c:pt>
                <c:pt idx="172">
                  <c:v>130.79616554732794</c:v>
                </c:pt>
                <c:pt idx="173">
                  <c:v>132.63302910280697</c:v>
                </c:pt>
                <c:pt idx="174">
                  <c:v>132.75931347224616</c:v>
                </c:pt>
                <c:pt idx="175">
                  <c:v>131.97290626255668</c:v>
                </c:pt>
                <c:pt idx="176">
                  <c:v>130.60099879455828</c:v>
                </c:pt>
                <c:pt idx="177">
                  <c:v>131.36444520980427</c:v>
                </c:pt>
                <c:pt idx="178">
                  <c:v>131.59405315423916</c:v>
                </c:pt>
                <c:pt idx="179">
                  <c:v>128.87319901268583</c:v>
                </c:pt>
                <c:pt idx="180">
                  <c:v>129.96957694736238</c:v>
                </c:pt>
                <c:pt idx="181">
                  <c:v>129.80311118764712</c:v>
                </c:pt>
                <c:pt idx="182">
                  <c:v>133.49979909304861</c:v>
                </c:pt>
                <c:pt idx="183">
                  <c:v>133.02910280695713</c:v>
                </c:pt>
                <c:pt idx="184">
                  <c:v>132.63302910280697</c:v>
                </c:pt>
                <c:pt idx="185">
                  <c:v>129.07984616267723</c:v>
                </c:pt>
                <c:pt idx="186">
                  <c:v>127.12817863498076</c:v>
                </c:pt>
                <c:pt idx="187">
                  <c:v>128.53452729464439</c:v>
                </c:pt>
                <c:pt idx="188">
                  <c:v>128.37380173353998</c:v>
                </c:pt>
                <c:pt idx="189">
                  <c:v>131.04873428620633</c:v>
                </c:pt>
                <c:pt idx="190">
                  <c:v>131.27834223064119</c:v>
                </c:pt>
                <c:pt idx="191">
                  <c:v>132.55840652086565</c:v>
                </c:pt>
                <c:pt idx="192">
                  <c:v>133.56294127776823</c:v>
                </c:pt>
                <c:pt idx="193">
                  <c:v>132.33453877504161</c:v>
                </c:pt>
                <c:pt idx="194">
                  <c:v>134.82578497216005</c:v>
                </c:pt>
                <c:pt idx="195">
                  <c:v>127.42092876413527</c:v>
                </c:pt>
                <c:pt idx="196">
                  <c:v>129.16020894322943</c:v>
                </c:pt>
                <c:pt idx="197">
                  <c:v>128.97078238907068</c:v>
                </c:pt>
                <c:pt idx="198">
                  <c:v>133.33907353194419</c:v>
                </c:pt>
                <c:pt idx="199">
                  <c:v>132.61006830836345</c:v>
                </c:pt>
                <c:pt idx="200">
                  <c:v>135.17019688881237</c:v>
                </c:pt>
                <c:pt idx="201">
                  <c:v>140.77263073302336</c:v>
                </c:pt>
                <c:pt idx="202">
                  <c:v>150.32432122151428</c:v>
                </c:pt>
                <c:pt idx="203">
                  <c:v>152.87296940474141</c:v>
                </c:pt>
                <c:pt idx="204">
                  <c:v>149.81344354514667</c:v>
                </c:pt>
                <c:pt idx="205">
                  <c:v>151.84547385339536</c:v>
                </c:pt>
                <c:pt idx="206">
                  <c:v>154.74427415188566</c:v>
                </c:pt>
                <c:pt idx="207">
                  <c:v>154.5778083921704</c:v>
                </c:pt>
                <c:pt idx="208">
                  <c:v>147.19017277997818</c:v>
                </c:pt>
                <c:pt idx="209">
                  <c:v>152.1152631881063</c:v>
                </c:pt>
                <c:pt idx="210">
                  <c:v>155.6799265254578</c:v>
                </c:pt>
                <c:pt idx="211">
                  <c:v>157.5856724642673</c:v>
                </c:pt>
                <c:pt idx="212">
                  <c:v>156.15062281154931</c:v>
                </c:pt>
                <c:pt idx="213">
                  <c:v>160.0137764766661</c:v>
                </c:pt>
                <c:pt idx="214">
                  <c:v>161.5693703002124</c:v>
                </c:pt>
                <c:pt idx="215">
                  <c:v>164.77814132368979</c:v>
                </c:pt>
                <c:pt idx="216">
                  <c:v>163.36031226680444</c:v>
                </c:pt>
                <c:pt idx="217">
                  <c:v>167.14884334997993</c:v>
                </c:pt>
                <c:pt idx="218">
                  <c:v>164.86998450146376</c:v>
                </c:pt>
                <c:pt idx="219">
                  <c:v>163.56121921818496</c:v>
                </c:pt>
                <c:pt idx="220">
                  <c:v>164.65759715286151</c:v>
                </c:pt>
                <c:pt idx="221">
                  <c:v>166.3337351472361</c:v>
                </c:pt>
                <c:pt idx="222">
                  <c:v>163.70472418345676</c:v>
                </c:pt>
                <c:pt idx="223">
                  <c:v>160.43855117387062</c:v>
                </c:pt>
                <c:pt idx="224">
                  <c:v>158.45244245450894</c:v>
                </c:pt>
                <c:pt idx="225">
                  <c:v>159.6291831697377</c:v>
                </c:pt>
                <c:pt idx="226">
                  <c:v>158.63612881005682</c:v>
                </c:pt>
                <c:pt idx="227">
                  <c:v>157.82676080592387</c:v>
                </c:pt>
                <c:pt idx="228">
                  <c:v>158.95183973365479</c:v>
                </c:pt>
                <c:pt idx="229">
                  <c:v>155.52494116296424</c:v>
                </c:pt>
                <c:pt idx="230">
                  <c:v>150.12915446874464</c:v>
                </c:pt>
                <c:pt idx="231">
                  <c:v>153.13127834223064</c:v>
                </c:pt>
                <c:pt idx="232">
                  <c:v>148.47023707020264</c:v>
                </c:pt>
                <c:pt idx="233">
                  <c:v>148.30377131048735</c:v>
                </c:pt>
                <c:pt idx="234">
                  <c:v>148.64818322713967</c:v>
                </c:pt>
                <c:pt idx="235">
                  <c:v>149.22794328683773</c:v>
                </c:pt>
                <c:pt idx="236">
                  <c:v>151.83973365478445</c:v>
                </c:pt>
                <c:pt idx="237">
                  <c:v>153.09109695195454</c:v>
                </c:pt>
                <c:pt idx="238">
                  <c:v>156.208024797658</c:v>
                </c:pt>
                <c:pt idx="239">
                  <c:v>156.99443200734746</c:v>
                </c:pt>
                <c:pt idx="240">
                  <c:v>156.20228459904712</c:v>
                </c:pt>
                <c:pt idx="241">
                  <c:v>158.45244245450894</c:v>
                </c:pt>
                <c:pt idx="242">
                  <c:v>159.1355260892027</c:v>
                </c:pt>
                <c:pt idx="243">
                  <c:v>160.63371792664029</c:v>
                </c:pt>
                <c:pt idx="244">
                  <c:v>160.51891395442283</c:v>
                </c:pt>
                <c:pt idx="245">
                  <c:v>161.0527524252339</c:v>
                </c:pt>
                <c:pt idx="246">
                  <c:v>159.60048217668333</c:v>
                </c:pt>
                <c:pt idx="247">
                  <c:v>160.46151196831411</c:v>
                </c:pt>
                <c:pt idx="248">
                  <c:v>156.78778485735606</c:v>
                </c:pt>
                <c:pt idx="249">
                  <c:v>159.47419780724411</c:v>
                </c:pt>
                <c:pt idx="250">
                  <c:v>160.51891395442283</c:v>
                </c:pt>
                <c:pt idx="251">
                  <c:v>161.59233109465586</c:v>
                </c:pt>
                <c:pt idx="252">
                  <c:v>162.10320877102347</c:v>
                </c:pt>
                <c:pt idx="253">
                  <c:v>160.81166408357731</c:v>
                </c:pt>
                <c:pt idx="254">
                  <c:v>159.703805751679</c:v>
                </c:pt>
                <c:pt idx="255">
                  <c:v>161.18477699328398</c:v>
                </c:pt>
                <c:pt idx="256">
                  <c:v>163.46363584180011</c:v>
                </c:pt>
                <c:pt idx="257">
                  <c:v>164.46243040009185</c:v>
                </c:pt>
                <c:pt idx="258">
                  <c:v>168.46334883186961</c:v>
                </c:pt>
                <c:pt idx="259">
                  <c:v>171.70082084840135</c:v>
                </c:pt>
                <c:pt idx="260">
                  <c:v>171.04643820676196</c:v>
                </c:pt>
                <c:pt idx="261">
                  <c:v>171.85006601228406</c:v>
                </c:pt>
                <c:pt idx="262">
                  <c:v>173.65248837609781</c:v>
                </c:pt>
                <c:pt idx="263">
                  <c:v>189.52987773376961</c:v>
                </c:pt>
                <c:pt idx="264">
                  <c:v>181.27547213133573</c:v>
                </c:pt>
                <c:pt idx="265">
                  <c:v>177.57878422593421</c:v>
                </c:pt>
                <c:pt idx="266">
                  <c:v>179.06549566615007</c:v>
                </c:pt>
                <c:pt idx="267">
                  <c:v>174.5824005510591</c:v>
                </c:pt>
                <c:pt idx="268">
                  <c:v>178.85310831754782</c:v>
                </c:pt>
                <c:pt idx="269">
                  <c:v>167.27512771941912</c:v>
                </c:pt>
                <c:pt idx="270">
                  <c:v>171.59749727340568</c:v>
                </c:pt>
                <c:pt idx="271">
                  <c:v>177.33769588427762</c:v>
                </c:pt>
                <c:pt idx="272">
                  <c:v>173.23919407611504</c:v>
                </c:pt>
                <c:pt idx="273">
                  <c:v>174.2322484357959</c:v>
                </c:pt>
                <c:pt idx="274">
                  <c:v>176.95310257734917</c:v>
                </c:pt>
                <c:pt idx="275">
                  <c:v>181.31565352161186</c:v>
                </c:pt>
                <c:pt idx="276">
                  <c:v>185.47155731588313</c:v>
                </c:pt>
                <c:pt idx="277">
                  <c:v>191.02806957120717</c:v>
                </c:pt>
                <c:pt idx="278">
                  <c:v>181.79783020492511</c:v>
                </c:pt>
                <c:pt idx="279">
                  <c:v>180.98846220079216</c:v>
                </c:pt>
                <c:pt idx="280">
                  <c:v>183.14677687848001</c:v>
                </c:pt>
                <c:pt idx="281">
                  <c:v>175.90551633086505</c:v>
                </c:pt>
                <c:pt idx="282">
                  <c:v>166.92497560415592</c:v>
                </c:pt>
                <c:pt idx="283">
                  <c:v>175.10475862464844</c:v>
                </c:pt>
                <c:pt idx="284">
                  <c:v>171.34779863383275</c:v>
                </c:pt>
                <c:pt idx="285">
                  <c:v>182.42351185351012</c:v>
                </c:pt>
                <c:pt idx="286">
                  <c:v>196.36358418001262</c:v>
                </c:pt>
                <c:pt idx="287">
                  <c:v>194.62717410022387</c:v>
                </c:pt>
                <c:pt idx="288">
                  <c:v>194.76780896619027</c:v>
                </c:pt>
                <c:pt idx="289">
                  <c:v>199.50060272085415</c:v>
                </c:pt>
                <c:pt idx="290">
                  <c:v>203.58188393318409</c:v>
                </c:pt>
                <c:pt idx="291">
                  <c:v>193.09454107112109</c:v>
                </c:pt>
                <c:pt idx="292">
                  <c:v>188.88984558865738</c:v>
                </c:pt>
                <c:pt idx="293">
                  <c:v>193.50783537110385</c:v>
                </c:pt>
                <c:pt idx="294">
                  <c:v>187.50645772343725</c:v>
                </c:pt>
                <c:pt idx="295">
                  <c:v>179.9954078411113</c:v>
                </c:pt>
                <c:pt idx="296">
                  <c:v>182.12789162505024</c:v>
                </c:pt>
                <c:pt idx="297">
                  <c:v>181.84662189311751</c:v>
                </c:pt>
                <c:pt idx="298">
                  <c:v>176.52258768153376</c:v>
                </c:pt>
                <c:pt idx="299">
                  <c:v>165.68509270420756</c:v>
                </c:pt>
                <c:pt idx="300">
                  <c:v>170.85414155329775</c:v>
                </c:pt>
                <c:pt idx="301">
                  <c:v>172.93496354973882</c:v>
                </c:pt>
                <c:pt idx="302">
                  <c:v>173.02393662820734</c:v>
                </c:pt>
                <c:pt idx="303">
                  <c:v>175.53240342115836</c:v>
                </c:pt>
                <c:pt idx="304">
                  <c:v>176.19252626140863</c:v>
                </c:pt>
                <c:pt idx="305">
                  <c:v>163.09913323000976</c:v>
                </c:pt>
                <c:pt idx="306">
                  <c:v>157.95017507605763</c:v>
                </c:pt>
                <c:pt idx="307">
                  <c:v>157.41920670455198</c:v>
                </c:pt>
                <c:pt idx="308">
                  <c:v>160.6193674301131</c:v>
                </c:pt>
                <c:pt idx="309">
                  <c:v>167.34114000344414</c:v>
                </c:pt>
                <c:pt idx="310">
                  <c:v>174.87515068021355</c:v>
                </c:pt>
                <c:pt idx="311">
                  <c:v>184.59904712703062</c:v>
                </c:pt>
                <c:pt idx="312">
                  <c:v>182.52970552781127</c:v>
                </c:pt>
                <c:pt idx="313">
                  <c:v>178.31639974743126</c:v>
                </c:pt>
                <c:pt idx="314">
                  <c:v>177.23724240858735</c:v>
                </c:pt>
                <c:pt idx="315">
                  <c:v>163.32300097583376</c:v>
                </c:pt>
                <c:pt idx="316">
                  <c:v>163.21680730153264</c:v>
                </c:pt>
                <c:pt idx="317">
                  <c:v>156.82796624763219</c:v>
                </c:pt>
                <c:pt idx="318">
                  <c:v>161.42873543424602</c:v>
                </c:pt>
                <c:pt idx="319">
                  <c:v>153.26043281097526</c:v>
                </c:pt>
                <c:pt idx="320">
                  <c:v>154.29653866023764</c:v>
                </c:pt>
                <c:pt idx="321">
                  <c:v>161.92813271339188</c:v>
                </c:pt>
                <c:pt idx="322">
                  <c:v>160.65093852247287</c:v>
                </c:pt>
                <c:pt idx="323">
                  <c:v>161.62390218701569</c:v>
                </c:pt>
                <c:pt idx="324">
                  <c:v>162.57103495780956</c:v>
                </c:pt>
                <c:pt idx="325">
                  <c:v>162.75185121405201</c:v>
                </c:pt>
                <c:pt idx="326">
                  <c:v>168.65851558463922</c:v>
                </c:pt>
                <c:pt idx="327">
                  <c:v>173.80173353998049</c:v>
                </c:pt>
                <c:pt idx="328">
                  <c:v>162.13764996268873</c:v>
                </c:pt>
                <c:pt idx="329">
                  <c:v>171.8787670053384</c:v>
                </c:pt>
                <c:pt idx="330">
                  <c:v>175.87681533781068</c:v>
                </c:pt>
                <c:pt idx="331">
                  <c:v>169.97876126513978</c:v>
                </c:pt>
                <c:pt idx="332">
                  <c:v>162.92692727168361</c:v>
                </c:pt>
                <c:pt idx="333">
                  <c:v>169.38752080821996</c:v>
                </c:pt>
                <c:pt idx="334">
                  <c:v>176.42500430514895</c:v>
                </c:pt>
                <c:pt idx="335">
                  <c:v>173.76155214970439</c:v>
                </c:pt>
                <c:pt idx="336">
                  <c:v>173.60943688651628</c:v>
                </c:pt>
                <c:pt idx="337">
                  <c:v>178.74978474255209</c:v>
                </c:pt>
                <c:pt idx="338">
                  <c:v>177.96911773147352</c:v>
                </c:pt>
                <c:pt idx="339">
                  <c:v>177.80552207106368</c:v>
                </c:pt>
                <c:pt idx="340">
                  <c:v>174.75460650938524</c:v>
                </c:pt>
                <c:pt idx="341">
                  <c:v>179.02244417656851</c:v>
                </c:pt>
                <c:pt idx="342">
                  <c:v>166.01802422363815</c:v>
                </c:pt>
                <c:pt idx="343">
                  <c:v>177.52712243843635</c:v>
                </c:pt>
                <c:pt idx="344">
                  <c:v>189.06205154698355</c:v>
                </c:pt>
                <c:pt idx="345">
                  <c:v>196.69651569944321</c:v>
                </c:pt>
                <c:pt idx="346">
                  <c:v>200.4965271798404</c:v>
                </c:pt>
                <c:pt idx="347">
                  <c:v>197.22461397164341</c:v>
                </c:pt>
                <c:pt idx="348">
                  <c:v>201.83973365478445</c:v>
                </c:pt>
                <c:pt idx="349">
                  <c:v>203.36375638597099</c:v>
                </c:pt>
                <c:pt idx="350">
                  <c:v>200.43338499512083</c:v>
                </c:pt>
                <c:pt idx="351">
                  <c:v>200.82945869927102</c:v>
                </c:pt>
                <c:pt idx="352">
                  <c:v>199.38866884794214</c:v>
                </c:pt>
                <c:pt idx="353">
                  <c:v>197.61207737787728</c:v>
                </c:pt>
                <c:pt idx="354">
                  <c:v>200.8868606853797</c:v>
                </c:pt>
                <c:pt idx="355">
                  <c:v>194.13064692038344</c:v>
                </c:pt>
                <c:pt idx="356">
                  <c:v>196.73095689110843</c:v>
                </c:pt>
                <c:pt idx="357">
                  <c:v>196.39802537167785</c:v>
                </c:pt>
                <c:pt idx="358">
                  <c:v>197.76706274037085</c:v>
                </c:pt>
                <c:pt idx="359">
                  <c:v>195.04620859881754</c:v>
                </c:pt>
                <c:pt idx="360">
                  <c:v>207.51391998163137</c:v>
                </c:pt>
                <c:pt idx="361">
                  <c:v>211.21634808564374</c:v>
                </c:pt>
                <c:pt idx="362">
                  <c:v>214.14097927788305</c:v>
                </c:pt>
                <c:pt idx="363">
                  <c:v>214.7838815223007</c:v>
                </c:pt>
                <c:pt idx="364">
                  <c:v>208.2888467940991</c:v>
                </c:pt>
                <c:pt idx="365">
                  <c:v>205.27237242408592</c:v>
                </c:pt>
                <c:pt idx="366">
                  <c:v>211.63538258423742</c:v>
                </c:pt>
                <c:pt idx="367">
                  <c:v>206.50938522472879</c:v>
                </c:pt>
                <c:pt idx="368">
                  <c:v>208.65047930658403</c:v>
                </c:pt>
                <c:pt idx="369">
                  <c:v>212.53372366683888</c:v>
                </c:pt>
                <c:pt idx="370">
                  <c:v>204.50605590953447</c:v>
                </c:pt>
                <c:pt idx="371">
                  <c:v>206.37162045806784</c:v>
                </c:pt>
                <c:pt idx="372">
                  <c:v>209.81286952528558</c:v>
                </c:pt>
                <c:pt idx="373">
                  <c:v>199.7818724527869</c:v>
                </c:pt>
                <c:pt idx="374">
                  <c:v>199.22794328683773</c:v>
                </c:pt>
                <c:pt idx="375">
                  <c:v>205.4015268928305</c:v>
                </c:pt>
                <c:pt idx="376">
                  <c:v>211.20773778772747</c:v>
                </c:pt>
                <c:pt idx="377">
                  <c:v>197.1327707938695</c:v>
                </c:pt>
                <c:pt idx="378">
                  <c:v>200.23821824235117</c:v>
                </c:pt>
                <c:pt idx="379">
                  <c:v>195.96177027725159</c:v>
                </c:pt>
                <c:pt idx="380">
                  <c:v>187.75041616439933</c:v>
                </c:pt>
                <c:pt idx="381">
                  <c:v>202.87870960335229</c:v>
                </c:pt>
                <c:pt idx="382">
                  <c:v>186.2034326387693</c:v>
                </c:pt>
                <c:pt idx="383">
                  <c:v>200.90982147982322</c:v>
                </c:pt>
                <c:pt idx="384">
                  <c:v>194.85391194535333</c:v>
                </c:pt>
                <c:pt idx="385">
                  <c:v>204.46300441995291</c:v>
                </c:pt>
                <c:pt idx="386">
                  <c:v>202.03777050685954</c:v>
                </c:pt>
                <c:pt idx="387">
                  <c:v>204.27357786579415</c:v>
                </c:pt>
                <c:pt idx="388">
                  <c:v>187.89679122897653</c:v>
                </c:pt>
                <c:pt idx="389">
                  <c:v>189.97474312611217</c:v>
                </c:pt>
                <c:pt idx="390">
                  <c:v>206.83657654554847</c:v>
                </c:pt>
                <c:pt idx="391">
                  <c:v>199.85075483611735</c:v>
                </c:pt>
                <c:pt idx="392">
                  <c:v>178.55461798978246</c:v>
                </c:pt>
                <c:pt idx="393">
                  <c:v>180.75024395844096</c:v>
                </c:pt>
                <c:pt idx="394">
                  <c:v>157.31301303025086</c:v>
                </c:pt>
                <c:pt idx="395">
                  <c:v>157.45651799552266</c:v>
                </c:pt>
                <c:pt idx="396">
                  <c:v>157.66316514551403</c:v>
                </c:pt>
                <c:pt idx="397">
                  <c:v>157.52827047815856</c:v>
                </c:pt>
                <c:pt idx="398">
                  <c:v>159.20153837322769</c:v>
                </c:pt>
                <c:pt idx="399">
                  <c:v>161.20486768842201</c:v>
                </c:pt>
                <c:pt idx="400">
                  <c:v>154.93657080534987</c:v>
                </c:pt>
                <c:pt idx="401">
                  <c:v>156.04729923655358</c:v>
                </c:pt>
                <c:pt idx="402">
                  <c:v>156.98008151082027</c:v>
                </c:pt>
                <c:pt idx="403">
                  <c:v>154.13007290052235</c:v>
                </c:pt>
                <c:pt idx="404">
                  <c:v>156.93128982262786</c:v>
                </c:pt>
                <c:pt idx="405">
                  <c:v>157.00304230526379</c:v>
                </c:pt>
                <c:pt idx="406">
                  <c:v>157.17237816428448</c:v>
                </c:pt>
                <c:pt idx="407">
                  <c:v>157.98174616841743</c:v>
                </c:pt>
                <c:pt idx="408">
                  <c:v>161.19051719189483</c:v>
                </c:pt>
                <c:pt idx="409">
                  <c:v>157.50530968371507</c:v>
                </c:pt>
                <c:pt idx="410">
                  <c:v>152.30181964295966</c:v>
                </c:pt>
                <c:pt idx="411">
                  <c:v>149.66706848056944</c:v>
                </c:pt>
                <c:pt idx="412">
                  <c:v>133.70357614373458</c:v>
                </c:pt>
                <c:pt idx="413">
                  <c:v>133.35916422708226</c:v>
                </c:pt>
                <c:pt idx="414">
                  <c:v>127.4582400551059</c:v>
                </c:pt>
                <c:pt idx="415">
                  <c:v>128.51156650020093</c:v>
                </c:pt>
                <c:pt idx="416">
                  <c:v>125.14781011422996</c:v>
                </c:pt>
                <c:pt idx="417">
                  <c:v>126.55989897250446</c:v>
                </c:pt>
                <c:pt idx="418">
                  <c:v>129.41277768210782</c:v>
                </c:pt>
                <c:pt idx="419">
                  <c:v>127.81987256759083</c:v>
                </c:pt>
                <c:pt idx="420">
                  <c:v>123.58360599276735</c:v>
                </c:pt>
                <c:pt idx="421">
                  <c:v>127.05642615234487</c:v>
                </c:pt>
                <c:pt idx="422">
                  <c:v>129.49314046266002</c:v>
                </c:pt>
                <c:pt idx="423">
                  <c:v>127.96337753286264</c:v>
                </c:pt>
                <c:pt idx="424">
                  <c:v>129.85477297514493</c:v>
                </c:pt>
                <c:pt idx="425">
                  <c:v>127.69932839676255</c:v>
                </c:pt>
                <c:pt idx="426">
                  <c:v>130.83347683829859</c:v>
                </c:pt>
                <c:pt idx="427">
                  <c:v>131.0889156764824</c:v>
                </c:pt>
                <c:pt idx="428">
                  <c:v>128.6464611675564</c:v>
                </c:pt>
                <c:pt idx="429">
                  <c:v>130.53211641122783</c:v>
                </c:pt>
                <c:pt idx="430">
                  <c:v>133.52850008610298</c:v>
                </c:pt>
                <c:pt idx="431">
                  <c:v>131.41323689799665</c:v>
                </c:pt>
                <c:pt idx="432">
                  <c:v>128.52017679811721</c:v>
                </c:pt>
                <c:pt idx="433">
                  <c:v>127.68497790023537</c:v>
                </c:pt>
                <c:pt idx="434">
                  <c:v>126.82681820790999</c:v>
                </c:pt>
                <c:pt idx="435">
                  <c:v>127.0105045634579</c:v>
                </c:pt>
                <c:pt idx="436">
                  <c:v>126.51971758222835</c:v>
                </c:pt>
                <c:pt idx="437">
                  <c:v>127.55008323287989</c:v>
                </c:pt>
                <c:pt idx="438">
                  <c:v>115.53297744101947</c:v>
                </c:pt>
                <c:pt idx="439">
                  <c:v>115.32059009241719</c:v>
                </c:pt>
                <c:pt idx="440">
                  <c:v>113.90563113483726</c:v>
                </c:pt>
                <c:pt idx="441">
                  <c:v>113.40623385569143</c:v>
                </c:pt>
                <c:pt idx="442">
                  <c:v>111.67843407381896</c:v>
                </c:pt>
                <c:pt idx="443">
                  <c:v>111.13311520578613</c:v>
                </c:pt>
                <c:pt idx="444">
                  <c:v>108.84277596004823</c:v>
                </c:pt>
                <c:pt idx="445">
                  <c:v>109.25894035933645</c:v>
                </c:pt>
                <c:pt idx="446">
                  <c:v>108.45818265311982</c:v>
                </c:pt>
                <c:pt idx="447">
                  <c:v>106.5266058205614</c:v>
                </c:pt>
                <c:pt idx="448">
                  <c:v>103.56179323804604</c:v>
                </c:pt>
                <c:pt idx="449">
                  <c:v>100.11193387291199</c:v>
                </c:pt>
                <c:pt idx="450">
                  <c:v>98.24636932437862</c:v>
                </c:pt>
                <c:pt idx="451">
                  <c:v>97.124160495953163</c:v>
                </c:pt>
                <c:pt idx="452">
                  <c:v>97.350898341082612</c:v>
                </c:pt>
                <c:pt idx="453">
                  <c:v>102.9131507950175</c:v>
                </c:pt>
                <c:pt idx="454">
                  <c:v>102.712243843637</c:v>
                </c:pt>
                <c:pt idx="455">
                  <c:v>102.73233453877504</c:v>
                </c:pt>
                <c:pt idx="456">
                  <c:v>104.04684002066472</c:v>
                </c:pt>
                <c:pt idx="457">
                  <c:v>103.09109695195455</c:v>
                </c:pt>
                <c:pt idx="458">
                  <c:v>103.5015211526319</c:v>
                </c:pt>
                <c:pt idx="459">
                  <c:v>103.86028356581139</c:v>
                </c:pt>
                <c:pt idx="460">
                  <c:v>104.40273233453878</c:v>
                </c:pt>
                <c:pt idx="461">
                  <c:v>101.14516962286895</c:v>
                </c:pt>
                <c:pt idx="462">
                  <c:v>101.28867458814075</c:v>
                </c:pt>
                <c:pt idx="463">
                  <c:v>101.93157683255841</c:v>
                </c:pt>
                <c:pt idx="464">
                  <c:v>104.11572240399518</c:v>
                </c:pt>
                <c:pt idx="465">
                  <c:v>105.14034785603583</c:v>
                </c:pt>
                <c:pt idx="466">
                  <c:v>103.77705068595375</c:v>
                </c:pt>
                <c:pt idx="467">
                  <c:v>102.70363354572069</c:v>
                </c:pt>
                <c:pt idx="468">
                  <c:v>102.07221169852478</c:v>
                </c:pt>
                <c:pt idx="469">
                  <c:v>101.89713564089318</c:v>
                </c:pt>
                <c:pt idx="470">
                  <c:v>103.34366569083291</c:v>
                </c:pt>
                <c:pt idx="471">
                  <c:v>101.57568451868435</c:v>
                </c:pt>
                <c:pt idx="472">
                  <c:v>103.60484472762759</c:v>
                </c:pt>
                <c:pt idx="473">
                  <c:v>103.26617300958614</c:v>
                </c:pt>
                <c:pt idx="474">
                  <c:v>104.37403134148443</c:v>
                </c:pt>
                <c:pt idx="475">
                  <c:v>104.13007290052236</c:v>
                </c:pt>
                <c:pt idx="476">
                  <c:v>104.42569312898226</c:v>
                </c:pt>
                <c:pt idx="477">
                  <c:v>104.44578382412031</c:v>
                </c:pt>
                <c:pt idx="478">
                  <c:v>102.37357212559554</c:v>
                </c:pt>
                <c:pt idx="479">
                  <c:v>103.49578095402101</c:v>
                </c:pt>
                <c:pt idx="480">
                  <c:v>109.43688651627347</c:v>
                </c:pt>
                <c:pt idx="481">
                  <c:v>110.73704150163597</c:v>
                </c:pt>
                <c:pt idx="482">
                  <c:v>109.64066356695943</c:v>
                </c:pt>
                <c:pt idx="483">
                  <c:v>110.78870328913382</c:v>
                </c:pt>
                <c:pt idx="484">
                  <c:v>111.75592675506574</c:v>
                </c:pt>
                <c:pt idx="485">
                  <c:v>113.53825842374148</c:v>
                </c:pt>
                <c:pt idx="486">
                  <c:v>102.62901096377936</c:v>
                </c:pt>
                <c:pt idx="487">
                  <c:v>103.80288157970266</c:v>
                </c:pt>
                <c:pt idx="488">
                  <c:v>102.9590723839045</c:v>
                </c:pt>
                <c:pt idx="489">
                  <c:v>102.86722920613055</c:v>
                </c:pt>
                <c:pt idx="490">
                  <c:v>102.83852821307617</c:v>
                </c:pt>
                <c:pt idx="491">
                  <c:v>101.23701280064293</c:v>
                </c:pt>
                <c:pt idx="492">
                  <c:v>102.73520463808048</c:v>
                </c:pt>
                <c:pt idx="493">
                  <c:v>100.381723207623</c:v>
                </c:pt>
                <c:pt idx="494">
                  <c:v>92.377016244762061</c:v>
                </c:pt>
                <c:pt idx="495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A8-48AD-AC67-8FFE1188463E}"/>
            </c:ext>
          </c:extLst>
        </c:ser>
        <c:ser>
          <c:idx val="1"/>
          <c:order val="1"/>
          <c:tx>
            <c:v>BSE Cap Goods (₹)</c:v>
          </c:tx>
          <c:spPr>
            <a:ln w="28575" cap="rnd">
              <a:solidFill>
                <a:srgbClr val="BF8F00"/>
              </a:solidFill>
              <a:round/>
            </a:ln>
            <a:effectLst/>
          </c:spPr>
          <c:marker>
            <c:symbol val="none"/>
          </c:marker>
          <c:cat>
            <c:numRef>
              <c:f>'Graphical Representation'!$B$267:$B$762</c:f>
              <c:numCache>
                <c:formatCode>m/d/yyyy</c:formatCode>
                <c:ptCount val="496"/>
                <c:pt idx="0">
                  <c:v>46176</c:v>
                </c:pt>
                <c:pt idx="1">
                  <c:v>46175</c:v>
                </c:pt>
                <c:pt idx="2">
                  <c:v>46174</c:v>
                </c:pt>
                <c:pt idx="3">
                  <c:v>46171</c:v>
                </c:pt>
                <c:pt idx="4">
                  <c:v>46169</c:v>
                </c:pt>
                <c:pt idx="5">
                  <c:v>46168</c:v>
                </c:pt>
                <c:pt idx="6">
                  <c:v>46167</c:v>
                </c:pt>
                <c:pt idx="7">
                  <c:v>46164</c:v>
                </c:pt>
                <c:pt idx="8">
                  <c:v>46163</c:v>
                </c:pt>
                <c:pt idx="9">
                  <c:v>46162</c:v>
                </c:pt>
                <c:pt idx="10">
                  <c:v>46161</c:v>
                </c:pt>
                <c:pt idx="11">
                  <c:v>46160</c:v>
                </c:pt>
                <c:pt idx="12">
                  <c:v>46157</c:v>
                </c:pt>
                <c:pt idx="13">
                  <c:v>46156</c:v>
                </c:pt>
                <c:pt idx="14">
                  <c:v>46155</c:v>
                </c:pt>
                <c:pt idx="15">
                  <c:v>46154</c:v>
                </c:pt>
                <c:pt idx="16">
                  <c:v>46153</c:v>
                </c:pt>
                <c:pt idx="17">
                  <c:v>46150</c:v>
                </c:pt>
                <c:pt idx="18">
                  <c:v>46149</c:v>
                </c:pt>
                <c:pt idx="19">
                  <c:v>46148</c:v>
                </c:pt>
                <c:pt idx="20">
                  <c:v>46147</c:v>
                </c:pt>
                <c:pt idx="21">
                  <c:v>46146</c:v>
                </c:pt>
                <c:pt idx="22">
                  <c:v>46142</c:v>
                </c:pt>
                <c:pt idx="23">
                  <c:v>46141</c:v>
                </c:pt>
                <c:pt idx="24">
                  <c:v>46140</c:v>
                </c:pt>
                <c:pt idx="25">
                  <c:v>46139</c:v>
                </c:pt>
                <c:pt idx="26">
                  <c:v>46136</c:v>
                </c:pt>
                <c:pt idx="27">
                  <c:v>46135</c:v>
                </c:pt>
                <c:pt idx="28">
                  <c:v>46134</c:v>
                </c:pt>
                <c:pt idx="29">
                  <c:v>46133</c:v>
                </c:pt>
                <c:pt idx="30">
                  <c:v>46132</c:v>
                </c:pt>
                <c:pt idx="31">
                  <c:v>46129</c:v>
                </c:pt>
                <c:pt idx="32">
                  <c:v>46128</c:v>
                </c:pt>
                <c:pt idx="33">
                  <c:v>46127</c:v>
                </c:pt>
                <c:pt idx="34">
                  <c:v>46125</c:v>
                </c:pt>
                <c:pt idx="35">
                  <c:v>46122</c:v>
                </c:pt>
                <c:pt idx="36">
                  <c:v>46121</c:v>
                </c:pt>
                <c:pt idx="37">
                  <c:v>46120</c:v>
                </c:pt>
                <c:pt idx="38">
                  <c:v>46119</c:v>
                </c:pt>
                <c:pt idx="39">
                  <c:v>46118</c:v>
                </c:pt>
                <c:pt idx="40">
                  <c:v>46114</c:v>
                </c:pt>
                <c:pt idx="41">
                  <c:v>46113</c:v>
                </c:pt>
                <c:pt idx="42">
                  <c:v>46111</c:v>
                </c:pt>
                <c:pt idx="43">
                  <c:v>46108</c:v>
                </c:pt>
                <c:pt idx="44">
                  <c:v>46106</c:v>
                </c:pt>
                <c:pt idx="45">
                  <c:v>46105</c:v>
                </c:pt>
                <c:pt idx="46">
                  <c:v>46104</c:v>
                </c:pt>
                <c:pt idx="47">
                  <c:v>46101</c:v>
                </c:pt>
                <c:pt idx="48">
                  <c:v>46100</c:v>
                </c:pt>
                <c:pt idx="49">
                  <c:v>46099</c:v>
                </c:pt>
                <c:pt idx="50">
                  <c:v>46098</c:v>
                </c:pt>
                <c:pt idx="51">
                  <c:v>46097</c:v>
                </c:pt>
                <c:pt idx="52">
                  <c:v>46094</c:v>
                </c:pt>
                <c:pt idx="53">
                  <c:v>46093</c:v>
                </c:pt>
                <c:pt idx="54">
                  <c:v>46092</c:v>
                </c:pt>
                <c:pt idx="55">
                  <c:v>46091</c:v>
                </c:pt>
                <c:pt idx="56">
                  <c:v>46090</c:v>
                </c:pt>
                <c:pt idx="57">
                  <c:v>46087</c:v>
                </c:pt>
                <c:pt idx="58">
                  <c:v>46086</c:v>
                </c:pt>
                <c:pt idx="59">
                  <c:v>46085</c:v>
                </c:pt>
                <c:pt idx="60">
                  <c:v>46083</c:v>
                </c:pt>
                <c:pt idx="61">
                  <c:v>46080</c:v>
                </c:pt>
                <c:pt idx="62">
                  <c:v>46079</c:v>
                </c:pt>
                <c:pt idx="63">
                  <c:v>46078</c:v>
                </c:pt>
                <c:pt idx="64">
                  <c:v>46077</c:v>
                </c:pt>
                <c:pt idx="65">
                  <c:v>46076</c:v>
                </c:pt>
                <c:pt idx="66">
                  <c:v>46073</c:v>
                </c:pt>
                <c:pt idx="67">
                  <c:v>46072</c:v>
                </c:pt>
                <c:pt idx="68">
                  <c:v>46071</c:v>
                </c:pt>
                <c:pt idx="69">
                  <c:v>46070</c:v>
                </c:pt>
                <c:pt idx="70">
                  <c:v>46069</c:v>
                </c:pt>
                <c:pt idx="71">
                  <c:v>46066</c:v>
                </c:pt>
                <c:pt idx="72">
                  <c:v>46065</c:v>
                </c:pt>
                <c:pt idx="73">
                  <c:v>46064</c:v>
                </c:pt>
                <c:pt idx="74">
                  <c:v>46063</c:v>
                </c:pt>
                <c:pt idx="75">
                  <c:v>46062</c:v>
                </c:pt>
                <c:pt idx="76">
                  <c:v>46059</c:v>
                </c:pt>
                <c:pt idx="77">
                  <c:v>46058</c:v>
                </c:pt>
                <c:pt idx="78">
                  <c:v>46057</c:v>
                </c:pt>
                <c:pt idx="79">
                  <c:v>46056</c:v>
                </c:pt>
                <c:pt idx="80">
                  <c:v>46055</c:v>
                </c:pt>
                <c:pt idx="81">
                  <c:v>46054</c:v>
                </c:pt>
                <c:pt idx="82">
                  <c:v>46052</c:v>
                </c:pt>
                <c:pt idx="83">
                  <c:v>46051</c:v>
                </c:pt>
                <c:pt idx="84">
                  <c:v>46050</c:v>
                </c:pt>
                <c:pt idx="85">
                  <c:v>46049</c:v>
                </c:pt>
                <c:pt idx="86">
                  <c:v>46045</c:v>
                </c:pt>
                <c:pt idx="87">
                  <c:v>46044</c:v>
                </c:pt>
                <c:pt idx="88">
                  <c:v>46043</c:v>
                </c:pt>
                <c:pt idx="89">
                  <c:v>46042</c:v>
                </c:pt>
                <c:pt idx="90">
                  <c:v>46041</c:v>
                </c:pt>
                <c:pt idx="91">
                  <c:v>46038</c:v>
                </c:pt>
                <c:pt idx="92">
                  <c:v>46036</c:v>
                </c:pt>
                <c:pt idx="93">
                  <c:v>46035</c:v>
                </c:pt>
                <c:pt idx="94">
                  <c:v>46034</c:v>
                </c:pt>
                <c:pt idx="95">
                  <c:v>46031</c:v>
                </c:pt>
                <c:pt idx="96">
                  <c:v>46030</c:v>
                </c:pt>
                <c:pt idx="97">
                  <c:v>46029</c:v>
                </c:pt>
                <c:pt idx="98">
                  <c:v>46028</c:v>
                </c:pt>
                <c:pt idx="99">
                  <c:v>46027</c:v>
                </c:pt>
                <c:pt idx="100">
                  <c:v>46024</c:v>
                </c:pt>
                <c:pt idx="101">
                  <c:v>46023</c:v>
                </c:pt>
                <c:pt idx="102">
                  <c:v>46022</c:v>
                </c:pt>
                <c:pt idx="103">
                  <c:v>46021</c:v>
                </c:pt>
                <c:pt idx="104">
                  <c:v>46020</c:v>
                </c:pt>
                <c:pt idx="105">
                  <c:v>46017</c:v>
                </c:pt>
                <c:pt idx="106">
                  <c:v>46015</c:v>
                </c:pt>
                <c:pt idx="107">
                  <c:v>46014</c:v>
                </c:pt>
                <c:pt idx="108">
                  <c:v>46013</c:v>
                </c:pt>
                <c:pt idx="109">
                  <c:v>46010</c:v>
                </c:pt>
                <c:pt idx="110">
                  <c:v>46009</c:v>
                </c:pt>
                <c:pt idx="111">
                  <c:v>46008</c:v>
                </c:pt>
                <c:pt idx="112">
                  <c:v>46007</c:v>
                </c:pt>
                <c:pt idx="113">
                  <c:v>46006</c:v>
                </c:pt>
                <c:pt idx="114">
                  <c:v>46003</c:v>
                </c:pt>
                <c:pt idx="115">
                  <c:v>46002</c:v>
                </c:pt>
                <c:pt idx="116">
                  <c:v>46001</c:v>
                </c:pt>
                <c:pt idx="117">
                  <c:v>46000</c:v>
                </c:pt>
                <c:pt idx="118">
                  <c:v>45999</c:v>
                </c:pt>
                <c:pt idx="119">
                  <c:v>45996</c:v>
                </c:pt>
                <c:pt idx="120">
                  <c:v>45995</c:v>
                </c:pt>
                <c:pt idx="121">
                  <c:v>45994</c:v>
                </c:pt>
                <c:pt idx="122">
                  <c:v>45993</c:v>
                </c:pt>
                <c:pt idx="123">
                  <c:v>45992</c:v>
                </c:pt>
                <c:pt idx="124">
                  <c:v>45989</c:v>
                </c:pt>
                <c:pt idx="125">
                  <c:v>45988</c:v>
                </c:pt>
                <c:pt idx="126">
                  <c:v>45987</c:v>
                </c:pt>
                <c:pt idx="127">
                  <c:v>45986</c:v>
                </c:pt>
                <c:pt idx="128">
                  <c:v>45985</c:v>
                </c:pt>
                <c:pt idx="129">
                  <c:v>45982</c:v>
                </c:pt>
                <c:pt idx="130">
                  <c:v>45981</c:v>
                </c:pt>
                <c:pt idx="131">
                  <c:v>45980</c:v>
                </c:pt>
                <c:pt idx="132">
                  <c:v>45979</c:v>
                </c:pt>
                <c:pt idx="133">
                  <c:v>45978</c:v>
                </c:pt>
                <c:pt idx="134">
                  <c:v>45975</c:v>
                </c:pt>
                <c:pt idx="135">
                  <c:v>45974</c:v>
                </c:pt>
                <c:pt idx="136">
                  <c:v>45973</c:v>
                </c:pt>
                <c:pt idx="137">
                  <c:v>45972</c:v>
                </c:pt>
                <c:pt idx="138">
                  <c:v>45971</c:v>
                </c:pt>
                <c:pt idx="139">
                  <c:v>45968</c:v>
                </c:pt>
                <c:pt idx="140">
                  <c:v>45967</c:v>
                </c:pt>
                <c:pt idx="141">
                  <c:v>45965</c:v>
                </c:pt>
                <c:pt idx="142">
                  <c:v>45964</c:v>
                </c:pt>
                <c:pt idx="143">
                  <c:v>45961</c:v>
                </c:pt>
                <c:pt idx="144">
                  <c:v>45960</c:v>
                </c:pt>
                <c:pt idx="145">
                  <c:v>45959</c:v>
                </c:pt>
                <c:pt idx="146">
                  <c:v>45958</c:v>
                </c:pt>
                <c:pt idx="147">
                  <c:v>45957</c:v>
                </c:pt>
                <c:pt idx="148">
                  <c:v>45954</c:v>
                </c:pt>
                <c:pt idx="149">
                  <c:v>45953</c:v>
                </c:pt>
                <c:pt idx="150">
                  <c:v>45951</c:v>
                </c:pt>
                <c:pt idx="151">
                  <c:v>45950</c:v>
                </c:pt>
                <c:pt idx="152">
                  <c:v>45947</c:v>
                </c:pt>
                <c:pt idx="153">
                  <c:v>45946</c:v>
                </c:pt>
                <c:pt idx="154">
                  <c:v>45945</c:v>
                </c:pt>
                <c:pt idx="155">
                  <c:v>45944</c:v>
                </c:pt>
                <c:pt idx="156">
                  <c:v>45943</c:v>
                </c:pt>
                <c:pt idx="157">
                  <c:v>45940</c:v>
                </c:pt>
                <c:pt idx="158">
                  <c:v>45939</c:v>
                </c:pt>
                <c:pt idx="159">
                  <c:v>45938</c:v>
                </c:pt>
                <c:pt idx="160">
                  <c:v>45937</c:v>
                </c:pt>
                <c:pt idx="161">
                  <c:v>45936</c:v>
                </c:pt>
                <c:pt idx="162">
                  <c:v>45933</c:v>
                </c:pt>
                <c:pt idx="163">
                  <c:v>45931</c:v>
                </c:pt>
                <c:pt idx="164">
                  <c:v>45930</c:v>
                </c:pt>
                <c:pt idx="165">
                  <c:v>45929</c:v>
                </c:pt>
                <c:pt idx="166">
                  <c:v>45926</c:v>
                </c:pt>
                <c:pt idx="167">
                  <c:v>45925</c:v>
                </c:pt>
                <c:pt idx="168">
                  <c:v>45924</c:v>
                </c:pt>
                <c:pt idx="169">
                  <c:v>45923</c:v>
                </c:pt>
                <c:pt idx="170">
                  <c:v>45922</c:v>
                </c:pt>
                <c:pt idx="171">
                  <c:v>45919</c:v>
                </c:pt>
                <c:pt idx="172">
                  <c:v>45918</c:v>
                </c:pt>
                <c:pt idx="173">
                  <c:v>45917</c:v>
                </c:pt>
                <c:pt idx="174">
                  <c:v>45916</c:v>
                </c:pt>
                <c:pt idx="175">
                  <c:v>45915</c:v>
                </c:pt>
                <c:pt idx="176">
                  <c:v>45912</c:v>
                </c:pt>
                <c:pt idx="177">
                  <c:v>45911</c:v>
                </c:pt>
                <c:pt idx="178">
                  <c:v>45910</c:v>
                </c:pt>
                <c:pt idx="179">
                  <c:v>45909</c:v>
                </c:pt>
                <c:pt idx="180">
                  <c:v>45908</c:v>
                </c:pt>
                <c:pt idx="181">
                  <c:v>45905</c:v>
                </c:pt>
                <c:pt idx="182">
                  <c:v>45904</c:v>
                </c:pt>
                <c:pt idx="183">
                  <c:v>45903</c:v>
                </c:pt>
                <c:pt idx="184">
                  <c:v>45902</c:v>
                </c:pt>
                <c:pt idx="185">
                  <c:v>45901</c:v>
                </c:pt>
                <c:pt idx="186">
                  <c:v>45898</c:v>
                </c:pt>
                <c:pt idx="187">
                  <c:v>45897</c:v>
                </c:pt>
                <c:pt idx="188">
                  <c:v>45895</c:v>
                </c:pt>
                <c:pt idx="189">
                  <c:v>45894</c:v>
                </c:pt>
                <c:pt idx="190">
                  <c:v>45891</c:v>
                </c:pt>
                <c:pt idx="191">
                  <c:v>45890</c:v>
                </c:pt>
                <c:pt idx="192">
                  <c:v>45889</c:v>
                </c:pt>
                <c:pt idx="193">
                  <c:v>45888</c:v>
                </c:pt>
                <c:pt idx="194">
                  <c:v>45887</c:v>
                </c:pt>
                <c:pt idx="195">
                  <c:v>45883</c:v>
                </c:pt>
                <c:pt idx="196">
                  <c:v>45882</c:v>
                </c:pt>
                <c:pt idx="197">
                  <c:v>45881</c:v>
                </c:pt>
                <c:pt idx="198">
                  <c:v>45880</c:v>
                </c:pt>
                <c:pt idx="199">
                  <c:v>45877</c:v>
                </c:pt>
                <c:pt idx="200">
                  <c:v>45876</c:v>
                </c:pt>
                <c:pt idx="201">
                  <c:v>45875</c:v>
                </c:pt>
                <c:pt idx="202">
                  <c:v>45874</c:v>
                </c:pt>
                <c:pt idx="203">
                  <c:v>45873</c:v>
                </c:pt>
                <c:pt idx="204">
                  <c:v>45870</c:v>
                </c:pt>
                <c:pt idx="205">
                  <c:v>45869</c:v>
                </c:pt>
                <c:pt idx="206">
                  <c:v>45868</c:v>
                </c:pt>
                <c:pt idx="207">
                  <c:v>45867</c:v>
                </c:pt>
                <c:pt idx="208">
                  <c:v>45866</c:v>
                </c:pt>
                <c:pt idx="209">
                  <c:v>45863</c:v>
                </c:pt>
                <c:pt idx="210">
                  <c:v>45862</c:v>
                </c:pt>
                <c:pt idx="211">
                  <c:v>45861</c:v>
                </c:pt>
                <c:pt idx="212">
                  <c:v>45860</c:v>
                </c:pt>
                <c:pt idx="213">
                  <c:v>45859</c:v>
                </c:pt>
                <c:pt idx="214">
                  <c:v>45856</c:v>
                </c:pt>
                <c:pt idx="215">
                  <c:v>45855</c:v>
                </c:pt>
                <c:pt idx="216">
                  <c:v>45854</c:v>
                </c:pt>
                <c:pt idx="217">
                  <c:v>45853</c:v>
                </c:pt>
                <c:pt idx="218">
                  <c:v>45852</c:v>
                </c:pt>
                <c:pt idx="219">
                  <c:v>45849</c:v>
                </c:pt>
                <c:pt idx="220">
                  <c:v>45848</c:v>
                </c:pt>
                <c:pt idx="221">
                  <c:v>45847</c:v>
                </c:pt>
                <c:pt idx="222">
                  <c:v>45846</c:v>
                </c:pt>
                <c:pt idx="223">
                  <c:v>45845</c:v>
                </c:pt>
                <c:pt idx="224">
                  <c:v>45842</c:v>
                </c:pt>
                <c:pt idx="225">
                  <c:v>45841</c:v>
                </c:pt>
                <c:pt idx="226">
                  <c:v>45840</c:v>
                </c:pt>
                <c:pt idx="227">
                  <c:v>45839</c:v>
                </c:pt>
                <c:pt idx="228">
                  <c:v>45838</c:v>
                </c:pt>
                <c:pt idx="229">
                  <c:v>45835</c:v>
                </c:pt>
                <c:pt idx="230">
                  <c:v>45834</c:v>
                </c:pt>
                <c:pt idx="231">
                  <c:v>45833</c:v>
                </c:pt>
                <c:pt idx="232">
                  <c:v>45832</c:v>
                </c:pt>
                <c:pt idx="233">
                  <c:v>45831</c:v>
                </c:pt>
                <c:pt idx="234">
                  <c:v>45828</c:v>
                </c:pt>
                <c:pt idx="235">
                  <c:v>45827</c:v>
                </c:pt>
                <c:pt idx="236">
                  <c:v>45826</c:v>
                </c:pt>
                <c:pt idx="237">
                  <c:v>45825</c:v>
                </c:pt>
                <c:pt idx="238">
                  <c:v>45824</c:v>
                </c:pt>
                <c:pt idx="239">
                  <c:v>45821</c:v>
                </c:pt>
                <c:pt idx="240">
                  <c:v>45820</c:v>
                </c:pt>
                <c:pt idx="241">
                  <c:v>45819</c:v>
                </c:pt>
                <c:pt idx="242">
                  <c:v>45818</c:v>
                </c:pt>
                <c:pt idx="243">
                  <c:v>45817</c:v>
                </c:pt>
                <c:pt idx="244">
                  <c:v>45814</c:v>
                </c:pt>
                <c:pt idx="245">
                  <c:v>45813</c:v>
                </c:pt>
                <c:pt idx="246">
                  <c:v>45812</c:v>
                </c:pt>
                <c:pt idx="247">
                  <c:v>45811</c:v>
                </c:pt>
                <c:pt idx="248">
                  <c:v>45810</c:v>
                </c:pt>
                <c:pt idx="249">
                  <c:v>45807</c:v>
                </c:pt>
                <c:pt idx="250">
                  <c:v>45806</c:v>
                </c:pt>
                <c:pt idx="251">
                  <c:v>45805</c:v>
                </c:pt>
                <c:pt idx="252">
                  <c:v>45804</c:v>
                </c:pt>
                <c:pt idx="253">
                  <c:v>45803</c:v>
                </c:pt>
                <c:pt idx="254">
                  <c:v>45800</c:v>
                </c:pt>
                <c:pt idx="255">
                  <c:v>45799</c:v>
                </c:pt>
                <c:pt idx="256">
                  <c:v>45798</c:v>
                </c:pt>
                <c:pt idx="257">
                  <c:v>45797</c:v>
                </c:pt>
                <c:pt idx="258">
                  <c:v>45796</c:v>
                </c:pt>
                <c:pt idx="259">
                  <c:v>45793</c:v>
                </c:pt>
                <c:pt idx="260">
                  <c:v>45792</c:v>
                </c:pt>
                <c:pt idx="261">
                  <c:v>45791</c:v>
                </c:pt>
                <c:pt idx="262">
                  <c:v>45790</c:v>
                </c:pt>
                <c:pt idx="263">
                  <c:v>45789</c:v>
                </c:pt>
                <c:pt idx="264">
                  <c:v>45786</c:v>
                </c:pt>
                <c:pt idx="265">
                  <c:v>45785</c:v>
                </c:pt>
                <c:pt idx="266">
                  <c:v>45784</c:v>
                </c:pt>
                <c:pt idx="267">
                  <c:v>45783</c:v>
                </c:pt>
                <c:pt idx="268">
                  <c:v>45782</c:v>
                </c:pt>
                <c:pt idx="269">
                  <c:v>45779</c:v>
                </c:pt>
                <c:pt idx="270">
                  <c:v>45777</c:v>
                </c:pt>
                <c:pt idx="271">
                  <c:v>45776</c:v>
                </c:pt>
                <c:pt idx="272">
                  <c:v>45775</c:v>
                </c:pt>
                <c:pt idx="273">
                  <c:v>45772</c:v>
                </c:pt>
                <c:pt idx="274">
                  <c:v>45771</c:v>
                </c:pt>
                <c:pt idx="275">
                  <c:v>45770</c:v>
                </c:pt>
                <c:pt idx="276">
                  <c:v>45769</c:v>
                </c:pt>
                <c:pt idx="277">
                  <c:v>45768</c:v>
                </c:pt>
                <c:pt idx="278">
                  <c:v>45764</c:v>
                </c:pt>
                <c:pt idx="279">
                  <c:v>45763</c:v>
                </c:pt>
                <c:pt idx="280">
                  <c:v>45762</c:v>
                </c:pt>
                <c:pt idx="281">
                  <c:v>45758</c:v>
                </c:pt>
                <c:pt idx="282">
                  <c:v>45756</c:v>
                </c:pt>
                <c:pt idx="283">
                  <c:v>45755</c:v>
                </c:pt>
                <c:pt idx="284">
                  <c:v>45754</c:v>
                </c:pt>
                <c:pt idx="285">
                  <c:v>45751</c:v>
                </c:pt>
                <c:pt idx="286">
                  <c:v>45750</c:v>
                </c:pt>
                <c:pt idx="287">
                  <c:v>45749</c:v>
                </c:pt>
                <c:pt idx="288">
                  <c:v>45748</c:v>
                </c:pt>
                <c:pt idx="289">
                  <c:v>45744</c:v>
                </c:pt>
                <c:pt idx="290">
                  <c:v>45743</c:v>
                </c:pt>
                <c:pt idx="291">
                  <c:v>45742</c:v>
                </c:pt>
                <c:pt idx="292">
                  <c:v>45741</c:v>
                </c:pt>
                <c:pt idx="293">
                  <c:v>45740</c:v>
                </c:pt>
                <c:pt idx="294">
                  <c:v>45737</c:v>
                </c:pt>
                <c:pt idx="295">
                  <c:v>45736</c:v>
                </c:pt>
                <c:pt idx="296">
                  <c:v>45735</c:v>
                </c:pt>
                <c:pt idx="297">
                  <c:v>45734</c:v>
                </c:pt>
                <c:pt idx="298">
                  <c:v>45733</c:v>
                </c:pt>
                <c:pt idx="299">
                  <c:v>45729</c:v>
                </c:pt>
                <c:pt idx="300">
                  <c:v>45728</c:v>
                </c:pt>
                <c:pt idx="301">
                  <c:v>45727</c:v>
                </c:pt>
                <c:pt idx="302">
                  <c:v>45726</c:v>
                </c:pt>
                <c:pt idx="303">
                  <c:v>45723</c:v>
                </c:pt>
                <c:pt idx="304">
                  <c:v>45722</c:v>
                </c:pt>
                <c:pt idx="305">
                  <c:v>45721</c:v>
                </c:pt>
                <c:pt idx="306">
                  <c:v>45720</c:v>
                </c:pt>
                <c:pt idx="307">
                  <c:v>45719</c:v>
                </c:pt>
                <c:pt idx="308">
                  <c:v>45716</c:v>
                </c:pt>
                <c:pt idx="309">
                  <c:v>45715</c:v>
                </c:pt>
                <c:pt idx="310">
                  <c:v>45713</c:v>
                </c:pt>
                <c:pt idx="311">
                  <c:v>45712</c:v>
                </c:pt>
                <c:pt idx="312">
                  <c:v>45709</c:v>
                </c:pt>
                <c:pt idx="313">
                  <c:v>45708</c:v>
                </c:pt>
                <c:pt idx="314">
                  <c:v>45707</c:v>
                </c:pt>
                <c:pt idx="315">
                  <c:v>45706</c:v>
                </c:pt>
                <c:pt idx="316">
                  <c:v>45705</c:v>
                </c:pt>
                <c:pt idx="317">
                  <c:v>45702</c:v>
                </c:pt>
                <c:pt idx="318">
                  <c:v>45701</c:v>
                </c:pt>
                <c:pt idx="319">
                  <c:v>45700</c:v>
                </c:pt>
                <c:pt idx="320">
                  <c:v>45699</c:v>
                </c:pt>
                <c:pt idx="321">
                  <c:v>45698</c:v>
                </c:pt>
                <c:pt idx="322">
                  <c:v>45695</c:v>
                </c:pt>
                <c:pt idx="323">
                  <c:v>45694</c:v>
                </c:pt>
                <c:pt idx="324">
                  <c:v>45693</c:v>
                </c:pt>
                <c:pt idx="325">
                  <c:v>45692</c:v>
                </c:pt>
                <c:pt idx="326">
                  <c:v>45691</c:v>
                </c:pt>
                <c:pt idx="327">
                  <c:v>45689</c:v>
                </c:pt>
                <c:pt idx="328">
                  <c:v>45688</c:v>
                </c:pt>
                <c:pt idx="329">
                  <c:v>45687</c:v>
                </c:pt>
                <c:pt idx="330">
                  <c:v>45686</c:v>
                </c:pt>
                <c:pt idx="331">
                  <c:v>45685</c:v>
                </c:pt>
                <c:pt idx="332">
                  <c:v>45684</c:v>
                </c:pt>
                <c:pt idx="333">
                  <c:v>45681</c:v>
                </c:pt>
                <c:pt idx="334">
                  <c:v>45680</c:v>
                </c:pt>
                <c:pt idx="335">
                  <c:v>45679</c:v>
                </c:pt>
                <c:pt idx="336">
                  <c:v>45678</c:v>
                </c:pt>
                <c:pt idx="337">
                  <c:v>45677</c:v>
                </c:pt>
                <c:pt idx="338">
                  <c:v>45674</c:v>
                </c:pt>
                <c:pt idx="339">
                  <c:v>45673</c:v>
                </c:pt>
                <c:pt idx="340">
                  <c:v>45672</c:v>
                </c:pt>
                <c:pt idx="341">
                  <c:v>45671</c:v>
                </c:pt>
                <c:pt idx="342">
                  <c:v>45670</c:v>
                </c:pt>
                <c:pt idx="343">
                  <c:v>45667</c:v>
                </c:pt>
                <c:pt idx="344">
                  <c:v>45666</c:v>
                </c:pt>
                <c:pt idx="345">
                  <c:v>45665</c:v>
                </c:pt>
                <c:pt idx="346">
                  <c:v>45664</c:v>
                </c:pt>
                <c:pt idx="347">
                  <c:v>45663</c:v>
                </c:pt>
                <c:pt idx="348">
                  <c:v>45660</c:v>
                </c:pt>
                <c:pt idx="349">
                  <c:v>45659</c:v>
                </c:pt>
                <c:pt idx="350">
                  <c:v>45658</c:v>
                </c:pt>
                <c:pt idx="351">
                  <c:v>45657</c:v>
                </c:pt>
                <c:pt idx="352">
                  <c:v>45656</c:v>
                </c:pt>
                <c:pt idx="353">
                  <c:v>45653</c:v>
                </c:pt>
                <c:pt idx="354">
                  <c:v>45652</c:v>
                </c:pt>
                <c:pt idx="355">
                  <c:v>45650</c:v>
                </c:pt>
                <c:pt idx="356">
                  <c:v>45649</c:v>
                </c:pt>
                <c:pt idx="357">
                  <c:v>45646</c:v>
                </c:pt>
                <c:pt idx="358">
                  <c:v>45645</c:v>
                </c:pt>
                <c:pt idx="359">
                  <c:v>45644</c:v>
                </c:pt>
                <c:pt idx="360">
                  <c:v>45643</c:v>
                </c:pt>
                <c:pt idx="361">
                  <c:v>45642</c:v>
                </c:pt>
                <c:pt idx="362">
                  <c:v>45639</c:v>
                </c:pt>
                <c:pt idx="363">
                  <c:v>45638</c:v>
                </c:pt>
                <c:pt idx="364">
                  <c:v>45637</c:v>
                </c:pt>
                <c:pt idx="365">
                  <c:v>45636</c:v>
                </c:pt>
                <c:pt idx="366">
                  <c:v>45635</c:v>
                </c:pt>
                <c:pt idx="367">
                  <c:v>45632</c:v>
                </c:pt>
                <c:pt idx="368">
                  <c:v>45631</c:v>
                </c:pt>
                <c:pt idx="369">
                  <c:v>45630</c:v>
                </c:pt>
                <c:pt idx="370">
                  <c:v>45629</c:v>
                </c:pt>
                <c:pt idx="371">
                  <c:v>45628</c:v>
                </c:pt>
                <c:pt idx="372">
                  <c:v>45625</c:v>
                </c:pt>
                <c:pt idx="373">
                  <c:v>45624</c:v>
                </c:pt>
                <c:pt idx="374">
                  <c:v>45623</c:v>
                </c:pt>
                <c:pt idx="375">
                  <c:v>45622</c:v>
                </c:pt>
                <c:pt idx="376">
                  <c:v>45621</c:v>
                </c:pt>
                <c:pt idx="377">
                  <c:v>45618</c:v>
                </c:pt>
                <c:pt idx="378">
                  <c:v>45617</c:v>
                </c:pt>
                <c:pt idx="379">
                  <c:v>45615</c:v>
                </c:pt>
                <c:pt idx="380">
                  <c:v>45614</c:v>
                </c:pt>
                <c:pt idx="381">
                  <c:v>45610</c:v>
                </c:pt>
                <c:pt idx="382">
                  <c:v>45609</c:v>
                </c:pt>
                <c:pt idx="383">
                  <c:v>45608</c:v>
                </c:pt>
                <c:pt idx="384">
                  <c:v>45607</c:v>
                </c:pt>
                <c:pt idx="385">
                  <c:v>45604</c:v>
                </c:pt>
                <c:pt idx="386">
                  <c:v>45603</c:v>
                </c:pt>
                <c:pt idx="387">
                  <c:v>45602</c:v>
                </c:pt>
                <c:pt idx="388">
                  <c:v>45601</c:v>
                </c:pt>
                <c:pt idx="389">
                  <c:v>45600</c:v>
                </c:pt>
                <c:pt idx="390">
                  <c:v>45597</c:v>
                </c:pt>
                <c:pt idx="391">
                  <c:v>45596</c:v>
                </c:pt>
                <c:pt idx="392">
                  <c:v>45595</c:v>
                </c:pt>
                <c:pt idx="393">
                  <c:v>45594</c:v>
                </c:pt>
                <c:pt idx="394">
                  <c:v>45593</c:v>
                </c:pt>
                <c:pt idx="395">
                  <c:v>45590</c:v>
                </c:pt>
                <c:pt idx="396">
                  <c:v>45589</c:v>
                </c:pt>
                <c:pt idx="397">
                  <c:v>45588</c:v>
                </c:pt>
                <c:pt idx="398">
                  <c:v>45587</c:v>
                </c:pt>
                <c:pt idx="399">
                  <c:v>45586</c:v>
                </c:pt>
                <c:pt idx="400">
                  <c:v>45583</c:v>
                </c:pt>
                <c:pt idx="401">
                  <c:v>45582</c:v>
                </c:pt>
                <c:pt idx="402">
                  <c:v>45581</c:v>
                </c:pt>
                <c:pt idx="403">
                  <c:v>45580</c:v>
                </c:pt>
                <c:pt idx="404">
                  <c:v>45579</c:v>
                </c:pt>
                <c:pt idx="405">
                  <c:v>45576</c:v>
                </c:pt>
                <c:pt idx="406">
                  <c:v>45575</c:v>
                </c:pt>
                <c:pt idx="407">
                  <c:v>45574</c:v>
                </c:pt>
                <c:pt idx="408">
                  <c:v>45573</c:v>
                </c:pt>
                <c:pt idx="409">
                  <c:v>45572</c:v>
                </c:pt>
                <c:pt idx="410">
                  <c:v>45569</c:v>
                </c:pt>
                <c:pt idx="411">
                  <c:v>45568</c:v>
                </c:pt>
                <c:pt idx="412">
                  <c:v>45566</c:v>
                </c:pt>
                <c:pt idx="413">
                  <c:v>45565</c:v>
                </c:pt>
                <c:pt idx="414">
                  <c:v>45562</c:v>
                </c:pt>
                <c:pt idx="415">
                  <c:v>45561</c:v>
                </c:pt>
                <c:pt idx="416">
                  <c:v>45560</c:v>
                </c:pt>
                <c:pt idx="417">
                  <c:v>45559</c:v>
                </c:pt>
                <c:pt idx="418">
                  <c:v>45558</c:v>
                </c:pt>
                <c:pt idx="419">
                  <c:v>45555</c:v>
                </c:pt>
                <c:pt idx="420">
                  <c:v>45554</c:v>
                </c:pt>
                <c:pt idx="421">
                  <c:v>45553</c:v>
                </c:pt>
                <c:pt idx="422">
                  <c:v>45552</c:v>
                </c:pt>
                <c:pt idx="423">
                  <c:v>45551</c:v>
                </c:pt>
                <c:pt idx="424">
                  <c:v>45548</c:v>
                </c:pt>
                <c:pt idx="425">
                  <c:v>45547</c:v>
                </c:pt>
                <c:pt idx="426">
                  <c:v>45546</c:v>
                </c:pt>
                <c:pt idx="427">
                  <c:v>45545</c:v>
                </c:pt>
                <c:pt idx="428">
                  <c:v>45544</c:v>
                </c:pt>
                <c:pt idx="429">
                  <c:v>45541</c:v>
                </c:pt>
                <c:pt idx="430">
                  <c:v>45540</c:v>
                </c:pt>
                <c:pt idx="431">
                  <c:v>45539</c:v>
                </c:pt>
                <c:pt idx="432">
                  <c:v>45538</c:v>
                </c:pt>
                <c:pt idx="433">
                  <c:v>45537</c:v>
                </c:pt>
                <c:pt idx="434">
                  <c:v>45534</c:v>
                </c:pt>
                <c:pt idx="435">
                  <c:v>45533</c:v>
                </c:pt>
                <c:pt idx="436">
                  <c:v>45532</c:v>
                </c:pt>
                <c:pt idx="437">
                  <c:v>45531</c:v>
                </c:pt>
                <c:pt idx="438">
                  <c:v>45530</c:v>
                </c:pt>
                <c:pt idx="439">
                  <c:v>45527</c:v>
                </c:pt>
                <c:pt idx="440">
                  <c:v>45526</c:v>
                </c:pt>
                <c:pt idx="441">
                  <c:v>45525</c:v>
                </c:pt>
                <c:pt idx="442">
                  <c:v>45524</c:v>
                </c:pt>
                <c:pt idx="443">
                  <c:v>45523</c:v>
                </c:pt>
                <c:pt idx="444">
                  <c:v>45520</c:v>
                </c:pt>
                <c:pt idx="445">
                  <c:v>45518</c:v>
                </c:pt>
                <c:pt idx="446">
                  <c:v>45517</c:v>
                </c:pt>
                <c:pt idx="447">
                  <c:v>45516</c:v>
                </c:pt>
                <c:pt idx="448">
                  <c:v>45513</c:v>
                </c:pt>
                <c:pt idx="449">
                  <c:v>45512</c:v>
                </c:pt>
                <c:pt idx="450">
                  <c:v>45511</c:v>
                </c:pt>
                <c:pt idx="451">
                  <c:v>45510</c:v>
                </c:pt>
                <c:pt idx="452">
                  <c:v>45509</c:v>
                </c:pt>
                <c:pt idx="453">
                  <c:v>45506</c:v>
                </c:pt>
                <c:pt idx="454">
                  <c:v>45505</c:v>
                </c:pt>
                <c:pt idx="455">
                  <c:v>45504</c:v>
                </c:pt>
                <c:pt idx="456">
                  <c:v>45503</c:v>
                </c:pt>
                <c:pt idx="457">
                  <c:v>45502</c:v>
                </c:pt>
                <c:pt idx="458">
                  <c:v>45499</c:v>
                </c:pt>
                <c:pt idx="459">
                  <c:v>45498</c:v>
                </c:pt>
                <c:pt idx="460">
                  <c:v>45497</c:v>
                </c:pt>
                <c:pt idx="461">
                  <c:v>45496</c:v>
                </c:pt>
                <c:pt idx="462">
                  <c:v>45495</c:v>
                </c:pt>
                <c:pt idx="463">
                  <c:v>45492</c:v>
                </c:pt>
                <c:pt idx="464">
                  <c:v>45491</c:v>
                </c:pt>
                <c:pt idx="465">
                  <c:v>45489</c:v>
                </c:pt>
                <c:pt idx="466">
                  <c:v>45488</c:v>
                </c:pt>
                <c:pt idx="467">
                  <c:v>45485</c:v>
                </c:pt>
                <c:pt idx="468">
                  <c:v>45484</c:v>
                </c:pt>
                <c:pt idx="469">
                  <c:v>45483</c:v>
                </c:pt>
                <c:pt idx="470">
                  <c:v>45482</c:v>
                </c:pt>
                <c:pt idx="471">
                  <c:v>45481</c:v>
                </c:pt>
                <c:pt idx="472">
                  <c:v>45478</c:v>
                </c:pt>
                <c:pt idx="473">
                  <c:v>45477</c:v>
                </c:pt>
                <c:pt idx="474">
                  <c:v>45476</c:v>
                </c:pt>
                <c:pt idx="475">
                  <c:v>45475</c:v>
                </c:pt>
                <c:pt idx="476">
                  <c:v>45474</c:v>
                </c:pt>
                <c:pt idx="477">
                  <c:v>45471</c:v>
                </c:pt>
                <c:pt idx="478">
                  <c:v>45470</c:v>
                </c:pt>
                <c:pt idx="479">
                  <c:v>45469</c:v>
                </c:pt>
                <c:pt idx="480">
                  <c:v>45468</c:v>
                </c:pt>
                <c:pt idx="481">
                  <c:v>45467</c:v>
                </c:pt>
                <c:pt idx="482">
                  <c:v>45464</c:v>
                </c:pt>
                <c:pt idx="483">
                  <c:v>45463</c:v>
                </c:pt>
                <c:pt idx="484">
                  <c:v>45462</c:v>
                </c:pt>
                <c:pt idx="485">
                  <c:v>45461</c:v>
                </c:pt>
                <c:pt idx="486">
                  <c:v>45457</c:v>
                </c:pt>
                <c:pt idx="487">
                  <c:v>45456</c:v>
                </c:pt>
                <c:pt idx="488">
                  <c:v>45455</c:v>
                </c:pt>
                <c:pt idx="489">
                  <c:v>45454</c:v>
                </c:pt>
                <c:pt idx="490">
                  <c:v>45453</c:v>
                </c:pt>
                <c:pt idx="491">
                  <c:v>45450</c:v>
                </c:pt>
                <c:pt idx="492">
                  <c:v>45449</c:v>
                </c:pt>
                <c:pt idx="493">
                  <c:v>45448</c:v>
                </c:pt>
                <c:pt idx="494">
                  <c:v>45447</c:v>
                </c:pt>
                <c:pt idx="495">
                  <c:v>45446</c:v>
                </c:pt>
              </c:numCache>
            </c:numRef>
          </c:cat>
          <c:val>
            <c:numRef>
              <c:f>'Graphical Representation'!$N$267:$N$762</c:f>
              <c:numCache>
                <c:formatCode>0.00</c:formatCode>
                <c:ptCount val="496"/>
                <c:pt idx="0">
                  <c:v>107.00831648292979</c:v>
                </c:pt>
                <c:pt idx="1">
                  <c:v>107.56742840392732</c:v>
                </c:pt>
                <c:pt idx="2">
                  <c:v>106.95388245641378</c:v>
                </c:pt>
                <c:pt idx="3">
                  <c:v>109.62595156117683</c:v>
                </c:pt>
                <c:pt idx="4">
                  <c:v>110.75067276143287</c:v>
                </c:pt>
                <c:pt idx="5">
                  <c:v>107.30480762461599</c:v>
                </c:pt>
                <c:pt idx="6">
                  <c:v>106.74930383993872</c:v>
                </c:pt>
                <c:pt idx="7">
                  <c:v>106.23236370773716</c:v>
                </c:pt>
                <c:pt idx="8">
                  <c:v>106.17537956983689</c:v>
                </c:pt>
                <c:pt idx="9">
                  <c:v>104.8237934073381</c:v>
                </c:pt>
                <c:pt idx="10">
                  <c:v>103.2498999284748</c:v>
                </c:pt>
                <c:pt idx="11">
                  <c:v>103.38668356251102</c:v>
                </c:pt>
                <c:pt idx="12">
                  <c:v>104.21060013480322</c:v>
                </c:pt>
                <c:pt idx="13">
                  <c:v>105.26576297772708</c:v>
                </c:pt>
                <c:pt idx="14">
                  <c:v>104.54637384334475</c:v>
                </c:pt>
                <c:pt idx="15">
                  <c:v>103.38379434057036</c:v>
                </c:pt>
                <c:pt idx="16">
                  <c:v>106.41700262349489</c:v>
                </c:pt>
                <c:pt idx="17">
                  <c:v>108.68520461998796</c:v>
                </c:pt>
                <c:pt idx="18">
                  <c:v>108.95068749239545</c:v>
                </c:pt>
                <c:pt idx="19">
                  <c:v>106.76018250658856</c:v>
                </c:pt>
                <c:pt idx="20">
                  <c:v>106.35007576408051</c:v>
                </c:pt>
                <c:pt idx="21">
                  <c:v>105.89226294849574</c:v>
                </c:pt>
                <c:pt idx="22">
                  <c:v>104.73121622543636</c:v>
                </c:pt>
                <c:pt idx="23">
                  <c:v>105.75226454638469</c:v>
                </c:pt>
                <c:pt idx="24">
                  <c:v>105.72364361542313</c:v>
                </c:pt>
                <c:pt idx="25">
                  <c:v>105.27087676491784</c:v>
                </c:pt>
                <c:pt idx="26">
                  <c:v>104.56685612095231</c:v>
                </c:pt>
                <c:pt idx="27">
                  <c:v>105.32547356450092</c:v>
                </c:pt>
                <c:pt idx="28">
                  <c:v>104.90720103979434</c:v>
                </c:pt>
                <c:pt idx="29">
                  <c:v>103.75421158355542</c:v>
                </c:pt>
                <c:pt idx="30">
                  <c:v>103.81272850117067</c:v>
                </c:pt>
                <c:pt idx="31">
                  <c:v>103.24181553280982</c:v>
                </c:pt>
                <c:pt idx="32">
                  <c:v>101.02761350132057</c:v>
                </c:pt>
                <c:pt idx="33">
                  <c:v>100.00545289774716</c:v>
                </c:pt>
                <c:pt idx="34">
                  <c:v>97.531994063666232</c:v>
                </c:pt>
                <c:pt idx="35">
                  <c:v>97.909044309134813</c:v>
                </c:pt>
                <c:pt idx="36">
                  <c:v>95.735671188638108</c:v>
                </c:pt>
                <c:pt idx="37">
                  <c:v>94.194630740480449</c:v>
                </c:pt>
                <c:pt idx="38">
                  <c:v>91.40014272485098</c:v>
                </c:pt>
                <c:pt idx="39">
                  <c:v>90.81231492193605</c:v>
                </c:pt>
                <c:pt idx="40">
                  <c:v>90.013885899064135</c:v>
                </c:pt>
                <c:pt idx="41">
                  <c:v>90.0137095615748</c:v>
                </c:pt>
                <c:pt idx="42">
                  <c:v>87.142433351550338</c:v>
                </c:pt>
                <c:pt idx="43">
                  <c:v>89.121767411665417</c:v>
                </c:pt>
                <c:pt idx="44">
                  <c:v>91.197598771714439</c:v>
                </c:pt>
                <c:pt idx="45">
                  <c:v>89.371529118677429</c:v>
                </c:pt>
                <c:pt idx="46">
                  <c:v>87.704488752177596</c:v>
                </c:pt>
                <c:pt idx="47">
                  <c:v>91.348774257764987</c:v>
                </c:pt>
                <c:pt idx="48">
                  <c:v>91.18067037273812</c:v>
                </c:pt>
                <c:pt idx="49">
                  <c:v>93.884005470802776</c:v>
                </c:pt>
                <c:pt idx="50">
                  <c:v>92.161581568228968</c:v>
                </c:pt>
                <c:pt idx="51">
                  <c:v>90.891381939270175</c:v>
                </c:pt>
                <c:pt idx="52">
                  <c:v>91.722894588026108</c:v>
                </c:pt>
                <c:pt idx="53">
                  <c:v>94.550357714161535</c:v>
                </c:pt>
                <c:pt idx="54">
                  <c:v>94.032942827180989</c:v>
                </c:pt>
                <c:pt idx="55">
                  <c:v>95.024597045099114</c:v>
                </c:pt>
                <c:pt idx="56">
                  <c:v>93.727865406206291</c:v>
                </c:pt>
                <c:pt idx="57">
                  <c:v>95.789861055553502</c:v>
                </c:pt>
                <c:pt idx="58">
                  <c:v>94.556990716645046</c:v>
                </c:pt>
                <c:pt idx="59">
                  <c:v>92.437251321751205</c:v>
                </c:pt>
                <c:pt idx="60">
                  <c:v>94.942437339490496</c:v>
                </c:pt>
                <c:pt idx="61">
                  <c:v>95.567418094966413</c:v>
                </c:pt>
                <c:pt idx="62">
                  <c:v>96.041901585504633</c:v>
                </c:pt>
                <c:pt idx="63">
                  <c:v>95.206387432182964</c:v>
                </c:pt>
                <c:pt idx="64">
                  <c:v>94.950182624599037</c:v>
                </c:pt>
                <c:pt idx="65">
                  <c:v>94.644467675778301</c:v>
                </c:pt>
                <c:pt idx="66">
                  <c:v>94.425822753423077</c:v>
                </c:pt>
                <c:pt idx="67">
                  <c:v>93.022569706548651</c:v>
                </c:pt>
                <c:pt idx="68">
                  <c:v>95.092866782316918</c:v>
                </c:pt>
                <c:pt idx="69">
                  <c:v>94.250814577467551</c:v>
                </c:pt>
                <c:pt idx="70">
                  <c:v>93.536281506253133</c:v>
                </c:pt>
                <c:pt idx="71">
                  <c:v>92.567917401349675</c:v>
                </c:pt>
                <c:pt idx="72">
                  <c:v>93.656001097090467</c:v>
                </c:pt>
                <c:pt idx="73">
                  <c:v>93.59173286443837</c:v>
                </c:pt>
                <c:pt idx="74">
                  <c:v>93.560575386514813</c:v>
                </c:pt>
                <c:pt idx="75">
                  <c:v>93.642558754634109</c:v>
                </c:pt>
                <c:pt idx="76">
                  <c:v>91.902080606036691</c:v>
                </c:pt>
                <c:pt idx="77">
                  <c:v>91.531378510184226</c:v>
                </c:pt>
                <c:pt idx="78">
                  <c:v>92.517037253464935</c:v>
                </c:pt>
                <c:pt idx="79">
                  <c:v>92.364261165588076</c:v>
                </c:pt>
                <c:pt idx="80">
                  <c:v>89.063399702694994</c:v>
                </c:pt>
                <c:pt idx="81">
                  <c:v>87.701328241791799</c:v>
                </c:pt>
                <c:pt idx="82">
                  <c:v>90.429567619119695</c:v>
                </c:pt>
                <c:pt idx="83">
                  <c:v>89.532728712775651</c:v>
                </c:pt>
                <c:pt idx="84">
                  <c:v>88.977550474232544</c:v>
                </c:pt>
                <c:pt idx="85">
                  <c:v>84.479574489499569</c:v>
                </c:pt>
                <c:pt idx="86">
                  <c:v>83.802913285225756</c:v>
                </c:pt>
                <c:pt idx="87">
                  <c:v>85.594759900909182</c:v>
                </c:pt>
                <c:pt idx="88">
                  <c:v>83.891800944273683</c:v>
                </c:pt>
                <c:pt idx="89">
                  <c:v>84.669205112647774</c:v>
                </c:pt>
                <c:pt idx="90">
                  <c:v>87.068656458896328</c:v>
                </c:pt>
                <c:pt idx="91">
                  <c:v>86.747803614837139</c:v>
                </c:pt>
                <c:pt idx="92">
                  <c:v>87.824696662216169</c:v>
                </c:pt>
                <c:pt idx="93">
                  <c:v>87.64209240979693</c:v>
                </c:pt>
                <c:pt idx="94">
                  <c:v>88.233745379788218</c:v>
                </c:pt>
                <c:pt idx="95">
                  <c:v>88.959129988808002</c:v>
                </c:pt>
                <c:pt idx="96">
                  <c:v>89.888238655700633</c:v>
                </c:pt>
                <c:pt idx="97">
                  <c:v>92.016211654904282</c:v>
                </c:pt>
                <c:pt idx="98">
                  <c:v>91.636774071118538</c:v>
                </c:pt>
                <c:pt idx="99">
                  <c:v>92.221468492492136</c:v>
                </c:pt>
                <c:pt idx="100">
                  <c:v>92.065423378851463</c:v>
                </c:pt>
                <c:pt idx="101">
                  <c:v>91.234005681051329</c:v>
                </c:pt>
                <c:pt idx="102">
                  <c:v>91.03355064894231</c:v>
                </c:pt>
                <c:pt idx="103">
                  <c:v>90.022024552418145</c:v>
                </c:pt>
                <c:pt idx="104">
                  <c:v>90.427749986537307</c:v>
                </c:pt>
                <c:pt idx="105">
                  <c:v>91.073647081133004</c:v>
                </c:pt>
                <c:pt idx="106">
                  <c:v>91.564991148536251</c:v>
                </c:pt>
                <c:pt idx="107">
                  <c:v>91.755517023553395</c:v>
                </c:pt>
                <c:pt idx="108">
                  <c:v>91.738466544776756</c:v>
                </c:pt>
                <c:pt idx="109">
                  <c:v>90.249554171351477</c:v>
                </c:pt>
                <c:pt idx="110">
                  <c:v>88.782236358158798</c:v>
                </c:pt>
                <c:pt idx="111">
                  <c:v>89.50052677433834</c:v>
                </c:pt>
                <c:pt idx="112">
                  <c:v>90.364010766353218</c:v>
                </c:pt>
                <c:pt idx="113">
                  <c:v>90.826381227816228</c:v>
                </c:pt>
                <c:pt idx="114">
                  <c:v>90.585721248138455</c:v>
                </c:pt>
                <c:pt idx="115">
                  <c:v>89.896553646543978</c:v>
                </c:pt>
                <c:pt idx="116">
                  <c:v>89.4017777803098</c:v>
                </c:pt>
                <c:pt idx="117">
                  <c:v>90.291481800546819</c:v>
                </c:pt>
                <c:pt idx="118">
                  <c:v>89.163071077436967</c:v>
                </c:pt>
                <c:pt idx="119">
                  <c:v>91.759749123297468</c:v>
                </c:pt>
                <c:pt idx="120">
                  <c:v>92.147515262348804</c:v>
                </c:pt>
                <c:pt idx="121">
                  <c:v>92.33907203345747</c:v>
                </c:pt>
                <c:pt idx="122">
                  <c:v>93.567873045688899</c:v>
                </c:pt>
                <c:pt idx="123">
                  <c:v>93.916180280395594</c:v>
                </c:pt>
                <c:pt idx="124">
                  <c:v>93.877453854852803</c:v>
                </c:pt>
                <c:pt idx="125">
                  <c:v>94.075304517888554</c:v>
                </c:pt>
                <c:pt idx="126">
                  <c:v>94.532222081604374</c:v>
                </c:pt>
                <c:pt idx="127">
                  <c:v>93.00093445304924</c:v>
                </c:pt>
                <c:pt idx="128">
                  <c:v>92.827676087564853</c:v>
                </c:pt>
                <c:pt idx="129">
                  <c:v>94.08827210556592</c:v>
                </c:pt>
                <c:pt idx="130">
                  <c:v>95.803710330677546</c:v>
                </c:pt>
                <c:pt idx="131">
                  <c:v>95.479317172409367</c:v>
                </c:pt>
                <c:pt idx="132">
                  <c:v>95.669978691649078</c:v>
                </c:pt>
                <c:pt idx="133">
                  <c:v>96.581005983673592</c:v>
                </c:pt>
                <c:pt idx="134">
                  <c:v>96.00275466287188</c:v>
                </c:pt>
                <c:pt idx="135">
                  <c:v>95.854102159361076</c:v>
                </c:pt>
                <c:pt idx="136">
                  <c:v>96.534222291310343</c:v>
                </c:pt>
                <c:pt idx="137">
                  <c:v>96.390981992279933</c:v>
                </c:pt>
                <c:pt idx="138">
                  <c:v>95.257023420467107</c:v>
                </c:pt>
                <c:pt idx="139">
                  <c:v>94.09102568328403</c:v>
                </c:pt>
                <c:pt idx="140">
                  <c:v>94.283681172595479</c:v>
                </c:pt>
                <c:pt idx="141">
                  <c:v>95.473918532351192</c:v>
                </c:pt>
                <c:pt idx="142">
                  <c:v>95.663901830478096</c:v>
                </c:pt>
                <c:pt idx="143">
                  <c:v>95.49948746830502</c:v>
                </c:pt>
                <c:pt idx="144">
                  <c:v>95.113050642634846</c:v>
                </c:pt>
                <c:pt idx="145">
                  <c:v>94.980377028542392</c:v>
                </c:pt>
                <c:pt idx="146">
                  <c:v>94.030691133086378</c:v>
                </c:pt>
                <c:pt idx="147">
                  <c:v>94.162889992399855</c:v>
                </c:pt>
                <c:pt idx="148">
                  <c:v>94.03161351379984</c:v>
                </c:pt>
                <c:pt idx="149">
                  <c:v>93.940664062568885</c:v>
                </c:pt>
                <c:pt idx="150">
                  <c:v>94.205468713863524</c:v>
                </c:pt>
                <c:pt idx="151">
                  <c:v>93.830507389422479</c:v>
                </c:pt>
                <c:pt idx="152">
                  <c:v>93.678423087080745</c:v>
                </c:pt>
                <c:pt idx="153">
                  <c:v>93.917645237999309</c:v>
                </c:pt>
                <c:pt idx="154">
                  <c:v>93.712089983121771</c:v>
                </c:pt>
                <c:pt idx="155">
                  <c:v>92.900964661017611</c:v>
                </c:pt>
                <c:pt idx="156">
                  <c:v>93.54459649709645</c:v>
                </c:pt>
                <c:pt idx="157">
                  <c:v>94.344069980482146</c:v>
                </c:pt>
                <c:pt idx="158">
                  <c:v>93.899373961219581</c:v>
                </c:pt>
                <c:pt idx="159">
                  <c:v>93.174287769489453</c:v>
                </c:pt>
                <c:pt idx="160">
                  <c:v>94.301898191686178</c:v>
                </c:pt>
                <c:pt idx="161">
                  <c:v>94.359709759344085</c:v>
                </c:pt>
                <c:pt idx="162">
                  <c:v>94.216048963223727</c:v>
                </c:pt>
                <c:pt idx="163">
                  <c:v>93.266932773502504</c:v>
                </c:pt>
                <c:pt idx="164">
                  <c:v>92.631426026355399</c:v>
                </c:pt>
                <c:pt idx="165">
                  <c:v>92.622093703842808</c:v>
                </c:pt>
                <c:pt idx="166">
                  <c:v>92.707318968881452</c:v>
                </c:pt>
                <c:pt idx="167">
                  <c:v>94.384478394384757</c:v>
                </c:pt>
                <c:pt idx="168">
                  <c:v>94.471453469894513</c:v>
                </c:pt>
                <c:pt idx="169">
                  <c:v>95.516754977837763</c:v>
                </c:pt>
                <c:pt idx="170">
                  <c:v>95.881665065386613</c:v>
                </c:pt>
                <c:pt idx="171">
                  <c:v>96.620953207219472</c:v>
                </c:pt>
                <c:pt idx="172">
                  <c:v>96.551530494109841</c:v>
                </c:pt>
                <c:pt idx="173">
                  <c:v>96.869901048896082</c:v>
                </c:pt>
                <c:pt idx="174">
                  <c:v>95.952267883232565</c:v>
                </c:pt>
                <c:pt idx="175">
                  <c:v>95.107475665087364</c:v>
                </c:pt>
                <c:pt idx="176">
                  <c:v>94.532886738294934</c:v>
                </c:pt>
                <c:pt idx="177">
                  <c:v>92.899553961102939</c:v>
                </c:pt>
                <c:pt idx="178">
                  <c:v>92.734868310484742</c:v>
                </c:pt>
                <c:pt idx="179">
                  <c:v>91.023458718783331</c:v>
                </c:pt>
                <c:pt idx="180">
                  <c:v>91.019036717127676</c:v>
                </c:pt>
                <c:pt idx="181">
                  <c:v>90.681662406759855</c:v>
                </c:pt>
                <c:pt idx="182">
                  <c:v>90.910724805408179</c:v>
                </c:pt>
                <c:pt idx="183">
                  <c:v>91.44065965413165</c:v>
                </c:pt>
                <c:pt idx="184">
                  <c:v>91.166007232278645</c:v>
                </c:pt>
                <c:pt idx="185">
                  <c:v>90.443620360577597</c:v>
                </c:pt>
                <c:pt idx="186">
                  <c:v>88.734489591815333</c:v>
                </c:pt>
                <c:pt idx="187">
                  <c:v>88.540721819878854</c:v>
                </c:pt>
                <c:pt idx="188">
                  <c:v>89.361491446207509</c:v>
                </c:pt>
                <c:pt idx="189">
                  <c:v>90.706715894667923</c:v>
                </c:pt>
                <c:pt idx="190">
                  <c:v>91.086479024587817</c:v>
                </c:pt>
                <c:pt idx="191">
                  <c:v>91.01256648771124</c:v>
                </c:pt>
                <c:pt idx="192">
                  <c:v>91.053910846749559</c:v>
                </c:pt>
                <c:pt idx="193">
                  <c:v>90.93429977129027</c:v>
                </c:pt>
                <c:pt idx="194">
                  <c:v>90.573784556552582</c:v>
                </c:pt>
                <c:pt idx="195">
                  <c:v>90.557873489245523</c:v>
                </c:pt>
                <c:pt idx="196">
                  <c:v>91.062076628948077</c:v>
                </c:pt>
                <c:pt idx="197">
                  <c:v>90.150045569676578</c:v>
                </c:pt>
                <c:pt idx="198">
                  <c:v>90.836337513752625</c:v>
                </c:pt>
                <c:pt idx="199">
                  <c:v>90.544227680455293</c:v>
                </c:pt>
                <c:pt idx="200">
                  <c:v>92.032923023124482</c:v>
                </c:pt>
                <c:pt idx="201">
                  <c:v>92.416375675898195</c:v>
                </c:pt>
                <c:pt idx="202">
                  <c:v>93.188693185926056</c:v>
                </c:pt>
                <c:pt idx="203">
                  <c:v>92.923752890408821</c:v>
                </c:pt>
                <c:pt idx="204">
                  <c:v>92.034903428773958</c:v>
                </c:pt>
                <c:pt idx="205">
                  <c:v>92.559086962460597</c:v>
                </c:pt>
                <c:pt idx="206">
                  <c:v>93.177773826009428</c:v>
                </c:pt>
                <c:pt idx="207">
                  <c:v>92.929178659311489</c:v>
                </c:pt>
                <c:pt idx="208">
                  <c:v>92.381881350099505</c:v>
                </c:pt>
                <c:pt idx="209">
                  <c:v>93.779138922336486</c:v>
                </c:pt>
                <c:pt idx="210">
                  <c:v>95.531906437498449</c:v>
                </c:pt>
                <c:pt idx="211">
                  <c:v>95.999784054397679</c:v>
                </c:pt>
                <c:pt idx="212">
                  <c:v>96.294321919278929</c:v>
                </c:pt>
                <c:pt idx="213">
                  <c:v>96.491236637178972</c:v>
                </c:pt>
                <c:pt idx="214">
                  <c:v>95.223071671558671</c:v>
                </c:pt>
                <c:pt idx="215">
                  <c:v>96.675550006802553</c:v>
                </c:pt>
                <c:pt idx="216">
                  <c:v>96.628657799061244</c:v>
                </c:pt>
                <c:pt idx="217">
                  <c:v>96.862087941676222</c:v>
                </c:pt>
                <c:pt idx="218">
                  <c:v>96.193592519600941</c:v>
                </c:pt>
                <c:pt idx="219">
                  <c:v>96.26268968657638</c:v>
                </c:pt>
                <c:pt idx="220">
                  <c:v>97.440732630723389</c:v>
                </c:pt>
                <c:pt idx="221">
                  <c:v>97.864553004132944</c:v>
                </c:pt>
                <c:pt idx="222">
                  <c:v>97.87213551617441</c:v>
                </c:pt>
                <c:pt idx="223">
                  <c:v>97.665033917159633</c:v>
                </c:pt>
                <c:pt idx="224">
                  <c:v>98.10117078597824</c:v>
                </c:pt>
                <c:pt idx="225">
                  <c:v>97.83712574232996</c:v>
                </c:pt>
                <c:pt idx="226">
                  <c:v>97.708792743359624</c:v>
                </c:pt>
                <c:pt idx="227">
                  <c:v>98.387461482127449</c:v>
                </c:pt>
                <c:pt idx="228">
                  <c:v>98.115223527436143</c:v>
                </c:pt>
                <c:pt idx="229">
                  <c:v>97.051786386935717</c:v>
                </c:pt>
                <c:pt idx="230">
                  <c:v>96.24934229507582</c:v>
                </c:pt>
                <c:pt idx="231">
                  <c:v>95.904697454378436</c:v>
                </c:pt>
                <c:pt idx="232">
                  <c:v>96.425747606523785</c:v>
                </c:pt>
                <c:pt idx="233">
                  <c:v>96.176338574490444</c:v>
                </c:pt>
                <c:pt idx="234">
                  <c:v>95.281059576705914</c:v>
                </c:pt>
                <c:pt idx="235">
                  <c:v>94.200436313206311</c:v>
                </c:pt>
                <c:pt idx="236">
                  <c:v>94.743040332317491</c:v>
                </c:pt>
                <c:pt idx="237">
                  <c:v>95.196051342423388</c:v>
                </c:pt>
                <c:pt idx="238">
                  <c:v>95.408009004606072</c:v>
                </c:pt>
                <c:pt idx="239">
                  <c:v>94.635515157088889</c:v>
                </c:pt>
                <c:pt idx="240">
                  <c:v>94.645173025735659</c:v>
                </c:pt>
                <c:pt idx="241">
                  <c:v>96.525744527399922</c:v>
                </c:pt>
                <c:pt idx="242">
                  <c:v>96.936949988110783</c:v>
                </c:pt>
                <c:pt idx="243">
                  <c:v>96.736820502135927</c:v>
                </c:pt>
                <c:pt idx="244">
                  <c:v>96.032989760081989</c:v>
                </c:pt>
                <c:pt idx="245">
                  <c:v>96.318819265874467</c:v>
                </c:pt>
                <c:pt idx="246">
                  <c:v>95.91870950256957</c:v>
                </c:pt>
                <c:pt idx="247">
                  <c:v>95.749086402249944</c:v>
                </c:pt>
                <c:pt idx="248">
                  <c:v>96.593471687727444</c:v>
                </c:pt>
                <c:pt idx="249">
                  <c:v>96.42898950344312</c:v>
                </c:pt>
                <c:pt idx="250">
                  <c:v>95.832846709684858</c:v>
                </c:pt>
                <c:pt idx="251">
                  <c:v>95.535460316129715</c:v>
                </c:pt>
                <c:pt idx="252">
                  <c:v>95.179041556913518</c:v>
                </c:pt>
                <c:pt idx="253">
                  <c:v>94.781197052125492</c:v>
                </c:pt>
                <c:pt idx="254">
                  <c:v>93.928239051781773</c:v>
                </c:pt>
                <c:pt idx="255">
                  <c:v>93.529675632614129</c:v>
                </c:pt>
                <c:pt idx="256">
                  <c:v>93.726305497646777</c:v>
                </c:pt>
                <c:pt idx="257">
                  <c:v>92.208555162503814</c:v>
                </c:pt>
                <c:pt idx="258">
                  <c:v>93.323699880646643</c:v>
                </c:pt>
                <c:pt idx="259">
                  <c:v>93.471267230376924</c:v>
                </c:pt>
                <c:pt idx="260">
                  <c:v>91.969807766364212</c:v>
                </c:pt>
                <c:pt idx="261">
                  <c:v>90.797841683388199</c:v>
                </c:pt>
                <c:pt idx="262">
                  <c:v>89.461135692104975</c:v>
                </c:pt>
                <c:pt idx="263">
                  <c:v>88.541006672746235</c:v>
                </c:pt>
                <c:pt idx="264">
                  <c:v>85.255391620469638</c:v>
                </c:pt>
                <c:pt idx="265">
                  <c:v>83.856112949316397</c:v>
                </c:pt>
                <c:pt idx="266">
                  <c:v>84.620291805990234</c:v>
                </c:pt>
                <c:pt idx="267">
                  <c:v>84.258203118270771</c:v>
                </c:pt>
                <c:pt idx="268">
                  <c:v>85.727976091891904</c:v>
                </c:pt>
                <c:pt idx="269">
                  <c:v>85.005941895169528</c:v>
                </c:pt>
                <c:pt idx="270">
                  <c:v>85.157971939822247</c:v>
                </c:pt>
                <c:pt idx="271">
                  <c:v>85.849052124954923</c:v>
                </c:pt>
                <c:pt idx="272">
                  <c:v>85.046797935006609</c:v>
                </c:pt>
                <c:pt idx="273">
                  <c:v>83.433350600842857</c:v>
                </c:pt>
                <c:pt idx="274">
                  <c:v>85.188125650498819</c:v>
                </c:pt>
                <c:pt idx="275">
                  <c:v>85.224912363658902</c:v>
                </c:pt>
                <c:pt idx="276">
                  <c:v>84.356802903654483</c:v>
                </c:pt>
                <c:pt idx="277">
                  <c:v>84.472995744705088</c:v>
                </c:pt>
                <c:pt idx="278">
                  <c:v>82.894476797852263</c:v>
                </c:pt>
                <c:pt idx="279">
                  <c:v>82.274107945943598</c:v>
                </c:pt>
                <c:pt idx="280">
                  <c:v>82.330698715598416</c:v>
                </c:pt>
                <c:pt idx="281">
                  <c:v>79.414171592925726</c:v>
                </c:pt>
                <c:pt idx="282">
                  <c:v>77.744431906396798</c:v>
                </c:pt>
                <c:pt idx="283">
                  <c:v>79.048000014107004</c:v>
                </c:pt>
                <c:pt idx="284">
                  <c:v>77.393045547837843</c:v>
                </c:pt>
                <c:pt idx="285">
                  <c:v>80.903056837506497</c:v>
                </c:pt>
                <c:pt idx="286">
                  <c:v>84.263710273706977</c:v>
                </c:pt>
                <c:pt idx="287">
                  <c:v>83.955526600035498</c:v>
                </c:pt>
                <c:pt idx="288">
                  <c:v>83.832131050766606</c:v>
                </c:pt>
                <c:pt idx="289">
                  <c:v>85.081861966540089</c:v>
                </c:pt>
                <c:pt idx="290">
                  <c:v>85.208078915638367</c:v>
                </c:pt>
                <c:pt idx="291">
                  <c:v>84.777584846478533</c:v>
                </c:pt>
                <c:pt idx="292">
                  <c:v>84.73424651736849</c:v>
                </c:pt>
                <c:pt idx="293">
                  <c:v>85.600701117857597</c:v>
                </c:pt>
                <c:pt idx="294">
                  <c:v>83.966188235929252</c:v>
                </c:pt>
                <c:pt idx="295">
                  <c:v>83.137293520668848</c:v>
                </c:pt>
                <c:pt idx="296">
                  <c:v>82.428335427001912</c:v>
                </c:pt>
                <c:pt idx="297">
                  <c:v>80.62361617459689</c:v>
                </c:pt>
                <c:pt idx="298">
                  <c:v>78.700845755292121</c:v>
                </c:pt>
                <c:pt idx="299">
                  <c:v>78.343748774963103</c:v>
                </c:pt>
                <c:pt idx="300">
                  <c:v>78.391332768239494</c:v>
                </c:pt>
                <c:pt idx="301">
                  <c:v>78.631219575848661</c:v>
                </c:pt>
                <c:pt idx="302">
                  <c:v>78.263393137514626</c:v>
                </c:pt>
                <c:pt idx="303">
                  <c:v>79.910534496563926</c:v>
                </c:pt>
                <c:pt idx="304">
                  <c:v>79.534827128898769</c:v>
                </c:pt>
                <c:pt idx="305">
                  <c:v>78.891005390908333</c:v>
                </c:pt>
                <c:pt idx="306">
                  <c:v>77.149238622196521</c:v>
                </c:pt>
                <c:pt idx="307">
                  <c:v>76.074122514133109</c:v>
                </c:pt>
                <c:pt idx="308">
                  <c:v>74.93138776112022</c:v>
                </c:pt>
                <c:pt idx="309">
                  <c:v>76.629802636299729</c:v>
                </c:pt>
                <c:pt idx="310">
                  <c:v>77.85913266099918</c:v>
                </c:pt>
                <c:pt idx="311">
                  <c:v>78.346027597902236</c:v>
                </c:pt>
                <c:pt idx="312">
                  <c:v>79.214611812685632</c:v>
                </c:pt>
                <c:pt idx="313">
                  <c:v>79.264488193323402</c:v>
                </c:pt>
                <c:pt idx="314">
                  <c:v>78.375299621132115</c:v>
                </c:pt>
                <c:pt idx="315">
                  <c:v>76.697434845671452</c:v>
                </c:pt>
                <c:pt idx="316">
                  <c:v>77.403910650065427</c:v>
                </c:pt>
                <c:pt idx="317">
                  <c:v>77.790740843981055</c:v>
                </c:pt>
                <c:pt idx="318">
                  <c:v>80.002677616953463</c:v>
                </c:pt>
                <c:pt idx="319">
                  <c:v>79.926689723471611</c:v>
                </c:pt>
                <c:pt idx="320">
                  <c:v>79.795779484272515</c:v>
                </c:pt>
                <c:pt idx="321">
                  <c:v>81.917268689637467</c:v>
                </c:pt>
                <c:pt idx="322">
                  <c:v>82.844573288369986</c:v>
                </c:pt>
                <c:pt idx="323">
                  <c:v>83.455175756253837</c:v>
                </c:pt>
                <c:pt idx="324">
                  <c:v>84.164635733544273</c:v>
                </c:pt>
                <c:pt idx="325">
                  <c:v>84.028259032175754</c:v>
                </c:pt>
                <c:pt idx="326">
                  <c:v>81.249058120429552</c:v>
                </c:pt>
                <c:pt idx="327">
                  <c:v>84.888501127271311</c:v>
                </c:pt>
                <c:pt idx="328">
                  <c:v>87.530904840559018</c:v>
                </c:pt>
                <c:pt idx="329">
                  <c:v>84.251746453276596</c:v>
                </c:pt>
                <c:pt idx="330">
                  <c:v>83.772990169727535</c:v>
                </c:pt>
                <c:pt idx="331">
                  <c:v>81.571375922092457</c:v>
                </c:pt>
                <c:pt idx="332">
                  <c:v>82.88112940635169</c:v>
                </c:pt>
                <c:pt idx="333">
                  <c:v>84.412973176219339</c:v>
                </c:pt>
                <c:pt idx="334">
                  <c:v>86.038791263481158</c:v>
                </c:pt>
                <c:pt idx="335">
                  <c:v>85.747915792609191</c:v>
                </c:pt>
                <c:pt idx="336">
                  <c:v>87.3336781409471</c:v>
                </c:pt>
                <c:pt idx="337">
                  <c:v>89.264207409782699</c:v>
                </c:pt>
                <c:pt idx="338">
                  <c:v>88.412402385330779</c:v>
                </c:pt>
                <c:pt idx="339">
                  <c:v>87.027284971013501</c:v>
                </c:pt>
                <c:pt idx="340">
                  <c:v>85.694417711228908</c:v>
                </c:pt>
                <c:pt idx="341">
                  <c:v>85.390398315190225</c:v>
                </c:pt>
                <c:pt idx="342">
                  <c:v>84.005972686408043</c:v>
                </c:pt>
                <c:pt idx="343">
                  <c:v>87.12787872646895</c:v>
                </c:pt>
                <c:pt idx="344">
                  <c:v>88.651217603581657</c:v>
                </c:pt>
                <c:pt idx="345">
                  <c:v>90.034273225715907</c:v>
                </c:pt>
                <c:pt idx="346">
                  <c:v>91.258055401712397</c:v>
                </c:pt>
                <c:pt idx="347">
                  <c:v>90.233195478109934</c:v>
                </c:pt>
                <c:pt idx="348">
                  <c:v>92.524565507817385</c:v>
                </c:pt>
                <c:pt idx="349">
                  <c:v>93.511662079857274</c:v>
                </c:pt>
                <c:pt idx="350">
                  <c:v>93.057511658281811</c:v>
                </c:pt>
                <c:pt idx="351">
                  <c:v>91.938975834574805</c:v>
                </c:pt>
                <c:pt idx="352">
                  <c:v>90.751776905404569</c:v>
                </c:pt>
                <c:pt idx="353">
                  <c:v>92.455305567774829</c:v>
                </c:pt>
                <c:pt idx="354">
                  <c:v>93.020385834565317</c:v>
                </c:pt>
                <c:pt idx="355">
                  <c:v>92.985552398210189</c:v>
                </c:pt>
                <c:pt idx="356">
                  <c:v>93.074209462079764</c:v>
                </c:pt>
                <c:pt idx="357">
                  <c:v>92.994152241920915</c:v>
                </c:pt>
                <c:pt idx="358">
                  <c:v>95.894293542507569</c:v>
                </c:pt>
                <c:pt idx="359">
                  <c:v>96.934182845970412</c:v>
                </c:pt>
                <c:pt idx="360">
                  <c:v>98.473907545169183</c:v>
                </c:pt>
                <c:pt idx="361">
                  <c:v>99.48837712132304</c:v>
                </c:pt>
                <c:pt idx="362">
                  <c:v>99.1096584519169</c:v>
                </c:pt>
                <c:pt idx="363">
                  <c:v>98.928966783035833</c:v>
                </c:pt>
                <c:pt idx="364">
                  <c:v>99.724832130101262</c:v>
                </c:pt>
                <c:pt idx="365">
                  <c:v>99.489950594304815</c:v>
                </c:pt>
                <c:pt idx="366">
                  <c:v>99.836589405073937</c:v>
                </c:pt>
                <c:pt idx="367">
                  <c:v>98.768906600407163</c:v>
                </c:pt>
                <c:pt idx="368">
                  <c:v>98.495230816956663</c:v>
                </c:pt>
                <c:pt idx="369">
                  <c:v>97.977788801131595</c:v>
                </c:pt>
                <c:pt idx="370">
                  <c:v>97.439606783676084</c:v>
                </c:pt>
                <c:pt idx="371">
                  <c:v>96.257074015762115</c:v>
                </c:pt>
                <c:pt idx="372">
                  <c:v>95.900818029613021</c:v>
                </c:pt>
                <c:pt idx="373">
                  <c:v>95.177983531977503</c:v>
                </c:pt>
                <c:pt idx="374">
                  <c:v>95.401918579012829</c:v>
                </c:pt>
                <c:pt idx="375">
                  <c:v>94.337314898198329</c:v>
                </c:pt>
                <c:pt idx="376">
                  <c:v>94.438288457476958</c:v>
                </c:pt>
                <c:pt idx="377">
                  <c:v>91.447645331593833</c:v>
                </c:pt>
                <c:pt idx="378">
                  <c:v>89.338852425461127</c:v>
                </c:pt>
                <c:pt idx="379">
                  <c:v>89.969964299797041</c:v>
                </c:pt>
                <c:pt idx="380">
                  <c:v>89.616801001922468</c:v>
                </c:pt>
                <c:pt idx="381">
                  <c:v>89.560766373580179</c:v>
                </c:pt>
                <c:pt idx="382">
                  <c:v>89.426871961484636</c:v>
                </c:pt>
                <c:pt idx="383">
                  <c:v>91.922739221133583</c:v>
                </c:pt>
                <c:pt idx="384">
                  <c:v>93.930368666076063</c:v>
                </c:pt>
                <c:pt idx="385">
                  <c:v>94.244832667252368</c:v>
                </c:pt>
                <c:pt idx="386">
                  <c:v>95.105061197925664</c:v>
                </c:pt>
                <c:pt idx="387">
                  <c:v>95.591481380049743</c:v>
                </c:pt>
                <c:pt idx="388">
                  <c:v>93.099791962455853</c:v>
                </c:pt>
                <c:pt idx="389">
                  <c:v>92.948819942739135</c:v>
                </c:pt>
                <c:pt idx="390">
                  <c:v>94.378320146680224</c:v>
                </c:pt>
                <c:pt idx="391">
                  <c:v>93.738025158476532</c:v>
                </c:pt>
                <c:pt idx="392">
                  <c:v>91.776379104984159</c:v>
                </c:pt>
                <c:pt idx="393">
                  <c:v>91.250310116603842</c:v>
                </c:pt>
                <c:pt idx="394">
                  <c:v>90.098405814145437</c:v>
                </c:pt>
                <c:pt idx="395">
                  <c:v>90.107643185702216</c:v>
                </c:pt>
                <c:pt idx="396">
                  <c:v>92.158977199155686</c:v>
                </c:pt>
                <c:pt idx="397">
                  <c:v>92.114594409531875</c:v>
                </c:pt>
                <c:pt idx="398">
                  <c:v>93.208632886643343</c:v>
                </c:pt>
                <c:pt idx="399">
                  <c:v>96.045007838201386</c:v>
                </c:pt>
                <c:pt idx="400">
                  <c:v>97.421050654028946</c:v>
                </c:pt>
                <c:pt idx="401">
                  <c:v>97.417320437908373</c:v>
                </c:pt>
                <c:pt idx="402">
                  <c:v>98.139164732719152</c:v>
                </c:pt>
                <c:pt idx="403">
                  <c:v>98.146394569781961</c:v>
                </c:pt>
                <c:pt idx="404">
                  <c:v>97.746813818945071</c:v>
                </c:pt>
                <c:pt idx="405">
                  <c:v>97.093958175731686</c:v>
                </c:pt>
                <c:pt idx="406">
                  <c:v>96.995371954770249</c:v>
                </c:pt>
                <c:pt idx="407">
                  <c:v>96.630841671044578</c:v>
                </c:pt>
                <c:pt idx="408">
                  <c:v>95.942704965541608</c:v>
                </c:pt>
                <c:pt idx="409">
                  <c:v>93.312699134196492</c:v>
                </c:pt>
                <c:pt idx="410">
                  <c:v>95.359380550815914</c:v>
                </c:pt>
                <c:pt idx="411">
                  <c:v>95.970552724434555</c:v>
                </c:pt>
                <c:pt idx="412">
                  <c:v>99.126125660536488</c:v>
                </c:pt>
                <c:pt idx="413">
                  <c:v>99.165421791814055</c:v>
                </c:pt>
                <c:pt idx="414">
                  <c:v>99.975367009181895</c:v>
                </c:pt>
                <c:pt idx="415">
                  <c:v>99.813638402615652</c:v>
                </c:pt>
                <c:pt idx="416">
                  <c:v>100.46652117467355</c:v>
                </c:pt>
                <c:pt idx="417">
                  <c:v>100.7371178342718</c:v>
                </c:pt>
                <c:pt idx="418">
                  <c:v>100.25171498381695</c:v>
                </c:pt>
                <c:pt idx="419">
                  <c:v>99.527442657422242</c:v>
                </c:pt>
                <c:pt idx="420">
                  <c:v>97.274514200390186</c:v>
                </c:pt>
                <c:pt idx="421">
                  <c:v>98.720278146617019</c:v>
                </c:pt>
                <c:pt idx="422">
                  <c:v>98.913286310907125</c:v>
                </c:pt>
                <c:pt idx="423">
                  <c:v>99.098644141044488</c:v>
                </c:pt>
                <c:pt idx="424">
                  <c:v>98.550967028009296</c:v>
                </c:pt>
                <c:pt idx="425">
                  <c:v>98.486875132846549</c:v>
                </c:pt>
                <c:pt idx="426">
                  <c:v>96.896731476119768</c:v>
                </c:pt>
                <c:pt idx="427">
                  <c:v>97.064360606367643</c:v>
                </c:pt>
                <c:pt idx="428">
                  <c:v>96.032637085103318</c:v>
                </c:pt>
                <c:pt idx="429">
                  <c:v>96.501911837494958</c:v>
                </c:pt>
                <c:pt idx="430">
                  <c:v>98.173197868161139</c:v>
                </c:pt>
                <c:pt idx="431">
                  <c:v>98.776407725915121</c:v>
                </c:pt>
                <c:pt idx="432">
                  <c:v>99.056838591649438</c:v>
                </c:pt>
                <c:pt idx="433">
                  <c:v>98.442560165334015</c:v>
                </c:pt>
                <c:pt idx="434">
                  <c:v>99.250023093428879</c:v>
                </c:pt>
                <c:pt idx="435">
                  <c:v>98.733598409273057</c:v>
                </c:pt>
                <c:pt idx="436">
                  <c:v>99.617971611563235</c:v>
                </c:pt>
                <c:pt idx="437">
                  <c:v>99.926955586147841</c:v>
                </c:pt>
                <c:pt idx="438">
                  <c:v>99.663683714568194</c:v>
                </c:pt>
                <c:pt idx="439">
                  <c:v>99.504125415563024</c:v>
                </c:pt>
                <c:pt idx="440">
                  <c:v>99.271658346928277</c:v>
                </c:pt>
                <c:pt idx="441">
                  <c:v>99.184574756040462</c:v>
                </c:pt>
                <c:pt idx="442">
                  <c:v>98.754487619548343</c:v>
                </c:pt>
                <c:pt idx="443">
                  <c:v>98.766939759179948</c:v>
                </c:pt>
                <c:pt idx="444">
                  <c:v>98.813519985209354</c:v>
                </c:pt>
                <c:pt idx="445">
                  <c:v>97.039239296348299</c:v>
                </c:pt>
                <c:pt idx="446">
                  <c:v>97.59878527885806</c:v>
                </c:pt>
                <c:pt idx="447">
                  <c:v>98.429185644988948</c:v>
                </c:pt>
                <c:pt idx="448">
                  <c:v>98.377776484636186</c:v>
                </c:pt>
                <c:pt idx="449">
                  <c:v>97.050796184110993</c:v>
                </c:pt>
                <c:pt idx="450">
                  <c:v>97.919421092161159</c:v>
                </c:pt>
                <c:pt idx="451">
                  <c:v>95.16987200746803</c:v>
                </c:pt>
                <c:pt idx="452">
                  <c:v>95.552497230484079</c:v>
                </c:pt>
                <c:pt idx="453">
                  <c:v>99.66881106618122</c:v>
                </c:pt>
                <c:pt idx="454">
                  <c:v>101.39561627714393</c:v>
                </c:pt>
                <c:pt idx="455">
                  <c:v>102.60145272249484</c:v>
                </c:pt>
                <c:pt idx="456">
                  <c:v>102.39570756570573</c:v>
                </c:pt>
                <c:pt idx="457">
                  <c:v>102.280301461146</c:v>
                </c:pt>
                <c:pt idx="458">
                  <c:v>99.557786270010396</c:v>
                </c:pt>
                <c:pt idx="459">
                  <c:v>98.07838255658703</c:v>
                </c:pt>
                <c:pt idx="460">
                  <c:v>97.066218932216813</c:v>
                </c:pt>
                <c:pt idx="461">
                  <c:v>96.577370718508789</c:v>
                </c:pt>
                <c:pt idx="462">
                  <c:v>98.583209659713404</c:v>
                </c:pt>
                <c:pt idx="463">
                  <c:v>97.120137510687073</c:v>
                </c:pt>
                <c:pt idx="464">
                  <c:v>98.946573403124987</c:v>
                </c:pt>
                <c:pt idx="465">
                  <c:v>101.0007695096746</c:v>
                </c:pt>
                <c:pt idx="466">
                  <c:v>101.54299372496263</c:v>
                </c:pt>
                <c:pt idx="467">
                  <c:v>101.66656561172086</c:v>
                </c:pt>
                <c:pt idx="468">
                  <c:v>102.25075814947098</c:v>
                </c:pt>
                <c:pt idx="469">
                  <c:v>102.0148864108498</c:v>
                </c:pt>
                <c:pt idx="470">
                  <c:v>102.46099313002705</c:v>
                </c:pt>
                <c:pt idx="471">
                  <c:v>102.57431031355925</c:v>
                </c:pt>
                <c:pt idx="472">
                  <c:v>101.91144412672044</c:v>
                </c:pt>
                <c:pt idx="473">
                  <c:v>100.35677143419484</c:v>
                </c:pt>
                <c:pt idx="474">
                  <c:v>100.0480180547886</c:v>
                </c:pt>
                <c:pt idx="475">
                  <c:v>99.081146036333379</c:v>
                </c:pt>
                <c:pt idx="476">
                  <c:v>98.649431169170455</c:v>
                </c:pt>
                <c:pt idx="477">
                  <c:v>98.103883670429568</c:v>
                </c:pt>
                <c:pt idx="478">
                  <c:v>98.516743990655726</c:v>
                </c:pt>
                <c:pt idx="479">
                  <c:v>98.590548012154272</c:v>
                </c:pt>
                <c:pt idx="480">
                  <c:v>98.605306103569518</c:v>
                </c:pt>
                <c:pt idx="481">
                  <c:v>98.327425349219439</c:v>
                </c:pt>
                <c:pt idx="482">
                  <c:v>97.364364933418344</c:v>
                </c:pt>
                <c:pt idx="483">
                  <c:v>98.306197028387757</c:v>
                </c:pt>
                <c:pt idx="484">
                  <c:v>97.944393193535689</c:v>
                </c:pt>
                <c:pt idx="485">
                  <c:v>100.09208886270051</c:v>
                </c:pt>
                <c:pt idx="486">
                  <c:v>99.367151879615207</c:v>
                </c:pt>
                <c:pt idx="487">
                  <c:v>97.783478452304834</c:v>
                </c:pt>
                <c:pt idx="488">
                  <c:v>95.81811574711412</c:v>
                </c:pt>
                <c:pt idx="489">
                  <c:v>94.694533958327654</c:v>
                </c:pt>
                <c:pt idx="490">
                  <c:v>93.395279336895072</c:v>
                </c:pt>
                <c:pt idx="491">
                  <c:v>93.394112796580998</c:v>
                </c:pt>
                <c:pt idx="492">
                  <c:v>92.084345747899505</c:v>
                </c:pt>
                <c:pt idx="493">
                  <c:v>89.041316823261127</c:v>
                </c:pt>
                <c:pt idx="494">
                  <c:v>87.937213544835231</c:v>
                </c:pt>
                <c:pt idx="495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A8-48AD-AC67-8FFE11884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8311023"/>
        <c:axId val="1798312943"/>
      </c:lineChart>
      <c:dateAx>
        <c:axId val="1798311023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312943"/>
        <c:crosses val="autoZero"/>
        <c:auto val="1"/>
        <c:lblOffset val="100"/>
        <c:baseTimeUnit val="days"/>
        <c:majorUnit val="4"/>
        <c:majorTimeUnit val="months"/>
        <c:minorUnit val="1"/>
        <c:minorTimeUnit val="months"/>
      </c:dateAx>
      <c:valAx>
        <c:axId val="1798312943"/>
        <c:scaling>
          <c:orientation val="minMax"/>
          <c:max val="220"/>
          <c:min val="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3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FY25 Opn Orderbook</c:v>
          </c:tx>
          <c:dPt>
            <c:idx val="0"/>
            <c:bubble3D val="0"/>
            <c:spPr>
              <a:solidFill>
                <a:srgbClr val="1F4E79"/>
              </a:solidFill>
              <a:ln w="19050">
                <a:solidFill>
                  <a:srgbClr val="1F4E79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1D2-44D0-8D09-C1F1F8BF7AD5}"/>
              </c:ext>
            </c:extLst>
          </c:dPt>
          <c:dPt>
            <c:idx val="1"/>
            <c:bubble3D val="0"/>
            <c:spPr>
              <a:solidFill>
                <a:srgbClr val="BF8F00"/>
              </a:solidFill>
              <a:ln w="19050">
                <a:solidFill>
                  <a:srgbClr val="BF8F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1D2-44D0-8D09-C1F1F8BF7A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'Graphical Representation'!$K$252:$K$253</c:f>
              <c:strCache>
                <c:ptCount val="2"/>
                <c:pt idx="0">
                  <c:v>Export</c:v>
                </c:pt>
                <c:pt idx="1">
                  <c:v>Domestic</c:v>
                </c:pt>
              </c:strCache>
            </c:strRef>
          </c:cat>
          <c:val>
            <c:numRef>
              <c:f>'Graphical Representation'!$N$252:$N$253</c:f>
              <c:numCache>
                <c:formatCode>0.0%</c:formatCode>
                <c:ptCount val="2"/>
                <c:pt idx="0">
                  <c:v>0.74</c:v>
                </c:pt>
                <c:pt idx="1">
                  <c:v>0.26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D2-44D0-8D09-C1F1F8BF7AD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1"/>
                <c:order val="1"/>
                <c:tx>
                  <c:v>FY27 Opn Orderbook</c:v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6-91D2-44D0-8D09-C1F1F8BF7AD5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8-91D2-44D0-8D09-C1F1F8BF7AD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 cap="flat" cmpd="sng" algn="ctr">
                        <a:solidFill>
                          <a:schemeClr val="tx1">
                            <a:lumMod val="35000"/>
                            <a:lumOff val="65000"/>
                          </a:schemeClr>
                        </a:solidFill>
                        <a:round/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'Graphical Representation'!$K$252:$K$253</c15:sqref>
                        </c15:formulaRef>
                      </c:ext>
                    </c:extLst>
                    <c:strCache>
                      <c:ptCount val="2"/>
                      <c:pt idx="0">
                        <c:v>Export</c:v>
                      </c:pt>
                      <c:pt idx="1">
                        <c:v>Domestic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'Graphical Representation'!$Q$252:$Q$253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0.39900000000000002</c:v>
                      </c:pt>
                      <c:pt idx="1">
                        <c:v>0.60099999999999998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9-91D2-44D0-8D09-C1F1F8BF7AD5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FY27 Opn Orderbook</c:v>
          </c:tx>
          <c:dPt>
            <c:idx val="0"/>
            <c:bubble3D val="0"/>
            <c:spPr>
              <a:solidFill>
                <a:srgbClr val="1F4E79"/>
              </a:solidFill>
              <a:ln w="19050">
                <a:solidFill>
                  <a:srgbClr val="1F4E79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9A5-404C-B9DC-C26EEF5E9E7C}"/>
              </c:ext>
            </c:extLst>
          </c:dPt>
          <c:dPt>
            <c:idx val="1"/>
            <c:bubble3D val="0"/>
            <c:spPr>
              <a:solidFill>
                <a:srgbClr val="BF8F00"/>
              </a:solidFill>
              <a:ln w="19050">
                <a:solidFill>
                  <a:srgbClr val="BF8F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9A5-404C-B9DC-C26EEF5E9E7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'Graphical Representation'!$K$252:$K$253</c:f>
              <c:strCache>
                <c:ptCount val="2"/>
                <c:pt idx="0">
                  <c:v>Export</c:v>
                </c:pt>
                <c:pt idx="1">
                  <c:v>Domestic</c:v>
                </c:pt>
              </c:strCache>
            </c:strRef>
          </c:cat>
          <c:val>
            <c:numRef>
              <c:f>'Graphical Representation'!$Q$252:$Q$253</c:f>
              <c:numCache>
                <c:formatCode>0.0%</c:formatCode>
                <c:ptCount val="2"/>
                <c:pt idx="0">
                  <c:v>0.39900000000000002</c:v>
                </c:pt>
                <c:pt idx="1">
                  <c:v>0.60099999999999998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A5-404C-B9DC-C26EEF5E9E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c:rich>
      </c:tx>
      <c:layout>
        <c:manualLayout>
          <c:xMode val="edge"/>
          <c:yMode val="edge"/>
          <c:x val="0.22054207380703914"/>
          <c:y val="2.51748196300160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Order Inflows (₹ Cr)</c:v>
          </c:tx>
          <c:spPr>
            <a:solidFill>
              <a:srgbClr val="1F4E79"/>
            </a:solidFill>
            <a:ln>
              <a:solidFill>
                <a:srgbClr val="1F4E79"/>
              </a:solidFill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Representation'!$E$155:$T$156</c:f>
              <c:strCache>
                <c:ptCount val="6"/>
                <c:pt idx="0">
                  <c:v>FY21</c:v>
                </c:pt>
                <c:pt idx="1">
                  <c:v>FY22</c:v>
                </c:pt>
                <c:pt idx="2">
                  <c:v>FY23</c:v>
                </c:pt>
                <c:pt idx="3">
                  <c:v>FY24</c:v>
                </c:pt>
                <c:pt idx="4">
                  <c:v>FY25</c:v>
                </c:pt>
                <c:pt idx="5">
                  <c:v>FY26 </c:v>
                </c:pt>
              </c:strCache>
            </c:strRef>
          </c:cat>
          <c:val>
            <c:numRef>
              <c:f>'Graphical Representation'!$E$173:$T$173</c:f>
              <c:numCache>
                <c:formatCode>0.00</c:formatCode>
                <c:ptCount val="6"/>
                <c:pt idx="0">
                  <c:v>256</c:v>
                </c:pt>
                <c:pt idx="1">
                  <c:v>425.5</c:v>
                </c:pt>
                <c:pt idx="2">
                  <c:v>547.9</c:v>
                </c:pt>
                <c:pt idx="3">
                  <c:v>874.6</c:v>
                </c:pt>
                <c:pt idx="4">
                  <c:v>595.49999999999989</c:v>
                </c:pt>
                <c:pt idx="5">
                  <c:v>849.90000000000009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5F-439E-AD0E-875B7BDE97DA}"/>
            </c:ext>
          </c:extLst>
        </c:ser>
        <c:ser>
          <c:idx val="2"/>
          <c:order val="2"/>
          <c:tx>
            <c:v>Revenue (₹ Cr)</c:v>
          </c:tx>
          <c:spPr>
            <a:solidFill>
              <a:srgbClr val="BF8F00"/>
            </a:solidFill>
            <a:ln>
              <a:solidFill>
                <a:srgbClr val="BF8F00"/>
              </a:solidFill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Representation'!$E$155:$T$156</c:f>
              <c:strCache>
                <c:ptCount val="6"/>
                <c:pt idx="0">
                  <c:v>FY21</c:v>
                </c:pt>
                <c:pt idx="1">
                  <c:v>FY22</c:v>
                </c:pt>
                <c:pt idx="2">
                  <c:v>FY23</c:v>
                </c:pt>
                <c:pt idx="3">
                  <c:v>FY24</c:v>
                </c:pt>
                <c:pt idx="4">
                  <c:v>FY25</c:v>
                </c:pt>
                <c:pt idx="5">
                  <c:v>FY26 </c:v>
                </c:pt>
              </c:strCache>
            </c:strRef>
          </c:cat>
          <c:val>
            <c:numRef>
              <c:f>'Graphical Representation'!$C$157:$T$157</c:f>
              <c:numCache>
                <c:formatCode>_(* #,##0.00_);_(* \(#,##0.00\);_(* "-"??_);_(@_)</c:formatCode>
                <c:ptCount val="6"/>
                <c:pt idx="0">
                  <c:v>279.12959999999998</c:v>
                </c:pt>
                <c:pt idx="1">
                  <c:v>288.24160000000001</c:v>
                </c:pt>
                <c:pt idx="2">
                  <c:v>411.3381</c:v>
                </c:pt>
                <c:pt idx="3">
                  <c:v>550.3845</c:v>
                </c:pt>
                <c:pt idx="4">
                  <c:v>732.78600000000006</c:v>
                </c:pt>
                <c:pt idx="5">
                  <c:v>822.28769999999997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5F-439E-AD0E-875B7BDE9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8514527"/>
        <c:axId val="1928521727"/>
      </c:barChart>
      <c:lineChart>
        <c:grouping val="standard"/>
        <c:varyColors val="0"/>
        <c:ser>
          <c:idx val="1"/>
          <c:order val="1"/>
          <c:tx>
            <c:v>Book-to-Bill ratio (x)</c:v>
          </c:tx>
          <c:spPr>
            <a:ln w="28575" cap="rnd">
              <a:solidFill>
                <a:srgbClr val="C55A1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8192761940468301E-2"/>
                  <c:y val="-4.91254129242385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48D-4CA5-8C88-C0F6402E7C29}"/>
                </c:ext>
              </c:extLst>
            </c:dLbl>
            <c:dLbl>
              <c:idx val="1"/>
              <c:layout>
                <c:manualLayout>
                  <c:x val="-4.5783123843444865E-2"/>
                  <c:y val="-4.4659466294762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48D-4CA5-8C88-C0F6402E7C29}"/>
                </c:ext>
              </c:extLst>
            </c:dLbl>
            <c:dLbl>
              <c:idx val="2"/>
              <c:layout>
                <c:manualLayout>
                  <c:x val="-4.5783123843444865E-2"/>
                  <c:y val="-4.91254129242385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48D-4CA5-8C88-C0F6402E7C29}"/>
                </c:ext>
              </c:extLst>
            </c:dLbl>
            <c:dLbl>
              <c:idx val="3"/>
              <c:layout>
                <c:manualLayout>
                  <c:x val="-4.0963847649398033E-2"/>
                  <c:y val="-4.01935196652861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48D-4CA5-8C88-C0F6402E7C29}"/>
                </c:ext>
              </c:extLst>
            </c:dLbl>
            <c:dLbl>
              <c:idx val="4"/>
              <c:layout>
                <c:manualLayout>
                  <c:x val="-1.9277104776187312E-2"/>
                  <c:y val="-6.25232528126672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48D-4CA5-8C88-C0F6402E7C29}"/>
                </c:ext>
              </c:extLst>
            </c:dLbl>
            <c:dLbl>
              <c:idx val="5"/>
              <c:layout>
                <c:manualLayout>
                  <c:x val="-7.2289142910704181E-3"/>
                  <c:y val="-8.931893258952465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48D-4CA5-8C88-C0F6402E7C29}"/>
                </c:ext>
              </c:extLst>
            </c:dLbl>
            <c:numFmt formatCode="0.00&quot;x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Representation'!$E$155:$T$156</c:f>
              <c:strCache>
                <c:ptCount val="6"/>
                <c:pt idx="0">
                  <c:v>FY21</c:v>
                </c:pt>
                <c:pt idx="1">
                  <c:v>FY22</c:v>
                </c:pt>
                <c:pt idx="2">
                  <c:v>FY23</c:v>
                </c:pt>
                <c:pt idx="3">
                  <c:v>FY24</c:v>
                </c:pt>
                <c:pt idx="4">
                  <c:v>FY25</c:v>
                </c:pt>
                <c:pt idx="5">
                  <c:v>FY26 </c:v>
                </c:pt>
              </c:strCache>
            </c:strRef>
          </c:cat>
          <c:val>
            <c:numRef>
              <c:f>'Graphical Representation'!$E$175:$T$175</c:f>
              <c:numCache>
                <c:formatCode>0.00</c:formatCode>
                <c:ptCount val="6"/>
                <c:pt idx="0">
                  <c:v>0.9171366992250195</c:v>
                </c:pt>
                <c:pt idx="1">
                  <c:v>1.4761921943258711</c:v>
                </c:pt>
                <c:pt idx="2">
                  <c:v>1.3319942888830381</c:v>
                </c:pt>
                <c:pt idx="3">
                  <c:v>1.5890709131525325</c:v>
                </c:pt>
                <c:pt idx="4">
                  <c:v>0.8126519884386435</c:v>
                </c:pt>
                <c:pt idx="5">
                  <c:v>1.0335798528909044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5F-439E-AD0E-875B7BDE9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8293727"/>
        <c:axId val="1928295167"/>
      </c:lineChart>
      <c:catAx>
        <c:axId val="1928514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521727"/>
        <c:crosses val="autoZero"/>
        <c:auto val="1"/>
        <c:lblAlgn val="ctr"/>
        <c:lblOffset val="100"/>
        <c:noMultiLvlLbl val="0"/>
      </c:catAx>
      <c:valAx>
        <c:axId val="192852172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514527"/>
        <c:crosses val="autoZero"/>
        <c:crossBetween val="between"/>
      </c:valAx>
      <c:valAx>
        <c:axId val="1928295167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293727"/>
        <c:crosses val="max"/>
        <c:crossBetween val="between"/>
      </c:valAx>
      <c:catAx>
        <c:axId val="19282937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82951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'Graphical Representation'!$W$266</c:f>
              <c:strCache>
                <c:ptCount val="1"/>
                <c:pt idx="0">
                  <c:v>Anup PE (Daily-5 Years)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'Graphical Representation'!$T$267:$T$1576</c:f>
              <c:numCache>
                <c:formatCode>m/d/yyyy</c:formatCode>
                <c:ptCount val="1310"/>
                <c:pt idx="0">
                  <c:v>46177</c:v>
                </c:pt>
                <c:pt idx="1">
                  <c:v>46176</c:v>
                </c:pt>
                <c:pt idx="2">
                  <c:v>46175</c:v>
                </c:pt>
                <c:pt idx="3">
                  <c:v>46174</c:v>
                </c:pt>
                <c:pt idx="4">
                  <c:v>46171</c:v>
                </c:pt>
                <c:pt idx="5">
                  <c:v>46170</c:v>
                </c:pt>
                <c:pt idx="6">
                  <c:v>46169</c:v>
                </c:pt>
                <c:pt idx="7">
                  <c:v>46168</c:v>
                </c:pt>
                <c:pt idx="8">
                  <c:v>46167</c:v>
                </c:pt>
                <c:pt idx="9">
                  <c:v>46164</c:v>
                </c:pt>
                <c:pt idx="10">
                  <c:v>46163</c:v>
                </c:pt>
                <c:pt idx="11">
                  <c:v>46162</c:v>
                </c:pt>
                <c:pt idx="12">
                  <c:v>46161</c:v>
                </c:pt>
                <c:pt idx="13">
                  <c:v>46160</c:v>
                </c:pt>
                <c:pt idx="14">
                  <c:v>46157</c:v>
                </c:pt>
                <c:pt idx="15">
                  <c:v>46156</c:v>
                </c:pt>
                <c:pt idx="16">
                  <c:v>46155</c:v>
                </c:pt>
                <c:pt idx="17">
                  <c:v>46154</c:v>
                </c:pt>
                <c:pt idx="18">
                  <c:v>46153</c:v>
                </c:pt>
                <c:pt idx="19">
                  <c:v>46150</c:v>
                </c:pt>
                <c:pt idx="20">
                  <c:v>46149</c:v>
                </c:pt>
                <c:pt idx="21">
                  <c:v>46148</c:v>
                </c:pt>
                <c:pt idx="22">
                  <c:v>46147</c:v>
                </c:pt>
                <c:pt idx="23">
                  <c:v>46146</c:v>
                </c:pt>
                <c:pt idx="24">
                  <c:v>46143</c:v>
                </c:pt>
                <c:pt idx="25">
                  <c:v>46142</c:v>
                </c:pt>
                <c:pt idx="26">
                  <c:v>46141</c:v>
                </c:pt>
                <c:pt idx="27">
                  <c:v>46140</c:v>
                </c:pt>
                <c:pt idx="28">
                  <c:v>46139</c:v>
                </c:pt>
                <c:pt idx="29">
                  <c:v>46136</c:v>
                </c:pt>
                <c:pt idx="30">
                  <c:v>46135</c:v>
                </c:pt>
                <c:pt idx="31">
                  <c:v>46134</c:v>
                </c:pt>
                <c:pt idx="32">
                  <c:v>46133</c:v>
                </c:pt>
                <c:pt idx="33">
                  <c:v>46132</c:v>
                </c:pt>
                <c:pt idx="34">
                  <c:v>46129</c:v>
                </c:pt>
                <c:pt idx="35">
                  <c:v>46128</c:v>
                </c:pt>
                <c:pt idx="36">
                  <c:v>46127</c:v>
                </c:pt>
                <c:pt idx="37">
                  <c:v>46126</c:v>
                </c:pt>
                <c:pt idx="38">
                  <c:v>46125</c:v>
                </c:pt>
                <c:pt idx="39">
                  <c:v>46122</c:v>
                </c:pt>
                <c:pt idx="40">
                  <c:v>46121</c:v>
                </c:pt>
                <c:pt idx="41">
                  <c:v>46120</c:v>
                </c:pt>
                <c:pt idx="42">
                  <c:v>46119</c:v>
                </c:pt>
                <c:pt idx="43">
                  <c:v>46118</c:v>
                </c:pt>
                <c:pt idx="44">
                  <c:v>46115</c:v>
                </c:pt>
                <c:pt idx="45">
                  <c:v>46114</c:v>
                </c:pt>
                <c:pt idx="46">
                  <c:v>46113</c:v>
                </c:pt>
                <c:pt idx="47">
                  <c:v>46112</c:v>
                </c:pt>
                <c:pt idx="48">
                  <c:v>46111</c:v>
                </c:pt>
                <c:pt idx="49">
                  <c:v>46108</c:v>
                </c:pt>
                <c:pt idx="50">
                  <c:v>46107</c:v>
                </c:pt>
                <c:pt idx="51">
                  <c:v>46106</c:v>
                </c:pt>
                <c:pt idx="52">
                  <c:v>46105</c:v>
                </c:pt>
                <c:pt idx="53">
                  <c:v>46104</c:v>
                </c:pt>
                <c:pt idx="54">
                  <c:v>46101</c:v>
                </c:pt>
                <c:pt idx="55">
                  <c:v>46100</c:v>
                </c:pt>
                <c:pt idx="56">
                  <c:v>46099</c:v>
                </c:pt>
                <c:pt idx="57">
                  <c:v>46098</c:v>
                </c:pt>
                <c:pt idx="58">
                  <c:v>46097</c:v>
                </c:pt>
                <c:pt idx="59">
                  <c:v>46094</c:v>
                </c:pt>
                <c:pt idx="60">
                  <c:v>46093</c:v>
                </c:pt>
                <c:pt idx="61">
                  <c:v>46092</c:v>
                </c:pt>
                <c:pt idx="62">
                  <c:v>46091</c:v>
                </c:pt>
                <c:pt idx="63">
                  <c:v>46090</c:v>
                </c:pt>
                <c:pt idx="64">
                  <c:v>46087</c:v>
                </c:pt>
                <c:pt idx="65">
                  <c:v>46086</c:v>
                </c:pt>
                <c:pt idx="66">
                  <c:v>46085</c:v>
                </c:pt>
                <c:pt idx="67">
                  <c:v>46084</c:v>
                </c:pt>
                <c:pt idx="68">
                  <c:v>46083</c:v>
                </c:pt>
                <c:pt idx="69">
                  <c:v>46080</c:v>
                </c:pt>
                <c:pt idx="70">
                  <c:v>46079</c:v>
                </c:pt>
                <c:pt idx="71">
                  <c:v>46078</c:v>
                </c:pt>
                <c:pt idx="72">
                  <c:v>46077</c:v>
                </c:pt>
                <c:pt idx="73">
                  <c:v>46076</c:v>
                </c:pt>
                <c:pt idx="74">
                  <c:v>46073</c:v>
                </c:pt>
                <c:pt idx="75">
                  <c:v>46072</c:v>
                </c:pt>
                <c:pt idx="76">
                  <c:v>46071</c:v>
                </c:pt>
                <c:pt idx="77">
                  <c:v>46070</c:v>
                </c:pt>
                <c:pt idx="78">
                  <c:v>46069</c:v>
                </c:pt>
                <c:pt idx="79">
                  <c:v>46066</c:v>
                </c:pt>
                <c:pt idx="80">
                  <c:v>46065</c:v>
                </c:pt>
                <c:pt idx="81">
                  <c:v>46064</c:v>
                </c:pt>
                <c:pt idx="82">
                  <c:v>46063</c:v>
                </c:pt>
                <c:pt idx="83">
                  <c:v>46062</c:v>
                </c:pt>
                <c:pt idx="84">
                  <c:v>46059</c:v>
                </c:pt>
                <c:pt idx="85">
                  <c:v>46058</c:v>
                </c:pt>
                <c:pt idx="86">
                  <c:v>46057</c:v>
                </c:pt>
                <c:pt idx="87">
                  <c:v>46056</c:v>
                </c:pt>
                <c:pt idx="88">
                  <c:v>46055</c:v>
                </c:pt>
                <c:pt idx="89">
                  <c:v>46054</c:v>
                </c:pt>
                <c:pt idx="90">
                  <c:v>46052</c:v>
                </c:pt>
                <c:pt idx="91">
                  <c:v>46051</c:v>
                </c:pt>
                <c:pt idx="92">
                  <c:v>46050</c:v>
                </c:pt>
                <c:pt idx="93">
                  <c:v>46049</c:v>
                </c:pt>
                <c:pt idx="94">
                  <c:v>46048</c:v>
                </c:pt>
                <c:pt idx="95">
                  <c:v>46045</c:v>
                </c:pt>
                <c:pt idx="96">
                  <c:v>46044</c:v>
                </c:pt>
                <c:pt idx="97">
                  <c:v>46043</c:v>
                </c:pt>
                <c:pt idx="98">
                  <c:v>46042</c:v>
                </c:pt>
                <c:pt idx="99">
                  <c:v>46041</c:v>
                </c:pt>
                <c:pt idx="100">
                  <c:v>46038</c:v>
                </c:pt>
                <c:pt idx="101">
                  <c:v>46037</c:v>
                </c:pt>
                <c:pt idx="102">
                  <c:v>46036</c:v>
                </c:pt>
                <c:pt idx="103">
                  <c:v>46035</c:v>
                </c:pt>
                <c:pt idx="104">
                  <c:v>46034</c:v>
                </c:pt>
                <c:pt idx="105">
                  <c:v>46031</c:v>
                </c:pt>
                <c:pt idx="106">
                  <c:v>46030</c:v>
                </c:pt>
                <c:pt idx="107">
                  <c:v>46029</c:v>
                </c:pt>
                <c:pt idx="108">
                  <c:v>46028</c:v>
                </c:pt>
                <c:pt idx="109">
                  <c:v>46027</c:v>
                </c:pt>
                <c:pt idx="110">
                  <c:v>46024</c:v>
                </c:pt>
                <c:pt idx="111">
                  <c:v>46023</c:v>
                </c:pt>
                <c:pt idx="112">
                  <c:v>46022</c:v>
                </c:pt>
                <c:pt idx="113">
                  <c:v>46021</c:v>
                </c:pt>
                <c:pt idx="114">
                  <c:v>46020</c:v>
                </c:pt>
                <c:pt idx="115">
                  <c:v>46017</c:v>
                </c:pt>
                <c:pt idx="116">
                  <c:v>46016</c:v>
                </c:pt>
                <c:pt idx="117">
                  <c:v>46015</c:v>
                </c:pt>
                <c:pt idx="118">
                  <c:v>46014</c:v>
                </c:pt>
                <c:pt idx="119">
                  <c:v>46013</c:v>
                </c:pt>
                <c:pt idx="120">
                  <c:v>46010</c:v>
                </c:pt>
                <c:pt idx="121">
                  <c:v>46009</c:v>
                </c:pt>
                <c:pt idx="122">
                  <c:v>46008</c:v>
                </c:pt>
                <c:pt idx="123">
                  <c:v>46007</c:v>
                </c:pt>
                <c:pt idx="124">
                  <c:v>46006</c:v>
                </c:pt>
                <c:pt idx="125">
                  <c:v>46003</c:v>
                </c:pt>
                <c:pt idx="126">
                  <c:v>46002</c:v>
                </c:pt>
                <c:pt idx="127">
                  <c:v>46001</c:v>
                </c:pt>
                <c:pt idx="128">
                  <c:v>46000</c:v>
                </c:pt>
                <c:pt idx="129">
                  <c:v>45999</c:v>
                </c:pt>
                <c:pt idx="130">
                  <c:v>45996</c:v>
                </c:pt>
                <c:pt idx="131">
                  <c:v>45995</c:v>
                </c:pt>
                <c:pt idx="132">
                  <c:v>45994</c:v>
                </c:pt>
                <c:pt idx="133">
                  <c:v>45993</c:v>
                </c:pt>
                <c:pt idx="134">
                  <c:v>45992</c:v>
                </c:pt>
                <c:pt idx="135">
                  <c:v>45989</c:v>
                </c:pt>
                <c:pt idx="136">
                  <c:v>45988</c:v>
                </c:pt>
                <c:pt idx="137">
                  <c:v>45987</c:v>
                </c:pt>
                <c:pt idx="138">
                  <c:v>45986</c:v>
                </c:pt>
                <c:pt idx="139">
                  <c:v>45985</c:v>
                </c:pt>
                <c:pt idx="140">
                  <c:v>45982</c:v>
                </c:pt>
                <c:pt idx="141">
                  <c:v>45981</c:v>
                </c:pt>
                <c:pt idx="142">
                  <c:v>45980</c:v>
                </c:pt>
                <c:pt idx="143">
                  <c:v>45979</c:v>
                </c:pt>
                <c:pt idx="144">
                  <c:v>45978</c:v>
                </c:pt>
                <c:pt idx="145">
                  <c:v>45975</c:v>
                </c:pt>
                <c:pt idx="146">
                  <c:v>45974</c:v>
                </c:pt>
                <c:pt idx="147">
                  <c:v>45973</c:v>
                </c:pt>
                <c:pt idx="148">
                  <c:v>45972</c:v>
                </c:pt>
                <c:pt idx="149">
                  <c:v>45971</c:v>
                </c:pt>
                <c:pt idx="150">
                  <c:v>45968</c:v>
                </c:pt>
                <c:pt idx="151">
                  <c:v>45967</c:v>
                </c:pt>
                <c:pt idx="152">
                  <c:v>45966</c:v>
                </c:pt>
                <c:pt idx="153">
                  <c:v>45965</c:v>
                </c:pt>
                <c:pt idx="154">
                  <c:v>45964</c:v>
                </c:pt>
                <c:pt idx="155">
                  <c:v>45961</c:v>
                </c:pt>
                <c:pt idx="156">
                  <c:v>45960</c:v>
                </c:pt>
                <c:pt idx="157">
                  <c:v>45959</c:v>
                </c:pt>
                <c:pt idx="158">
                  <c:v>45958</c:v>
                </c:pt>
                <c:pt idx="159">
                  <c:v>45957</c:v>
                </c:pt>
                <c:pt idx="160">
                  <c:v>45954</c:v>
                </c:pt>
                <c:pt idx="161">
                  <c:v>45953</c:v>
                </c:pt>
                <c:pt idx="162">
                  <c:v>45952</c:v>
                </c:pt>
                <c:pt idx="163">
                  <c:v>45951</c:v>
                </c:pt>
                <c:pt idx="164">
                  <c:v>45950</c:v>
                </c:pt>
                <c:pt idx="165">
                  <c:v>45947</c:v>
                </c:pt>
                <c:pt idx="166">
                  <c:v>45946</c:v>
                </c:pt>
                <c:pt idx="167">
                  <c:v>45945</c:v>
                </c:pt>
                <c:pt idx="168">
                  <c:v>45944</c:v>
                </c:pt>
                <c:pt idx="169">
                  <c:v>45943</c:v>
                </c:pt>
                <c:pt idx="170">
                  <c:v>45940</c:v>
                </c:pt>
                <c:pt idx="171">
                  <c:v>45939</c:v>
                </c:pt>
                <c:pt idx="172">
                  <c:v>45938</c:v>
                </c:pt>
                <c:pt idx="173">
                  <c:v>45937</c:v>
                </c:pt>
                <c:pt idx="174">
                  <c:v>45936</c:v>
                </c:pt>
                <c:pt idx="175">
                  <c:v>45933</c:v>
                </c:pt>
                <c:pt idx="176">
                  <c:v>45932</c:v>
                </c:pt>
                <c:pt idx="177">
                  <c:v>45931</c:v>
                </c:pt>
                <c:pt idx="178">
                  <c:v>45930</c:v>
                </c:pt>
                <c:pt idx="179">
                  <c:v>45929</c:v>
                </c:pt>
                <c:pt idx="180">
                  <c:v>45926</c:v>
                </c:pt>
                <c:pt idx="181">
                  <c:v>45925</c:v>
                </c:pt>
                <c:pt idx="182">
                  <c:v>45924</c:v>
                </c:pt>
                <c:pt idx="183">
                  <c:v>45923</c:v>
                </c:pt>
                <c:pt idx="184">
                  <c:v>45922</c:v>
                </c:pt>
                <c:pt idx="185">
                  <c:v>45919</c:v>
                </c:pt>
                <c:pt idx="186">
                  <c:v>45918</c:v>
                </c:pt>
                <c:pt idx="187">
                  <c:v>45917</c:v>
                </c:pt>
                <c:pt idx="188">
                  <c:v>45916</c:v>
                </c:pt>
                <c:pt idx="189">
                  <c:v>45915</c:v>
                </c:pt>
                <c:pt idx="190">
                  <c:v>45912</c:v>
                </c:pt>
                <c:pt idx="191">
                  <c:v>45911</c:v>
                </c:pt>
                <c:pt idx="192">
                  <c:v>45910</c:v>
                </c:pt>
                <c:pt idx="193">
                  <c:v>45909</c:v>
                </c:pt>
                <c:pt idx="194">
                  <c:v>45908</c:v>
                </c:pt>
                <c:pt idx="195">
                  <c:v>45905</c:v>
                </c:pt>
                <c:pt idx="196">
                  <c:v>45904</c:v>
                </c:pt>
                <c:pt idx="197">
                  <c:v>45903</c:v>
                </c:pt>
                <c:pt idx="198">
                  <c:v>45902</c:v>
                </c:pt>
                <c:pt idx="199">
                  <c:v>45901</c:v>
                </c:pt>
                <c:pt idx="200">
                  <c:v>45898</c:v>
                </c:pt>
                <c:pt idx="201">
                  <c:v>45897</c:v>
                </c:pt>
                <c:pt idx="202">
                  <c:v>45896</c:v>
                </c:pt>
                <c:pt idx="203">
                  <c:v>45895</c:v>
                </c:pt>
                <c:pt idx="204">
                  <c:v>45894</c:v>
                </c:pt>
                <c:pt idx="205">
                  <c:v>45891</c:v>
                </c:pt>
                <c:pt idx="206">
                  <c:v>45890</c:v>
                </c:pt>
                <c:pt idx="207">
                  <c:v>45889</c:v>
                </c:pt>
                <c:pt idx="208">
                  <c:v>45888</c:v>
                </c:pt>
                <c:pt idx="209">
                  <c:v>45887</c:v>
                </c:pt>
                <c:pt idx="210">
                  <c:v>45884</c:v>
                </c:pt>
                <c:pt idx="211">
                  <c:v>45883</c:v>
                </c:pt>
                <c:pt idx="212">
                  <c:v>45882</c:v>
                </c:pt>
                <c:pt idx="213">
                  <c:v>45881</c:v>
                </c:pt>
                <c:pt idx="214">
                  <c:v>45880</c:v>
                </c:pt>
                <c:pt idx="215">
                  <c:v>45877</c:v>
                </c:pt>
                <c:pt idx="216">
                  <c:v>45876</c:v>
                </c:pt>
                <c:pt idx="217">
                  <c:v>45875</c:v>
                </c:pt>
                <c:pt idx="218">
                  <c:v>45874</c:v>
                </c:pt>
                <c:pt idx="219">
                  <c:v>45873</c:v>
                </c:pt>
                <c:pt idx="220">
                  <c:v>45870</c:v>
                </c:pt>
                <c:pt idx="221">
                  <c:v>45869</c:v>
                </c:pt>
                <c:pt idx="222">
                  <c:v>45868</c:v>
                </c:pt>
                <c:pt idx="223">
                  <c:v>45867</c:v>
                </c:pt>
                <c:pt idx="224">
                  <c:v>45866</c:v>
                </c:pt>
                <c:pt idx="225">
                  <c:v>45863</c:v>
                </c:pt>
                <c:pt idx="226">
                  <c:v>45862</c:v>
                </c:pt>
                <c:pt idx="227">
                  <c:v>45861</c:v>
                </c:pt>
                <c:pt idx="228">
                  <c:v>45860</c:v>
                </c:pt>
                <c:pt idx="229">
                  <c:v>45859</c:v>
                </c:pt>
                <c:pt idx="230">
                  <c:v>45856</c:v>
                </c:pt>
                <c:pt idx="231">
                  <c:v>45855</c:v>
                </c:pt>
                <c:pt idx="232">
                  <c:v>45854</c:v>
                </c:pt>
                <c:pt idx="233">
                  <c:v>45853</c:v>
                </c:pt>
                <c:pt idx="234">
                  <c:v>45852</c:v>
                </c:pt>
                <c:pt idx="235">
                  <c:v>45849</c:v>
                </c:pt>
                <c:pt idx="236">
                  <c:v>45848</c:v>
                </c:pt>
                <c:pt idx="237">
                  <c:v>45847</c:v>
                </c:pt>
                <c:pt idx="238">
                  <c:v>45846</c:v>
                </c:pt>
                <c:pt idx="239">
                  <c:v>45845</c:v>
                </c:pt>
                <c:pt idx="240">
                  <c:v>45842</c:v>
                </c:pt>
                <c:pt idx="241">
                  <c:v>45841</c:v>
                </c:pt>
                <c:pt idx="242">
                  <c:v>45840</c:v>
                </c:pt>
                <c:pt idx="243">
                  <c:v>45839</c:v>
                </c:pt>
                <c:pt idx="244">
                  <c:v>45838</c:v>
                </c:pt>
                <c:pt idx="245">
                  <c:v>45835</c:v>
                </c:pt>
                <c:pt idx="246">
                  <c:v>45834</c:v>
                </c:pt>
                <c:pt idx="247">
                  <c:v>45833</c:v>
                </c:pt>
                <c:pt idx="248">
                  <c:v>45832</c:v>
                </c:pt>
                <c:pt idx="249">
                  <c:v>45831</c:v>
                </c:pt>
                <c:pt idx="250">
                  <c:v>45828</c:v>
                </c:pt>
                <c:pt idx="251">
                  <c:v>45827</c:v>
                </c:pt>
                <c:pt idx="252">
                  <c:v>45826</c:v>
                </c:pt>
                <c:pt idx="253">
                  <c:v>45825</c:v>
                </c:pt>
                <c:pt idx="254">
                  <c:v>45824</c:v>
                </c:pt>
                <c:pt idx="255">
                  <c:v>45821</c:v>
                </c:pt>
                <c:pt idx="256">
                  <c:v>45820</c:v>
                </c:pt>
                <c:pt idx="257">
                  <c:v>45819</c:v>
                </c:pt>
                <c:pt idx="258">
                  <c:v>45818</c:v>
                </c:pt>
                <c:pt idx="259">
                  <c:v>45817</c:v>
                </c:pt>
                <c:pt idx="260">
                  <c:v>45814</c:v>
                </c:pt>
                <c:pt idx="261">
                  <c:v>45813</c:v>
                </c:pt>
                <c:pt idx="262">
                  <c:v>45812</c:v>
                </c:pt>
                <c:pt idx="263">
                  <c:v>45811</c:v>
                </c:pt>
                <c:pt idx="264">
                  <c:v>45810</c:v>
                </c:pt>
                <c:pt idx="265">
                  <c:v>45807</c:v>
                </c:pt>
                <c:pt idx="266">
                  <c:v>45806</c:v>
                </c:pt>
                <c:pt idx="267">
                  <c:v>45805</c:v>
                </c:pt>
                <c:pt idx="268">
                  <c:v>45804</c:v>
                </c:pt>
                <c:pt idx="269">
                  <c:v>45803</c:v>
                </c:pt>
                <c:pt idx="270">
                  <c:v>45800</c:v>
                </c:pt>
                <c:pt idx="271">
                  <c:v>45799</c:v>
                </c:pt>
                <c:pt idx="272">
                  <c:v>45798</c:v>
                </c:pt>
                <c:pt idx="273">
                  <c:v>45797</c:v>
                </c:pt>
                <c:pt idx="274">
                  <c:v>45796</c:v>
                </c:pt>
                <c:pt idx="275">
                  <c:v>45793</c:v>
                </c:pt>
                <c:pt idx="276">
                  <c:v>45792</c:v>
                </c:pt>
                <c:pt idx="277">
                  <c:v>45791</c:v>
                </c:pt>
                <c:pt idx="278">
                  <c:v>45790</c:v>
                </c:pt>
                <c:pt idx="279">
                  <c:v>45789</c:v>
                </c:pt>
                <c:pt idx="280">
                  <c:v>45786</c:v>
                </c:pt>
                <c:pt idx="281">
                  <c:v>45785</c:v>
                </c:pt>
                <c:pt idx="282">
                  <c:v>45784</c:v>
                </c:pt>
                <c:pt idx="283">
                  <c:v>45783</c:v>
                </c:pt>
                <c:pt idx="284">
                  <c:v>45782</c:v>
                </c:pt>
                <c:pt idx="285">
                  <c:v>45779</c:v>
                </c:pt>
                <c:pt idx="286">
                  <c:v>45778</c:v>
                </c:pt>
                <c:pt idx="287">
                  <c:v>45777</c:v>
                </c:pt>
                <c:pt idx="288">
                  <c:v>45776</c:v>
                </c:pt>
                <c:pt idx="289">
                  <c:v>45775</c:v>
                </c:pt>
                <c:pt idx="290">
                  <c:v>45772</c:v>
                </c:pt>
                <c:pt idx="291">
                  <c:v>45771</c:v>
                </c:pt>
                <c:pt idx="292">
                  <c:v>45770</c:v>
                </c:pt>
                <c:pt idx="293">
                  <c:v>45769</c:v>
                </c:pt>
                <c:pt idx="294">
                  <c:v>45768</c:v>
                </c:pt>
                <c:pt idx="295">
                  <c:v>45765</c:v>
                </c:pt>
                <c:pt idx="296">
                  <c:v>45764</c:v>
                </c:pt>
                <c:pt idx="297">
                  <c:v>45763</c:v>
                </c:pt>
                <c:pt idx="298">
                  <c:v>45762</c:v>
                </c:pt>
                <c:pt idx="299">
                  <c:v>45761</c:v>
                </c:pt>
                <c:pt idx="300">
                  <c:v>45758</c:v>
                </c:pt>
                <c:pt idx="301">
                  <c:v>45757</c:v>
                </c:pt>
                <c:pt idx="302">
                  <c:v>45756</c:v>
                </c:pt>
                <c:pt idx="303">
                  <c:v>45755</c:v>
                </c:pt>
                <c:pt idx="304">
                  <c:v>45754</c:v>
                </c:pt>
                <c:pt idx="305">
                  <c:v>45751</c:v>
                </c:pt>
                <c:pt idx="306">
                  <c:v>45750</c:v>
                </c:pt>
                <c:pt idx="307">
                  <c:v>45749</c:v>
                </c:pt>
                <c:pt idx="308">
                  <c:v>45748</c:v>
                </c:pt>
                <c:pt idx="309">
                  <c:v>45747</c:v>
                </c:pt>
                <c:pt idx="310">
                  <c:v>45744</c:v>
                </c:pt>
                <c:pt idx="311">
                  <c:v>45743</c:v>
                </c:pt>
                <c:pt idx="312">
                  <c:v>45742</c:v>
                </c:pt>
                <c:pt idx="313">
                  <c:v>45741</c:v>
                </c:pt>
                <c:pt idx="314">
                  <c:v>45740</c:v>
                </c:pt>
                <c:pt idx="315">
                  <c:v>45737</c:v>
                </c:pt>
                <c:pt idx="316">
                  <c:v>45736</c:v>
                </c:pt>
                <c:pt idx="317">
                  <c:v>45735</c:v>
                </c:pt>
                <c:pt idx="318">
                  <c:v>45734</c:v>
                </c:pt>
                <c:pt idx="319">
                  <c:v>45733</c:v>
                </c:pt>
                <c:pt idx="320">
                  <c:v>45730</c:v>
                </c:pt>
                <c:pt idx="321">
                  <c:v>45729</c:v>
                </c:pt>
                <c:pt idx="322">
                  <c:v>45728</c:v>
                </c:pt>
                <c:pt idx="323">
                  <c:v>45727</c:v>
                </c:pt>
                <c:pt idx="324">
                  <c:v>45726</c:v>
                </c:pt>
                <c:pt idx="325">
                  <c:v>45723</c:v>
                </c:pt>
                <c:pt idx="326">
                  <c:v>45722</c:v>
                </c:pt>
                <c:pt idx="327">
                  <c:v>45721</c:v>
                </c:pt>
                <c:pt idx="328">
                  <c:v>45720</c:v>
                </c:pt>
                <c:pt idx="329">
                  <c:v>45719</c:v>
                </c:pt>
                <c:pt idx="330">
                  <c:v>45716</c:v>
                </c:pt>
                <c:pt idx="331">
                  <c:v>45715</c:v>
                </c:pt>
                <c:pt idx="332">
                  <c:v>45714</c:v>
                </c:pt>
                <c:pt idx="333">
                  <c:v>45713</c:v>
                </c:pt>
                <c:pt idx="334">
                  <c:v>45712</c:v>
                </c:pt>
                <c:pt idx="335">
                  <c:v>45709</c:v>
                </c:pt>
                <c:pt idx="336">
                  <c:v>45708</c:v>
                </c:pt>
                <c:pt idx="337">
                  <c:v>45707</c:v>
                </c:pt>
                <c:pt idx="338">
                  <c:v>45706</c:v>
                </c:pt>
                <c:pt idx="339">
                  <c:v>45705</c:v>
                </c:pt>
                <c:pt idx="340">
                  <c:v>45702</c:v>
                </c:pt>
                <c:pt idx="341">
                  <c:v>45701</c:v>
                </c:pt>
                <c:pt idx="342">
                  <c:v>45700</c:v>
                </c:pt>
                <c:pt idx="343">
                  <c:v>45699</c:v>
                </c:pt>
                <c:pt idx="344">
                  <c:v>45698</c:v>
                </c:pt>
                <c:pt idx="345">
                  <c:v>45695</c:v>
                </c:pt>
                <c:pt idx="346">
                  <c:v>45694</c:v>
                </c:pt>
                <c:pt idx="347">
                  <c:v>45693</c:v>
                </c:pt>
                <c:pt idx="348">
                  <c:v>45692</c:v>
                </c:pt>
                <c:pt idx="349">
                  <c:v>45691</c:v>
                </c:pt>
                <c:pt idx="350">
                  <c:v>45689</c:v>
                </c:pt>
                <c:pt idx="351">
                  <c:v>45688</c:v>
                </c:pt>
                <c:pt idx="352">
                  <c:v>45687</c:v>
                </c:pt>
                <c:pt idx="353">
                  <c:v>45686</c:v>
                </c:pt>
                <c:pt idx="354">
                  <c:v>45685</c:v>
                </c:pt>
                <c:pt idx="355">
                  <c:v>45684</c:v>
                </c:pt>
                <c:pt idx="356">
                  <c:v>45681</c:v>
                </c:pt>
                <c:pt idx="357">
                  <c:v>45680</c:v>
                </c:pt>
                <c:pt idx="358">
                  <c:v>45679</c:v>
                </c:pt>
                <c:pt idx="359">
                  <c:v>45678</c:v>
                </c:pt>
                <c:pt idx="360">
                  <c:v>45677</c:v>
                </c:pt>
                <c:pt idx="361">
                  <c:v>45674</c:v>
                </c:pt>
                <c:pt idx="362">
                  <c:v>45673</c:v>
                </c:pt>
                <c:pt idx="363">
                  <c:v>45672</c:v>
                </c:pt>
                <c:pt idx="364">
                  <c:v>45671</c:v>
                </c:pt>
                <c:pt idx="365">
                  <c:v>45670</c:v>
                </c:pt>
                <c:pt idx="366">
                  <c:v>45667</c:v>
                </c:pt>
                <c:pt idx="367">
                  <c:v>45666</c:v>
                </c:pt>
                <c:pt idx="368">
                  <c:v>45665</c:v>
                </c:pt>
                <c:pt idx="369">
                  <c:v>45664</c:v>
                </c:pt>
                <c:pt idx="370">
                  <c:v>45663</c:v>
                </c:pt>
                <c:pt idx="371">
                  <c:v>45660</c:v>
                </c:pt>
                <c:pt idx="372">
                  <c:v>45659</c:v>
                </c:pt>
                <c:pt idx="373">
                  <c:v>45658</c:v>
                </c:pt>
                <c:pt idx="374">
                  <c:v>45657</c:v>
                </c:pt>
                <c:pt idx="375">
                  <c:v>45656</c:v>
                </c:pt>
                <c:pt idx="376">
                  <c:v>45653</c:v>
                </c:pt>
                <c:pt idx="377">
                  <c:v>45652</c:v>
                </c:pt>
                <c:pt idx="378">
                  <c:v>45651</c:v>
                </c:pt>
                <c:pt idx="379">
                  <c:v>45650</c:v>
                </c:pt>
                <c:pt idx="380">
                  <c:v>45649</c:v>
                </c:pt>
                <c:pt idx="381">
                  <c:v>45646</c:v>
                </c:pt>
                <c:pt idx="382">
                  <c:v>45645</c:v>
                </c:pt>
                <c:pt idx="383">
                  <c:v>45644</c:v>
                </c:pt>
                <c:pt idx="384">
                  <c:v>45643</c:v>
                </c:pt>
                <c:pt idx="385">
                  <c:v>45642</c:v>
                </c:pt>
                <c:pt idx="386">
                  <c:v>45639</c:v>
                </c:pt>
                <c:pt idx="387">
                  <c:v>45638</c:v>
                </c:pt>
                <c:pt idx="388">
                  <c:v>45637</c:v>
                </c:pt>
                <c:pt idx="389">
                  <c:v>45636</c:v>
                </c:pt>
                <c:pt idx="390">
                  <c:v>45635</c:v>
                </c:pt>
                <c:pt idx="391">
                  <c:v>45632</c:v>
                </c:pt>
                <c:pt idx="392">
                  <c:v>45631</c:v>
                </c:pt>
                <c:pt idx="393">
                  <c:v>45630</c:v>
                </c:pt>
                <c:pt idx="394">
                  <c:v>45629</c:v>
                </c:pt>
                <c:pt idx="395">
                  <c:v>45628</c:v>
                </c:pt>
                <c:pt idx="396">
                  <c:v>45625</c:v>
                </c:pt>
                <c:pt idx="397">
                  <c:v>45624</c:v>
                </c:pt>
                <c:pt idx="398">
                  <c:v>45623</c:v>
                </c:pt>
                <c:pt idx="399">
                  <c:v>45622</c:v>
                </c:pt>
                <c:pt idx="400">
                  <c:v>45621</c:v>
                </c:pt>
                <c:pt idx="401">
                  <c:v>45618</c:v>
                </c:pt>
                <c:pt idx="402">
                  <c:v>45617</c:v>
                </c:pt>
                <c:pt idx="403">
                  <c:v>45616</c:v>
                </c:pt>
                <c:pt idx="404">
                  <c:v>45615</c:v>
                </c:pt>
                <c:pt idx="405">
                  <c:v>45614</c:v>
                </c:pt>
                <c:pt idx="406">
                  <c:v>45611</c:v>
                </c:pt>
                <c:pt idx="407">
                  <c:v>45610</c:v>
                </c:pt>
                <c:pt idx="408">
                  <c:v>45609</c:v>
                </c:pt>
                <c:pt idx="409">
                  <c:v>45608</c:v>
                </c:pt>
                <c:pt idx="410">
                  <c:v>45607</c:v>
                </c:pt>
                <c:pt idx="411">
                  <c:v>45604</c:v>
                </c:pt>
                <c:pt idx="412">
                  <c:v>45603</c:v>
                </c:pt>
                <c:pt idx="413">
                  <c:v>45602</c:v>
                </c:pt>
                <c:pt idx="414">
                  <c:v>45601</c:v>
                </c:pt>
                <c:pt idx="415">
                  <c:v>45600</c:v>
                </c:pt>
                <c:pt idx="416">
                  <c:v>45597</c:v>
                </c:pt>
                <c:pt idx="417">
                  <c:v>45596</c:v>
                </c:pt>
                <c:pt idx="418">
                  <c:v>45595</c:v>
                </c:pt>
                <c:pt idx="419">
                  <c:v>45594</c:v>
                </c:pt>
                <c:pt idx="420">
                  <c:v>45593</c:v>
                </c:pt>
                <c:pt idx="421">
                  <c:v>45590</c:v>
                </c:pt>
                <c:pt idx="422">
                  <c:v>45589</c:v>
                </c:pt>
                <c:pt idx="423">
                  <c:v>45588</c:v>
                </c:pt>
                <c:pt idx="424">
                  <c:v>45587</c:v>
                </c:pt>
                <c:pt idx="425">
                  <c:v>45586</c:v>
                </c:pt>
                <c:pt idx="426">
                  <c:v>45583</c:v>
                </c:pt>
                <c:pt idx="427">
                  <c:v>45582</c:v>
                </c:pt>
                <c:pt idx="428">
                  <c:v>45581</c:v>
                </c:pt>
                <c:pt idx="429">
                  <c:v>45580</c:v>
                </c:pt>
                <c:pt idx="430">
                  <c:v>45579</c:v>
                </c:pt>
                <c:pt idx="431">
                  <c:v>45576</c:v>
                </c:pt>
                <c:pt idx="432">
                  <c:v>45575</c:v>
                </c:pt>
                <c:pt idx="433">
                  <c:v>45574</c:v>
                </c:pt>
                <c:pt idx="434">
                  <c:v>45573</c:v>
                </c:pt>
                <c:pt idx="435">
                  <c:v>45572</c:v>
                </c:pt>
                <c:pt idx="436">
                  <c:v>45569</c:v>
                </c:pt>
                <c:pt idx="437">
                  <c:v>45568</c:v>
                </c:pt>
                <c:pt idx="438">
                  <c:v>45567</c:v>
                </c:pt>
                <c:pt idx="439">
                  <c:v>45566</c:v>
                </c:pt>
                <c:pt idx="440">
                  <c:v>45565</c:v>
                </c:pt>
                <c:pt idx="441">
                  <c:v>45562</c:v>
                </c:pt>
                <c:pt idx="442">
                  <c:v>45561</c:v>
                </c:pt>
                <c:pt idx="443">
                  <c:v>45560</c:v>
                </c:pt>
                <c:pt idx="444">
                  <c:v>45559</c:v>
                </c:pt>
                <c:pt idx="445">
                  <c:v>45558</c:v>
                </c:pt>
                <c:pt idx="446">
                  <c:v>45555</c:v>
                </c:pt>
                <c:pt idx="447">
                  <c:v>45554</c:v>
                </c:pt>
                <c:pt idx="448">
                  <c:v>45553</c:v>
                </c:pt>
                <c:pt idx="449">
                  <c:v>45552</c:v>
                </c:pt>
                <c:pt idx="450">
                  <c:v>45551</c:v>
                </c:pt>
                <c:pt idx="451">
                  <c:v>45548</c:v>
                </c:pt>
                <c:pt idx="452">
                  <c:v>45547</c:v>
                </c:pt>
                <c:pt idx="453">
                  <c:v>45546</c:v>
                </c:pt>
                <c:pt idx="454">
                  <c:v>45545</c:v>
                </c:pt>
                <c:pt idx="455">
                  <c:v>45544</c:v>
                </c:pt>
                <c:pt idx="456">
                  <c:v>45541</c:v>
                </c:pt>
                <c:pt idx="457">
                  <c:v>45540</c:v>
                </c:pt>
                <c:pt idx="458">
                  <c:v>45539</c:v>
                </c:pt>
                <c:pt idx="459">
                  <c:v>45538</c:v>
                </c:pt>
                <c:pt idx="460">
                  <c:v>45537</c:v>
                </c:pt>
                <c:pt idx="461">
                  <c:v>45534</c:v>
                </c:pt>
                <c:pt idx="462">
                  <c:v>45533</c:v>
                </c:pt>
                <c:pt idx="463">
                  <c:v>45532</c:v>
                </c:pt>
                <c:pt idx="464">
                  <c:v>45531</c:v>
                </c:pt>
                <c:pt idx="465">
                  <c:v>45530</c:v>
                </c:pt>
                <c:pt idx="466">
                  <c:v>45527</c:v>
                </c:pt>
                <c:pt idx="467">
                  <c:v>45526</c:v>
                </c:pt>
                <c:pt idx="468">
                  <c:v>45525</c:v>
                </c:pt>
                <c:pt idx="469">
                  <c:v>45524</c:v>
                </c:pt>
                <c:pt idx="470">
                  <c:v>45523</c:v>
                </c:pt>
                <c:pt idx="471">
                  <c:v>45520</c:v>
                </c:pt>
                <c:pt idx="472">
                  <c:v>45519</c:v>
                </c:pt>
                <c:pt idx="473">
                  <c:v>45518</c:v>
                </c:pt>
                <c:pt idx="474">
                  <c:v>45517</c:v>
                </c:pt>
                <c:pt idx="475">
                  <c:v>45516</c:v>
                </c:pt>
                <c:pt idx="476">
                  <c:v>45513</c:v>
                </c:pt>
                <c:pt idx="477">
                  <c:v>45512</c:v>
                </c:pt>
                <c:pt idx="478">
                  <c:v>45511</c:v>
                </c:pt>
                <c:pt idx="479">
                  <c:v>45510</c:v>
                </c:pt>
                <c:pt idx="480">
                  <c:v>45509</c:v>
                </c:pt>
                <c:pt idx="481">
                  <c:v>45506</c:v>
                </c:pt>
                <c:pt idx="482">
                  <c:v>45505</c:v>
                </c:pt>
                <c:pt idx="483">
                  <c:v>45504</c:v>
                </c:pt>
                <c:pt idx="484">
                  <c:v>45503</c:v>
                </c:pt>
                <c:pt idx="485">
                  <c:v>45502</c:v>
                </c:pt>
                <c:pt idx="486">
                  <c:v>45499</c:v>
                </c:pt>
                <c:pt idx="487">
                  <c:v>45498</c:v>
                </c:pt>
                <c:pt idx="488">
                  <c:v>45497</c:v>
                </c:pt>
                <c:pt idx="489">
                  <c:v>45496</c:v>
                </c:pt>
                <c:pt idx="490">
                  <c:v>45495</c:v>
                </c:pt>
                <c:pt idx="491">
                  <c:v>45492</c:v>
                </c:pt>
                <c:pt idx="492">
                  <c:v>45491</c:v>
                </c:pt>
                <c:pt idx="493">
                  <c:v>45490</c:v>
                </c:pt>
                <c:pt idx="494">
                  <c:v>45489</c:v>
                </c:pt>
                <c:pt idx="495">
                  <c:v>45488</c:v>
                </c:pt>
                <c:pt idx="496">
                  <c:v>45485</c:v>
                </c:pt>
                <c:pt idx="497">
                  <c:v>45484</c:v>
                </c:pt>
                <c:pt idx="498">
                  <c:v>45483</c:v>
                </c:pt>
                <c:pt idx="499">
                  <c:v>45482</c:v>
                </c:pt>
                <c:pt idx="500">
                  <c:v>45481</c:v>
                </c:pt>
                <c:pt idx="501">
                  <c:v>45478</c:v>
                </c:pt>
                <c:pt idx="502">
                  <c:v>45477</c:v>
                </c:pt>
                <c:pt idx="503">
                  <c:v>45476</c:v>
                </c:pt>
                <c:pt idx="504">
                  <c:v>45475</c:v>
                </c:pt>
                <c:pt idx="505">
                  <c:v>45474</c:v>
                </c:pt>
                <c:pt idx="506">
                  <c:v>45471</c:v>
                </c:pt>
                <c:pt idx="507">
                  <c:v>45470</c:v>
                </c:pt>
                <c:pt idx="508">
                  <c:v>45469</c:v>
                </c:pt>
                <c:pt idx="509">
                  <c:v>45468</c:v>
                </c:pt>
                <c:pt idx="510">
                  <c:v>45467</c:v>
                </c:pt>
                <c:pt idx="511">
                  <c:v>45464</c:v>
                </c:pt>
                <c:pt idx="512">
                  <c:v>45463</c:v>
                </c:pt>
                <c:pt idx="513">
                  <c:v>45462</c:v>
                </c:pt>
                <c:pt idx="514">
                  <c:v>45461</c:v>
                </c:pt>
                <c:pt idx="515">
                  <c:v>45460</c:v>
                </c:pt>
                <c:pt idx="516">
                  <c:v>45457</c:v>
                </c:pt>
                <c:pt idx="517">
                  <c:v>45456</c:v>
                </c:pt>
                <c:pt idx="518">
                  <c:v>45455</c:v>
                </c:pt>
                <c:pt idx="519">
                  <c:v>45454</c:v>
                </c:pt>
                <c:pt idx="520">
                  <c:v>45453</c:v>
                </c:pt>
                <c:pt idx="521">
                  <c:v>45450</c:v>
                </c:pt>
                <c:pt idx="522">
                  <c:v>45449</c:v>
                </c:pt>
                <c:pt idx="523">
                  <c:v>45448</c:v>
                </c:pt>
                <c:pt idx="524">
                  <c:v>45447</c:v>
                </c:pt>
                <c:pt idx="525">
                  <c:v>45446</c:v>
                </c:pt>
                <c:pt idx="526">
                  <c:v>45443</c:v>
                </c:pt>
                <c:pt idx="527">
                  <c:v>45442</c:v>
                </c:pt>
                <c:pt idx="528">
                  <c:v>45441</c:v>
                </c:pt>
                <c:pt idx="529">
                  <c:v>45440</c:v>
                </c:pt>
                <c:pt idx="530">
                  <c:v>45439</c:v>
                </c:pt>
                <c:pt idx="531">
                  <c:v>45436</c:v>
                </c:pt>
                <c:pt idx="532">
                  <c:v>45435</c:v>
                </c:pt>
                <c:pt idx="533">
                  <c:v>45434</c:v>
                </c:pt>
                <c:pt idx="534">
                  <c:v>45433</c:v>
                </c:pt>
                <c:pt idx="535">
                  <c:v>45432</c:v>
                </c:pt>
                <c:pt idx="536">
                  <c:v>45430</c:v>
                </c:pt>
                <c:pt idx="537">
                  <c:v>45429</c:v>
                </c:pt>
                <c:pt idx="538">
                  <c:v>45428</c:v>
                </c:pt>
                <c:pt idx="539">
                  <c:v>45427</c:v>
                </c:pt>
                <c:pt idx="540">
                  <c:v>45426</c:v>
                </c:pt>
                <c:pt idx="541">
                  <c:v>45425</c:v>
                </c:pt>
                <c:pt idx="542">
                  <c:v>45422</c:v>
                </c:pt>
                <c:pt idx="543">
                  <c:v>45421</c:v>
                </c:pt>
                <c:pt idx="544">
                  <c:v>45420</c:v>
                </c:pt>
                <c:pt idx="545">
                  <c:v>45419</c:v>
                </c:pt>
                <c:pt idx="546">
                  <c:v>45418</c:v>
                </c:pt>
                <c:pt idx="547">
                  <c:v>45415</c:v>
                </c:pt>
                <c:pt idx="548">
                  <c:v>45414</c:v>
                </c:pt>
                <c:pt idx="549">
                  <c:v>45413</c:v>
                </c:pt>
                <c:pt idx="550">
                  <c:v>45412</c:v>
                </c:pt>
                <c:pt idx="551">
                  <c:v>45411</c:v>
                </c:pt>
                <c:pt idx="552">
                  <c:v>45408</c:v>
                </c:pt>
                <c:pt idx="553">
                  <c:v>45407</c:v>
                </c:pt>
                <c:pt idx="554">
                  <c:v>45406</c:v>
                </c:pt>
                <c:pt idx="555">
                  <c:v>45405</c:v>
                </c:pt>
                <c:pt idx="556">
                  <c:v>45404</c:v>
                </c:pt>
                <c:pt idx="557">
                  <c:v>45401</c:v>
                </c:pt>
                <c:pt idx="558">
                  <c:v>45400</c:v>
                </c:pt>
                <c:pt idx="559">
                  <c:v>45399</c:v>
                </c:pt>
                <c:pt idx="560">
                  <c:v>45398</c:v>
                </c:pt>
                <c:pt idx="561">
                  <c:v>45397</c:v>
                </c:pt>
                <c:pt idx="562">
                  <c:v>45394</c:v>
                </c:pt>
                <c:pt idx="563">
                  <c:v>45393</c:v>
                </c:pt>
                <c:pt idx="564">
                  <c:v>45392</c:v>
                </c:pt>
                <c:pt idx="565">
                  <c:v>45391</c:v>
                </c:pt>
                <c:pt idx="566">
                  <c:v>45390</c:v>
                </c:pt>
                <c:pt idx="567">
                  <c:v>45387</c:v>
                </c:pt>
                <c:pt idx="568">
                  <c:v>45386</c:v>
                </c:pt>
                <c:pt idx="569">
                  <c:v>45385</c:v>
                </c:pt>
                <c:pt idx="570">
                  <c:v>45384</c:v>
                </c:pt>
                <c:pt idx="571">
                  <c:v>45383</c:v>
                </c:pt>
                <c:pt idx="572">
                  <c:v>45380</c:v>
                </c:pt>
                <c:pt idx="573">
                  <c:v>45379</c:v>
                </c:pt>
                <c:pt idx="574">
                  <c:v>45378</c:v>
                </c:pt>
                <c:pt idx="575">
                  <c:v>45377</c:v>
                </c:pt>
                <c:pt idx="576">
                  <c:v>45376</c:v>
                </c:pt>
                <c:pt idx="577">
                  <c:v>45373</c:v>
                </c:pt>
                <c:pt idx="578">
                  <c:v>45372</c:v>
                </c:pt>
                <c:pt idx="579">
                  <c:v>45371</c:v>
                </c:pt>
                <c:pt idx="580">
                  <c:v>45370</c:v>
                </c:pt>
                <c:pt idx="581">
                  <c:v>45369</c:v>
                </c:pt>
                <c:pt idx="582">
                  <c:v>45366</c:v>
                </c:pt>
                <c:pt idx="583">
                  <c:v>45365</c:v>
                </c:pt>
                <c:pt idx="584">
                  <c:v>45364</c:v>
                </c:pt>
                <c:pt idx="585">
                  <c:v>45363</c:v>
                </c:pt>
                <c:pt idx="586">
                  <c:v>45362</c:v>
                </c:pt>
                <c:pt idx="587">
                  <c:v>45359</c:v>
                </c:pt>
                <c:pt idx="588">
                  <c:v>45358</c:v>
                </c:pt>
                <c:pt idx="589">
                  <c:v>45357</c:v>
                </c:pt>
                <c:pt idx="590">
                  <c:v>45356</c:v>
                </c:pt>
                <c:pt idx="591">
                  <c:v>45355</c:v>
                </c:pt>
                <c:pt idx="592">
                  <c:v>45353</c:v>
                </c:pt>
                <c:pt idx="593">
                  <c:v>45352</c:v>
                </c:pt>
                <c:pt idx="594">
                  <c:v>45351</c:v>
                </c:pt>
                <c:pt idx="595">
                  <c:v>45350</c:v>
                </c:pt>
                <c:pt idx="596">
                  <c:v>45349</c:v>
                </c:pt>
                <c:pt idx="597">
                  <c:v>45348</c:v>
                </c:pt>
                <c:pt idx="598">
                  <c:v>45345</c:v>
                </c:pt>
                <c:pt idx="599">
                  <c:v>45344</c:v>
                </c:pt>
                <c:pt idx="600">
                  <c:v>45343</c:v>
                </c:pt>
                <c:pt idx="601">
                  <c:v>45342</c:v>
                </c:pt>
                <c:pt idx="602">
                  <c:v>45341</c:v>
                </c:pt>
                <c:pt idx="603">
                  <c:v>45338</c:v>
                </c:pt>
                <c:pt idx="604">
                  <c:v>45337</c:v>
                </c:pt>
                <c:pt idx="605">
                  <c:v>45336</c:v>
                </c:pt>
                <c:pt idx="606">
                  <c:v>45335</c:v>
                </c:pt>
                <c:pt idx="607">
                  <c:v>45334</c:v>
                </c:pt>
                <c:pt idx="608">
                  <c:v>45331</c:v>
                </c:pt>
                <c:pt idx="609">
                  <c:v>45330</c:v>
                </c:pt>
                <c:pt idx="610">
                  <c:v>45329</c:v>
                </c:pt>
                <c:pt idx="611">
                  <c:v>45328</c:v>
                </c:pt>
                <c:pt idx="612">
                  <c:v>45327</c:v>
                </c:pt>
                <c:pt idx="613">
                  <c:v>45324</c:v>
                </c:pt>
                <c:pt idx="614">
                  <c:v>45323</c:v>
                </c:pt>
                <c:pt idx="615">
                  <c:v>45322</c:v>
                </c:pt>
                <c:pt idx="616">
                  <c:v>45321</c:v>
                </c:pt>
                <c:pt idx="617">
                  <c:v>45320</c:v>
                </c:pt>
                <c:pt idx="618">
                  <c:v>45317</c:v>
                </c:pt>
                <c:pt idx="619">
                  <c:v>45316</c:v>
                </c:pt>
                <c:pt idx="620">
                  <c:v>45315</c:v>
                </c:pt>
                <c:pt idx="621">
                  <c:v>45314</c:v>
                </c:pt>
                <c:pt idx="622">
                  <c:v>45313</c:v>
                </c:pt>
                <c:pt idx="623">
                  <c:v>45311</c:v>
                </c:pt>
                <c:pt idx="624">
                  <c:v>45310</c:v>
                </c:pt>
                <c:pt idx="625">
                  <c:v>45309</c:v>
                </c:pt>
                <c:pt idx="626">
                  <c:v>45308</c:v>
                </c:pt>
                <c:pt idx="627">
                  <c:v>45307</c:v>
                </c:pt>
                <c:pt idx="628">
                  <c:v>45306</c:v>
                </c:pt>
                <c:pt idx="629">
                  <c:v>45303</c:v>
                </c:pt>
                <c:pt idx="630">
                  <c:v>45302</c:v>
                </c:pt>
                <c:pt idx="631">
                  <c:v>45301</c:v>
                </c:pt>
                <c:pt idx="632">
                  <c:v>45300</c:v>
                </c:pt>
                <c:pt idx="633">
                  <c:v>45299</c:v>
                </c:pt>
                <c:pt idx="634">
                  <c:v>45296</c:v>
                </c:pt>
                <c:pt idx="635">
                  <c:v>45295</c:v>
                </c:pt>
                <c:pt idx="636">
                  <c:v>45294</c:v>
                </c:pt>
                <c:pt idx="637">
                  <c:v>45293</c:v>
                </c:pt>
                <c:pt idx="638">
                  <c:v>45292</c:v>
                </c:pt>
                <c:pt idx="639">
                  <c:v>45289</c:v>
                </c:pt>
                <c:pt idx="640">
                  <c:v>45288</c:v>
                </c:pt>
                <c:pt idx="641">
                  <c:v>45287</c:v>
                </c:pt>
                <c:pt idx="642">
                  <c:v>45286</c:v>
                </c:pt>
                <c:pt idx="643">
                  <c:v>45285</c:v>
                </c:pt>
                <c:pt idx="644">
                  <c:v>45282</c:v>
                </c:pt>
                <c:pt idx="645">
                  <c:v>45281</c:v>
                </c:pt>
                <c:pt idx="646">
                  <c:v>45280</c:v>
                </c:pt>
                <c:pt idx="647">
                  <c:v>45279</c:v>
                </c:pt>
                <c:pt idx="648">
                  <c:v>45278</c:v>
                </c:pt>
                <c:pt idx="649">
                  <c:v>45275</c:v>
                </c:pt>
                <c:pt idx="650">
                  <c:v>45274</c:v>
                </c:pt>
                <c:pt idx="651">
                  <c:v>45273</c:v>
                </c:pt>
                <c:pt idx="652">
                  <c:v>45272</c:v>
                </c:pt>
                <c:pt idx="653">
                  <c:v>45271</c:v>
                </c:pt>
                <c:pt idx="654">
                  <c:v>45268</c:v>
                </c:pt>
                <c:pt idx="655">
                  <c:v>45267</c:v>
                </c:pt>
                <c:pt idx="656">
                  <c:v>45266</c:v>
                </c:pt>
                <c:pt idx="657">
                  <c:v>45265</c:v>
                </c:pt>
                <c:pt idx="658">
                  <c:v>45264</c:v>
                </c:pt>
                <c:pt idx="659">
                  <c:v>45261</c:v>
                </c:pt>
                <c:pt idx="660">
                  <c:v>45260</c:v>
                </c:pt>
                <c:pt idx="661">
                  <c:v>45259</c:v>
                </c:pt>
                <c:pt idx="662">
                  <c:v>45258</c:v>
                </c:pt>
                <c:pt idx="663">
                  <c:v>45257</c:v>
                </c:pt>
                <c:pt idx="664">
                  <c:v>45254</c:v>
                </c:pt>
                <c:pt idx="665">
                  <c:v>45253</c:v>
                </c:pt>
                <c:pt idx="666">
                  <c:v>45252</c:v>
                </c:pt>
                <c:pt idx="667">
                  <c:v>45251</c:v>
                </c:pt>
                <c:pt idx="668">
                  <c:v>45250</c:v>
                </c:pt>
                <c:pt idx="669">
                  <c:v>45247</c:v>
                </c:pt>
                <c:pt idx="670">
                  <c:v>45246</c:v>
                </c:pt>
                <c:pt idx="671">
                  <c:v>45245</c:v>
                </c:pt>
                <c:pt idx="672">
                  <c:v>45244</c:v>
                </c:pt>
                <c:pt idx="673">
                  <c:v>45243</c:v>
                </c:pt>
                <c:pt idx="674">
                  <c:v>45242</c:v>
                </c:pt>
                <c:pt idx="675">
                  <c:v>45240</c:v>
                </c:pt>
                <c:pt idx="676">
                  <c:v>45239</c:v>
                </c:pt>
                <c:pt idx="677">
                  <c:v>45238</c:v>
                </c:pt>
                <c:pt idx="678">
                  <c:v>45237</c:v>
                </c:pt>
                <c:pt idx="679">
                  <c:v>45236</c:v>
                </c:pt>
                <c:pt idx="680">
                  <c:v>45233</c:v>
                </c:pt>
                <c:pt idx="681">
                  <c:v>45232</c:v>
                </c:pt>
                <c:pt idx="682">
                  <c:v>45231</c:v>
                </c:pt>
                <c:pt idx="683">
                  <c:v>45230</c:v>
                </c:pt>
                <c:pt idx="684">
                  <c:v>45229</c:v>
                </c:pt>
                <c:pt idx="685">
                  <c:v>45226</c:v>
                </c:pt>
                <c:pt idx="686">
                  <c:v>45225</c:v>
                </c:pt>
                <c:pt idx="687">
                  <c:v>45224</c:v>
                </c:pt>
                <c:pt idx="688">
                  <c:v>45223</c:v>
                </c:pt>
                <c:pt idx="689">
                  <c:v>45222</c:v>
                </c:pt>
                <c:pt idx="690">
                  <c:v>45219</c:v>
                </c:pt>
                <c:pt idx="691">
                  <c:v>45218</c:v>
                </c:pt>
                <c:pt idx="692">
                  <c:v>45217</c:v>
                </c:pt>
                <c:pt idx="693">
                  <c:v>45216</c:v>
                </c:pt>
                <c:pt idx="694">
                  <c:v>45215</c:v>
                </c:pt>
                <c:pt idx="695">
                  <c:v>45212</c:v>
                </c:pt>
                <c:pt idx="696">
                  <c:v>45211</c:v>
                </c:pt>
                <c:pt idx="697">
                  <c:v>45210</c:v>
                </c:pt>
                <c:pt idx="698">
                  <c:v>45209</c:v>
                </c:pt>
                <c:pt idx="699">
                  <c:v>45208</c:v>
                </c:pt>
                <c:pt idx="700">
                  <c:v>45205</c:v>
                </c:pt>
                <c:pt idx="701">
                  <c:v>45204</c:v>
                </c:pt>
                <c:pt idx="702">
                  <c:v>45203</c:v>
                </c:pt>
                <c:pt idx="703">
                  <c:v>45202</c:v>
                </c:pt>
                <c:pt idx="704">
                  <c:v>45201</c:v>
                </c:pt>
                <c:pt idx="705">
                  <c:v>45198</c:v>
                </c:pt>
                <c:pt idx="706">
                  <c:v>45197</c:v>
                </c:pt>
                <c:pt idx="707">
                  <c:v>45196</c:v>
                </c:pt>
                <c:pt idx="708">
                  <c:v>45195</c:v>
                </c:pt>
                <c:pt idx="709">
                  <c:v>45194</c:v>
                </c:pt>
                <c:pt idx="710">
                  <c:v>45191</c:v>
                </c:pt>
                <c:pt idx="711">
                  <c:v>45190</c:v>
                </c:pt>
                <c:pt idx="712">
                  <c:v>45189</c:v>
                </c:pt>
                <c:pt idx="713">
                  <c:v>45188</c:v>
                </c:pt>
                <c:pt idx="714">
                  <c:v>45187</c:v>
                </c:pt>
                <c:pt idx="715">
                  <c:v>45184</c:v>
                </c:pt>
                <c:pt idx="716">
                  <c:v>45183</c:v>
                </c:pt>
                <c:pt idx="717">
                  <c:v>45182</c:v>
                </c:pt>
                <c:pt idx="718">
                  <c:v>45181</c:v>
                </c:pt>
                <c:pt idx="719">
                  <c:v>45180</c:v>
                </c:pt>
                <c:pt idx="720">
                  <c:v>45177</c:v>
                </c:pt>
                <c:pt idx="721">
                  <c:v>45176</c:v>
                </c:pt>
                <c:pt idx="722">
                  <c:v>45175</c:v>
                </c:pt>
                <c:pt idx="723">
                  <c:v>45174</c:v>
                </c:pt>
                <c:pt idx="724">
                  <c:v>45173</c:v>
                </c:pt>
                <c:pt idx="725">
                  <c:v>45170</c:v>
                </c:pt>
                <c:pt idx="726">
                  <c:v>45169</c:v>
                </c:pt>
                <c:pt idx="727">
                  <c:v>45168</c:v>
                </c:pt>
                <c:pt idx="728">
                  <c:v>45167</c:v>
                </c:pt>
                <c:pt idx="729">
                  <c:v>45166</c:v>
                </c:pt>
                <c:pt idx="730">
                  <c:v>45163</c:v>
                </c:pt>
                <c:pt idx="731">
                  <c:v>45162</c:v>
                </c:pt>
                <c:pt idx="732">
                  <c:v>45161</c:v>
                </c:pt>
                <c:pt idx="733">
                  <c:v>45160</c:v>
                </c:pt>
                <c:pt idx="734">
                  <c:v>45159</c:v>
                </c:pt>
                <c:pt idx="735">
                  <c:v>45156</c:v>
                </c:pt>
                <c:pt idx="736">
                  <c:v>45155</c:v>
                </c:pt>
                <c:pt idx="737">
                  <c:v>45154</c:v>
                </c:pt>
                <c:pt idx="738">
                  <c:v>45153</c:v>
                </c:pt>
                <c:pt idx="739">
                  <c:v>45152</c:v>
                </c:pt>
                <c:pt idx="740">
                  <c:v>45149</c:v>
                </c:pt>
                <c:pt idx="741">
                  <c:v>45148</c:v>
                </c:pt>
                <c:pt idx="742">
                  <c:v>45147</c:v>
                </c:pt>
                <c:pt idx="743">
                  <c:v>45146</c:v>
                </c:pt>
                <c:pt idx="744">
                  <c:v>45145</c:v>
                </c:pt>
                <c:pt idx="745">
                  <c:v>45142</c:v>
                </c:pt>
                <c:pt idx="746">
                  <c:v>45141</c:v>
                </c:pt>
                <c:pt idx="747">
                  <c:v>45140</c:v>
                </c:pt>
                <c:pt idx="748">
                  <c:v>45139</c:v>
                </c:pt>
                <c:pt idx="749">
                  <c:v>45138</c:v>
                </c:pt>
                <c:pt idx="750">
                  <c:v>45135</c:v>
                </c:pt>
                <c:pt idx="751">
                  <c:v>45134</c:v>
                </c:pt>
                <c:pt idx="752">
                  <c:v>45133</c:v>
                </c:pt>
                <c:pt idx="753">
                  <c:v>45132</c:v>
                </c:pt>
                <c:pt idx="754">
                  <c:v>45131</c:v>
                </c:pt>
                <c:pt idx="755">
                  <c:v>45128</c:v>
                </c:pt>
                <c:pt idx="756">
                  <c:v>45127</c:v>
                </c:pt>
                <c:pt idx="757">
                  <c:v>45126</c:v>
                </c:pt>
                <c:pt idx="758">
                  <c:v>45125</c:v>
                </c:pt>
                <c:pt idx="759">
                  <c:v>45124</c:v>
                </c:pt>
                <c:pt idx="760">
                  <c:v>45121</c:v>
                </c:pt>
                <c:pt idx="761">
                  <c:v>45120</c:v>
                </c:pt>
                <c:pt idx="762">
                  <c:v>45119</c:v>
                </c:pt>
                <c:pt idx="763">
                  <c:v>45118</c:v>
                </c:pt>
                <c:pt idx="764">
                  <c:v>45117</c:v>
                </c:pt>
                <c:pt idx="765">
                  <c:v>45114</c:v>
                </c:pt>
                <c:pt idx="766">
                  <c:v>45113</c:v>
                </c:pt>
                <c:pt idx="767">
                  <c:v>45112</c:v>
                </c:pt>
                <c:pt idx="768">
                  <c:v>45111</c:v>
                </c:pt>
                <c:pt idx="769">
                  <c:v>45110</c:v>
                </c:pt>
                <c:pt idx="770">
                  <c:v>45107</c:v>
                </c:pt>
                <c:pt idx="771">
                  <c:v>45106</c:v>
                </c:pt>
                <c:pt idx="772">
                  <c:v>45105</c:v>
                </c:pt>
                <c:pt idx="773">
                  <c:v>45104</c:v>
                </c:pt>
                <c:pt idx="774">
                  <c:v>45103</c:v>
                </c:pt>
                <c:pt idx="775">
                  <c:v>45100</c:v>
                </c:pt>
                <c:pt idx="776">
                  <c:v>45099</c:v>
                </c:pt>
                <c:pt idx="777">
                  <c:v>45098</c:v>
                </c:pt>
                <c:pt idx="778">
                  <c:v>45097</c:v>
                </c:pt>
                <c:pt idx="779">
                  <c:v>45096</c:v>
                </c:pt>
                <c:pt idx="780">
                  <c:v>45093</c:v>
                </c:pt>
                <c:pt idx="781">
                  <c:v>45092</c:v>
                </c:pt>
                <c:pt idx="782">
                  <c:v>45091</c:v>
                </c:pt>
                <c:pt idx="783">
                  <c:v>45090</c:v>
                </c:pt>
                <c:pt idx="784">
                  <c:v>45089</c:v>
                </c:pt>
                <c:pt idx="785">
                  <c:v>45086</c:v>
                </c:pt>
                <c:pt idx="786">
                  <c:v>45085</c:v>
                </c:pt>
                <c:pt idx="787">
                  <c:v>45084</c:v>
                </c:pt>
                <c:pt idx="788">
                  <c:v>45083</c:v>
                </c:pt>
                <c:pt idx="789">
                  <c:v>45082</c:v>
                </c:pt>
                <c:pt idx="790">
                  <c:v>45079</c:v>
                </c:pt>
                <c:pt idx="791">
                  <c:v>45078</c:v>
                </c:pt>
                <c:pt idx="792">
                  <c:v>45077</c:v>
                </c:pt>
                <c:pt idx="793">
                  <c:v>45076</c:v>
                </c:pt>
                <c:pt idx="794">
                  <c:v>45075</c:v>
                </c:pt>
                <c:pt idx="795">
                  <c:v>45072</c:v>
                </c:pt>
                <c:pt idx="796">
                  <c:v>45071</c:v>
                </c:pt>
                <c:pt idx="797">
                  <c:v>45070</c:v>
                </c:pt>
                <c:pt idx="798">
                  <c:v>45069</c:v>
                </c:pt>
                <c:pt idx="799">
                  <c:v>45068</c:v>
                </c:pt>
                <c:pt idx="800">
                  <c:v>45065</c:v>
                </c:pt>
                <c:pt idx="801">
                  <c:v>45064</c:v>
                </c:pt>
                <c:pt idx="802">
                  <c:v>45063</c:v>
                </c:pt>
                <c:pt idx="803">
                  <c:v>45062</c:v>
                </c:pt>
                <c:pt idx="804">
                  <c:v>45061</c:v>
                </c:pt>
                <c:pt idx="805">
                  <c:v>45058</c:v>
                </c:pt>
                <c:pt idx="806">
                  <c:v>45057</c:v>
                </c:pt>
                <c:pt idx="807">
                  <c:v>45056</c:v>
                </c:pt>
                <c:pt idx="808">
                  <c:v>45055</c:v>
                </c:pt>
                <c:pt idx="809">
                  <c:v>45054</c:v>
                </c:pt>
                <c:pt idx="810">
                  <c:v>45051</c:v>
                </c:pt>
                <c:pt idx="811">
                  <c:v>45050</c:v>
                </c:pt>
                <c:pt idx="812">
                  <c:v>45049</c:v>
                </c:pt>
                <c:pt idx="813">
                  <c:v>45048</c:v>
                </c:pt>
                <c:pt idx="814">
                  <c:v>45047</c:v>
                </c:pt>
                <c:pt idx="815">
                  <c:v>45044</c:v>
                </c:pt>
                <c:pt idx="816">
                  <c:v>45043</c:v>
                </c:pt>
                <c:pt idx="817">
                  <c:v>45042</c:v>
                </c:pt>
                <c:pt idx="818">
                  <c:v>45041</c:v>
                </c:pt>
                <c:pt idx="819">
                  <c:v>45040</c:v>
                </c:pt>
                <c:pt idx="820">
                  <c:v>45037</c:v>
                </c:pt>
                <c:pt idx="821">
                  <c:v>45036</c:v>
                </c:pt>
                <c:pt idx="822">
                  <c:v>45035</c:v>
                </c:pt>
                <c:pt idx="823">
                  <c:v>45034</c:v>
                </c:pt>
                <c:pt idx="824">
                  <c:v>45033</c:v>
                </c:pt>
                <c:pt idx="825">
                  <c:v>45030</c:v>
                </c:pt>
                <c:pt idx="826">
                  <c:v>45029</c:v>
                </c:pt>
                <c:pt idx="827">
                  <c:v>45028</c:v>
                </c:pt>
                <c:pt idx="828">
                  <c:v>45027</c:v>
                </c:pt>
                <c:pt idx="829">
                  <c:v>45026</c:v>
                </c:pt>
                <c:pt idx="830">
                  <c:v>45023</c:v>
                </c:pt>
                <c:pt idx="831">
                  <c:v>45022</c:v>
                </c:pt>
                <c:pt idx="832">
                  <c:v>45021</c:v>
                </c:pt>
                <c:pt idx="833">
                  <c:v>45020</c:v>
                </c:pt>
                <c:pt idx="834">
                  <c:v>45019</c:v>
                </c:pt>
                <c:pt idx="835">
                  <c:v>45016</c:v>
                </c:pt>
                <c:pt idx="836">
                  <c:v>45015</c:v>
                </c:pt>
                <c:pt idx="837">
                  <c:v>45014</c:v>
                </c:pt>
                <c:pt idx="838">
                  <c:v>45013</c:v>
                </c:pt>
                <c:pt idx="839">
                  <c:v>45012</c:v>
                </c:pt>
                <c:pt idx="840">
                  <c:v>45009</c:v>
                </c:pt>
                <c:pt idx="841">
                  <c:v>45008</c:v>
                </c:pt>
                <c:pt idx="842">
                  <c:v>45007</c:v>
                </c:pt>
                <c:pt idx="843">
                  <c:v>45006</c:v>
                </c:pt>
                <c:pt idx="844">
                  <c:v>45005</c:v>
                </c:pt>
                <c:pt idx="845">
                  <c:v>45002</c:v>
                </c:pt>
                <c:pt idx="846">
                  <c:v>45001</c:v>
                </c:pt>
                <c:pt idx="847">
                  <c:v>45000</c:v>
                </c:pt>
                <c:pt idx="848">
                  <c:v>44999</c:v>
                </c:pt>
                <c:pt idx="849">
                  <c:v>44998</c:v>
                </c:pt>
                <c:pt idx="850">
                  <c:v>44995</c:v>
                </c:pt>
                <c:pt idx="851">
                  <c:v>44994</c:v>
                </c:pt>
                <c:pt idx="852">
                  <c:v>44993</c:v>
                </c:pt>
                <c:pt idx="853">
                  <c:v>44992</c:v>
                </c:pt>
                <c:pt idx="854">
                  <c:v>44991</c:v>
                </c:pt>
                <c:pt idx="855">
                  <c:v>44988</c:v>
                </c:pt>
                <c:pt idx="856">
                  <c:v>44987</c:v>
                </c:pt>
                <c:pt idx="857">
                  <c:v>44986</c:v>
                </c:pt>
                <c:pt idx="858">
                  <c:v>44985</c:v>
                </c:pt>
                <c:pt idx="859">
                  <c:v>44984</c:v>
                </c:pt>
                <c:pt idx="860">
                  <c:v>44981</c:v>
                </c:pt>
                <c:pt idx="861">
                  <c:v>44980</c:v>
                </c:pt>
                <c:pt idx="862">
                  <c:v>44979</c:v>
                </c:pt>
                <c:pt idx="863">
                  <c:v>44978</c:v>
                </c:pt>
                <c:pt idx="864">
                  <c:v>44977</c:v>
                </c:pt>
                <c:pt idx="865">
                  <c:v>44974</c:v>
                </c:pt>
                <c:pt idx="866">
                  <c:v>44973</c:v>
                </c:pt>
                <c:pt idx="867">
                  <c:v>44972</c:v>
                </c:pt>
                <c:pt idx="868">
                  <c:v>44971</c:v>
                </c:pt>
                <c:pt idx="869">
                  <c:v>44970</c:v>
                </c:pt>
                <c:pt idx="870">
                  <c:v>44967</c:v>
                </c:pt>
                <c:pt idx="871">
                  <c:v>44966</c:v>
                </c:pt>
                <c:pt idx="872">
                  <c:v>44965</c:v>
                </c:pt>
                <c:pt idx="873">
                  <c:v>44964</c:v>
                </c:pt>
                <c:pt idx="874">
                  <c:v>44963</c:v>
                </c:pt>
                <c:pt idx="875">
                  <c:v>44960</c:v>
                </c:pt>
                <c:pt idx="876">
                  <c:v>44959</c:v>
                </c:pt>
                <c:pt idx="877">
                  <c:v>44958</c:v>
                </c:pt>
                <c:pt idx="878">
                  <c:v>44957</c:v>
                </c:pt>
                <c:pt idx="879">
                  <c:v>44956</c:v>
                </c:pt>
                <c:pt idx="880">
                  <c:v>44953</c:v>
                </c:pt>
                <c:pt idx="881">
                  <c:v>44952</c:v>
                </c:pt>
                <c:pt idx="882">
                  <c:v>44951</c:v>
                </c:pt>
                <c:pt idx="883">
                  <c:v>44950</c:v>
                </c:pt>
                <c:pt idx="884">
                  <c:v>44949</c:v>
                </c:pt>
                <c:pt idx="885">
                  <c:v>44946</c:v>
                </c:pt>
                <c:pt idx="886">
                  <c:v>44945</c:v>
                </c:pt>
                <c:pt idx="887">
                  <c:v>44944</c:v>
                </c:pt>
                <c:pt idx="888">
                  <c:v>44943</c:v>
                </c:pt>
                <c:pt idx="889">
                  <c:v>44942</c:v>
                </c:pt>
                <c:pt idx="890">
                  <c:v>44939</c:v>
                </c:pt>
                <c:pt idx="891">
                  <c:v>44938</c:v>
                </c:pt>
                <c:pt idx="892">
                  <c:v>44937</c:v>
                </c:pt>
                <c:pt idx="893">
                  <c:v>44936</c:v>
                </c:pt>
                <c:pt idx="894">
                  <c:v>44935</c:v>
                </c:pt>
                <c:pt idx="895">
                  <c:v>44932</c:v>
                </c:pt>
                <c:pt idx="896">
                  <c:v>44931</c:v>
                </c:pt>
                <c:pt idx="897">
                  <c:v>44930</c:v>
                </c:pt>
                <c:pt idx="898">
                  <c:v>44929</c:v>
                </c:pt>
                <c:pt idx="899">
                  <c:v>44928</c:v>
                </c:pt>
                <c:pt idx="900">
                  <c:v>44925</c:v>
                </c:pt>
                <c:pt idx="901">
                  <c:v>44924</c:v>
                </c:pt>
                <c:pt idx="902">
                  <c:v>44923</c:v>
                </c:pt>
                <c:pt idx="903">
                  <c:v>44922</c:v>
                </c:pt>
                <c:pt idx="904">
                  <c:v>44921</c:v>
                </c:pt>
                <c:pt idx="905">
                  <c:v>44918</c:v>
                </c:pt>
                <c:pt idx="906">
                  <c:v>44917</c:v>
                </c:pt>
                <c:pt idx="907">
                  <c:v>44916</c:v>
                </c:pt>
                <c:pt idx="908">
                  <c:v>44915</c:v>
                </c:pt>
                <c:pt idx="909">
                  <c:v>44914</c:v>
                </c:pt>
                <c:pt idx="910">
                  <c:v>44911</c:v>
                </c:pt>
                <c:pt idx="911">
                  <c:v>44910</c:v>
                </c:pt>
                <c:pt idx="912">
                  <c:v>44909</c:v>
                </c:pt>
                <c:pt idx="913">
                  <c:v>44908</c:v>
                </c:pt>
                <c:pt idx="914">
                  <c:v>44907</c:v>
                </c:pt>
                <c:pt idx="915">
                  <c:v>44904</c:v>
                </c:pt>
                <c:pt idx="916">
                  <c:v>44903</c:v>
                </c:pt>
                <c:pt idx="917">
                  <c:v>44902</c:v>
                </c:pt>
                <c:pt idx="918">
                  <c:v>44901</c:v>
                </c:pt>
                <c:pt idx="919">
                  <c:v>44900</c:v>
                </c:pt>
                <c:pt idx="920">
                  <c:v>44897</c:v>
                </c:pt>
                <c:pt idx="921">
                  <c:v>44896</c:v>
                </c:pt>
                <c:pt idx="922">
                  <c:v>44895</c:v>
                </c:pt>
                <c:pt idx="923">
                  <c:v>44894</c:v>
                </c:pt>
                <c:pt idx="924">
                  <c:v>44893</c:v>
                </c:pt>
                <c:pt idx="925">
                  <c:v>44890</c:v>
                </c:pt>
                <c:pt idx="926">
                  <c:v>44889</c:v>
                </c:pt>
                <c:pt idx="927">
                  <c:v>44888</c:v>
                </c:pt>
                <c:pt idx="928">
                  <c:v>44887</c:v>
                </c:pt>
                <c:pt idx="929">
                  <c:v>44886</c:v>
                </c:pt>
                <c:pt idx="930">
                  <c:v>44883</c:v>
                </c:pt>
                <c:pt idx="931">
                  <c:v>44882</c:v>
                </c:pt>
                <c:pt idx="932">
                  <c:v>44881</c:v>
                </c:pt>
                <c:pt idx="933">
                  <c:v>44880</c:v>
                </c:pt>
                <c:pt idx="934">
                  <c:v>44879</c:v>
                </c:pt>
                <c:pt idx="935">
                  <c:v>44876</c:v>
                </c:pt>
                <c:pt idx="936">
                  <c:v>44875</c:v>
                </c:pt>
                <c:pt idx="937">
                  <c:v>44874</c:v>
                </c:pt>
                <c:pt idx="938">
                  <c:v>44873</c:v>
                </c:pt>
                <c:pt idx="939">
                  <c:v>44872</c:v>
                </c:pt>
                <c:pt idx="940">
                  <c:v>44869</c:v>
                </c:pt>
                <c:pt idx="941">
                  <c:v>44868</c:v>
                </c:pt>
                <c:pt idx="942">
                  <c:v>44867</c:v>
                </c:pt>
                <c:pt idx="943">
                  <c:v>44866</c:v>
                </c:pt>
                <c:pt idx="944">
                  <c:v>44865</c:v>
                </c:pt>
                <c:pt idx="945">
                  <c:v>44862</c:v>
                </c:pt>
                <c:pt idx="946">
                  <c:v>44861</c:v>
                </c:pt>
                <c:pt idx="947">
                  <c:v>44860</c:v>
                </c:pt>
                <c:pt idx="948">
                  <c:v>44859</c:v>
                </c:pt>
                <c:pt idx="949">
                  <c:v>44858</c:v>
                </c:pt>
                <c:pt idx="950">
                  <c:v>44855</c:v>
                </c:pt>
                <c:pt idx="951">
                  <c:v>44854</c:v>
                </c:pt>
                <c:pt idx="952">
                  <c:v>44853</c:v>
                </c:pt>
                <c:pt idx="953">
                  <c:v>44852</c:v>
                </c:pt>
                <c:pt idx="954">
                  <c:v>44851</c:v>
                </c:pt>
                <c:pt idx="955">
                  <c:v>44848</c:v>
                </c:pt>
                <c:pt idx="956">
                  <c:v>44847</c:v>
                </c:pt>
                <c:pt idx="957">
                  <c:v>44846</c:v>
                </c:pt>
                <c:pt idx="958">
                  <c:v>44845</c:v>
                </c:pt>
                <c:pt idx="959">
                  <c:v>44844</c:v>
                </c:pt>
                <c:pt idx="960">
                  <c:v>44841</c:v>
                </c:pt>
                <c:pt idx="961">
                  <c:v>44840</c:v>
                </c:pt>
                <c:pt idx="962">
                  <c:v>44839</c:v>
                </c:pt>
                <c:pt idx="963">
                  <c:v>44838</c:v>
                </c:pt>
                <c:pt idx="964">
                  <c:v>44837</c:v>
                </c:pt>
                <c:pt idx="965">
                  <c:v>44834</c:v>
                </c:pt>
                <c:pt idx="966">
                  <c:v>44833</c:v>
                </c:pt>
                <c:pt idx="967">
                  <c:v>44832</c:v>
                </c:pt>
                <c:pt idx="968">
                  <c:v>44831</c:v>
                </c:pt>
                <c:pt idx="969">
                  <c:v>44830</c:v>
                </c:pt>
                <c:pt idx="970">
                  <c:v>44827</c:v>
                </c:pt>
                <c:pt idx="971">
                  <c:v>44826</c:v>
                </c:pt>
                <c:pt idx="972">
                  <c:v>44825</c:v>
                </c:pt>
                <c:pt idx="973">
                  <c:v>44824</c:v>
                </c:pt>
                <c:pt idx="974">
                  <c:v>44823</c:v>
                </c:pt>
                <c:pt idx="975">
                  <c:v>44820</c:v>
                </c:pt>
                <c:pt idx="976">
                  <c:v>44819</c:v>
                </c:pt>
                <c:pt idx="977">
                  <c:v>44818</c:v>
                </c:pt>
                <c:pt idx="978">
                  <c:v>44817</c:v>
                </c:pt>
                <c:pt idx="979">
                  <c:v>44816</c:v>
                </c:pt>
                <c:pt idx="980">
                  <c:v>44813</c:v>
                </c:pt>
                <c:pt idx="981">
                  <c:v>44812</c:v>
                </c:pt>
                <c:pt idx="982">
                  <c:v>44811</c:v>
                </c:pt>
                <c:pt idx="983">
                  <c:v>44810</c:v>
                </c:pt>
                <c:pt idx="984">
                  <c:v>44809</c:v>
                </c:pt>
                <c:pt idx="985">
                  <c:v>44806</c:v>
                </c:pt>
                <c:pt idx="986">
                  <c:v>44805</c:v>
                </c:pt>
                <c:pt idx="987">
                  <c:v>44804</c:v>
                </c:pt>
                <c:pt idx="988">
                  <c:v>44803</c:v>
                </c:pt>
                <c:pt idx="989">
                  <c:v>44802</c:v>
                </c:pt>
                <c:pt idx="990">
                  <c:v>44799</c:v>
                </c:pt>
                <c:pt idx="991">
                  <c:v>44798</c:v>
                </c:pt>
                <c:pt idx="992">
                  <c:v>44797</c:v>
                </c:pt>
                <c:pt idx="993">
                  <c:v>44796</c:v>
                </c:pt>
                <c:pt idx="994">
                  <c:v>44795</c:v>
                </c:pt>
                <c:pt idx="995">
                  <c:v>44792</c:v>
                </c:pt>
                <c:pt idx="996">
                  <c:v>44791</c:v>
                </c:pt>
                <c:pt idx="997">
                  <c:v>44790</c:v>
                </c:pt>
                <c:pt idx="998">
                  <c:v>44789</c:v>
                </c:pt>
                <c:pt idx="999">
                  <c:v>44788</c:v>
                </c:pt>
                <c:pt idx="1000">
                  <c:v>44785</c:v>
                </c:pt>
                <c:pt idx="1001">
                  <c:v>44784</c:v>
                </c:pt>
                <c:pt idx="1002">
                  <c:v>44783</c:v>
                </c:pt>
                <c:pt idx="1003">
                  <c:v>44782</c:v>
                </c:pt>
                <c:pt idx="1004">
                  <c:v>44781</c:v>
                </c:pt>
                <c:pt idx="1005">
                  <c:v>44778</c:v>
                </c:pt>
                <c:pt idx="1006">
                  <c:v>44777</c:v>
                </c:pt>
                <c:pt idx="1007">
                  <c:v>44776</c:v>
                </c:pt>
                <c:pt idx="1008">
                  <c:v>44775</c:v>
                </c:pt>
                <c:pt idx="1009">
                  <c:v>44774</c:v>
                </c:pt>
                <c:pt idx="1010">
                  <c:v>44771</c:v>
                </c:pt>
                <c:pt idx="1011">
                  <c:v>44770</c:v>
                </c:pt>
                <c:pt idx="1012">
                  <c:v>44769</c:v>
                </c:pt>
                <c:pt idx="1013">
                  <c:v>44768</c:v>
                </c:pt>
                <c:pt idx="1014">
                  <c:v>44767</c:v>
                </c:pt>
                <c:pt idx="1015">
                  <c:v>44764</c:v>
                </c:pt>
                <c:pt idx="1016">
                  <c:v>44763</c:v>
                </c:pt>
                <c:pt idx="1017">
                  <c:v>44762</c:v>
                </c:pt>
                <c:pt idx="1018">
                  <c:v>44761</c:v>
                </c:pt>
                <c:pt idx="1019">
                  <c:v>44760</c:v>
                </c:pt>
                <c:pt idx="1020">
                  <c:v>44757</c:v>
                </c:pt>
                <c:pt idx="1021">
                  <c:v>44756</c:v>
                </c:pt>
                <c:pt idx="1022">
                  <c:v>44755</c:v>
                </c:pt>
                <c:pt idx="1023">
                  <c:v>44754</c:v>
                </c:pt>
                <c:pt idx="1024">
                  <c:v>44753</c:v>
                </c:pt>
                <c:pt idx="1025">
                  <c:v>44750</c:v>
                </c:pt>
                <c:pt idx="1026">
                  <c:v>44749</c:v>
                </c:pt>
                <c:pt idx="1027">
                  <c:v>44748</c:v>
                </c:pt>
                <c:pt idx="1028">
                  <c:v>44747</c:v>
                </c:pt>
                <c:pt idx="1029">
                  <c:v>44746</c:v>
                </c:pt>
                <c:pt idx="1030">
                  <c:v>44743</c:v>
                </c:pt>
                <c:pt idx="1031">
                  <c:v>44742</c:v>
                </c:pt>
                <c:pt idx="1032">
                  <c:v>44741</c:v>
                </c:pt>
                <c:pt idx="1033">
                  <c:v>44740</c:v>
                </c:pt>
                <c:pt idx="1034">
                  <c:v>44739</c:v>
                </c:pt>
                <c:pt idx="1035">
                  <c:v>44736</c:v>
                </c:pt>
                <c:pt idx="1036">
                  <c:v>44735</c:v>
                </c:pt>
                <c:pt idx="1037">
                  <c:v>44734</c:v>
                </c:pt>
                <c:pt idx="1038">
                  <c:v>44733</c:v>
                </c:pt>
                <c:pt idx="1039">
                  <c:v>44732</c:v>
                </c:pt>
                <c:pt idx="1040">
                  <c:v>44729</c:v>
                </c:pt>
                <c:pt idx="1041">
                  <c:v>44728</c:v>
                </c:pt>
                <c:pt idx="1042">
                  <c:v>44727</c:v>
                </c:pt>
                <c:pt idx="1043">
                  <c:v>44726</c:v>
                </c:pt>
                <c:pt idx="1044">
                  <c:v>44725</c:v>
                </c:pt>
                <c:pt idx="1045">
                  <c:v>44722</c:v>
                </c:pt>
                <c:pt idx="1046">
                  <c:v>44721</c:v>
                </c:pt>
                <c:pt idx="1047">
                  <c:v>44720</c:v>
                </c:pt>
                <c:pt idx="1048">
                  <c:v>44719</c:v>
                </c:pt>
                <c:pt idx="1049">
                  <c:v>44718</c:v>
                </c:pt>
                <c:pt idx="1050">
                  <c:v>44715</c:v>
                </c:pt>
                <c:pt idx="1051">
                  <c:v>44714</c:v>
                </c:pt>
                <c:pt idx="1052">
                  <c:v>44713</c:v>
                </c:pt>
                <c:pt idx="1053">
                  <c:v>44712</c:v>
                </c:pt>
                <c:pt idx="1054">
                  <c:v>44711</c:v>
                </c:pt>
                <c:pt idx="1055">
                  <c:v>44708</c:v>
                </c:pt>
                <c:pt idx="1056">
                  <c:v>44707</c:v>
                </c:pt>
                <c:pt idx="1057">
                  <c:v>44706</c:v>
                </c:pt>
                <c:pt idx="1058">
                  <c:v>44705</c:v>
                </c:pt>
                <c:pt idx="1059">
                  <c:v>44704</c:v>
                </c:pt>
                <c:pt idx="1060">
                  <c:v>44701</c:v>
                </c:pt>
                <c:pt idx="1061">
                  <c:v>44700</c:v>
                </c:pt>
                <c:pt idx="1062">
                  <c:v>44699</c:v>
                </c:pt>
                <c:pt idx="1063">
                  <c:v>44698</c:v>
                </c:pt>
                <c:pt idx="1064">
                  <c:v>44697</c:v>
                </c:pt>
                <c:pt idx="1065">
                  <c:v>44694</c:v>
                </c:pt>
                <c:pt idx="1066">
                  <c:v>44693</c:v>
                </c:pt>
                <c:pt idx="1067">
                  <c:v>44692</c:v>
                </c:pt>
                <c:pt idx="1068">
                  <c:v>44691</c:v>
                </c:pt>
                <c:pt idx="1069">
                  <c:v>44690</c:v>
                </c:pt>
                <c:pt idx="1070">
                  <c:v>44687</c:v>
                </c:pt>
                <c:pt idx="1071">
                  <c:v>44686</c:v>
                </c:pt>
                <c:pt idx="1072">
                  <c:v>44685</c:v>
                </c:pt>
                <c:pt idx="1073">
                  <c:v>44684</c:v>
                </c:pt>
                <c:pt idx="1074">
                  <c:v>44683</c:v>
                </c:pt>
                <c:pt idx="1075">
                  <c:v>44680</c:v>
                </c:pt>
                <c:pt idx="1076">
                  <c:v>44679</c:v>
                </c:pt>
                <c:pt idx="1077">
                  <c:v>44678</c:v>
                </c:pt>
                <c:pt idx="1078">
                  <c:v>44677</c:v>
                </c:pt>
                <c:pt idx="1079">
                  <c:v>44676</c:v>
                </c:pt>
                <c:pt idx="1080">
                  <c:v>44673</c:v>
                </c:pt>
                <c:pt idx="1081">
                  <c:v>44672</c:v>
                </c:pt>
                <c:pt idx="1082">
                  <c:v>44671</c:v>
                </c:pt>
                <c:pt idx="1083">
                  <c:v>44670</c:v>
                </c:pt>
                <c:pt idx="1084">
                  <c:v>44669</c:v>
                </c:pt>
                <c:pt idx="1085">
                  <c:v>44666</c:v>
                </c:pt>
                <c:pt idx="1086">
                  <c:v>44665</c:v>
                </c:pt>
                <c:pt idx="1087">
                  <c:v>44664</c:v>
                </c:pt>
                <c:pt idx="1088">
                  <c:v>44663</c:v>
                </c:pt>
                <c:pt idx="1089">
                  <c:v>44662</c:v>
                </c:pt>
                <c:pt idx="1090">
                  <c:v>44659</c:v>
                </c:pt>
                <c:pt idx="1091">
                  <c:v>44658</c:v>
                </c:pt>
                <c:pt idx="1092">
                  <c:v>44657</c:v>
                </c:pt>
                <c:pt idx="1093">
                  <c:v>44656</c:v>
                </c:pt>
                <c:pt idx="1094">
                  <c:v>44655</c:v>
                </c:pt>
                <c:pt idx="1095">
                  <c:v>44652</c:v>
                </c:pt>
                <c:pt idx="1096">
                  <c:v>44651</c:v>
                </c:pt>
                <c:pt idx="1097">
                  <c:v>44650</c:v>
                </c:pt>
                <c:pt idx="1098">
                  <c:v>44649</c:v>
                </c:pt>
                <c:pt idx="1099">
                  <c:v>44648</c:v>
                </c:pt>
                <c:pt idx="1100">
                  <c:v>44645</c:v>
                </c:pt>
                <c:pt idx="1101">
                  <c:v>44644</c:v>
                </c:pt>
                <c:pt idx="1102">
                  <c:v>44643</c:v>
                </c:pt>
                <c:pt idx="1103">
                  <c:v>44642</c:v>
                </c:pt>
                <c:pt idx="1104">
                  <c:v>44641</c:v>
                </c:pt>
                <c:pt idx="1105">
                  <c:v>44638</c:v>
                </c:pt>
                <c:pt idx="1106">
                  <c:v>44637</c:v>
                </c:pt>
                <c:pt idx="1107">
                  <c:v>44636</c:v>
                </c:pt>
                <c:pt idx="1108">
                  <c:v>44635</c:v>
                </c:pt>
                <c:pt idx="1109">
                  <c:v>44634</c:v>
                </c:pt>
                <c:pt idx="1110">
                  <c:v>44631</c:v>
                </c:pt>
                <c:pt idx="1111">
                  <c:v>44630</c:v>
                </c:pt>
                <c:pt idx="1112">
                  <c:v>44629</c:v>
                </c:pt>
                <c:pt idx="1113">
                  <c:v>44628</c:v>
                </c:pt>
                <c:pt idx="1114">
                  <c:v>44627</c:v>
                </c:pt>
                <c:pt idx="1115">
                  <c:v>44624</c:v>
                </c:pt>
                <c:pt idx="1116">
                  <c:v>44623</c:v>
                </c:pt>
                <c:pt idx="1117">
                  <c:v>44622</c:v>
                </c:pt>
                <c:pt idx="1118">
                  <c:v>44621</c:v>
                </c:pt>
                <c:pt idx="1119">
                  <c:v>44620</c:v>
                </c:pt>
                <c:pt idx="1120">
                  <c:v>44617</c:v>
                </c:pt>
                <c:pt idx="1121">
                  <c:v>44616</c:v>
                </c:pt>
                <c:pt idx="1122">
                  <c:v>44615</c:v>
                </c:pt>
                <c:pt idx="1123">
                  <c:v>44614</c:v>
                </c:pt>
                <c:pt idx="1124">
                  <c:v>44613</c:v>
                </c:pt>
                <c:pt idx="1125">
                  <c:v>44610</c:v>
                </c:pt>
                <c:pt idx="1126">
                  <c:v>44609</c:v>
                </c:pt>
                <c:pt idx="1127">
                  <c:v>44608</c:v>
                </c:pt>
                <c:pt idx="1128">
                  <c:v>44607</c:v>
                </c:pt>
                <c:pt idx="1129">
                  <c:v>44606</c:v>
                </c:pt>
                <c:pt idx="1130">
                  <c:v>44603</c:v>
                </c:pt>
                <c:pt idx="1131">
                  <c:v>44602</c:v>
                </c:pt>
                <c:pt idx="1132">
                  <c:v>44601</c:v>
                </c:pt>
                <c:pt idx="1133">
                  <c:v>44600</c:v>
                </c:pt>
                <c:pt idx="1134">
                  <c:v>44599</c:v>
                </c:pt>
                <c:pt idx="1135">
                  <c:v>44596</c:v>
                </c:pt>
                <c:pt idx="1136">
                  <c:v>44595</c:v>
                </c:pt>
                <c:pt idx="1137">
                  <c:v>44594</c:v>
                </c:pt>
                <c:pt idx="1138">
                  <c:v>44593</c:v>
                </c:pt>
                <c:pt idx="1139">
                  <c:v>44592</c:v>
                </c:pt>
                <c:pt idx="1140">
                  <c:v>44589</c:v>
                </c:pt>
                <c:pt idx="1141">
                  <c:v>44588</c:v>
                </c:pt>
                <c:pt idx="1142">
                  <c:v>44587</c:v>
                </c:pt>
                <c:pt idx="1143">
                  <c:v>44586</c:v>
                </c:pt>
                <c:pt idx="1144">
                  <c:v>44585</c:v>
                </c:pt>
                <c:pt idx="1145">
                  <c:v>44582</c:v>
                </c:pt>
                <c:pt idx="1146">
                  <c:v>44581</c:v>
                </c:pt>
                <c:pt idx="1147">
                  <c:v>44580</c:v>
                </c:pt>
                <c:pt idx="1148">
                  <c:v>44579</c:v>
                </c:pt>
                <c:pt idx="1149">
                  <c:v>44578</c:v>
                </c:pt>
                <c:pt idx="1150">
                  <c:v>44575</c:v>
                </c:pt>
                <c:pt idx="1151">
                  <c:v>44574</c:v>
                </c:pt>
                <c:pt idx="1152">
                  <c:v>44573</c:v>
                </c:pt>
                <c:pt idx="1153">
                  <c:v>44572</c:v>
                </c:pt>
                <c:pt idx="1154">
                  <c:v>44571</c:v>
                </c:pt>
                <c:pt idx="1155">
                  <c:v>44568</c:v>
                </c:pt>
                <c:pt idx="1156">
                  <c:v>44567</c:v>
                </c:pt>
                <c:pt idx="1157">
                  <c:v>44566</c:v>
                </c:pt>
                <c:pt idx="1158">
                  <c:v>44565</c:v>
                </c:pt>
                <c:pt idx="1159">
                  <c:v>44564</c:v>
                </c:pt>
                <c:pt idx="1160">
                  <c:v>44561</c:v>
                </c:pt>
                <c:pt idx="1161">
                  <c:v>44560</c:v>
                </c:pt>
                <c:pt idx="1162">
                  <c:v>44559</c:v>
                </c:pt>
                <c:pt idx="1163">
                  <c:v>44558</c:v>
                </c:pt>
                <c:pt idx="1164">
                  <c:v>44557</c:v>
                </c:pt>
                <c:pt idx="1165">
                  <c:v>44554</c:v>
                </c:pt>
                <c:pt idx="1166">
                  <c:v>44553</c:v>
                </c:pt>
                <c:pt idx="1167">
                  <c:v>44552</c:v>
                </c:pt>
                <c:pt idx="1168">
                  <c:v>44551</c:v>
                </c:pt>
                <c:pt idx="1169">
                  <c:v>44550</c:v>
                </c:pt>
                <c:pt idx="1170">
                  <c:v>44547</c:v>
                </c:pt>
                <c:pt idx="1171">
                  <c:v>44546</c:v>
                </c:pt>
                <c:pt idx="1172">
                  <c:v>44545</c:v>
                </c:pt>
                <c:pt idx="1173">
                  <c:v>44544</c:v>
                </c:pt>
                <c:pt idx="1174">
                  <c:v>44543</c:v>
                </c:pt>
                <c:pt idx="1175">
                  <c:v>44540</c:v>
                </c:pt>
                <c:pt idx="1176">
                  <c:v>44539</c:v>
                </c:pt>
                <c:pt idx="1177">
                  <c:v>44538</c:v>
                </c:pt>
                <c:pt idx="1178">
                  <c:v>44537</c:v>
                </c:pt>
                <c:pt idx="1179">
                  <c:v>44536</c:v>
                </c:pt>
                <c:pt idx="1180">
                  <c:v>44533</c:v>
                </c:pt>
                <c:pt idx="1181">
                  <c:v>44532</c:v>
                </c:pt>
                <c:pt idx="1182">
                  <c:v>44531</c:v>
                </c:pt>
                <c:pt idx="1183">
                  <c:v>44530</c:v>
                </c:pt>
                <c:pt idx="1184">
                  <c:v>44529</c:v>
                </c:pt>
                <c:pt idx="1185">
                  <c:v>44526</c:v>
                </c:pt>
                <c:pt idx="1186">
                  <c:v>44525</c:v>
                </c:pt>
                <c:pt idx="1187">
                  <c:v>44524</c:v>
                </c:pt>
                <c:pt idx="1188">
                  <c:v>44523</c:v>
                </c:pt>
                <c:pt idx="1189">
                  <c:v>44522</c:v>
                </c:pt>
                <c:pt idx="1190">
                  <c:v>44519</c:v>
                </c:pt>
                <c:pt idx="1191">
                  <c:v>44518</c:v>
                </c:pt>
                <c:pt idx="1192">
                  <c:v>44517</c:v>
                </c:pt>
                <c:pt idx="1193">
                  <c:v>44516</c:v>
                </c:pt>
                <c:pt idx="1194">
                  <c:v>44515</c:v>
                </c:pt>
                <c:pt idx="1195">
                  <c:v>44512</c:v>
                </c:pt>
                <c:pt idx="1196">
                  <c:v>44511</c:v>
                </c:pt>
                <c:pt idx="1197">
                  <c:v>44510</c:v>
                </c:pt>
                <c:pt idx="1198">
                  <c:v>44509</c:v>
                </c:pt>
                <c:pt idx="1199">
                  <c:v>44508</c:v>
                </c:pt>
                <c:pt idx="1200">
                  <c:v>44505</c:v>
                </c:pt>
                <c:pt idx="1201">
                  <c:v>44504</c:v>
                </c:pt>
                <c:pt idx="1202">
                  <c:v>44503</c:v>
                </c:pt>
                <c:pt idx="1203">
                  <c:v>44502</c:v>
                </c:pt>
                <c:pt idx="1204">
                  <c:v>44501</c:v>
                </c:pt>
                <c:pt idx="1205">
                  <c:v>44498</c:v>
                </c:pt>
                <c:pt idx="1206">
                  <c:v>44497</c:v>
                </c:pt>
                <c:pt idx="1207">
                  <c:v>44496</c:v>
                </c:pt>
                <c:pt idx="1208">
                  <c:v>44495</c:v>
                </c:pt>
                <c:pt idx="1209">
                  <c:v>44494</c:v>
                </c:pt>
                <c:pt idx="1210">
                  <c:v>44491</c:v>
                </c:pt>
                <c:pt idx="1211">
                  <c:v>44490</c:v>
                </c:pt>
                <c:pt idx="1212">
                  <c:v>44489</c:v>
                </c:pt>
                <c:pt idx="1213">
                  <c:v>44488</c:v>
                </c:pt>
                <c:pt idx="1214">
                  <c:v>44487</c:v>
                </c:pt>
                <c:pt idx="1215">
                  <c:v>44484</c:v>
                </c:pt>
                <c:pt idx="1216">
                  <c:v>44483</c:v>
                </c:pt>
                <c:pt idx="1217">
                  <c:v>44482</c:v>
                </c:pt>
                <c:pt idx="1218">
                  <c:v>44481</c:v>
                </c:pt>
                <c:pt idx="1219">
                  <c:v>44480</c:v>
                </c:pt>
                <c:pt idx="1220">
                  <c:v>44477</c:v>
                </c:pt>
                <c:pt idx="1221">
                  <c:v>44476</c:v>
                </c:pt>
                <c:pt idx="1222">
                  <c:v>44475</c:v>
                </c:pt>
                <c:pt idx="1223">
                  <c:v>44474</c:v>
                </c:pt>
                <c:pt idx="1224">
                  <c:v>44473</c:v>
                </c:pt>
                <c:pt idx="1225">
                  <c:v>44470</c:v>
                </c:pt>
                <c:pt idx="1226">
                  <c:v>44469</c:v>
                </c:pt>
                <c:pt idx="1227">
                  <c:v>44468</c:v>
                </c:pt>
                <c:pt idx="1228">
                  <c:v>44467</c:v>
                </c:pt>
                <c:pt idx="1229">
                  <c:v>44466</c:v>
                </c:pt>
                <c:pt idx="1230">
                  <c:v>44463</c:v>
                </c:pt>
                <c:pt idx="1231">
                  <c:v>44462</c:v>
                </c:pt>
                <c:pt idx="1232">
                  <c:v>44461</c:v>
                </c:pt>
                <c:pt idx="1233">
                  <c:v>44460</c:v>
                </c:pt>
                <c:pt idx="1234">
                  <c:v>44459</c:v>
                </c:pt>
                <c:pt idx="1235">
                  <c:v>44456</c:v>
                </c:pt>
                <c:pt idx="1236">
                  <c:v>44455</c:v>
                </c:pt>
                <c:pt idx="1237">
                  <c:v>44454</c:v>
                </c:pt>
                <c:pt idx="1238">
                  <c:v>44453</c:v>
                </c:pt>
                <c:pt idx="1239">
                  <c:v>44452</c:v>
                </c:pt>
                <c:pt idx="1240">
                  <c:v>44449</c:v>
                </c:pt>
                <c:pt idx="1241">
                  <c:v>44448</c:v>
                </c:pt>
                <c:pt idx="1242">
                  <c:v>44447</c:v>
                </c:pt>
                <c:pt idx="1243">
                  <c:v>44446</c:v>
                </c:pt>
                <c:pt idx="1244">
                  <c:v>44445</c:v>
                </c:pt>
                <c:pt idx="1245">
                  <c:v>44442</c:v>
                </c:pt>
                <c:pt idx="1246">
                  <c:v>44441</c:v>
                </c:pt>
                <c:pt idx="1247">
                  <c:v>44440</c:v>
                </c:pt>
                <c:pt idx="1248">
                  <c:v>44439</c:v>
                </c:pt>
                <c:pt idx="1249">
                  <c:v>44438</c:v>
                </c:pt>
                <c:pt idx="1250">
                  <c:v>44435</c:v>
                </c:pt>
                <c:pt idx="1251">
                  <c:v>44434</c:v>
                </c:pt>
                <c:pt idx="1252">
                  <c:v>44433</c:v>
                </c:pt>
                <c:pt idx="1253">
                  <c:v>44432</c:v>
                </c:pt>
                <c:pt idx="1254">
                  <c:v>44431</c:v>
                </c:pt>
                <c:pt idx="1255">
                  <c:v>44428</c:v>
                </c:pt>
                <c:pt idx="1256">
                  <c:v>44427</c:v>
                </c:pt>
                <c:pt idx="1257">
                  <c:v>44426</c:v>
                </c:pt>
                <c:pt idx="1258">
                  <c:v>44425</c:v>
                </c:pt>
                <c:pt idx="1259">
                  <c:v>44424</c:v>
                </c:pt>
                <c:pt idx="1260">
                  <c:v>44421</c:v>
                </c:pt>
                <c:pt idx="1261">
                  <c:v>44420</c:v>
                </c:pt>
                <c:pt idx="1262">
                  <c:v>44419</c:v>
                </c:pt>
                <c:pt idx="1263">
                  <c:v>44418</c:v>
                </c:pt>
                <c:pt idx="1264">
                  <c:v>44417</c:v>
                </c:pt>
                <c:pt idx="1265">
                  <c:v>44414</c:v>
                </c:pt>
                <c:pt idx="1266">
                  <c:v>44413</c:v>
                </c:pt>
                <c:pt idx="1267">
                  <c:v>44412</c:v>
                </c:pt>
                <c:pt idx="1268">
                  <c:v>44411</c:v>
                </c:pt>
                <c:pt idx="1269">
                  <c:v>44410</c:v>
                </c:pt>
                <c:pt idx="1270">
                  <c:v>44407</c:v>
                </c:pt>
                <c:pt idx="1271">
                  <c:v>44406</c:v>
                </c:pt>
                <c:pt idx="1272">
                  <c:v>44405</c:v>
                </c:pt>
                <c:pt idx="1273">
                  <c:v>44404</c:v>
                </c:pt>
                <c:pt idx="1274">
                  <c:v>44403</c:v>
                </c:pt>
                <c:pt idx="1275">
                  <c:v>44400</c:v>
                </c:pt>
                <c:pt idx="1276">
                  <c:v>44399</c:v>
                </c:pt>
                <c:pt idx="1277">
                  <c:v>44398</c:v>
                </c:pt>
                <c:pt idx="1278">
                  <c:v>44397</c:v>
                </c:pt>
                <c:pt idx="1279">
                  <c:v>44396</c:v>
                </c:pt>
                <c:pt idx="1280">
                  <c:v>44393</c:v>
                </c:pt>
                <c:pt idx="1281">
                  <c:v>44392</c:v>
                </c:pt>
                <c:pt idx="1282">
                  <c:v>44391</c:v>
                </c:pt>
                <c:pt idx="1283">
                  <c:v>44390</c:v>
                </c:pt>
                <c:pt idx="1284">
                  <c:v>44389</c:v>
                </c:pt>
                <c:pt idx="1285">
                  <c:v>44386</c:v>
                </c:pt>
                <c:pt idx="1286">
                  <c:v>44385</c:v>
                </c:pt>
                <c:pt idx="1287">
                  <c:v>44384</c:v>
                </c:pt>
                <c:pt idx="1288">
                  <c:v>44383</c:v>
                </c:pt>
                <c:pt idx="1289">
                  <c:v>44382</c:v>
                </c:pt>
                <c:pt idx="1290">
                  <c:v>44379</c:v>
                </c:pt>
                <c:pt idx="1291">
                  <c:v>44378</c:v>
                </c:pt>
                <c:pt idx="1292">
                  <c:v>44377</c:v>
                </c:pt>
                <c:pt idx="1293">
                  <c:v>44376</c:v>
                </c:pt>
                <c:pt idx="1294">
                  <c:v>44375</c:v>
                </c:pt>
                <c:pt idx="1295">
                  <c:v>44372</c:v>
                </c:pt>
                <c:pt idx="1296">
                  <c:v>44371</c:v>
                </c:pt>
                <c:pt idx="1297">
                  <c:v>44370</c:v>
                </c:pt>
                <c:pt idx="1298">
                  <c:v>44369</c:v>
                </c:pt>
                <c:pt idx="1299">
                  <c:v>44368</c:v>
                </c:pt>
                <c:pt idx="1300">
                  <c:v>44365</c:v>
                </c:pt>
                <c:pt idx="1301">
                  <c:v>44364</c:v>
                </c:pt>
                <c:pt idx="1302">
                  <c:v>44363</c:v>
                </c:pt>
                <c:pt idx="1303">
                  <c:v>44362</c:v>
                </c:pt>
                <c:pt idx="1304">
                  <c:v>44361</c:v>
                </c:pt>
                <c:pt idx="1305">
                  <c:v>44358</c:v>
                </c:pt>
                <c:pt idx="1306">
                  <c:v>44357</c:v>
                </c:pt>
                <c:pt idx="1307">
                  <c:v>44356</c:v>
                </c:pt>
                <c:pt idx="1308">
                  <c:v>44355</c:v>
                </c:pt>
                <c:pt idx="1309">
                  <c:v>44354</c:v>
                </c:pt>
              </c:numCache>
            </c:numRef>
          </c:cat>
          <c:val>
            <c:numRef>
              <c:f>'Graphical Representation'!$W$267:$W$1576</c:f>
              <c:numCache>
                <c:formatCode>General</c:formatCode>
                <c:ptCount val="1310"/>
                <c:pt idx="0">
                  <c:v>34.669800000000002</c:v>
                </c:pt>
                <c:pt idx="1">
                  <c:v>35.099800000000002</c:v>
                </c:pt>
                <c:pt idx="2">
                  <c:v>33.931399999999996</c:v>
                </c:pt>
                <c:pt idx="3">
                  <c:v>33.383499999999998</c:v>
                </c:pt>
                <c:pt idx="4">
                  <c:v>33.389000000000003</c:v>
                </c:pt>
                <c:pt idx="6">
                  <c:v>35.322899999999997</c:v>
                </c:pt>
                <c:pt idx="7">
                  <c:v>35.943399999999997</c:v>
                </c:pt>
                <c:pt idx="8">
                  <c:v>35.879899999999999</c:v>
                </c:pt>
                <c:pt idx="9">
                  <c:v>35.878100000000003</c:v>
                </c:pt>
                <c:pt idx="10">
                  <c:v>35.892600000000002</c:v>
                </c:pt>
                <c:pt idx="11">
                  <c:v>35.413600000000002</c:v>
                </c:pt>
                <c:pt idx="12">
                  <c:v>35.4771</c:v>
                </c:pt>
                <c:pt idx="13">
                  <c:v>35.007300000000001</c:v>
                </c:pt>
                <c:pt idx="14">
                  <c:v>35.676699999999997</c:v>
                </c:pt>
                <c:pt idx="15">
                  <c:v>35.584200000000003</c:v>
                </c:pt>
                <c:pt idx="16">
                  <c:v>35.9071</c:v>
                </c:pt>
                <c:pt idx="17">
                  <c:v>35.747500000000002</c:v>
                </c:pt>
                <c:pt idx="18">
                  <c:v>37.510899999999999</c:v>
                </c:pt>
                <c:pt idx="19">
                  <c:v>39.221699999999998</c:v>
                </c:pt>
                <c:pt idx="20">
                  <c:v>39.6372</c:v>
                </c:pt>
                <c:pt idx="21">
                  <c:v>38.494199999999999</c:v>
                </c:pt>
                <c:pt idx="22">
                  <c:v>37.594299999999997</c:v>
                </c:pt>
                <c:pt idx="23">
                  <c:v>37.6905</c:v>
                </c:pt>
                <c:pt idx="25">
                  <c:v>37.4129</c:v>
                </c:pt>
                <c:pt idx="26">
                  <c:v>37.973500000000001</c:v>
                </c:pt>
                <c:pt idx="27">
                  <c:v>39.406700000000001</c:v>
                </c:pt>
                <c:pt idx="28">
                  <c:v>40.194099999999999</c:v>
                </c:pt>
                <c:pt idx="29">
                  <c:v>38.258299999999998</c:v>
                </c:pt>
                <c:pt idx="30">
                  <c:v>39.147300000000001</c:v>
                </c:pt>
                <c:pt idx="31">
                  <c:v>37.238799999999998</c:v>
                </c:pt>
                <c:pt idx="32">
                  <c:v>37.095399999999998</c:v>
                </c:pt>
                <c:pt idx="33">
                  <c:v>36.797899999999998</c:v>
                </c:pt>
                <c:pt idx="34">
                  <c:v>36.689</c:v>
                </c:pt>
                <c:pt idx="35">
                  <c:v>37.191600000000001</c:v>
                </c:pt>
                <c:pt idx="36">
                  <c:v>36.600099999999998</c:v>
                </c:pt>
                <c:pt idx="38">
                  <c:v>35.041699999999999</c:v>
                </c:pt>
                <c:pt idx="39">
                  <c:v>34.6843</c:v>
                </c:pt>
                <c:pt idx="40">
                  <c:v>33.804400000000001</c:v>
                </c:pt>
                <c:pt idx="41">
                  <c:v>33.209400000000002</c:v>
                </c:pt>
                <c:pt idx="42">
                  <c:v>31.5258</c:v>
                </c:pt>
                <c:pt idx="43">
                  <c:v>31.161100000000001</c:v>
                </c:pt>
                <c:pt idx="45">
                  <c:v>31.7271</c:v>
                </c:pt>
                <c:pt idx="46">
                  <c:v>31.3643</c:v>
                </c:pt>
                <c:pt idx="48">
                  <c:v>29.0947</c:v>
                </c:pt>
                <c:pt idx="49">
                  <c:v>28.232900000000001</c:v>
                </c:pt>
                <c:pt idx="51">
                  <c:v>28.941800000000001</c:v>
                </c:pt>
                <c:pt idx="52">
                  <c:v>27.849799999999998</c:v>
                </c:pt>
                <c:pt idx="53">
                  <c:v>25.446400000000001</c:v>
                </c:pt>
                <c:pt idx="54">
                  <c:v>26.805099999999999</c:v>
                </c:pt>
                <c:pt idx="55">
                  <c:v>27.554400000000001</c:v>
                </c:pt>
                <c:pt idx="56">
                  <c:v>27.986499999999999</c:v>
                </c:pt>
                <c:pt idx="57">
                  <c:v>26.072600000000001</c:v>
                </c:pt>
                <c:pt idx="58">
                  <c:v>25.397500000000001</c:v>
                </c:pt>
                <c:pt idx="59">
                  <c:v>25.6844</c:v>
                </c:pt>
                <c:pt idx="60">
                  <c:v>26.271699999999999</c:v>
                </c:pt>
                <c:pt idx="61">
                  <c:v>25.777200000000001</c:v>
                </c:pt>
                <c:pt idx="62">
                  <c:v>25.2895</c:v>
                </c:pt>
                <c:pt idx="63">
                  <c:v>24.465800000000002</c:v>
                </c:pt>
                <c:pt idx="64">
                  <c:v>24.965399999999999</c:v>
                </c:pt>
                <c:pt idx="65">
                  <c:v>24.6599</c:v>
                </c:pt>
                <c:pt idx="66">
                  <c:v>25.1511</c:v>
                </c:pt>
                <c:pt idx="68">
                  <c:v>26.292000000000002</c:v>
                </c:pt>
                <c:pt idx="69">
                  <c:v>26.5181</c:v>
                </c:pt>
                <c:pt idx="70">
                  <c:v>27.2287</c:v>
                </c:pt>
                <c:pt idx="71">
                  <c:v>26.7713</c:v>
                </c:pt>
                <c:pt idx="72">
                  <c:v>27.520700000000001</c:v>
                </c:pt>
                <c:pt idx="73">
                  <c:v>29.189900000000002</c:v>
                </c:pt>
                <c:pt idx="74">
                  <c:v>28.700399999999998</c:v>
                </c:pt>
                <c:pt idx="75">
                  <c:v>29.171299999999999</c:v>
                </c:pt>
                <c:pt idx="76">
                  <c:v>30.351099999999999</c:v>
                </c:pt>
                <c:pt idx="77">
                  <c:v>30.318999999999999</c:v>
                </c:pt>
                <c:pt idx="78">
                  <c:v>31.789000000000001</c:v>
                </c:pt>
                <c:pt idx="79">
                  <c:v>33.493699999999997</c:v>
                </c:pt>
                <c:pt idx="80">
                  <c:v>34.538400000000003</c:v>
                </c:pt>
                <c:pt idx="81">
                  <c:v>35.125700000000002</c:v>
                </c:pt>
                <c:pt idx="82">
                  <c:v>35.704599999999999</c:v>
                </c:pt>
                <c:pt idx="83">
                  <c:v>34.081000000000003</c:v>
                </c:pt>
                <c:pt idx="84">
                  <c:v>32.636299999999999</c:v>
                </c:pt>
                <c:pt idx="85">
                  <c:v>32.074300000000001</c:v>
                </c:pt>
                <c:pt idx="86">
                  <c:v>32.712200000000003</c:v>
                </c:pt>
                <c:pt idx="87">
                  <c:v>34.970500000000001</c:v>
                </c:pt>
                <c:pt idx="88">
                  <c:v>29.9848</c:v>
                </c:pt>
                <c:pt idx="89">
                  <c:v>29.660799999999998</c:v>
                </c:pt>
                <c:pt idx="90">
                  <c:v>29.893699999999999</c:v>
                </c:pt>
                <c:pt idx="91">
                  <c:v>29.220300000000002</c:v>
                </c:pt>
                <c:pt idx="92">
                  <c:v>30.070900000000002</c:v>
                </c:pt>
                <c:pt idx="93">
                  <c:v>29.225300000000001</c:v>
                </c:pt>
                <c:pt idx="95">
                  <c:v>30.717300000000002</c:v>
                </c:pt>
                <c:pt idx="96">
                  <c:v>31.650600000000001</c:v>
                </c:pt>
                <c:pt idx="97">
                  <c:v>31.021100000000001</c:v>
                </c:pt>
                <c:pt idx="98">
                  <c:v>33.237099999999998</c:v>
                </c:pt>
                <c:pt idx="99">
                  <c:v>33.534199999999998</c:v>
                </c:pt>
                <c:pt idx="100">
                  <c:v>33.294499999999999</c:v>
                </c:pt>
                <c:pt idx="102">
                  <c:v>33.787300000000002</c:v>
                </c:pt>
                <c:pt idx="103">
                  <c:v>34.7072</c:v>
                </c:pt>
                <c:pt idx="104">
                  <c:v>35.787300000000002</c:v>
                </c:pt>
                <c:pt idx="105">
                  <c:v>36.516500000000001</c:v>
                </c:pt>
                <c:pt idx="106">
                  <c:v>37.130800000000001</c:v>
                </c:pt>
                <c:pt idx="107">
                  <c:v>37.422800000000002</c:v>
                </c:pt>
                <c:pt idx="108">
                  <c:v>37.932499999999997</c:v>
                </c:pt>
                <c:pt idx="109">
                  <c:v>37.966200000000001</c:v>
                </c:pt>
                <c:pt idx="110">
                  <c:v>38.082700000000003</c:v>
                </c:pt>
                <c:pt idx="111">
                  <c:v>37.667499999999997</c:v>
                </c:pt>
                <c:pt idx="112">
                  <c:v>37.858199999999997</c:v>
                </c:pt>
                <c:pt idx="113">
                  <c:v>37.601700000000001</c:v>
                </c:pt>
                <c:pt idx="114">
                  <c:v>37.917299999999997</c:v>
                </c:pt>
                <c:pt idx="115">
                  <c:v>37.534199999999998</c:v>
                </c:pt>
                <c:pt idx="117">
                  <c:v>37.363700000000001</c:v>
                </c:pt>
                <c:pt idx="118">
                  <c:v>37.216900000000003</c:v>
                </c:pt>
                <c:pt idx="119">
                  <c:v>37.380600000000001</c:v>
                </c:pt>
                <c:pt idx="120">
                  <c:v>36.734200000000001</c:v>
                </c:pt>
                <c:pt idx="121">
                  <c:v>36.356099999999998</c:v>
                </c:pt>
                <c:pt idx="122">
                  <c:v>36.732500000000002</c:v>
                </c:pt>
                <c:pt idx="123">
                  <c:v>37.171300000000002</c:v>
                </c:pt>
                <c:pt idx="124">
                  <c:v>38.435400000000001</c:v>
                </c:pt>
                <c:pt idx="125">
                  <c:v>37.444699999999997</c:v>
                </c:pt>
                <c:pt idx="126">
                  <c:v>37.475099999999998</c:v>
                </c:pt>
                <c:pt idx="127">
                  <c:v>37.142600000000002</c:v>
                </c:pt>
                <c:pt idx="128">
                  <c:v>37.441299999999998</c:v>
                </c:pt>
                <c:pt idx="129">
                  <c:v>37.947699999999998</c:v>
                </c:pt>
                <c:pt idx="130">
                  <c:v>36.8675</c:v>
                </c:pt>
                <c:pt idx="131">
                  <c:v>37.328299999999999</c:v>
                </c:pt>
                <c:pt idx="132">
                  <c:v>36.874299999999998</c:v>
                </c:pt>
                <c:pt idx="133">
                  <c:v>37.647300000000001</c:v>
                </c:pt>
                <c:pt idx="134">
                  <c:v>38.099600000000002</c:v>
                </c:pt>
                <c:pt idx="135">
                  <c:v>38.140099999999997</c:v>
                </c:pt>
                <c:pt idx="136">
                  <c:v>38.4709</c:v>
                </c:pt>
                <c:pt idx="137">
                  <c:v>38.968800000000002</c:v>
                </c:pt>
                <c:pt idx="138">
                  <c:v>38.349400000000003</c:v>
                </c:pt>
                <c:pt idx="139">
                  <c:v>38.290300000000002</c:v>
                </c:pt>
                <c:pt idx="140">
                  <c:v>39.039700000000003</c:v>
                </c:pt>
                <c:pt idx="141">
                  <c:v>40.553600000000003</c:v>
                </c:pt>
                <c:pt idx="142">
                  <c:v>40.4574</c:v>
                </c:pt>
                <c:pt idx="143">
                  <c:v>41.1004</c:v>
                </c:pt>
                <c:pt idx="144">
                  <c:v>41.301299999999998</c:v>
                </c:pt>
                <c:pt idx="145">
                  <c:v>41.348500000000001</c:v>
                </c:pt>
                <c:pt idx="146">
                  <c:v>41.304600000000001</c:v>
                </c:pt>
                <c:pt idx="147">
                  <c:v>40.801699999999997</c:v>
                </c:pt>
                <c:pt idx="148">
                  <c:v>40.550199999999997</c:v>
                </c:pt>
                <c:pt idx="149">
                  <c:v>40.467500000000001</c:v>
                </c:pt>
                <c:pt idx="150">
                  <c:v>39.037999999999997</c:v>
                </c:pt>
                <c:pt idx="151">
                  <c:v>38.715600000000002</c:v>
                </c:pt>
                <c:pt idx="153">
                  <c:v>39.296199999999999</c:v>
                </c:pt>
                <c:pt idx="154">
                  <c:v>39.821100000000001</c:v>
                </c:pt>
                <c:pt idx="155">
                  <c:v>38.940100000000001</c:v>
                </c:pt>
                <c:pt idx="156">
                  <c:v>39.522399999999998</c:v>
                </c:pt>
                <c:pt idx="157">
                  <c:v>38.870899999999999</c:v>
                </c:pt>
                <c:pt idx="158">
                  <c:v>38.815199999999997</c:v>
                </c:pt>
                <c:pt idx="159">
                  <c:v>38.789900000000003</c:v>
                </c:pt>
                <c:pt idx="160">
                  <c:v>39.093699999999998</c:v>
                </c:pt>
                <c:pt idx="161">
                  <c:v>39.384</c:v>
                </c:pt>
                <c:pt idx="163">
                  <c:v>39.169600000000003</c:v>
                </c:pt>
                <c:pt idx="164">
                  <c:v>39.567900000000002</c:v>
                </c:pt>
                <c:pt idx="165">
                  <c:v>40.244700000000002</c:v>
                </c:pt>
                <c:pt idx="166">
                  <c:v>40.227800000000002</c:v>
                </c:pt>
                <c:pt idx="167">
                  <c:v>39.373800000000003</c:v>
                </c:pt>
                <c:pt idx="168">
                  <c:v>38.995800000000003</c:v>
                </c:pt>
                <c:pt idx="169">
                  <c:v>39.650599999999997</c:v>
                </c:pt>
                <c:pt idx="170">
                  <c:v>40.477600000000002</c:v>
                </c:pt>
                <c:pt idx="171">
                  <c:v>40.411799999999999</c:v>
                </c:pt>
                <c:pt idx="172">
                  <c:v>40.210999999999999</c:v>
                </c:pt>
                <c:pt idx="173">
                  <c:v>41.87</c:v>
                </c:pt>
                <c:pt idx="174">
                  <c:v>42.067500000000003</c:v>
                </c:pt>
                <c:pt idx="175">
                  <c:v>39.245600000000003</c:v>
                </c:pt>
                <c:pt idx="177">
                  <c:v>39.210099999999997</c:v>
                </c:pt>
                <c:pt idx="178">
                  <c:v>39.613500000000002</c:v>
                </c:pt>
                <c:pt idx="179">
                  <c:v>38.879300000000001</c:v>
                </c:pt>
                <c:pt idx="180">
                  <c:v>38.695399999999999</c:v>
                </c:pt>
                <c:pt idx="181">
                  <c:v>39.905500000000004</c:v>
                </c:pt>
                <c:pt idx="182">
                  <c:v>40.7224</c:v>
                </c:pt>
                <c:pt idx="183">
                  <c:v>41.2928</c:v>
                </c:pt>
                <c:pt idx="184">
                  <c:v>42.084400000000002</c:v>
                </c:pt>
                <c:pt idx="185">
                  <c:v>42.813499999999998</c:v>
                </c:pt>
                <c:pt idx="186">
                  <c:v>38.4574</c:v>
                </c:pt>
                <c:pt idx="187">
                  <c:v>38.997500000000002</c:v>
                </c:pt>
                <c:pt idx="188">
                  <c:v>39.034599999999998</c:v>
                </c:pt>
                <c:pt idx="189">
                  <c:v>38.803400000000003</c:v>
                </c:pt>
                <c:pt idx="190">
                  <c:v>38.4</c:v>
                </c:pt>
                <c:pt idx="191">
                  <c:v>38.624499999999998</c:v>
                </c:pt>
                <c:pt idx="192">
                  <c:v>38.692</c:v>
                </c:pt>
                <c:pt idx="193">
                  <c:v>37.892000000000003</c:v>
                </c:pt>
                <c:pt idx="194">
                  <c:v>38.214300000000001</c:v>
                </c:pt>
                <c:pt idx="195">
                  <c:v>38.165399999999998</c:v>
                </c:pt>
                <c:pt idx="196">
                  <c:v>39.252299999999998</c:v>
                </c:pt>
                <c:pt idx="197">
                  <c:v>39.113900000000001</c:v>
                </c:pt>
                <c:pt idx="198">
                  <c:v>38.997500000000002</c:v>
                </c:pt>
                <c:pt idx="199">
                  <c:v>37.9527</c:v>
                </c:pt>
                <c:pt idx="200">
                  <c:v>37.378900000000002</c:v>
                </c:pt>
                <c:pt idx="201">
                  <c:v>37.792400000000001</c:v>
                </c:pt>
                <c:pt idx="203">
                  <c:v>37.745100000000001</c:v>
                </c:pt>
                <c:pt idx="204">
                  <c:v>38.531599999999997</c:v>
                </c:pt>
                <c:pt idx="205">
                  <c:v>38.599200000000003</c:v>
                </c:pt>
                <c:pt idx="206">
                  <c:v>38.975499999999997</c:v>
                </c:pt>
                <c:pt idx="207">
                  <c:v>39.270899999999997</c:v>
                </c:pt>
                <c:pt idx="208">
                  <c:v>38.909700000000001</c:v>
                </c:pt>
                <c:pt idx="209">
                  <c:v>39.642200000000003</c:v>
                </c:pt>
                <c:pt idx="211">
                  <c:v>37.465000000000003</c:v>
                </c:pt>
                <c:pt idx="212">
                  <c:v>37.976399999999998</c:v>
                </c:pt>
                <c:pt idx="213">
                  <c:v>37.920699999999997</c:v>
                </c:pt>
                <c:pt idx="214">
                  <c:v>39.205100000000002</c:v>
                </c:pt>
                <c:pt idx="215">
                  <c:v>38.990699999999997</c:v>
                </c:pt>
                <c:pt idx="216">
                  <c:v>39.743499999999997</c:v>
                </c:pt>
                <c:pt idx="217">
                  <c:v>41.390700000000002</c:v>
                </c:pt>
                <c:pt idx="218">
                  <c:v>44.199199999999998</c:v>
                </c:pt>
                <c:pt idx="219">
                  <c:v>44.948500000000003</c:v>
                </c:pt>
                <c:pt idx="220">
                  <c:v>44.048900000000003</c:v>
                </c:pt>
                <c:pt idx="221">
                  <c:v>44.6464</c:v>
                </c:pt>
                <c:pt idx="222">
                  <c:v>45.498699999999999</c:v>
                </c:pt>
                <c:pt idx="223">
                  <c:v>45.449800000000003</c:v>
                </c:pt>
                <c:pt idx="224">
                  <c:v>43.2776</c:v>
                </c:pt>
                <c:pt idx="225">
                  <c:v>44.725700000000003</c:v>
                </c:pt>
                <c:pt idx="226">
                  <c:v>45.773800000000001</c:v>
                </c:pt>
                <c:pt idx="227">
                  <c:v>46.334200000000003</c:v>
                </c:pt>
                <c:pt idx="228">
                  <c:v>45.912199999999999</c:v>
                </c:pt>
                <c:pt idx="229">
                  <c:v>47.048099999999998</c:v>
                </c:pt>
                <c:pt idx="230">
                  <c:v>47.505499999999998</c:v>
                </c:pt>
                <c:pt idx="231">
                  <c:v>48.448900000000002</c:v>
                </c:pt>
                <c:pt idx="232">
                  <c:v>48.0321</c:v>
                </c:pt>
                <c:pt idx="233">
                  <c:v>49.146000000000001</c:v>
                </c:pt>
                <c:pt idx="234">
                  <c:v>48.475900000000003</c:v>
                </c:pt>
                <c:pt idx="235">
                  <c:v>48.091099999999997</c:v>
                </c:pt>
                <c:pt idx="236">
                  <c:v>48.413499999999999</c:v>
                </c:pt>
                <c:pt idx="237">
                  <c:v>48.906300000000002</c:v>
                </c:pt>
                <c:pt idx="238">
                  <c:v>48.133299999999998</c:v>
                </c:pt>
                <c:pt idx="239">
                  <c:v>47.173000000000002</c:v>
                </c:pt>
                <c:pt idx="240">
                  <c:v>46.588999999999999</c:v>
                </c:pt>
                <c:pt idx="241">
                  <c:v>46.935000000000002</c:v>
                </c:pt>
                <c:pt idx="242">
                  <c:v>46.643000000000001</c:v>
                </c:pt>
                <c:pt idx="243">
                  <c:v>46.405099999999997</c:v>
                </c:pt>
                <c:pt idx="244">
                  <c:v>46.735900000000001</c:v>
                </c:pt>
                <c:pt idx="245">
                  <c:v>45.728299999999997</c:v>
                </c:pt>
                <c:pt idx="246">
                  <c:v>44.141800000000003</c:v>
                </c:pt>
                <c:pt idx="247">
                  <c:v>45.024500000000003</c:v>
                </c:pt>
                <c:pt idx="248">
                  <c:v>43.654000000000003</c:v>
                </c:pt>
                <c:pt idx="249">
                  <c:v>43.6051</c:v>
                </c:pt>
                <c:pt idx="250">
                  <c:v>43.706299999999999</c:v>
                </c:pt>
                <c:pt idx="251">
                  <c:v>43.876800000000003</c:v>
                </c:pt>
                <c:pt idx="252">
                  <c:v>44.6447</c:v>
                </c:pt>
                <c:pt idx="253">
                  <c:v>45.012700000000002</c:v>
                </c:pt>
                <c:pt idx="254">
                  <c:v>45.929099999999998</c:v>
                </c:pt>
                <c:pt idx="255">
                  <c:v>46.160299999999999</c:v>
                </c:pt>
                <c:pt idx="256">
                  <c:v>45.927399999999999</c:v>
                </c:pt>
                <c:pt idx="257">
                  <c:v>46.588999999999999</c:v>
                </c:pt>
                <c:pt idx="258">
                  <c:v>46.789900000000003</c:v>
                </c:pt>
                <c:pt idx="259">
                  <c:v>47.230400000000003</c:v>
                </c:pt>
                <c:pt idx="260">
                  <c:v>47.196599999999997</c:v>
                </c:pt>
                <c:pt idx="261">
                  <c:v>47.3536</c:v>
                </c:pt>
                <c:pt idx="262">
                  <c:v>46.926600000000001</c:v>
                </c:pt>
                <c:pt idx="263">
                  <c:v>47.179699999999997</c:v>
                </c:pt>
                <c:pt idx="264">
                  <c:v>46.099600000000002</c:v>
                </c:pt>
                <c:pt idx="265">
                  <c:v>46.889499999999998</c:v>
                </c:pt>
                <c:pt idx="266">
                  <c:v>47.196599999999997</c:v>
                </c:pt>
                <c:pt idx="267">
                  <c:v>47.5122</c:v>
                </c:pt>
                <c:pt idx="268">
                  <c:v>47.662399999999998</c:v>
                </c:pt>
                <c:pt idx="269">
                  <c:v>47.282699999999998</c:v>
                </c:pt>
                <c:pt idx="270">
                  <c:v>46.957000000000001</c:v>
                </c:pt>
                <c:pt idx="271">
                  <c:v>47.392400000000002</c:v>
                </c:pt>
                <c:pt idx="272">
                  <c:v>48.062399999999997</c:v>
                </c:pt>
                <c:pt idx="273">
                  <c:v>48.356099999999998</c:v>
                </c:pt>
                <c:pt idx="274">
                  <c:v>49.532499999999999</c:v>
                </c:pt>
                <c:pt idx="275">
                  <c:v>50.484400000000001</c:v>
                </c:pt>
                <c:pt idx="276">
                  <c:v>50.292000000000002</c:v>
                </c:pt>
                <c:pt idx="277">
                  <c:v>50.528300000000002</c:v>
                </c:pt>
                <c:pt idx="278">
                  <c:v>51.058199999999999</c:v>
                </c:pt>
                <c:pt idx="279">
                  <c:v>55.726599999999998</c:v>
                </c:pt>
                <c:pt idx="280">
                  <c:v>53.299599999999998</c:v>
                </c:pt>
                <c:pt idx="281">
                  <c:v>52.212699999999998</c:v>
                </c:pt>
                <c:pt idx="282">
                  <c:v>52.649799999999999</c:v>
                </c:pt>
                <c:pt idx="283">
                  <c:v>51.331600000000002</c:v>
                </c:pt>
                <c:pt idx="284">
                  <c:v>52.587299999999999</c:v>
                </c:pt>
                <c:pt idx="285">
                  <c:v>49.183100000000003</c:v>
                </c:pt>
                <c:pt idx="287">
                  <c:v>50.454000000000001</c:v>
                </c:pt>
                <c:pt idx="288">
                  <c:v>52.141800000000003</c:v>
                </c:pt>
                <c:pt idx="289">
                  <c:v>50.936700000000002</c:v>
                </c:pt>
                <c:pt idx="290">
                  <c:v>51.228700000000003</c:v>
                </c:pt>
                <c:pt idx="291">
                  <c:v>52.028700000000001</c:v>
                </c:pt>
                <c:pt idx="292">
                  <c:v>53.311399999999999</c:v>
                </c:pt>
                <c:pt idx="293">
                  <c:v>54.533299999999997</c:v>
                </c:pt>
                <c:pt idx="294">
                  <c:v>56.167099999999998</c:v>
                </c:pt>
                <c:pt idx="296">
                  <c:v>53.453200000000002</c:v>
                </c:pt>
                <c:pt idx="297">
                  <c:v>53.215200000000003</c:v>
                </c:pt>
                <c:pt idx="298">
                  <c:v>53.849800000000002</c:v>
                </c:pt>
                <c:pt idx="300">
                  <c:v>51.720700000000001</c:v>
                </c:pt>
                <c:pt idx="302">
                  <c:v>49.080199999999998</c:v>
                </c:pt>
                <c:pt idx="303">
                  <c:v>51.485199999999999</c:v>
                </c:pt>
                <c:pt idx="304">
                  <c:v>50.380600000000001</c:v>
                </c:pt>
                <c:pt idx="305">
                  <c:v>53.637099999999997</c:v>
                </c:pt>
                <c:pt idx="306">
                  <c:v>57.735900000000001</c:v>
                </c:pt>
                <c:pt idx="307">
                  <c:v>57.225299999999997</c:v>
                </c:pt>
                <c:pt idx="308">
                  <c:v>57.2667</c:v>
                </c:pt>
                <c:pt idx="310">
                  <c:v>58.658200000000001</c:v>
                </c:pt>
                <c:pt idx="311">
                  <c:v>136.38149999999999</c:v>
                </c:pt>
                <c:pt idx="312">
                  <c:v>129.35589999999999</c:v>
                </c:pt>
                <c:pt idx="313">
                  <c:v>126.5391</c:v>
                </c:pt>
                <c:pt idx="314">
                  <c:v>129.6328</c:v>
                </c:pt>
                <c:pt idx="315">
                  <c:v>125.61239999999999</c:v>
                </c:pt>
                <c:pt idx="316">
                  <c:v>120.58069999999999</c:v>
                </c:pt>
                <c:pt idx="317">
                  <c:v>122.00920000000001</c:v>
                </c:pt>
                <c:pt idx="318">
                  <c:v>121.82080000000001</c:v>
                </c:pt>
                <c:pt idx="319">
                  <c:v>118.2542</c:v>
                </c:pt>
                <c:pt idx="321">
                  <c:v>110.994</c:v>
                </c:pt>
                <c:pt idx="322">
                  <c:v>114.4568</c:v>
                </c:pt>
                <c:pt idx="323">
                  <c:v>115.85080000000001</c:v>
                </c:pt>
                <c:pt idx="324">
                  <c:v>115.9104</c:v>
                </c:pt>
                <c:pt idx="325">
                  <c:v>117.5909</c:v>
                </c:pt>
                <c:pt idx="326">
                  <c:v>118.0331</c:v>
                </c:pt>
                <c:pt idx="327">
                  <c:v>109.2617</c:v>
                </c:pt>
                <c:pt idx="328">
                  <c:v>105.81229999999999</c:v>
                </c:pt>
                <c:pt idx="329">
                  <c:v>105.45659999999999</c:v>
                </c:pt>
                <c:pt idx="330">
                  <c:v>107.6005</c:v>
                </c:pt>
                <c:pt idx="331">
                  <c:v>112.10339999999999</c:v>
                </c:pt>
                <c:pt idx="333">
                  <c:v>117.1506</c:v>
                </c:pt>
                <c:pt idx="334">
                  <c:v>123.6647</c:v>
                </c:pt>
                <c:pt idx="335">
                  <c:v>122.2784</c:v>
                </c:pt>
                <c:pt idx="336">
                  <c:v>119.4559</c:v>
                </c:pt>
                <c:pt idx="337">
                  <c:v>118.7329</c:v>
                </c:pt>
                <c:pt idx="338">
                  <c:v>109.4117</c:v>
                </c:pt>
                <c:pt idx="339">
                  <c:v>109.34050000000001</c:v>
                </c:pt>
                <c:pt idx="340">
                  <c:v>105.06059999999999</c:v>
                </c:pt>
                <c:pt idx="341">
                  <c:v>108.1427</c:v>
                </c:pt>
                <c:pt idx="342">
                  <c:v>102.67059999999999</c:v>
                </c:pt>
                <c:pt idx="343">
                  <c:v>103.3647</c:v>
                </c:pt>
                <c:pt idx="344">
                  <c:v>108.4772</c:v>
                </c:pt>
                <c:pt idx="345">
                  <c:v>107.6216</c:v>
                </c:pt>
                <c:pt idx="346">
                  <c:v>108.2734</c:v>
                </c:pt>
                <c:pt idx="347">
                  <c:v>108.9079</c:v>
                </c:pt>
                <c:pt idx="348">
                  <c:v>109.029</c:v>
                </c:pt>
                <c:pt idx="349">
                  <c:v>112.986</c:v>
                </c:pt>
                <c:pt idx="350">
                  <c:v>116.4315</c:v>
                </c:pt>
                <c:pt idx="351">
                  <c:v>108.6176</c:v>
                </c:pt>
                <c:pt idx="352">
                  <c:v>115.14319999999999</c:v>
                </c:pt>
                <c:pt idx="353">
                  <c:v>117.8216</c:v>
                </c:pt>
                <c:pt idx="354">
                  <c:v>113.8704</c:v>
                </c:pt>
                <c:pt idx="355">
                  <c:v>109.1463</c:v>
                </c:pt>
                <c:pt idx="356">
                  <c:v>113.4743</c:v>
                </c:pt>
                <c:pt idx="357">
                  <c:v>118.1888</c:v>
                </c:pt>
                <c:pt idx="358">
                  <c:v>116.4045</c:v>
                </c:pt>
                <c:pt idx="359">
                  <c:v>116.3026</c:v>
                </c:pt>
                <c:pt idx="360">
                  <c:v>119.7462</c:v>
                </c:pt>
                <c:pt idx="361">
                  <c:v>119.22320000000001</c:v>
                </c:pt>
                <c:pt idx="362">
                  <c:v>119.11360000000001</c:v>
                </c:pt>
                <c:pt idx="363">
                  <c:v>117.0698</c:v>
                </c:pt>
                <c:pt idx="364">
                  <c:v>119.9289</c:v>
                </c:pt>
                <c:pt idx="365">
                  <c:v>111.2171</c:v>
                </c:pt>
                <c:pt idx="366">
                  <c:v>118.9271</c:v>
                </c:pt>
                <c:pt idx="367">
                  <c:v>126.6545</c:v>
                </c:pt>
                <c:pt idx="368">
                  <c:v>131.7689</c:v>
                </c:pt>
                <c:pt idx="369">
                  <c:v>134.31460000000001</c:v>
                </c:pt>
                <c:pt idx="370">
                  <c:v>132.12270000000001</c:v>
                </c:pt>
                <c:pt idx="371">
                  <c:v>135.21440000000001</c:v>
                </c:pt>
                <c:pt idx="372">
                  <c:v>136.2353</c:v>
                </c:pt>
                <c:pt idx="373">
                  <c:v>134.2723</c:v>
                </c:pt>
                <c:pt idx="374">
                  <c:v>134.5376</c:v>
                </c:pt>
                <c:pt idx="375">
                  <c:v>133.57239999999999</c:v>
                </c:pt>
                <c:pt idx="376">
                  <c:v>132.38220000000001</c:v>
                </c:pt>
                <c:pt idx="377">
                  <c:v>134.57599999999999</c:v>
                </c:pt>
                <c:pt idx="379">
                  <c:v>130.05000000000001</c:v>
                </c:pt>
                <c:pt idx="380">
                  <c:v>131.792</c:v>
                </c:pt>
                <c:pt idx="381">
                  <c:v>131.56890000000001</c:v>
                </c:pt>
                <c:pt idx="382">
                  <c:v>132.48609999999999</c:v>
                </c:pt>
                <c:pt idx="383">
                  <c:v>130.66329999999999</c:v>
                </c:pt>
                <c:pt idx="384">
                  <c:v>139.01560000000001</c:v>
                </c:pt>
                <c:pt idx="385">
                  <c:v>141.49590000000001</c:v>
                </c:pt>
                <c:pt idx="386">
                  <c:v>143.45509999999999</c:v>
                </c:pt>
                <c:pt idx="387">
                  <c:v>143.88579999999999</c:v>
                </c:pt>
                <c:pt idx="388">
                  <c:v>139.53469999999999</c:v>
                </c:pt>
                <c:pt idx="389">
                  <c:v>137.51390000000001</c:v>
                </c:pt>
                <c:pt idx="390">
                  <c:v>141.7766</c:v>
                </c:pt>
                <c:pt idx="391">
                  <c:v>138.3426</c:v>
                </c:pt>
                <c:pt idx="392">
                  <c:v>139.77699999999999</c:v>
                </c:pt>
                <c:pt idx="393">
                  <c:v>142.3784</c:v>
                </c:pt>
                <c:pt idx="394">
                  <c:v>137.00059999999999</c:v>
                </c:pt>
                <c:pt idx="395">
                  <c:v>138.25030000000001</c:v>
                </c:pt>
                <c:pt idx="396">
                  <c:v>140.5557</c:v>
                </c:pt>
                <c:pt idx="397">
                  <c:v>133.83580000000001</c:v>
                </c:pt>
                <c:pt idx="398">
                  <c:v>133.46469999999999</c:v>
                </c:pt>
                <c:pt idx="399">
                  <c:v>137.60050000000001</c:v>
                </c:pt>
                <c:pt idx="400">
                  <c:v>141.49010000000001</c:v>
                </c:pt>
                <c:pt idx="401">
                  <c:v>132.06110000000001</c:v>
                </c:pt>
                <c:pt idx="402">
                  <c:v>134.14150000000001</c:v>
                </c:pt>
                <c:pt idx="404">
                  <c:v>131.27670000000001</c:v>
                </c:pt>
                <c:pt idx="405">
                  <c:v>125.7758</c:v>
                </c:pt>
                <c:pt idx="407">
                  <c:v>135.91040000000001</c:v>
                </c:pt>
                <c:pt idx="408">
                  <c:v>124.73950000000001</c:v>
                </c:pt>
                <c:pt idx="409">
                  <c:v>134.59139999999999</c:v>
                </c:pt>
                <c:pt idx="410">
                  <c:v>130.53450000000001</c:v>
                </c:pt>
                <c:pt idx="411">
                  <c:v>136.9717</c:v>
                </c:pt>
                <c:pt idx="412">
                  <c:v>135.34700000000001</c:v>
                </c:pt>
                <c:pt idx="413">
                  <c:v>136.84479999999999</c:v>
                </c:pt>
                <c:pt idx="414">
                  <c:v>125.87390000000001</c:v>
                </c:pt>
                <c:pt idx="415">
                  <c:v>127.2659</c:v>
                </c:pt>
                <c:pt idx="416">
                  <c:v>138.56180000000001</c:v>
                </c:pt>
                <c:pt idx="417">
                  <c:v>133.8819</c:v>
                </c:pt>
                <c:pt idx="418">
                  <c:v>119.6155</c:v>
                </c:pt>
                <c:pt idx="419">
                  <c:v>121.08629999999999</c:v>
                </c:pt>
                <c:pt idx="420">
                  <c:v>105.38549999999999</c:v>
                </c:pt>
                <c:pt idx="421">
                  <c:v>105.4816</c:v>
                </c:pt>
                <c:pt idx="422">
                  <c:v>105.62009999999999</c:v>
                </c:pt>
                <c:pt idx="423">
                  <c:v>105.52970000000001</c:v>
                </c:pt>
                <c:pt idx="424">
                  <c:v>106.6506</c:v>
                </c:pt>
                <c:pt idx="425">
                  <c:v>107.9927</c:v>
                </c:pt>
                <c:pt idx="426">
                  <c:v>103.79349999999999</c:v>
                </c:pt>
                <c:pt idx="427">
                  <c:v>104.5376</c:v>
                </c:pt>
                <c:pt idx="428">
                  <c:v>105.16249999999999</c:v>
                </c:pt>
                <c:pt idx="429">
                  <c:v>103.25320000000001</c:v>
                </c:pt>
                <c:pt idx="430">
                  <c:v>105.1298</c:v>
                </c:pt>
                <c:pt idx="431">
                  <c:v>105.1778</c:v>
                </c:pt>
                <c:pt idx="432">
                  <c:v>105.29130000000001</c:v>
                </c:pt>
                <c:pt idx="433">
                  <c:v>105.8335</c:v>
                </c:pt>
                <c:pt idx="434">
                  <c:v>107.98309999999999</c:v>
                </c:pt>
                <c:pt idx="435">
                  <c:v>105.51430000000001</c:v>
                </c:pt>
                <c:pt idx="436">
                  <c:v>102.02849999999999</c:v>
                </c:pt>
                <c:pt idx="437">
                  <c:v>100.2634</c:v>
                </c:pt>
                <c:pt idx="439">
                  <c:v>89.569299999999998</c:v>
                </c:pt>
                <c:pt idx="440">
                  <c:v>89.3386</c:v>
                </c:pt>
                <c:pt idx="441">
                  <c:v>85.385499999999993</c:v>
                </c:pt>
                <c:pt idx="442">
                  <c:v>86.091099999999997</c:v>
                </c:pt>
                <c:pt idx="443">
                  <c:v>83.837699999999998</c:v>
                </c:pt>
                <c:pt idx="444">
                  <c:v>84.783699999999996</c:v>
                </c:pt>
                <c:pt idx="445">
                  <c:v>86.694900000000004</c:v>
                </c:pt>
                <c:pt idx="446">
                  <c:v>85.627799999999993</c:v>
                </c:pt>
                <c:pt idx="447">
                  <c:v>82.7898</c:v>
                </c:pt>
                <c:pt idx="448">
                  <c:v>85.116299999999995</c:v>
                </c:pt>
                <c:pt idx="449">
                  <c:v>86.748699999999999</c:v>
                </c:pt>
                <c:pt idx="450">
                  <c:v>85.7239</c:v>
                </c:pt>
                <c:pt idx="451">
                  <c:v>86.991</c:v>
                </c:pt>
                <c:pt idx="452">
                  <c:v>85.546999999999997</c:v>
                </c:pt>
                <c:pt idx="453">
                  <c:v>87.646600000000007</c:v>
                </c:pt>
                <c:pt idx="454">
                  <c:v>87.817700000000002</c:v>
                </c:pt>
                <c:pt idx="455">
                  <c:v>86.1815</c:v>
                </c:pt>
                <c:pt idx="456">
                  <c:v>87.444699999999997</c:v>
                </c:pt>
                <c:pt idx="457">
                  <c:v>89.451999999999998</c:v>
                </c:pt>
                <c:pt idx="458">
                  <c:v>88.034999999999997</c:v>
                </c:pt>
                <c:pt idx="459">
                  <c:v>86.096900000000005</c:v>
                </c:pt>
                <c:pt idx="460">
                  <c:v>85.537400000000005</c:v>
                </c:pt>
                <c:pt idx="461">
                  <c:v>84.962500000000006</c:v>
                </c:pt>
                <c:pt idx="462">
                  <c:v>85.085599999999999</c:v>
                </c:pt>
                <c:pt idx="463">
                  <c:v>84.756799999999998</c:v>
                </c:pt>
                <c:pt idx="464">
                  <c:v>85.447000000000003</c:v>
                </c:pt>
                <c:pt idx="465">
                  <c:v>77.396699999999996</c:v>
                </c:pt>
                <c:pt idx="466">
                  <c:v>77.254400000000004</c:v>
                </c:pt>
                <c:pt idx="467">
                  <c:v>76.3065</c:v>
                </c:pt>
                <c:pt idx="468">
                  <c:v>75.971900000000005</c:v>
                </c:pt>
                <c:pt idx="469">
                  <c:v>74.814499999999995</c:v>
                </c:pt>
                <c:pt idx="470">
                  <c:v>74.449100000000001</c:v>
                </c:pt>
                <c:pt idx="471">
                  <c:v>72.9148</c:v>
                </c:pt>
                <c:pt idx="473">
                  <c:v>73.193600000000004</c:v>
                </c:pt>
                <c:pt idx="474">
                  <c:v>72.657200000000003</c:v>
                </c:pt>
                <c:pt idx="475">
                  <c:v>71.363200000000006</c:v>
                </c:pt>
                <c:pt idx="476">
                  <c:v>69.376999999999995</c:v>
                </c:pt>
                <c:pt idx="477">
                  <c:v>67.065899999999999</c:v>
                </c:pt>
                <c:pt idx="478">
                  <c:v>65.816199999999995</c:v>
                </c:pt>
                <c:pt idx="479">
                  <c:v>65.064400000000006</c:v>
                </c:pt>
                <c:pt idx="480">
                  <c:v>65.216300000000004</c:v>
                </c:pt>
                <c:pt idx="481">
                  <c:v>68.942499999999995</c:v>
                </c:pt>
                <c:pt idx="482">
                  <c:v>68.807900000000004</c:v>
                </c:pt>
                <c:pt idx="483">
                  <c:v>68.821399999999997</c:v>
                </c:pt>
                <c:pt idx="484">
                  <c:v>69.701999999999998</c:v>
                </c:pt>
                <c:pt idx="485">
                  <c:v>69.061700000000002</c:v>
                </c:pt>
                <c:pt idx="486">
                  <c:v>69.336699999999993</c:v>
                </c:pt>
                <c:pt idx="487">
                  <c:v>69.576999999999998</c:v>
                </c:pt>
                <c:pt idx="488">
                  <c:v>69.940399999999997</c:v>
                </c:pt>
                <c:pt idx="489">
                  <c:v>67.758099999999999</c:v>
                </c:pt>
                <c:pt idx="490">
                  <c:v>67.854299999999995</c:v>
                </c:pt>
                <c:pt idx="491">
                  <c:v>68.284899999999993</c:v>
                </c:pt>
                <c:pt idx="492">
                  <c:v>69.748099999999994</c:v>
                </c:pt>
                <c:pt idx="494">
                  <c:v>70.4345</c:v>
                </c:pt>
                <c:pt idx="495">
                  <c:v>69.521199999999993</c:v>
                </c:pt>
                <c:pt idx="496">
                  <c:v>68.802199999999999</c:v>
                </c:pt>
                <c:pt idx="497">
                  <c:v>68.379199999999997</c:v>
                </c:pt>
                <c:pt idx="498">
                  <c:v>68.261899999999997</c:v>
                </c:pt>
                <c:pt idx="499">
                  <c:v>69.230900000000005</c:v>
                </c:pt>
                <c:pt idx="500">
                  <c:v>68.046499999999995</c:v>
                </c:pt>
                <c:pt idx="501">
                  <c:v>69.405900000000003</c:v>
                </c:pt>
                <c:pt idx="502">
                  <c:v>69.179000000000002</c:v>
                </c:pt>
                <c:pt idx="503">
                  <c:v>69.921199999999999</c:v>
                </c:pt>
                <c:pt idx="504">
                  <c:v>69.7577</c:v>
                </c:pt>
                <c:pt idx="505">
                  <c:v>69.955799999999996</c:v>
                </c:pt>
                <c:pt idx="506">
                  <c:v>69.969200000000001</c:v>
                </c:pt>
                <c:pt idx="507">
                  <c:v>68.581000000000003</c:v>
                </c:pt>
                <c:pt idx="508">
                  <c:v>69.332800000000006</c:v>
                </c:pt>
                <c:pt idx="509">
                  <c:v>73.312799999999996</c:v>
                </c:pt>
                <c:pt idx="510">
                  <c:v>74.183800000000005</c:v>
                </c:pt>
                <c:pt idx="511">
                  <c:v>73.449299999999994</c:v>
                </c:pt>
                <c:pt idx="512">
                  <c:v>74.218400000000003</c:v>
                </c:pt>
                <c:pt idx="513">
                  <c:v>74.866399999999999</c:v>
                </c:pt>
                <c:pt idx="514">
                  <c:v>76.060400000000001</c:v>
                </c:pt>
                <c:pt idx="516">
                  <c:v>68.752200000000002</c:v>
                </c:pt>
                <c:pt idx="517">
                  <c:v>69.538600000000002</c:v>
                </c:pt>
                <c:pt idx="518">
                  <c:v>68.973299999999995</c:v>
                </c:pt>
                <c:pt idx="519">
                  <c:v>68.911799999999999</c:v>
                </c:pt>
                <c:pt idx="520">
                  <c:v>68.892499999999998</c:v>
                </c:pt>
                <c:pt idx="521">
                  <c:v>67.819599999999994</c:v>
                </c:pt>
                <c:pt idx="522">
                  <c:v>68.823300000000003</c:v>
                </c:pt>
                <c:pt idx="523">
                  <c:v>67.246700000000004</c:v>
                </c:pt>
                <c:pt idx="524">
                  <c:v>61.884300000000003</c:v>
                </c:pt>
                <c:pt idx="525">
                  <c:v>66.991</c:v>
                </c:pt>
                <c:pt idx="526">
                  <c:v>66.412199999999999</c:v>
                </c:pt>
                <c:pt idx="527">
                  <c:v>65.575900000000004</c:v>
                </c:pt>
                <c:pt idx="528">
                  <c:v>66.312200000000004</c:v>
                </c:pt>
                <c:pt idx="529">
                  <c:v>65.516300000000001</c:v>
                </c:pt>
                <c:pt idx="530">
                  <c:v>66.771799999999999</c:v>
                </c:pt>
                <c:pt idx="531">
                  <c:v>67.702399999999997</c:v>
                </c:pt>
                <c:pt idx="532">
                  <c:v>68.1965</c:v>
                </c:pt>
                <c:pt idx="533">
                  <c:v>68.865600000000001</c:v>
                </c:pt>
                <c:pt idx="534">
                  <c:v>70.053799999999995</c:v>
                </c:pt>
                <c:pt idx="536">
                  <c:v>71.447800000000001</c:v>
                </c:pt>
                <c:pt idx="537">
                  <c:v>71.528499999999994</c:v>
                </c:pt>
                <c:pt idx="538">
                  <c:v>69.525099999999995</c:v>
                </c:pt>
                <c:pt idx="539">
                  <c:v>69.871200000000002</c:v>
                </c:pt>
                <c:pt idx="540">
                  <c:v>69.980800000000002</c:v>
                </c:pt>
                <c:pt idx="541">
                  <c:v>68.375299999999996</c:v>
                </c:pt>
                <c:pt idx="542">
                  <c:v>69.807699999999997</c:v>
                </c:pt>
                <c:pt idx="543">
                  <c:v>72.651399999999995</c:v>
                </c:pt>
                <c:pt idx="544">
                  <c:v>75.670100000000005</c:v>
                </c:pt>
                <c:pt idx="545">
                  <c:v>74.956699999999998</c:v>
                </c:pt>
                <c:pt idx="546">
                  <c:v>79.357799999999997</c:v>
                </c:pt>
                <c:pt idx="547">
                  <c:v>70.613299999999995</c:v>
                </c:pt>
                <c:pt idx="548">
                  <c:v>69.5578</c:v>
                </c:pt>
                <c:pt idx="550">
                  <c:v>68.531099999999995</c:v>
                </c:pt>
                <c:pt idx="551">
                  <c:v>68.346500000000006</c:v>
                </c:pt>
                <c:pt idx="552">
                  <c:v>68.788700000000006</c:v>
                </c:pt>
                <c:pt idx="553">
                  <c:v>69.842299999999994</c:v>
                </c:pt>
                <c:pt idx="554">
                  <c:v>67.452399999999997</c:v>
                </c:pt>
                <c:pt idx="555">
                  <c:v>70.265299999999996</c:v>
                </c:pt>
                <c:pt idx="556">
                  <c:v>69.148200000000003</c:v>
                </c:pt>
                <c:pt idx="557">
                  <c:v>64.018500000000003</c:v>
                </c:pt>
                <c:pt idx="558">
                  <c:v>64.581800000000001</c:v>
                </c:pt>
                <c:pt idx="560">
                  <c:v>64.144400000000005</c:v>
                </c:pt>
                <c:pt idx="561">
                  <c:v>64.304000000000002</c:v>
                </c:pt>
                <c:pt idx="562">
                  <c:v>64.826999999999998</c:v>
                </c:pt>
                <c:pt idx="564">
                  <c:v>64.862499999999997</c:v>
                </c:pt>
                <c:pt idx="565">
                  <c:v>64.972099999999998</c:v>
                </c:pt>
                <c:pt idx="566">
                  <c:v>65.164400000000001</c:v>
                </c:pt>
                <c:pt idx="567">
                  <c:v>64.975999999999999</c:v>
                </c:pt>
                <c:pt idx="568">
                  <c:v>65.9114</c:v>
                </c:pt>
                <c:pt idx="569">
                  <c:v>61.934199999999997</c:v>
                </c:pt>
                <c:pt idx="570">
                  <c:v>60.513399999999997</c:v>
                </c:pt>
                <c:pt idx="571">
                  <c:v>60.759500000000003</c:v>
                </c:pt>
                <c:pt idx="573">
                  <c:v>60.729700000000001</c:v>
                </c:pt>
                <c:pt idx="574">
                  <c:v>61.032499999999999</c:v>
                </c:pt>
                <c:pt idx="575">
                  <c:v>61.430500000000002</c:v>
                </c:pt>
                <c:pt idx="577">
                  <c:v>61.196899999999999</c:v>
                </c:pt>
                <c:pt idx="578">
                  <c:v>60.411499999999997</c:v>
                </c:pt>
                <c:pt idx="579">
                  <c:v>58.4955</c:v>
                </c:pt>
                <c:pt idx="580">
                  <c:v>62.9148</c:v>
                </c:pt>
                <c:pt idx="581">
                  <c:v>59.891399999999997</c:v>
                </c:pt>
                <c:pt idx="582">
                  <c:v>52.187100000000001</c:v>
                </c:pt>
                <c:pt idx="583">
                  <c:v>49.558700000000002</c:v>
                </c:pt>
                <c:pt idx="584">
                  <c:v>49.470300000000002</c:v>
                </c:pt>
                <c:pt idx="585">
                  <c:v>52.314</c:v>
                </c:pt>
                <c:pt idx="586">
                  <c:v>52.848500000000001</c:v>
                </c:pt>
                <c:pt idx="588">
                  <c:v>54.103099999999998</c:v>
                </c:pt>
                <c:pt idx="589">
                  <c:v>52.628300000000003</c:v>
                </c:pt>
                <c:pt idx="590">
                  <c:v>53.991500000000002</c:v>
                </c:pt>
                <c:pt idx="591">
                  <c:v>53.088799999999999</c:v>
                </c:pt>
                <c:pt idx="592">
                  <c:v>53.436799999999998</c:v>
                </c:pt>
                <c:pt idx="593">
                  <c:v>53.433999999999997</c:v>
                </c:pt>
                <c:pt idx="594">
                  <c:v>54.115600000000001</c:v>
                </c:pt>
                <c:pt idx="595">
                  <c:v>53.803100000000001</c:v>
                </c:pt>
                <c:pt idx="596">
                  <c:v>53.571399999999997</c:v>
                </c:pt>
                <c:pt idx="597">
                  <c:v>53.5839</c:v>
                </c:pt>
                <c:pt idx="598">
                  <c:v>53.994399999999999</c:v>
                </c:pt>
                <c:pt idx="599">
                  <c:v>53.8127</c:v>
                </c:pt>
                <c:pt idx="600">
                  <c:v>54.258800000000001</c:v>
                </c:pt>
                <c:pt idx="601">
                  <c:v>54.053100000000001</c:v>
                </c:pt>
                <c:pt idx="602">
                  <c:v>54.934600000000003</c:v>
                </c:pt>
                <c:pt idx="603">
                  <c:v>56.12</c:v>
                </c:pt>
                <c:pt idx="604">
                  <c:v>52.689900000000002</c:v>
                </c:pt>
                <c:pt idx="605">
                  <c:v>51.688099999999999</c:v>
                </c:pt>
                <c:pt idx="606">
                  <c:v>50.933500000000002</c:v>
                </c:pt>
                <c:pt idx="607">
                  <c:v>51.831400000000002</c:v>
                </c:pt>
                <c:pt idx="608">
                  <c:v>59.500100000000003</c:v>
                </c:pt>
                <c:pt idx="609">
                  <c:v>59.734699999999997</c:v>
                </c:pt>
                <c:pt idx="610">
                  <c:v>57.703299999999999</c:v>
                </c:pt>
                <c:pt idx="611">
                  <c:v>57.3063</c:v>
                </c:pt>
                <c:pt idx="612">
                  <c:v>56.400700000000001</c:v>
                </c:pt>
                <c:pt idx="613">
                  <c:v>57.9696</c:v>
                </c:pt>
                <c:pt idx="614">
                  <c:v>56.618000000000002</c:v>
                </c:pt>
                <c:pt idx="615">
                  <c:v>56.579500000000003</c:v>
                </c:pt>
                <c:pt idx="616">
                  <c:v>56.433399999999999</c:v>
                </c:pt>
                <c:pt idx="617">
                  <c:v>56.364199999999997</c:v>
                </c:pt>
                <c:pt idx="619">
                  <c:v>57.109200000000001</c:v>
                </c:pt>
                <c:pt idx="620">
                  <c:v>57.671599999999998</c:v>
                </c:pt>
                <c:pt idx="621">
                  <c:v>57.363999999999997</c:v>
                </c:pt>
                <c:pt idx="623">
                  <c:v>57.651400000000002</c:v>
                </c:pt>
                <c:pt idx="624">
                  <c:v>57.531199999999998</c:v>
                </c:pt>
                <c:pt idx="625">
                  <c:v>54.997100000000003</c:v>
                </c:pt>
                <c:pt idx="626">
                  <c:v>54.335700000000003</c:v>
                </c:pt>
                <c:pt idx="627">
                  <c:v>53.268599999999999</c:v>
                </c:pt>
                <c:pt idx="628">
                  <c:v>54.162700000000001</c:v>
                </c:pt>
                <c:pt idx="629">
                  <c:v>54.933700000000002</c:v>
                </c:pt>
                <c:pt idx="630">
                  <c:v>56.494900000000001</c:v>
                </c:pt>
                <c:pt idx="631">
                  <c:v>55.819099999999999</c:v>
                </c:pt>
                <c:pt idx="632">
                  <c:v>55.135599999999997</c:v>
                </c:pt>
                <c:pt idx="633">
                  <c:v>54.749099999999999</c:v>
                </c:pt>
                <c:pt idx="634">
                  <c:v>52.075600000000001</c:v>
                </c:pt>
                <c:pt idx="635">
                  <c:v>52.0929</c:v>
                </c:pt>
                <c:pt idx="636">
                  <c:v>52.082299999999996</c:v>
                </c:pt>
                <c:pt idx="637">
                  <c:v>51.292099999999998</c:v>
                </c:pt>
                <c:pt idx="638">
                  <c:v>51.898699999999998</c:v>
                </c:pt>
                <c:pt idx="639">
                  <c:v>52.299599999999998</c:v>
                </c:pt>
                <c:pt idx="640">
                  <c:v>53.161900000000003</c:v>
                </c:pt>
                <c:pt idx="641">
                  <c:v>52.498600000000003</c:v>
                </c:pt>
                <c:pt idx="642">
                  <c:v>52.528399999999998</c:v>
                </c:pt>
                <c:pt idx="644">
                  <c:v>50.720999999999997</c:v>
                </c:pt>
                <c:pt idx="645">
                  <c:v>50.208599999999997</c:v>
                </c:pt>
                <c:pt idx="646">
                  <c:v>50.932499999999997</c:v>
                </c:pt>
                <c:pt idx="647">
                  <c:v>51.648699999999998</c:v>
                </c:pt>
                <c:pt idx="648">
                  <c:v>52.681199999999997</c:v>
                </c:pt>
                <c:pt idx="649">
                  <c:v>52.385100000000001</c:v>
                </c:pt>
                <c:pt idx="650">
                  <c:v>52.752400000000002</c:v>
                </c:pt>
                <c:pt idx="651">
                  <c:v>53.317599999999999</c:v>
                </c:pt>
                <c:pt idx="652">
                  <c:v>52.541800000000002</c:v>
                </c:pt>
                <c:pt idx="653">
                  <c:v>53.3369</c:v>
                </c:pt>
                <c:pt idx="654">
                  <c:v>51.279600000000002</c:v>
                </c:pt>
                <c:pt idx="655">
                  <c:v>50.448999999999998</c:v>
                </c:pt>
                <c:pt idx="656">
                  <c:v>48.415700000000001</c:v>
                </c:pt>
                <c:pt idx="657">
                  <c:v>49.678899999999999</c:v>
                </c:pt>
                <c:pt idx="658">
                  <c:v>50.441299999999998</c:v>
                </c:pt>
                <c:pt idx="659">
                  <c:v>49.502000000000002</c:v>
                </c:pt>
                <c:pt idx="660">
                  <c:v>48.981900000000003</c:v>
                </c:pt>
                <c:pt idx="661">
                  <c:v>50.003799999999998</c:v>
                </c:pt>
                <c:pt idx="662">
                  <c:v>50.5182</c:v>
                </c:pt>
                <c:pt idx="664">
                  <c:v>52.195700000000002</c:v>
                </c:pt>
                <c:pt idx="665">
                  <c:v>52.749499999999998</c:v>
                </c:pt>
                <c:pt idx="666">
                  <c:v>53.341700000000003</c:v>
                </c:pt>
                <c:pt idx="667">
                  <c:v>55.548000000000002</c:v>
                </c:pt>
                <c:pt idx="668">
                  <c:v>52.964799999999997</c:v>
                </c:pt>
                <c:pt idx="669">
                  <c:v>51.875599999999999</c:v>
                </c:pt>
                <c:pt idx="670">
                  <c:v>52.958100000000002</c:v>
                </c:pt>
                <c:pt idx="671">
                  <c:v>54.003999999999998</c:v>
                </c:pt>
                <c:pt idx="673">
                  <c:v>52.445700000000002</c:v>
                </c:pt>
                <c:pt idx="674">
                  <c:v>53.929099999999998</c:v>
                </c:pt>
                <c:pt idx="675">
                  <c:v>49.596200000000003</c:v>
                </c:pt>
                <c:pt idx="676">
                  <c:v>47.103400000000001</c:v>
                </c:pt>
                <c:pt idx="677">
                  <c:v>47.178400000000003</c:v>
                </c:pt>
                <c:pt idx="678">
                  <c:v>47.558199999999999</c:v>
                </c:pt>
                <c:pt idx="679">
                  <c:v>48.192700000000002</c:v>
                </c:pt>
                <c:pt idx="680">
                  <c:v>47.602400000000003</c:v>
                </c:pt>
                <c:pt idx="681">
                  <c:v>47.153399999999998</c:v>
                </c:pt>
                <c:pt idx="682">
                  <c:v>46.026699999999998</c:v>
                </c:pt>
                <c:pt idx="683">
                  <c:v>47.340899999999998</c:v>
                </c:pt>
                <c:pt idx="684">
                  <c:v>47.286099999999998</c:v>
                </c:pt>
                <c:pt idx="685">
                  <c:v>41.081499999999998</c:v>
                </c:pt>
                <c:pt idx="686">
                  <c:v>38.758899999999997</c:v>
                </c:pt>
                <c:pt idx="687">
                  <c:v>40.749899999999997</c:v>
                </c:pt>
                <c:pt idx="689">
                  <c:v>40.506599999999999</c:v>
                </c:pt>
                <c:pt idx="690">
                  <c:v>40.822899999999997</c:v>
                </c:pt>
                <c:pt idx="691">
                  <c:v>41.479500000000002</c:v>
                </c:pt>
                <c:pt idx="692">
                  <c:v>41.304600000000001</c:v>
                </c:pt>
                <c:pt idx="693">
                  <c:v>40.4893</c:v>
                </c:pt>
                <c:pt idx="694">
                  <c:v>40.9758</c:v>
                </c:pt>
                <c:pt idx="695">
                  <c:v>39.797199999999997</c:v>
                </c:pt>
                <c:pt idx="696">
                  <c:v>39.355899999999998</c:v>
                </c:pt>
                <c:pt idx="697">
                  <c:v>39.776000000000003</c:v>
                </c:pt>
                <c:pt idx="698">
                  <c:v>39.427</c:v>
                </c:pt>
                <c:pt idx="699">
                  <c:v>39.146299999999997</c:v>
                </c:pt>
                <c:pt idx="700">
                  <c:v>38.508000000000003</c:v>
                </c:pt>
                <c:pt idx="701">
                  <c:v>37.859099999999998</c:v>
                </c:pt>
                <c:pt idx="702">
                  <c:v>37.6706</c:v>
                </c:pt>
                <c:pt idx="703">
                  <c:v>37.730200000000004</c:v>
                </c:pt>
                <c:pt idx="705">
                  <c:v>38.121499999999997</c:v>
                </c:pt>
                <c:pt idx="706">
                  <c:v>37.483199999999997</c:v>
                </c:pt>
                <c:pt idx="707">
                  <c:v>37.820599999999999</c:v>
                </c:pt>
                <c:pt idx="708">
                  <c:v>38.074399999999997</c:v>
                </c:pt>
                <c:pt idx="709">
                  <c:v>38.134999999999998</c:v>
                </c:pt>
                <c:pt idx="710">
                  <c:v>38.633000000000003</c:v>
                </c:pt>
                <c:pt idx="711">
                  <c:v>39.491399999999999</c:v>
                </c:pt>
                <c:pt idx="712">
                  <c:v>40.215299999999999</c:v>
                </c:pt>
                <c:pt idx="714">
                  <c:v>40.942100000000003</c:v>
                </c:pt>
                <c:pt idx="715">
                  <c:v>42.0563</c:v>
                </c:pt>
                <c:pt idx="716">
                  <c:v>41.137300000000003</c:v>
                </c:pt>
                <c:pt idx="717">
                  <c:v>40.352800000000002</c:v>
                </c:pt>
                <c:pt idx="718">
                  <c:v>39.822200000000002</c:v>
                </c:pt>
                <c:pt idx="719">
                  <c:v>41.0959</c:v>
                </c:pt>
                <c:pt idx="720">
                  <c:v>41.866900000000001</c:v>
                </c:pt>
                <c:pt idx="721">
                  <c:v>41.507399999999997</c:v>
                </c:pt>
                <c:pt idx="722">
                  <c:v>40.97</c:v>
                </c:pt>
                <c:pt idx="723">
                  <c:v>41.378599999999999</c:v>
                </c:pt>
                <c:pt idx="724">
                  <c:v>41.292999999999999</c:v>
                </c:pt>
                <c:pt idx="725">
                  <c:v>41.676600000000001</c:v>
                </c:pt>
                <c:pt idx="726">
                  <c:v>42.783099999999997</c:v>
                </c:pt>
                <c:pt idx="727">
                  <c:v>41.603499999999997</c:v>
                </c:pt>
                <c:pt idx="728">
                  <c:v>41.063299999999998</c:v>
                </c:pt>
                <c:pt idx="729">
                  <c:v>41.026699999999998</c:v>
                </c:pt>
                <c:pt idx="730">
                  <c:v>42.0563</c:v>
                </c:pt>
                <c:pt idx="731">
                  <c:v>42.626399999999997</c:v>
                </c:pt>
                <c:pt idx="732">
                  <c:v>42.320700000000002</c:v>
                </c:pt>
                <c:pt idx="733">
                  <c:v>42.622599999999998</c:v>
                </c:pt>
                <c:pt idx="734">
                  <c:v>41.806399999999996</c:v>
                </c:pt>
                <c:pt idx="735">
                  <c:v>41.102699999999999</c:v>
                </c:pt>
                <c:pt idx="736">
                  <c:v>41.192999999999998</c:v>
                </c:pt>
                <c:pt idx="737">
                  <c:v>41.287300000000002</c:v>
                </c:pt>
                <c:pt idx="739">
                  <c:v>40.545999999999999</c:v>
                </c:pt>
                <c:pt idx="740">
                  <c:v>40.278799999999997</c:v>
                </c:pt>
                <c:pt idx="741">
                  <c:v>40.601799999999997</c:v>
                </c:pt>
                <c:pt idx="742">
                  <c:v>40.6355</c:v>
                </c:pt>
                <c:pt idx="743">
                  <c:v>41.279600000000002</c:v>
                </c:pt>
                <c:pt idx="744">
                  <c:v>41.344900000000003</c:v>
                </c:pt>
                <c:pt idx="745">
                  <c:v>40.792200000000001</c:v>
                </c:pt>
                <c:pt idx="746">
                  <c:v>41.752499999999998</c:v>
                </c:pt>
                <c:pt idx="747">
                  <c:v>41.829500000000003</c:v>
                </c:pt>
                <c:pt idx="748">
                  <c:v>43.055199999999999</c:v>
                </c:pt>
                <c:pt idx="749">
                  <c:v>40.286499999999997</c:v>
                </c:pt>
                <c:pt idx="750">
                  <c:v>38.508000000000003</c:v>
                </c:pt>
                <c:pt idx="751">
                  <c:v>38.022500000000001</c:v>
                </c:pt>
                <c:pt idx="752">
                  <c:v>37.776400000000002</c:v>
                </c:pt>
                <c:pt idx="753">
                  <c:v>37.788899999999998</c:v>
                </c:pt>
                <c:pt idx="754">
                  <c:v>36.4026</c:v>
                </c:pt>
                <c:pt idx="755">
                  <c:v>37.179400000000001</c:v>
                </c:pt>
                <c:pt idx="756">
                  <c:v>37.374499999999998</c:v>
                </c:pt>
                <c:pt idx="757">
                  <c:v>36.185299999999998</c:v>
                </c:pt>
                <c:pt idx="758">
                  <c:v>35.5807</c:v>
                </c:pt>
                <c:pt idx="759">
                  <c:v>36.442999999999998</c:v>
                </c:pt>
                <c:pt idx="760">
                  <c:v>35.924799999999998</c:v>
                </c:pt>
                <c:pt idx="761">
                  <c:v>36.118099999999998</c:v>
                </c:pt>
                <c:pt idx="762">
                  <c:v>36.79</c:v>
                </c:pt>
                <c:pt idx="763">
                  <c:v>37.633099999999999</c:v>
                </c:pt>
                <c:pt idx="764">
                  <c:v>35.662399999999998</c:v>
                </c:pt>
                <c:pt idx="765">
                  <c:v>35.345100000000002</c:v>
                </c:pt>
                <c:pt idx="766">
                  <c:v>35.825800000000001</c:v>
                </c:pt>
                <c:pt idx="767">
                  <c:v>33.754100000000001</c:v>
                </c:pt>
                <c:pt idx="768">
                  <c:v>33.1648</c:v>
                </c:pt>
                <c:pt idx="769">
                  <c:v>33.464700000000001</c:v>
                </c:pt>
                <c:pt idx="770">
                  <c:v>33.789700000000003</c:v>
                </c:pt>
                <c:pt idx="772">
                  <c:v>31.597799999999999</c:v>
                </c:pt>
                <c:pt idx="773">
                  <c:v>31.839099999999998</c:v>
                </c:pt>
                <c:pt idx="774">
                  <c:v>31.135400000000001</c:v>
                </c:pt>
                <c:pt idx="775">
                  <c:v>30.880600000000001</c:v>
                </c:pt>
                <c:pt idx="776">
                  <c:v>31.367999999999999</c:v>
                </c:pt>
                <c:pt idx="777">
                  <c:v>32.305300000000003</c:v>
                </c:pt>
                <c:pt idx="778">
                  <c:v>32.408200000000001</c:v>
                </c:pt>
                <c:pt idx="779">
                  <c:v>31.958300000000001</c:v>
                </c:pt>
                <c:pt idx="780">
                  <c:v>31.365100000000002</c:v>
                </c:pt>
                <c:pt idx="781">
                  <c:v>31.494900000000001</c:v>
                </c:pt>
                <c:pt idx="782">
                  <c:v>31.045000000000002</c:v>
                </c:pt>
                <c:pt idx="783">
                  <c:v>30.8796</c:v>
                </c:pt>
                <c:pt idx="784">
                  <c:v>31.667899999999999</c:v>
                </c:pt>
                <c:pt idx="785">
                  <c:v>30.878699999999998</c:v>
                </c:pt>
                <c:pt idx="786">
                  <c:v>31.1998</c:v>
                </c:pt>
                <c:pt idx="787">
                  <c:v>31.773700000000002</c:v>
                </c:pt>
                <c:pt idx="788">
                  <c:v>30.9191</c:v>
                </c:pt>
                <c:pt idx="789">
                  <c:v>30.498899999999999</c:v>
                </c:pt>
                <c:pt idx="790">
                  <c:v>30.415299999999998</c:v>
                </c:pt>
                <c:pt idx="791">
                  <c:v>29.688500000000001</c:v>
                </c:pt>
                <c:pt idx="792">
                  <c:v>29.7789</c:v>
                </c:pt>
                <c:pt idx="793">
                  <c:v>28.073399999999999</c:v>
                </c:pt>
                <c:pt idx="794">
                  <c:v>27.6341</c:v>
                </c:pt>
                <c:pt idx="795">
                  <c:v>27.002500000000001</c:v>
                </c:pt>
                <c:pt idx="796">
                  <c:v>25.707599999999999</c:v>
                </c:pt>
                <c:pt idx="797">
                  <c:v>26.482399999999998</c:v>
                </c:pt>
                <c:pt idx="798">
                  <c:v>25.9191</c:v>
                </c:pt>
                <c:pt idx="799">
                  <c:v>26.896799999999999</c:v>
                </c:pt>
                <c:pt idx="800">
                  <c:v>27.349499999999999</c:v>
                </c:pt>
                <c:pt idx="801">
                  <c:v>28.165700000000001</c:v>
                </c:pt>
                <c:pt idx="802">
                  <c:v>24.962499999999999</c:v>
                </c:pt>
                <c:pt idx="803">
                  <c:v>24.103100000000001</c:v>
                </c:pt>
                <c:pt idx="804">
                  <c:v>23.972300000000001</c:v>
                </c:pt>
                <c:pt idx="805">
                  <c:v>24.006900000000002</c:v>
                </c:pt>
                <c:pt idx="806">
                  <c:v>22.460100000000001</c:v>
                </c:pt>
                <c:pt idx="807">
                  <c:v>22.546600000000002</c:v>
                </c:pt>
                <c:pt idx="808">
                  <c:v>21.863099999999999</c:v>
                </c:pt>
                <c:pt idx="809">
                  <c:v>22.135200000000001</c:v>
                </c:pt>
                <c:pt idx="810">
                  <c:v>22.202500000000001</c:v>
                </c:pt>
                <c:pt idx="811">
                  <c:v>22.3371</c:v>
                </c:pt>
                <c:pt idx="812">
                  <c:v>21.938099999999999</c:v>
                </c:pt>
                <c:pt idx="813">
                  <c:v>21.567</c:v>
                </c:pt>
                <c:pt idx="815">
                  <c:v>21.855399999999999</c:v>
                </c:pt>
                <c:pt idx="816">
                  <c:v>21.334399999999999</c:v>
                </c:pt>
                <c:pt idx="817">
                  <c:v>21.453600000000002</c:v>
                </c:pt>
                <c:pt idx="818">
                  <c:v>21.297799999999999</c:v>
                </c:pt>
                <c:pt idx="819">
                  <c:v>21.153600000000001</c:v>
                </c:pt>
                <c:pt idx="820">
                  <c:v>20.862300000000001</c:v>
                </c:pt>
                <c:pt idx="821">
                  <c:v>21.2517</c:v>
                </c:pt>
                <c:pt idx="822">
                  <c:v>20.785399999999999</c:v>
                </c:pt>
                <c:pt idx="823">
                  <c:v>20.997900000000001</c:v>
                </c:pt>
                <c:pt idx="824">
                  <c:v>20.571000000000002</c:v>
                </c:pt>
                <c:pt idx="826">
                  <c:v>20.148</c:v>
                </c:pt>
                <c:pt idx="827">
                  <c:v>20.0596</c:v>
                </c:pt>
                <c:pt idx="828">
                  <c:v>19.702000000000002</c:v>
                </c:pt>
                <c:pt idx="829">
                  <c:v>19.777000000000001</c:v>
                </c:pt>
                <c:pt idx="831">
                  <c:v>20.274000000000001</c:v>
                </c:pt>
                <c:pt idx="832">
                  <c:v>19.991299999999999</c:v>
                </c:pt>
                <c:pt idx="834">
                  <c:v>20.4663</c:v>
                </c:pt>
                <c:pt idx="835">
                  <c:v>19.259799999999998</c:v>
                </c:pt>
                <c:pt idx="837">
                  <c:v>15.5451</c:v>
                </c:pt>
                <c:pt idx="838">
                  <c:v>15.7377</c:v>
                </c:pt>
                <c:pt idx="839">
                  <c:v>15.5435</c:v>
                </c:pt>
                <c:pt idx="840">
                  <c:v>15.3454</c:v>
                </c:pt>
                <c:pt idx="841">
                  <c:v>15.5738</c:v>
                </c:pt>
                <c:pt idx="842">
                  <c:v>15.551500000000001</c:v>
                </c:pt>
                <c:pt idx="843">
                  <c:v>15.783099999999999</c:v>
                </c:pt>
                <c:pt idx="844">
                  <c:v>15.7433</c:v>
                </c:pt>
                <c:pt idx="845">
                  <c:v>15.8459</c:v>
                </c:pt>
                <c:pt idx="846">
                  <c:v>15.5594</c:v>
                </c:pt>
                <c:pt idx="847">
                  <c:v>15.8977</c:v>
                </c:pt>
                <c:pt idx="848">
                  <c:v>16.051200000000001</c:v>
                </c:pt>
                <c:pt idx="849">
                  <c:v>16.169799999999999</c:v>
                </c:pt>
                <c:pt idx="850">
                  <c:v>16.912299999999998</c:v>
                </c:pt>
                <c:pt idx="851">
                  <c:v>17.182099999999998</c:v>
                </c:pt>
                <c:pt idx="852">
                  <c:v>17.448699999999999</c:v>
                </c:pt>
                <c:pt idx="854">
                  <c:v>17.481300000000001</c:v>
                </c:pt>
                <c:pt idx="855">
                  <c:v>17.363499999999998</c:v>
                </c:pt>
                <c:pt idx="856">
                  <c:v>17.322099999999999</c:v>
                </c:pt>
                <c:pt idx="857">
                  <c:v>17.6938</c:v>
                </c:pt>
                <c:pt idx="858">
                  <c:v>18.593</c:v>
                </c:pt>
                <c:pt idx="859">
                  <c:v>18.1935</c:v>
                </c:pt>
                <c:pt idx="860">
                  <c:v>18.534099999999999</c:v>
                </c:pt>
                <c:pt idx="861">
                  <c:v>18.366199999999999</c:v>
                </c:pt>
                <c:pt idx="862">
                  <c:v>18.289000000000001</c:v>
                </c:pt>
                <c:pt idx="863">
                  <c:v>18.529399999999999</c:v>
                </c:pt>
                <c:pt idx="864">
                  <c:v>18.002500000000001</c:v>
                </c:pt>
                <c:pt idx="865">
                  <c:v>17.8505</c:v>
                </c:pt>
                <c:pt idx="866">
                  <c:v>18.127500000000001</c:v>
                </c:pt>
                <c:pt idx="867">
                  <c:v>18.347899999999999</c:v>
                </c:pt>
                <c:pt idx="868">
                  <c:v>17.984999999999999</c:v>
                </c:pt>
                <c:pt idx="869">
                  <c:v>17.8155</c:v>
                </c:pt>
                <c:pt idx="870">
                  <c:v>18.1434</c:v>
                </c:pt>
                <c:pt idx="871">
                  <c:v>18.778500000000001</c:v>
                </c:pt>
                <c:pt idx="872">
                  <c:v>17.7256</c:v>
                </c:pt>
                <c:pt idx="873">
                  <c:v>17.988199999999999</c:v>
                </c:pt>
                <c:pt idx="874">
                  <c:v>17.7789</c:v>
                </c:pt>
                <c:pt idx="875">
                  <c:v>17.779699999999998</c:v>
                </c:pt>
                <c:pt idx="876">
                  <c:v>18.160900000000002</c:v>
                </c:pt>
                <c:pt idx="877">
                  <c:v>17.288699999999999</c:v>
                </c:pt>
                <c:pt idx="878">
                  <c:v>16.718900000000001</c:v>
                </c:pt>
                <c:pt idx="879">
                  <c:v>16.4436</c:v>
                </c:pt>
                <c:pt idx="880">
                  <c:v>16.161100000000001</c:v>
                </c:pt>
                <c:pt idx="882">
                  <c:v>16.780200000000001</c:v>
                </c:pt>
                <c:pt idx="883">
                  <c:v>16.542300000000001</c:v>
                </c:pt>
                <c:pt idx="884">
                  <c:v>16.433199999999999</c:v>
                </c:pt>
                <c:pt idx="885">
                  <c:v>16.8765</c:v>
                </c:pt>
                <c:pt idx="886">
                  <c:v>16.4969</c:v>
                </c:pt>
                <c:pt idx="887">
                  <c:v>16.2319</c:v>
                </c:pt>
                <c:pt idx="888">
                  <c:v>15.351699999999999</c:v>
                </c:pt>
                <c:pt idx="889">
                  <c:v>15.9406</c:v>
                </c:pt>
                <c:pt idx="890">
                  <c:v>15.136100000000001</c:v>
                </c:pt>
                <c:pt idx="891">
                  <c:v>15.2936</c:v>
                </c:pt>
                <c:pt idx="892">
                  <c:v>14.6021</c:v>
                </c:pt>
                <c:pt idx="893">
                  <c:v>14.7159</c:v>
                </c:pt>
                <c:pt idx="894">
                  <c:v>14.825699999999999</c:v>
                </c:pt>
                <c:pt idx="895">
                  <c:v>14.825699999999999</c:v>
                </c:pt>
                <c:pt idx="896">
                  <c:v>14.6395</c:v>
                </c:pt>
                <c:pt idx="897">
                  <c:v>14.8973</c:v>
                </c:pt>
                <c:pt idx="898">
                  <c:v>15.117800000000001</c:v>
                </c:pt>
                <c:pt idx="899">
                  <c:v>14.0474</c:v>
                </c:pt>
                <c:pt idx="900">
                  <c:v>13.764099999999999</c:v>
                </c:pt>
                <c:pt idx="901">
                  <c:v>13.4848</c:v>
                </c:pt>
                <c:pt idx="902">
                  <c:v>13.561199999999999</c:v>
                </c:pt>
                <c:pt idx="903">
                  <c:v>13.621700000000001</c:v>
                </c:pt>
                <c:pt idx="904">
                  <c:v>13.6129</c:v>
                </c:pt>
                <c:pt idx="905">
                  <c:v>13.1561</c:v>
                </c:pt>
                <c:pt idx="906">
                  <c:v>13.6249</c:v>
                </c:pt>
                <c:pt idx="907">
                  <c:v>13.5875</c:v>
                </c:pt>
                <c:pt idx="908">
                  <c:v>13.4068</c:v>
                </c:pt>
                <c:pt idx="909">
                  <c:v>13.4808</c:v>
                </c:pt>
                <c:pt idx="910">
                  <c:v>13.603400000000001</c:v>
                </c:pt>
                <c:pt idx="911">
                  <c:v>13.7235</c:v>
                </c:pt>
                <c:pt idx="912">
                  <c:v>13.7013</c:v>
                </c:pt>
                <c:pt idx="913">
                  <c:v>13.713200000000001</c:v>
                </c:pt>
                <c:pt idx="914">
                  <c:v>13.7936</c:v>
                </c:pt>
                <c:pt idx="915">
                  <c:v>13.8238</c:v>
                </c:pt>
                <c:pt idx="916">
                  <c:v>14.1557</c:v>
                </c:pt>
                <c:pt idx="917">
                  <c:v>14.0618</c:v>
                </c:pt>
                <c:pt idx="918">
                  <c:v>14.1549</c:v>
                </c:pt>
                <c:pt idx="919">
                  <c:v>13.9535</c:v>
                </c:pt>
                <c:pt idx="920">
                  <c:v>14.013199999999999</c:v>
                </c:pt>
                <c:pt idx="921">
                  <c:v>14.193899999999999</c:v>
                </c:pt>
                <c:pt idx="922">
                  <c:v>14.2575</c:v>
                </c:pt>
                <c:pt idx="923">
                  <c:v>14.2209</c:v>
                </c:pt>
                <c:pt idx="924">
                  <c:v>13.9129</c:v>
                </c:pt>
                <c:pt idx="925">
                  <c:v>13.858000000000001</c:v>
                </c:pt>
                <c:pt idx="926">
                  <c:v>13.620100000000001</c:v>
                </c:pt>
                <c:pt idx="927">
                  <c:v>13.816599999999999</c:v>
                </c:pt>
                <c:pt idx="928">
                  <c:v>13.7681</c:v>
                </c:pt>
                <c:pt idx="929">
                  <c:v>13.7506</c:v>
                </c:pt>
                <c:pt idx="930">
                  <c:v>14.4254</c:v>
                </c:pt>
                <c:pt idx="931">
                  <c:v>14.952299999999999</c:v>
                </c:pt>
                <c:pt idx="932">
                  <c:v>14.8018</c:v>
                </c:pt>
                <c:pt idx="933">
                  <c:v>14.096</c:v>
                </c:pt>
                <c:pt idx="934">
                  <c:v>13.912100000000001</c:v>
                </c:pt>
                <c:pt idx="935">
                  <c:v>13.9352</c:v>
                </c:pt>
                <c:pt idx="936">
                  <c:v>13.858000000000001</c:v>
                </c:pt>
                <c:pt idx="937">
                  <c:v>13.5357</c:v>
                </c:pt>
                <c:pt idx="939">
                  <c:v>13.512700000000001</c:v>
                </c:pt>
                <c:pt idx="940">
                  <c:v>13.452999999999999</c:v>
                </c:pt>
                <c:pt idx="941">
                  <c:v>13.526999999999999</c:v>
                </c:pt>
                <c:pt idx="942">
                  <c:v>13.4657</c:v>
                </c:pt>
                <c:pt idx="943">
                  <c:v>13.405200000000001</c:v>
                </c:pt>
                <c:pt idx="944">
                  <c:v>13.441800000000001</c:v>
                </c:pt>
                <c:pt idx="945">
                  <c:v>13.369400000000001</c:v>
                </c:pt>
                <c:pt idx="946">
                  <c:v>13.3559</c:v>
                </c:pt>
                <c:pt idx="948">
                  <c:v>13.4076</c:v>
                </c:pt>
                <c:pt idx="949">
                  <c:v>13.549300000000001</c:v>
                </c:pt>
                <c:pt idx="950">
                  <c:v>13.5381</c:v>
                </c:pt>
                <c:pt idx="951">
                  <c:v>13.526199999999999</c:v>
                </c:pt>
                <c:pt idx="952">
                  <c:v>13.7219</c:v>
                </c:pt>
                <c:pt idx="953">
                  <c:v>13.64</c:v>
                </c:pt>
                <c:pt idx="954">
                  <c:v>13.5867</c:v>
                </c:pt>
                <c:pt idx="955">
                  <c:v>13.7928</c:v>
                </c:pt>
                <c:pt idx="956">
                  <c:v>14.268700000000001</c:v>
                </c:pt>
                <c:pt idx="957">
                  <c:v>13.9893</c:v>
                </c:pt>
                <c:pt idx="958">
                  <c:v>13.801500000000001</c:v>
                </c:pt>
                <c:pt idx="959">
                  <c:v>14.1676</c:v>
                </c:pt>
                <c:pt idx="960">
                  <c:v>14.267099999999999</c:v>
                </c:pt>
                <c:pt idx="961">
                  <c:v>14.0641</c:v>
                </c:pt>
                <c:pt idx="963">
                  <c:v>13.581099999999999</c:v>
                </c:pt>
                <c:pt idx="964">
                  <c:v>13.5349</c:v>
                </c:pt>
                <c:pt idx="965">
                  <c:v>13.150600000000001</c:v>
                </c:pt>
                <c:pt idx="966">
                  <c:v>13.0169</c:v>
                </c:pt>
                <c:pt idx="967">
                  <c:v>12.899100000000001</c:v>
                </c:pt>
                <c:pt idx="968">
                  <c:v>13.404400000000001</c:v>
                </c:pt>
                <c:pt idx="969">
                  <c:v>13.3726</c:v>
                </c:pt>
                <c:pt idx="970">
                  <c:v>14.4262</c:v>
                </c:pt>
                <c:pt idx="971">
                  <c:v>14.63</c:v>
                </c:pt>
                <c:pt idx="972">
                  <c:v>14.6069</c:v>
                </c:pt>
                <c:pt idx="973">
                  <c:v>14.735799999999999</c:v>
                </c:pt>
                <c:pt idx="974">
                  <c:v>14.846399999999999</c:v>
                </c:pt>
                <c:pt idx="975">
                  <c:v>15.1074</c:v>
                </c:pt>
                <c:pt idx="976">
                  <c:v>15.658099999999999</c:v>
                </c:pt>
                <c:pt idx="977">
                  <c:v>15.526</c:v>
                </c:pt>
                <c:pt idx="978">
                  <c:v>15.8467</c:v>
                </c:pt>
                <c:pt idx="979">
                  <c:v>15.6724</c:v>
                </c:pt>
                <c:pt idx="980">
                  <c:v>14.973699999999999</c:v>
                </c:pt>
                <c:pt idx="981">
                  <c:v>14.485900000000001</c:v>
                </c:pt>
                <c:pt idx="982">
                  <c:v>14.144500000000001</c:v>
                </c:pt>
                <c:pt idx="983">
                  <c:v>13.8771</c:v>
                </c:pt>
                <c:pt idx="984">
                  <c:v>14.0442</c:v>
                </c:pt>
                <c:pt idx="985">
                  <c:v>14.192299999999999</c:v>
                </c:pt>
                <c:pt idx="986">
                  <c:v>14.628399999999999</c:v>
                </c:pt>
                <c:pt idx="988">
                  <c:v>15.0024</c:v>
                </c:pt>
                <c:pt idx="989">
                  <c:v>14.7064</c:v>
                </c:pt>
                <c:pt idx="990">
                  <c:v>14.019600000000001</c:v>
                </c:pt>
                <c:pt idx="991">
                  <c:v>14.212999999999999</c:v>
                </c:pt>
                <c:pt idx="992">
                  <c:v>13.763299999999999</c:v>
                </c:pt>
                <c:pt idx="993">
                  <c:v>13.558</c:v>
                </c:pt>
                <c:pt idx="994">
                  <c:v>13.742599999999999</c:v>
                </c:pt>
                <c:pt idx="995">
                  <c:v>13.692500000000001</c:v>
                </c:pt>
                <c:pt idx="996">
                  <c:v>13.0845</c:v>
                </c:pt>
                <c:pt idx="997">
                  <c:v>13.0837</c:v>
                </c:pt>
                <c:pt idx="998">
                  <c:v>13.1004</c:v>
                </c:pt>
                <c:pt idx="1000">
                  <c:v>13.348699999999999</c:v>
                </c:pt>
                <c:pt idx="1001">
                  <c:v>13.0161</c:v>
                </c:pt>
                <c:pt idx="1002">
                  <c:v>12.8911</c:v>
                </c:pt>
                <c:pt idx="1004">
                  <c:v>13.605</c:v>
                </c:pt>
                <c:pt idx="1005">
                  <c:v>13.5381</c:v>
                </c:pt>
                <c:pt idx="1006">
                  <c:v>13.301</c:v>
                </c:pt>
                <c:pt idx="1007">
                  <c:v>13.4872</c:v>
                </c:pt>
                <c:pt idx="1008">
                  <c:v>13.4808</c:v>
                </c:pt>
                <c:pt idx="1009">
                  <c:v>13.6782</c:v>
                </c:pt>
                <c:pt idx="1010">
                  <c:v>13.8222</c:v>
                </c:pt>
                <c:pt idx="1011">
                  <c:v>13.460900000000001</c:v>
                </c:pt>
                <c:pt idx="1012">
                  <c:v>13.585100000000001</c:v>
                </c:pt>
                <c:pt idx="1013">
                  <c:v>13.6838</c:v>
                </c:pt>
                <c:pt idx="1014">
                  <c:v>13.9726</c:v>
                </c:pt>
                <c:pt idx="1015">
                  <c:v>13.6129</c:v>
                </c:pt>
                <c:pt idx="1016">
                  <c:v>13.5031</c:v>
                </c:pt>
                <c:pt idx="1017">
                  <c:v>13.328799999999999</c:v>
                </c:pt>
                <c:pt idx="1018">
                  <c:v>13.188000000000001</c:v>
                </c:pt>
                <c:pt idx="1019">
                  <c:v>13.3026</c:v>
                </c:pt>
                <c:pt idx="1020">
                  <c:v>12.844200000000001</c:v>
                </c:pt>
                <c:pt idx="1021">
                  <c:v>12.0524</c:v>
                </c:pt>
                <c:pt idx="1022">
                  <c:v>12.2179</c:v>
                </c:pt>
                <c:pt idx="1023">
                  <c:v>12.246499999999999</c:v>
                </c:pt>
                <c:pt idx="1024">
                  <c:v>12.3261</c:v>
                </c:pt>
                <c:pt idx="1025">
                  <c:v>12.5442</c:v>
                </c:pt>
                <c:pt idx="1026">
                  <c:v>12.376300000000001</c:v>
                </c:pt>
                <c:pt idx="1027">
                  <c:v>12.156599999999999</c:v>
                </c:pt>
                <c:pt idx="1028">
                  <c:v>12.1113</c:v>
                </c:pt>
                <c:pt idx="1029">
                  <c:v>12.283899999999999</c:v>
                </c:pt>
                <c:pt idx="1030">
                  <c:v>12.0802</c:v>
                </c:pt>
                <c:pt idx="1031">
                  <c:v>11.8956</c:v>
                </c:pt>
                <c:pt idx="1032">
                  <c:v>11.684699999999999</c:v>
                </c:pt>
                <c:pt idx="1033">
                  <c:v>11.4953</c:v>
                </c:pt>
                <c:pt idx="1034">
                  <c:v>10.994</c:v>
                </c:pt>
                <c:pt idx="1035">
                  <c:v>10.8706</c:v>
                </c:pt>
                <c:pt idx="1036">
                  <c:v>10.8825</c:v>
                </c:pt>
                <c:pt idx="1037">
                  <c:v>10.644600000000001</c:v>
                </c:pt>
                <c:pt idx="1038">
                  <c:v>10.5921</c:v>
                </c:pt>
                <c:pt idx="1039">
                  <c:v>10.1417</c:v>
                </c:pt>
                <c:pt idx="1040">
                  <c:v>10.587300000000001</c:v>
                </c:pt>
                <c:pt idx="1041">
                  <c:v>10.4345</c:v>
                </c:pt>
                <c:pt idx="1042">
                  <c:v>10.391500000000001</c:v>
                </c:pt>
                <c:pt idx="1043">
                  <c:v>10.065300000000001</c:v>
                </c:pt>
                <c:pt idx="1044">
                  <c:v>9.8734999999999999</c:v>
                </c:pt>
                <c:pt idx="1045">
                  <c:v>10.5459</c:v>
                </c:pt>
                <c:pt idx="1046">
                  <c:v>10.6884</c:v>
                </c:pt>
                <c:pt idx="1047">
                  <c:v>11.1364</c:v>
                </c:pt>
                <c:pt idx="1048">
                  <c:v>11.4985</c:v>
                </c:pt>
                <c:pt idx="1049">
                  <c:v>11.599600000000001</c:v>
                </c:pt>
                <c:pt idx="1050">
                  <c:v>11.6187</c:v>
                </c:pt>
                <c:pt idx="1051">
                  <c:v>11.7738</c:v>
                </c:pt>
                <c:pt idx="1052">
                  <c:v>11.887600000000001</c:v>
                </c:pt>
                <c:pt idx="1053">
                  <c:v>12.228199999999999</c:v>
                </c:pt>
                <c:pt idx="1054">
                  <c:v>11.9879</c:v>
                </c:pt>
                <c:pt idx="1055">
                  <c:v>11.779400000000001</c:v>
                </c:pt>
                <c:pt idx="1056">
                  <c:v>11.5311</c:v>
                </c:pt>
                <c:pt idx="1057">
                  <c:v>11.8001</c:v>
                </c:pt>
                <c:pt idx="1058">
                  <c:v>12.360300000000001</c:v>
                </c:pt>
                <c:pt idx="1059">
                  <c:v>12.462199999999999</c:v>
                </c:pt>
                <c:pt idx="1060">
                  <c:v>12.7471</c:v>
                </c:pt>
                <c:pt idx="1061">
                  <c:v>12.757400000000001</c:v>
                </c:pt>
                <c:pt idx="1062">
                  <c:v>12.876799999999999</c:v>
                </c:pt>
                <c:pt idx="1063">
                  <c:v>12.875999999999999</c:v>
                </c:pt>
                <c:pt idx="1064">
                  <c:v>12.9198</c:v>
                </c:pt>
                <c:pt idx="1065">
                  <c:v>12.7065</c:v>
                </c:pt>
                <c:pt idx="1066">
                  <c:v>12.648400000000001</c:v>
                </c:pt>
                <c:pt idx="1067">
                  <c:v>12.4598</c:v>
                </c:pt>
                <c:pt idx="1068">
                  <c:v>12.4009</c:v>
                </c:pt>
                <c:pt idx="1069">
                  <c:v>12.821099999999999</c:v>
                </c:pt>
                <c:pt idx="1070">
                  <c:v>13.0893</c:v>
                </c:pt>
                <c:pt idx="1071">
                  <c:v>13.136200000000001</c:v>
                </c:pt>
                <c:pt idx="1072">
                  <c:v>13.1633</c:v>
                </c:pt>
                <c:pt idx="1074">
                  <c:v>13.4514</c:v>
                </c:pt>
                <c:pt idx="1075">
                  <c:v>13.689299999999999</c:v>
                </c:pt>
                <c:pt idx="1076">
                  <c:v>13.8413</c:v>
                </c:pt>
                <c:pt idx="1077">
                  <c:v>13.886699999999999</c:v>
                </c:pt>
                <c:pt idx="1078">
                  <c:v>13.871600000000001</c:v>
                </c:pt>
                <c:pt idx="1079">
                  <c:v>14.1342</c:v>
                </c:pt>
                <c:pt idx="1080">
                  <c:v>14.396800000000001</c:v>
                </c:pt>
                <c:pt idx="1081">
                  <c:v>14.173999999999999</c:v>
                </c:pt>
                <c:pt idx="1082">
                  <c:v>14.140499999999999</c:v>
                </c:pt>
                <c:pt idx="1083">
                  <c:v>14.179500000000001</c:v>
                </c:pt>
                <c:pt idx="1084">
                  <c:v>14.633100000000001</c:v>
                </c:pt>
                <c:pt idx="1087">
                  <c:v>14.521699999999999</c:v>
                </c:pt>
                <c:pt idx="1088">
                  <c:v>14.6602</c:v>
                </c:pt>
                <c:pt idx="1089">
                  <c:v>14.194699999999999</c:v>
                </c:pt>
                <c:pt idx="1090">
                  <c:v>14.2034</c:v>
                </c:pt>
                <c:pt idx="1091">
                  <c:v>14.2018</c:v>
                </c:pt>
                <c:pt idx="1092">
                  <c:v>13.925700000000001</c:v>
                </c:pt>
                <c:pt idx="1093">
                  <c:v>14.0037</c:v>
                </c:pt>
                <c:pt idx="1094">
                  <c:v>13.910600000000001</c:v>
                </c:pt>
                <c:pt idx="1095">
                  <c:v>13.1259</c:v>
                </c:pt>
                <c:pt idx="1096">
                  <c:v>12.642799999999999</c:v>
                </c:pt>
                <c:pt idx="1097">
                  <c:v>15.277900000000001</c:v>
                </c:pt>
                <c:pt idx="1098">
                  <c:v>15.162800000000001</c:v>
                </c:pt>
                <c:pt idx="1099">
                  <c:v>15.518800000000001</c:v>
                </c:pt>
                <c:pt idx="1100">
                  <c:v>15.9937</c:v>
                </c:pt>
                <c:pt idx="1101">
                  <c:v>16.107900000000001</c:v>
                </c:pt>
                <c:pt idx="1102">
                  <c:v>16.119399999999999</c:v>
                </c:pt>
                <c:pt idx="1103">
                  <c:v>16.152999999999999</c:v>
                </c:pt>
                <c:pt idx="1104">
                  <c:v>16.4131</c:v>
                </c:pt>
                <c:pt idx="1106">
                  <c:v>16.3507</c:v>
                </c:pt>
                <c:pt idx="1107">
                  <c:v>16.253799999999998</c:v>
                </c:pt>
                <c:pt idx="1108">
                  <c:v>16.321000000000002</c:v>
                </c:pt>
                <c:pt idx="1109">
                  <c:v>15.837300000000001</c:v>
                </c:pt>
                <c:pt idx="1110">
                  <c:v>15.758699999999999</c:v>
                </c:pt>
                <c:pt idx="1111">
                  <c:v>15.9678</c:v>
                </c:pt>
                <c:pt idx="1112">
                  <c:v>15.3748</c:v>
                </c:pt>
                <c:pt idx="1113">
                  <c:v>15.178100000000001</c:v>
                </c:pt>
                <c:pt idx="1114">
                  <c:v>14.876799999999999</c:v>
                </c:pt>
                <c:pt idx="1115">
                  <c:v>15.699199999999999</c:v>
                </c:pt>
                <c:pt idx="1116">
                  <c:v>15.9467</c:v>
                </c:pt>
                <c:pt idx="1117">
                  <c:v>15.8911</c:v>
                </c:pt>
                <c:pt idx="1119">
                  <c:v>16.250900000000001</c:v>
                </c:pt>
                <c:pt idx="1120">
                  <c:v>15.603199999999999</c:v>
                </c:pt>
                <c:pt idx="1121">
                  <c:v>14.9191</c:v>
                </c:pt>
                <c:pt idx="1122">
                  <c:v>15.9573</c:v>
                </c:pt>
                <c:pt idx="1123">
                  <c:v>15.6877</c:v>
                </c:pt>
                <c:pt idx="1124">
                  <c:v>15.9842</c:v>
                </c:pt>
                <c:pt idx="1125">
                  <c:v>16.535900000000002</c:v>
                </c:pt>
                <c:pt idx="1126">
                  <c:v>16.4313</c:v>
                </c:pt>
                <c:pt idx="1127">
                  <c:v>16.963899999999999</c:v>
                </c:pt>
                <c:pt idx="1128">
                  <c:v>16.246099999999998</c:v>
                </c:pt>
                <c:pt idx="1129">
                  <c:v>16.036000000000001</c:v>
                </c:pt>
                <c:pt idx="1130">
                  <c:v>17.256499999999999</c:v>
                </c:pt>
                <c:pt idx="1131">
                  <c:v>17.555900000000001</c:v>
                </c:pt>
                <c:pt idx="1132">
                  <c:v>17.527100000000001</c:v>
                </c:pt>
                <c:pt idx="1133">
                  <c:v>17.5578</c:v>
                </c:pt>
                <c:pt idx="1134">
                  <c:v>17.786200000000001</c:v>
                </c:pt>
                <c:pt idx="1135">
                  <c:v>17.750699999999998</c:v>
                </c:pt>
                <c:pt idx="1136">
                  <c:v>17.933</c:v>
                </c:pt>
                <c:pt idx="1137">
                  <c:v>18.118200000000002</c:v>
                </c:pt>
                <c:pt idx="1138">
                  <c:v>17.786200000000001</c:v>
                </c:pt>
                <c:pt idx="1139">
                  <c:v>17.649000000000001</c:v>
                </c:pt>
                <c:pt idx="1140">
                  <c:v>17.483000000000001</c:v>
                </c:pt>
                <c:pt idx="1141">
                  <c:v>17.636500000000002</c:v>
                </c:pt>
                <c:pt idx="1143">
                  <c:v>17.6557</c:v>
                </c:pt>
                <c:pt idx="1144">
                  <c:v>17.828399999999998</c:v>
                </c:pt>
                <c:pt idx="1145">
                  <c:v>18.299499999999998</c:v>
                </c:pt>
                <c:pt idx="1146">
                  <c:v>18.897300000000001</c:v>
                </c:pt>
                <c:pt idx="1147">
                  <c:v>18.7803</c:v>
                </c:pt>
                <c:pt idx="1148">
                  <c:v>19.024000000000001</c:v>
                </c:pt>
                <c:pt idx="1149">
                  <c:v>22.796900000000001</c:v>
                </c:pt>
                <c:pt idx="1150">
                  <c:v>22.378599999999999</c:v>
                </c:pt>
                <c:pt idx="1151">
                  <c:v>23.0886</c:v>
                </c:pt>
                <c:pt idx="1152">
                  <c:v>20.073699999999999</c:v>
                </c:pt>
                <c:pt idx="1153">
                  <c:v>20.142800000000001</c:v>
                </c:pt>
                <c:pt idx="1154">
                  <c:v>19.9605</c:v>
                </c:pt>
                <c:pt idx="1155">
                  <c:v>19.855899999999998</c:v>
                </c:pt>
                <c:pt idx="1156">
                  <c:v>19.483599999999999</c:v>
                </c:pt>
                <c:pt idx="1157">
                  <c:v>19.527799999999999</c:v>
                </c:pt>
                <c:pt idx="1158">
                  <c:v>19.201499999999999</c:v>
                </c:pt>
                <c:pt idx="1159">
                  <c:v>19.552700000000002</c:v>
                </c:pt>
                <c:pt idx="1160">
                  <c:v>19.45</c:v>
                </c:pt>
                <c:pt idx="1161">
                  <c:v>19.394400000000001</c:v>
                </c:pt>
                <c:pt idx="1162">
                  <c:v>19.653500000000001</c:v>
                </c:pt>
                <c:pt idx="1163">
                  <c:v>19.477900000000002</c:v>
                </c:pt>
                <c:pt idx="1164">
                  <c:v>19.381900000000002</c:v>
                </c:pt>
                <c:pt idx="1165">
                  <c:v>19.436599999999999</c:v>
                </c:pt>
                <c:pt idx="1166">
                  <c:v>19.5383</c:v>
                </c:pt>
                <c:pt idx="1167">
                  <c:v>19.6707</c:v>
                </c:pt>
                <c:pt idx="1168">
                  <c:v>19.441400000000002</c:v>
                </c:pt>
                <c:pt idx="1169">
                  <c:v>19.3522</c:v>
                </c:pt>
                <c:pt idx="1170">
                  <c:v>19.887599999999999</c:v>
                </c:pt>
                <c:pt idx="1171">
                  <c:v>20.709</c:v>
                </c:pt>
                <c:pt idx="1172">
                  <c:v>20.7972</c:v>
                </c:pt>
                <c:pt idx="1173">
                  <c:v>19.872199999999999</c:v>
                </c:pt>
                <c:pt idx="1174">
                  <c:v>20.124600000000001</c:v>
                </c:pt>
                <c:pt idx="1175">
                  <c:v>19.534500000000001</c:v>
                </c:pt>
                <c:pt idx="1176">
                  <c:v>19.506699999999999</c:v>
                </c:pt>
                <c:pt idx="1177">
                  <c:v>19.198599999999999</c:v>
                </c:pt>
                <c:pt idx="1178">
                  <c:v>18.968299999999999</c:v>
                </c:pt>
                <c:pt idx="1179">
                  <c:v>18.850300000000001</c:v>
                </c:pt>
                <c:pt idx="1180">
                  <c:v>19.1938</c:v>
                </c:pt>
                <c:pt idx="1181">
                  <c:v>19.398199999999999</c:v>
                </c:pt>
                <c:pt idx="1182">
                  <c:v>18.9482</c:v>
                </c:pt>
                <c:pt idx="1183">
                  <c:v>18.871400000000001</c:v>
                </c:pt>
                <c:pt idx="1184">
                  <c:v>18.0932</c:v>
                </c:pt>
                <c:pt idx="1185">
                  <c:v>18.612400000000001</c:v>
                </c:pt>
                <c:pt idx="1186">
                  <c:v>19.682300000000001</c:v>
                </c:pt>
                <c:pt idx="1187">
                  <c:v>19.4788</c:v>
                </c:pt>
                <c:pt idx="1188">
                  <c:v>19.449100000000001</c:v>
                </c:pt>
                <c:pt idx="1189">
                  <c:v>19.008600000000001</c:v>
                </c:pt>
                <c:pt idx="1191">
                  <c:v>19.451000000000001</c:v>
                </c:pt>
                <c:pt idx="1192">
                  <c:v>20.446100000000001</c:v>
                </c:pt>
                <c:pt idx="1193">
                  <c:v>20.7819</c:v>
                </c:pt>
                <c:pt idx="1194">
                  <c:v>20.2225</c:v>
                </c:pt>
                <c:pt idx="1195">
                  <c:v>19.953800000000001</c:v>
                </c:pt>
                <c:pt idx="1196">
                  <c:v>20.1236</c:v>
                </c:pt>
                <c:pt idx="1197">
                  <c:v>20.035399999999999</c:v>
                </c:pt>
                <c:pt idx="1198">
                  <c:v>20.454699999999999</c:v>
                </c:pt>
                <c:pt idx="1199">
                  <c:v>21.162800000000001</c:v>
                </c:pt>
                <c:pt idx="1201">
                  <c:v>20.2042</c:v>
                </c:pt>
                <c:pt idx="1202">
                  <c:v>20.291599999999999</c:v>
                </c:pt>
                <c:pt idx="1203">
                  <c:v>19.9682</c:v>
                </c:pt>
                <c:pt idx="1204">
                  <c:v>20.4221</c:v>
                </c:pt>
                <c:pt idx="1205">
                  <c:v>19.415500000000002</c:v>
                </c:pt>
                <c:pt idx="1206">
                  <c:v>19.3368</c:v>
                </c:pt>
                <c:pt idx="1207">
                  <c:v>19.907699999999998</c:v>
                </c:pt>
                <c:pt idx="1208">
                  <c:v>18.315899999999999</c:v>
                </c:pt>
                <c:pt idx="1209">
                  <c:v>17.846599999999999</c:v>
                </c:pt>
                <c:pt idx="1210">
                  <c:v>17.895600000000002</c:v>
                </c:pt>
                <c:pt idx="1211">
                  <c:v>17.9148</c:v>
                </c:pt>
                <c:pt idx="1212">
                  <c:v>18.167100000000001</c:v>
                </c:pt>
                <c:pt idx="1213">
                  <c:v>18.651700000000002</c:v>
                </c:pt>
                <c:pt idx="1214">
                  <c:v>18.421399999999998</c:v>
                </c:pt>
                <c:pt idx="1216">
                  <c:v>18.739000000000001</c:v>
                </c:pt>
                <c:pt idx="1217">
                  <c:v>18.511600000000001</c:v>
                </c:pt>
                <c:pt idx="1218">
                  <c:v>18.450199999999999</c:v>
                </c:pt>
                <c:pt idx="1219">
                  <c:v>18.5701</c:v>
                </c:pt>
                <c:pt idx="1220">
                  <c:v>18.789899999999999</c:v>
                </c:pt>
                <c:pt idx="1221">
                  <c:v>18.8215</c:v>
                </c:pt>
                <c:pt idx="1222">
                  <c:v>18.4819</c:v>
                </c:pt>
                <c:pt idx="1223">
                  <c:v>18.738099999999999</c:v>
                </c:pt>
                <c:pt idx="1224">
                  <c:v>18.610399999999998</c:v>
                </c:pt>
                <c:pt idx="1225">
                  <c:v>18.154699999999998</c:v>
                </c:pt>
                <c:pt idx="1226">
                  <c:v>18.397400000000001</c:v>
                </c:pt>
                <c:pt idx="1227">
                  <c:v>18.195</c:v>
                </c:pt>
                <c:pt idx="1228">
                  <c:v>18.297599999999999</c:v>
                </c:pt>
                <c:pt idx="1229">
                  <c:v>18.426200000000001</c:v>
                </c:pt>
                <c:pt idx="1230">
                  <c:v>18.520199999999999</c:v>
                </c:pt>
                <c:pt idx="1231">
                  <c:v>18.8964</c:v>
                </c:pt>
                <c:pt idx="1232">
                  <c:v>18.874300000000002</c:v>
                </c:pt>
                <c:pt idx="1233">
                  <c:v>18.62</c:v>
                </c:pt>
                <c:pt idx="1234">
                  <c:v>18.504899999999999</c:v>
                </c:pt>
                <c:pt idx="1235">
                  <c:v>20.176400000000001</c:v>
                </c:pt>
                <c:pt idx="1236">
                  <c:v>20.617799999999999</c:v>
                </c:pt>
                <c:pt idx="1237">
                  <c:v>21.084199999999999</c:v>
                </c:pt>
                <c:pt idx="1238">
                  <c:v>20.964200000000002</c:v>
                </c:pt>
                <c:pt idx="1239">
                  <c:v>20.572700000000001</c:v>
                </c:pt>
                <c:pt idx="1241">
                  <c:v>20.1812</c:v>
                </c:pt>
                <c:pt idx="1242">
                  <c:v>19.3445</c:v>
                </c:pt>
                <c:pt idx="1243">
                  <c:v>19.309899999999999</c:v>
                </c:pt>
                <c:pt idx="1244">
                  <c:v>19.206299999999999</c:v>
                </c:pt>
                <c:pt idx="1245">
                  <c:v>19.255299999999998</c:v>
                </c:pt>
                <c:pt idx="1246">
                  <c:v>19.177499999999998</c:v>
                </c:pt>
                <c:pt idx="1247">
                  <c:v>19.0029</c:v>
                </c:pt>
                <c:pt idx="1248">
                  <c:v>19.410699999999999</c:v>
                </c:pt>
                <c:pt idx="1249">
                  <c:v>18.675699999999999</c:v>
                </c:pt>
                <c:pt idx="1250">
                  <c:v>18.197800000000001</c:v>
                </c:pt>
                <c:pt idx="1251">
                  <c:v>18.2544</c:v>
                </c:pt>
                <c:pt idx="1252">
                  <c:v>18.488600000000002</c:v>
                </c:pt>
                <c:pt idx="1253">
                  <c:v>18.0932</c:v>
                </c:pt>
                <c:pt idx="1254">
                  <c:v>17.933</c:v>
                </c:pt>
                <c:pt idx="1255">
                  <c:v>18.506799999999998</c:v>
                </c:pt>
                <c:pt idx="1257">
                  <c:v>19.293600000000001</c:v>
                </c:pt>
                <c:pt idx="1258">
                  <c:v>19.4481</c:v>
                </c:pt>
                <c:pt idx="1259">
                  <c:v>19.278300000000002</c:v>
                </c:pt>
                <c:pt idx="1260">
                  <c:v>19.1967</c:v>
                </c:pt>
                <c:pt idx="1261">
                  <c:v>19.724499999999999</c:v>
                </c:pt>
                <c:pt idx="1262">
                  <c:v>18.470300000000002</c:v>
                </c:pt>
                <c:pt idx="1263">
                  <c:v>18.398399999999999</c:v>
                </c:pt>
                <c:pt idx="1264">
                  <c:v>19.022099999999998</c:v>
                </c:pt>
                <c:pt idx="1265">
                  <c:v>19.323399999999999</c:v>
                </c:pt>
                <c:pt idx="1266">
                  <c:v>19.389600000000002</c:v>
                </c:pt>
                <c:pt idx="1267">
                  <c:v>19.202500000000001</c:v>
                </c:pt>
                <c:pt idx="1268">
                  <c:v>20.016200000000001</c:v>
                </c:pt>
                <c:pt idx="1269">
                  <c:v>19.8828</c:v>
                </c:pt>
                <c:pt idx="1270">
                  <c:v>19.723500000000001</c:v>
                </c:pt>
                <c:pt idx="1271">
                  <c:v>19.950900000000001</c:v>
                </c:pt>
                <c:pt idx="1272">
                  <c:v>20.016200000000001</c:v>
                </c:pt>
                <c:pt idx="1273">
                  <c:v>17.883099999999999</c:v>
                </c:pt>
                <c:pt idx="1274">
                  <c:v>18.450199999999999</c:v>
                </c:pt>
                <c:pt idx="1275">
                  <c:v>18.5989</c:v>
                </c:pt>
                <c:pt idx="1276">
                  <c:v>19.2303</c:v>
                </c:pt>
                <c:pt idx="1278">
                  <c:v>18.9895</c:v>
                </c:pt>
                <c:pt idx="1279">
                  <c:v>19.113199999999999</c:v>
                </c:pt>
                <c:pt idx="1280">
                  <c:v>18.633500000000002</c:v>
                </c:pt>
                <c:pt idx="1281">
                  <c:v>17.067499999999999</c:v>
                </c:pt>
                <c:pt idx="1282">
                  <c:v>16.948499999999999</c:v>
                </c:pt>
                <c:pt idx="1283">
                  <c:v>16.825700000000001</c:v>
                </c:pt>
                <c:pt idx="1284">
                  <c:v>16.965800000000002</c:v>
                </c:pt>
                <c:pt idx="1285">
                  <c:v>16.645299999999999</c:v>
                </c:pt>
                <c:pt idx="1286">
                  <c:v>16.707699999999999</c:v>
                </c:pt>
                <c:pt idx="1287">
                  <c:v>16.9955</c:v>
                </c:pt>
                <c:pt idx="1288">
                  <c:v>16.9207</c:v>
                </c:pt>
                <c:pt idx="1289">
                  <c:v>17.4772</c:v>
                </c:pt>
                <c:pt idx="1290">
                  <c:v>16.668299999999999</c:v>
                </c:pt>
                <c:pt idx="1291">
                  <c:v>16.628</c:v>
                </c:pt>
                <c:pt idx="1292">
                  <c:v>16.600200000000001</c:v>
                </c:pt>
                <c:pt idx="1293">
                  <c:v>16.962900000000001</c:v>
                </c:pt>
                <c:pt idx="1294">
                  <c:v>16.851600000000001</c:v>
                </c:pt>
                <c:pt idx="1295">
                  <c:v>16.704799999999999</c:v>
                </c:pt>
                <c:pt idx="1296">
                  <c:v>16.657800000000002</c:v>
                </c:pt>
                <c:pt idx="1297">
                  <c:v>17.0761</c:v>
                </c:pt>
                <c:pt idx="1298">
                  <c:v>16.559899999999999</c:v>
                </c:pt>
                <c:pt idx="1299">
                  <c:v>16.726800000000001</c:v>
                </c:pt>
                <c:pt idx="1300">
                  <c:v>16.313300000000002</c:v>
                </c:pt>
                <c:pt idx="1301">
                  <c:v>16.7316</c:v>
                </c:pt>
                <c:pt idx="1302">
                  <c:v>16.7288</c:v>
                </c:pt>
                <c:pt idx="1303">
                  <c:v>17.058800000000002</c:v>
                </c:pt>
                <c:pt idx="1304">
                  <c:v>16.911999999999999</c:v>
                </c:pt>
                <c:pt idx="1305">
                  <c:v>17.055</c:v>
                </c:pt>
                <c:pt idx="1306">
                  <c:v>17.285299999999999</c:v>
                </c:pt>
                <c:pt idx="1307">
                  <c:v>16.942699999999999</c:v>
                </c:pt>
                <c:pt idx="1308">
                  <c:v>17.185500000000001</c:v>
                </c:pt>
                <c:pt idx="1309">
                  <c:v>17.241199999999999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25-4AA3-9525-6D98D23ECF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7549327"/>
        <c:axId val="1577548367"/>
      </c:lineChart>
      <c:dateAx>
        <c:axId val="1577549327"/>
        <c:scaling>
          <c:orientation val="minMax"/>
        </c:scaling>
        <c:delete val="0"/>
        <c:axPos val="b"/>
        <c:numFmt formatCode="[$-409]mmm\-yy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548367"/>
        <c:crosses val="autoZero"/>
        <c:auto val="1"/>
        <c:lblOffset val="100"/>
        <c:baseTimeUnit val="days"/>
        <c:majorUnit val="8"/>
        <c:majorTimeUnit val="months"/>
      </c:dateAx>
      <c:valAx>
        <c:axId val="1577548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549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India's Refining Capacity </a:t>
            </a:r>
            <a:b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</a:b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'Graphical Representation'!$R$234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Representation'!$Q$235:$Q$242</c:f>
              <c:strCache>
                <c:ptCount val="8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  <c:pt idx="6">
                  <c:v>FY30</c:v>
                </c:pt>
                <c:pt idx="7">
                  <c:v>FY47 (Viksit Bharat)</c:v>
                </c:pt>
              </c:strCache>
            </c:strRef>
          </c:cat>
          <c:val>
            <c:numRef>
              <c:f>'Graphical Representation'!$R$235:$R$242</c:f>
            </c:numRef>
          </c:val>
          <c:smooth val="0"/>
          <c:extLst>
            <c:ext xmlns:c16="http://schemas.microsoft.com/office/drawing/2014/chart" uri="{C3380CC4-5D6E-409C-BE32-E72D297353CC}">
              <c16:uniqueId val="{00000000-74B7-4DF3-A62E-9ACB51251BED}"/>
            </c:ext>
          </c:extLst>
        </c:ser>
        <c:ser>
          <c:idx val="1"/>
          <c:order val="1"/>
          <c:tx>
            <c:strRef>
              <c:f>'Graphical Representation'!$S$234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Representation'!$Q$235:$Q$242</c:f>
              <c:strCache>
                <c:ptCount val="8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  <c:pt idx="6">
                  <c:v>FY30</c:v>
                </c:pt>
                <c:pt idx="7">
                  <c:v>FY47 (Viksit Bharat)</c:v>
                </c:pt>
              </c:strCache>
            </c:strRef>
          </c:cat>
          <c:val>
            <c:numRef>
              <c:f>'Graphical Representation'!$S$235:$S$242</c:f>
            </c:numRef>
          </c:val>
          <c:smooth val="0"/>
          <c:extLst>
            <c:ext xmlns:c16="http://schemas.microsoft.com/office/drawing/2014/chart" uri="{C3380CC4-5D6E-409C-BE32-E72D297353CC}">
              <c16:uniqueId val="{00000001-74B7-4DF3-A62E-9ACB51251BED}"/>
            </c:ext>
          </c:extLst>
        </c:ser>
        <c:ser>
          <c:idx val="2"/>
          <c:order val="2"/>
          <c:tx>
            <c:strRef>
              <c:f>'Graphical Representation'!$T$234</c:f>
              <c:strCache>
                <c:ptCount val="1"/>
                <c:pt idx="0">
                  <c:v>Actuals</c:v>
                </c:pt>
              </c:strCache>
            </c:strRef>
          </c:tx>
          <c:spPr>
            <a:ln w="25400" cap="rnd">
              <a:solidFill>
                <a:srgbClr val="1F4E79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1F4E79">
                  <a:alpha val="94000"/>
                </a:srgbClr>
              </a:solidFill>
              <a:ln w="9525">
                <a:solidFill>
                  <a:srgbClr val="1F4E79"/>
                </a:solidFill>
              </a:ln>
              <a:effectLst/>
            </c:spPr>
          </c:marker>
          <c:dLbls>
            <c:dLbl>
              <c:idx val="5"/>
              <c:layout>
                <c:manualLayout>
                  <c:x val="-1.9E-2"/>
                  <c:y val="-8.79283318751822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4B7-4DF3-A62E-9ACB51251BED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Representation'!$Q$235:$Q$242</c:f>
              <c:strCache>
                <c:ptCount val="8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  <c:pt idx="6">
                  <c:v>FY30</c:v>
                </c:pt>
                <c:pt idx="7">
                  <c:v>FY47 (Viksit Bharat)</c:v>
                </c:pt>
              </c:strCache>
            </c:strRef>
          </c:cat>
          <c:val>
            <c:numRef>
              <c:f>'Graphical Representation'!$T$235:$T$242</c:f>
              <c:numCache>
                <c:formatCode>0.00</c:formatCode>
                <c:ptCount val="8"/>
                <c:pt idx="0">
                  <c:v>249.86600000000001</c:v>
                </c:pt>
                <c:pt idx="1">
                  <c:v>248.86600000000001</c:v>
                </c:pt>
                <c:pt idx="2">
                  <c:v>251.21600000000001</c:v>
                </c:pt>
                <c:pt idx="3">
                  <c:v>253.916</c:v>
                </c:pt>
                <c:pt idx="4">
                  <c:v>256.8</c:v>
                </c:pt>
                <c:pt idx="5">
                  <c:v>258.11599999999999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B7-4DF3-A62E-9ACB51251BED}"/>
            </c:ext>
          </c:extLst>
        </c:ser>
        <c:ser>
          <c:idx val="3"/>
          <c:order val="3"/>
          <c:tx>
            <c:strRef>
              <c:f>'Graphical Representation'!$U$234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Representation'!$Q$235:$Q$242</c:f>
              <c:strCache>
                <c:ptCount val="8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  <c:pt idx="6">
                  <c:v>FY30</c:v>
                </c:pt>
                <c:pt idx="7">
                  <c:v>FY47 (Viksit Bharat)</c:v>
                </c:pt>
              </c:strCache>
            </c:strRef>
          </c:cat>
          <c:val>
            <c:numRef>
              <c:f>'Graphical Representation'!$U$235:$U$242</c:f>
            </c:numRef>
          </c:val>
          <c:smooth val="0"/>
          <c:extLst>
            <c:ext xmlns:c16="http://schemas.microsoft.com/office/drawing/2014/chart" uri="{C3380CC4-5D6E-409C-BE32-E72D297353CC}">
              <c16:uniqueId val="{00000004-74B7-4DF3-A62E-9ACB51251BED}"/>
            </c:ext>
          </c:extLst>
        </c:ser>
        <c:ser>
          <c:idx val="4"/>
          <c:order val="4"/>
          <c:tx>
            <c:strRef>
              <c:f>'Graphical Representation'!$V$234</c:f>
              <c:strCache>
                <c:ptCount val="1"/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Representation'!$Q$235:$Q$242</c:f>
              <c:strCache>
                <c:ptCount val="8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  <c:pt idx="6">
                  <c:v>FY30</c:v>
                </c:pt>
                <c:pt idx="7">
                  <c:v>FY47 (Viksit Bharat)</c:v>
                </c:pt>
              </c:strCache>
            </c:strRef>
          </c:cat>
          <c:val>
            <c:numRef>
              <c:f>'Graphical Representation'!$V$235:$V$242</c:f>
            </c:numRef>
          </c:val>
          <c:smooth val="0"/>
          <c:extLst>
            <c:ext xmlns:c16="http://schemas.microsoft.com/office/drawing/2014/chart" uri="{C3380CC4-5D6E-409C-BE32-E72D297353CC}">
              <c16:uniqueId val="{00000005-74B7-4DF3-A62E-9ACB51251BED}"/>
            </c:ext>
          </c:extLst>
        </c:ser>
        <c:ser>
          <c:idx val="5"/>
          <c:order val="5"/>
          <c:tx>
            <c:strRef>
              <c:f>'Graphical Representation'!$W$234</c:f>
              <c:strCache>
                <c:ptCount val="1"/>
                <c:pt idx="0">
                  <c:v>Projected</c:v>
                </c:pt>
              </c:strCache>
            </c:strRef>
          </c:tx>
          <c:spPr>
            <a:ln w="28575" cap="rnd">
              <a:solidFill>
                <a:srgbClr val="C55A11"/>
              </a:solidFill>
              <a:prstDash val="dash"/>
              <a:round/>
            </a:ln>
            <a:effectLst/>
          </c:spPr>
          <c:marker>
            <c:symbol val="circle"/>
            <c:size val="6"/>
            <c:spPr>
              <a:solidFill>
                <a:srgbClr val="C55A11"/>
              </a:solidFill>
              <a:ln w="9525">
                <a:solidFill>
                  <a:srgbClr val="C55A11"/>
                </a:solidFill>
              </a:ln>
              <a:effectLst/>
            </c:spPr>
          </c:marker>
          <c:dLbls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4B7-4DF3-A62E-9ACB51251BED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Representation'!$Q$235:$Q$242</c:f>
              <c:strCache>
                <c:ptCount val="8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  <c:pt idx="6">
                  <c:v>FY30</c:v>
                </c:pt>
                <c:pt idx="7">
                  <c:v>FY47 (Viksit Bharat)</c:v>
                </c:pt>
              </c:strCache>
            </c:strRef>
          </c:cat>
          <c:val>
            <c:numRef>
              <c:f>'Graphical Representation'!$W$235:$W$242</c:f>
              <c:numCache>
                <c:formatCode>0.00</c:formatCode>
                <c:ptCount val="8"/>
                <c:pt idx="5">
                  <c:v>258.11599999999999</c:v>
                </c:pt>
                <c:pt idx="6">
                  <c:v>309.5</c:v>
                </c:pt>
                <c:pt idx="7">
                  <c:v>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4B7-4DF3-A62E-9ACB51251BE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92106528"/>
        <c:axId val="1569557903"/>
      </c:lineChart>
      <c:catAx>
        <c:axId val="792106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9557903"/>
        <c:crosses val="autoZero"/>
        <c:auto val="1"/>
        <c:lblAlgn val="ctr"/>
        <c:lblOffset val="100"/>
        <c:noMultiLvlLbl val="0"/>
      </c:catAx>
      <c:valAx>
        <c:axId val="1569557903"/>
        <c:scaling>
          <c:orientation val="minMax"/>
          <c:min val="2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106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'Graphical Representation'!$T$227</c:f>
              <c:strCache>
                <c:ptCount val="1"/>
                <c:pt idx="0">
                  <c:v>DCF per share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1F4E79"/>
              </a:solidFill>
              <a:ln>
                <a:solidFill>
                  <a:srgbClr val="1F4E79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D29-49F3-8279-478434586DB9}"/>
              </c:ext>
            </c:extLst>
          </c:dPt>
          <c:dPt>
            <c:idx val="1"/>
            <c:invertIfNegative val="0"/>
            <c:bubble3D val="0"/>
            <c:spPr>
              <a:solidFill>
                <a:srgbClr val="BF8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29-49F3-8279-478434586DB9}"/>
              </c:ext>
            </c:extLst>
          </c:dPt>
          <c:dPt>
            <c:idx val="2"/>
            <c:invertIfNegative val="0"/>
            <c:bubble3D val="0"/>
            <c:spPr>
              <a:solidFill>
                <a:srgbClr val="37562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D29-49F3-8279-478434586DB9}"/>
              </c:ext>
            </c:extLst>
          </c:dPt>
          <c:dLbls>
            <c:dLbl>
              <c:idx val="0"/>
              <c:layout>
                <c:manualLayout>
                  <c:x val="-2.3283856055902217E-3"/>
                  <c:y val="9.934778055766231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D29-49F3-8279-478434586DB9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200" b="1" i="0" u="none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Representation'!$Q$228:$Q$230</c:f>
              <c:strCache>
                <c:ptCount val="3"/>
                <c:pt idx="0">
                  <c:v>Conservative</c:v>
                </c:pt>
                <c:pt idx="1">
                  <c:v>Base Case</c:v>
                </c:pt>
                <c:pt idx="2">
                  <c:v>Aggressive</c:v>
                </c:pt>
              </c:strCache>
            </c:strRef>
          </c:cat>
          <c:val>
            <c:numRef>
              <c:f>'Graphical Representation'!$T$228:$T$230</c:f>
              <c:numCache>
                <c:formatCode>0.00</c:formatCode>
                <c:ptCount val="3"/>
                <c:pt idx="0">
                  <c:v>1317.7152880162871</c:v>
                </c:pt>
                <c:pt idx="1">
                  <c:v>1468.6744803755857</c:v>
                </c:pt>
                <c:pt idx="2">
                  <c:v>1667.2770540224042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D29-49F3-8279-478434586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4"/>
        <c:axId val="810382575"/>
        <c:axId val="810381135"/>
      </c:barChart>
      <c:lineChart>
        <c:grouping val="standard"/>
        <c:varyColors val="0"/>
        <c:ser>
          <c:idx val="1"/>
          <c:order val="1"/>
          <c:tx>
            <c:v>CMP</c:v>
          </c:tx>
          <c:spPr>
            <a:ln w="28575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3"/>
              <c:pt idx="0">
                <c:v>1911</c:v>
              </c:pt>
              <c:pt idx="1">
                <c:v>1911</c:v>
              </c:pt>
              <c:pt idx="2">
                <c:v>1911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7-CD29-49F3-8279-478434586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0382575"/>
        <c:axId val="810381135"/>
      </c:lineChart>
      <c:catAx>
        <c:axId val="81038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1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381135"/>
        <c:crosses val="autoZero"/>
        <c:auto val="1"/>
        <c:lblAlgn val="ctr"/>
        <c:lblOffset val="100"/>
        <c:noMultiLvlLbl val="0"/>
      </c:catAx>
      <c:valAx>
        <c:axId val="810381135"/>
        <c:scaling>
          <c:orientation val="minMax"/>
          <c:min val="12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100" b="1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 ₹  Per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100" b="1" i="0" u="none" strike="noStrike" kern="1200" spc="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1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38257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 rtl="0">
        <a:defRPr lang="en-US" sz="1200" b="1" i="0" u="none" strike="noStrike" kern="1200" spc="0" baseline="0">
          <a:solidFill>
            <a:sysClr val="windowText" lastClr="000000">
              <a:lumMod val="65000"/>
              <a:lumOff val="35000"/>
            </a:sys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5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'Graphical Representation'!$N$256</c:f>
              <c:strCache>
                <c:ptCount val="1"/>
                <c:pt idx="0">
                  <c:v>Values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1F4E79"/>
              </a:solidFill>
              <a:ln>
                <a:solidFill>
                  <a:srgbClr val="1F4E79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E5A-4CAA-A29A-57752FD74A18}"/>
              </c:ext>
            </c:extLst>
          </c:dPt>
          <c:dPt>
            <c:idx val="1"/>
            <c:invertIfNegative val="0"/>
            <c:bubble3D val="0"/>
            <c:spPr>
              <a:solidFill>
                <a:srgbClr val="BF8F00"/>
              </a:solidFill>
              <a:ln>
                <a:solidFill>
                  <a:srgbClr val="BF8F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E5A-4CAA-A29A-57752FD74A18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E5A-4CAA-A29A-57752FD74A18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'Graphical Representation'!$K$257:$K$259</c:f>
              <c:strCache>
                <c:ptCount val="3"/>
                <c:pt idx="0">
                  <c:v>Estimate</c:v>
                </c:pt>
                <c:pt idx="1">
                  <c:v>Consensus</c:v>
                </c:pt>
                <c:pt idx="2">
                  <c:v>Actual</c:v>
                </c:pt>
              </c:strCache>
            </c:strRef>
          </c:cat>
          <c:val>
            <c:numRef>
              <c:f>'Graphical Representation'!$N$257:$N$259</c:f>
              <c:numCache>
                <c:formatCode>_(* #,##0.00_);_(* \(#,##0.00\);_(* "-"??_);_(@_)</c:formatCode>
                <c:ptCount val="3"/>
                <c:pt idx="0">
                  <c:v>847.93139086679219</c:v>
                </c:pt>
                <c:pt idx="1">
                  <c:v>858.33330000000001</c:v>
                </c:pt>
                <c:pt idx="2">
                  <c:v>822.28769999999997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E5A-4CAA-A29A-57752FD74A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-27"/>
        <c:axId val="214426176"/>
        <c:axId val="214428576"/>
      </c:barChart>
      <c:catAx>
        <c:axId val="214426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28576"/>
        <c:crosses val="autoZero"/>
        <c:auto val="1"/>
        <c:lblAlgn val="ctr"/>
        <c:lblOffset val="100"/>
        <c:noMultiLvlLbl val="0"/>
      </c:catAx>
      <c:valAx>
        <c:axId val="214428576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26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numRef>
              <c:f>'Monte-Carlo'!$H$23:$H$34</c:f>
              <c:numCache>
                <c:formatCode>#,##0</c:formatCode>
                <c:ptCount val="12"/>
                <c:pt idx="0">
                  <c:v>1004.7798318072569</c:v>
                </c:pt>
                <c:pt idx="1">
                  <c:v>1198.4898242440668</c:v>
                </c:pt>
                <c:pt idx="2">
                  <c:v>1392.1998166808767</c:v>
                </c:pt>
                <c:pt idx="3">
                  <c:v>1585.9098091176868</c:v>
                </c:pt>
                <c:pt idx="4">
                  <c:v>1779.6198015544969</c:v>
                </c:pt>
                <c:pt idx="5">
                  <c:v>1973.3297939913068</c:v>
                </c:pt>
                <c:pt idx="6">
                  <c:v>2167.0397864281167</c:v>
                </c:pt>
                <c:pt idx="7">
                  <c:v>2360.7497788649266</c:v>
                </c:pt>
                <c:pt idx="8">
                  <c:v>2554.4597713017365</c:v>
                </c:pt>
                <c:pt idx="9">
                  <c:v>2748.1697637385469</c:v>
                </c:pt>
                <c:pt idx="10">
                  <c:v>2941.8797561753568</c:v>
                </c:pt>
                <c:pt idx="11">
                  <c:v>3135.5897486121667</c:v>
                </c:pt>
              </c:numCache>
            </c:numRef>
          </c:cat>
          <c:val>
            <c:numRef>
              <c:f>'Monte-Carlo'!$I$23:$I$34</c:f>
              <c:numCache>
                <c:formatCode>General</c:formatCode>
                <c:ptCount val="12"/>
                <c:pt idx="0" formatCode="#,##0">
                  <c:v>17</c:v>
                </c:pt>
                <c:pt idx="1">
                  <c:v>129</c:v>
                </c:pt>
                <c:pt idx="2">
                  <c:v>246</c:v>
                </c:pt>
                <c:pt idx="3">
                  <c:v>243</c:v>
                </c:pt>
                <c:pt idx="4">
                  <c:v>186</c:v>
                </c:pt>
                <c:pt idx="5">
                  <c:v>99</c:v>
                </c:pt>
                <c:pt idx="6">
                  <c:v>43</c:v>
                </c:pt>
                <c:pt idx="7">
                  <c:v>19</c:v>
                </c:pt>
                <c:pt idx="8">
                  <c:v>10</c:v>
                </c:pt>
                <c:pt idx="9">
                  <c:v>5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5F-4B02-B722-F97F89957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-27"/>
        <c:axId val="78752015"/>
        <c:axId val="78746255"/>
      </c:barChart>
      <c:catAx>
        <c:axId val="787520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746255"/>
        <c:crosses val="autoZero"/>
        <c:auto val="1"/>
        <c:lblAlgn val="ctr"/>
        <c:lblOffset val="100"/>
        <c:noMultiLvlLbl val="0"/>
      </c:catAx>
      <c:valAx>
        <c:axId val="78746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752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en-US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rPr>
              <a:t>Equity Value to </a:t>
            </a: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Enterprise</a:t>
            </a:r>
            <a:r>
              <a:rPr lang="en-US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rPr>
              <a:t> Value</a:t>
            </a:r>
          </a:p>
        </cx:rich>
      </cx:tx>
    </cx:title>
    <cx:plotArea>
      <cx:plotAreaRegion>
        <cx:series layoutId="waterfall" uniqueId="{4476BA42-E40C-4747-A462-A2C60DB52E16}" formatIdx="0">
          <cx:dataPt idx="0">
            <cx:spPr>
              <a:solidFill>
                <a:srgbClr val="1F4E79"/>
              </a:solidFill>
            </cx:spPr>
          </cx:dataPt>
          <cx:dataPt idx="2">
            <cx:spPr>
              <a:solidFill>
                <a:srgbClr val="C00000"/>
              </a:solidFill>
            </cx:spPr>
          </cx:dataPt>
          <cx:dataPt idx="3">
            <cx:spPr>
              <a:solidFill>
                <a:srgbClr val="BF8F00"/>
              </a:solidFill>
            </cx:spPr>
          </cx:dataPt>
          <cx:dataLabels pos="outEnd">
            <cx:numFmt formatCode="#,##0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/>
                </a:pPr>
                <a:endParaRPr lang="en-US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3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000" b="1"/>
            </a:pPr>
            <a:endParaRPr lang="en-US" sz="10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in="3500"/>
        <cx:tickLabels/>
        <cx:numFmt formatCode="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000" b="1"/>
          </a:pPr>
          <a:endParaRPr lang="en-US" sz="1000" b="1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fmtOvrs>
    <cx:fmtOvr idx="2">
      <cx:spPr>
        <a:solidFill>
          <a:srgbClr val="BF8F00"/>
        </a:solidFill>
      </cx:spPr>
    </cx:fmtOvr>
    <cx:fmtOvr idx="1">
      <cx:spPr>
        <a:solidFill>
          <a:srgbClr val="C00000"/>
        </a:solidFill>
      </cx:spPr>
    </cx:fmtOvr>
    <cx:fmtOvr idx="0">
      <cx:spPr>
        <a:solidFill>
          <a:srgbClr val="1F4E79"/>
        </a:solidFill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b="1"/>
            </a:pPr>
            <a:r>
              <a:rPr lang="en-US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rPr>
              <a:t>Revenue </a:t>
            </a: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Bridge</a:t>
            </a:r>
            <a:r>
              <a:rPr lang="en-US" sz="14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rPr>
              <a:t> </a:t>
            </a:r>
            <a:r>
              <a:rPr lang="en-US" sz="15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Chart</a:t>
            </a:r>
          </a:p>
        </cx:rich>
      </cx:tx>
    </cx:title>
    <cx:plotArea>
      <cx:plotAreaRegion>
        <cx:series layoutId="waterfall" uniqueId="{D56FC299-C5DB-4219-9CA4-0E793F85F29D}" formatIdx="0">
          <cx:dataPt idx="0">
            <cx:spPr>
              <a:solidFill>
                <a:srgbClr val="1F4E79"/>
              </a:solidFill>
              <a:ln>
                <a:solidFill>
                  <a:srgbClr val="1F4E79"/>
                </a:solidFill>
              </a:ln>
            </cx:spPr>
          </cx:dataPt>
          <cx:dataPt idx="1">
            <cx:spPr>
              <a:solidFill>
                <a:srgbClr val="C00000"/>
              </a:solidFill>
              <a:ln>
                <a:solidFill>
                  <a:srgbClr val="C00000"/>
                </a:solidFill>
              </a:ln>
            </cx:spPr>
          </cx:dataPt>
          <cx:dataPt idx="2">
            <cx:spPr>
              <a:solidFill>
                <a:srgbClr val="375623"/>
              </a:solidFill>
              <a:ln>
                <a:solidFill>
                  <a:srgbClr val="375623"/>
                </a:solidFill>
              </a:ln>
            </cx:spPr>
          </cx:dataPt>
          <cx:dataPt idx="3">
            <cx:spPr>
              <a:solidFill>
                <a:srgbClr val="C00000"/>
              </a:solidFill>
              <a:ln>
                <a:solidFill>
                  <a:srgbClr val="C00000"/>
                </a:solidFill>
              </a:ln>
            </cx:spPr>
          </cx:dataPt>
          <cx:dataPt idx="4">
            <cx:spPr>
              <a:solidFill>
                <a:srgbClr val="375623"/>
              </a:solidFill>
              <a:ln>
                <a:solidFill>
                  <a:srgbClr val="375623"/>
                </a:solidFill>
              </a:ln>
            </cx:spPr>
          </cx:dataPt>
          <cx:dataPt idx="5">
            <cx:spPr>
              <a:solidFill>
                <a:srgbClr val="375623"/>
              </a:solidFill>
              <a:ln>
                <a:solidFill>
                  <a:srgbClr val="375623"/>
                </a:solidFill>
              </a:ln>
            </cx:spPr>
          </cx:dataPt>
          <cx:dataPt idx="6">
            <cx:spPr>
              <a:solidFill>
                <a:srgbClr val="BF8F00"/>
              </a:solidFill>
              <a:ln>
                <a:solidFill>
                  <a:srgbClr val="BF8F00"/>
                </a:solidFill>
              </a:ln>
            </cx:spPr>
          </cx:dataPt>
          <cx:dataLabels pos="outEnd">
            <cx:numFmt formatCode="_(* #,##0_);_(* (#,##0);_(* &quot;-&quot;_);_(@_)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050" b="1"/>
                </a:pPr>
                <a:endParaRPr lang="en-US" sz="105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6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000" b="1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1000" b="1" i="0" u="none" strike="noStrike" baseline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850" min="600"/>
        <cx:title>
          <cx:tx>
            <cx:txData>
              <cx:v>Revenue (₹'Cr)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100" b="1"/>
              </a:pPr>
              <a:r>
                <a:rPr lang="en-US" sz="11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Revenue (₹'Cr)</a:t>
              </a:r>
            </a:p>
          </cx:txPr>
        </cx:title>
        <cx:tickLabels/>
        <cx:numFmt formatCode="_(* #,##0_);_(* (#,##0);_(* &quot;-&quot;_);_(@_)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000"/>
            </a:pPr>
            <a:endParaRPr lang="en-US" sz="10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050"/>
          </a:pPr>
          <a:endParaRPr lang="en-US" sz="105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fmtOvrs>
    <cx:fmtOvr idx="1">
      <cx:spPr>
        <a:solidFill>
          <a:srgbClr val="C00000"/>
        </a:solidFill>
      </cx:spPr>
    </cx:fmtOvr>
    <cx:fmtOvr idx="2">
      <cx:spPr>
        <a:solidFill>
          <a:srgbClr val="BF8F00"/>
        </a:solidFill>
      </cx:spPr>
    </cx:fmtOvr>
    <cx:fmtOvr idx="0">
      <cx:spPr>
        <a:solidFill>
          <a:srgbClr val="375623"/>
        </a:solidFill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13" Type="http://schemas.openxmlformats.org/officeDocument/2006/relationships/chart" Target="../charts/chart11.xml"/><Relationship Id="rId18" Type="http://schemas.openxmlformats.org/officeDocument/2006/relationships/chart" Target="../charts/chart16.xml"/><Relationship Id="rId3" Type="http://schemas.microsoft.com/office/2014/relationships/chartEx" Target="../charts/chartEx2.xml"/><Relationship Id="rId21" Type="http://schemas.openxmlformats.org/officeDocument/2006/relationships/chart" Target="../charts/chart19.xml"/><Relationship Id="rId7" Type="http://schemas.openxmlformats.org/officeDocument/2006/relationships/chart" Target="../charts/chart5.xml"/><Relationship Id="rId12" Type="http://schemas.openxmlformats.org/officeDocument/2006/relationships/chart" Target="../charts/chart10.xml"/><Relationship Id="rId17" Type="http://schemas.openxmlformats.org/officeDocument/2006/relationships/chart" Target="../charts/chart15.xml"/><Relationship Id="rId2" Type="http://schemas.microsoft.com/office/2014/relationships/chartEx" Target="../charts/chartEx1.xml"/><Relationship Id="rId16" Type="http://schemas.openxmlformats.org/officeDocument/2006/relationships/chart" Target="../charts/chart14.xml"/><Relationship Id="rId20" Type="http://schemas.openxmlformats.org/officeDocument/2006/relationships/chart" Target="../charts/chart18.xml"/><Relationship Id="rId1" Type="http://schemas.openxmlformats.org/officeDocument/2006/relationships/chart" Target="../charts/chart1.xml"/><Relationship Id="rId6" Type="http://schemas.openxmlformats.org/officeDocument/2006/relationships/chart" Target="../charts/chart4.xml"/><Relationship Id="rId11" Type="http://schemas.openxmlformats.org/officeDocument/2006/relationships/chart" Target="../charts/chart9.xml"/><Relationship Id="rId24" Type="http://schemas.openxmlformats.org/officeDocument/2006/relationships/chart" Target="../charts/chart22.xml"/><Relationship Id="rId5" Type="http://schemas.openxmlformats.org/officeDocument/2006/relationships/chart" Target="../charts/chart3.xml"/><Relationship Id="rId15" Type="http://schemas.openxmlformats.org/officeDocument/2006/relationships/chart" Target="../charts/chart13.xml"/><Relationship Id="rId23" Type="http://schemas.openxmlformats.org/officeDocument/2006/relationships/chart" Target="../charts/chart21.xml"/><Relationship Id="rId10" Type="http://schemas.openxmlformats.org/officeDocument/2006/relationships/chart" Target="../charts/chart8.xml"/><Relationship Id="rId19" Type="http://schemas.openxmlformats.org/officeDocument/2006/relationships/chart" Target="../charts/chart17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Relationship Id="rId14" Type="http://schemas.openxmlformats.org/officeDocument/2006/relationships/chart" Target="../charts/chart12.xml"/><Relationship Id="rId22" Type="http://schemas.openxmlformats.org/officeDocument/2006/relationships/chart" Target="../charts/chart20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76200</xdr:colOff>
      <xdr:row>1</xdr:row>
      <xdr:rowOff>231775</xdr:rowOff>
    </xdr:from>
    <xdr:to>
      <xdr:col>2</xdr:col>
      <xdr:colOff>819150</xdr:colOff>
      <xdr:row>5</xdr:row>
      <xdr:rowOff>79375</xdr:rowOff>
    </xdr:to>
    <xdr:pic>
      <xdr:nvPicPr>
        <xdr:cNvPr id="2" name="Picture 1" descr="United Technical Services (UTS) - Anup Engineering - Partners - UTS">
          <a:extLst>
            <a:ext uri="{FF2B5EF4-FFF2-40B4-BE49-F238E27FC236}">
              <a16:creationId xmlns:a16="http://schemas.microsoft.com/office/drawing/2014/main" id="{A699C424-E545-B00E-67DB-A5AD6BF66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355600"/>
          <a:ext cx="1676400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8842</xdr:colOff>
      <xdr:row>5</xdr:row>
      <xdr:rowOff>163510</xdr:rowOff>
    </xdr:from>
    <xdr:to>
      <xdr:col>16</xdr:col>
      <xdr:colOff>506524</xdr:colOff>
      <xdr:row>23</xdr:row>
      <xdr:rowOff>19238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F241747-17C5-4F23-B6FA-53F7182883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589982</xdr:colOff>
      <xdr:row>23</xdr:row>
      <xdr:rowOff>90143</xdr:rowOff>
    </xdr:from>
    <xdr:to>
      <xdr:col>37</xdr:col>
      <xdr:colOff>456632</xdr:colOff>
      <xdr:row>40</xdr:row>
      <xdr:rowOff>109384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0F42E852-292E-4689-B368-3E9E7F33C2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84496" y="4096086"/>
              <a:ext cx="5407479" cy="29801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166459</xdr:colOff>
      <xdr:row>23</xdr:row>
      <xdr:rowOff>83456</xdr:rowOff>
    </xdr:from>
    <xdr:to>
      <xdr:col>16</xdr:col>
      <xdr:colOff>497453</xdr:colOff>
      <xdr:row>40</xdr:row>
      <xdr:rowOff>102697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86BA1374-F391-CDCB-24B8-DFDE68AD7B6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6459" y="4089399"/>
              <a:ext cx="5425508" cy="29801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16</xdr:col>
      <xdr:colOff>599271</xdr:colOff>
      <xdr:row>5</xdr:row>
      <xdr:rowOff>158069</xdr:rowOff>
    </xdr:from>
    <xdr:to>
      <xdr:col>37</xdr:col>
      <xdr:colOff>472271</xdr:colOff>
      <xdr:row>23</xdr:row>
      <xdr:rowOff>10622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4A76DCA-B6B3-04C6-7F4C-9A10931015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20561</xdr:colOff>
      <xdr:row>40</xdr:row>
      <xdr:rowOff>144951</xdr:rowOff>
    </xdr:from>
    <xdr:to>
      <xdr:col>16</xdr:col>
      <xdr:colOff>493183</xdr:colOff>
      <xdr:row>58</xdr:row>
      <xdr:rowOff>58737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009B414-6A66-4AAE-8420-6414B20CF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561633</xdr:colOff>
      <xdr:row>40</xdr:row>
      <xdr:rowOff>166120</xdr:rowOff>
    </xdr:from>
    <xdr:to>
      <xdr:col>46</xdr:col>
      <xdr:colOff>543490</xdr:colOff>
      <xdr:row>58</xdr:row>
      <xdr:rowOff>79906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983B2A4-174D-4D46-A74C-862AB169A1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2418</xdr:colOff>
      <xdr:row>58</xdr:row>
      <xdr:rowOff>117022</xdr:rowOff>
    </xdr:from>
    <xdr:to>
      <xdr:col>16</xdr:col>
      <xdr:colOff>475040</xdr:colOff>
      <xdr:row>76</xdr:row>
      <xdr:rowOff>21055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1118D12D-EA41-4B24-A8BF-20896A0E99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338</xdr:colOff>
      <xdr:row>40</xdr:row>
      <xdr:rowOff>159883</xdr:rowOff>
    </xdr:from>
    <xdr:to>
      <xdr:col>37</xdr:col>
      <xdr:colOff>433385</xdr:colOff>
      <xdr:row>58</xdr:row>
      <xdr:rowOff>73669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380FD54-E6AE-4A7E-B80E-E2F36740F7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37</xdr:col>
      <xdr:colOff>571500</xdr:colOff>
      <xdr:row>6</xdr:row>
      <xdr:rowOff>23812</xdr:rowOff>
    </xdr:from>
    <xdr:to>
      <xdr:col>46</xdr:col>
      <xdr:colOff>592931</xdr:colOff>
      <xdr:row>23</xdr:row>
      <xdr:rowOff>43052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AF96C7A-1014-4E24-9591-20D7591D2B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16</xdr:col>
      <xdr:colOff>588509</xdr:colOff>
      <xdr:row>58</xdr:row>
      <xdr:rowOff>130969</xdr:rowOff>
    </xdr:from>
    <xdr:to>
      <xdr:col>37</xdr:col>
      <xdr:colOff>414337</xdr:colOff>
      <xdr:row>76</xdr:row>
      <xdr:rowOff>41352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8316C02D-7EEF-4C08-9CC3-510ACD2572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37</xdr:col>
      <xdr:colOff>561635</xdr:colOff>
      <xdr:row>58</xdr:row>
      <xdr:rowOff>148203</xdr:rowOff>
    </xdr:from>
    <xdr:to>
      <xdr:col>46</xdr:col>
      <xdr:colOff>543492</xdr:colOff>
      <xdr:row>76</xdr:row>
      <xdr:rowOff>61988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B4A1AFB-AE0A-4991-8587-C263DD01FF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155688</xdr:colOff>
      <xdr:row>76</xdr:row>
      <xdr:rowOff>91054</xdr:rowOff>
    </xdr:from>
    <xdr:to>
      <xdr:col>16</xdr:col>
      <xdr:colOff>461622</xdr:colOff>
      <xdr:row>94</xdr:row>
      <xdr:rowOff>4839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D12D32A8-C2FE-4975-AA07-C7ACE8716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37</xdr:col>
      <xdr:colOff>571500</xdr:colOff>
      <xdr:row>23</xdr:row>
      <xdr:rowOff>107156</xdr:rowOff>
    </xdr:from>
    <xdr:to>
      <xdr:col>46</xdr:col>
      <xdr:colOff>592931</xdr:colOff>
      <xdr:row>40</xdr:row>
      <xdr:rowOff>126397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68885D1-0B6D-46EF-9D00-447071AEB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</xdr:col>
      <xdr:colOff>577735</xdr:colOff>
      <xdr:row>76</xdr:row>
      <xdr:rowOff>100011</xdr:rowOff>
    </xdr:from>
    <xdr:to>
      <xdr:col>37</xdr:col>
      <xdr:colOff>408666</xdr:colOff>
      <xdr:row>94</xdr:row>
      <xdr:rowOff>13796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372E36E-4688-41BE-93E8-F9ACA3AA4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37</xdr:col>
      <xdr:colOff>572066</xdr:colOff>
      <xdr:row>76</xdr:row>
      <xdr:rowOff>112485</xdr:rowOff>
    </xdr:from>
    <xdr:to>
      <xdr:col>46</xdr:col>
      <xdr:colOff>552675</xdr:colOff>
      <xdr:row>94</xdr:row>
      <xdr:rowOff>26270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CD14CBA-DF02-420D-A1DF-81E829CC59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128022</xdr:colOff>
      <xdr:row>94</xdr:row>
      <xdr:rowOff>51595</xdr:rowOff>
    </xdr:from>
    <xdr:to>
      <xdr:col>16</xdr:col>
      <xdr:colOff>443481</xdr:colOff>
      <xdr:row>111</xdr:row>
      <xdr:rowOff>138417</xdr:rowOff>
    </xdr:to>
    <xdr:graphicFrame macro="">
      <xdr:nvGraphicFramePr>
        <xdr:cNvPr id="20" name="Chart 40">
          <a:extLst>
            <a:ext uri="{FF2B5EF4-FFF2-40B4-BE49-F238E27FC236}">
              <a16:creationId xmlns:a16="http://schemas.microsoft.com/office/drawing/2014/main" id="{6A421172-F2B7-48A5-9655-0B9C1343E9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16</xdr:col>
      <xdr:colOff>559594</xdr:colOff>
      <xdr:row>94</xdr:row>
      <xdr:rowOff>64860</xdr:rowOff>
    </xdr:from>
    <xdr:to>
      <xdr:col>37</xdr:col>
      <xdr:colOff>390525</xdr:colOff>
      <xdr:row>111</xdr:row>
      <xdr:rowOff>145332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9DB87EB0-6574-4C7C-BD72-5EE7D715A4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121707</xdr:colOff>
      <xdr:row>112</xdr:row>
      <xdr:rowOff>21430</xdr:rowOff>
    </xdr:from>
    <xdr:to>
      <xdr:col>16</xdr:col>
      <xdr:colOff>430136</xdr:colOff>
      <xdr:row>129</xdr:row>
      <xdr:rowOff>101902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3FD1034B-9B3E-4352-A466-B318ECA203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16</xdr:col>
      <xdr:colOff>559854</xdr:colOff>
      <xdr:row>112</xdr:row>
      <xdr:rowOff>33073</xdr:rowOff>
    </xdr:from>
    <xdr:to>
      <xdr:col>37</xdr:col>
      <xdr:colOff>382507</xdr:colOff>
      <xdr:row>129</xdr:row>
      <xdr:rowOff>113545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52EADE17-4AAB-4175-B51B-74974C38BE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37</xdr:col>
      <xdr:colOff>559594</xdr:colOff>
      <xdr:row>94</xdr:row>
      <xdr:rowOff>83343</xdr:rowOff>
    </xdr:from>
    <xdr:to>
      <xdr:col>46</xdr:col>
      <xdr:colOff>540203</xdr:colOff>
      <xdr:row>111</xdr:row>
      <xdr:rowOff>160414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C077B710-4CF1-4191-898D-BF7B78F44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37</xdr:col>
      <xdr:colOff>571498</xdr:colOff>
      <xdr:row>112</xdr:row>
      <xdr:rowOff>42069</xdr:rowOff>
    </xdr:from>
    <xdr:to>
      <xdr:col>46</xdr:col>
      <xdr:colOff>547005</xdr:colOff>
      <xdr:row>129</xdr:row>
      <xdr:rowOff>122541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E7FF83D-5684-4CE5-990A-8C47C0627E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68263</xdr:colOff>
      <xdr:row>130</xdr:row>
      <xdr:rowOff>35719</xdr:rowOff>
    </xdr:from>
    <xdr:to>
      <xdr:col>16</xdr:col>
      <xdr:colOff>361610</xdr:colOff>
      <xdr:row>147</xdr:row>
      <xdr:rowOff>116191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015892C-AC70-4FC6-AFE2-996E3CB052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16</xdr:col>
      <xdr:colOff>562768</xdr:colOff>
      <xdr:row>130</xdr:row>
      <xdr:rowOff>68263</xdr:rowOff>
    </xdr:from>
    <xdr:to>
      <xdr:col>37</xdr:col>
      <xdr:colOff>392905</xdr:colOff>
      <xdr:row>147</xdr:row>
      <xdr:rowOff>119062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4219054-92F8-41CD-B641-D097BF9483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37</xdr:col>
      <xdr:colOff>571500</xdr:colOff>
      <xdr:row>130</xdr:row>
      <xdr:rowOff>59530</xdr:rowOff>
    </xdr:from>
    <xdr:to>
      <xdr:col>46</xdr:col>
      <xdr:colOff>535781</xdr:colOff>
      <xdr:row>147</xdr:row>
      <xdr:rowOff>142873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06A1310-4E6C-4BE6-976E-5615F99279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0.64095</cdr:x>
      <cdr:y>0.16664</cdr:y>
    </cdr:from>
    <cdr:to>
      <cdr:x>0.80157</cdr:x>
      <cdr:y>0.32848</cdr:y>
    </cdr:to>
    <cdr:sp macro="" textlink="">
      <cdr:nvSpPr>
        <cdr:cNvPr id="2" name="TextBox 29">
          <a:extLst xmlns:a="http://schemas.openxmlformats.org/drawingml/2006/main">
            <a:ext uri="{FF2B5EF4-FFF2-40B4-BE49-F238E27FC236}">
              <a16:creationId xmlns:a16="http://schemas.microsoft.com/office/drawing/2014/main" id="{061868F0-93D7-4C28-94E4-03AAF60A5BE7}"/>
            </a:ext>
          </a:extLst>
        </cdr:cNvPr>
        <cdr:cNvSpPr txBox="1"/>
      </cdr:nvSpPr>
      <cdr:spPr>
        <a:xfrm xmlns:a="http://schemas.openxmlformats.org/drawingml/2006/main">
          <a:off x="3519764" y="475945"/>
          <a:ext cx="882045" cy="462232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>
              <a:latin typeface="+mn-lt"/>
            </a:rPr>
            <a:t>95% of Scenarios</a:t>
          </a:r>
        </a:p>
      </cdr:txBody>
    </cdr:sp>
  </cdr:relSizeAnchor>
  <cdr:relSizeAnchor xmlns:cdr="http://schemas.openxmlformats.org/drawingml/2006/chartDrawing">
    <cdr:from>
      <cdr:x>0.06667</cdr:x>
      <cdr:y>0.41437</cdr:y>
    </cdr:from>
    <cdr:to>
      <cdr:x>0.23472</cdr:x>
      <cdr:y>0.67201</cdr:y>
    </cdr:to>
    <cdr:sp macro="" textlink="">
      <cdr:nvSpPr>
        <cdr:cNvPr id="3" name="TextBox 27">
          <a:extLst xmlns:a="http://schemas.openxmlformats.org/drawingml/2006/main">
            <a:ext uri="{FF2B5EF4-FFF2-40B4-BE49-F238E27FC236}">
              <a16:creationId xmlns:a16="http://schemas.microsoft.com/office/drawing/2014/main" id="{DA1E82E2-A0A4-6B00-1A5C-CC478EAA9080}"/>
            </a:ext>
          </a:extLst>
        </cdr:cNvPr>
        <cdr:cNvSpPr txBox="1"/>
      </cdr:nvSpPr>
      <cdr:spPr>
        <a:xfrm xmlns:a="http://schemas.openxmlformats.org/drawingml/2006/main">
          <a:off x="366125" y="1183471"/>
          <a:ext cx="922847" cy="735847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>
              <a:latin typeface="+mn-lt"/>
            </a:rPr>
            <a:t>5% Worst Case Scenarios</a:t>
          </a:r>
        </a:p>
      </cdr:txBody>
    </cdr:sp>
  </cdr:relSizeAnchor>
  <cdr:relSizeAnchor xmlns:cdr="http://schemas.openxmlformats.org/drawingml/2006/chartDrawing">
    <cdr:from>
      <cdr:x>0.25828</cdr:x>
      <cdr:y>0.11662</cdr:y>
    </cdr:from>
    <cdr:to>
      <cdr:x>0.30752</cdr:x>
      <cdr:y>0.39937</cdr:y>
    </cdr:to>
    <cdr:sp macro="" textlink="">
      <cdr:nvSpPr>
        <cdr:cNvPr id="4" name="TextBox 20">
          <a:extLst xmlns:a="http://schemas.openxmlformats.org/drawingml/2006/main">
            <a:ext uri="{FF2B5EF4-FFF2-40B4-BE49-F238E27FC236}">
              <a16:creationId xmlns:a16="http://schemas.microsoft.com/office/drawing/2014/main" id="{D419A22B-8962-9C26-3FF2-0302DD4EC28E}"/>
            </a:ext>
          </a:extLst>
        </cdr:cNvPr>
        <cdr:cNvSpPr txBox="1"/>
      </cdr:nvSpPr>
      <cdr:spPr>
        <a:xfrm xmlns:a="http://schemas.openxmlformats.org/drawingml/2006/main" rot="16200000">
          <a:off x="1149787" y="601673"/>
          <a:ext cx="807563" cy="2704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CVaR 95%</a:t>
          </a:r>
        </a:p>
      </cdr:txBody>
    </cdr:sp>
  </cdr:relSizeAnchor>
  <cdr:relSizeAnchor xmlns:cdr="http://schemas.openxmlformats.org/drawingml/2006/chartDrawing">
    <cdr:from>
      <cdr:x>0.24149</cdr:x>
      <cdr:y>0.0896</cdr:y>
    </cdr:from>
    <cdr:to>
      <cdr:x>0.24272</cdr:x>
      <cdr:y>0.79913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7E6EA341-A15A-3A0E-FB83-AFD7961D010B}"/>
            </a:ext>
          </a:extLst>
        </cdr:cNvPr>
        <cdr:cNvCxnSpPr/>
      </cdr:nvCxnSpPr>
      <cdr:spPr>
        <a:xfrm xmlns:a="http://schemas.openxmlformats.org/drawingml/2006/main" flipH="1" flipV="1">
          <a:off x="1326166" y="255895"/>
          <a:ext cx="6755" cy="2026491"/>
        </a:xfrm>
        <a:prstGeom xmlns:a="http://schemas.openxmlformats.org/drawingml/2006/main" prst="line">
          <a:avLst/>
        </a:prstGeom>
        <a:ln xmlns:a="http://schemas.openxmlformats.org/drawingml/2006/main" w="19050" cap="flat" cmpd="sng" algn="ctr">
          <a:solidFill>
            <a:srgbClr val="C00000"/>
          </a:solidFill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0.59943</cdr:x>
      <cdr:y>0.30663</cdr:y>
    </cdr:from>
    <cdr:to>
      <cdr:x>0.72323</cdr:x>
      <cdr:y>0.45675</cdr:y>
    </cdr:to>
    <cdr:sp macro="" textlink="">
      <cdr:nvSpPr>
        <cdr:cNvPr id="2" name="TextBox 27">
          <a:extLst xmlns:a="http://schemas.openxmlformats.org/drawingml/2006/main">
            <a:ext uri="{FF2B5EF4-FFF2-40B4-BE49-F238E27FC236}">
              <a16:creationId xmlns:a16="http://schemas.microsoft.com/office/drawing/2014/main" id="{DA1E82E2-A0A4-6B00-1A5C-CC478EAA9080}"/>
            </a:ext>
          </a:extLst>
        </cdr:cNvPr>
        <cdr:cNvSpPr txBox="1"/>
      </cdr:nvSpPr>
      <cdr:spPr>
        <a:xfrm xmlns:a="http://schemas.openxmlformats.org/drawingml/2006/main">
          <a:off x="3299429" y="877780"/>
          <a:ext cx="681435" cy="42974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>
              <a:latin typeface="+mn-lt"/>
            </a:rPr>
            <a:t>   67%</a:t>
          </a:r>
        </a:p>
        <a:p xmlns:a="http://schemas.openxmlformats.org/drawingml/2006/main">
          <a:r>
            <a:rPr lang="en-US" sz="1100">
              <a:latin typeface="+mn-lt"/>
            </a:rPr>
            <a:t>   YoY</a:t>
          </a:r>
        </a:p>
      </cdr:txBody>
    </cdr:sp>
  </cdr:relSizeAnchor>
  <cdr:relSizeAnchor xmlns:cdr="http://schemas.openxmlformats.org/drawingml/2006/chartDrawing">
    <cdr:from>
      <cdr:x>0.69182</cdr:x>
      <cdr:y>0.3226</cdr:y>
    </cdr:from>
    <cdr:to>
      <cdr:x>0.69256</cdr:x>
      <cdr:y>0.3764</cdr:y>
    </cdr:to>
    <cdr:cxnSp macro="">
      <cdr:nvCxnSpPr>
        <cdr:cNvPr id="6" name="Straight Arrow Connector 5">
          <a:extLst xmlns:a="http://schemas.openxmlformats.org/drawingml/2006/main">
            <a:ext uri="{FF2B5EF4-FFF2-40B4-BE49-F238E27FC236}">
              <a16:creationId xmlns:a16="http://schemas.microsoft.com/office/drawing/2014/main" id="{EA0518FB-96FC-0082-E966-234E5EF0FA8F}"/>
            </a:ext>
          </a:extLst>
        </cdr:cNvPr>
        <cdr:cNvCxnSpPr/>
      </cdr:nvCxnSpPr>
      <cdr:spPr>
        <a:xfrm xmlns:a="http://schemas.openxmlformats.org/drawingml/2006/main" flipH="1" flipV="1">
          <a:off x="3807984" y="923493"/>
          <a:ext cx="4074" cy="154012"/>
        </a:xfrm>
        <a:prstGeom xmlns:a="http://schemas.openxmlformats.org/drawingml/2006/main" prst="straightConnector1">
          <a:avLst/>
        </a:prstGeom>
        <a:ln xmlns:a="http://schemas.openxmlformats.org/drawingml/2006/main">
          <a:tailEnd type="triangle"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1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0.7514</cdr:x>
      <cdr:y>0.08418</cdr:y>
    </cdr:from>
    <cdr:to>
      <cdr:x>0.87554</cdr:x>
      <cdr:y>0.23408</cdr:y>
    </cdr:to>
    <cdr:sp macro="" textlink="">
      <cdr:nvSpPr>
        <cdr:cNvPr id="3" name="TextBox 27">
          <a:extLst xmlns:a="http://schemas.openxmlformats.org/drawingml/2006/main">
            <a:ext uri="{FF2B5EF4-FFF2-40B4-BE49-F238E27FC236}">
              <a16:creationId xmlns:a16="http://schemas.microsoft.com/office/drawing/2014/main" id="{2360BE48-E34B-4A72-9AF7-D06718CA6412}"/>
            </a:ext>
          </a:extLst>
        </cdr:cNvPr>
        <cdr:cNvSpPr txBox="1"/>
      </cdr:nvSpPr>
      <cdr:spPr>
        <a:xfrm xmlns:a="http://schemas.openxmlformats.org/drawingml/2006/main">
          <a:off x="4135967" y="240967"/>
          <a:ext cx="683306" cy="42911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>
              <a:latin typeface="+mn-lt"/>
            </a:rPr>
            <a:t>   31% </a:t>
          </a:r>
        </a:p>
        <a:p xmlns:a="http://schemas.openxmlformats.org/drawingml/2006/main">
          <a:r>
            <a:rPr lang="en-US" sz="1100">
              <a:latin typeface="+mn-lt"/>
            </a:rPr>
            <a:t>   YoY</a:t>
          </a:r>
        </a:p>
      </cdr:txBody>
    </cdr:sp>
  </cdr:relSizeAnchor>
  <cdr:relSizeAnchor xmlns:cdr="http://schemas.openxmlformats.org/drawingml/2006/chartDrawing">
    <cdr:from>
      <cdr:x>0.83982</cdr:x>
      <cdr:y>0.10335</cdr:y>
    </cdr:from>
    <cdr:to>
      <cdr:x>0.84079</cdr:x>
      <cdr:y>0.15496</cdr:y>
    </cdr:to>
    <cdr:cxnSp macro="">
      <cdr:nvCxnSpPr>
        <cdr:cNvPr id="4" name="Straight Arrow Connector 3">
          <a:extLst xmlns:a="http://schemas.openxmlformats.org/drawingml/2006/main">
            <a:ext uri="{FF2B5EF4-FFF2-40B4-BE49-F238E27FC236}">
              <a16:creationId xmlns:a16="http://schemas.microsoft.com/office/drawing/2014/main" id="{84E1B06F-FAA5-4FDF-8993-55B7C88223DE}"/>
            </a:ext>
          </a:extLst>
        </cdr:cNvPr>
        <cdr:cNvCxnSpPr/>
      </cdr:nvCxnSpPr>
      <cdr:spPr>
        <a:xfrm xmlns:a="http://schemas.openxmlformats.org/drawingml/2006/main" flipV="1">
          <a:off x="4622636" y="295863"/>
          <a:ext cx="5339" cy="147743"/>
        </a:xfrm>
        <a:prstGeom xmlns:a="http://schemas.openxmlformats.org/drawingml/2006/main" prst="straightConnector1">
          <a:avLst/>
        </a:prstGeom>
        <a:ln xmlns:a="http://schemas.openxmlformats.org/drawingml/2006/main">
          <a:tailEnd type="triangle"/>
        </a:ln>
      </cdr:spPr>
      <cdr:style>
        <a:lnRef xmlns:a="http://schemas.openxmlformats.org/drawingml/2006/main" idx="2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1">
          <a:schemeClr val="dk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0.78838</cdr:x>
      <cdr:y>0.17851</cdr:y>
    </cdr:from>
    <cdr:to>
      <cdr:x>0.98093</cdr:x>
      <cdr:y>0.38153</cdr:y>
    </cdr:to>
    <cdr:sp macro="" textlink="">
      <cdr:nvSpPr>
        <cdr:cNvPr id="2" name="TextBox 27">
          <a:extLst xmlns:a="http://schemas.openxmlformats.org/drawingml/2006/main">
            <a:ext uri="{FF2B5EF4-FFF2-40B4-BE49-F238E27FC236}">
              <a16:creationId xmlns:a16="http://schemas.microsoft.com/office/drawing/2014/main" id="{DA1E82E2-A0A4-6B00-1A5C-CC478EAA9080}"/>
            </a:ext>
          </a:extLst>
        </cdr:cNvPr>
        <cdr:cNvSpPr txBox="1"/>
      </cdr:nvSpPr>
      <cdr:spPr>
        <a:xfrm xmlns:a="http://schemas.openxmlformats.org/drawingml/2006/main">
          <a:off x="4125383" y="537633"/>
          <a:ext cx="1007533" cy="61141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>
              <a:latin typeface="+mn-lt"/>
            </a:rPr>
            <a:t>Impact</a:t>
          </a:r>
          <a:r>
            <a:rPr lang="en-US" sz="1100" baseline="0">
              <a:latin typeface="+mn-lt"/>
            </a:rPr>
            <a:t> of War and Order Cancellations</a:t>
          </a:r>
          <a:endParaRPr lang="en-US" sz="1100">
            <a:latin typeface="+mn-lt"/>
          </a:endParaRPr>
        </a:p>
      </cdr:txBody>
    </cdr:sp>
  </cdr:relSizeAnchor>
  <cdr:relSizeAnchor xmlns:cdr="http://schemas.openxmlformats.org/drawingml/2006/chartDrawing">
    <cdr:from>
      <cdr:x>0.81847</cdr:x>
      <cdr:y>0.35768</cdr:y>
    </cdr:from>
    <cdr:to>
      <cdr:x>0.82041</cdr:x>
      <cdr:y>0.72905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3389FFD0-DD0B-481E-5D4A-938740920939}"/>
            </a:ext>
          </a:extLst>
        </cdr:cNvPr>
        <cdr:cNvCxnSpPr/>
      </cdr:nvCxnSpPr>
      <cdr:spPr>
        <a:xfrm xmlns:a="http://schemas.openxmlformats.org/drawingml/2006/main" flipH="1" flipV="1">
          <a:off x="4455999" y="1040064"/>
          <a:ext cx="10562" cy="1079874"/>
        </a:xfrm>
        <a:prstGeom xmlns:a="http://schemas.openxmlformats.org/drawingml/2006/main" prst="line">
          <a:avLst/>
        </a:prstGeom>
        <a:ln xmlns:a="http://schemas.openxmlformats.org/drawingml/2006/main" w="19050" cap="flat" cmpd="sng" algn="ctr">
          <a:solidFill>
            <a:srgbClr val="C00000"/>
          </a:solidFill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0.69236</cdr:x>
      <cdr:y>0.11761</cdr:y>
    </cdr:from>
    <cdr:to>
      <cdr:x>0.83935</cdr:x>
      <cdr:y>0.25467</cdr:y>
    </cdr:to>
    <cdr:sp macro="" textlink="">
      <cdr:nvSpPr>
        <cdr:cNvPr id="2" name="TextBox 27">
          <a:extLst xmlns:a="http://schemas.openxmlformats.org/drawingml/2006/main">
            <a:ext uri="{FF2B5EF4-FFF2-40B4-BE49-F238E27FC236}">
              <a16:creationId xmlns:a16="http://schemas.microsoft.com/office/drawing/2014/main" id="{7BD51C72-3FD7-BC28-68BE-D104AB12213D}"/>
            </a:ext>
          </a:extLst>
        </cdr:cNvPr>
        <cdr:cNvSpPr txBox="1"/>
      </cdr:nvSpPr>
      <cdr:spPr>
        <a:xfrm xmlns:a="http://schemas.openxmlformats.org/drawingml/2006/main">
          <a:off x="3649110" y="334455"/>
          <a:ext cx="774711" cy="389764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>
              <a:latin typeface="+mn-lt"/>
            </a:rPr>
            <a:t>Pipeline Shrinking</a:t>
          </a: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0.77674</cdr:x>
      <cdr:y>0.06192</cdr:y>
    </cdr:from>
    <cdr:to>
      <cdr:x>0.91649</cdr:x>
      <cdr:y>0.17361</cdr:y>
    </cdr:to>
    <cdr:sp macro="" textlink="">
      <cdr:nvSpPr>
        <cdr:cNvPr id="2" name="TextBox 15">
          <a:extLst xmlns:a="http://schemas.openxmlformats.org/drawingml/2006/main">
            <a:ext uri="{FF2B5EF4-FFF2-40B4-BE49-F238E27FC236}">
              <a16:creationId xmlns:a16="http://schemas.microsoft.com/office/drawing/2014/main" id="{89927B3A-5440-10C5-CED3-6E975A97A3B2}"/>
            </a:ext>
          </a:extLst>
        </cdr:cNvPr>
        <cdr:cNvSpPr txBox="1"/>
      </cdr:nvSpPr>
      <cdr:spPr>
        <a:xfrm xmlns:a="http://schemas.openxmlformats.org/drawingml/2006/main">
          <a:off x="4016124" y="171039"/>
          <a:ext cx="722563" cy="308515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400"/>
            <a:t>Targets</a:t>
          </a:r>
        </a:p>
      </cdr:txBody>
    </cdr:sp>
  </cdr:relSizeAnchor>
  <cdr:relSizeAnchor xmlns:cdr="http://schemas.openxmlformats.org/drawingml/2006/chartDrawing">
    <cdr:from>
      <cdr:x>0.36528</cdr:x>
      <cdr:y>0.42216</cdr:y>
    </cdr:from>
    <cdr:to>
      <cdr:x>0.5043</cdr:x>
      <cdr:y>0.53385</cdr:y>
    </cdr:to>
    <cdr:sp macro="" textlink="">
      <cdr:nvSpPr>
        <cdr:cNvPr id="3" name="TextBox 15">
          <a:extLst xmlns:a="http://schemas.openxmlformats.org/drawingml/2006/main">
            <a:ext uri="{FF2B5EF4-FFF2-40B4-BE49-F238E27FC236}">
              <a16:creationId xmlns:a16="http://schemas.microsoft.com/office/drawing/2014/main" id="{89927B3A-5440-10C5-CED3-6E975A97A3B2}"/>
            </a:ext>
          </a:extLst>
        </cdr:cNvPr>
        <cdr:cNvSpPr txBox="1"/>
      </cdr:nvSpPr>
      <cdr:spPr>
        <a:xfrm xmlns:a="http://schemas.openxmlformats.org/drawingml/2006/main">
          <a:off x="1888676" y="1166111"/>
          <a:ext cx="718794" cy="30851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400"/>
            <a:t>Actuals</a:t>
          </a:r>
        </a:p>
      </cdr:txBody>
    </cdr:sp>
  </cdr:relSizeAnchor>
  <cdr:relSizeAnchor xmlns:cdr="http://schemas.openxmlformats.org/drawingml/2006/chartDrawing">
    <cdr:from>
      <cdr:x>0.70633</cdr:x>
      <cdr:y>0.20103</cdr:y>
    </cdr:from>
    <cdr:to>
      <cdr:x>0.70633</cdr:x>
      <cdr:y>0.84339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387B9FEE-49D4-9103-E354-FC2F3EAB3D8C}"/>
            </a:ext>
          </a:extLst>
        </cdr:cNvPr>
        <cdr:cNvCxnSpPr/>
      </cdr:nvCxnSpPr>
      <cdr:spPr>
        <a:xfrm xmlns:a="http://schemas.openxmlformats.org/drawingml/2006/main" flipV="1">
          <a:off x="3652093" y="555307"/>
          <a:ext cx="0" cy="1774358"/>
        </a:xfrm>
        <a:prstGeom xmlns:a="http://schemas.openxmlformats.org/drawingml/2006/main" prst="line">
          <a:avLst/>
        </a:prstGeom>
        <a:ln xmlns:a="http://schemas.openxmlformats.org/drawingml/2006/main" w="19050" cap="flat" cmpd="sng" algn="ctr">
          <a:solidFill>
            <a:srgbClr val="C00000"/>
          </a:solidFill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0.7373</cdr:x>
      <cdr:y>0.13757</cdr:y>
    </cdr:from>
    <cdr:to>
      <cdr:x>0.93175</cdr:x>
      <cdr:y>0.23016</cdr:y>
    </cdr:to>
    <cdr:sp macro="" textlink="">
      <cdr:nvSpPr>
        <cdr:cNvPr id="2" name="TextBox 2">
          <a:extLst xmlns:a="http://schemas.openxmlformats.org/drawingml/2006/main">
            <a:ext uri="{FF2B5EF4-FFF2-40B4-BE49-F238E27FC236}">
              <a16:creationId xmlns:a16="http://schemas.microsoft.com/office/drawing/2014/main" id="{F9C4201E-9C47-C4E2-6291-62D63B668A11}"/>
            </a:ext>
          </a:extLst>
        </cdr:cNvPr>
        <cdr:cNvSpPr txBox="1"/>
      </cdr:nvSpPr>
      <cdr:spPr>
        <a:xfrm xmlns:a="http://schemas.openxmlformats.org/drawingml/2006/main">
          <a:off x="3370943" y="377372"/>
          <a:ext cx="889000" cy="2540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lt1">
              <a:shade val="50000"/>
            </a:schemeClr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CMP ₹ 1911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36</xdr:row>
      <xdr:rowOff>0</xdr:rowOff>
    </xdr:from>
    <xdr:to>
      <xdr:col>17</xdr:col>
      <xdr:colOff>0</xdr:colOff>
      <xdr:row>57</xdr:row>
      <xdr:rowOff>0</xdr:rowOff>
    </xdr:to>
    <xdr:graphicFrame macro="">
      <xdr:nvGraphicFramePr>
        <xdr:cNvPr id="2" name="MC_Histogram">
          <a:extLst>
            <a:ext uri="{FF2B5EF4-FFF2-40B4-BE49-F238E27FC236}">
              <a16:creationId xmlns:a16="http://schemas.microsoft.com/office/drawing/2014/main" id="{F34201F4-FDB5-A451-AB18-33F7CBD9B7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2B53A3D-9AEF-4E70-BC18-2F89035B3CD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2dc57a8-c369-4cc7-9b98-d71fb9fd5bb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mailto:niranjan.desai553@nmims.in" TargetMode="External"/><Relationship Id="rId1" Type="http://schemas.openxmlformats.org/officeDocument/2006/relationships/hyperlink" Target="mailto:mr.niranjandesai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ppac.gov.in/infrastructure/installed-refinery-capacity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pages.stern.nyu.edu/~adamodar/New_Home_Page/datafile/ctryprem.html" TargetMode="External"/><Relationship Id="rId1" Type="http://schemas.openxmlformats.org/officeDocument/2006/relationships/hyperlink" Target="https://www.rbi.org.in/Scripts/BS_NSDPDisplay.aspx?param=4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in.investing.com/commodities/ncdex-steel-futures" TargetMode="External"/><Relationship Id="rId2" Type="http://schemas.openxmlformats.org/officeDocument/2006/relationships/hyperlink" Target="https://www.rbi.org.in/scripts/referenceratearchive.aspx" TargetMode="External"/><Relationship Id="rId1" Type="http://schemas.openxmlformats.org/officeDocument/2006/relationships/hyperlink" Target="https://www.macrotrends.net/2480/brent-crude-oil-prices-10-year-daily-cha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17C14-8A0B-4272-9A8C-D972070F4BD2}">
  <sheetPr>
    <tabColor rgb="FF8E1C2F"/>
  </sheetPr>
  <dimension ref="A1:L41"/>
  <sheetViews>
    <sheetView showGridLines="0" tabSelected="1" zoomScale="80" zoomScaleNormal="80" workbookViewId="0">
      <selection activeCell="P12" sqref="P12"/>
    </sheetView>
  </sheetViews>
  <sheetFormatPr defaultColWidth="10.5546875" defaultRowHeight="13.8" x14ac:dyDescent="0.3"/>
  <cols>
    <col min="1" max="1" width="1.109375" style="12" customWidth="1"/>
    <col min="2" max="9" width="13.6640625" style="12" customWidth="1"/>
    <col min="10" max="12" width="1.109375" style="12" customWidth="1"/>
    <col min="13" max="16384" width="10.5546875" style="12"/>
  </cols>
  <sheetData>
    <row r="1" spans="1:12" ht="10.050000000000001" customHeight="1" x14ac:dyDescent="0.3">
      <c r="A1"/>
      <c r="B1"/>
      <c r="C1"/>
      <c r="D1"/>
      <c r="E1"/>
      <c r="F1"/>
      <c r="G1"/>
      <c r="H1"/>
      <c r="I1"/>
      <c r="J1"/>
      <c r="K1"/>
      <c r="L1"/>
    </row>
    <row r="2" spans="1:12" ht="24" customHeight="1" x14ac:dyDescent="0.3">
      <c r="A2"/>
      <c r="B2" s="427"/>
      <c r="C2" s="429"/>
      <c r="D2" s="411" t="s">
        <v>1091</v>
      </c>
      <c r="E2" s="412"/>
      <c r="F2" s="412"/>
      <c r="G2" s="412"/>
      <c r="H2" s="412"/>
      <c r="I2" s="412"/>
      <c r="J2"/>
      <c r="K2"/>
      <c r="L2"/>
    </row>
    <row r="3" spans="1:12" ht="24" customHeight="1" x14ac:dyDescent="0.3">
      <c r="A3"/>
      <c r="B3" s="428"/>
      <c r="C3" s="429"/>
      <c r="D3" s="412"/>
      <c r="E3" s="412"/>
      <c r="F3" s="412"/>
      <c r="G3" s="412"/>
      <c r="H3" s="412"/>
      <c r="I3" s="412"/>
      <c r="J3"/>
      <c r="K3"/>
      <c r="L3"/>
    </row>
    <row r="4" spans="1:12" ht="24" customHeight="1" x14ac:dyDescent="0.3">
      <c r="A4"/>
      <c r="B4" s="428"/>
      <c r="C4" s="429"/>
      <c r="D4" s="412"/>
      <c r="E4" s="412"/>
      <c r="F4" s="412"/>
      <c r="G4" s="412"/>
      <c r="H4" s="412"/>
      <c r="I4" s="412"/>
      <c r="J4"/>
      <c r="K4"/>
      <c r="L4"/>
    </row>
    <row r="5" spans="1:12" ht="24" customHeight="1" x14ac:dyDescent="0.3">
      <c r="A5"/>
      <c r="B5" s="428"/>
      <c r="C5" s="429"/>
      <c r="D5" s="412"/>
      <c r="E5" s="412"/>
      <c r="F5" s="412"/>
      <c r="G5" s="412"/>
      <c r="H5" s="412"/>
      <c r="I5" s="412"/>
      <c r="J5"/>
      <c r="K5"/>
      <c r="L5"/>
    </row>
    <row r="6" spans="1:12" ht="24" customHeight="1" x14ac:dyDescent="0.3">
      <c r="A6"/>
      <c r="B6" s="428"/>
      <c r="C6" s="429"/>
      <c r="D6" s="412"/>
      <c r="E6" s="412"/>
      <c r="F6" s="412"/>
      <c r="G6" s="412"/>
      <c r="H6" s="412"/>
      <c r="I6" s="412"/>
      <c r="J6"/>
      <c r="K6"/>
      <c r="L6"/>
    </row>
    <row r="7" spans="1:12" ht="16.05" customHeight="1" x14ac:dyDescent="0.3">
      <c r="A7"/>
      <c r="B7" s="413" t="s">
        <v>1092</v>
      </c>
      <c r="C7" s="414"/>
      <c r="D7" s="414"/>
      <c r="E7" s="414"/>
      <c r="F7" s="414"/>
      <c r="G7" s="414"/>
      <c r="H7" s="414"/>
      <c r="I7" s="414"/>
      <c r="J7"/>
      <c r="K7"/>
      <c r="L7"/>
    </row>
    <row r="8" spans="1:12" ht="19.95" customHeight="1" thickBot="1" x14ac:dyDescent="0.35">
      <c r="A8"/>
      <c r="B8" s="415"/>
      <c r="C8" s="415"/>
      <c r="D8" s="415"/>
      <c r="E8" s="415"/>
      <c r="F8" s="415"/>
      <c r="G8" s="415"/>
      <c r="H8" s="415"/>
      <c r="I8" s="415"/>
      <c r="J8"/>
      <c r="K8"/>
      <c r="L8"/>
    </row>
    <row r="9" spans="1:12" ht="7.95" customHeight="1" thickTop="1" x14ac:dyDescent="0.3">
      <c r="A9"/>
      <c r="B9"/>
      <c r="C9"/>
      <c r="D9"/>
      <c r="E9"/>
      <c r="F9"/>
      <c r="G9"/>
      <c r="H9"/>
      <c r="I9"/>
      <c r="J9"/>
      <c r="K9"/>
      <c r="L9"/>
    </row>
    <row r="10" spans="1:12" ht="22.05" customHeight="1" thickBot="1" x14ac:dyDescent="0.35">
      <c r="A10"/>
      <c r="B10" s="416" t="s">
        <v>1093</v>
      </c>
      <c r="C10" s="341"/>
      <c r="D10" s="341"/>
      <c r="E10" s="341"/>
      <c r="F10" s="341"/>
      <c r="G10" s="341"/>
      <c r="H10" s="341"/>
      <c r="I10" s="341"/>
      <c r="J10"/>
      <c r="K10"/>
      <c r="L10"/>
    </row>
    <row r="11" spans="1:12" ht="18" customHeight="1" x14ac:dyDescent="0.3">
      <c r="A11"/>
      <c r="B11" s="335" t="s">
        <v>1094</v>
      </c>
      <c r="C11" s="333"/>
      <c r="D11" s="333"/>
      <c r="E11" s="333"/>
      <c r="F11" s="333"/>
      <c r="G11" s="333"/>
      <c r="H11" s="333"/>
      <c r="I11" s="333"/>
      <c r="J11"/>
      <c r="K11"/>
      <c r="L11"/>
    </row>
    <row r="12" spans="1:12" ht="18" customHeight="1" x14ac:dyDescent="0.3">
      <c r="A12"/>
      <c r="B12" s="333"/>
      <c r="C12" s="333"/>
      <c r="D12" s="333"/>
      <c r="E12" s="333"/>
      <c r="F12" s="333"/>
      <c r="G12" s="333"/>
      <c r="H12" s="333"/>
      <c r="I12" s="333"/>
      <c r="J12"/>
      <c r="K12"/>
      <c r="L12"/>
    </row>
    <row r="13" spans="1:12" ht="18" customHeight="1" x14ac:dyDescent="0.3">
      <c r="A13"/>
      <c r="B13" s="333"/>
      <c r="C13" s="333"/>
      <c r="D13" s="333"/>
      <c r="E13" s="333"/>
      <c r="F13" s="333"/>
      <c r="G13" s="333"/>
      <c r="H13" s="333"/>
      <c r="I13" s="333"/>
      <c r="J13"/>
      <c r="K13"/>
      <c r="L13"/>
    </row>
    <row r="14" spans="1:12" ht="18" customHeight="1" x14ac:dyDescent="0.3">
      <c r="A14"/>
      <c r="B14" s="333"/>
      <c r="C14" s="333"/>
      <c r="D14" s="333"/>
      <c r="E14" s="333"/>
      <c r="F14" s="333"/>
      <c r="G14" s="333"/>
      <c r="H14" s="333"/>
      <c r="I14" s="333"/>
      <c r="J14"/>
      <c r="K14"/>
      <c r="L14"/>
    </row>
    <row r="15" spans="1:12" ht="10.050000000000001" customHeight="1" x14ac:dyDescent="0.3">
      <c r="A15"/>
      <c r="B15"/>
      <c r="C15"/>
      <c r="D15"/>
      <c r="E15"/>
      <c r="F15"/>
      <c r="G15"/>
      <c r="H15"/>
      <c r="I15"/>
      <c r="J15"/>
      <c r="K15"/>
      <c r="L15"/>
    </row>
    <row r="16" spans="1:12" ht="22.05" customHeight="1" thickBot="1" x14ac:dyDescent="0.35">
      <c r="A16"/>
      <c r="B16" s="418" t="s">
        <v>1095</v>
      </c>
      <c r="C16" s="341"/>
      <c r="D16" s="341"/>
      <c r="E16" s="343"/>
      <c r="F16" s="343"/>
      <c r="G16" s="341"/>
      <c r="H16" s="341"/>
      <c r="I16" s="341"/>
      <c r="J16"/>
      <c r="K16"/>
      <c r="L16"/>
    </row>
    <row r="17" spans="1:12" ht="22.05" customHeight="1" x14ac:dyDescent="0.3">
      <c r="A17" s="421"/>
      <c r="B17" s="419" t="s">
        <v>1096</v>
      </c>
      <c r="C17" s="333"/>
      <c r="D17" s="333"/>
      <c r="E17" s="422"/>
      <c r="F17" s="419" t="s">
        <v>1102</v>
      </c>
      <c r="G17" s="333"/>
      <c r="H17" s="333"/>
      <c r="I17"/>
      <c r="J17"/>
      <c r="K17"/>
      <c r="L17"/>
    </row>
    <row r="18" spans="1:12" ht="22.05" customHeight="1" x14ac:dyDescent="0.3">
      <c r="A18" s="421"/>
      <c r="B18" s="420" t="s">
        <v>1097</v>
      </c>
      <c r="C18" s="333"/>
      <c r="D18" s="333"/>
      <c r="E18" s="421"/>
      <c r="F18" s="420" t="s">
        <v>1103</v>
      </c>
      <c r="G18" s="333"/>
      <c r="H18" s="333"/>
      <c r="I18"/>
      <c r="J18"/>
      <c r="K18"/>
      <c r="L18"/>
    </row>
    <row r="19" spans="1:12" ht="22.05" customHeight="1" x14ac:dyDescent="0.3">
      <c r="A19" s="421"/>
      <c r="B19" s="420" t="s">
        <v>1098</v>
      </c>
      <c r="C19" s="333"/>
      <c r="D19" s="333"/>
      <c r="E19" s="421"/>
      <c r="F19" s="420" t="s">
        <v>1104</v>
      </c>
      <c r="G19" s="333"/>
      <c r="H19" s="333"/>
      <c r="I19"/>
      <c r="J19"/>
      <c r="K19"/>
      <c r="L19"/>
    </row>
    <row r="20" spans="1:12" ht="22.05" customHeight="1" x14ac:dyDescent="0.3">
      <c r="A20" s="421"/>
      <c r="B20" s="420" t="s">
        <v>1099</v>
      </c>
      <c r="C20" s="334"/>
      <c r="D20" s="334"/>
      <c r="E20" s="421"/>
      <c r="F20" s="420" t="s">
        <v>1105</v>
      </c>
      <c r="G20" s="334"/>
      <c r="H20" s="334"/>
      <c r="I20"/>
      <c r="J20"/>
      <c r="K20"/>
      <c r="L20"/>
    </row>
    <row r="21" spans="1:12" ht="22.05" customHeight="1" x14ac:dyDescent="0.3">
      <c r="A21" s="421"/>
      <c r="B21" s="420" t="s">
        <v>1100</v>
      </c>
      <c r="C21" s="334"/>
      <c r="D21" s="334"/>
      <c r="E21" s="421"/>
      <c r="F21" s="420" t="s">
        <v>1106</v>
      </c>
      <c r="G21" s="334"/>
      <c r="H21" s="334"/>
      <c r="I21"/>
      <c r="J21"/>
      <c r="K21"/>
      <c r="L21"/>
    </row>
    <row r="22" spans="1:12" ht="22.05" customHeight="1" x14ac:dyDescent="0.3">
      <c r="A22" s="421"/>
      <c r="B22" s="420" t="s">
        <v>1101</v>
      </c>
      <c r="C22" s="334"/>
      <c r="D22" s="334"/>
      <c r="E22" s="421"/>
      <c r="F22" s="420" t="s">
        <v>1107</v>
      </c>
      <c r="G22" s="334"/>
      <c r="H22" s="334"/>
      <c r="I22"/>
      <c r="J22"/>
      <c r="K22"/>
      <c r="L22"/>
    </row>
    <row r="23" spans="1:12" ht="10.050000000000001" customHeight="1" x14ac:dyDescent="0.3">
      <c r="A23"/>
      <c r="B23"/>
      <c r="C23"/>
      <c r="D23"/>
      <c r="E23"/>
      <c r="F23"/>
      <c r="G23"/>
      <c r="H23"/>
      <c r="I23"/>
      <c r="J23"/>
      <c r="K23"/>
      <c r="L23"/>
    </row>
    <row r="24" spans="1:12" ht="19.95" customHeight="1" thickBot="1" x14ac:dyDescent="0.35">
      <c r="A24"/>
      <c r="B24" s="417" t="s">
        <v>1108</v>
      </c>
      <c r="C24" s="341"/>
      <c r="D24" s="341"/>
      <c r="E24" s="341"/>
      <c r="F24"/>
      <c r="G24"/>
      <c r="H24"/>
      <c r="I24"/>
      <c r="J24"/>
      <c r="K24"/>
      <c r="L24"/>
    </row>
    <row r="25" spans="1:12" ht="18" customHeight="1" x14ac:dyDescent="0.3">
      <c r="A25"/>
      <c r="B25" s="342"/>
      <c r="C25" s="339" t="s">
        <v>1109</v>
      </c>
      <c r="D25" s="333"/>
      <c r="E25" s="333"/>
      <c r="F25"/>
      <c r="G25"/>
      <c r="H25"/>
      <c r="I25"/>
      <c r="J25"/>
      <c r="K25"/>
      <c r="L25"/>
    </row>
    <row r="26" spans="1:12" ht="18" customHeight="1" x14ac:dyDescent="0.3">
      <c r="A26"/>
      <c r="B26" s="337"/>
      <c r="C26" s="339" t="s">
        <v>1110</v>
      </c>
      <c r="D26" s="333"/>
      <c r="E26" s="333"/>
      <c r="F26"/>
      <c r="G26"/>
      <c r="H26"/>
      <c r="I26"/>
      <c r="J26"/>
      <c r="K26"/>
      <c r="L26"/>
    </row>
    <row r="27" spans="1:12" ht="18" customHeight="1" x14ac:dyDescent="0.3">
      <c r="A27"/>
      <c r="B27" s="338"/>
      <c r="C27" s="339" t="s">
        <v>1111</v>
      </c>
      <c r="D27" s="333"/>
      <c r="E27" s="333"/>
      <c r="F27"/>
      <c r="G27"/>
      <c r="H27"/>
      <c r="I27"/>
      <c r="J27"/>
      <c r="K27"/>
      <c r="L27"/>
    </row>
    <row r="28" spans="1:12" ht="7.95" customHeight="1" x14ac:dyDescent="0.3">
      <c r="A28"/>
      <c r="B28"/>
      <c r="C28"/>
      <c r="D28"/>
      <c r="E28"/>
      <c r="F28"/>
      <c r="G28"/>
      <c r="H28"/>
      <c r="I28"/>
      <c r="J28"/>
      <c r="K28"/>
      <c r="L28"/>
    </row>
    <row r="29" spans="1:12" ht="19.95" customHeight="1" thickBot="1" x14ac:dyDescent="0.35">
      <c r="A29"/>
      <c r="B29" s="417" t="s">
        <v>1113</v>
      </c>
      <c r="C29" s="341"/>
      <c r="D29" s="341"/>
      <c r="E29" s="341"/>
      <c r="F29" s="341"/>
      <c r="G29" s="341"/>
      <c r="H29" s="341"/>
      <c r="I29" s="341"/>
      <c r="J29"/>
      <c r="K29"/>
      <c r="L29"/>
    </row>
    <row r="30" spans="1:12" ht="16.05" customHeight="1" x14ac:dyDescent="0.3">
      <c r="A30"/>
      <c r="B30" s="423" t="s">
        <v>1114</v>
      </c>
      <c r="C30" s="333"/>
      <c r="D30" s="340" t="s">
        <v>1112</v>
      </c>
      <c r="E30" s="333"/>
      <c r="F30" s="333"/>
      <c r="G30" s="333"/>
      <c r="H30" s="333"/>
      <c r="I30" s="333"/>
      <c r="J30"/>
      <c r="K30"/>
      <c r="L30"/>
    </row>
    <row r="31" spans="1:12" ht="16.05" customHeight="1" x14ac:dyDescent="0.3">
      <c r="B31" s="423" t="s">
        <v>191</v>
      </c>
      <c r="C31" s="333"/>
      <c r="D31" s="410" t="s">
        <v>1128</v>
      </c>
      <c r="E31" s="333"/>
      <c r="F31" s="333"/>
      <c r="G31" s="333"/>
      <c r="H31" s="333"/>
      <c r="I31" s="333"/>
    </row>
    <row r="32" spans="1:12" x14ac:dyDescent="0.3">
      <c r="B32" s="423" t="s">
        <v>1115</v>
      </c>
      <c r="C32" s="333"/>
      <c r="D32" s="409" t="s">
        <v>1121</v>
      </c>
      <c r="E32" s="333"/>
      <c r="F32" s="333"/>
      <c r="G32" s="333"/>
      <c r="H32" s="333"/>
      <c r="I32" s="333"/>
    </row>
    <row r="33" spans="2:9" ht="15" customHeight="1" x14ac:dyDescent="0.3">
      <c r="B33" s="424" t="s">
        <v>1116</v>
      </c>
      <c r="C33" s="333"/>
      <c r="D33" s="409" t="s">
        <v>1122</v>
      </c>
      <c r="E33" s="333"/>
      <c r="F33" s="333"/>
      <c r="G33" s="333"/>
      <c r="H33" s="333"/>
      <c r="I33" s="333"/>
    </row>
    <row r="34" spans="2:9" ht="15" customHeight="1" x14ac:dyDescent="0.3">
      <c r="B34" s="333"/>
      <c r="C34" s="333"/>
      <c r="D34" s="333"/>
      <c r="E34" s="333"/>
      <c r="F34" s="333"/>
      <c r="G34" s="333"/>
      <c r="H34" s="333"/>
      <c r="I34" s="333"/>
    </row>
    <row r="35" spans="2:9" ht="15" customHeight="1" x14ac:dyDescent="0.3">
      <c r="B35" s="424" t="s">
        <v>1117</v>
      </c>
      <c r="C35" s="333"/>
      <c r="D35" s="409" t="s">
        <v>1123</v>
      </c>
      <c r="E35" s="333"/>
      <c r="F35" s="333"/>
      <c r="G35" s="333"/>
      <c r="H35" s="333"/>
      <c r="I35" s="333"/>
    </row>
    <row r="36" spans="2:9" ht="15" customHeight="1" x14ac:dyDescent="0.3">
      <c r="B36" s="333"/>
      <c r="C36" s="333"/>
      <c r="D36" s="333"/>
      <c r="E36" s="333"/>
      <c r="F36" s="333"/>
      <c r="G36" s="333"/>
      <c r="H36" s="333"/>
      <c r="I36" s="333"/>
    </row>
    <row r="37" spans="2:9" ht="16.05" customHeight="1" x14ac:dyDescent="0.3">
      <c r="B37" s="425" t="s">
        <v>1118</v>
      </c>
      <c r="C37" s="408"/>
      <c r="D37" s="339" t="s">
        <v>1124</v>
      </c>
      <c r="E37" s="333"/>
      <c r="F37" s="333"/>
      <c r="G37" s="333"/>
      <c r="H37" s="333"/>
      <c r="I37" s="333"/>
    </row>
    <row r="38" spans="2:9" ht="16.05" customHeight="1" x14ac:dyDescent="0.3">
      <c r="B38" s="425" t="s">
        <v>1119</v>
      </c>
      <c r="C38" s="408"/>
      <c r="D38" s="426" t="s">
        <v>1125</v>
      </c>
      <c r="E38" s="333"/>
      <c r="F38" s="333"/>
      <c r="G38" s="333"/>
      <c r="H38" s="333"/>
      <c r="I38" s="333"/>
    </row>
    <row r="39" spans="2:9" ht="16.05" customHeight="1" x14ac:dyDescent="0.3">
      <c r="B39" s="425" t="s">
        <v>1120</v>
      </c>
      <c r="C39" s="408"/>
      <c r="D39" s="426" t="s">
        <v>1126</v>
      </c>
      <c r="E39" s="333"/>
      <c r="F39" s="333"/>
      <c r="G39" s="333"/>
      <c r="H39" s="333"/>
      <c r="I39" s="333"/>
    </row>
    <row r="40" spans="2:9" ht="7.95" customHeight="1" x14ac:dyDescent="0.3">
      <c r="B40"/>
      <c r="C40"/>
      <c r="D40"/>
      <c r="E40"/>
      <c r="F40"/>
      <c r="G40"/>
      <c r="H40"/>
      <c r="I40"/>
    </row>
    <row r="41" spans="2:9" ht="25.95" customHeight="1" x14ac:dyDescent="0.3">
      <c r="B41" s="336" t="s">
        <v>1127</v>
      </c>
      <c r="C41" s="333"/>
      <c r="D41" s="333"/>
      <c r="E41" s="333"/>
      <c r="F41" s="333"/>
      <c r="G41" s="333"/>
      <c r="H41" s="333"/>
      <c r="I41" s="333"/>
    </row>
  </sheetData>
  <mergeCells count="39">
    <mergeCell ref="B41:I41"/>
    <mergeCell ref="B37:C37"/>
    <mergeCell ref="D37:I37"/>
    <mergeCell ref="B38:C38"/>
    <mergeCell ref="D38:I38"/>
    <mergeCell ref="B39:C39"/>
    <mergeCell ref="D39:I39"/>
    <mergeCell ref="B32:C32"/>
    <mergeCell ref="D32:I32"/>
    <mergeCell ref="B33:C34"/>
    <mergeCell ref="D33:I34"/>
    <mergeCell ref="B35:C36"/>
    <mergeCell ref="D35:I36"/>
    <mergeCell ref="B29:I29"/>
    <mergeCell ref="D2:I6"/>
    <mergeCell ref="B30:C30"/>
    <mergeCell ref="D30:I30"/>
    <mergeCell ref="B31:C31"/>
    <mergeCell ref="D31:I31"/>
    <mergeCell ref="C25:E25"/>
    <mergeCell ref="C26:E26"/>
    <mergeCell ref="C27:E27"/>
    <mergeCell ref="F21:H21"/>
    <mergeCell ref="B22:D22"/>
    <mergeCell ref="F22:H22"/>
    <mergeCell ref="B24:E24"/>
    <mergeCell ref="B7:I8"/>
    <mergeCell ref="B10:I10"/>
    <mergeCell ref="B11:I14"/>
    <mergeCell ref="B16:I16"/>
    <mergeCell ref="B17:D17"/>
    <mergeCell ref="F17:H17"/>
    <mergeCell ref="B18:D18"/>
    <mergeCell ref="F18:H18"/>
    <mergeCell ref="B19:D19"/>
    <mergeCell ref="F19:H19"/>
    <mergeCell ref="B20:D20"/>
    <mergeCell ref="F20:H20"/>
    <mergeCell ref="B21:D21"/>
  </mergeCells>
  <hyperlinks>
    <hyperlink ref="B17" location="'Income Statement'!A1" display="01   Income Statement" xr:uid="{03831DEA-740F-4006-B427-54C188E9542B}"/>
    <hyperlink ref="B18" location="'Balance Sheet'!A1" display="02   Balance Sheet" xr:uid="{7E1D7939-A50D-4BC5-9D09-B8B633D788FA}"/>
    <hyperlink ref="B19" location="'Cash Flows'!A1" display="03   Cash Flow Statement" xr:uid="{25EE926D-C3D5-435A-AA53-959448434850}"/>
    <hyperlink ref="B20" location="'Revenue Segments'!A1" display="04   Revenue Segments" xr:uid="{F567F4D6-21E9-48C5-AB01-53D7C166B898}"/>
    <hyperlink ref="B21" location="'Graphical Representation'!A1" display="05   Graphical Representation" xr:uid="{263218C5-63C8-4EC9-A9E7-B827662D6C55}"/>
    <hyperlink ref="B22" location="'Estimate Sheet'!A1" display="06   Estimate Sheet" xr:uid="{AEEF8CB5-26DA-4FBC-996C-5DFA0053D77C}"/>
    <hyperlink ref="F17" location="'DCF Model'!A1" display="07   DCF Model" xr:uid="{E8B775CA-12CC-4BEA-B96E-FAFF800075CC}"/>
    <hyperlink ref="F18" location="'Peer Comps'!A1" display="08   Peer Comparison" xr:uid="{58888D19-7DB1-4B41-832A-426F6396F220}"/>
    <hyperlink ref="F19" location="'Peer Data'!A1" display="09   Peer Data" xr:uid="{229E3354-5BEF-4613-B46A-A2AC963F30B0}"/>
    <hyperlink ref="F20" location="Beta!A1" display="10   Beta" xr:uid="{1D682D93-881B-4E64-BBA8-A9E794EAEF22}"/>
    <hyperlink ref="F21" location="'Risk Data'!A1" display="11   Risk Data" xr:uid="{73142718-9B76-4584-B5F2-B6FCD4196E03}"/>
    <hyperlink ref="F22" location="Guidance!A1" display="12   Guidance" xr:uid="{E85FA55D-B834-4DCE-8C78-DFB396A1F720}"/>
    <hyperlink ref="D38" r:id="rId1" xr:uid="{2EEEDA89-134C-4772-A565-646A28E2B6F7}"/>
    <hyperlink ref="D39" r:id="rId2" xr:uid="{748C3499-7B78-40BF-8A0D-7E7EBBFE9F25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48F12-2FB6-4B91-A60B-9739D76AAF07}">
  <sheetPr>
    <tabColor rgb="FF8E1C2F"/>
  </sheetPr>
  <dimension ref="A1:AJ142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/>
    </sheetView>
  </sheetViews>
  <sheetFormatPr defaultColWidth="10.5546875" defaultRowHeight="13.8" outlineLevelRow="1" outlineLevelCol="1" x14ac:dyDescent="0.3"/>
  <cols>
    <col min="1" max="1" width="2.6640625" style="8" customWidth="1"/>
    <col min="2" max="2" width="55.6640625" style="237" customWidth="1"/>
    <col min="3" max="4" width="10.6640625" style="24" hidden="1" customWidth="1" outlineLevel="1"/>
    <col min="5" max="5" width="10.6640625" style="24" customWidth="1" collapsed="1"/>
    <col min="6" max="7" width="10.6640625" style="24" hidden="1" customWidth="1" outlineLevel="1"/>
    <col min="8" max="8" width="10.6640625" style="24" customWidth="1" collapsed="1"/>
    <col min="9" max="10" width="10.6640625" style="24" hidden="1" customWidth="1" outlineLevel="1"/>
    <col min="11" max="11" width="10.6640625" style="24" customWidth="1" collapsed="1"/>
    <col min="12" max="13" width="10.6640625" style="24" hidden="1" customWidth="1" outlineLevel="1"/>
    <col min="14" max="14" width="10.6640625" style="24" customWidth="1" collapsed="1"/>
    <col min="15" max="16" width="10.6640625" style="2" hidden="1" customWidth="1" outlineLevel="1"/>
    <col min="17" max="17" width="10.6640625" style="2" customWidth="1" collapsed="1"/>
    <col min="18" max="19" width="10.6640625" style="2" hidden="1" customWidth="1" outlineLevel="1"/>
    <col min="20" max="20" width="10.6640625" style="2" customWidth="1" collapsed="1"/>
    <col min="21" max="22" width="10.6640625" style="2" hidden="1" customWidth="1" outlineLevel="1"/>
    <col min="23" max="23" width="10.6640625" style="2" customWidth="1" collapsed="1"/>
    <col min="24" max="25" width="10.6640625" style="2" hidden="1" customWidth="1" outlineLevel="1"/>
    <col min="26" max="26" width="10.6640625" style="2" customWidth="1" collapsed="1"/>
    <col min="27" max="28" width="10.6640625" style="2" hidden="1" customWidth="1" outlineLevel="1"/>
    <col min="29" max="29" width="10.6640625" style="2" customWidth="1" collapsed="1"/>
    <col min="30" max="31" width="10.6640625" style="2" hidden="1" customWidth="1" outlineLevel="1"/>
    <col min="32" max="32" width="10.6640625" style="2" customWidth="1" collapsed="1"/>
    <col min="33" max="34" width="10.6640625" style="2" hidden="1" customWidth="1" outlineLevel="1"/>
    <col min="35" max="35" width="10.6640625" style="2" customWidth="1" collapsed="1"/>
    <col min="36" max="61" width="10.6640625" style="2" customWidth="1"/>
    <col min="62" max="16384" width="10.5546875" style="2"/>
  </cols>
  <sheetData>
    <row r="1" spans="1:36" ht="12.9" customHeight="1" x14ac:dyDescent="0.3">
      <c r="A1" s="1"/>
      <c r="B1" s="1" t="s">
        <v>83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36" ht="12.9" customHeight="1" x14ac:dyDescent="0.3">
      <c r="A2" s="3"/>
      <c r="B2" s="12" t="s">
        <v>963</v>
      </c>
      <c r="C2" s="344" t="s">
        <v>161</v>
      </c>
      <c r="D2" s="344" t="s">
        <v>159</v>
      </c>
      <c r="E2" s="344" t="s">
        <v>160</v>
      </c>
      <c r="F2" s="344" t="s">
        <v>161</v>
      </c>
      <c r="G2" s="344" t="s">
        <v>159</v>
      </c>
      <c r="H2" s="344" t="s">
        <v>160</v>
      </c>
      <c r="I2" s="344" t="s">
        <v>161</v>
      </c>
      <c r="J2" s="344" t="s">
        <v>159</v>
      </c>
      <c r="K2" s="344" t="s">
        <v>160</v>
      </c>
      <c r="L2" s="344" t="s">
        <v>161</v>
      </c>
      <c r="M2" s="344" t="s">
        <v>159</v>
      </c>
      <c r="N2" s="344" t="s">
        <v>160</v>
      </c>
      <c r="O2" s="344" t="s">
        <v>161</v>
      </c>
      <c r="P2" s="344" t="s">
        <v>159</v>
      </c>
      <c r="Q2" s="344" t="s">
        <v>160</v>
      </c>
      <c r="R2" s="344" t="s">
        <v>161</v>
      </c>
      <c r="S2" s="344" t="s">
        <v>159</v>
      </c>
      <c r="T2" s="344" t="s">
        <v>160</v>
      </c>
      <c r="U2" s="345" t="s">
        <v>161</v>
      </c>
      <c r="V2" s="345" t="s">
        <v>159</v>
      </c>
      <c r="W2" s="345" t="s">
        <v>160</v>
      </c>
      <c r="X2" s="345" t="s">
        <v>161</v>
      </c>
      <c r="Y2" s="345" t="s">
        <v>159</v>
      </c>
      <c r="Z2" s="345" t="s">
        <v>160</v>
      </c>
      <c r="AA2" s="345" t="s">
        <v>161</v>
      </c>
      <c r="AB2" s="345" t="s">
        <v>159</v>
      </c>
      <c r="AC2" s="345" t="s">
        <v>160</v>
      </c>
      <c r="AD2" s="345" t="s">
        <v>161</v>
      </c>
      <c r="AE2" s="345" t="s">
        <v>159</v>
      </c>
      <c r="AF2" s="345" t="s">
        <v>160</v>
      </c>
      <c r="AG2" s="345" t="s">
        <v>161</v>
      </c>
      <c r="AH2" s="345" t="s">
        <v>159</v>
      </c>
      <c r="AI2" s="345" t="s">
        <v>160</v>
      </c>
      <c r="AJ2" s="12"/>
    </row>
    <row r="3" spans="1:36" ht="12.9" customHeight="1" x14ac:dyDescent="0.3">
      <c r="A3" s="3"/>
      <c r="B3" s="12" t="s">
        <v>114</v>
      </c>
      <c r="C3" s="346">
        <v>2021</v>
      </c>
      <c r="D3" s="346">
        <v>2021</v>
      </c>
      <c r="E3" s="346">
        <v>2021</v>
      </c>
      <c r="F3" s="347">
        <v>2022</v>
      </c>
      <c r="G3" s="347">
        <v>2022</v>
      </c>
      <c r="H3" s="347">
        <v>2022</v>
      </c>
      <c r="I3" s="348">
        <v>2023</v>
      </c>
      <c r="J3" s="348">
        <v>2023</v>
      </c>
      <c r="K3" s="348">
        <v>2023</v>
      </c>
      <c r="L3" s="348">
        <v>2024</v>
      </c>
      <c r="M3" s="348">
        <v>2024</v>
      </c>
      <c r="N3" s="348">
        <v>2024</v>
      </c>
      <c r="O3" s="348">
        <v>2025</v>
      </c>
      <c r="P3" s="348">
        <v>2025</v>
      </c>
      <c r="Q3" s="348">
        <v>2025</v>
      </c>
      <c r="R3" s="348">
        <v>2026</v>
      </c>
      <c r="S3" s="348">
        <v>2026</v>
      </c>
      <c r="T3" s="348">
        <v>2026</v>
      </c>
      <c r="U3" s="349" t="s">
        <v>162</v>
      </c>
      <c r="V3" s="349" t="s">
        <v>162</v>
      </c>
      <c r="W3" s="349" t="s">
        <v>162</v>
      </c>
      <c r="X3" s="349" t="s">
        <v>163</v>
      </c>
      <c r="Y3" s="349" t="s">
        <v>163</v>
      </c>
      <c r="Z3" s="349" t="s">
        <v>163</v>
      </c>
      <c r="AA3" s="349" t="s">
        <v>164</v>
      </c>
      <c r="AB3" s="349" t="s">
        <v>164</v>
      </c>
      <c r="AC3" s="349" t="s">
        <v>164</v>
      </c>
      <c r="AD3" s="349" t="s">
        <v>165</v>
      </c>
      <c r="AE3" s="349" t="s">
        <v>165</v>
      </c>
      <c r="AF3" s="349" t="s">
        <v>165</v>
      </c>
      <c r="AG3" s="349" t="s">
        <v>166</v>
      </c>
      <c r="AH3" s="349" t="s">
        <v>166</v>
      </c>
      <c r="AI3" s="349" t="s">
        <v>166</v>
      </c>
      <c r="AJ3" s="12"/>
    </row>
    <row r="4" spans="1:36" ht="12.9" customHeight="1" x14ac:dyDescent="0.3">
      <c r="A4" s="3"/>
      <c r="B4" s="7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6"/>
    </row>
    <row r="5" spans="1:36" s="355" customFormat="1" ht="12.9" customHeight="1" x14ac:dyDescent="0.3">
      <c r="A5" s="350"/>
      <c r="B5" s="351" t="s">
        <v>641</v>
      </c>
      <c r="C5" s="352"/>
      <c r="D5" s="352"/>
      <c r="E5" s="353"/>
      <c r="F5" s="352"/>
      <c r="G5" s="352"/>
      <c r="H5" s="353"/>
      <c r="I5" s="352"/>
      <c r="J5" s="352"/>
      <c r="K5" s="353"/>
      <c r="L5" s="352"/>
      <c r="M5" s="352"/>
      <c r="N5" s="353"/>
      <c r="O5" s="352"/>
      <c r="P5" s="352"/>
      <c r="Q5" s="353"/>
      <c r="R5" s="352"/>
      <c r="S5" s="354"/>
    </row>
    <row r="6" spans="1:36" ht="12.9" customHeight="1" x14ac:dyDescent="0.3">
      <c r="A6" s="135"/>
      <c r="B6" s="226"/>
      <c r="C6" s="26"/>
      <c r="D6" s="26"/>
      <c r="E6" s="136"/>
      <c r="F6" s="26"/>
      <c r="G6" s="26"/>
      <c r="H6" s="136"/>
      <c r="I6" s="26"/>
      <c r="J6" s="26"/>
      <c r="K6" s="136"/>
      <c r="L6" s="26"/>
      <c r="M6" s="26"/>
      <c r="N6" s="136"/>
      <c r="O6" s="26"/>
      <c r="P6" s="26"/>
      <c r="Q6" s="136"/>
      <c r="R6" s="26"/>
      <c r="S6" s="6"/>
    </row>
    <row r="7" spans="1:36" ht="12.9" customHeight="1" x14ac:dyDescent="0.3">
      <c r="B7" s="227" t="s">
        <v>4</v>
      </c>
      <c r="C7" s="9"/>
      <c r="D7" s="9"/>
      <c r="E7" s="9"/>
      <c r="F7" s="9"/>
      <c r="G7" s="10"/>
      <c r="H7" s="10"/>
      <c r="I7" s="9"/>
      <c r="J7" s="9"/>
      <c r="K7" s="9"/>
      <c r="L7" s="9"/>
      <c r="M7" s="9"/>
      <c r="N7" s="9"/>
    </row>
    <row r="8" spans="1:36" s="26" customFormat="1" ht="12.9" customHeight="1" x14ac:dyDescent="0.3">
      <c r="A8" s="199"/>
      <c r="B8" s="227" t="s">
        <v>87</v>
      </c>
      <c r="C8" s="200">
        <v>116.8959</v>
      </c>
      <c r="D8" s="72">
        <f>E8-C8</f>
        <v>162.2337</v>
      </c>
      <c r="E8" s="200">
        <v>279.12959999999998</v>
      </c>
      <c r="F8" s="200">
        <v>141.05070000000001</v>
      </c>
      <c r="G8" s="72">
        <f>H8-F8</f>
        <v>147.1909</v>
      </c>
      <c r="H8" s="200">
        <v>288.24160000000001</v>
      </c>
      <c r="I8" s="200">
        <v>152.74180000000001</v>
      </c>
      <c r="J8" s="72">
        <f>K8-I8</f>
        <v>258.59629999999999</v>
      </c>
      <c r="K8" s="200">
        <v>411.3381</v>
      </c>
      <c r="L8" s="200">
        <v>265.06080000000003</v>
      </c>
      <c r="M8" s="72">
        <f>N8-L8</f>
        <v>285.32369999999997</v>
      </c>
      <c r="N8" s="200">
        <v>550.3845</v>
      </c>
      <c r="O8" s="200">
        <v>339.13370000000003</v>
      </c>
      <c r="P8" s="72">
        <f>Q8-O8</f>
        <v>393.65230000000003</v>
      </c>
      <c r="Q8" s="200">
        <v>732.78600000000006</v>
      </c>
      <c r="R8" s="200">
        <v>407.51220000000001</v>
      </c>
      <c r="S8" s="72">
        <f>T8-R8</f>
        <v>414.77549999999997</v>
      </c>
      <c r="T8" s="200">
        <v>822.28769999999997</v>
      </c>
      <c r="U8" s="26">
        <f>'Revenue Segments'!U69</f>
        <v>429.82017243675108</v>
      </c>
      <c r="V8" s="26">
        <f>'Revenue Segments'!V69</f>
        <v>466.22057789613854</v>
      </c>
      <c r="W8" s="26">
        <f>'Revenue Segments'!W69</f>
        <v>896.0407503328895</v>
      </c>
      <c r="X8" s="26">
        <f>'Revenue Segments'!X69</f>
        <v>532.98037247891716</v>
      </c>
      <c r="Y8" s="26">
        <f>'Revenue Segments'!Y69</f>
        <v>546.89989795716826</v>
      </c>
      <c r="Z8" s="26">
        <f>'Revenue Segments'!Z69</f>
        <v>1079.8802704360853</v>
      </c>
      <c r="AA8" s="26">
        <f>'Revenue Segments'!AA69</f>
        <v>605.65162231596776</v>
      </c>
      <c r="AB8" s="26">
        <f>'Revenue Segments'!AB69</f>
        <v>661.98946854617748</v>
      </c>
      <c r="AC8" s="26">
        <f>'Revenue Segments'!AC69</f>
        <v>1267.6410908621451</v>
      </c>
      <c r="AD8" s="26">
        <f>'Revenue Segments'!AD69</f>
        <v>739.76519428416987</v>
      </c>
      <c r="AE8" s="26">
        <f>'Revenue Segments'!AE69</f>
        <v>761.0660508237404</v>
      </c>
      <c r="AF8" s="26">
        <f>'Revenue Segments'!AF69</f>
        <v>1500.8312451079103</v>
      </c>
      <c r="AG8" s="26">
        <f>'Revenue Segments'!AG69</f>
        <v>869.14375434859801</v>
      </c>
      <c r="AH8" s="26">
        <f>'Revenue Segments'!AH69</f>
        <v>916.22094092386521</v>
      </c>
      <c r="AI8" s="26">
        <f>'Revenue Segments'!AI69</f>
        <v>1785.3646952724632</v>
      </c>
    </row>
    <row r="9" spans="1:36" ht="12.9" customHeight="1" x14ac:dyDescent="0.3">
      <c r="B9" s="228" t="s">
        <v>947</v>
      </c>
      <c r="C9" s="39"/>
      <c r="D9" s="40"/>
      <c r="E9" s="39"/>
      <c r="F9" s="137">
        <f>(F8-C8)/C8</f>
        <v>0.20663513433747471</v>
      </c>
      <c r="G9" s="137">
        <f t="shared" ref="G9:S9" si="0">(G8-D8)/D8</f>
        <v>-9.2723028569279997E-2</v>
      </c>
      <c r="H9" s="137">
        <f t="shared" si="0"/>
        <v>3.2644334388040624E-2</v>
      </c>
      <c r="I9" s="137">
        <f t="shared" si="0"/>
        <v>8.288579921971323E-2</v>
      </c>
      <c r="J9" s="137">
        <f t="shared" si="0"/>
        <v>0.75687695367036945</v>
      </c>
      <c r="K9" s="137">
        <f t="shared" si="0"/>
        <v>0.4270601467657687</v>
      </c>
      <c r="L9" s="137">
        <f t="shared" si="0"/>
        <v>0.73535207782021694</v>
      </c>
      <c r="M9" s="137">
        <f t="shared" si="0"/>
        <v>0.10335569379762971</v>
      </c>
      <c r="N9" s="137">
        <f t="shared" si="0"/>
        <v>0.33803433234120545</v>
      </c>
      <c r="O9" s="137">
        <f t="shared" si="0"/>
        <v>0.27945626060134127</v>
      </c>
      <c r="P9" s="137">
        <f t="shared" si="0"/>
        <v>0.3796691266796276</v>
      </c>
      <c r="Q9" s="137">
        <f t="shared" si="0"/>
        <v>0.33140740700364935</v>
      </c>
      <c r="R9" s="137">
        <f t="shared" si="0"/>
        <v>0.20162696895059373</v>
      </c>
      <c r="S9" s="137">
        <f t="shared" si="0"/>
        <v>5.3659536601208577E-2</v>
      </c>
      <c r="T9" s="137">
        <f t="shared" ref="T9" si="1">(T8-Q8)/Q8</f>
        <v>0.1221389327852878</v>
      </c>
      <c r="U9" s="137">
        <f t="shared" ref="U9" si="2">(U8-R8)/R8</f>
        <v>5.4741851745177372E-2</v>
      </c>
      <c r="V9" s="137">
        <f t="shared" ref="V9" si="3">(V8-S8)/S8</f>
        <v>0.12403113948663452</v>
      </c>
      <c r="W9" s="137">
        <f>(W8-T8)/T8</f>
        <v>8.9692513134866952E-2</v>
      </c>
      <c r="X9" s="137">
        <f t="shared" ref="X9" si="4">(X8-U8)/U8</f>
        <v>0.24000781409892138</v>
      </c>
      <c r="Y9" s="137">
        <f t="shared" ref="Y9" si="5">(Y8-V8)/V8</f>
        <v>0.17304967623930773</v>
      </c>
      <c r="Z9" s="137">
        <f t="shared" ref="Z9" si="6">(Z8-W8)/W8</f>
        <v>0.20516870469886253</v>
      </c>
      <c r="AA9" s="137">
        <f t="shared" ref="AA9" si="7">(AA8-X8)/X8</f>
        <v>0.13634882931814757</v>
      </c>
      <c r="AB9" s="137">
        <f t="shared" ref="AB9" si="8">(AB8-Y8)/Y8</f>
        <v>0.21043991966153688</v>
      </c>
      <c r="AC9" s="137">
        <f t="shared" ref="AC9" si="9">(AC8-Z8)/Z8</f>
        <v>0.1738718870659956</v>
      </c>
      <c r="AD9" s="137">
        <f t="shared" ref="AD9" si="10">(AD8-AA8)/AA8</f>
        <v>0.2214368244492792</v>
      </c>
      <c r="AE9" s="137">
        <f t="shared" ref="AE9" si="11">(AE8-AB8)/AB8</f>
        <v>0.14966489194329496</v>
      </c>
      <c r="AF9" s="137">
        <f t="shared" ref="AF9" si="12">(AF8-AC8)/AC8</f>
        <v>0.18395597612504688</v>
      </c>
      <c r="AG9" s="137">
        <f t="shared" ref="AG9" si="13">(AG8-AD8)/AD8</f>
        <v>0.1748913858938993</v>
      </c>
      <c r="AH9" s="137">
        <f t="shared" ref="AH9" si="14">(AH8-AE8)/AE8</f>
        <v>0.20386520977015438</v>
      </c>
      <c r="AI9" s="137">
        <f t="shared" ref="AI9" si="15">(AI8-AF8)/AF8</f>
        <v>0.18958390631326102</v>
      </c>
    </row>
    <row r="10" spans="1:36" ht="12.9" customHeight="1" x14ac:dyDescent="0.3">
      <c r="B10" s="225"/>
      <c r="C10" s="66"/>
      <c r="D10" s="23"/>
      <c r="E10" s="66"/>
      <c r="F10" s="66"/>
      <c r="G10" s="23"/>
      <c r="H10" s="66"/>
      <c r="I10" s="66"/>
      <c r="J10" s="23"/>
      <c r="K10" s="66"/>
      <c r="L10" s="66"/>
      <c r="M10" s="23"/>
      <c r="N10" s="66"/>
      <c r="O10" s="66"/>
      <c r="P10" s="23"/>
      <c r="Q10" s="66"/>
      <c r="R10" s="66"/>
      <c r="S10" s="23"/>
      <c r="T10" s="66"/>
    </row>
    <row r="11" spans="1:36" ht="12.9" customHeight="1" x14ac:dyDescent="0.3">
      <c r="B11" s="225"/>
      <c r="C11" s="66"/>
      <c r="D11" s="23"/>
      <c r="E11" s="66"/>
      <c r="F11" s="66"/>
      <c r="G11" s="23"/>
      <c r="H11" s="66"/>
      <c r="I11" s="66"/>
      <c r="J11" s="23"/>
      <c r="K11" s="66"/>
      <c r="L11" s="66"/>
      <c r="M11" s="23"/>
      <c r="N11" s="66"/>
      <c r="O11" s="66"/>
      <c r="P11" s="23"/>
      <c r="Q11" s="66"/>
      <c r="R11" s="66"/>
      <c r="S11" s="23"/>
      <c r="T11" s="66"/>
    </row>
    <row r="12" spans="1:36" ht="12.9" customHeight="1" x14ac:dyDescent="0.3">
      <c r="B12" s="225" t="s">
        <v>88</v>
      </c>
      <c r="C12" s="66">
        <v>53.533199999999994</v>
      </c>
      <c r="D12" s="23">
        <f t="shared" ref="D12:D22" si="16">E12-C12</f>
        <v>86.861999999999995</v>
      </c>
      <c r="E12" s="66">
        <v>140.39519999999999</v>
      </c>
      <c r="F12" s="66">
        <v>69.523700000000005</v>
      </c>
      <c r="G12" s="23">
        <f t="shared" ref="G12:G22" si="17">H12-F12</f>
        <v>93.201399999999992</v>
      </c>
      <c r="H12" s="66">
        <v>162.7251</v>
      </c>
      <c r="I12" s="66">
        <v>103.09639999999999</v>
      </c>
      <c r="J12" s="23">
        <f t="shared" ref="J12:J22" si="18">K12-I12</f>
        <v>130.11160000000001</v>
      </c>
      <c r="K12" s="66">
        <v>233.208</v>
      </c>
      <c r="L12" s="66">
        <v>118.26430000000001</v>
      </c>
      <c r="M12" s="23">
        <f t="shared" ref="M12:M22" si="19">N12-L12</f>
        <v>153.40040000000005</v>
      </c>
      <c r="N12" s="66">
        <v>271.66470000000004</v>
      </c>
      <c r="O12" s="66">
        <v>201.70590000000001</v>
      </c>
      <c r="P12" s="23">
        <f t="shared" ref="P12:P22" si="20">Q12-O12</f>
        <v>208.27539999999996</v>
      </c>
      <c r="Q12" s="66">
        <v>409.98129999999998</v>
      </c>
      <c r="R12" s="66">
        <v>186.8596</v>
      </c>
      <c r="S12" s="23">
        <f t="shared" ref="S12:S22" si="21">T12-R12</f>
        <v>188.03829999999999</v>
      </c>
      <c r="T12" s="66">
        <v>374.89789999999999</v>
      </c>
    </row>
    <row r="13" spans="1:36" ht="12.9" customHeight="1" x14ac:dyDescent="0.3">
      <c r="B13" s="225" t="s">
        <v>102</v>
      </c>
      <c r="C13" s="66">
        <v>11.7919</v>
      </c>
      <c r="D13" s="23">
        <f t="shared" si="16"/>
        <v>-4.1254000000000008</v>
      </c>
      <c r="E13" s="66">
        <v>7.6664999999999992</v>
      </c>
      <c r="F13" s="66">
        <v>-2.8457999999999997</v>
      </c>
      <c r="G13" s="23">
        <f t="shared" si="17"/>
        <v>-19.712699999999998</v>
      </c>
      <c r="H13" s="66">
        <v>-22.558499999999999</v>
      </c>
      <c r="I13" s="66">
        <v>-19.811900000000001</v>
      </c>
      <c r="J13" s="23">
        <f t="shared" si="18"/>
        <v>8.4351000000000003</v>
      </c>
      <c r="K13" s="66">
        <v>-11.376800000000001</v>
      </c>
      <c r="L13" s="66">
        <v>21.017700000000001</v>
      </c>
      <c r="M13" s="23">
        <f t="shared" si="19"/>
        <v>-7.7021000000000015</v>
      </c>
      <c r="N13" s="66">
        <v>13.3156</v>
      </c>
      <c r="O13" s="66">
        <v>-14.791099999999998</v>
      </c>
      <c r="P13" s="23">
        <f t="shared" si="20"/>
        <v>2.4778000000000002</v>
      </c>
      <c r="Q13" s="66">
        <v>-12.313299999999998</v>
      </c>
      <c r="R13" s="66">
        <v>4.9014999999999995</v>
      </c>
      <c r="S13" s="23">
        <f t="shared" si="21"/>
        <v>13.499000000000002</v>
      </c>
      <c r="T13" s="66">
        <v>18.400500000000001</v>
      </c>
    </row>
    <row r="14" spans="1:36" s="26" customFormat="1" ht="12.9" customHeight="1" x14ac:dyDescent="0.3">
      <c r="A14" s="199"/>
      <c r="B14" s="229" t="s">
        <v>89</v>
      </c>
      <c r="C14" s="72">
        <f>C12+C13</f>
        <v>65.325099999999992</v>
      </c>
      <c r="D14" s="72">
        <f>D12+D13</f>
        <v>82.736599999999996</v>
      </c>
      <c r="E14" s="72">
        <f t="shared" ref="E14:T14" si="22">E12+E13</f>
        <v>148.06169999999997</v>
      </c>
      <c r="F14" s="72">
        <f t="shared" si="22"/>
        <v>66.677900000000008</v>
      </c>
      <c r="G14" s="72">
        <f t="shared" si="22"/>
        <v>73.488699999999994</v>
      </c>
      <c r="H14" s="72">
        <f t="shared" si="22"/>
        <v>140.16659999999999</v>
      </c>
      <c r="I14" s="72">
        <f t="shared" si="22"/>
        <v>83.28449999999998</v>
      </c>
      <c r="J14" s="72">
        <f t="shared" si="22"/>
        <v>138.54670000000002</v>
      </c>
      <c r="K14" s="72">
        <f t="shared" si="22"/>
        <v>221.8312</v>
      </c>
      <c r="L14" s="72">
        <f t="shared" si="22"/>
        <v>139.28200000000001</v>
      </c>
      <c r="M14" s="72">
        <f t="shared" si="22"/>
        <v>145.69830000000005</v>
      </c>
      <c r="N14" s="72">
        <f t="shared" si="22"/>
        <v>284.98030000000006</v>
      </c>
      <c r="O14" s="72">
        <f t="shared" si="22"/>
        <v>186.91480000000001</v>
      </c>
      <c r="P14" s="72">
        <f t="shared" si="22"/>
        <v>210.75319999999996</v>
      </c>
      <c r="Q14" s="72">
        <f t="shared" si="22"/>
        <v>397.66800000000001</v>
      </c>
      <c r="R14" s="72">
        <f t="shared" si="22"/>
        <v>191.7611</v>
      </c>
      <c r="S14" s="72">
        <f t="shared" ref="S14" si="23">S12+S13</f>
        <v>201.53729999999999</v>
      </c>
      <c r="T14" s="72">
        <f t="shared" si="22"/>
        <v>393.29840000000002</v>
      </c>
      <c r="U14" s="72">
        <f>U8*U15</f>
        <v>206.31368276964051</v>
      </c>
      <c r="V14" s="72">
        <f>V8*V15</f>
        <v>223.78587739014648</v>
      </c>
      <c r="W14" s="72">
        <f>U14+V14</f>
        <v>430.09956015978696</v>
      </c>
      <c r="X14" s="72">
        <f>X8*X15</f>
        <v>255.83057878988024</v>
      </c>
      <c r="Y14" s="72">
        <f>Y8*Y15</f>
        <v>262.51195101944074</v>
      </c>
      <c r="Z14" s="72">
        <f>X14+Y14</f>
        <v>518.34252980932092</v>
      </c>
      <c r="AA14" s="72">
        <f>AA8*AA15</f>
        <v>290.7127787116645</v>
      </c>
      <c r="AB14" s="72">
        <f>AB8*AB15</f>
        <v>317.75494490216516</v>
      </c>
      <c r="AC14" s="72">
        <f>AA14+AB14</f>
        <v>608.46772361382966</v>
      </c>
      <c r="AD14" s="72">
        <f>AD8*AD15</f>
        <v>351.38846728498066</v>
      </c>
      <c r="AE14" s="72">
        <f>AE8*AE15</f>
        <v>361.50637414127669</v>
      </c>
      <c r="AF14" s="72">
        <f>AD14+AE14</f>
        <v>712.89484142625736</v>
      </c>
      <c r="AG14" s="72">
        <f>AG8*AG15</f>
        <v>408.49756454384107</v>
      </c>
      <c r="AH14" s="72">
        <f>AH8*AH15</f>
        <v>430.62384223421662</v>
      </c>
      <c r="AI14" s="72">
        <f>AG14+AH14</f>
        <v>839.12140677805769</v>
      </c>
    </row>
    <row r="15" spans="1:36" ht="12.9" customHeight="1" x14ac:dyDescent="0.3">
      <c r="B15" s="230" t="s">
        <v>90</v>
      </c>
      <c r="C15" s="11">
        <f t="shared" ref="C15:R15" si="24">C14/C8</f>
        <v>0.55883140469426207</v>
      </c>
      <c r="D15" s="11">
        <f t="shared" si="24"/>
        <v>0.50998405386796941</v>
      </c>
      <c r="E15" s="11">
        <f t="shared" si="24"/>
        <v>0.53044069851423847</v>
      </c>
      <c r="F15" s="11">
        <f t="shared" si="24"/>
        <v>0.47272292870577748</v>
      </c>
      <c r="G15" s="11">
        <f t="shared" si="24"/>
        <v>0.49927475136030824</v>
      </c>
      <c r="H15" s="11">
        <f t="shared" si="24"/>
        <v>0.48628164706274174</v>
      </c>
      <c r="I15" s="11">
        <f t="shared" si="24"/>
        <v>0.54526331364433289</v>
      </c>
      <c r="J15" s="11">
        <f t="shared" si="24"/>
        <v>0.53576443282444497</v>
      </c>
      <c r="K15" s="11">
        <f t="shared" si="24"/>
        <v>0.53929164354092163</v>
      </c>
      <c r="L15" s="11">
        <f t="shared" si="24"/>
        <v>0.52547189173201014</v>
      </c>
      <c r="M15" s="11">
        <f t="shared" si="24"/>
        <v>0.51064212331467751</v>
      </c>
      <c r="N15" s="11">
        <f t="shared" si="24"/>
        <v>0.51778402189741912</v>
      </c>
      <c r="O15" s="11">
        <f t="shared" si="24"/>
        <v>0.55115371901996169</v>
      </c>
      <c r="P15" s="11">
        <f t="shared" si="24"/>
        <v>0.53537906421479042</v>
      </c>
      <c r="Q15" s="11">
        <f t="shared" si="24"/>
        <v>0.54267958176056852</v>
      </c>
      <c r="R15" s="11">
        <f t="shared" si="24"/>
        <v>0.47056529841315181</v>
      </c>
      <c r="S15" s="11">
        <f t="shared" ref="S15" si="25">S14/S8</f>
        <v>0.48589489977108097</v>
      </c>
      <c r="T15" s="11">
        <f>T14/T8</f>
        <v>0.47829780258174848</v>
      </c>
      <c r="U15" s="73">
        <v>0.48</v>
      </c>
      <c r="V15" s="73">
        <f>U15</f>
        <v>0.48</v>
      </c>
      <c r="W15" s="19">
        <f>W14/W8</f>
        <v>0.48</v>
      </c>
      <c r="X15" s="73">
        <v>0.48</v>
      </c>
      <c r="Y15" s="73">
        <f>X15</f>
        <v>0.48</v>
      </c>
      <c r="Z15" s="19">
        <f>Z14/Z8</f>
        <v>0.48</v>
      </c>
      <c r="AA15" s="73">
        <v>0.48</v>
      </c>
      <c r="AB15" s="73">
        <f>AA15</f>
        <v>0.48</v>
      </c>
      <c r="AC15" s="19">
        <f>AC14/AC8</f>
        <v>0.48</v>
      </c>
      <c r="AD15" s="73">
        <f>AB15-0.5%</f>
        <v>0.47499999999999998</v>
      </c>
      <c r="AE15" s="73">
        <f>AD15</f>
        <v>0.47499999999999998</v>
      </c>
      <c r="AF15" s="19">
        <f>AF14/AF8</f>
        <v>0.47499999999999998</v>
      </c>
      <c r="AG15" s="73">
        <f>AE15-0.5%</f>
        <v>0.47</v>
      </c>
      <c r="AH15" s="73">
        <f>AG15</f>
        <v>0.47</v>
      </c>
      <c r="AI15" s="19">
        <f>AI14/AI8</f>
        <v>0.47</v>
      </c>
    </row>
    <row r="16" spans="1:36" ht="12.9" customHeight="1" x14ac:dyDescent="0.3">
      <c r="B16" s="225"/>
      <c r="C16" s="66"/>
      <c r="D16" s="23"/>
      <c r="E16" s="66"/>
      <c r="F16" s="66"/>
      <c r="G16" s="23"/>
      <c r="H16" s="66"/>
      <c r="I16" s="66"/>
      <c r="J16" s="23"/>
      <c r="K16" s="66"/>
      <c r="L16" s="66"/>
      <c r="M16" s="23"/>
      <c r="N16" s="66"/>
      <c r="O16" s="66"/>
      <c r="P16" s="23"/>
      <c r="Q16" s="66"/>
      <c r="R16" s="66"/>
      <c r="S16" s="23"/>
      <c r="T16" s="66"/>
    </row>
    <row r="17" spans="1:35" s="26" customFormat="1" ht="12.9" customHeight="1" x14ac:dyDescent="0.3">
      <c r="A17" s="199"/>
      <c r="B17" s="231" t="s">
        <v>91</v>
      </c>
      <c r="C17" s="72">
        <f t="shared" ref="C17:AI17" si="26">C8-C14</f>
        <v>51.570800000000006</v>
      </c>
      <c r="D17" s="72">
        <f t="shared" si="26"/>
        <v>79.497100000000003</v>
      </c>
      <c r="E17" s="72">
        <f t="shared" si="26"/>
        <v>131.06790000000001</v>
      </c>
      <c r="F17" s="72">
        <f t="shared" si="26"/>
        <v>74.372799999999998</v>
      </c>
      <c r="G17" s="72">
        <f t="shared" si="26"/>
        <v>73.702200000000005</v>
      </c>
      <c r="H17" s="72">
        <f t="shared" si="26"/>
        <v>148.07500000000002</v>
      </c>
      <c r="I17" s="72">
        <f t="shared" si="26"/>
        <v>69.457300000000032</v>
      </c>
      <c r="J17" s="72">
        <f t="shared" si="26"/>
        <v>120.04959999999997</v>
      </c>
      <c r="K17" s="72">
        <f t="shared" si="26"/>
        <v>189.5069</v>
      </c>
      <c r="L17" s="72">
        <f t="shared" si="26"/>
        <v>125.77880000000002</v>
      </c>
      <c r="M17" s="72">
        <f t="shared" si="26"/>
        <v>139.62539999999993</v>
      </c>
      <c r="N17" s="72">
        <f t="shared" si="26"/>
        <v>265.40419999999995</v>
      </c>
      <c r="O17" s="72">
        <f t="shared" si="26"/>
        <v>152.21890000000002</v>
      </c>
      <c r="P17" s="72">
        <f t="shared" si="26"/>
        <v>182.89910000000006</v>
      </c>
      <c r="Q17" s="72">
        <f t="shared" si="26"/>
        <v>335.11800000000005</v>
      </c>
      <c r="R17" s="72">
        <f t="shared" si="26"/>
        <v>215.75110000000001</v>
      </c>
      <c r="S17" s="72">
        <f t="shared" ref="S17" si="27">S8-S14</f>
        <v>213.23819999999998</v>
      </c>
      <c r="T17" s="72">
        <f t="shared" si="26"/>
        <v>428.98929999999996</v>
      </c>
      <c r="U17" s="72">
        <f t="shared" si="26"/>
        <v>223.50648966711057</v>
      </c>
      <c r="V17" s="72">
        <f t="shared" si="26"/>
        <v>242.43470050599205</v>
      </c>
      <c r="W17" s="72">
        <f t="shared" si="26"/>
        <v>465.94119017310254</v>
      </c>
      <c r="X17" s="72">
        <f t="shared" si="26"/>
        <v>277.14979368903693</v>
      </c>
      <c r="Y17" s="72">
        <f t="shared" si="26"/>
        <v>284.38794693772752</v>
      </c>
      <c r="Z17" s="72">
        <f t="shared" si="26"/>
        <v>561.53774062676439</v>
      </c>
      <c r="AA17" s="72">
        <f t="shared" si="26"/>
        <v>314.93884360430326</v>
      </c>
      <c r="AB17" s="72">
        <f t="shared" si="26"/>
        <v>344.23452364401231</v>
      </c>
      <c r="AC17" s="72">
        <f t="shared" si="26"/>
        <v>659.17336724831546</v>
      </c>
      <c r="AD17" s="72">
        <f t="shared" si="26"/>
        <v>388.3767269991892</v>
      </c>
      <c r="AE17" s="72">
        <f t="shared" si="26"/>
        <v>399.5596766824637</v>
      </c>
      <c r="AF17" s="72">
        <f t="shared" si="26"/>
        <v>787.93640368165291</v>
      </c>
      <c r="AG17" s="72">
        <f t="shared" si="26"/>
        <v>460.64618980475694</v>
      </c>
      <c r="AH17" s="72">
        <f t="shared" si="26"/>
        <v>485.59709868964859</v>
      </c>
      <c r="AI17" s="72">
        <f t="shared" si="26"/>
        <v>946.24328849440553</v>
      </c>
    </row>
    <row r="18" spans="1:35" ht="12.9" customHeight="1" x14ac:dyDescent="0.3">
      <c r="B18" s="232" t="s">
        <v>92</v>
      </c>
      <c r="C18" s="11">
        <f t="shared" ref="C18:AI18" si="28">C17/C8</f>
        <v>0.44116859530573788</v>
      </c>
      <c r="D18" s="11">
        <f t="shared" si="28"/>
        <v>0.49001594613203053</v>
      </c>
      <c r="E18" s="11">
        <f t="shared" si="28"/>
        <v>0.46955930148576153</v>
      </c>
      <c r="F18" s="11">
        <f t="shared" si="28"/>
        <v>0.52727707129422252</v>
      </c>
      <c r="G18" s="11">
        <f t="shared" si="28"/>
        <v>0.5007252486396917</v>
      </c>
      <c r="H18" s="11">
        <f t="shared" si="28"/>
        <v>0.5137183529372582</v>
      </c>
      <c r="I18" s="11">
        <f t="shared" si="28"/>
        <v>0.45473668635566705</v>
      </c>
      <c r="J18" s="11">
        <f t="shared" si="28"/>
        <v>0.46423556717555503</v>
      </c>
      <c r="K18" s="11">
        <f t="shared" si="28"/>
        <v>0.46070835645907832</v>
      </c>
      <c r="L18" s="11">
        <f t="shared" si="28"/>
        <v>0.47452810826798986</v>
      </c>
      <c r="M18" s="11">
        <f t="shared" si="28"/>
        <v>0.48935787668532249</v>
      </c>
      <c r="N18" s="11">
        <f t="shared" si="28"/>
        <v>0.48221597810258093</v>
      </c>
      <c r="O18" s="11">
        <f t="shared" si="28"/>
        <v>0.44884628098003826</v>
      </c>
      <c r="P18" s="11">
        <f t="shared" si="28"/>
        <v>0.46462093578520958</v>
      </c>
      <c r="Q18" s="11">
        <f t="shared" si="28"/>
        <v>0.45732041823943148</v>
      </c>
      <c r="R18" s="11">
        <f t="shared" si="28"/>
        <v>0.52943470158684824</v>
      </c>
      <c r="S18" s="11">
        <f t="shared" ref="S18" si="29">S17/S8</f>
        <v>0.51410510022891898</v>
      </c>
      <c r="T18" s="11">
        <f t="shared" si="28"/>
        <v>0.52170219741825152</v>
      </c>
      <c r="U18" s="11">
        <f t="shared" si="28"/>
        <v>0.52</v>
      </c>
      <c r="V18" s="11">
        <f t="shared" si="28"/>
        <v>0.52</v>
      </c>
      <c r="W18" s="11">
        <f t="shared" si="28"/>
        <v>0.52</v>
      </c>
      <c r="X18" s="11">
        <f t="shared" si="28"/>
        <v>0.52</v>
      </c>
      <c r="Y18" s="11">
        <f t="shared" si="28"/>
        <v>0.52</v>
      </c>
      <c r="Z18" s="11">
        <f t="shared" si="28"/>
        <v>0.52</v>
      </c>
      <c r="AA18" s="11">
        <f t="shared" si="28"/>
        <v>0.52</v>
      </c>
      <c r="AB18" s="11">
        <f t="shared" si="28"/>
        <v>0.52</v>
      </c>
      <c r="AC18" s="11">
        <f t="shared" si="28"/>
        <v>0.52</v>
      </c>
      <c r="AD18" s="11">
        <f t="shared" si="28"/>
        <v>0.52500000000000002</v>
      </c>
      <c r="AE18" s="11">
        <f t="shared" si="28"/>
        <v>0.52500000000000002</v>
      </c>
      <c r="AF18" s="11">
        <f t="shared" si="28"/>
        <v>0.52500000000000002</v>
      </c>
      <c r="AG18" s="11">
        <f t="shared" si="28"/>
        <v>0.53</v>
      </c>
      <c r="AH18" s="11">
        <f t="shared" si="28"/>
        <v>0.53</v>
      </c>
      <c r="AI18" s="11">
        <f t="shared" si="28"/>
        <v>0.53</v>
      </c>
    </row>
    <row r="19" spans="1:35" ht="12.9" customHeight="1" x14ac:dyDescent="0.3">
      <c r="B19" s="225"/>
      <c r="C19" s="66"/>
      <c r="D19" s="23"/>
      <c r="E19" s="66"/>
      <c r="F19" s="66"/>
      <c r="G19" s="23"/>
      <c r="H19" s="66"/>
      <c r="I19" s="66"/>
      <c r="J19" s="23"/>
      <c r="K19" s="66"/>
      <c r="L19" s="66"/>
      <c r="M19" s="23"/>
      <c r="N19" s="66"/>
      <c r="O19" s="66"/>
      <c r="P19" s="23"/>
      <c r="Q19" s="66"/>
      <c r="R19" s="66"/>
      <c r="S19" s="23"/>
      <c r="T19" s="66"/>
    </row>
    <row r="20" spans="1:35" ht="12.9" customHeight="1" x14ac:dyDescent="0.3">
      <c r="B20" s="225" t="s">
        <v>93</v>
      </c>
      <c r="C20" s="66">
        <v>8.4449000000000005</v>
      </c>
      <c r="D20" s="23">
        <f t="shared" si="16"/>
        <v>8.938799999999997</v>
      </c>
      <c r="E20" s="66">
        <v>17.383699999999997</v>
      </c>
      <c r="F20" s="66">
        <v>11.171900000000001</v>
      </c>
      <c r="G20" s="23">
        <f t="shared" si="17"/>
        <v>9.1829000000000001</v>
      </c>
      <c r="H20" s="66">
        <v>20.354800000000001</v>
      </c>
      <c r="I20" s="66">
        <v>9.4939</v>
      </c>
      <c r="J20" s="23">
        <f t="shared" si="18"/>
        <v>11.463900000000002</v>
      </c>
      <c r="K20" s="66">
        <v>20.957800000000002</v>
      </c>
      <c r="L20" s="66">
        <v>15.590499999999999</v>
      </c>
      <c r="M20" s="23">
        <f t="shared" si="19"/>
        <v>15.370600000000003</v>
      </c>
      <c r="N20" s="66">
        <v>30.961100000000002</v>
      </c>
      <c r="O20" s="66">
        <v>19.563499999999998</v>
      </c>
      <c r="P20" s="23">
        <f t="shared" si="20"/>
        <v>22.288899999999998</v>
      </c>
      <c r="Q20" s="66">
        <v>41.852399999999996</v>
      </c>
      <c r="R20" s="66">
        <v>25.2866</v>
      </c>
      <c r="S20" s="23">
        <f t="shared" si="21"/>
        <v>25.988599999999998</v>
      </c>
      <c r="T20" s="66">
        <v>51.275199999999998</v>
      </c>
      <c r="U20" s="2">
        <f>U8*U21</f>
        <v>24.929570001331562</v>
      </c>
      <c r="V20" s="2">
        <f>V8*V21</f>
        <v>27.040793517976038</v>
      </c>
      <c r="W20" s="2">
        <f>U20+V20</f>
        <v>51.970363519307597</v>
      </c>
      <c r="X20" s="2">
        <f>X8*X21</f>
        <v>30.912861603777198</v>
      </c>
      <c r="Y20" s="2">
        <f>Y8*Y21</f>
        <v>31.720194081515761</v>
      </c>
      <c r="Z20" s="2">
        <f>X20+Y20</f>
        <v>62.633055685292959</v>
      </c>
      <c r="AA20" s="2">
        <f>AA8*AA21</f>
        <v>35.127794094326134</v>
      </c>
      <c r="AB20" s="2">
        <f>AB8*AB21</f>
        <v>38.395389175678297</v>
      </c>
      <c r="AC20" s="2">
        <f>AA20+AB20</f>
        <v>73.523183270004438</v>
      </c>
      <c r="AD20" s="2">
        <f>AD8*AD21</f>
        <v>42.906381268481852</v>
      </c>
      <c r="AE20" s="2">
        <f>AE8*AE21</f>
        <v>44.141830947776945</v>
      </c>
      <c r="AF20" s="2">
        <f>AD20+AE20</f>
        <v>87.048212216258804</v>
      </c>
      <c r="AG20" s="2">
        <f>AG8*AG21</f>
        <v>50.410337752218688</v>
      </c>
      <c r="AH20" s="2">
        <f>AH8*AH21</f>
        <v>53.140814573584187</v>
      </c>
      <c r="AI20" s="2">
        <f>AG20+AH20</f>
        <v>103.55115232580287</v>
      </c>
    </row>
    <row r="21" spans="1:35" ht="12.9" customHeight="1" x14ac:dyDescent="0.3">
      <c r="B21" s="233" t="s">
        <v>90</v>
      </c>
      <c r="C21" s="11">
        <f t="shared" ref="C21:R21" si="30">C20/C8</f>
        <v>7.2242910144838274E-2</v>
      </c>
      <c r="D21" s="11">
        <f t="shared" si="30"/>
        <v>5.5098293387871922E-2</v>
      </c>
      <c r="E21" s="11">
        <f t="shared" si="30"/>
        <v>6.2278239212179572E-2</v>
      </c>
      <c r="F21" s="11">
        <f t="shared" si="30"/>
        <v>7.9204853290341701E-2</v>
      </c>
      <c r="G21" s="11">
        <f t="shared" si="30"/>
        <v>6.2387688369321743E-2</v>
      </c>
      <c r="H21" s="11">
        <f t="shared" si="30"/>
        <v>7.0617148947272015E-2</v>
      </c>
      <c r="I21" s="11">
        <f t="shared" si="30"/>
        <v>6.2156528206424172E-2</v>
      </c>
      <c r="J21" s="11">
        <f t="shared" si="30"/>
        <v>4.4331260733428912E-2</v>
      </c>
      <c r="K21" s="11">
        <f t="shared" si="30"/>
        <v>5.0950300981115054E-2</v>
      </c>
      <c r="L21" s="11">
        <f t="shared" si="30"/>
        <v>5.8818580491721131E-2</v>
      </c>
      <c r="M21" s="11">
        <f t="shared" si="30"/>
        <v>5.3870744000586016E-2</v>
      </c>
      <c r="N21" s="11">
        <f t="shared" si="30"/>
        <v>5.6253582722623915E-2</v>
      </c>
      <c r="O21" s="11">
        <f t="shared" si="30"/>
        <v>5.7686688170476702E-2</v>
      </c>
      <c r="P21" s="11">
        <f t="shared" si="30"/>
        <v>5.6620779301937263E-2</v>
      </c>
      <c r="Q21" s="11">
        <f t="shared" si="30"/>
        <v>5.7114082419696871E-2</v>
      </c>
      <c r="R21" s="11">
        <f t="shared" si="30"/>
        <v>6.2051148407336026E-2</v>
      </c>
      <c r="S21" s="11">
        <f t="shared" ref="S21" si="31">S20/S8</f>
        <v>6.2657027717403752E-2</v>
      </c>
      <c r="T21" s="11">
        <f>T20/T8</f>
        <v>6.2356763940406748E-2</v>
      </c>
      <c r="U21" s="73">
        <v>5.8000000000000003E-2</v>
      </c>
      <c r="V21" s="73">
        <f>U21</f>
        <v>5.8000000000000003E-2</v>
      </c>
      <c r="W21" s="19">
        <f>W20/W8</f>
        <v>5.8000000000000003E-2</v>
      </c>
      <c r="X21" s="73">
        <f>V21</f>
        <v>5.8000000000000003E-2</v>
      </c>
      <c r="Y21" s="73">
        <f>X21</f>
        <v>5.8000000000000003E-2</v>
      </c>
      <c r="Z21" s="19">
        <f>Z20/Z8</f>
        <v>5.800000000000001E-2</v>
      </c>
      <c r="AA21" s="73">
        <f>Y21</f>
        <v>5.8000000000000003E-2</v>
      </c>
      <c r="AB21" s="73">
        <f>AA21</f>
        <v>5.8000000000000003E-2</v>
      </c>
      <c r="AC21" s="19">
        <f>AC20/AC8</f>
        <v>5.8000000000000017E-2</v>
      </c>
      <c r="AD21" s="73">
        <f>AB21</f>
        <v>5.8000000000000003E-2</v>
      </c>
      <c r="AE21" s="73">
        <f>AD21</f>
        <v>5.8000000000000003E-2</v>
      </c>
      <c r="AF21" s="19">
        <f>AF20/AF8</f>
        <v>5.8000000000000003E-2</v>
      </c>
      <c r="AG21" s="73">
        <f>AE21</f>
        <v>5.8000000000000003E-2</v>
      </c>
      <c r="AH21" s="73">
        <f>AG21</f>
        <v>5.8000000000000003E-2</v>
      </c>
      <c r="AI21" s="19">
        <f>AI20/AI8</f>
        <v>5.8000000000000003E-2</v>
      </c>
    </row>
    <row r="22" spans="1:35" ht="12.9" customHeight="1" x14ac:dyDescent="0.3">
      <c r="B22" s="225" t="s">
        <v>94</v>
      </c>
      <c r="C22" s="66">
        <v>16.605599999999999</v>
      </c>
      <c r="D22" s="23">
        <f t="shared" si="16"/>
        <v>28.317599999999995</v>
      </c>
      <c r="E22" s="66">
        <v>44.923199999999994</v>
      </c>
      <c r="F22" s="66">
        <v>28.022800000000004</v>
      </c>
      <c r="G22" s="23">
        <f t="shared" si="17"/>
        <v>29.719200000000001</v>
      </c>
      <c r="H22" s="66">
        <v>57.742000000000004</v>
      </c>
      <c r="I22" s="66">
        <v>30.076499999999999</v>
      </c>
      <c r="J22" s="23">
        <f t="shared" si="18"/>
        <v>55.767700000000005</v>
      </c>
      <c r="K22" s="66">
        <v>85.844200000000001</v>
      </c>
      <c r="L22" s="66">
        <v>50.8185</v>
      </c>
      <c r="M22" s="23">
        <f t="shared" si="19"/>
        <v>56.873999999999995</v>
      </c>
      <c r="N22" s="66">
        <v>107.6925</v>
      </c>
      <c r="O22" s="66">
        <v>56.307499999999997</v>
      </c>
      <c r="P22" s="23">
        <f t="shared" si="20"/>
        <v>71.734099999999984</v>
      </c>
      <c r="Q22" s="66">
        <v>128.04159999999999</v>
      </c>
      <c r="R22" s="66">
        <v>98.636700000000005</v>
      </c>
      <c r="S22" s="23">
        <f t="shared" si="21"/>
        <v>104.91519999999998</v>
      </c>
      <c r="T22" s="66">
        <v>203.55189999999999</v>
      </c>
      <c r="U22" s="2">
        <f>U8*'Income Statement'!U58</f>
        <v>107.45504310918777</v>
      </c>
      <c r="V22" s="2">
        <f>V8*'Income Statement'!V58</f>
        <v>116.55514447403463</v>
      </c>
      <c r="W22" s="2">
        <f>U22+V22</f>
        <v>224.0101875832224</v>
      </c>
      <c r="X22" s="2">
        <f>X8*'Income Statement'!X58</f>
        <v>133.24509311972932</v>
      </c>
      <c r="Y22" s="2">
        <f>Y8*'Income Statement'!Y58</f>
        <v>136.72497448929209</v>
      </c>
      <c r="Z22" s="2">
        <f>X22+Y22</f>
        <v>269.97006760902138</v>
      </c>
      <c r="AA22" s="2">
        <f>AA8*'Income Statement'!AA58</f>
        <v>151.41290557899197</v>
      </c>
      <c r="AB22" s="2">
        <f>AB8*'Income Statement'!AB58</f>
        <v>165.4973671365444</v>
      </c>
      <c r="AC22" s="2">
        <f>AA22+AB22</f>
        <v>316.91027271553639</v>
      </c>
      <c r="AD22" s="2">
        <f>AD8*'Income Statement'!AD58</f>
        <v>184.94129857104255</v>
      </c>
      <c r="AE22" s="2">
        <f>AE8*'Income Statement'!AE58</f>
        <v>190.26651270593518</v>
      </c>
      <c r="AF22" s="2">
        <f>AD22+AE22</f>
        <v>375.20781127697774</v>
      </c>
      <c r="AG22" s="2">
        <f>AG8*'Income Statement'!AG58</f>
        <v>217.28593858714959</v>
      </c>
      <c r="AH22" s="2">
        <f>AH8*'Income Statement'!AH58</f>
        <v>229.05523523096642</v>
      </c>
      <c r="AI22" s="2">
        <f>AG22+AH22</f>
        <v>446.34117381811598</v>
      </c>
    </row>
    <row r="23" spans="1:35" s="26" customFormat="1" ht="12.9" customHeight="1" x14ac:dyDescent="0.3">
      <c r="A23" s="199"/>
      <c r="B23" s="227" t="s">
        <v>84</v>
      </c>
      <c r="C23" s="26">
        <f>C17-SUM(C20,C22)</f>
        <v>26.520300000000006</v>
      </c>
      <c r="D23" s="26">
        <f t="shared" ref="D23:AI23" si="32">D17-SUM(D20,D22)</f>
        <v>42.240700000000011</v>
      </c>
      <c r="E23" s="26">
        <f t="shared" si="32"/>
        <v>68.761000000000024</v>
      </c>
      <c r="F23" s="26">
        <f t="shared" si="32"/>
        <v>35.178099999999993</v>
      </c>
      <c r="G23" s="26">
        <f t="shared" si="32"/>
        <v>34.8001</v>
      </c>
      <c r="H23" s="26">
        <f t="shared" si="32"/>
        <v>69.978200000000015</v>
      </c>
      <c r="I23" s="26">
        <f t="shared" si="32"/>
        <v>29.886900000000033</v>
      </c>
      <c r="J23" s="26">
        <f t="shared" si="32"/>
        <v>52.817999999999955</v>
      </c>
      <c r="K23" s="26">
        <f t="shared" si="32"/>
        <v>82.704899999999995</v>
      </c>
      <c r="L23" s="26">
        <f t="shared" si="32"/>
        <v>59.369800000000026</v>
      </c>
      <c r="M23" s="26">
        <f t="shared" si="32"/>
        <v>67.380799999999937</v>
      </c>
      <c r="N23" s="26">
        <f t="shared" si="32"/>
        <v>126.75059999999996</v>
      </c>
      <c r="O23" s="26">
        <f t="shared" si="32"/>
        <v>76.347900000000024</v>
      </c>
      <c r="P23" s="26">
        <f t="shared" si="32"/>
        <v>88.876100000000079</v>
      </c>
      <c r="Q23" s="26">
        <f t="shared" si="32"/>
        <v>165.22400000000007</v>
      </c>
      <c r="R23" s="26">
        <f t="shared" si="32"/>
        <v>91.827799999999996</v>
      </c>
      <c r="S23" s="26">
        <f t="shared" ref="S23" si="33">S17-SUM(S20,S22)</f>
        <v>82.334399999999988</v>
      </c>
      <c r="T23" s="26">
        <f t="shared" si="32"/>
        <v>174.16219999999998</v>
      </c>
      <c r="U23" s="26">
        <f t="shared" si="32"/>
        <v>91.121876556591246</v>
      </c>
      <c r="V23" s="26">
        <f t="shared" si="32"/>
        <v>98.838762513981379</v>
      </c>
      <c r="W23" s="26">
        <f t="shared" si="32"/>
        <v>189.96063907057254</v>
      </c>
      <c r="X23" s="26">
        <f t="shared" si="32"/>
        <v>112.99183896553041</v>
      </c>
      <c r="Y23" s="26">
        <f t="shared" si="32"/>
        <v>115.94277836691967</v>
      </c>
      <c r="Z23" s="26">
        <f t="shared" si="32"/>
        <v>228.93461733245005</v>
      </c>
      <c r="AA23" s="26">
        <f t="shared" si="32"/>
        <v>128.39814393098516</v>
      </c>
      <c r="AB23" s="26">
        <f t="shared" si="32"/>
        <v>140.34176733178961</v>
      </c>
      <c r="AC23" s="26">
        <f t="shared" si="32"/>
        <v>268.73991126277463</v>
      </c>
      <c r="AD23" s="26">
        <f t="shared" si="32"/>
        <v>160.5290471596648</v>
      </c>
      <c r="AE23" s="26">
        <f t="shared" si="32"/>
        <v>165.15133302875157</v>
      </c>
      <c r="AF23" s="26">
        <f t="shared" si="32"/>
        <v>325.68038018841639</v>
      </c>
      <c r="AG23" s="26">
        <f t="shared" si="32"/>
        <v>192.94991346538865</v>
      </c>
      <c r="AH23" s="26">
        <f t="shared" si="32"/>
        <v>203.40104888509796</v>
      </c>
      <c r="AI23" s="26">
        <f t="shared" si="32"/>
        <v>396.35096235048672</v>
      </c>
    </row>
    <row r="24" spans="1:35" ht="12.9" customHeight="1" x14ac:dyDescent="0.3">
      <c r="B24" s="232" t="s">
        <v>66</v>
      </c>
      <c r="C24" s="11">
        <f t="shared" ref="C24:AI24" si="34">C23/C8</f>
        <v>0.22687108786535717</v>
      </c>
      <c r="D24" s="11">
        <f t="shared" si="34"/>
        <v>0.26036945468173389</v>
      </c>
      <c r="E24" s="11">
        <f t="shared" si="34"/>
        <v>0.24634076787270154</v>
      </c>
      <c r="F24" s="11">
        <f t="shared" si="34"/>
        <v>0.24940039290836552</v>
      </c>
      <c r="G24" s="11">
        <f t="shared" si="34"/>
        <v>0.23642833898019511</v>
      </c>
      <c r="H24" s="11">
        <f t="shared" si="34"/>
        <v>0.24277619885540469</v>
      </c>
      <c r="I24" s="11">
        <f t="shared" si="34"/>
        <v>0.19566942382504351</v>
      </c>
      <c r="J24" s="11">
        <f t="shared" si="34"/>
        <v>0.20424886202934828</v>
      </c>
      <c r="K24" s="11">
        <f t="shared" si="34"/>
        <v>0.20106306709735858</v>
      </c>
      <c r="L24" s="11">
        <f t="shared" si="34"/>
        <v>0.22398559123038947</v>
      </c>
      <c r="M24" s="11">
        <f t="shared" si="34"/>
        <v>0.23615563656296321</v>
      </c>
      <c r="N24" s="11">
        <f t="shared" si="34"/>
        <v>0.23029463947476711</v>
      </c>
      <c r="O24" s="11">
        <f t="shared" si="34"/>
        <v>0.22512625551515528</v>
      </c>
      <c r="P24" s="11">
        <f t="shared" si="34"/>
        <v>0.22577309976342086</v>
      </c>
      <c r="Q24" s="11">
        <f t="shared" si="34"/>
        <v>0.22547373994590517</v>
      </c>
      <c r="R24" s="11">
        <f t="shared" si="34"/>
        <v>0.22533754817647175</v>
      </c>
      <c r="S24" s="11">
        <f t="shared" ref="S24" si="35">S23/S8</f>
        <v>0.19850352781203323</v>
      </c>
      <c r="T24" s="11">
        <f t="shared" si="34"/>
        <v>0.21180202500900838</v>
      </c>
      <c r="U24" s="11">
        <f t="shared" si="34"/>
        <v>0.21200000000000005</v>
      </c>
      <c r="V24" s="11">
        <f t="shared" si="34"/>
        <v>0.21200000000000002</v>
      </c>
      <c r="W24" s="11">
        <f t="shared" si="34"/>
        <v>0.21199999999999997</v>
      </c>
      <c r="X24" s="11">
        <f t="shared" si="34"/>
        <v>0.21199999999999994</v>
      </c>
      <c r="Y24" s="11">
        <f t="shared" si="34"/>
        <v>0.21199999999999999</v>
      </c>
      <c r="Z24" s="11">
        <f t="shared" si="34"/>
        <v>0.21199999999999997</v>
      </c>
      <c r="AA24" s="11">
        <f t="shared" si="34"/>
        <v>0.21199999999999999</v>
      </c>
      <c r="AB24" s="11">
        <f t="shared" si="34"/>
        <v>0.21199999999999997</v>
      </c>
      <c r="AC24" s="11">
        <f t="shared" si="34"/>
        <v>0.21199999999999988</v>
      </c>
      <c r="AD24" s="11">
        <f t="shared" si="34"/>
        <v>0.21699999999999992</v>
      </c>
      <c r="AE24" s="11">
        <f t="shared" si="34"/>
        <v>0.21699999999999986</v>
      </c>
      <c r="AF24" s="11">
        <f t="shared" si="34"/>
        <v>0.21699999999999992</v>
      </c>
      <c r="AG24" s="11">
        <f t="shared" si="34"/>
        <v>0.22199999999999986</v>
      </c>
      <c r="AH24" s="11">
        <f t="shared" si="34"/>
        <v>0.22199999999999986</v>
      </c>
      <c r="AI24" s="11">
        <f t="shared" si="34"/>
        <v>0.22199999999999995</v>
      </c>
    </row>
    <row r="25" spans="1:35" ht="12.9" customHeight="1" x14ac:dyDescent="0.3">
      <c r="B25" s="227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35" ht="12.9" customHeight="1" x14ac:dyDescent="0.3">
      <c r="B26" s="234" t="s">
        <v>95</v>
      </c>
      <c r="C26" s="66">
        <v>4.5148999999999999</v>
      </c>
      <c r="D26" s="23">
        <f>E26-C26</f>
        <v>5.9909999999999988</v>
      </c>
      <c r="E26" s="66">
        <v>10.505899999999999</v>
      </c>
      <c r="F26" s="66">
        <v>5.7862</v>
      </c>
      <c r="G26" s="23">
        <f>H26-F26</f>
        <v>5.806</v>
      </c>
      <c r="H26" s="66">
        <v>11.5922</v>
      </c>
      <c r="I26" s="66">
        <v>5.8628999999999998</v>
      </c>
      <c r="J26" s="23">
        <f>K26-I26</f>
        <v>6.6776</v>
      </c>
      <c r="K26" s="66">
        <v>12.5405</v>
      </c>
      <c r="L26" s="66">
        <v>7.0289000000000001</v>
      </c>
      <c r="M26" s="23">
        <f>N26-L26</f>
        <v>10.435100000000002</v>
      </c>
      <c r="N26" s="66">
        <v>17.464000000000002</v>
      </c>
      <c r="O26" s="66">
        <v>11.355699999999999</v>
      </c>
      <c r="P26" s="23">
        <f>Q26-O26</f>
        <v>12.463300000000004</v>
      </c>
      <c r="Q26" s="66">
        <v>23.819000000000003</v>
      </c>
      <c r="R26" s="66">
        <v>13.2423</v>
      </c>
      <c r="S26" s="23">
        <f>T26-R26</f>
        <v>14.598700000000001</v>
      </c>
      <c r="T26" s="66">
        <v>27.841000000000001</v>
      </c>
      <c r="U26" s="2">
        <f>'Balance Sheet'!U63</f>
        <v>14.544384071049086</v>
      </c>
      <c r="V26" s="2">
        <f>'Balance Sheet'!V63</f>
        <v>14.675322150977753</v>
      </c>
      <c r="W26" s="2">
        <f>U26+V26</f>
        <v>29.219706222026836</v>
      </c>
      <c r="X26" s="2">
        <f>'Balance Sheet'!X63</f>
        <v>14.800459483722905</v>
      </c>
      <c r="Y26" s="2">
        <f>'Balance Sheet'!Y63</f>
        <v>14.809299418510566</v>
      </c>
      <c r="Z26" s="2">
        <f>X26+Y26</f>
        <v>29.609758902233473</v>
      </c>
      <c r="AA26" s="2">
        <f>'Balance Sheet'!AA63</f>
        <v>14.817747731343408</v>
      </c>
      <c r="AB26" s="2">
        <f>'Balance Sheet'!AB63</f>
        <v>14.825821771643025</v>
      </c>
      <c r="AC26" s="2">
        <f>AA26+AB26</f>
        <v>29.643569502986431</v>
      </c>
      <c r="AD26" s="2">
        <f>'Balance Sheet'!AD63</f>
        <v>14.833538120226425</v>
      </c>
      <c r="AE26" s="2">
        <f>'Balance Sheet'!AE63</f>
        <v>14.840912623356338</v>
      </c>
      <c r="AF26" s="2">
        <f>AD26+AE26</f>
        <v>29.674450743582764</v>
      </c>
      <c r="AG26" s="2">
        <f>'Balance Sheet'!AG63</f>
        <v>14.847960425283025</v>
      </c>
      <c r="AH26" s="2">
        <f>'Balance Sheet'!AH63</f>
        <v>14.854695999344461</v>
      </c>
      <c r="AI26" s="2">
        <f>AG26+AH26</f>
        <v>29.702656424627484</v>
      </c>
    </row>
    <row r="27" spans="1:35" s="26" customFormat="1" ht="12.9" customHeight="1" x14ac:dyDescent="0.3">
      <c r="A27" s="199"/>
      <c r="B27" s="227" t="s">
        <v>96</v>
      </c>
      <c r="C27" s="26">
        <f>C23-C26</f>
        <v>22.005400000000005</v>
      </c>
      <c r="D27" s="26">
        <f t="shared" ref="D27:AI27" si="36">D23-D26</f>
        <v>36.249700000000011</v>
      </c>
      <c r="E27" s="26">
        <f t="shared" si="36"/>
        <v>58.255100000000027</v>
      </c>
      <c r="F27" s="26">
        <f t="shared" si="36"/>
        <v>29.391899999999993</v>
      </c>
      <c r="G27" s="26">
        <f t="shared" si="36"/>
        <v>28.9941</v>
      </c>
      <c r="H27" s="26">
        <f t="shared" si="36"/>
        <v>58.386000000000017</v>
      </c>
      <c r="I27" s="26">
        <f t="shared" si="36"/>
        <v>24.024000000000033</v>
      </c>
      <c r="J27" s="26">
        <f t="shared" si="36"/>
        <v>46.140399999999957</v>
      </c>
      <c r="K27" s="26">
        <f t="shared" si="36"/>
        <v>70.164400000000001</v>
      </c>
      <c r="L27" s="26">
        <f t="shared" si="36"/>
        <v>52.340900000000026</v>
      </c>
      <c r="M27" s="26">
        <f t="shared" si="36"/>
        <v>56.945699999999931</v>
      </c>
      <c r="N27" s="26">
        <f t="shared" si="36"/>
        <v>109.28659999999996</v>
      </c>
      <c r="O27" s="26">
        <f t="shared" si="36"/>
        <v>64.992200000000025</v>
      </c>
      <c r="P27" s="26">
        <f t="shared" si="36"/>
        <v>76.412800000000075</v>
      </c>
      <c r="Q27" s="26">
        <f t="shared" si="36"/>
        <v>141.40500000000009</v>
      </c>
      <c r="R27" s="26">
        <f t="shared" si="36"/>
        <v>78.585499999999996</v>
      </c>
      <c r="S27" s="26">
        <f t="shared" ref="S27" si="37">S23-S26</f>
        <v>67.73569999999998</v>
      </c>
      <c r="T27" s="26">
        <f t="shared" si="36"/>
        <v>146.32119999999998</v>
      </c>
      <c r="U27" s="26">
        <f t="shared" si="36"/>
        <v>76.577492485542166</v>
      </c>
      <c r="V27" s="26">
        <f t="shared" si="36"/>
        <v>84.16344036300363</v>
      </c>
      <c r="W27" s="26">
        <f t="shared" si="36"/>
        <v>160.7409328485457</v>
      </c>
      <c r="X27" s="26">
        <f t="shared" si="36"/>
        <v>98.191379481807502</v>
      </c>
      <c r="Y27" s="26">
        <f t="shared" si="36"/>
        <v>101.13347894840911</v>
      </c>
      <c r="Z27" s="26">
        <f t="shared" si="36"/>
        <v>199.32485843021658</v>
      </c>
      <c r="AA27" s="26">
        <f t="shared" si="36"/>
        <v>113.58039619964175</v>
      </c>
      <c r="AB27" s="26">
        <f t="shared" si="36"/>
        <v>125.51594556014659</v>
      </c>
      <c r="AC27" s="26">
        <f t="shared" si="36"/>
        <v>239.0963417597882</v>
      </c>
      <c r="AD27" s="26">
        <f t="shared" si="36"/>
        <v>145.69550903943838</v>
      </c>
      <c r="AE27" s="26">
        <f t="shared" si="36"/>
        <v>150.31042040539523</v>
      </c>
      <c r="AF27" s="26">
        <f t="shared" si="36"/>
        <v>296.00592944483361</v>
      </c>
      <c r="AG27" s="26">
        <f t="shared" si="36"/>
        <v>178.10195304010563</v>
      </c>
      <c r="AH27" s="26">
        <f t="shared" si="36"/>
        <v>188.54635288575349</v>
      </c>
      <c r="AI27" s="26">
        <f t="shared" si="36"/>
        <v>366.64830592585923</v>
      </c>
    </row>
    <row r="28" spans="1:35" ht="12.9" customHeight="1" x14ac:dyDescent="0.3">
      <c r="B28" s="233" t="s">
        <v>67</v>
      </c>
      <c r="C28" s="11">
        <f t="shared" ref="C28:AI28" si="38">C27/C8</f>
        <v>0.18824783418409033</v>
      </c>
      <c r="D28" s="11">
        <f t="shared" si="38"/>
        <v>0.22344124556118741</v>
      </c>
      <c r="E28" s="11">
        <f t="shared" si="38"/>
        <v>0.20870269580868539</v>
      </c>
      <c r="F28" s="11">
        <f t="shared" si="38"/>
        <v>0.2083782639859284</v>
      </c>
      <c r="G28" s="11">
        <f t="shared" si="38"/>
        <v>0.19698296565888243</v>
      </c>
      <c r="H28" s="11">
        <f t="shared" si="38"/>
        <v>0.20255924196923697</v>
      </c>
      <c r="I28" s="11">
        <f t="shared" si="38"/>
        <v>0.15728503919686707</v>
      </c>
      <c r="J28" s="11">
        <f t="shared" si="38"/>
        <v>0.17842637346319323</v>
      </c>
      <c r="K28" s="11">
        <f t="shared" si="38"/>
        <v>0.1705759811697482</v>
      </c>
      <c r="L28" s="11">
        <f t="shared" si="38"/>
        <v>0.19746752443213036</v>
      </c>
      <c r="M28" s="11">
        <f t="shared" si="38"/>
        <v>0.19958278965259435</v>
      </c>
      <c r="N28" s="11">
        <f t="shared" si="38"/>
        <v>0.19856409473740624</v>
      </c>
      <c r="O28" s="11">
        <f t="shared" si="38"/>
        <v>0.19164182149989817</v>
      </c>
      <c r="P28" s="11">
        <f t="shared" si="38"/>
        <v>0.19411241849723745</v>
      </c>
      <c r="Q28" s="11">
        <f t="shared" si="38"/>
        <v>0.19296902506325186</v>
      </c>
      <c r="R28" s="11">
        <f t="shared" si="38"/>
        <v>0.19284207932915873</v>
      </c>
      <c r="S28" s="11">
        <f t="shared" ref="S28" si="39">S27/S8</f>
        <v>0.1633068973456725</v>
      </c>
      <c r="T28" s="11">
        <f t="shared" si="38"/>
        <v>0.1779440456180969</v>
      </c>
      <c r="U28" s="11">
        <f t="shared" si="38"/>
        <v>0.17816169969735587</v>
      </c>
      <c r="V28" s="11">
        <f t="shared" si="38"/>
        <v>0.18052279189991693</v>
      </c>
      <c r="W28" s="11">
        <f t="shared" si="38"/>
        <v>0.17939020383707838</v>
      </c>
      <c r="X28" s="11">
        <f t="shared" si="38"/>
        <v>0.18423076074099071</v>
      </c>
      <c r="Y28" s="11">
        <f t="shared" si="38"/>
        <v>0.18492137103366146</v>
      </c>
      <c r="Z28" s="11">
        <f t="shared" si="38"/>
        <v>0.18458051682870708</v>
      </c>
      <c r="AA28" s="11">
        <f t="shared" si="38"/>
        <v>0.18753420615851499</v>
      </c>
      <c r="AB28" s="11">
        <f t="shared" si="38"/>
        <v>0.1896041425489704</v>
      </c>
      <c r="AC28" s="11">
        <f t="shared" si="38"/>
        <v>0.1886151715050311</v>
      </c>
      <c r="AD28" s="11">
        <f t="shared" si="38"/>
        <v>0.1969483157157994</v>
      </c>
      <c r="AE28" s="11">
        <f t="shared" si="38"/>
        <v>0.19749983623984627</v>
      </c>
      <c r="AF28" s="11">
        <f t="shared" si="38"/>
        <v>0.1972279897621339</v>
      </c>
      <c r="AG28" s="11">
        <f t="shared" si="38"/>
        <v>0.20491656546918258</v>
      </c>
      <c r="AH28" s="11">
        <f t="shared" si="38"/>
        <v>0.20578699357780891</v>
      </c>
      <c r="AI28" s="11">
        <f t="shared" si="38"/>
        <v>0.20536325541595035</v>
      </c>
    </row>
    <row r="29" spans="1:35" ht="12.9" customHeight="1" x14ac:dyDescent="0.3">
      <c r="B29" s="227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35" ht="12.9" customHeight="1" x14ac:dyDescent="0.3">
      <c r="B30" s="225" t="s">
        <v>97</v>
      </c>
      <c r="C30" s="66">
        <v>1.5637999999999999</v>
      </c>
      <c r="D30" s="23">
        <f>E30-C30</f>
        <v>1.9905000000000002</v>
      </c>
      <c r="E30" s="66">
        <v>3.5543</v>
      </c>
      <c r="F30" s="66">
        <v>0.98329999999999995</v>
      </c>
      <c r="G30" s="23">
        <f>H30-F30</f>
        <v>2.7843999999999998</v>
      </c>
      <c r="H30" s="66">
        <v>3.7676999999999996</v>
      </c>
      <c r="I30" s="66">
        <v>0.61819999999999997</v>
      </c>
      <c r="J30" s="23">
        <f>K30-I30</f>
        <v>0.62389999999999979</v>
      </c>
      <c r="K30" s="66">
        <v>1.2420999999999998</v>
      </c>
      <c r="L30" s="66">
        <v>2.0524</v>
      </c>
      <c r="M30" s="23">
        <f>N30-L30</f>
        <v>7.0113000000000003</v>
      </c>
      <c r="N30" s="66">
        <v>9.0637000000000008</v>
      </c>
      <c r="O30" s="66">
        <v>3.9852999999999996</v>
      </c>
      <c r="P30" s="23">
        <f>Q30-O30</f>
        <v>1.1488000000000005</v>
      </c>
      <c r="Q30" s="66">
        <v>5.1341000000000001</v>
      </c>
      <c r="R30" s="66">
        <v>2.6912000000000003</v>
      </c>
      <c r="S30" s="23">
        <f>T30-R30</f>
        <v>-1.0136000000000003</v>
      </c>
      <c r="T30" s="66">
        <v>1.6776</v>
      </c>
      <c r="U30" s="134">
        <f>T30</f>
        <v>1.6776</v>
      </c>
      <c r="V30" s="134">
        <f>U30</f>
        <v>1.6776</v>
      </c>
      <c r="W30" s="2">
        <f>U30+V30</f>
        <v>3.3552</v>
      </c>
      <c r="X30" s="134">
        <f>V30</f>
        <v>1.6776</v>
      </c>
      <c r="Y30" s="134">
        <f>X30</f>
        <v>1.6776</v>
      </c>
      <c r="Z30" s="2">
        <f>X30+Y30</f>
        <v>3.3552</v>
      </c>
      <c r="AA30" s="134">
        <f>Y30</f>
        <v>1.6776</v>
      </c>
      <c r="AB30" s="134">
        <f>AA30</f>
        <v>1.6776</v>
      </c>
      <c r="AC30" s="2">
        <f>AA30+AB30</f>
        <v>3.3552</v>
      </c>
      <c r="AD30" s="134">
        <f>AB30</f>
        <v>1.6776</v>
      </c>
      <c r="AE30" s="134">
        <f>AD30</f>
        <v>1.6776</v>
      </c>
      <c r="AF30" s="2">
        <f>AD30+AE30</f>
        <v>3.3552</v>
      </c>
      <c r="AG30" s="134">
        <f>AE30</f>
        <v>1.6776</v>
      </c>
      <c r="AH30" s="134">
        <f>AG30</f>
        <v>1.6776</v>
      </c>
      <c r="AI30" s="2">
        <f>AG30+AH30</f>
        <v>3.3552</v>
      </c>
    </row>
    <row r="31" spans="1:35" ht="12.9" customHeight="1" x14ac:dyDescent="0.3">
      <c r="B31" s="225" t="s">
        <v>98</v>
      </c>
      <c r="C31" s="66">
        <v>0.27079999999999999</v>
      </c>
      <c r="D31" s="23">
        <f>E31-C31</f>
        <v>7.3599999999999999E-2</v>
      </c>
      <c r="E31" s="66">
        <v>0.34439999999999998</v>
      </c>
      <c r="F31" s="66">
        <v>0.2223</v>
      </c>
      <c r="G31" s="23">
        <f>H31-F31</f>
        <v>0.80920000000000014</v>
      </c>
      <c r="H31" s="66">
        <v>1.0315000000000001</v>
      </c>
      <c r="I31" s="66">
        <v>0.59609999999999996</v>
      </c>
      <c r="J31" s="23">
        <f>K31-I31</f>
        <v>0.81220000000000014</v>
      </c>
      <c r="K31" s="66">
        <v>1.4083000000000001</v>
      </c>
      <c r="L31" s="66">
        <v>0.20670000000000002</v>
      </c>
      <c r="M31" s="23">
        <f>N31-L31</f>
        <v>1.9676999999999998</v>
      </c>
      <c r="N31" s="66">
        <v>2.1743999999999999</v>
      </c>
      <c r="O31" s="66">
        <v>1.9606000000000001</v>
      </c>
      <c r="P31" s="23">
        <f>Q31-O31</f>
        <v>1.3782999999999996</v>
      </c>
      <c r="Q31" s="66">
        <v>3.3388999999999998</v>
      </c>
      <c r="R31" s="66">
        <v>2.9775999999999998</v>
      </c>
      <c r="S31" s="23">
        <f>T31-R31</f>
        <v>5.7206999999999999</v>
      </c>
      <c r="T31" s="66">
        <v>8.6982999999999997</v>
      </c>
      <c r="U31" s="2">
        <f>'Income Statement'!U61</f>
        <v>4.6958673480382176</v>
      </c>
      <c r="V31" s="2">
        <f>'Income Statement'!V61</f>
        <v>4.6113603360282349</v>
      </c>
      <c r="W31" s="2">
        <f>U31+V31</f>
        <v>9.3072276840664525</v>
      </c>
      <c r="X31" s="2">
        <f>'Income Statement'!X61</f>
        <v>4.4179525353455942</v>
      </c>
      <c r="Y31" s="2">
        <f>'Income Statement'!Y61</f>
        <v>4.200150958000278</v>
      </c>
      <c r="Z31" s="2">
        <f>X31+Y31</f>
        <v>8.6181034933458722</v>
      </c>
      <c r="AA31" s="2">
        <f>'Income Statement'!AA61</f>
        <v>3.9823493806549624</v>
      </c>
      <c r="AB31" s="2">
        <f>'Income Statement'!AB61</f>
        <v>3.7645478033096462</v>
      </c>
      <c r="AC31" s="2">
        <f>AA31+AB31</f>
        <v>7.7468971839646086</v>
      </c>
      <c r="AD31" s="2">
        <f>'Income Statement'!AD61</f>
        <v>3.5467462259643301</v>
      </c>
      <c r="AE31" s="2">
        <f>'Income Statement'!AE61</f>
        <v>3.3289446486190144</v>
      </c>
      <c r="AF31" s="2">
        <f>AD31+AE31</f>
        <v>6.8756908745833449</v>
      </c>
      <c r="AG31" s="2">
        <f>'Income Statement'!AG61</f>
        <v>3.1111430712736983</v>
      </c>
      <c r="AH31" s="2">
        <f>'Income Statement'!AH61</f>
        <v>2.8933414939283821</v>
      </c>
      <c r="AI31" s="2">
        <f>AG31+AH31</f>
        <v>6.0044845652020804</v>
      </c>
    </row>
    <row r="32" spans="1:35" s="26" customFormat="1" ht="12.9" customHeight="1" x14ac:dyDescent="0.3">
      <c r="A32" s="199"/>
      <c r="B32" s="227" t="s">
        <v>85</v>
      </c>
      <c r="C32" s="26">
        <f t="shared" ref="C32:AI32" si="40">C27+C30-C31</f>
        <v>23.298400000000004</v>
      </c>
      <c r="D32" s="26">
        <f t="shared" si="40"/>
        <v>38.16660000000001</v>
      </c>
      <c r="E32" s="26">
        <f t="shared" si="40"/>
        <v>61.465000000000025</v>
      </c>
      <c r="F32" s="26">
        <f t="shared" si="40"/>
        <v>30.152899999999992</v>
      </c>
      <c r="G32" s="26">
        <f t="shared" si="40"/>
        <v>30.9693</v>
      </c>
      <c r="H32" s="26">
        <f t="shared" si="40"/>
        <v>61.122200000000014</v>
      </c>
      <c r="I32" s="26">
        <f t="shared" si="40"/>
        <v>24.046100000000035</v>
      </c>
      <c r="J32" s="26">
        <f t="shared" si="40"/>
        <v>45.952099999999959</v>
      </c>
      <c r="K32" s="26">
        <f t="shared" si="40"/>
        <v>69.998199999999997</v>
      </c>
      <c r="L32" s="26">
        <f t="shared" si="40"/>
        <v>54.186600000000027</v>
      </c>
      <c r="M32" s="26">
        <f t="shared" si="40"/>
        <v>61.989299999999929</v>
      </c>
      <c r="N32" s="26">
        <f t="shared" si="40"/>
        <v>116.17589999999996</v>
      </c>
      <c r="O32" s="26">
        <f t="shared" si="40"/>
        <v>67.016900000000021</v>
      </c>
      <c r="P32" s="26">
        <f t="shared" si="40"/>
        <v>76.183300000000074</v>
      </c>
      <c r="Q32" s="26">
        <f t="shared" si="40"/>
        <v>143.20020000000008</v>
      </c>
      <c r="R32" s="26">
        <f t="shared" si="40"/>
        <v>78.299099999999996</v>
      </c>
      <c r="S32" s="26">
        <f t="shared" ref="S32" si="41">S27+S30-S31</f>
        <v>61.001399999999983</v>
      </c>
      <c r="T32" s="26">
        <f t="shared" si="40"/>
        <v>139.3005</v>
      </c>
      <c r="U32" s="26">
        <f t="shared" si="40"/>
        <v>73.559225137503944</v>
      </c>
      <c r="V32" s="26">
        <f t="shared" si="40"/>
        <v>81.229680026975387</v>
      </c>
      <c r="W32" s="26">
        <f t="shared" si="40"/>
        <v>154.78890516447925</v>
      </c>
      <c r="X32" s="26">
        <f t="shared" si="40"/>
        <v>95.451026946461909</v>
      </c>
      <c r="Y32" s="26">
        <f t="shared" si="40"/>
        <v>98.610927990408825</v>
      </c>
      <c r="Z32" s="26">
        <f t="shared" si="40"/>
        <v>194.06195493687071</v>
      </c>
      <c r="AA32" s="26">
        <f t="shared" si="40"/>
        <v>111.27564681898679</v>
      </c>
      <c r="AB32" s="26">
        <f t="shared" si="40"/>
        <v>123.42899775683695</v>
      </c>
      <c r="AC32" s="26">
        <f t="shared" si="40"/>
        <v>234.70464457582358</v>
      </c>
      <c r="AD32" s="26">
        <f t="shared" si="40"/>
        <v>143.82636281347405</v>
      </c>
      <c r="AE32" s="26">
        <f t="shared" si="40"/>
        <v>148.65907575677625</v>
      </c>
      <c r="AF32" s="26">
        <f t="shared" si="40"/>
        <v>292.48543857025027</v>
      </c>
      <c r="AG32" s="26">
        <f t="shared" si="40"/>
        <v>176.66840996883195</v>
      </c>
      <c r="AH32" s="26">
        <f t="shared" si="40"/>
        <v>187.33061139182513</v>
      </c>
      <c r="AI32" s="26">
        <f t="shared" si="40"/>
        <v>363.9990213606572</v>
      </c>
    </row>
    <row r="33" spans="1:35" ht="12.9" customHeight="1" x14ac:dyDescent="0.3">
      <c r="B33" s="233" t="s">
        <v>99</v>
      </c>
      <c r="C33" s="11">
        <f t="shared" ref="C33:AI33" si="42">C32/C8</f>
        <v>0.19930895779920429</v>
      </c>
      <c r="D33" s="11">
        <f t="shared" si="42"/>
        <v>0.23525691641132521</v>
      </c>
      <c r="E33" s="11">
        <f t="shared" si="42"/>
        <v>0.22020237194478848</v>
      </c>
      <c r="F33" s="11">
        <f t="shared" si="42"/>
        <v>0.21377348712200642</v>
      </c>
      <c r="G33" s="11">
        <f t="shared" si="42"/>
        <v>0.21040227351011509</v>
      </c>
      <c r="H33" s="11">
        <f t="shared" si="42"/>
        <v>0.21205197306703824</v>
      </c>
      <c r="I33" s="11">
        <f t="shared" si="42"/>
        <v>0.15742972781517589</v>
      </c>
      <c r="J33" s="11">
        <f t="shared" si="42"/>
        <v>0.17769821145932854</v>
      </c>
      <c r="K33" s="11">
        <f t="shared" si="42"/>
        <v>0.17017193398812314</v>
      </c>
      <c r="L33" s="11">
        <f t="shared" si="42"/>
        <v>0.20443083247315341</v>
      </c>
      <c r="M33" s="11">
        <f t="shared" si="42"/>
        <v>0.21725955467421715</v>
      </c>
      <c r="N33" s="11">
        <f t="shared" si="42"/>
        <v>0.21108134404221041</v>
      </c>
      <c r="O33" s="11">
        <f t="shared" si="42"/>
        <v>0.19761203324824403</v>
      </c>
      <c r="P33" s="11">
        <f t="shared" si="42"/>
        <v>0.1935294166959016</v>
      </c>
      <c r="Q33" s="11">
        <f t="shared" si="42"/>
        <v>0.19541885352613186</v>
      </c>
      <c r="R33" s="11">
        <f t="shared" si="42"/>
        <v>0.19213927828418387</v>
      </c>
      <c r="S33" s="11">
        <f t="shared" si="42"/>
        <v>0.14707088533435556</v>
      </c>
      <c r="T33" s="11">
        <f t="shared" si="42"/>
        <v>0.16940603635442925</v>
      </c>
      <c r="U33" s="11">
        <f t="shared" si="42"/>
        <v>0.17113953661243839</v>
      </c>
      <c r="V33" s="11">
        <f t="shared" si="42"/>
        <v>0.17423014744122081</v>
      </c>
      <c r="W33" s="11">
        <f t="shared" si="42"/>
        <v>0.1727476179035087</v>
      </c>
      <c r="X33" s="11">
        <f t="shared" si="42"/>
        <v>0.17908919704212489</v>
      </c>
      <c r="Y33" s="11">
        <f t="shared" si="42"/>
        <v>0.18030891641916483</v>
      </c>
      <c r="Z33" s="11">
        <f t="shared" si="42"/>
        <v>0.17970691774793066</v>
      </c>
      <c r="AA33" s="11">
        <f t="shared" si="42"/>
        <v>0.18372880170530512</v>
      </c>
      <c r="AB33" s="11">
        <f t="shared" si="42"/>
        <v>0.18645160326780499</v>
      </c>
      <c r="AC33" s="11">
        <f t="shared" si="42"/>
        <v>0.18515070730012137</v>
      </c>
      <c r="AD33" s="11">
        <f t="shared" si="42"/>
        <v>0.19442164071080273</v>
      </c>
      <c r="AE33" s="11">
        <f t="shared" si="42"/>
        <v>0.1953300578785179</v>
      </c>
      <c r="AF33" s="11">
        <f t="shared" si="42"/>
        <v>0.19488229574353008</v>
      </c>
      <c r="AG33" s="11">
        <f t="shared" si="42"/>
        <v>0.20326719151452755</v>
      </c>
      <c r="AH33" s="11">
        <f t="shared" si="42"/>
        <v>0.20446008492551104</v>
      </c>
      <c r="AI33" s="11">
        <f t="shared" si="42"/>
        <v>0.20387936555735889</v>
      </c>
    </row>
    <row r="34" spans="1:35" s="176" customFormat="1" ht="12.9" hidden="1" customHeight="1" outlineLevel="1" x14ac:dyDescent="0.3">
      <c r="A34" s="194"/>
      <c r="B34" s="178" t="s">
        <v>118</v>
      </c>
      <c r="C34" s="176">
        <v>23.298400000000004</v>
      </c>
      <c r="E34" s="176">
        <v>61.465000000000025</v>
      </c>
      <c r="F34" s="176">
        <v>30.152899999999992</v>
      </c>
      <c r="H34" s="176">
        <v>61.122200000000014</v>
      </c>
      <c r="I34" s="176">
        <v>24.046100000000035</v>
      </c>
      <c r="K34" s="176">
        <v>69.998199999999997</v>
      </c>
      <c r="L34" s="176">
        <v>54.186600000000027</v>
      </c>
      <c r="N34" s="176">
        <v>116.17589999999996</v>
      </c>
      <c r="O34" s="176">
        <v>67.016900000000021</v>
      </c>
      <c r="Q34" s="176">
        <v>143.20020000000008</v>
      </c>
      <c r="R34" s="176">
        <v>78.299099999999996</v>
      </c>
      <c r="T34" s="176">
        <v>139.3005</v>
      </c>
    </row>
    <row r="35" spans="1:35" s="36" customFormat="1" ht="12.9" hidden="1" customHeight="1" outlineLevel="1" x14ac:dyDescent="0.3">
      <c r="A35" s="35"/>
      <c r="B35" s="178" t="s">
        <v>136</v>
      </c>
      <c r="C35" s="176">
        <f>C32-C34</f>
        <v>0</v>
      </c>
      <c r="D35" s="176"/>
      <c r="E35" s="176">
        <f t="shared" ref="E35:T35" si="43">E32-E34</f>
        <v>0</v>
      </c>
      <c r="F35" s="176">
        <f t="shared" si="43"/>
        <v>0</v>
      </c>
      <c r="G35" s="176"/>
      <c r="H35" s="176">
        <f t="shared" si="43"/>
        <v>0</v>
      </c>
      <c r="I35" s="176">
        <f t="shared" si="43"/>
        <v>0</v>
      </c>
      <c r="J35" s="176"/>
      <c r="K35" s="176">
        <f t="shared" si="43"/>
        <v>0</v>
      </c>
      <c r="L35" s="176">
        <f t="shared" si="43"/>
        <v>0</v>
      </c>
      <c r="M35" s="176"/>
      <c r="N35" s="176">
        <f t="shared" si="43"/>
        <v>0</v>
      </c>
      <c r="O35" s="176">
        <f t="shared" si="43"/>
        <v>0</v>
      </c>
      <c r="P35" s="176"/>
      <c r="Q35" s="176">
        <f t="shared" si="43"/>
        <v>0</v>
      </c>
      <c r="R35" s="176">
        <f t="shared" si="43"/>
        <v>0</v>
      </c>
      <c r="S35" s="176"/>
      <c r="T35" s="176">
        <f t="shared" si="43"/>
        <v>0</v>
      </c>
    </row>
    <row r="36" spans="1:35" ht="12.9" customHeight="1" collapsed="1" x14ac:dyDescent="0.3">
      <c r="B36" s="227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35" ht="12.9" customHeight="1" x14ac:dyDescent="0.3">
      <c r="B37" s="227" t="s">
        <v>0</v>
      </c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</row>
    <row r="38" spans="1:35" ht="12.9" customHeight="1" x14ac:dyDescent="0.3">
      <c r="B38" s="225" t="s">
        <v>1</v>
      </c>
      <c r="C38" s="66">
        <v>6.72</v>
      </c>
      <c r="D38" s="23">
        <f t="shared" ref="D38:D40" si="44">E38-C38</f>
        <v>8.43</v>
      </c>
      <c r="E38" s="66">
        <v>15.149999999999999</v>
      </c>
      <c r="F38" s="66">
        <v>7.13</v>
      </c>
      <c r="G38" s="23">
        <f t="shared" ref="G38:G40" si="45">H38-F38</f>
        <v>8.32</v>
      </c>
      <c r="H38" s="66">
        <v>15.45</v>
      </c>
      <c r="I38" s="66">
        <v>6.13</v>
      </c>
      <c r="J38" s="23">
        <f t="shared" ref="J38:J40" si="46">K38-I38</f>
        <v>12.02</v>
      </c>
      <c r="K38" s="66">
        <v>18.149999999999999</v>
      </c>
      <c r="L38" s="66">
        <v>14.04</v>
      </c>
      <c r="M38" s="23">
        <f t="shared" ref="M38:M40" si="47">N38-L38</f>
        <v>12.46</v>
      </c>
      <c r="N38" s="66">
        <v>26.5</v>
      </c>
      <c r="O38" s="66">
        <v>12.5596</v>
      </c>
      <c r="P38" s="23">
        <f t="shared" ref="P38:P40" si="48">Q38-O38</f>
        <v>17.509599999999999</v>
      </c>
      <c r="Q38" s="66">
        <v>30.069199999999999</v>
      </c>
      <c r="R38" s="66">
        <v>20.4941</v>
      </c>
      <c r="S38" s="23">
        <f t="shared" ref="S38:S40" si="49">T38-R38</f>
        <v>14.194500000000001</v>
      </c>
      <c r="T38" s="66">
        <v>34.688600000000001</v>
      </c>
    </row>
    <row r="39" spans="1:35" ht="12.9" customHeight="1" x14ac:dyDescent="0.3">
      <c r="B39" s="234" t="s">
        <v>100</v>
      </c>
      <c r="C39" s="66">
        <v>0</v>
      </c>
      <c r="D39" s="23">
        <f t="shared" si="44"/>
        <v>-6.9160000000000004</v>
      </c>
      <c r="E39" s="66">
        <v>-6.9160000000000004</v>
      </c>
      <c r="F39" s="66">
        <v>0</v>
      </c>
      <c r="G39" s="23">
        <f t="shared" si="45"/>
        <v>-15.573699999999999</v>
      </c>
      <c r="H39" s="66">
        <v>-15.573699999999999</v>
      </c>
      <c r="I39" s="66">
        <v>0</v>
      </c>
      <c r="J39" s="23">
        <f t="shared" si="46"/>
        <v>0</v>
      </c>
      <c r="K39" s="66">
        <v>0</v>
      </c>
      <c r="L39" s="66">
        <v>0</v>
      </c>
      <c r="M39" s="23">
        <f t="shared" si="47"/>
        <v>-14.511500000000002</v>
      </c>
      <c r="N39" s="66">
        <v>-14.511500000000002</v>
      </c>
      <c r="O39" s="66">
        <v>0</v>
      </c>
      <c r="P39" s="23">
        <f t="shared" si="48"/>
        <v>-3.4566000000000003</v>
      </c>
      <c r="Q39" s="66">
        <v>-3.4566000000000003</v>
      </c>
      <c r="R39" s="2">
        <v>0</v>
      </c>
      <c r="S39" s="23">
        <f t="shared" si="49"/>
        <v>-5.3208000000000002</v>
      </c>
      <c r="T39" s="66">
        <v>-5.3208000000000002</v>
      </c>
    </row>
    <row r="40" spans="1:35" ht="12.9" customHeight="1" x14ac:dyDescent="0.3">
      <c r="B40" s="225" t="s">
        <v>2</v>
      </c>
      <c r="C40" s="66">
        <v>-0.2848</v>
      </c>
      <c r="D40" s="23">
        <f t="shared" si="44"/>
        <v>-7.3999999999999622E-3</v>
      </c>
      <c r="E40" s="66">
        <v>-0.29219999999999996</v>
      </c>
      <c r="F40" s="66">
        <v>-0.61549999999999994</v>
      </c>
      <c r="G40" s="23">
        <f t="shared" si="45"/>
        <v>-0.19299999999999995</v>
      </c>
      <c r="H40" s="66">
        <v>-0.80849999999999989</v>
      </c>
      <c r="I40" s="66">
        <v>-0.17019999999999999</v>
      </c>
      <c r="J40" s="23">
        <f t="shared" si="46"/>
        <v>0.58840000000000003</v>
      </c>
      <c r="K40" s="66">
        <v>0.41820000000000002</v>
      </c>
      <c r="L40" s="66">
        <v>-0.1333</v>
      </c>
      <c r="M40" s="23">
        <f t="shared" si="47"/>
        <v>0.8456999999999999</v>
      </c>
      <c r="N40" s="66">
        <v>0.71239999999999992</v>
      </c>
      <c r="O40" s="66">
        <v>-2.0961000000000003</v>
      </c>
      <c r="P40" s="23">
        <f t="shared" si="48"/>
        <v>0.38100000000000023</v>
      </c>
      <c r="Q40" s="66">
        <v>-1.7151000000000001</v>
      </c>
      <c r="R40" s="66">
        <v>-0.50890000000000002</v>
      </c>
      <c r="S40" s="23">
        <f t="shared" si="49"/>
        <v>4.9200000000000021E-2</v>
      </c>
      <c r="T40" s="66">
        <v>-0.4597</v>
      </c>
    </row>
    <row r="41" spans="1:35" s="26" customFormat="1" ht="12.9" customHeight="1" x14ac:dyDescent="0.3">
      <c r="A41" s="199"/>
      <c r="B41" s="227" t="s">
        <v>3</v>
      </c>
      <c r="C41" s="26">
        <f t="shared" ref="C41:T41" si="50">SUM(C38:C40)</f>
        <v>6.4352</v>
      </c>
      <c r="D41" s="26">
        <f t="shared" si="50"/>
        <v>1.5065999999999993</v>
      </c>
      <c r="E41" s="26">
        <f t="shared" si="50"/>
        <v>7.941799999999998</v>
      </c>
      <c r="F41" s="26">
        <f t="shared" si="50"/>
        <v>6.5145</v>
      </c>
      <c r="G41" s="26">
        <f t="shared" si="50"/>
        <v>-7.4466999999999981</v>
      </c>
      <c r="H41" s="26">
        <f t="shared" si="50"/>
        <v>-0.93219999999999936</v>
      </c>
      <c r="I41" s="26">
        <f t="shared" si="50"/>
        <v>5.9597999999999995</v>
      </c>
      <c r="J41" s="26">
        <f t="shared" si="50"/>
        <v>12.6084</v>
      </c>
      <c r="K41" s="26">
        <f t="shared" si="50"/>
        <v>18.568199999999997</v>
      </c>
      <c r="L41" s="26">
        <f t="shared" si="50"/>
        <v>13.906699999999999</v>
      </c>
      <c r="M41" s="26">
        <f t="shared" si="50"/>
        <v>-1.2058000000000009</v>
      </c>
      <c r="N41" s="26">
        <f t="shared" si="50"/>
        <v>12.700899999999999</v>
      </c>
      <c r="O41" s="26">
        <f t="shared" si="50"/>
        <v>10.4635</v>
      </c>
      <c r="P41" s="26">
        <f t="shared" si="50"/>
        <v>14.433999999999999</v>
      </c>
      <c r="Q41" s="26">
        <f t="shared" si="50"/>
        <v>24.897499999999997</v>
      </c>
      <c r="R41" s="26">
        <f t="shared" si="50"/>
        <v>19.985199999999999</v>
      </c>
      <c r="S41" s="26">
        <f t="shared" ref="S41" si="51">SUM(S38:S40)</f>
        <v>8.9229000000000021</v>
      </c>
      <c r="T41" s="26">
        <f t="shared" si="50"/>
        <v>28.908100000000001</v>
      </c>
      <c r="U41" s="26">
        <f>U32*U62</f>
        <v>18.513385782606992</v>
      </c>
      <c r="V41" s="26">
        <f>V32*V62</f>
        <v>20.443885869189167</v>
      </c>
      <c r="W41" s="26">
        <f>U41+V41</f>
        <v>38.957271651796162</v>
      </c>
      <c r="X41" s="26">
        <f>X32*X62</f>
        <v>24.023114461885534</v>
      </c>
      <c r="Y41" s="26">
        <f>Y32*Y62</f>
        <v>24.818398356626094</v>
      </c>
      <c r="Z41" s="26">
        <f>X41+Y41</f>
        <v>48.841512818511632</v>
      </c>
      <c r="AA41" s="26">
        <f>AA32*AA62</f>
        <v>28.005854791402594</v>
      </c>
      <c r="AB41" s="26">
        <f>AB32*AB62</f>
        <v>31.064610155440725</v>
      </c>
      <c r="AC41" s="26">
        <f>AA41+AB41</f>
        <v>59.070464946843316</v>
      </c>
      <c r="AD41" s="26">
        <f>AD32*AD62</f>
        <v>36.19821899289515</v>
      </c>
      <c r="AE41" s="26">
        <f>AE32*AE62</f>
        <v>37.414516186465448</v>
      </c>
      <c r="AF41" s="26">
        <f>AD41+AE41</f>
        <v>73.612735179360598</v>
      </c>
      <c r="AG41" s="26">
        <f>AG32*AG62</f>
        <v>44.463905420955626</v>
      </c>
      <c r="AH41" s="26">
        <f>AH32*AH62</f>
        <v>47.14736827509455</v>
      </c>
      <c r="AI41" s="26">
        <f>AG41+AH41</f>
        <v>91.611273696050176</v>
      </c>
    </row>
    <row r="42" spans="1:35" ht="12.9" customHeight="1" x14ac:dyDescent="0.3">
      <c r="B42" s="227"/>
      <c r="C42" s="2"/>
      <c r="D42" s="2"/>
      <c r="E42" s="2"/>
      <c r="F42" s="9"/>
      <c r="G42" s="2"/>
      <c r="H42" s="2"/>
      <c r="I42" s="9"/>
      <c r="J42" s="2"/>
      <c r="K42" s="2"/>
      <c r="L42" s="9"/>
      <c r="M42" s="2"/>
      <c r="N42" s="2"/>
    </row>
    <row r="43" spans="1:35" ht="12.9" customHeight="1" x14ac:dyDescent="0.3">
      <c r="B43" s="227" t="s">
        <v>86</v>
      </c>
      <c r="C43" s="26">
        <f t="shared" ref="C43:AI43" si="52">C32-C41</f>
        <v>16.863200000000006</v>
      </c>
      <c r="D43" s="26">
        <f t="shared" si="52"/>
        <v>36.660000000000011</v>
      </c>
      <c r="E43" s="26">
        <f t="shared" si="52"/>
        <v>53.523200000000024</v>
      </c>
      <c r="F43" s="26">
        <f t="shared" si="52"/>
        <v>23.63839999999999</v>
      </c>
      <c r="G43" s="26">
        <f t="shared" si="52"/>
        <v>38.415999999999997</v>
      </c>
      <c r="H43" s="26">
        <f t="shared" si="52"/>
        <v>62.054400000000015</v>
      </c>
      <c r="I43" s="26">
        <f t="shared" si="52"/>
        <v>18.086300000000037</v>
      </c>
      <c r="J43" s="26">
        <f t="shared" si="52"/>
        <v>33.343699999999956</v>
      </c>
      <c r="K43" s="26">
        <f t="shared" si="52"/>
        <v>51.43</v>
      </c>
      <c r="L43" s="26">
        <f t="shared" si="52"/>
        <v>40.279900000000026</v>
      </c>
      <c r="M43" s="26">
        <f t="shared" si="52"/>
        <v>63.195099999999933</v>
      </c>
      <c r="N43" s="26">
        <f t="shared" si="52"/>
        <v>103.47499999999995</v>
      </c>
      <c r="O43" s="26">
        <f t="shared" si="52"/>
        <v>56.553400000000025</v>
      </c>
      <c r="P43" s="26">
        <f t="shared" si="52"/>
        <v>61.749300000000076</v>
      </c>
      <c r="Q43" s="26">
        <f t="shared" si="52"/>
        <v>118.30270000000009</v>
      </c>
      <c r="R43" s="26">
        <f t="shared" si="52"/>
        <v>58.313899999999997</v>
      </c>
      <c r="S43" s="26">
        <f t="shared" si="52"/>
        <v>52.078499999999977</v>
      </c>
      <c r="T43" s="26">
        <f t="shared" si="52"/>
        <v>110.39239999999999</v>
      </c>
      <c r="U43" s="26">
        <f t="shared" si="52"/>
        <v>55.045839354896955</v>
      </c>
      <c r="V43" s="26">
        <f t="shared" si="52"/>
        <v>60.785794157786221</v>
      </c>
      <c r="W43" s="26">
        <f t="shared" si="52"/>
        <v>115.83163351268308</v>
      </c>
      <c r="X43" s="26">
        <f t="shared" si="52"/>
        <v>71.427912484576382</v>
      </c>
      <c r="Y43" s="26">
        <f t="shared" si="52"/>
        <v>73.792529633782735</v>
      </c>
      <c r="Z43" s="26">
        <f t="shared" si="52"/>
        <v>145.22044211835907</v>
      </c>
      <c r="AA43" s="26">
        <f t="shared" si="52"/>
        <v>83.269792027584188</v>
      </c>
      <c r="AB43" s="26">
        <f t="shared" si="52"/>
        <v>92.364387601396231</v>
      </c>
      <c r="AC43" s="26">
        <f t="shared" si="52"/>
        <v>175.63417962898026</v>
      </c>
      <c r="AD43" s="26">
        <f t="shared" si="52"/>
        <v>107.6281438205789</v>
      </c>
      <c r="AE43" s="26">
        <f t="shared" si="52"/>
        <v>111.2445595703108</v>
      </c>
      <c r="AF43" s="26">
        <f t="shared" si="52"/>
        <v>218.87270339088968</v>
      </c>
      <c r="AG43" s="26">
        <f t="shared" si="52"/>
        <v>132.20450454787633</v>
      </c>
      <c r="AH43" s="26">
        <f t="shared" si="52"/>
        <v>140.18324311673058</v>
      </c>
      <c r="AI43" s="26">
        <f t="shared" si="52"/>
        <v>272.38774766460699</v>
      </c>
    </row>
    <row r="44" spans="1:35" s="176" customFormat="1" ht="12.9" hidden="1" customHeight="1" outlineLevel="1" x14ac:dyDescent="0.3">
      <c r="A44" s="194"/>
      <c r="B44" s="178" t="s">
        <v>118</v>
      </c>
      <c r="C44" s="176">
        <v>16.863200000000006</v>
      </c>
      <c r="E44" s="176">
        <v>53.523200000000024</v>
      </c>
      <c r="F44" s="176">
        <v>23.63839999999999</v>
      </c>
      <c r="H44" s="176">
        <v>62.054400000000015</v>
      </c>
      <c r="I44" s="176">
        <v>18.086300000000037</v>
      </c>
      <c r="K44" s="176">
        <v>51.43</v>
      </c>
      <c r="L44" s="176">
        <v>40.279900000000026</v>
      </c>
      <c r="N44" s="176">
        <v>103.47499999999995</v>
      </c>
      <c r="O44" s="176">
        <v>56.553400000000025</v>
      </c>
      <c r="Q44" s="176">
        <v>118.30270000000009</v>
      </c>
      <c r="R44" s="176">
        <v>58.313899999999997</v>
      </c>
      <c r="S44" s="177"/>
      <c r="T44" s="176">
        <v>110.39239999999999</v>
      </c>
      <c r="U44" s="177"/>
      <c r="V44" s="177"/>
      <c r="W44" s="177"/>
      <c r="X44" s="177"/>
      <c r="Y44" s="177"/>
      <c r="Z44" s="177"/>
      <c r="AA44" s="177"/>
      <c r="AB44" s="177"/>
      <c r="AC44" s="177"/>
      <c r="AD44" s="177"/>
      <c r="AE44" s="177"/>
      <c r="AF44" s="177"/>
      <c r="AG44" s="177"/>
      <c r="AH44" s="177"/>
      <c r="AI44" s="177"/>
    </row>
    <row r="45" spans="1:35" s="176" customFormat="1" ht="12.9" hidden="1" customHeight="1" outlineLevel="1" x14ac:dyDescent="0.3">
      <c r="A45" s="194"/>
      <c r="B45" s="178" t="s">
        <v>136</v>
      </c>
      <c r="C45" s="177">
        <f>C43-C44</f>
        <v>0</v>
      </c>
      <c r="D45" s="177"/>
      <c r="E45" s="177">
        <f t="shared" ref="E45:T45" si="53">E43-E44</f>
        <v>0</v>
      </c>
      <c r="F45" s="177">
        <f t="shared" si="53"/>
        <v>0</v>
      </c>
      <c r="G45" s="177"/>
      <c r="H45" s="177">
        <f t="shared" si="53"/>
        <v>0</v>
      </c>
      <c r="I45" s="177">
        <f t="shared" si="53"/>
        <v>0</v>
      </c>
      <c r="J45" s="177"/>
      <c r="K45" s="177">
        <f t="shared" si="53"/>
        <v>0</v>
      </c>
      <c r="L45" s="177">
        <f t="shared" si="53"/>
        <v>0</v>
      </c>
      <c r="M45" s="177"/>
      <c r="N45" s="177">
        <f t="shared" si="53"/>
        <v>0</v>
      </c>
      <c r="O45" s="177">
        <f t="shared" si="53"/>
        <v>0</v>
      </c>
      <c r="P45" s="177"/>
      <c r="Q45" s="177">
        <f t="shared" si="53"/>
        <v>0</v>
      </c>
      <c r="R45" s="177">
        <f t="shared" si="53"/>
        <v>0</v>
      </c>
      <c r="S45" s="177"/>
      <c r="T45" s="176">
        <f t="shared" si="53"/>
        <v>0</v>
      </c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177"/>
      <c r="AI45" s="177"/>
    </row>
    <row r="46" spans="1:35" s="181" customFormat="1" ht="12.9" customHeight="1" collapsed="1" x14ac:dyDescent="0.3">
      <c r="A46" s="179"/>
      <c r="B46" s="233" t="s">
        <v>101</v>
      </c>
      <c r="C46" s="180">
        <f t="shared" ref="C46:AI46" si="54">C43/C8</f>
        <v>0.14425826739860001</v>
      </c>
      <c r="D46" s="180">
        <f t="shared" si="54"/>
        <v>0.22597031319633351</v>
      </c>
      <c r="E46" s="180">
        <f t="shared" si="54"/>
        <v>0.19175035539047106</v>
      </c>
      <c r="F46" s="180">
        <f t="shared" si="54"/>
        <v>0.16758796659640818</v>
      </c>
      <c r="G46" s="180">
        <f t="shared" si="54"/>
        <v>0.26099439571332195</v>
      </c>
      <c r="H46" s="180">
        <f t="shared" si="54"/>
        <v>0.21528606557832045</v>
      </c>
      <c r="I46" s="180">
        <f t="shared" si="54"/>
        <v>0.11841093924518394</v>
      </c>
      <c r="J46" s="180">
        <f t="shared" si="54"/>
        <v>0.12894113334181487</v>
      </c>
      <c r="K46" s="180">
        <f t="shared" si="54"/>
        <v>0.12503096601068561</v>
      </c>
      <c r="L46" s="180">
        <f t="shared" si="54"/>
        <v>0.15196475676524035</v>
      </c>
      <c r="M46" s="180">
        <f t="shared" si="54"/>
        <v>0.22148563193313398</v>
      </c>
      <c r="N46" s="180">
        <f t="shared" si="54"/>
        <v>0.18800493109816854</v>
      </c>
      <c r="O46" s="180">
        <f t="shared" si="54"/>
        <v>0.16675842005675054</v>
      </c>
      <c r="P46" s="180">
        <f t="shared" si="54"/>
        <v>0.15686254087680948</v>
      </c>
      <c r="Q46" s="180">
        <f t="shared" si="54"/>
        <v>0.16144235834199899</v>
      </c>
      <c r="R46" s="180">
        <f t="shared" si="54"/>
        <v>0.14309731095167211</v>
      </c>
      <c r="S46" s="180">
        <f t="shared" si="54"/>
        <v>0.12555828393914295</v>
      </c>
      <c r="T46" s="180">
        <f t="shared" si="54"/>
        <v>0.13425033598337904</v>
      </c>
      <c r="U46" s="180">
        <f t="shared" si="54"/>
        <v>0.12806713803781991</v>
      </c>
      <c r="V46" s="180">
        <f t="shared" si="54"/>
        <v>0.13037990393321436</v>
      </c>
      <c r="W46" s="180">
        <f t="shared" si="54"/>
        <v>0.12927049742955363</v>
      </c>
      <c r="X46" s="180">
        <f t="shared" si="54"/>
        <v>0.13401602793056291</v>
      </c>
      <c r="Y46" s="180">
        <f t="shared" si="54"/>
        <v>0.13492876833478942</v>
      </c>
      <c r="Z46" s="180">
        <f t="shared" si="54"/>
        <v>0.13447828068913145</v>
      </c>
      <c r="AA46" s="180">
        <f t="shared" si="54"/>
        <v>0.13748793689211392</v>
      </c>
      <c r="AB46" s="180">
        <f t="shared" si="54"/>
        <v>0.13952546375736383</v>
      </c>
      <c r="AC46" s="180">
        <f t="shared" si="54"/>
        <v>0.13855197728682678</v>
      </c>
      <c r="AD46" s="180">
        <f t="shared" si="54"/>
        <v>0.14548960217670789</v>
      </c>
      <c r="AE46" s="180">
        <f t="shared" si="54"/>
        <v>0.14616938891165251</v>
      </c>
      <c r="AF46" s="180">
        <f t="shared" si="54"/>
        <v>0.14583431955079845</v>
      </c>
      <c r="AG46" s="180">
        <f t="shared" si="54"/>
        <v>0.15210890475415126</v>
      </c>
      <c r="AH46" s="180">
        <f t="shared" si="54"/>
        <v>0.15300157075145843</v>
      </c>
      <c r="AI46" s="180">
        <f t="shared" si="54"/>
        <v>0.1525670068338828</v>
      </c>
    </row>
    <row r="47" spans="1:35" ht="12.9" customHeight="1" x14ac:dyDescent="0.3">
      <c r="B47" s="225"/>
      <c r="C47" s="2"/>
      <c r="E47" s="25"/>
      <c r="H47" s="25"/>
      <c r="P47" s="24"/>
      <c r="Q47" s="24"/>
    </row>
    <row r="48" spans="1:35" ht="12.9" customHeight="1" x14ac:dyDescent="0.3">
      <c r="B48" s="235" t="s">
        <v>105</v>
      </c>
      <c r="C48" s="66">
        <v>2.0002500000000003</v>
      </c>
      <c r="D48" s="66">
        <v>2.0002500000000003</v>
      </c>
      <c r="E48" s="66">
        <v>2.0002500000000003</v>
      </c>
      <c r="F48" s="66">
        <v>2.0002500000000003</v>
      </c>
      <c r="G48" s="66">
        <v>2.0002500000000003</v>
      </c>
      <c r="H48" s="66">
        <v>2.0002500000000003</v>
      </c>
      <c r="I48" s="66">
        <v>2.0002500000000003</v>
      </c>
      <c r="J48" s="66">
        <v>2.0002500000000003</v>
      </c>
      <c r="K48" s="66">
        <v>2.0002500000000003</v>
      </c>
      <c r="L48" s="66">
        <v>2.0002500000000003</v>
      </c>
      <c r="M48" s="66">
        <v>2.0002500000000003</v>
      </c>
      <c r="N48" s="66">
        <v>2.0002500000000003</v>
      </c>
      <c r="O48" s="66">
        <v>2.0002500000000003</v>
      </c>
      <c r="P48" s="66">
        <v>2.00265</v>
      </c>
      <c r="Q48" s="66">
        <v>2.00265</v>
      </c>
      <c r="R48" s="66">
        <v>2.00265</v>
      </c>
      <c r="S48" s="66">
        <v>2.0031500000000002</v>
      </c>
      <c r="T48" s="66">
        <v>2.0031500000000002</v>
      </c>
      <c r="U48" s="134">
        <f t="shared" ref="U48:AI48" si="55">T48</f>
        <v>2.0031500000000002</v>
      </c>
      <c r="V48" s="134">
        <f t="shared" si="55"/>
        <v>2.0031500000000002</v>
      </c>
      <c r="W48" s="134">
        <f t="shared" si="55"/>
        <v>2.0031500000000002</v>
      </c>
      <c r="X48" s="134">
        <f t="shared" si="55"/>
        <v>2.0031500000000002</v>
      </c>
      <c r="Y48" s="134">
        <f t="shared" si="55"/>
        <v>2.0031500000000002</v>
      </c>
      <c r="Z48" s="134">
        <f t="shared" si="55"/>
        <v>2.0031500000000002</v>
      </c>
      <c r="AA48" s="134">
        <f t="shared" si="55"/>
        <v>2.0031500000000002</v>
      </c>
      <c r="AB48" s="134">
        <f t="shared" si="55"/>
        <v>2.0031500000000002</v>
      </c>
      <c r="AC48" s="134">
        <f t="shared" si="55"/>
        <v>2.0031500000000002</v>
      </c>
      <c r="AD48" s="134">
        <f t="shared" si="55"/>
        <v>2.0031500000000002</v>
      </c>
      <c r="AE48" s="134">
        <f t="shared" si="55"/>
        <v>2.0031500000000002</v>
      </c>
      <c r="AF48" s="134">
        <f t="shared" si="55"/>
        <v>2.0031500000000002</v>
      </c>
      <c r="AG48" s="134">
        <f t="shared" si="55"/>
        <v>2.0031500000000002</v>
      </c>
      <c r="AH48" s="134">
        <f t="shared" si="55"/>
        <v>2.0031500000000002</v>
      </c>
      <c r="AI48" s="134">
        <f t="shared" si="55"/>
        <v>2.0031500000000002</v>
      </c>
    </row>
    <row r="49" spans="2:35" ht="12.9" customHeight="1" x14ac:dyDescent="0.3">
      <c r="B49" s="235" t="s">
        <v>106</v>
      </c>
      <c r="C49" s="2">
        <f>C43/C48</f>
        <v>8.4305461817272853</v>
      </c>
      <c r="D49" s="2">
        <f t="shared" ref="D49:AI49" si="56">D43/D48</f>
        <v>18.327709036370457</v>
      </c>
      <c r="E49" s="2">
        <f t="shared" si="56"/>
        <v>26.758255218097744</v>
      </c>
      <c r="F49" s="2">
        <f t="shared" si="56"/>
        <v>11.817722784651911</v>
      </c>
      <c r="G49" s="2">
        <f t="shared" si="56"/>
        <v>19.205599300087485</v>
      </c>
      <c r="H49" s="2">
        <f t="shared" si="56"/>
        <v>31.023322084739412</v>
      </c>
      <c r="I49" s="2">
        <f t="shared" si="56"/>
        <v>9.042019747531576</v>
      </c>
      <c r="J49" s="2">
        <f t="shared" si="56"/>
        <v>16.669766279215075</v>
      </c>
      <c r="K49" s="2">
        <f t="shared" si="56"/>
        <v>25.711786026746651</v>
      </c>
      <c r="L49" s="2">
        <f t="shared" si="56"/>
        <v>20.137432820897398</v>
      </c>
      <c r="M49" s="2">
        <f t="shared" si="56"/>
        <v>31.593600799899974</v>
      </c>
      <c r="N49" s="2">
        <f t="shared" si="56"/>
        <v>51.731033620797369</v>
      </c>
      <c r="O49" s="2">
        <f t="shared" si="56"/>
        <v>28.273165854268225</v>
      </c>
      <c r="P49" s="2">
        <f t="shared" si="56"/>
        <v>30.833795221331773</v>
      </c>
      <c r="Q49" s="2">
        <f t="shared" si="56"/>
        <v>59.073078171422907</v>
      </c>
      <c r="R49" s="2">
        <f t="shared" si="56"/>
        <v>29.118368162185103</v>
      </c>
      <c r="S49" s="2">
        <f t="shared" si="56"/>
        <v>25.998302673289555</v>
      </c>
      <c r="T49" s="2">
        <f t="shared" si="56"/>
        <v>55.109402690762039</v>
      </c>
      <c r="U49" s="2">
        <f t="shared" si="56"/>
        <v>27.479639245636598</v>
      </c>
      <c r="V49" s="2">
        <f t="shared" si="56"/>
        <v>30.345103540816321</v>
      </c>
      <c r="W49" s="2">
        <f t="shared" si="56"/>
        <v>57.824742786452873</v>
      </c>
      <c r="X49" s="2">
        <f t="shared" si="56"/>
        <v>35.657795214824837</v>
      </c>
      <c r="Y49" s="2">
        <f t="shared" si="56"/>
        <v>36.838244581675227</v>
      </c>
      <c r="Z49" s="2">
        <f t="shared" si="56"/>
        <v>72.496039796500042</v>
      </c>
      <c r="AA49" s="2">
        <f t="shared" si="56"/>
        <v>41.569424170723202</v>
      </c>
      <c r="AB49" s="2">
        <f t="shared" si="56"/>
        <v>46.109571226017131</v>
      </c>
      <c r="AC49" s="2">
        <f t="shared" si="56"/>
        <v>87.678995396740262</v>
      </c>
      <c r="AD49" s="2">
        <f t="shared" si="56"/>
        <v>53.729448029642754</v>
      </c>
      <c r="AE49" s="2">
        <f t="shared" si="56"/>
        <v>55.534812455537924</v>
      </c>
      <c r="AF49" s="2">
        <f t="shared" si="56"/>
        <v>109.26426048518067</v>
      </c>
      <c r="AG49" s="2">
        <f t="shared" si="56"/>
        <v>65.998304943651902</v>
      </c>
      <c r="AH49" s="2">
        <f t="shared" si="56"/>
        <v>69.981400852023341</v>
      </c>
      <c r="AI49" s="2">
        <f t="shared" si="56"/>
        <v>135.9797057956753</v>
      </c>
    </row>
    <row r="50" spans="2:35" ht="12.9" customHeight="1" x14ac:dyDescent="0.3">
      <c r="B50" s="235" t="s">
        <v>107</v>
      </c>
      <c r="C50" s="66">
        <v>275.14999999999998</v>
      </c>
      <c r="D50" s="66">
        <v>331.9</v>
      </c>
      <c r="E50" s="66">
        <v>331.9</v>
      </c>
      <c r="F50" s="66">
        <v>505.85</v>
      </c>
      <c r="G50" s="66">
        <v>400.45</v>
      </c>
      <c r="H50" s="66">
        <v>400.45</v>
      </c>
      <c r="I50" s="66">
        <v>424.93</v>
      </c>
      <c r="J50" s="66">
        <v>699.45</v>
      </c>
      <c r="K50" s="66">
        <v>699.45</v>
      </c>
      <c r="L50" s="66">
        <v>1196.93</v>
      </c>
      <c r="M50" s="66">
        <v>1949.25</v>
      </c>
      <c r="N50" s="66">
        <v>1949.25</v>
      </c>
      <c r="O50" s="66">
        <v>3148.85</v>
      </c>
      <c r="P50" s="66">
        <v>2991.2</v>
      </c>
      <c r="Q50" s="66">
        <v>2991.2</v>
      </c>
      <c r="R50" s="66">
        <v>2447.3000000000002</v>
      </c>
      <c r="S50" s="66">
        <v>1840.1</v>
      </c>
      <c r="T50" s="66">
        <v>1840.1</v>
      </c>
    </row>
    <row r="51" spans="2:35" ht="12.9" customHeight="1" x14ac:dyDescent="0.3">
      <c r="B51" s="235" t="s">
        <v>108</v>
      </c>
      <c r="C51" s="23">
        <f>C48*C50</f>
        <v>550.36878750000005</v>
      </c>
      <c r="D51" s="23">
        <f t="shared" ref="D51:T51" si="57">D48*D50</f>
        <v>663.8829750000001</v>
      </c>
      <c r="E51" s="23">
        <f t="shared" si="57"/>
        <v>663.8829750000001</v>
      </c>
      <c r="F51" s="23">
        <f t="shared" si="57"/>
        <v>1011.8264625000002</v>
      </c>
      <c r="G51" s="23">
        <f t="shared" si="57"/>
        <v>801.00011250000011</v>
      </c>
      <c r="H51" s="23">
        <f t="shared" si="57"/>
        <v>801.00011250000011</v>
      </c>
      <c r="I51" s="23">
        <f t="shared" si="57"/>
        <v>849.96623250000016</v>
      </c>
      <c r="J51" s="23">
        <f t="shared" si="57"/>
        <v>1399.0748625000003</v>
      </c>
      <c r="K51" s="23">
        <f t="shared" si="57"/>
        <v>1399.0748625000003</v>
      </c>
      <c r="L51" s="23">
        <f t="shared" si="57"/>
        <v>2394.1592325000006</v>
      </c>
      <c r="M51" s="23">
        <f t="shared" si="57"/>
        <v>3898.9873125000004</v>
      </c>
      <c r="N51" s="23">
        <f t="shared" si="57"/>
        <v>3898.9873125000004</v>
      </c>
      <c r="O51" s="23">
        <f t="shared" si="57"/>
        <v>6298.4872125000011</v>
      </c>
      <c r="P51" s="23">
        <f t="shared" si="57"/>
        <v>5990.3266800000001</v>
      </c>
      <c r="Q51" s="23">
        <f t="shared" si="57"/>
        <v>5990.3266800000001</v>
      </c>
      <c r="R51" s="23">
        <f t="shared" si="57"/>
        <v>4901.0853450000004</v>
      </c>
      <c r="S51" s="23">
        <f t="shared" si="57"/>
        <v>3685.9963150000003</v>
      </c>
      <c r="T51" s="23">
        <f t="shared" si="57"/>
        <v>3685.9963150000003</v>
      </c>
    </row>
    <row r="52" spans="2:35" s="262" customFormat="1" ht="12.9" customHeight="1" x14ac:dyDescent="0.3">
      <c r="B52" s="263" t="s">
        <v>109</v>
      </c>
      <c r="C52" s="264" t="s">
        <v>1001</v>
      </c>
      <c r="D52" s="264" t="str">
        <f>E52</f>
        <v>14/05/2021</v>
      </c>
      <c r="E52" s="264" t="s">
        <v>1000</v>
      </c>
      <c r="F52" s="264" t="s">
        <v>999</v>
      </c>
      <c r="G52" s="264" t="str">
        <f>H52</f>
        <v>17/05/2022</v>
      </c>
      <c r="H52" s="264" t="s">
        <v>998</v>
      </c>
      <c r="I52" s="264" t="s">
        <v>997</v>
      </c>
      <c r="J52" s="264" t="str">
        <f>K52</f>
        <v>17/05/2023</v>
      </c>
      <c r="K52" s="264" t="s">
        <v>996</v>
      </c>
      <c r="L52" s="264" t="s">
        <v>995</v>
      </c>
      <c r="M52" s="264">
        <f>N52</f>
        <v>45387</v>
      </c>
      <c r="N52" s="264">
        <v>45387</v>
      </c>
      <c r="O52" s="264" t="s">
        <v>994</v>
      </c>
      <c r="P52" s="264" t="str">
        <f>Q52</f>
        <v>13/05/2025</v>
      </c>
      <c r="Q52" s="264" t="s">
        <v>993</v>
      </c>
      <c r="R52" s="264">
        <v>45941</v>
      </c>
      <c r="S52" s="264" t="str">
        <f>T52</f>
        <v>28/05/2026</v>
      </c>
      <c r="T52" s="264" t="s">
        <v>992</v>
      </c>
    </row>
    <row r="53" spans="2:35" ht="12.9" customHeight="1" x14ac:dyDescent="0.3">
      <c r="B53" s="235" t="s">
        <v>110</v>
      </c>
      <c r="C53" s="66">
        <v>7</v>
      </c>
      <c r="D53" s="66"/>
      <c r="E53" s="66">
        <v>7</v>
      </c>
      <c r="F53" s="66">
        <v>7</v>
      </c>
      <c r="G53" s="66"/>
      <c r="H53" s="66">
        <v>7</v>
      </c>
      <c r="I53" s="66">
        <v>8</v>
      </c>
      <c r="J53" s="23"/>
      <c r="K53" s="66">
        <v>8</v>
      </c>
      <c r="L53" s="66">
        <v>15</v>
      </c>
      <c r="M53" s="23"/>
      <c r="N53" s="66">
        <v>15</v>
      </c>
      <c r="O53" s="66">
        <v>15</v>
      </c>
      <c r="P53" s="23"/>
      <c r="Q53" s="66">
        <v>15</v>
      </c>
      <c r="R53" s="66">
        <v>17</v>
      </c>
      <c r="T53" s="2">
        <f>SUM(R53:S53)</f>
        <v>17</v>
      </c>
      <c r="U53" s="2">
        <f>U56/U48</f>
        <v>23.129897114581151</v>
      </c>
      <c r="W53" s="2">
        <f>W49*W55</f>
        <v>23.129897114581151</v>
      </c>
      <c r="X53" s="2">
        <f>X56/X48</f>
        <v>32.623217908425019</v>
      </c>
      <c r="Z53" s="2">
        <f>Z49*Z55</f>
        <v>32.623217908425019</v>
      </c>
      <c r="AA53" s="2">
        <f>AA56/AA48</f>
        <v>43.839497698370131</v>
      </c>
      <c r="AC53" s="2">
        <f>AC49*AC55</f>
        <v>43.839497698370131</v>
      </c>
      <c r="AD53" s="2">
        <f>AD56/AD48</f>
        <v>60.095343266849376</v>
      </c>
      <c r="AF53" s="2">
        <f>AF49*AF55</f>
        <v>60.095343266849376</v>
      </c>
      <c r="AG53" s="2">
        <f>AG56/AG48</f>
        <v>81.587823477405195</v>
      </c>
      <c r="AI53" s="2">
        <f>AI49*AI55</f>
        <v>81.587823477405195</v>
      </c>
    </row>
    <row r="54" spans="2:35" ht="12.9" customHeight="1" x14ac:dyDescent="0.3">
      <c r="B54" s="235" t="s">
        <v>111</v>
      </c>
      <c r="C54" s="50">
        <f>C53/C50</f>
        <v>2.5440668726149376E-2</v>
      </c>
      <c r="E54" s="50">
        <f>E53/E50</f>
        <v>2.1090689966857489E-2</v>
      </c>
      <c r="F54" s="50">
        <f>F53/F50</f>
        <v>1.3838094296728278E-2</v>
      </c>
      <c r="H54" s="50">
        <f>H53/H50</f>
        <v>1.7480334623548508E-2</v>
      </c>
      <c r="I54" s="50">
        <f>I53/I50</f>
        <v>1.8826630268514815E-2</v>
      </c>
      <c r="J54" s="23"/>
      <c r="K54" s="50">
        <f>K53/K50</f>
        <v>1.1437558081349631E-2</v>
      </c>
      <c r="L54" s="50">
        <f>L53/L50</f>
        <v>1.2532061189877436E-2</v>
      </c>
      <c r="M54" s="23"/>
      <c r="N54" s="50">
        <f>N53/N50</f>
        <v>7.6952674105425162E-3</v>
      </c>
      <c r="O54" s="50">
        <f>O53/O50</f>
        <v>4.7636438699842805E-3</v>
      </c>
      <c r="P54" s="23"/>
      <c r="Q54" s="50">
        <f>Q53/Q50</f>
        <v>5.0147098154586789E-3</v>
      </c>
      <c r="R54" s="50">
        <f>R53/R50</f>
        <v>6.9464307604298605E-3</v>
      </c>
      <c r="T54" s="50">
        <f>T53/T50</f>
        <v>9.2386283354165544E-3</v>
      </c>
    </row>
    <row r="55" spans="2:35" ht="12.9" customHeight="1" x14ac:dyDescent="0.3">
      <c r="B55" s="235" t="s">
        <v>112</v>
      </c>
      <c r="C55" s="50"/>
      <c r="D55" s="23"/>
      <c r="E55" s="50">
        <f>E53/E49</f>
        <v>0.26160151112041125</v>
      </c>
      <c r="F55" s="50"/>
      <c r="G55" s="23"/>
      <c r="H55" s="50">
        <f>H53/H49</f>
        <v>0.22563669941212869</v>
      </c>
      <c r="I55" s="50"/>
      <c r="J55" s="23"/>
      <c r="K55" s="50">
        <f>K53/K49</f>
        <v>0.31114135718452274</v>
      </c>
      <c r="L55" s="50">
        <f>L53/L49</f>
        <v>0.74488144210884299</v>
      </c>
      <c r="M55" s="23"/>
      <c r="N55" s="50">
        <f>N53/N49</f>
        <v>0.28996134331964263</v>
      </c>
      <c r="O55" s="50"/>
      <c r="P55" s="23"/>
      <c r="Q55" s="50">
        <f>Q53/Q49</f>
        <v>0.25392277606512764</v>
      </c>
      <c r="R55" s="50">
        <f>R53/R49</f>
        <v>0.58382392534198535</v>
      </c>
      <c r="T55" s="50">
        <f>T53/T49</f>
        <v>0.30847730459705563</v>
      </c>
      <c r="U55" s="73"/>
      <c r="V55" s="73"/>
      <c r="W55" s="73">
        <v>0.4</v>
      </c>
      <c r="X55" s="73"/>
      <c r="Y55" s="73"/>
      <c r="Z55" s="73">
        <f>W55+5%</f>
        <v>0.45</v>
      </c>
      <c r="AA55" s="73"/>
      <c r="AB55" s="73"/>
      <c r="AC55" s="73">
        <f>Z55+5%</f>
        <v>0.5</v>
      </c>
      <c r="AD55" s="73"/>
      <c r="AE55" s="73"/>
      <c r="AF55" s="73">
        <f>AC55+5%</f>
        <v>0.55000000000000004</v>
      </c>
      <c r="AG55" s="73"/>
      <c r="AH55" s="73"/>
      <c r="AI55" s="73">
        <f>AF55+5%</f>
        <v>0.60000000000000009</v>
      </c>
    </row>
    <row r="56" spans="2:35" ht="12.9" customHeight="1" x14ac:dyDescent="0.3">
      <c r="B56" s="235" t="s">
        <v>156</v>
      </c>
      <c r="C56" s="66">
        <v>5.9999999999999995E-4</v>
      </c>
      <c r="D56" s="20">
        <f t="shared" ref="D56" si="58">E56-C56</f>
        <v>7.0221999999999998</v>
      </c>
      <c r="E56" s="66">
        <v>7.0228000000000002</v>
      </c>
      <c r="F56" s="66">
        <v>6.7938000000000001</v>
      </c>
      <c r="G56" s="20">
        <f t="shared" ref="G56" si="59">H56-F56</f>
        <v>2.6000000000001577E-3</v>
      </c>
      <c r="H56" s="66">
        <v>6.7964000000000002</v>
      </c>
      <c r="I56" s="66">
        <v>7.8132999999999999</v>
      </c>
      <c r="J56" s="20">
        <f t="shared" ref="J56" si="60">K56-I56</f>
        <v>-3.3000000000003027E-3</v>
      </c>
      <c r="K56" s="66">
        <v>7.81</v>
      </c>
      <c r="L56" s="66">
        <v>14.6934</v>
      </c>
      <c r="M56" s="20">
        <f t="shared" ref="M56" si="61">N56-L56</f>
        <v>-2.5900000000000034E-2</v>
      </c>
      <c r="N56" s="66">
        <v>14.6675</v>
      </c>
      <c r="O56" s="66">
        <v>39.236899999999999</v>
      </c>
      <c r="P56" s="20"/>
      <c r="Q56" s="2">
        <f>SUM(O56:P56)</f>
        <v>39.236899999999999</v>
      </c>
      <c r="R56" s="66">
        <v>33.565800000000003</v>
      </c>
      <c r="T56" s="2">
        <f>SUM(R56:S56)</f>
        <v>33.565800000000003</v>
      </c>
      <c r="U56" s="2">
        <f>W56</f>
        <v>46.332653405073238</v>
      </c>
      <c r="V56" s="2">
        <f>V53*V48</f>
        <v>0</v>
      </c>
      <c r="W56" s="2">
        <f>W53*W48</f>
        <v>46.332653405073238</v>
      </c>
      <c r="X56" s="2">
        <f>Z56</f>
        <v>65.349198953261578</v>
      </c>
      <c r="Y56" s="2">
        <f>Y53*Y48</f>
        <v>0</v>
      </c>
      <c r="Z56" s="2">
        <f>Z53*Z48</f>
        <v>65.349198953261578</v>
      </c>
      <c r="AA56" s="2">
        <f>AC56</f>
        <v>87.817089814490132</v>
      </c>
      <c r="AB56" s="2">
        <f>AB53*AB48</f>
        <v>0</v>
      </c>
      <c r="AC56" s="2">
        <f>AC53*AC48</f>
        <v>87.817089814490132</v>
      </c>
      <c r="AD56" s="2">
        <f>AF56</f>
        <v>120.37998686498933</v>
      </c>
      <c r="AE56" s="2">
        <f>AE53*AE48</f>
        <v>0</v>
      </c>
      <c r="AF56" s="2">
        <f>AF53*AF48</f>
        <v>120.37998686498933</v>
      </c>
      <c r="AG56" s="2">
        <f>AI56</f>
        <v>163.43264859876425</v>
      </c>
      <c r="AH56" s="2">
        <f>AH53*AH48</f>
        <v>0</v>
      </c>
      <c r="AI56" s="2">
        <f>AI53*AI48</f>
        <v>163.43264859876425</v>
      </c>
    </row>
    <row r="57" spans="2:35" ht="12.9" customHeight="1" x14ac:dyDescent="0.3">
      <c r="B57" s="233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</row>
    <row r="58" spans="2:35" ht="12.9" customHeight="1" x14ac:dyDescent="0.3">
      <c r="B58" s="12" t="s">
        <v>909</v>
      </c>
      <c r="C58" s="12"/>
      <c r="D58" s="12"/>
      <c r="E58" s="19">
        <f t="shared" ref="E58:T58" si="62">E22/E8</f>
        <v>0.16094029440088045</v>
      </c>
      <c r="F58" s="19">
        <f t="shared" si="62"/>
        <v>0.19867182509551531</v>
      </c>
      <c r="G58" s="19">
        <f t="shared" si="62"/>
        <v>0.20190922129017488</v>
      </c>
      <c r="H58" s="19">
        <f t="shared" si="62"/>
        <v>0.20032500513458157</v>
      </c>
      <c r="I58" s="19">
        <f t="shared" si="62"/>
        <v>0.19691073432419939</v>
      </c>
      <c r="J58" s="19">
        <f t="shared" si="62"/>
        <v>0.21565544441277779</v>
      </c>
      <c r="K58" s="19">
        <f t="shared" si="62"/>
        <v>0.20869498838060466</v>
      </c>
      <c r="L58" s="19">
        <f t="shared" si="62"/>
        <v>0.19172393654587927</v>
      </c>
      <c r="M58" s="19">
        <f t="shared" si="62"/>
        <v>0.19933149612177328</v>
      </c>
      <c r="N58" s="19">
        <f t="shared" si="62"/>
        <v>0.19566775590518992</v>
      </c>
      <c r="O58" s="19">
        <f t="shared" si="62"/>
        <v>0.16603333729440628</v>
      </c>
      <c r="P58" s="19">
        <f t="shared" si="62"/>
        <v>0.18222705671985145</v>
      </c>
      <c r="Q58" s="19">
        <f t="shared" si="62"/>
        <v>0.17473259587382944</v>
      </c>
      <c r="R58" s="19">
        <f t="shared" si="62"/>
        <v>0.24204600500304041</v>
      </c>
      <c r="S58" s="19">
        <f t="shared" si="62"/>
        <v>0.25294454469948197</v>
      </c>
      <c r="T58" s="19">
        <f t="shared" si="62"/>
        <v>0.24754340846883638</v>
      </c>
      <c r="U58" s="73">
        <v>0.25</v>
      </c>
      <c r="V58" s="73">
        <f t="shared" ref="V58:AH58" si="63">U58</f>
        <v>0.25</v>
      </c>
      <c r="W58" s="19">
        <f>W22/W8</f>
        <v>0.25000000000000006</v>
      </c>
      <c r="X58" s="73">
        <f t="shared" si="63"/>
        <v>0.25000000000000006</v>
      </c>
      <c r="Y58" s="73">
        <f t="shared" si="63"/>
        <v>0.25000000000000006</v>
      </c>
      <c r="Z58" s="19">
        <f>Z22/Z8</f>
        <v>0.25000000000000006</v>
      </c>
      <c r="AA58" s="73">
        <f t="shared" si="63"/>
        <v>0.25000000000000006</v>
      </c>
      <c r="AB58" s="73">
        <f t="shared" si="63"/>
        <v>0.25000000000000006</v>
      </c>
      <c r="AC58" s="19">
        <f>AC22/AC8</f>
        <v>0.25000000000000011</v>
      </c>
      <c r="AD58" s="73">
        <f t="shared" si="63"/>
        <v>0.25000000000000011</v>
      </c>
      <c r="AE58" s="73">
        <f t="shared" si="63"/>
        <v>0.25000000000000011</v>
      </c>
      <c r="AF58" s="19">
        <f>AF22/AF8</f>
        <v>0.25000000000000011</v>
      </c>
      <c r="AG58" s="73">
        <f t="shared" si="63"/>
        <v>0.25000000000000011</v>
      </c>
      <c r="AH58" s="73">
        <f t="shared" si="63"/>
        <v>0.25000000000000011</v>
      </c>
      <c r="AI58" s="19">
        <f>AI22/AI8</f>
        <v>0.25000000000000011</v>
      </c>
    </row>
    <row r="59" spans="2:35" ht="12.9" customHeight="1" x14ac:dyDescent="0.3">
      <c r="B59" s="12" t="s">
        <v>153</v>
      </c>
      <c r="C59" s="21">
        <f>SUM('Balance Sheet'!C13,'Balance Sheet'!C19,'Balance Sheet'!B13,'Balance Sheet'!B19)/2</f>
        <v>0</v>
      </c>
      <c r="D59" s="21">
        <f>SUM('Balance Sheet'!D13,'Balance Sheet'!D19,'Balance Sheet'!C13,'Balance Sheet'!C19)/2</f>
        <v>0</v>
      </c>
      <c r="E59" s="21">
        <f>SUM('Balance Sheet'!E13,'Balance Sheet'!E19,'Balance Sheet'!D13,'Balance Sheet'!D19)/2</f>
        <v>0</v>
      </c>
      <c r="F59" s="21">
        <f>SUM('Balance Sheet'!F13,'Balance Sheet'!F19,'Balance Sheet'!E13,'Balance Sheet'!E19)/2</f>
        <v>0</v>
      </c>
      <c r="G59" s="21">
        <f>SUM('Balance Sheet'!G13,'Balance Sheet'!G19,'Balance Sheet'!F13,'Balance Sheet'!F19)/2</f>
        <v>0</v>
      </c>
      <c r="H59" s="21">
        <f>SUM('Balance Sheet'!H13,'Balance Sheet'!H19,'Balance Sheet'!G13,'Balance Sheet'!G19)/2</f>
        <v>0</v>
      </c>
      <c r="I59" s="21">
        <f>SUM('Balance Sheet'!I13,'Balance Sheet'!I19,'Balance Sheet'!H13,'Balance Sheet'!H19)/2</f>
        <v>0</v>
      </c>
      <c r="J59" s="21">
        <f>SUM('Balance Sheet'!J13,'Balance Sheet'!J19,'Balance Sheet'!I13,'Balance Sheet'!I19)/2</f>
        <v>17.170249999999999</v>
      </c>
      <c r="K59" s="21">
        <f>SUM('Balance Sheet'!K13,'Balance Sheet'!K19,'Balance Sheet'!J13,'Balance Sheet'!J19)/2</f>
        <v>34.340499999999999</v>
      </c>
      <c r="L59" s="21">
        <f>SUM('Balance Sheet'!L13,'Balance Sheet'!L19,'Balance Sheet'!K13,'Balance Sheet'!K19)/2</f>
        <v>39.58475</v>
      </c>
      <c r="M59" s="21">
        <f>SUM('Balance Sheet'!M13,'Balance Sheet'!M19,'Balance Sheet'!L13,'Balance Sheet'!L19)/2</f>
        <v>32.051300000000005</v>
      </c>
      <c r="N59" s="21">
        <f>SUM('Balance Sheet'!N13,'Balance Sheet'!N19,'Balance Sheet'!M13,'Balance Sheet'!M19)/2</f>
        <v>19.273599999999998</v>
      </c>
      <c r="O59" s="21">
        <f>SUM('Balance Sheet'!O13,'Balance Sheet'!O19,'Balance Sheet'!N13,'Balance Sheet'!N19)/2</f>
        <v>18.581150000000001</v>
      </c>
      <c r="P59" s="21">
        <f>SUM('Balance Sheet'!P13,'Balance Sheet'!P19,'Balance Sheet'!O13,'Balance Sheet'!O19)/2</f>
        <v>23.664899999999999</v>
      </c>
      <c r="Q59" s="21">
        <f>SUM('Balance Sheet'!Q13,'Balance Sheet'!Q19,'Balance Sheet'!P13,'Balance Sheet'!P19)/2</f>
        <v>29.441099999999999</v>
      </c>
      <c r="R59" s="21">
        <f>SUM('Balance Sheet'!R13,'Balance Sheet'!R19,'Balance Sheet'!Q13,'Balance Sheet'!Q19)/2</f>
        <v>92.148049999999998</v>
      </c>
      <c r="S59" s="21">
        <f>SUM('Balance Sheet'!S13,'Balance Sheet'!S19,'Balance Sheet'!R13,'Balance Sheet'!R19)/2</f>
        <v>131.32825</v>
      </c>
      <c r="T59" s="21">
        <f>SUM('Balance Sheet'!T13,'Balance Sheet'!T19,'Balance Sheet'!S13,'Balance Sheet'!S19)/2</f>
        <v>107.8015</v>
      </c>
      <c r="U59" s="21">
        <f>SUM('Balance Sheet'!U13,'Balance Sheet'!U19,'Balance Sheet'!T13,'Balance Sheet'!T19)/2</f>
        <v>107.8015</v>
      </c>
      <c r="V59" s="21">
        <f>SUM('Balance Sheet'!V13,'Balance Sheet'!V19,'Balance Sheet'!U13,'Balance Sheet'!U19)/2</f>
        <v>105.86150000000001</v>
      </c>
      <c r="W59" s="21">
        <f>SUM('Balance Sheet'!W13,'Balance Sheet'!W19,'Balance Sheet'!T13,'Balance Sheet'!T19)/2</f>
        <v>105.86150000000001</v>
      </c>
      <c r="X59" s="21">
        <f>SUM('Balance Sheet'!X13,'Balance Sheet'!X19,'Balance Sheet'!W13,'Balance Sheet'!W19)/2</f>
        <v>101.42150000000001</v>
      </c>
      <c r="Y59" s="21">
        <f>SUM('Balance Sheet'!Y13,'Balance Sheet'!Y19,'Balance Sheet'!X13,'Balance Sheet'!X19)/2</f>
        <v>96.421500000000009</v>
      </c>
      <c r="Z59" s="21">
        <f>SUM('Balance Sheet'!Z13,'Balance Sheet'!Z19,'Balance Sheet'!W13,'Balance Sheet'!W19)/2</f>
        <v>98.921500000000009</v>
      </c>
      <c r="AA59" s="21">
        <f>SUM('Balance Sheet'!AA13,'Balance Sheet'!AA19,'Balance Sheet'!Z13,'Balance Sheet'!Z19)/2</f>
        <v>91.421500000000009</v>
      </c>
      <c r="AB59" s="21">
        <f>SUM('Balance Sheet'!AB13,'Balance Sheet'!AB19,'Balance Sheet'!AA13,'Balance Sheet'!AA19)/2</f>
        <v>86.421500000000009</v>
      </c>
      <c r="AC59" s="21">
        <f>SUM('Balance Sheet'!AC13,'Balance Sheet'!AC19,'Balance Sheet'!Z13,'Balance Sheet'!Z19)/2</f>
        <v>88.921500000000009</v>
      </c>
      <c r="AD59" s="21">
        <f>SUM('Balance Sheet'!AD13,'Balance Sheet'!AD19,'Balance Sheet'!AC13,'Balance Sheet'!AC19)/2</f>
        <v>81.421500000000009</v>
      </c>
      <c r="AE59" s="21">
        <f>SUM('Balance Sheet'!AE13,'Balance Sheet'!AE19,'Balance Sheet'!AD13,'Balance Sheet'!AD19)/2</f>
        <v>76.421500000000009</v>
      </c>
      <c r="AF59" s="21">
        <f>SUM('Balance Sheet'!AF13,'Balance Sheet'!AF19,'Balance Sheet'!AC13,'Balance Sheet'!AC19)/2</f>
        <v>78.921500000000009</v>
      </c>
      <c r="AG59" s="21">
        <f>SUM('Balance Sheet'!AG13,'Balance Sheet'!AG19,'Balance Sheet'!AF13,'Balance Sheet'!AF19)/2</f>
        <v>71.421500000000009</v>
      </c>
      <c r="AH59" s="21">
        <f>SUM('Balance Sheet'!AH13,'Balance Sheet'!AH19,'Balance Sheet'!AG13,'Balance Sheet'!AG19)/2</f>
        <v>66.421500000000009</v>
      </c>
      <c r="AI59" s="21">
        <f>SUM('Balance Sheet'!AI13,'Balance Sheet'!AI19,'Balance Sheet'!AF13,'Balance Sheet'!AF19)/2</f>
        <v>68.921500000000009</v>
      </c>
    </row>
    <row r="60" spans="2:35" ht="12.9" customHeight="1" x14ac:dyDescent="0.3">
      <c r="B60" s="12" t="s">
        <v>113</v>
      </c>
      <c r="C60" s="19"/>
      <c r="D60" s="19"/>
      <c r="E60" s="19"/>
      <c r="F60" s="19"/>
      <c r="G60" s="19"/>
      <c r="H60" s="19"/>
      <c r="I60" s="19"/>
      <c r="J60" s="19">
        <f>J61*2/J59</f>
        <v>9.4605494969496676E-2</v>
      </c>
      <c r="K60" s="19">
        <f>K61/K59</f>
        <v>4.100988628587237E-2</v>
      </c>
      <c r="L60" s="19">
        <f>L61*2/L59</f>
        <v>1.0443415709332509E-2</v>
      </c>
      <c r="M60" s="19">
        <f>M61*2/M59</f>
        <v>0.12278441124072967</v>
      </c>
      <c r="N60" s="19">
        <f>N61/N59</f>
        <v>0.11281753279096796</v>
      </c>
      <c r="O60" s="19">
        <f>O61*2/O59</f>
        <v>0.21103107181202455</v>
      </c>
      <c r="P60" s="19">
        <f>P61*2/P59</f>
        <v>0.1164847516786464</v>
      </c>
      <c r="Q60" s="19">
        <f>Q61/Q59</f>
        <v>0.11340948537928271</v>
      </c>
      <c r="R60" s="19">
        <f>R61*2/R59</f>
        <v>6.4626435393912288E-2</v>
      </c>
      <c r="S60" s="19">
        <f>S61*2/S59</f>
        <v>8.7120630938126414E-2</v>
      </c>
      <c r="T60" s="19">
        <f>T61/T59</f>
        <v>8.0688116584648625E-2</v>
      </c>
      <c r="U60" s="73">
        <f>S60</f>
        <v>8.7120630938126414E-2</v>
      </c>
      <c r="V60" s="73">
        <f>U60</f>
        <v>8.7120630938126414E-2</v>
      </c>
      <c r="W60" s="19">
        <f>W61/W59</f>
        <v>8.7918909934834213E-2</v>
      </c>
      <c r="X60" s="73">
        <f>V60</f>
        <v>8.7120630938126414E-2</v>
      </c>
      <c r="Y60" s="73">
        <f>X60</f>
        <v>8.7120630938126414E-2</v>
      </c>
      <c r="Z60" s="19">
        <f>Z61/Z59</f>
        <v>8.7120630938126414E-2</v>
      </c>
      <c r="AA60" s="73">
        <f>Y60</f>
        <v>8.7120630938126414E-2</v>
      </c>
      <c r="AB60" s="73">
        <f>AA60</f>
        <v>8.7120630938126414E-2</v>
      </c>
      <c r="AC60" s="19">
        <f>AC61/AC59</f>
        <v>8.7120630938126414E-2</v>
      </c>
      <c r="AD60" s="73">
        <f>AB60</f>
        <v>8.7120630938126414E-2</v>
      </c>
      <c r="AE60" s="73">
        <f>AD60</f>
        <v>8.7120630938126414E-2</v>
      </c>
      <c r="AF60" s="19">
        <f>AF61/AF59</f>
        <v>8.7120630938126414E-2</v>
      </c>
      <c r="AG60" s="73">
        <f>AE60</f>
        <v>8.7120630938126414E-2</v>
      </c>
      <c r="AH60" s="73">
        <f>AG60</f>
        <v>8.7120630938126414E-2</v>
      </c>
      <c r="AI60" s="19">
        <f>AI61/AI59</f>
        <v>8.7120630938126414E-2</v>
      </c>
    </row>
    <row r="61" spans="2:35" ht="12.9" customHeight="1" x14ac:dyDescent="0.3">
      <c r="B61" s="12" t="s">
        <v>154</v>
      </c>
      <c r="C61" s="23">
        <f>'Income Statement'!C31</f>
        <v>0.27079999999999999</v>
      </c>
      <c r="D61" s="23">
        <f>'Income Statement'!D31</f>
        <v>7.3599999999999999E-2</v>
      </c>
      <c r="E61" s="23">
        <f>'Income Statement'!E31</f>
        <v>0.34439999999999998</v>
      </c>
      <c r="F61" s="23">
        <f>'Income Statement'!F31</f>
        <v>0.2223</v>
      </c>
      <c r="G61" s="23">
        <f>'Income Statement'!G31</f>
        <v>0.80920000000000014</v>
      </c>
      <c r="H61" s="23">
        <f>'Income Statement'!H31</f>
        <v>1.0315000000000001</v>
      </c>
      <c r="I61" s="23">
        <f>'Income Statement'!I31</f>
        <v>0.59609999999999996</v>
      </c>
      <c r="J61" s="23">
        <f>'Income Statement'!J31</f>
        <v>0.81220000000000014</v>
      </c>
      <c r="K61" s="23">
        <f>'Income Statement'!K31</f>
        <v>1.4083000000000001</v>
      </c>
      <c r="L61" s="23">
        <f>'Income Statement'!L31</f>
        <v>0.20670000000000002</v>
      </c>
      <c r="M61" s="23">
        <f>'Income Statement'!M31</f>
        <v>1.9676999999999998</v>
      </c>
      <c r="N61" s="23">
        <f>'Income Statement'!N31</f>
        <v>2.1743999999999999</v>
      </c>
      <c r="O61" s="23">
        <f>'Income Statement'!O31</f>
        <v>1.9606000000000001</v>
      </c>
      <c r="P61" s="23">
        <f>'Income Statement'!P31</f>
        <v>1.3782999999999996</v>
      </c>
      <c r="Q61" s="23">
        <f>'Income Statement'!Q31</f>
        <v>3.3388999999999998</v>
      </c>
      <c r="R61" s="23">
        <f>'Income Statement'!R31</f>
        <v>2.9775999999999998</v>
      </c>
      <c r="S61" s="23">
        <f>'Income Statement'!S31</f>
        <v>5.7206999999999999</v>
      </c>
      <c r="T61" s="23">
        <f>'Income Statement'!T31</f>
        <v>8.6982999999999997</v>
      </c>
      <c r="U61" s="23">
        <f>U59*U60/2</f>
        <v>4.6958673480382176</v>
      </c>
      <c r="V61" s="23">
        <f>V59*V60/2</f>
        <v>4.6113603360282349</v>
      </c>
      <c r="W61" s="23">
        <f>U61+V61</f>
        <v>9.3072276840664525</v>
      </c>
      <c r="X61" s="23">
        <f>X59*X60/2</f>
        <v>4.4179525353455942</v>
      </c>
      <c r="Y61" s="23">
        <f>Y59*Y60/2</f>
        <v>4.200150958000278</v>
      </c>
      <c r="Z61" s="23">
        <f>X61+Y61</f>
        <v>8.6181034933458722</v>
      </c>
      <c r="AA61" s="23">
        <f>AA59*AA60/2</f>
        <v>3.9823493806549624</v>
      </c>
      <c r="AB61" s="23">
        <f>AB59*AB60/2</f>
        <v>3.7645478033096462</v>
      </c>
      <c r="AC61" s="23">
        <f>AA61+AB61</f>
        <v>7.7468971839646086</v>
      </c>
      <c r="AD61" s="23">
        <f>AD59*AD60/2</f>
        <v>3.5467462259643301</v>
      </c>
      <c r="AE61" s="23">
        <f>AE59*AE60/2</f>
        <v>3.3289446486190144</v>
      </c>
      <c r="AF61" s="23">
        <f>AD61+AE61</f>
        <v>6.8756908745833449</v>
      </c>
      <c r="AG61" s="23">
        <f>AG59*AG60/2</f>
        <v>3.1111430712736983</v>
      </c>
      <c r="AH61" s="23">
        <f>AH59*AH60/2</f>
        <v>2.8933414939283821</v>
      </c>
      <c r="AI61" s="23">
        <f>AG61+AH61</f>
        <v>6.0044845652020804</v>
      </c>
    </row>
    <row r="62" spans="2:35" ht="12.9" customHeight="1" x14ac:dyDescent="0.3">
      <c r="B62" s="12" t="s">
        <v>155</v>
      </c>
      <c r="C62" s="19">
        <f>'Income Statement'!C41/'Income Statement'!C32</f>
        <v>0.27620780826151148</v>
      </c>
      <c r="D62" s="19">
        <f>'Income Statement'!D41/'Income Statement'!D32</f>
        <v>3.9474304758610905E-2</v>
      </c>
      <c r="E62" s="19">
        <f>'Income Statement'!E41/'Income Statement'!E32</f>
        <v>0.12920849263808662</v>
      </c>
      <c r="F62" s="19">
        <f>'Income Statement'!F41/'Income Statement'!F32</f>
        <v>0.21604887092120498</v>
      </c>
      <c r="G62" s="19">
        <f>'Income Statement'!G41/'Income Statement'!G32</f>
        <v>-0.2404542563118959</v>
      </c>
      <c r="H62" s="19">
        <f>'Income Statement'!H41/'Income Statement'!H32</f>
        <v>-1.5251414379717994E-2</v>
      </c>
      <c r="I62" s="19">
        <f>'Income Statement'!I41/'Income Statement'!I32</f>
        <v>0.24784892352605997</v>
      </c>
      <c r="J62" s="19">
        <f>'Income Statement'!J41/'Income Statement'!J32</f>
        <v>0.27438136668400381</v>
      </c>
      <c r="K62" s="19">
        <f>'Income Statement'!K41/'Income Statement'!K32</f>
        <v>0.26526682114682948</v>
      </c>
      <c r="L62" s="19">
        <f>'Income Statement'!L41/'Income Statement'!L32</f>
        <v>0.25664463169861168</v>
      </c>
      <c r="M62" s="19">
        <f>'Income Statement'!M41/'Income Statement'!M32</f>
        <v>-1.9451744091319022E-2</v>
      </c>
      <c r="N62" s="19">
        <f>'Income Statement'!N41/'Income Statement'!N32</f>
        <v>0.10932473946834072</v>
      </c>
      <c r="O62" s="19">
        <f>'Income Statement'!O41/'Income Statement'!O32</f>
        <v>0.15613225917641665</v>
      </c>
      <c r="P62" s="19">
        <f>'Income Statement'!P41/'Income Statement'!P32</f>
        <v>0.18946409514946169</v>
      </c>
      <c r="Q62" s="19">
        <f>'Income Statement'!Q41/'Income Statement'!Q32</f>
        <v>0.17386498063550179</v>
      </c>
      <c r="R62" s="19">
        <f>'Income Statement'!R41/'Income Statement'!R32</f>
        <v>0.25524175884524852</v>
      </c>
      <c r="S62" s="19">
        <f>'Income Statement'!S41/'Income Statement'!S32</f>
        <v>0.14627369207919827</v>
      </c>
      <c r="T62" s="19">
        <f>'Income Statement'!T41/'Income Statement'!T32</f>
        <v>0.20752330393645393</v>
      </c>
      <c r="U62" s="73">
        <f>Guidance!D19</f>
        <v>0.25168000000000001</v>
      </c>
      <c r="V62" s="73">
        <f>U62</f>
        <v>0.25168000000000001</v>
      </c>
      <c r="W62" s="19">
        <f>'Income Statement'!W41/'Income Statement'!W32</f>
        <v>0.25168000000000018</v>
      </c>
      <c r="X62" s="73">
        <f>V62</f>
        <v>0.25168000000000001</v>
      </c>
      <c r="Y62" s="73">
        <f>V62</f>
        <v>0.25168000000000001</v>
      </c>
      <c r="Z62" s="19">
        <f>'Income Statement'!Z41/'Income Statement'!Z32</f>
        <v>0.25168000000000007</v>
      </c>
      <c r="AA62" s="73">
        <f>Y62</f>
        <v>0.25168000000000001</v>
      </c>
      <c r="AB62" s="73">
        <f>Y62</f>
        <v>0.25168000000000001</v>
      </c>
      <c r="AC62" s="19">
        <f>'Income Statement'!AC41/'Income Statement'!AC32</f>
        <v>0.25168000000000018</v>
      </c>
      <c r="AD62" s="73">
        <f>AB62</f>
        <v>0.25168000000000001</v>
      </c>
      <c r="AE62" s="73">
        <f>AB62</f>
        <v>0.25168000000000001</v>
      </c>
      <c r="AF62" s="19">
        <f>'Income Statement'!AF41/'Income Statement'!AF32</f>
        <v>0.25168000000000001</v>
      </c>
      <c r="AG62" s="73">
        <f>AE62</f>
        <v>0.25168000000000001</v>
      </c>
      <c r="AH62" s="73">
        <f>AE62</f>
        <v>0.25168000000000001</v>
      </c>
      <c r="AI62" s="19">
        <f>'Income Statement'!AI41/'Income Statement'!AI32</f>
        <v>0.2516799999999999</v>
      </c>
    </row>
    <row r="63" spans="2:35" ht="12.9" customHeight="1" x14ac:dyDescent="0.3"/>
    <row r="64" spans="2:35" ht="12.9" customHeight="1" x14ac:dyDescent="0.3">
      <c r="B64" s="71" t="s">
        <v>60</v>
      </c>
    </row>
    <row r="65" spans="2:35" ht="12.9" customHeight="1" x14ac:dyDescent="0.3">
      <c r="B65" s="12" t="s">
        <v>64</v>
      </c>
      <c r="C65" s="21">
        <f>'Income Statement'!C23/'Income Statement'!C31</f>
        <v>97.933161004431341</v>
      </c>
      <c r="D65" s="21">
        <f>'Income Statement'!D23/'Income Statement'!D31</f>
        <v>573.92255434782624</v>
      </c>
      <c r="E65" s="21">
        <f>'Income Statement'!E23/'Income Statement'!E31</f>
        <v>199.65447154471553</v>
      </c>
      <c r="F65" s="21">
        <f>'Income Statement'!F23/'Income Statement'!F31</f>
        <v>158.2460638776428</v>
      </c>
      <c r="G65" s="21">
        <f>'Income Statement'!G23/'Income Statement'!G31</f>
        <v>43.005561047948582</v>
      </c>
      <c r="H65" s="21">
        <f>'Income Statement'!H23/'Income Statement'!H31</f>
        <v>67.841202132816292</v>
      </c>
      <c r="I65" s="21">
        <f>'Income Statement'!I23/'Income Statement'!I31</f>
        <v>50.137393054856624</v>
      </c>
      <c r="J65" s="21">
        <f>'Income Statement'!J23/'Income Statement'!J31</f>
        <v>65.030780595912276</v>
      </c>
      <c r="K65" s="21">
        <f>'Income Statement'!K23/'Income Statement'!K31</f>
        <v>58.726762763615696</v>
      </c>
      <c r="L65" s="21">
        <f>'Income Statement'!L23/'Income Statement'!L31</f>
        <v>287.22689888727632</v>
      </c>
      <c r="M65" s="21">
        <f>'Income Statement'!M23/'Income Statement'!M31</f>
        <v>34.243431417390831</v>
      </c>
      <c r="N65" s="21">
        <f>'Income Statement'!N23/'Income Statement'!N31</f>
        <v>58.292218543046346</v>
      </c>
      <c r="O65" s="21">
        <f>'Income Statement'!O23/'Income Statement'!O31</f>
        <v>38.941089462409479</v>
      </c>
      <c r="P65" s="21">
        <f>'Income Statement'!P23/'Income Statement'!P31</f>
        <v>64.4824058622942</v>
      </c>
      <c r="Q65" s="21">
        <f>'Income Statement'!Q23/'Income Statement'!Q31</f>
        <v>49.484560783491595</v>
      </c>
      <c r="R65" s="21">
        <f>'Income Statement'!R23/'Income Statement'!R31</f>
        <v>30.839535196131113</v>
      </c>
      <c r="S65" s="21">
        <f>'Income Statement'!S23/'Income Statement'!S31</f>
        <v>14.39236457076931</v>
      </c>
      <c r="T65" s="21">
        <f>'Income Statement'!T23/'Income Statement'!T31</f>
        <v>20.022556131657907</v>
      </c>
      <c r="U65" s="21">
        <f>'Income Statement'!U23/'Income Statement'!U31</f>
        <v>19.404695619150964</v>
      </c>
      <c r="V65" s="21">
        <f>'Income Statement'!V23/'Income Statement'!V31</f>
        <v>21.433753884241284</v>
      </c>
      <c r="W65" s="21">
        <f>'Income Statement'!W23/'Income Statement'!W31</f>
        <v>20.4100131122586</v>
      </c>
      <c r="X65" s="21">
        <f>'Income Statement'!X23/'Income Statement'!X31</f>
        <v>25.575611793369262</v>
      </c>
      <c r="Y65" s="21">
        <f>'Income Statement'!Y23/'Income Statement'!Y31</f>
        <v>27.604431251709308</v>
      </c>
      <c r="Z65" s="21">
        <f>'Income Statement'!Z23/'Income Statement'!Z31</f>
        <v>26.564384787118517</v>
      </c>
      <c r="AA65" s="21">
        <f>'Income Statement'!AA23/'Income Statement'!AA31</f>
        <v>32.241807952537805</v>
      </c>
      <c r="AB65" s="21">
        <f>'Income Statement'!AB23/'Income Statement'!AB31</f>
        <v>37.279847318821801</v>
      </c>
      <c r="AC65" s="21">
        <f>'Income Statement'!AC23/'Income Statement'!AC31</f>
        <v>34.690006189709408</v>
      </c>
      <c r="AD65" s="21">
        <f>'Income Statement'!AD23/'Income Statement'!AD31</f>
        <v>45.260934087839431</v>
      </c>
      <c r="AE65" s="21">
        <f>'Income Statement'!AE23/'Income Statement'!AE31</f>
        <v>49.610717648088034</v>
      </c>
      <c r="AF65" s="21">
        <f>'Income Statement'!AF23/'Income Statement'!AF31</f>
        <v>47.36693172061085</v>
      </c>
      <c r="AG65" s="21">
        <f>'Income Statement'!AG23/'Income Statement'!AG31</f>
        <v>62.018977927104835</v>
      </c>
      <c r="AH65" s="21">
        <f>'Income Statement'!AH23/'Income Statement'!AH31</f>
        <v>70.299703409338619</v>
      </c>
      <c r="AI65" s="21">
        <f>'Income Statement'!AI23/'Income Statement'!AI31</f>
        <v>66.009156663915505</v>
      </c>
    </row>
    <row r="66" spans="2:35" ht="12.9" customHeight="1" x14ac:dyDescent="0.3">
      <c r="B66" s="12" t="s">
        <v>65</v>
      </c>
      <c r="C66" s="19">
        <f>'Income Statement'!C17/'Income Statement'!C8</f>
        <v>0.44116859530573788</v>
      </c>
      <c r="D66" s="19">
        <f>'Income Statement'!D17/'Income Statement'!D8</f>
        <v>0.49001594613203053</v>
      </c>
      <c r="E66" s="19">
        <f>'Income Statement'!E17/'Income Statement'!E8</f>
        <v>0.46955930148576153</v>
      </c>
      <c r="F66" s="19">
        <f>'Income Statement'!F17/'Income Statement'!F8</f>
        <v>0.52727707129422252</v>
      </c>
      <c r="G66" s="19">
        <f>'Income Statement'!G17/'Income Statement'!G8</f>
        <v>0.5007252486396917</v>
      </c>
      <c r="H66" s="19">
        <f>'Income Statement'!H17/'Income Statement'!H8</f>
        <v>0.5137183529372582</v>
      </c>
      <c r="I66" s="19">
        <f>'Income Statement'!I17/'Income Statement'!I8</f>
        <v>0.45473668635566705</v>
      </c>
      <c r="J66" s="19">
        <f>'Income Statement'!J17/'Income Statement'!J8</f>
        <v>0.46423556717555503</v>
      </c>
      <c r="K66" s="19">
        <f>'Income Statement'!K17/'Income Statement'!K8</f>
        <v>0.46070835645907832</v>
      </c>
      <c r="L66" s="19">
        <f>'Income Statement'!L17/'Income Statement'!L8</f>
        <v>0.47452810826798986</v>
      </c>
      <c r="M66" s="19">
        <f>'Income Statement'!M17/'Income Statement'!M8</f>
        <v>0.48935787668532249</v>
      </c>
      <c r="N66" s="19">
        <f>'Income Statement'!N17/'Income Statement'!N8</f>
        <v>0.48221597810258093</v>
      </c>
      <c r="O66" s="19">
        <f>'Income Statement'!O17/'Income Statement'!O8</f>
        <v>0.44884628098003826</v>
      </c>
      <c r="P66" s="19">
        <f>'Income Statement'!P17/'Income Statement'!P8</f>
        <v>0.46462093578520958</v>
      </c>
      <c r="Q66" s="19">
        <f>'Income Statement'!Q17/'Income Statement'!Q8</f>
        <v>0.45732041823943148</v>
      </c>
      <c r="R66" s="19">
        <f>'Income Statement'!R17/'Income Statement'!R8</f>
        <v>0.52943470158684824</v>
      </c>
      <c r="S66" s="19">
        <f>'Income Statement'!S17/'Income Statement'!S8</f>
        <v>0.51410510022891898</v>
      </c>
      <c r="T66" s="19">
        <f>'Income Statement'!T17/'Income Statement'!T8</f>
        <v>0.52170219741825152</v>
      </c>
      <c r="U66" s="19">
        <f>'Income Statement'!U17/'Income Statement'!U8</f>
        <v>0.52</v>
      </c>
      <c r="V66" s="19">
        <f>'Income Statement'!V17/'Income Statement'!V8</f>
        <v>0.52</v>
      </c>
      <c r="W66" s="19">
        <f>'Income Statement'!W17/'Income Statement'!W8</f>
        <v>0.52</v>
      </c>
      <c r="X66" s="19">
        <f>'Income Statement'!X17/'Income Statement'!X8</f>
        <v>0.52</v>
      </c>
      <c r="Y66" s="19">
        <f>'Income Statement'!Y17/'Income Statement'!Y8</f>
        <v>0.52</v>
      </c>
      <c r="Z66" s="19">
        <f>'Income Statement'!Z17/'Income Statement'!Z8</f>
        <v>0.52</v>
      </c>
      <c r="AA66" s="19">
        <f>'Income Statement'!AA17/'Income Statement'!AA8</f>
        <v>0.52</v>
      </c>
      <c r="AB66" s="19">
        <f>'Income Statement'!AB17/'Income Statement'!AB8</f>
        <v>0.52</v>
      </c>
      <c r="AC66" s="19">
        <f>'Income Statement'!AC17/'Income Statement'!AC8</f>
        <v>0.52</v>
      </c>
      <c r="AD66" s="19">
        <f>'Income Statement'!AD17/'Income Statement'!AD8</f>
        <v>0.52500000000000002</v>
      </c>
      <c r="AE66" s="19">
        <f>'Income Statement'!AE17/'Income Statement'!AE8</f>
        <v>0.52500000000000002</v>
      </c>
      <c r="AF66" s="19">
        <f>'Income Statement'!AF17/'Income Statement'!AF8</f>
        <v>0.52500000000000002</v>
      </c>
      <c r="AG66" s="19">
        <f>'Income Statement'!AG17/'Income Statement'!AG8</f>
        <v>0.53</v>
      </c>
      <c r="AH66" s="19">
        <f>'Income Statement'!AH17/'Income Statement'!AH8</f>
        <v>0.53</v>
      </c>
      <c r="AI66" s="19">
        <f>'Income Statement'!AI17/'Income Statement'!AI8</f>
        <v>0.53</v>
      </c>
    </row>
    <row r="67" spans="2:35" ht="12.9" customHeight="1" x14ac:dyDescent="0.3">
      <c r="B67" s="12" t="s">
        <v>66</v>
      </c>
      <c r="C67" s="19">
        <f>'Income Statement'!C23/'Income Statement'!C8</f>
        <v>0.22687108786535717</v>
      </c>
      <c r="D67" s="19">
        <f>'Income Statement'!D23/'Income Statement'!D8</f>
        <v>0.26036945468173389</v>
      </c>
      <c r="E67" s="19">
        <f>'Income Statement'!E23/'Income Statement'!E8</f>
        <v>0.24634076787270154</v>
      </c>
      <c r="F67" s="19">
        <f>'Income Statement'!F23/'Income Statement'!F8</f>
        <v>0.24940039290836552</v>
      </c>
      <c r="G67" s="19">
        <f>'Income Statement'!G23/'Income Statement'!G8</f>
        <v>0.23642833898019511</v>
      </c>
      <c r="H67" s="19">
        <f>'Income Statement'!H23/'Income Statement'!H8</f>
        <v>0.24277619885540469</v>
      </c>
      <c r="I67" s="19">
        <f>'Income Statement'!I23/'Income Statement'!I8</f>
        <v>0.19566942382504351</v>
      </c>
      <c r="J67" s="19">
        <f>'Income Statement'!J23/'Income Statement'!J8</f>
        <v>0.20424886202934828</v>
      </c>
      <c r="K67" s="19">
        <f>'Income Statement'!K23/'Income Statement'!K8</f>
        <v>0.20106306709735858</v>
      </c>
      <c r="L67" s="19">
        <f>'Income Statement'!L23/'Income Statement'!L8</f>
        <v>0.22398559123038947</v>
      </c>
      <c r="M67" s="19">
        <f>'Income Statement'!M23/'Income Statement'!M8</f>
        <v>0.23615563656296321</v>
      </c>
      <c r="N67" s="19">
        <f>'Income Statement'!N23/'Income Statement'!N8</f>
        <v>0.23029463947476711</v>
      </c>
      <c r="O67" s="19">
        <f>'Income Statement'!O23/'Income Statement'!O8</f>
        <v>0.22512625551515528</v>
      </c>
      <c r="P67" s="19">
        <f>'Income Statement'!P23/'Income Statement'!P8</f>
        <v>0.22577309976342086</v>
      </c>
      <c r="Q67" s="19">
        <f>'Income Statement'!Q23/'Income Statement'!Q8</f>
        <v>0.22547373994590517</v>
      </c>
      <c r="R67" s="19">
        <f>'Income Statement'!R23/'Income Statement'!R8</f>
        <v>0.22533754817647175</v>
      </c>
      <c r="S67" s="19">
        <f>'Income Statement'!S23/'Income Statement'!S8</f>
        <v>0.19850352781203323</v>
      </c>
      <c r="T67" s="19">
        <f>'Income Statement'!T23/'Income Statement'!T8</f>
        <v>0.21180202500900838</v>
      </c>
      <c r="U67" s="19">
        <f>'Income Statement'!U23/'Income Statement'!U8</f>
        <v>0.21200000000000005</v>
      </c>
      <c r="V67" s="19">
        <f>'Income Statement'!V23/'Income Statement'!V8</f>
        <v>0.21200000000000002</v>
      </c>
      <c r="W67" s="19">
        <f>'Income Statement'!W23/'Income Statement'!W8</f>
        <v>0.21199999999999997</v>
      </c>
      <c r="X67" s="19">
        <f>'Income Statement'!X23/'Income Statement'!X8</f>
        <v>0.21199999999999994</v>
      </c>
      <c r="Y67" s="19">
        <f>'Income Statement'!Y23/'Income Statement'!Y8</f>
        <v>0.21199999999999999</v>
      </c>
      <c r="Z67" s="19">
        <f>'Income Statement'!Z23/'Income Statement'!Z8</f>
        <v>0.21199999999999997</v>
      </c>
      <c r="AA67" s="19">
        <f>'Income Statement'!AA23/'Income Statement'!AA8</f>
        <v>0.21199999999999999</v>
      </c>
      <c r="AB67" s="19">
        <f>'Income Statement'!AB23/'Income Statement'!AB8</f>
        <v>0.21199999999999997</v>
      </c>
      <c r="AC67" s="19">
        <f>'Income Statement'!AC23/'Income Statement'!AC8</f>
        <v>0.21199999999999988</v>
      </c>
      <c r="AD67" s="19">
        <f>'Income Statement'!AD23/'Income Statement'!AD8</f>
        <v>0.21699999999999992</v>
      </c>
      <c r="AE67" s="19">
        <f>'Income Statement'!AE23/'Income Statement'!AE8</f>
        <v>0.21699999999999986</v>
      </c>
      <c r="AF67" s="19">
        <f>'Income Statement'!AF23/'Income Statement'!AF8</f>
        <v>0.21699999999999992</v>
      </c>
      <c r="AG67" s="19">
        <f>'Income Statement'!AG23/'Income Statement'!AG8</f>
        <v>0.22199999999999986</v>
      </c>
      <c r="AH67" s="19">
        <f>'Income Statement'!AH23/'Income Statement'!AH8</f>
        <v>0.22199999999999986</v>
      </c>
      <c r="AI67" s="19">
        <f>'Income Statement'!AI23/'Income Statement'!AI8</f>
        <v>0.22199999999999995</v>
      </c>
    </row>
    <row r="68" spans="2:35" ht="12.9" customHeight="1" x14ac:dyDescent="0.3">
      <c r="B68" s="12" t="s">
        <v>67</v>
      </c>
      <c r="C68" s="19">
        <f>'Income Statement'!C27/'Income Statement'!C8</f>
        <v>0.18824783418409033</v>
      </c>
      <c r="D68" s="19">
        <f>'Income Statement'!D27/'Income Statement'!D8</f>
        <v>0.22344124556118741</v>
      </c>
      <c r="E68" s="19">
        <f>'Income Statement'!E27/'Income Statement'!E8</f>
        <v>0.20870269580868539</v>
      </c>
      <c r="F68" s="19">
        <f>'Income Statement'!F27/'Income Statement'!F8</f>
        <v>0.2083782639859284</v>
      </c>
      <c r="G68" s="19">
        <f>'Income Statement'!G27/'Income Statement'!G8</f>
        <v>0.19698296565888243</v>
      </c>
      <c r="H68" s="19">
        <f>'Income Statement'!H27/'Income Statement'!H8</f>
        <v>0.20255924196923697</v>
      </c>
      <c r="I68" s="19">
        <f>'Income Statement'!I27/'Income Statement'!I8</f>
        <v>0.15728503919686707</v>
      </c>
      <c r="J68" s="19">
        <f>'Income Statement'!J27/'Income Statement'!J8</f>
        <v>0.17842637346319323</v>
      </c>
      <c r="K68" s="19">
        <f>'Income Statement'!K27/'Income Statement'!K8</f>
        <v>0.1705759811697482</v>
      </c>
      <c r="L68" s="19">
        <f>'Income Statement'!L27/'Income Statement'!L8</f>
        <v>0.19746752443213036</v>
      </c>
      <c r="M68" s="19">
        <f>'Income Statement'!M27/'Income Statement'!M8</f>
        <v>0.19958278965259435</v>
      </c>
      <c r="N68" s="19">
        <f>'Income Statement'!N27/'Income Statement'!N8</f>
        <v>0.19856409473740624</v>
      </c>
      <c r="O68" s="19">
        <f>'Income Statement'!O27/'Income Statement'!O8</f>
        <v>0.19164182149989817</v>
      </c>
      <c r="P68" s="19">
        <f>'Income Statement'!P27/'Income Statement'!P8</f>
        <v>0.19411241849723745</v>
      </c>
      <c r="Q68" s="19">
        <f>'Income Statement'!Q27/'Income Statement'!Q8</f>
        <v>0.19296902506325186</v>
      </c>
      <c r="R68" s="19">
        <f>'Income Statement'!R27/'Income Statement'!R8</f>
        <v>0.19284207932915873</v>
      </c>
      <c r="S68" s="19">
        <f>'Income Statement'!S27/'Income Statement'!S8</f>
        <v>0.1633068973456725</v>
      </c>
      <c r="T68" s="19">
        <f>'Income Statement'!T27/'Income Statement'!T8</f>
        <v>0.1779440456180969</v>
      </c>
      <c r="U68" s="19">
        <f>'Income Statement'!U27/'Income Statement'!U8</f>
        <v>0.17816169969735587</v>
      </c>
      <c r="V68" s="19">
        <f>'Income Statement'!V27/'Income Statement'!V8</f>
        <v>0.18052279189991693</v>
      </c>
      <c r="W68" s="19">
        <f>'Income Statement'!W27/'Income Statement'!W8</f>
        <v>0.17939020383707838</v>
      </c>
      <c r="X68" s="19">
        <f>'Income Statement'!X27/'Income Statement'!X8</f>
        <v>0.18423076074099071</v>
      </c>
      <c r="Y68" s="19">
        <f>'Income Statement'!Y27/'Income Statement'!Y8</f>
        <v>0.18492137103366146</v>
      </c>
      <c r="Z68" s="19">
        <f>'Income Statement'!Z27/'Income Statement'!Z8</f>
        <v>0.18458051682870708</v>
      </c>
      <c r="AA68" s="19">
        <f>'Income Statement'!AA27/'Income Statement'!AA8</f>
        <v>0.18753420615851499</v>
      </c>
      <c r="AB68" s="19">
        <f>'Income Statement'!AB27/'Income Statement'!AB8</f>
        <v>0.1896041425489704</v>
      </c>
      <c r="AC68" s="19">
        <f>'Income Statement'!AC27/'Income Statement'!AC8</f>
        <v>0.1886151715050311</v>
      </c>
      <c r="AD68" s="19">
        <f>'Income Statement'!AD27/'Income Statement'!AD8</f>
        <v>0.1969483157157994</v>
      </c>
      <c r="AE68" s="19">
        <f>'Income Statement'!AE27/'Income Statement'!AE8</f>
        <v>0.19749983623984627</v>
      </c>
      <c r="AF68" s="19">
        <f>'Income Statement'!AF27/'Income Statement'!AF8</f>
        <v>0.1972279897621339</v>
      </c>
      <c r="AG68" s="19">
        <f>'Income Statement'!AG27/'Income Statement'!AG8</f>
        <v>0.20491656546918258</v>
      </c>
      <c r="AH68" s="19">
        <f>'Income Statement'!AH27/'Income Statement'!AH8</f>
        <v>0.20578699357780891</v>
      </c>
      <c r="AI68" s="19">
        <f>'Income Statement'!AI27/'Income Statement'!AI8</f>
        <v>0.20536325541595035</v>
      </c>
    </row>
    <row r="69" spans="2:35" ht="12.9" customHeight="1" x14ac:dyDescent="0.3">
      <c r="B69" s="236" t="s">
        <v>68</v>
      </c>
      <c r="C69" s="19">
        <f>'Income Statement'!C43/'Income Statement'!C8</f>
        <v>0.14425826739860001</v>
      </c>
      <c r="D69" s="19">
        <f>'Income Statement'!D43/'Income Statement'!D8</f>
        <v>0.22597031319633351</v>
      </c>
      <c r="E69" s="19">
        <f>'Income Statement'!E43/'Income Statement'!E8</f>
        <v>0.19175035539047106</v>
      </c>
      <c r="F69" s="19">
        <f>'Income Statement'!F43/'Income Statement'!F8</f>
        <v>0.16758796659640818</v>
      </c>
      <c r="G69" s="19">
        <f>'Income Statement'!G43/'Income Statement'!G8</f>
        <v>0.26099439571332195</v>
      </c>
      <c r="H69" s="19">
        <f>'Income Statement'!H43/'Income Statement'!H8</f>
        <v>0.21528606557832045</v>
      </c>
      <c r="I69" s="19">
        <f>'Income Statement'!I43/'Income Statement'!I8</f>
        <v>0.11841093924518394</v>
      </c>
      <c r="J69" s="19">
        <f>'Income Statement'!J43/'Income Statement'!J8</f>
        <v>0.12894113334181487</v>
      </c>
      <c r="K69" s="19">
        <f>'Income Statement'!K43/'Income Statement'!K8</f>
        <v>0.12503096601068561</v>
      </c>
      <c r="L69" s="19">
        <f>'Income Statement'!L43/'Income Statement'!L8</f>
        <v>0.15196475676524035</v>
      </c>
      <c r="M69" s="19">
        <f>'Income Statement'!M43/'Income Statement'!M8</f>
        <v>0.22148563193313398</v>
      </c>
      <c r="N69" s="19">
        <f>'Income Statement'!N43/'Income Statement'!N8</f>
        <v>0.18800493109816854</v>
      </c>
      <c r="O69" s="19">
        <f>'Income Statement'!O43/'Income Statement'!O8</f>
        <v>0.16675842005675054</v>
      </c>
      <c r="P69" s="19">
        <f>'Income Statement'!P43/'Income Statement'!P8</f>
        <v>0.15686254087680948</v>
      </c>
      <c r="Q69" s="19">
        <f>'Income Statement'!Q43/'Income Statement'!Q8</f>
        <v>0.16144235834199899</v>
      </c>
      <c r="R69" s="19">
        <f>'Income Statement'!R43/'Income Statement'!R8</f>
        <v>0.14309731095167211</v>
      </c>
      <c r="S69" s="19">
        <f>'Income Statement'!S43/'Income Statement'!S8</f>
        <v>0.12555828393914295</v>
      </c>
      <c r="T69" s="19">
        <f>'Income Statement'!T43/'Income Statement'!T8</f>
        <v>0.13425033598337904</v>
      </c>
      <c r="U69" s="19">
        <f>'Income Statement'!U43/'Income Statement'!U8</f>
        <v>0.12806713803781991</v>
      </c>
      <c r="V69" s="19">
        <f>'Income Statement'!V43/'Income Statement'!V8</f>
        <v>0.13037990393321436</v>
      </c>
      <c r="W69" s="19">
        <f>'Income Statement'!W43/'Income Statement'!W8</f>
        <v>0.12927049742955363</v>
      </c>
      <c r="X69" s="19">
        <f>'Income Statement'!X43/'Income Statement'!X8</f>
        <v>0.13401602793056291</v>
      </c>
      <c r="Y69" s="19">
        <f>'Income Statement'!Y43/'Income Statement'!Y8</f>
        <v>0.13492876833478942</v>
      </c>
      <c r="Z69" s="19">
        <f>'Income Statement'!Z43/'Income Statement'!Z8</f>
        <v>0.13447828068913145</v>
      </c>
      <c r="AA69" s="19">
        <f>'Income Statement'!AA43/'Income Statement'!AA8</f>
        <v>0.13748793689211392</v>
      </c>
      <c r="AB69" s="19">
        <f>'Income Statement'!AB43/'Income Statement'!AB8</f>
        <v>0.13952546375736383</v>
      </c>
      <c r="AC69" s="19">
        <f>'Income Statement'!AC43/'Income Statement'!AC8</f>
        <v>0.13855197728682678</v>
      </c>
      <c r="AD69" s="19">
        <f>'Income Statement'!AD43/'Income Statement'!AD8</f>
        <v>0.14548960217670789</v>
      </c>
      <c r="AE69" s="19">
        <f>'Income Statement'!AE43/'Income Statement'!AE8</f>
        <v>0.14616938891165251</v>
      </c>
      <c r="AF69" s="19">
        <f>'Income Statement'!AF43/'Income Statement'!AF8</f>
        <v>0.14583431955079845</v>
      </c>
      <c r="AG69" s="19">
        <f>'Income Statement'!AG43/'Income Statement'!AG8</f>
        <v>0.15210890475415126</v>
      </c>
      <c r="AH69" s="19">
        <f>'Income Statement'!AH43/'Income Statement'!AH8</f>
        <v>0.15300157075145843</v>
      </c>
      <c r="AI69" s="19">
        <f>'Income Statement'!AI43/'Income Statement'!AI8</f>
        <v>0.1525670068338828</v>
      </c>
    </row>
    <row r="70" spans="2:35" ht="12.9" customHeight="1" x14ac:dyDescent="0.3">
      <c r="B70" s="12" t="s">
        <v>69</v>
      </c>
      <c r="C70" s="19">
        <f>'Income Statement'!C43/'Balance Sheet'!C55</f>
        <v>3.6469015869445814E-2</v>
      </c>
      <c r="D70" s="19">
        <f>'Income Statement'!D43/'Balance Sheet'!D55</f>
        <v>8.5112923211009259E-2</v>
      </c>
      <c r="E70" s="19">
        <f>'Income Statement'!E43/'Balance Sheet'!E55</f>
        <v>0.12426393921460697</v>
      </c>
      <c r="F70" s="19">
        <f>'Income Statement'!F43/'Balance Sheet'!F55</f>
        <v>5.168968259643214E-2</v>
      </c>
      <c r="G70" s="19">
        <f>'Income Statement'!G43/'Balance Sheet'!G55</f>
        <v>7.3129650555401576E-2</v>
      </c>
      <c r="H70" s="19">
        <f>'Income Statement'!H43/'Balance Sheet'!H55</f>
        <v>0.11812829517453959</v>
      </c>
      <c r="I70" s="19">
        <f>'Income Statement'!I43/'Balance Sheet'!I55</f>
        <v>3.3617776717055389E-2</v>
      </c>
      <c r="J70" s="19">
        <f>'Income Statement'!J43/'Balance Sheet'!J55</f>
        <v>5.1863342347490578E-2</v>
      </c>
      <c r="K70" s="19">
        <f>'Income Statement'!K43/'Balance Sheet'!K55</f>
        <v>7.9995072440414344E-2</v>
      </c>
      <c r="L70" s="19">
        <f>'Income Statement'!L43/'Balance Sheet'!L55</f>
        <v>5.853841934830363E-2</v>
      </c>
      <c r="M70" s="19">
        <f>'Income Statement'!M43/'Balance Sheet'!M55</f>
        <v>7.8170079615967045E-2</v>
      </c>
      <c r="N70" s="19">
        <f>'Income Statement'!N43/'Balance Sheet'!N55</f>
        <v>0.1279948759992815</v>
      </c>
      <c r="O70" s="19">
        <f>'Income Statement'!O43/'Balance Sheet'!O55</f>
        <v>6.4854496703743353E-2</v>
      </c>
      <c r="P70" s="19">
        <f>'Income Statement'!P43/'Balance Sheet'!P55</f>
        <v>6.6672734764108732E-2</v>
      </c>
      <c r="Q70" s="19">
        <f>'Income Statement'!Q43/'Balance Sheet'!Q55</f>
        <v>0.12773528669924877</v>
      </c>
      <c r="R70" s="19">
        <f>'Income Statement'!R43/'Balance Sheet'!R55</f>
        <v>5.8496455739070495E-2</v>
      </c>
      <c r="S70" s="19">
        <f>'Income Statement'!S43/'Balance Sheet'!S55</f>
        <v>5.3652713537356858E-2</v>
      </c>
      <c r="T70" s="19">
        <f>'Income Statement'!T43/'Balance Sheet'!T55</f>
        <v>0.11372930890677181</v>
      </c>
      <c r="U70" s="19">
        <f>'Income Statement'!U43/'Balance Sheet'!U55</f>
        <v>5.5246870541870816E-2</v>
      </c>
      <c r="V70" s="19">
        <f>'Income Statement'!V43/'Balance Sheet'!V55</f>
        <v>5.7071568734277975E-2</v>
      </c>
      <c r="W70" s="19">
        <f>'Income Statement'!W43/'Balance Sheet'!W55</f>
        <v>0.10875391405536168</v>
      </c>
      <c r="X70" s="19">
        <f>'Income Statement'!X43/'Balance Sheet'!X55</f>
        <v>6.556568977096551E-2</v>
      </c>
      <c r="Y70" s="19">
        <f>'Income Statement'!Y43/'Balance Sheet'!Y55</f>
        <v>6.2898198520881091E-2</v>
      </c>
      <c r="Z70" s="19">
        <f>'Income Statement'!Z43/'Balance Sheet'!Z55</f>
        <v>0.1237808792161126</v>
      </c>
      <c r="AA70" s="19">
        <f>'Income Statement'!AA43/'Balance Sheet'!AA55</f>
        <v>7.0395170754492795E-2</v>
      </c>
      <c r="AB70" s="19">
        <f>'Income Statement'!AB43/'Balance Sheet'!AB55</f>
        <v>7.1476827881345323E-2</v>
      </c>
      <c r="AC70" s="19">
        <f>'Income Statement'!AC43/'Balance Sheet'!AC55</f>
        <v>0.13591573931717529</v>
      </c>
      <c r="AD70" s="19">
        <f>'Income Statement'!AD43/'Balance Sheet'!AD55</f>
        <v>8.2604894689916608E-2</v>
      </c>
      <c r="AE70" s="19">
        <f>'Income Statement'!AE43/'Balance Sheet'!AE55</f>
        <v>7.7932648026992915E-2</v>
      </c>
      <c r="AF70" s="19">
        <f>'Income Statement'!AF43/'Balance Sheet'!AF55</f>
        <v>0.15333180716399658</v>
      </c>
      <c r="AG70" s="19">
        <f>'Income Statement'!AG43/'Balance Sheet'!AG55</f>
        <v>9.2824594871875929E-2</v>
      </c>
      <c r="AH70" s="19">
        <f>'Income Statement'!AH43/'Balance Sheet'!AH55</f>
        <v>8.8220725359701505E-2</v>
      </c>
      <c r="AI70" s="19">
        <f>'Income Statement'!AI43/'Balance Sheet'!AI55</f>
        <v>0.17142023642623952</v>
      </c>
    </row>
    <row r="71" spans="2:35" ht="12.9" customHeight="1" x14ac:dyDescent="0.3">
      <c r="B71" s="12" t="s">
        <v>70</v>
      </c>
      <c r="C71" s="19">
        <f>'Income Statement'!C43/'Balance Sheet'!C11</f>
        <v>5.0636925270357694E-2</v>
      </c>
      <c r="D71" s="19">
        <f>'Income Statement'!D43/'Balance Sheet'!D11</f>
        <v>0.10873527469004071</v>
      </c>
      <c r="E71" s="19">
        <f>'Income Statement'!E43/'Balance Sheet'!E11</f>
        <v>0.15875231462875036</v>
      </c>
      <c r="F71" s="19">
        <f>'Income Statement'!F43/'Balance Sheet'!F11</f>
        <v>6.6628145250168386E-2</v>
      </c>
      <c r="G71" s="19">
        <f>'Income Statement'!G43/'Balance Sheet'!G11</f>
        <v>9.7648539987072042E-2</v>
      </c>
      <c r="H71" s="19">
        <f>'Income Statement'!H43/'Balance Sheet'!H11</f>
        <v>0.15773431798661405</v>
      </c>
      <c r="I71" s="19">
        <f>'Income Statement'!I43/'Balance Sheet'!I11</f>
        <v>4.4790553277734561E-2</v>
      </c>
      <c r="J71" s="19">
        <f>'Income Statement'!J43/'Balance Sheet'!J11</f>
        <v>7.6182688388432743E-2</v>
      </c>
      <c r="K71" s="19">
        <f>'Income Statement'!K43/'Balance Sheet'!K11</f>
        <v>0.1175057256338409</v>
      </c>
      <c r="L71" s="19">
        <f>'Income Statement'!L43/'Balance Sheet'!L11</f>
        <v>8.6785234666521355E-2</v>
      </c>
      <c r="M71" s="19">
        <f>'Income Statement'!M43/'Balance Sheet'!M11</f>
        <v>0.11958658437260605</v>
      </c>
      <c r="N71" s="19">
        <f>'Income Statement'!N43/'Balance Sheet'!N11</f>
        <v>0.19580983047665751</v>
      </c>
      <c r="O71" s="19">
        <f>'Income Statement'!O43/'Balance Sheet'!O11</f>
        <v>0.10311460312198759</v>
      </c>
      <c r="P71" s="19">
        <f>'Income Statement'!P43/'Balance Sheet'!P11</f>
        <v>0.10090445734765185</v>
      </c>
      <c r="Q71" s="19">
        <f>'Income Statement'!Q43/'Balance Sheet'!Q11</f>
        <v>0.19331830071372547</v>
      </c>
      <c r="R71" s="19">
        <f>'Income Statement'!R43/'Balance Sheet'!R11</f>
        <v>9.1651385908571303E-2</v>
      </c>
      <c r="S71" s="19">
        <f>'Income Statement'!S43/'Balance Sheet'!S11</f>
        <v>7.53661506802034E-2</v>
      </c>
      <c r="T71" s="19">
        <f>'Income Statement'!T43/'Balance Sheet'!T11</f>
        <v>0.15975595019728467</v>
      </c>
      <c r="U71" s="19">
        <f>'Income Statement'!U43/'Balance Sheet'!U11</f>
        <v>7.866841602459107E-2</v>
      </c>
      <c r="V71" s="19">
        <f>'Income Statement'!V43/'Balance Sheet'!V11</f>
        <v>7.9928147459483317E-2</v>
      </c>
      <c r="W71" s="19">
        <f>'Income Statement'!W43/'Balance Sheet'!W11</f>
        <v>0.15230874272765677</v>
      </c>
      <c r="X71" s="19">
        <f>'Income Statement'!X43/'Balance Sheet'!X11</f>
        <v>9.3176865734098641E-2</v>
      </c>
      <c r="Y71" s="19">
        <f>'Income Statement'!Y43/'Balance Sheet'!Y11</f>
        <v>8.7808869034841877E-2</v>
      </c>
      <c r="Z71" s="19">
        <f>'Income Statement'!Z43/'Balance Sheet'!Z11</f>
        <v>0.17280397956861795</v>
      </c>
      <c r="AA71" s="19">
        <f>'Income Statement'!AA43/'Balance Sheet'!AA11</f>
        <v>9.9625341593096009E-2</v>
      </c>
      <c r="AB71" s="19">
        <f>'Income Statement'!AB43/'Balance Sheet'!AB11</f>
        <v>9.9509807433632594E-2</v>
      </c>
      <c r="AC71" s="19">
        <f>'Income Statement'!AC43/'Balance Sheet'!AC11</f>
        <v>0.18922145046928959</v>
      </c>
      <c r="AD71" s="19">
        <f>'Income Statement'!AD43/'Balance Sheet'!AD11</f>
        <v>0.11756959735585248</v>
      </c>
      <c r="AE71" s="19">
        <f>'Income Statement'!AE43/'Balance Sheet'!AE11</f>
        <v>0.10835299418239447</v>
      </c>
      <c r="AF71" s="19">
        <f>'Income Statement'!AF43/'Balance Sheet'!AF11</f>
        <v>0.21318357363992183</v>
      </c>
      <c r="AG71" s="19">
        <f>'Income Statement'!AG43/'Balance Sheet'!AG11</f>
        <v>0.13280766576014172</v>
      </c>
      <c r="AH71" s="19">
        <f>'Income Statement'!AH43/'Balance Sheet'!AH11</f>
        <v>0.1234396834147421</v>
      </c>
      <c r="AI71" s="19">
        <f>'Income Statement'!AI43/'Balance Sheet'!AI11</f>
        <v>0.2398536129584011</v>
      </c>
    </row>
    <row r="72" spans="2:35" ht="12.9" customHeight="1" x14ac:dyDescent="0.3">
      <c r="B72" s="12" t="s">
        <v>71</v>
      </c>
      <c r="C72" s="19">
        <f>'Income Statement'!C27/('Balance Sheet'!C55-'Balance Sheet'!C28)</f>
        <v>6.3270124738068464E-2</v>
      </c>
      <c r="D72" s="19">
        <f>'Income Statement'!D27/('Balance Sheet'!D55-'Balance Sheet'!D28)</f>
        <v>0.10365705102542697</v>
      </c>
      <c r="E72" s="19">
        <f>'Income Statement'!E27/('Balance Sheet'!E55-'Balance Sheet'!E28)</f>
        <v>0.16658211994006436</v>
      </c>
      <c r="F72" s="19">
        <f>'Income Statement'!F27/('Balance Sheet'!F55-'Balance Sheet'!F28)</f>
        <v>8.0147828963209336E-2</v>
      </c>
      <c r="G72" s="19">
        <f>'Income Statement'!G27/('Balance Sheet'!G55-'Balance Sheet'!G28)</f>
        <v>7.1520474558443875E-2</v>
      </c>
      <c r="H72" s="19">
        <f>'Income Statement'!H27/('Balance Sheet'!H55-'Balance Sheet'!H28)</f>
        <v>0.14402221236628507</v>
      </c>
      <c r="I72" s="19">
        <f>'Income Statement'!I27/('Balance Sheet'!I55-'Balance Sheet'!I28)</f>
        <v>5.7804928577564293E-2</v>
      </c>
      <c r="J72" s="19">
        <f>'Income Statement'!J27/('Balance Sheet'!J55-'Balance Sheet'!J28)</f>
        <v>9.616510074947264E-2</v>
      </c>
      <c r="K72" s="19">
        <f>'Income Statement'!K27/('Balance Sheet'!K55-'Balance Sheet'!K28)</f>
        <v>0.14623554618135742</v>
      </c>
      <c r="L72" s="19">
        <f>'Income Statement'!L27/('Balance Sheet'!L55-'Balance Sheet'!L28)</f>
        <v>0.1026953837315573</v>
      </c>
      <c r="M72" s="19">
        <f>'Income Statement'!M27/('Balance Sheet'!M55-'Balance Sheet'!M28)</f>
        <v>0.10206683471774719</v>
      </c>
      <c r="N72" s="19">
        <f>'Income Statement'!N27/('Balance Sheet'!N55-'Balance Sheet'!N28)</f>
        <v>0.19588023922902975</v>
      </c>
      <c r="O72" s="19">
        <f>'Income Statement'!O27/('Balance Sheet'!O55-'Balance Sheet'!O28)</f>
        <v>0.11269441686471483</v>
      </c>
      <c r="P72" s="19">
        <f>'Income Statement'!P27/('Balance Sheet'!P55-'Balance Sheet'!P28)</f>
        <v>0.11946938836134699</v>
      </c>
      <c r="Q72" s="19">
        <f>'Income Statement'!Q27/('Balance Sheet'!Q55-'Balance Sheet'!Q28)</f>
        <v>0.22108297119378251</v>
      </c>
      <c r="R72" s="19">
        <f>'Income Statement'!R27/('Balance Sheet'!R55-'Balance Sheet'!R28)</f>
        <v>0.11889778063427181</v>
      </c>
      <c r="S72" s="19">
        <f>'Income Statement'!S27/('Balance Sheet'!S55-'Balance Sheet'!S28)</f>
        <v>9.1228080099406375E-2</v>
      </c>
      <c r="T72" s="19">
        <f>'Income Statement'!T27/('Balance Sheet'!T55-'Balance Sheet'!T28)</f>
        <v>0.19706893342567158</v>
      </c>
      <c r="U72" s="19">
        <f>'Income Statement'!U27/('Balance Sheet'!U55-'Balance Sheet'!U28)</f>
        <v>0.10194013944852959</v>
      </c>
      <c r="V72" s="19">
        <f>'Income Statement'!V27/('Balance Sheet'!V55-'Balance Sheet'!V28)</f>
        <v>0.10326975078024099</v>
      </c>
      <c r="W72" s="19">
        <f>'Income Statement'!W27/('Balance Sheet'!W55-'Balance Sheet'!W28)</f>
        <v>0.19723143450240438</v>
      </c>
      <c r="X72" s="19">
        <f>'Income Statement'!X27/('Balance Sheet'!X55-'Balance Sheet'!X28)</f>
        <v>0.11959024959473992</v>
      </c>
      <c r="Y72" s="19">
        <f>'Income Statement'!Y27/('Balance Sheet'!Y55-'Balance Sheet'!Y28)</f>
        <v>0.11301627914677632</v>
      </c>
      <c r="Z72" s="19">
        <f>'Income Statement'!Z27/('Balance Sheet'!Z55-'Balance Sheet'!Z28)</f>
        <v>0.22274477329839143</v>
      </c>
      <c r="AA72" s="19">
        <f>'Income Statement'!AA27/('Balance Sheet'!AA55-'Balance Sheet'!AA28)</f>
        <v>0.12757394017379967</v>
      </c>
      <c r="AB72" s="19">
        <f>'Income Statement'!AB27/('Balance Sheet'!AB55-'Balance Sheet'!AB28)</f>
        <v>0.12772888514228914</v>
      </c>
      <c r="AC72" s="19">
        <f>'Income Statement'!AC27/('Balance Sheet'!AC55-'Balance Sheet'!AC28)</f>
        <v>0.24331178830137662</v>
      </c>
      <c r="AD72" s="19">
        <f>'Income Statement'!AD27/('Balance Sheet'!AD55-'Balance Sheet'!AD28)</f>
        <v>0.15021350000027439</v>
      </c>
      <c r="AE72" s="19">
        <f>'Income Statement'!AE27/('Balance Sheet'!AE55-'Balance Sheet'!AE28)</f>
        <v>0.13902603453304607</v>
      </c>
      <c r="AF72" s="19">
        <f>'Income Statement'!AF27/('Balance Sheet'!AF55-'Balance Sheet'!AF28)</f>
        <v>0.27378361698406045</v>
      </c>
      <c r="AG72" s="19">
        <f>'Income Statement'!AG27/('Balance Sheet'!AG55-'Balance Sheet'!AG28)</f>
        <v>0.16963071626064311</v>
      </c>
      <c r="AH72" s="19">
        <f>'Income Statement'!AH27/('Balance Sheet'!AH55-'Balance Sheet'!AH28)</f>
        <v>0.15842600097239035</v>
      </c>
      <c r="AI72" s="19">
        <f>'Income Statement'!AI27/('Balance Sheet'!AI55-'Balance Sheet'!AI28)</f>
        <v>0.30807609896507554</v>
      </c>
    </row>
    <row r="73" spans="2:35" ht="12.9" customHeight="1" x14ac:dyDescent="0.3"/>
    <row r="74" spans="2:35" ht="12.9" customHeight="1" x14ac:dyDescent="0.3">
      <c r="B74" s="12" t="s">
        <v>76</v>
      </c>
      <c r="C74" s="21">
        <f>'Income Statement'!C27/'Income Statement'!C31</f>
        <v>81.260709010339752</v>
      </c>
      <c r="D74" s="21">
        <f>'Income Statement'!D27/'Income Statement'!D31</f>
        <v>492.52309782608711</v>
      </c>
      <c r="E74" s="21">
        <f>'Income Statement'!E27/'Income Statement'!E31</f>
        <v>169.14953542392576</v>
      </c>
      <c r="F74" s="21">
        <f>'Income Statement'!F27/'Income Statement'!F31</f>
        <v>132.21727395411602</v>
      </c>
      <c r="G74" s="21">
        <f>'Income Statement'!G27/'Income Statement'!G31</f>
        <v>35.830573405832915</v>
      </c>
      <c r="H74" s="21">
        <f>'Income Statement'!H27/'Income Statement'!H31</f>
        <v>56.60300533204073</v>
      </c>
      <c r="I74" s="21">
        <f>'Income Statement'!I27/'Income Statement'!I31</f>
        <v>40.301962757926582</v>
      </c>
      <c r="J74" s="21">
        <f>'Income Statement'!J27/'Income Statement'!J31</f>
        <v>56.809160305343447</v>
      </c>
      <c r="K74" s="21">
        <f>'Income Statement'!K27/'Income Statement'!K31</f>
        <v>49.822054959880703</v>
      </c>
      <c r="L74" s="21">
        <f>'Income Statement'!L27/'Income Statement'!L31</f>
        <v>253.2215771649735</v>
      </c>
      <c r="M74" s="21">
        <f>'Income Statement'!M27/'Income Statement'!M31</f>
        <v>28.940234791888976</v>
      </c>
      <c r="N74" s="21">
        <f>'Income Statement'!N27/'Income Statement'!N31</f>
        <v>50.260577630610726</v>
      </c>
      <c r="O74" s="21">
        <f>'Income Statement'!O27/'Income Statement'!O31</f>
        <v>33.149138018973794</v>
      </c>
      <c r="P74" s="21">
        <f>'Income Statement'!P27/'Income Statement'!P31</f>
        <v>55.439889719219394</v>
      </c>
      <c r="Q74" s="21">
        <f>'Income Statement'!Q27/'Income Statement'!Q31</f>
        <v>42.350774207074217</v>
      </c>
      <c r="R74" s="21">
        <f>'Income Statement'!R27/'Income Statement'!R31</f>
        <v>26.392228640515853</v>
      </c>
      <c r="S74" s="21">
        <f>'Income Statement'!S27/'Income Statement'!S31</f>
        <v>11.840456587480549</v>
      </c>
      <c r="T74" s="21">
        <f>'Income Statement'!T27/'Income Statement'!T31</f>
        <v>16.821815757101959</v>
      </c>
      <c r="U74" s="21">
        <f>'Income Statement'!U27/'Income Statement'!U31</f>
        <v>16.307422422725331</v>
      </c>
      <c r="V74" s="21">
        <f>'Income Statement'!V27/'Income Statement'!V31</f>
        <v>18.251325906032669</v>
      </c>
      <c r="W74" s="21">
        <f>'Income Statement'!W27/'Income Statement'!W31</f>
        <v>17.270549115686382</v>
      </c>
      <c r="X74" s="21">
        <f>'Income Statement'!X27/'Income Statement'!X31</f>
        <v>22.225539703342804</v>
      </c>
      <c r="Y74" s="21">
        <f>'Income Statement'!Y27/'Income Statement'!Y31</f>
        <v>24.078534309766685</v>
      </c>
      <c r="Z74" s="21">
        <f>'Income Statement'!Z27/'Income Statement'!Z31</f>
        <v>23.128622043598963</v>
      </c>
      <c r="AA74" s="21">
        <f>'Income Statement'!AA27/'Income Statement'!AA31</f>
        <v>28.520952167426756</v>
      </c>
      <c r="AB74" s="21">
        <f>'Income Statement'!AB27/'Income Statement'!AB31</f>
        <v>33.341573043593115</v>
      </c>
      <c r="AC74" s="21">
        <f>'Income Statement'!AC27/'Income Statement'!AC31</f>
        <v>30.863497485767137</v>
      </c>
      <c r="AD74" s="21">
        <f>'Income Statement'!AD27/'Income Statement'!AD31</f>
        <v>41.078639337897656</v>
      </c>
      <c r="AE74" s="21">
        <f>'Income Statement'!AE27/'Income Statement'!AE31</f>
        <v>45.152574245339373</v>
      </c>
      <c r="AF74" s="21">
        <f>'Income Statement'!AF27/'Income Statement'!AF31</f>
        <v>43.051081679522284</v>
      </c>
      <c r="AG74" s="21">
        <f>'Income Statement'!AG27/'Income Statement'!AG31</f>
        <v>57.246468246537724</v>
      </c>
      <c r="AH74" s="21">
        <f>'Income Statement'!AH27/'Income Statement'!AH31</f>
        <v>65.165606369456953</v>
      </c>
      <c r="AI74" s="21">
        <f>'Income Statement'!AI27/'Income Statement'!AI31</f>
        <v>61.062411260194438</v>
      </c>
    </row>
    <row r="75" spans="2:35" ht="12.9" customHeight="1" x14ac:dyDescent="0.3">
      <c r="B75" s="12" t="s">
        <v>78</v>
      </c>
      <c r="C75" s="21">
        <f>'Income Statement'!C51/('Income Statement'!C8*2)</f>
        <v>2.3540979089086957</v>
      </c>
      <c r="D75" s="21">
        <f>'Income Statement'!D51/('Income Statement'!D8*2)</f>
        <v>2.0460698825213259</v>
      </c>
      <c r="E75" s="21">
        <f>'Income Statement'!E51/'Income Statement'!E8</f>
        <v>2.3784040639186963</v>
      </c>
      <c r="F75" s="21">
        <f>'Income Statement'!F51/('Income Statement'!F8*2)</f>
        <v>3.5867473982759397</v>
      </c>
      <c r="G75" s="21">
        <f>'Income Statement'!G51/('Income Statement'!G8*2)</f>
        <v>2.7209566369252451</v>
      </c>
      <c r="H75" s="21">
        <f>'Income Statement'!H51/'Income Statement'!H8</f>
        <v>2.7789191861965801</v>
      </c>
      <c r="I75" s="21">
        <f>'Income Statement'!I51/('Income Statement'!I8*2)</f>
        <v>2.7823628911666618</v>
      </c>
      <c r="J75" s="21">
        <f>'Income Statement'!J51/('Income Statement'!J8*2)</f>
        <v>2.7051331795930578</v>
      </c>
      <c r="K75" s="21">
        <f>'Income Statement'!K51/'Income Statement'!K8</f>
        <v>3.4012771063511997</v>
      </c>
      <c r="L75" s="21">
        <f>'Income Statement'!L51/('Income Statement'!L8*2)</f>
        <v>4.5162453906801767</v>
      </c>
      <c r="M75" s="21">
        <f>'Income Statement'!M51/('Income Statement'!M8*2)</f>
        <v>6.8325682593138968</v>
      </c>
      <c r="N75" s="21">
        <f>'Income Statement'!N51/'Income Statement'!N8</f>
        <v>7.0841154002338369</v>
      </c>
      <c r="O75" s="21">
        <f>'Income Statement'!O51/('Income Statement'!O8*2)</f>
        <v>9.2861417377571147</v>
      </c>
      <c r="P75" s="21">
        <f>'Income Statement'!P51/('Income Statement'!P8*2)</f>
        <v>7.6086519499568528</v>
      </c>
      <c r="Q75" s="21">
        <f>'Income Statement'!Q51/'Income Statement'!Q8</f>
        <v>8.1747286110815427</v>
      </c>
      <c r="R75" s="21">
        <f>'Income Statement'!R51/('Income Statement'!R8*2)</f>
        <v>6.0134216165798229</v>
      </c>
      <c r="S75" s="21">
        <f>'Income Statement'!S51/('Income Statement'!S8*2)</f>
        <v>4.4433631145041117</v>
      </c>
      <c r="T75" s="21">
        <f>'Income Statement'!T51/'Income Statement'!T8</f>
        <v>4.4826115178422352</v>
      </c>
      <c r="U75" s="21">
        <f>'Income Statement'!U51/('Income Statement'!U8*2)</f>
        <v>0</v>
      </c>
      <c r="V75" s="21">
        <f>'Income Statement'!V51/('Income Statement'!V8*2)</f>
        <v>0</v>
      </c>
      <c r="W75" s="21">
        <f>'Income Statement'!W51/('Income Statement'!W8*2)</f>
        <v>0</v>
      </c>
      <c r="X75" s="21">
        <f>'Income Statement'!X51/('Income Statement'!X8*2)</f>
        <v>0</v>
      </c>
      <c r="Y75" s="21">
        <f>'Income Statement'!Y51/('Income Statement'!Y8*2)</f>
        <v>0</v>
      </c>
      <c r="Z75" s="21">
        <f>'Income Statement'!Z51/('Income Statement'!Z8*2)</f>
        <v>0</v>
      </c>
      <c r="AA75" s="21">
        <f>'Income Statement'!AA51/('Income Statement'!AA8*2)</f>
        <v>0</v>
      </c>
      <c r="AB75" s="21">
        <f>'Income Statement'!AB51/('Income Statement'!AB8*2)</f>
        <v>0</v>
      </c>
      <c r="AC75" s="21">
        <f>'Income Statement'!AC51/('Income Statement'!AC8*2)</f>
        <v>0</v>
      </c>
      <c r="AD75" s="21">
        <f>'Income Statement'!AD51/('Income Statement'!AD8*2)</f>
        <v>0</v>
      </c>
      <c r="AE75" s="21">
        <f>'Income Statement'!AE51/('Income Statement'!AE8*2)</f>
        <v>0</v>
      </c>
      <c r="AF75" s="21">
        <f>'Income Statement'!AF51/('Income Statement'!AF8*2)</f>
        <v>0</v>
      </c>
      <c r="AG75" s="21">
        <f>'Income Statement'!AG51/('Income Statement'!AG8*2)</f>
        <v>0</v>
      </c>
      <c r="AH75" s="21">
        <f>'Income Statement'!AH51/('Income Statement'!AH8*2)</f>
        <v>0</v>
      </c>
      <c r="AI75" s="21">
        <f>'Income Statement'!AI51/('Income Statement'!AI8*2)</f>
        <v>0</v>
      </c>
    </row>
    <row r="76" spans="2:35" ht="12.9" customHeight="1" x14ac:dyDescent="0.3">
      <c r="B76" s="12" t="s">
        <v>79</v>
      </c>
      <c r="C76" s="21">
        <f>'Income Statement'!C50/'Income Statement'!C49</f>
        <v>32.6372685789174</v>
      </c>
      <c r="D76" s="21">
        <f>'Income Statement'!D50/'Income Statement'!D49</f>
        <v>18.109191898527001</v>
      </c>
      <c r="E76" s="21">
        <f>'Income Statement'!E50/'Income Statement'!E49</f>
        <v>12.403648791552071</v>
      </c>
      <c r="F76" s="21">
        <f>'Income Statement'!F50/'Income Statement'!F49</f>
        <v>42.804354884425372</v>
      </c>
      <c r="G76" s="21">
        <f>'Income Statement'!G50/'Income Statement'!G49</f>
        <v>20.850690142128283</v>
      </c>
      <c r="H76" s="21">
        <f>'Income Statement'!H50/'Income Statement'!H49</f>
        <v>12.908030897083847</v>
      </c>
      <c r="I76" s="21">
        <f>'Income Statement'!I50/'Income Statement'!I49</f>
        <v>46.995031183824132</v>
      </c>
      <c r="J76" s="21">
        <f>'Income Statement'!J50/'Income Statement'!J49</f>
        <v>41.959196564868385</v>
      </c>
      <c r="K76" s="21">
        <f>'Income Statement'!K50/'Income Statement'!K49</f>
        <v>27.203477785339302</v>
      </c>
      <c r="L76" s="21">
        <f>'Income Statement'!L50/'Income Statement'!L49</f>
        <v>59.438062966889163</v>
      </c>
      <c r="M76" s="21">
        <f>'Income Statement'!M50/'Income Statement'!M49</f>
        <v>61.697620741165132</v>
      </c>
      <c r="N76" s="21">
        <f>'Income Statement'!N50/'Income Statement'!N49</f>
        <v>37.680476564387554</v>
      </c>
      <c r="O76" s="21">
        <f>'Income Statement'!O50/'Income Statement'!O49</f>
        <v>111.37238808807247</v>
      </c>
      <c r="P76" s="21">
        <f>'Income Statement'!P50/'Income Statement'!P49</f>
        <v>97.010438660842993</v>
      </c>
      <c r="Q76" s="21">
        <f>'Income Statement'!Q50/'Income Statement'!Q49</f>
        <v>50.635587184400656</v>
      </c>
      <c r="R76" s="21">
        <f>'Income Statement'!R50/'Income Statement'!R49</f>
        <v>84.046605440555354</v>
      </c>
      <c r="S76" s="21">
        <f>'Income Statement'!S50/'Income Statement'!S49</f>
        <v>70.777697418320457</v>
      </c>
      <c r="T76" s="21">
        <f>'Income Statement'!T50/'Income Statement'!T49</f>
        <v>33.389946364061302</v>
      </c>
      <c r="U76" s="21">
        <f>'Income Statement'!U50/'Income Statement'!U49</f>
        <v>0</v>
      </c>
      <c r="V76" s="21">
        <f>'Income Statement'!V50/'Income Statement'!V49</f>
        <v>0</v>
      </c>
      <c r="W76" s="21">
        <f>'Income Statement'!W50/'Income Statement'!W49</f>
        <v>0</v>
      </c>
      <c r="X76" s="21">
        <f>'Income Statement'!X50/'Income Statement'!X49</f>
        <v>0</v>
      </c>
      <c r="Y76" s="21">
        <f>'Income Statement'!Y50/'Income Statement'!Y49</f>
        <v>0</v>
      </c>
      <c r="Z76" s="21">
        <f>'Income Statement'!Z50/'Income Statement'!Z49</f>
        <v>0</v>
      </c>
      <c r="AA76" s="21">
        <f>'Income Statement'!AA50/'Income Statement'!AA49</f>
        <v>0</v>
      </c>
      <c r="AB76" s="21">
        <f>'Income Statement'!AB50/'Income Statement'!AB49</f>
        <v>0</v>
      </c>
      <c r="AC76" s="21">
        <f>'Income Statement'!AC50/'Income Statement'!AC49</f>
        <v>0</v>
      </c>
      <c r="AD76" s="21">
        <f>'Income Statement'!AD50/'Income Statement'!AD49</f>
        <v>0</v>
      </c>
      <c r="AE76" s="21">
        <f>'Income Statement'!AE50/'Income Statement'!AE49</f>
        <v>0</v>
      </c>
      <c r="AF76" s="21">
        <f>'Income Statement'!AF50/'Income Statement'!AF49</f>
        <v>0</v>
      </c>
      <c r="AG76" s="21">
        <f>'Income Statement'!AG50/'Income Statement'!AG49</f>
        <v>0</v>
      </c>
      <c r="AH76" s="21">
        <f>'Income Statement'!AH50/'Income Statement'!AH49</f>
        <v>0</v>
      </c>
      <c r="AI76" s="21">
        <f>'Income Statement'!AI50/'Income Statement'!AI49</f>
        <v>0</v>
      </c>
    </row>
    <row r="77" spans="2:35" ht="12.9" customHeight="1" x14ac:dyDescent="0.3">
      <c r="B77" s="12" t="s">
        <v>80</v>
      </c>
      <c r="C77" s="21">
        <f>('Income Statement'!C51+SUM('Balance Sheet'!C19,'Balance Sheet'!C20,'Balance Sheet'!C13,'Balance Sheet'!C14)-'Balance Sheet'!C49)/'Income Statement'!C23</f>
        <v>18.999848700806549</v>
      </c>
      <c r="D77" s="21">
        <f>('Income Statement'!D51+SUM('Balance Sheet'!D19,'Balance Sheet'!D20,'Balance Sheet'!D13,'Balance Sheet'!D14)-'Balance Sheet'!D49)/'Income Statement'!D23</f>
        <v>15.625060072394632</v>
      </c>
      <c r="E77" s="21">
        <f>('Income Statement'!E51+SUM('Balance Sheet'!E19,'Balance Sheet'!E20,'Balance Sheet'!E13,'Balance Sheet'!E14)-'Balance Sheet'!E49)/'Income Statement'!E23</f>
        <v>9.5986602143656992</v>
      </c>
      <c r="F77" s="21">
        <f>('Income Statement'!F51+SUM('Balance Sheet'!F19,'Balance Sheet'!F20,'Balance Sheet'!F13,'Balance Sheet'!F14)-'Balance Sheet'!F49)/'Income Statement'!F23</f>
        <v>28.316866530597171</v>
      </c>
      <c r="G77" s="21">
        <f>('Income Statement'!G51+SUM('Balance Sheet'!G19,'Balance Sheet'!G20,'Balance Sheet'!G13,'Balance Sheet'!G14)-'Balance Sheet'!G49)/'Income Statement'!G23</f>
        <v>22.744331553644965</v>
      </c>
      <c r="H77" s="21">
        <f>('Income Statement'!H51+SUM('Balance Sheet'!H19,'Balance Sheet'!H20,'Balance Sheet'!H13,'Balance Sheet'!H14)-'Balance Sheet'!H49)/'Income Statement'!H23</f>
        <v>11.310736950936148</v>
      </c>
      <c r="I77" s="21">
        <f>('Income Statement'!I51+SUM('Balance Sheet'!I19,'Balance Sheet'!I20,'Balance Sheet'!I13,'Balance Sheet'!I14)-'Balance Sheet'!I49)/'Income Statement'!I23</f>
        <v>27.900060979894175</v>
      </c>
      <c r="J77" s="21">
        <f>('Income Statement'!J51+SUM('Balance Sheet'!J19,'Balance Sheet'!J20,'Balance Sheet'!J13,'Balance Sheet'!J14)-'Balance Sheet'!J49)/'Income Statement'!J23</f>
        <v>26.55018293952822</v>
      </c>
      <c r="K77" s="21">
        <f>('Income Statement'!K51+SUM('Balance Sheet'!K19,'Balance Sheet'!K20,'Balance Sheet'!K13,'Balance Sheet'!K14)-'Balance Sheet'!K49)/'Income Statement'!K23</f>
        <v>16.955797812463352</v>
      </c>
      <c r="L77" s="21">
        <f>('Income Statement'!L51+SUM('Balance Sheet'!L19,'Balance Sheet'!L20,'Balance Sheet'!L13,'Balance Sheet'!L14)-'Balance Sheet'!L49)/'Income Statement'!L23</f>
        <v>40.854669082597546</v>
      </c>
      <c r="M77" s="21">
        <f>('Income Statement'!M51+SUM('Balance Sheet'!M19,'Balance Sheet'!M20,'Balance Sheet'!M13,'Balance Sheet'!M14)-'Balance Sheet'!M49)/'Income Statement'!M23</f>
        <v>57.902540671823488</v>
      </c>
      <c r="N77" s="21">
        <f>('Income Statement'!N51+SUM('Balance Sheet'!N19,'Balance Sheet'!N20,'Balance Sheet'!N13,'Balance Sheet'!N14)-'Balance Sheet'!N49)/'Income Statement'!N23</f>
        <v>30.781073324307748</v>
      </c>
      <c r="O77" s="21">
        <f>('Income Statement'!O51+SUM('Balance Sheet'!O19,'Balance Sheet'!O20,'Balance Sheet'!O13,'Balance Sheet'!O14)-'Balance Sheet'!O49)/'Income Statement'!O23</f>
        <v>82.698400512653251</v>
      </c>
      <c r="P77" s="21">
        <f>('Income Statement'!P51+SUM('Balance Sheet'!P19,'Balance Sheet'!P20,'Balance Sheet'!P13,'Balance Sheet'!P14)-'Balance Sheet'!P49)/'Income Statement'!P23</f>
        <v>67.737374614772634</v>
      </c>
      <c r="Q77" s="21">
        <f>('Income Statement'!Q51+SUM('Balance Sheet'!Q19,'Balance Sheet'!Q20,'Balance Sheet'!Q13,'Balance Sheet'!Q14)-'Balance Sheet'!Q49)/'Income Statement'!Q23</f>
        <v>36.436799012250013</v>
      </c>
      <c r="R77" s="21">
        <f>('Income Statement'!R51+SUM('Balance Sheet'!R19,'Balance Sheet'!R20,'Balance Sheet'!R13,'Balance Sheet'!R14)-'Balance Sheet'!R49)/'Income Statement'!R23</f>
        <v>55.087100475019554</v>
      </c>
      <c r="S77" s="21">
        <f>('Income Statement'!S51+SUM('Balance Sheet'!S19,'Balance Sheet'!S20,'Balance Sheet'!S13,'Balance Sheet'!S14)-'Balance Sheet'!S49)/'Income Statement'!S23</f>
        <v>46.054054137760161</v>
      </c>
      <c r="T77" s="21">
        <f>('Income Statement'!T51+SUM('Balance Sheet'!T19,'Balance Sheet'!T20,'Balance Sheet'!T13,'Balance Sheet'!T14)-'Balance Sheet'!T49)/'Income Statement'!T23</f>
        <v>21.771847823465713</v>
      </c>
      <c r="U77" s="21">
        <f>('Income Statement'!U51+SUM('Balance Sheet'!U19,'Balance Sheet'!U20,'Balance Sheet'!U13,'Balance Sheet'!U14)-'Balance Sheet'!U49)/'Income Statement'!U23</f>
        <v>0.65041693217136765</v>
      </c>
      <c r="V77" s="21">
        <f>('Income Statement'!V51+SUM('Balance Sheet'!V19,'Balance Sheet'!V20,'Balance Sheet'!V13,'Balance Sheet'!V14)-'Balance Sheet'!V49)/'Income Statement'!V23</f>
        <v>0.27097306661590365</v>
      </c>
      <c r="W77" s="21">
        <f>('Income Statement'!W51+SUM('Balance Sheet'!W19,'Balance Sheet'!W20,'Balance Sheet'!W13,'Balance Sheet'!W14)-'Balance Sheet'!W49)/'Income Statement'!W23</f>
        <v>0.14099048471291203</v>
      </c>
      <c r="X77" s="21">
        <f>('Income Statement'!X51+SUM('Balance Sheet'!X19,'Balance Sheet'!X20,'Balance Sheet'!X13,'Balance Sheet'!X14)-'Balance Sheet'!X49)/'Income Statement'!X23</f>
        <v>-0.22593786516402736</v>
      </c>
      <c r="Y77" s="21">
        <f>('Income Statement'!Y51+SUM('Balance Sheet'!Y19,'Balance Sheet'!Y20,'Balance Sheet'!Y13,'Balance Sheet'!Y14)-'Balance Sheet'!Y49)/'Income Statement'!Y23</f>
        <v>-0.61340732277791143</v>
      </c>
      <c r="Z77" s="21">
        <f>('Income Statement'!Z51+SUM('Balance Sheet'!Z19,'Balance Sheet'!Z20,'Balance Sheet'!Z13,'Balance Sheet'!Z14)-'Balance Sheet'!Z49)/'Income Statement'!Z23</f>
        <v>-0.31065703431913488</v>
      </c>
      <c r="AA77" s="21">
        <f>('Income Statement'!AA51+SUM('Balance Sheet'!AA19,'Balance Sheet'!AA20,'Balance Sheet'!AA13,'Balance Sheet'!AA14)-'Balance Sheet'!AA49)/'Income Statement'!AA23</f>
        <v>-0.82035149882698777</v>
      </c>
      <c r="AB77" s="21">
        <f>('Income Statement'!AB51+SUM('Balance Sheet'!AB19,'Balance Sheet'!AB20,'Balance Sheet'!AB13,'Balance Sheet'!AB14)-'Balance Sheet'!AB49)/'Income Statement'!AB23</f>
        <v>-1.1683773689015662</v>
      </c>
      <c r="AC77" s="21">
        <f>('Income Statement'!AC51+SUM('Balance Sheet'!AC19,'Balance Sheet'!AC20,'Balance Sheet'!AC13,'Balance Sheet'!AC14)-'Balance Sheet'!AC49)/'Income Statement'!AC23</f>
        <v>-0.61015181590121048</v>
      </c>
      <c r="AD77" s="21">
        <f>('Income Statement'!AD51+SUM('Balance Sheet'!AD19,'Balance Sheet'!AD20,'Balance Sheet'!AD13,'Balance Sheet'!AD14)-'Balance Sheet'!AD49)/'Income Statement'!AD23</f>
        <v>-1.159286507231601</v>
      </c>
      <c r="AE77" s="21">
        <f>('Income Statement'!AE51+SUM('Balance Sheet'!AE19,'Balance Sheet'!AE20,'Balance Sheet'!AE13,'Balance Sheet'!AE14)-'Balance Sheet'!AE49)/'Income Statement'!AE23</f>
        <v>-1.656199526304839</v>
      </c>
      <c r="AF77" s="21">
        <f>('Income Statement'!AF51+SUM('Balance Sheet'!AF19,'Balance Sheet'!AF20,'Balance Sheet'!AF13,'Balance Sheet'!AF14)-'Balance Sheet'!AF49)/'Income Statement'!AF23</f>
        <v>-0.83985273958655116</v>
      </c>
      <c r="AG77" s="21">
        <f>('Income Statement'!AG51+SUM('Balance Sheet'!AG19,'Balance Sheet'!AG20,'Balance Sheet'!AG13,'Balance Sheet'!AG14)-'Balance Sheet'!AG49)/'Income Statement'!AG23</f>
        <v>-1.5188493694988112</v>
      </c>
      <c r="AH77" s="21">
        <f>('Income Statement'!AH51+SUM('Balance Sheet'!AH19,'Balance Sheet'!AH20,'Balance Sheet'!AH13,'Balance Sheet'!AH14)-'Balance Sheet'!AH49)/'Income Statement'!AH23</f>
        <v>-1.984964301859331</v>
      </c>
      <c r="AI77" s="21">
        <f>('Income Statement'!AI51+SUM('Balance Sheet'!AI19,'Balance Sheet'!AI20,'Balance Sheet'!AI13,'Balance Sheet'!AI14)-'Balance Sheet'!AI49)/'Income Statement'!AI23</f>
        <v>-1.0186523040169637</v>
      </c>
    </row>
    <row r="78" spans="2:35" ht="12.9" customHeight="1" x14ac:dyDescent="0.3"/>
    <row r="79" spans="2:35" ht="12.9" customHeight="1" x14ac:dyDescent="0.3"/>
    <row r="80" spans="2:35" ht="12.9" customHeight="1" x14ac:dyDescent="0.3"/>
    <row r="81" ht="12.9" customHeight="1" x14ac:dyDescent="0.3"/>
    <row r="82" ht="12.9" customHeight="1" x14ac:dyDescent="0.3"/>
    <row r="83" ht="12.9" customHeight="1" x14ac:dyDescent="0.3"/>
    <row r="84" ht="12.9" customHeight="1" x14ac:dyDescent="0.3"/>
    <row r="85" ht="12.9" customHeight="1" x14ac:dyDescent="0.3"/>
    <row r="86" ht="12.9" customHeight="1" x14ac:dyDescent="0.3"/>
    <row r="87" ht="12.9" customHeight="1" x14ac:dyDescent="0.3"/>
    <row r="88" ht="12.9" customHeight="1" x14ac:dyDescent="0.3"/>
    <row r="89" ht="12.9" customHeight="1" x14ac:dyDescent="0.3"/>
    <row r="90" ht="12.9" customHeight="1" x14ac:dyDescent="0.3"/>
    <row r="91" ht="12.9" customHeight="1" x14ac:dyDescent="0.3"/>
    <row r="92" ht="12.9" customHeight="1" x14ac:dyDescent="0.3"/>
    <row r="93" ht="12.9" customHeight="1" x14ac:dyDescent="0.3"/>
    <row r="94" ht="12.9" customHeight="1" x14ac:dyDescent="0.3"/>
    <row r="95" ht="12.9" customHeight="1" x14ac:dyDescent="0.3"/>
    <row r="96" ht="12.9" customHeight="1" x14ac:dyDescent="0.3"/>
    <row r="97" ht="12.9" customHeight="1" x14ac:dyDescent="0.3"/>
    <row r="98" ht="12.9" customHeight="1" x14ac:dyDescent="0.3"/>
    <row r="99" ht="12.9" customHeight="1" x14ac:dyDescent="0.3"/>
    <row r="100" ht="12.9" customHeight="1" x14ac:dyDescent="0.3"/>
    <row r="101" ht="12.9" customHeight="1" x14ac:dyDescent="0.3"/>
    <row r="102" ht="12.9" customHeight="1" x14ac:dyDescent="0.3"/>
    <row r="103" ht="12.9" customHeight="1" x14ac:dyDescent="0.3"/>
    <row r="104" ht="12.9" customHeight="1" x14ac:dyDescent="0.3"/>
    <row r="105" ht="12.9" customHeight="1" x14ac:dyDescent="0.3"/>
    <row r="106" ht="12.9" customHeight="1" x14ac:dyDescent="0.3"/>
    <row r="107" ht="12.9" customHeight="1" x14ac:dyDescent="0.3"/>
    <row r="108" ht="12.9" customHeight="1" x14ac:dyDescent="0.3"/>
    <row r="109" ht="12.9" customHeight="1" x14ac:dyDescent="0.3"/>
    <row r="110" ht="12.9" customHeight="1" x14ac:dyDescent="0.3"/>
    <row r="111" ht="12.9" customHeight="1" x14ac:dyDescent="0.3"/>
    <row r="112" ht="12.9" customHeight="1" x14ac:dyDescent="0.3"/>
    <row r="113" ht="12.9" customHeight="1" x14ac:dyDescent="0.3"/>
    <row r="114" ht="12.9" customHeight="1" x14ac:dyDescent="0.3"/>
    <row r="115" ht="12.9" customHeight="1" x14ac:dyDescent="0.3"/>
    <row r="116" ht="12.9" customHeight="1" x14ac:dyDescent="0.3"/>
    <row r="117" ht="12.9" customHeight="1" x14ac:dyDescent="0.3"/>
    <row r="118" ht="12.9" customHeight="1" x14ac:dyDescent="0.3"/>
    <row r="119" ht="12.9" customHeight="1" x14ac:dyDescent="0.3"/>
    <row r="120" ht="12.9" customHeight="1" x14ac:dyDescent="0.3"/>
    <row r="121" ht="12.9" customHeight="1" x14ac:dyDescent="0.3"/>
    <row r="122" ht="12.9" customHeight="1" x14ac:dyDescent="0.3"/>
    <row r="123" ht="12.9" customHeight="1" x14ac:dyDescent="0.3"/>
    <row r="124" ht="12.9" customHeight="1" x14ac:dyDescent="0.3"/>
    <row r="125" ht="12.9" customHeight="1" x14ac:dyDescent="0.3"/>
    <row r="126" ht="12.9" customHeight="1" x14ac:dyDescent="0.3"/>
    <row r="127" ht="12.9" customHeight="1" x14ac:dyDescent="0.3"/>
    <row r="128" ht="12.9" customHeight="1" x14ac:dyDescent="0.3"/>
    <row r="129" ht="12.9" customHeight="1" x14ac:dyDescent="0.3"/>
    <row r="130" ht="12.9" customHeight="1" x14ac:dyDescent="0.3"/>
    <row r="131" ht="12.9" customHeight="1" x14ac:dyDescent="0.3"/>
    <row r="132" ht="12.9" customHeight="1" x14ac:dyDescent="0.3"/>
    <row r="133" ht="12.9" customHeight="1" x14ac:dyDescent="0.3"/>
    <row r="134" ht="12.9" customHeight="1" x14ac:dyDescent="0.3"/>
    <row r="135" ht="12.9" customHeight="1" x14ac:dyDescent="0.3"/>
    <row r="136" ht="12.9" customHeight="1" x14ac:dyDescent="0.3"/>
    <row r="137" ht="12.9" customHeight="1" x14ac:dyDescent="0.3"/>
    <row r="138" ht="12.9" customHeight="1" x14ac:dyDescent="0.3"/>
    <row r="139" ht="12.9" customHeight="1" x14ac:dyDescent="0.3"/>
    <row r="140" ht="12.9" customHeight="1" x14ac:dyDescent="0.3"/>
    <row r="141" ht="12.9" customHeight="1" x14ac:dyDescent="0.3"/>
    <row r="142" ht="12.9" customHeight="1" x14ac:dyDescent="0.3"/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37C8A-D56A-462A-B0E2-060EFDFAA693}">
  <sheetPr>
    <tabColor rgb="FF8E1C2F"/>
  </sheetPr>
  <dimension ref="A1:AJ100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defaultColWidth="10.5546875" defaultRowHeight="13.8" outlineLevelRow="1" outlineLevelCol="1" x14ac:dyDescent="0.3"/>
  <cols>
    <col min="1" max="1" width="2.6640625" style="12" customWidth="1"/>
    <col min="2" max="2" width="55.6640625" style="16" customWidth="1"/>
    <col min="3" max="4" width="10.6640625" style="12" hidden="1" customWidth="1" outlineLevel="1"/>
    <col min="5" max="5" width="10.6640625" style="12" customWidth="1" collapsed="1"/>
    <col min="6" max="7" width="10.6640625" style="12" hidden="1" customWidth="1" outlineLevel="1"/>
    <col min="8" max="8" width="10.6640625" style="12" customWidth="1" collapsed="1"/>
    <col min="9" max="10" width="10.6640625" style="12" hidden="1" customWidth="1" outlineLevel="1"/>
    <col min="11" max="11" width="10.6640625" style="12" customWidth="1" collapsed="1"/>
    <col min="12" max="13" width="10.6640625" style="12" hidden="1" customWidth="1" outlineLevel="1"/>
    <col min="14" max="14" width="10.6640625" style="12" customWidth="1" collapsed="1"/>
    <col min="15" max="16" width="10.6640625" style="12" hidden="1" customWidth="1" outlineLevel="1"/>
    <col min="17" max="17" width="10.6640625" style="12" customWidth="1" collapsed="1"/>
    <col min="18" max="19" width="10.6640625" style="12" hidden="1" customWidth="1" outlineLevel="1"/>
    <col min="20" max="20" width="10.6640625" style="12" customWidth="1" collapsed="1"/>
    <col min="21" max="22" width="10.6640625" style="12" hidden="1" customWidth="1" outlineLevel="1"/>
    <col min="23" max="23" width="10.6640625" style="12" customWidth="1" collapsed="1"/>
    <col min="24" max="25" width="10.6640625" style="12" hidden="1" customWidth="1" outlineLevel="1"/>
    <col min="26" max="26" width="10.6640625" style="12" customWidth="1" collapsed="1"/>
    <col min="27" max="28" width="10.6640625" style="12" hidden="1" customWidth="1" outlineLevel="1"/>
    <col min="29" max="29" width="10.6640625" style="12" customWidth="1" collapsed="1"/>
    <col min="30" max="31" width="10.6640625" style="12" hidden="1" customWidth="1" outlineLevel="1"/>
    <col min="32" max="32" width="10.6640625" style="12" customWidth="1" collapsed="1"/>
    <col min="33" max="34" width="10.6640625" style="12" hidden="1" customWidth="1" outlineLevel="1"/>
    <col min="35" max="35" width="10.6640625" style="12" customWidth="1" collapsed="1"/>
    <col min="36" max="62" width="10.6640625" style="12" customWidth="1"/>
    <col min="63" max="16384" width="10.5546875" style="12"/>
  </cols>
  <sheetData>
    <row r="1" spans="1:35" ht="12.9" customHeight="1" x14ac:dyDescent="0.3">
      <c r="A1" s="1"/>
      <c r="B1" s="1" t="s">
        <v>83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35" ht="12.9" customHeight="1" x14ac:dyDescent="0.3">
      <c r="A2" s="3"/>
      <c r="B2" s="12" t="s">
        <v>963</v>
      </c>
      <c r="C2" s="344" t="s">
        <v>161</v>
      </c>
      <c r="D2" s="344" t="s">
        <v>159</v>
      </c>
      <c r="E2" s="344" t="s">
        <v>160</v>
      </c>
      <c r="F2" s="344" t="s">
        <v>161</v>
      </c>
      <c r="G2" s="344" t="s">
        <v>159</v>
      </c>
      <c r="H2" s="344" t="s">
        <v>160</v>
      </c>
      <c r="I2" s="344" t="s">
        <v>161</v>
      </c>
      <c r="J2" s="344" t="s">
        <v>159</v>
      </c>
      <c r="K2" s="344" t="s">
        <v>160</v>
      </c>
      <c r="L2" s="344" t="s">
        <v>161</v>
      </c>
      <c r="M2" s="344" t="s">
        <v>159</v>
      </c>
      <c r="N2" s="344" t="s">
        <v>160</v>
      </c>
      <c r="O2" s="344" t="s">
        <v>161</v>
      </c>
      <c r="P2" s="344" t="s">
        <v>159</v>
      </c>
      <c r="Q2" s="344" t="s">
        <v>160</v>
      </c>
      <c r="R2" s="344" t="s">
        <v>161</v>
      </c>
      <c r="S2" s="344" t="s">
        <v>159</v>
      </c>
      <c r="T2" s="344" t="s">
        <v>160</v>
      </c>
      <c r="U2" s="345" t="s">
        <v>161</v>
      </c>
      <c r="V2" s="345" t="s">
        <v>159</v>
      </c>
      <c r="W2" s="345" t="s">
        <v>160</v>
      </c>
      <c r="X2" s="345" t="s">
        <v>161</v>
      </c>
      <c r="Y2" s="345" t="s">
        <v>159</v>
      </c>
      <c r="Z2" s="345" t="s">
        <v>160</v>
      </c>
      <c r="AA2" s="345" t="s">
        <v>161</v>
      </c>
      <c r="AB2" s="345" t="s">
        <v>159</v>
      </c>
      <c r="AC2" s="345" t="s">
        <v>160</v>
      </c>
      <c r="AD2" s="345" t="s">
        <v>161</v>
      </c>
      <c r="AE2" s="345" t="s">
        <v>159</v>
      </c>
      <c r="AF2" s="345" t="s">
        <v>160</v>
      </c>
      <c r="AG2" s="345" t="s">
        <v>161</v>
      </c>
      <c r="AH2" s="345" t="s">
        <v>159</v>
      </c>
      <c r="AI2" s="345" t="s">
        <v>160</v>
      </c>
    </row>
    <row r="3" spans="1:35" ht="12.9" customHeight="1" x14ac:dyDescent="0.3">
      <c r="A3" s="3"/>
      <c r="B3" s="12" t="s">
        <v>114</v>
      </c>
      <c r="C3" s="346">
        <v>2021</v>
      </c>
      <c r="D3" s="346">
        <v>2021</v>
      </c>
      <c r="E3" s="346">
        <v>2021</v>
      </c>
      <c r="F3" s="347">
        <v>2022</v>
      </c>
      <c r="G3" s="347">
        <v>2022</v>
      </c>
      <c r="H3" s="347">
        <v>2022</v>
      </c>
      <c r="I3" s="348">
        <v>2023</v>
      </c>
      <c r="J3" s="348">
        <v>2023</v>
      </c>
      <c r="K3" s="348">
        <v>2023</v>
      </c>
      <c r="L3" s="348">
        <v>2024</v>
      </c>
      <c r="M3" s="348">
        <v>2024</v>
      </c>
      <c r="N3" s="348">
        <v>2024</v>
      </c>
      <c r="O3" s="348">
        <v>2025</v>
      </c>
      <c r="P3" s="348">
        <v>2025</v>
      </c>
      <c r="Q3" s="348">
        <v>2025</v>
      </c>
      <c r="R3" s="348">
        <v>2026</v>
      </c>
      <c r="S3" s="348">
        <v>2026</v>
      </c>
      <c r="T3" s="348">
        <v>2026</v>
      </c>
      <c r="U3" s="349" t="s">
        <v>162</v>
      </c>
      <c r="V3" s="349" t="s">
        <v>162</v>
      </c>
      <c r="W3" s="349" t="s">
        <v>162</v>
      </c>
      <c r="X3" s="349" t="s">
        <v>163</v>
      </c>
      <c r="Y3" s="349" t="s">
        <v>163</v>
      </c>
      <c r="Z3" s="349" t="s">
        <v>163</v>
      </c>
      <c r="AA3" s="349" t="s">
        <v>164</v>
      </c>
      <c r="AB3" s="349" t="s">
        <v>164</v>
      </c>
      <c r="AC3" s="349" t="s">
        <v>164</v>
      </c>
      <c r="AD3" s="349" t="s">
        <v>165</v>
      </c>
      <c r="AE3" s="349" t="s">
        <v>165</v>
      </c>
      <c r="AF3" s="349" t="s">
        <v>165</v>
      </c>
      <c r="AG3" s="349" t="s">
        <v>166</v>
      </c>
      <c r="AH3" s="349" t="s">
        <v>166</v>
      </c>
      <c r="AI3" s="349" t="s">
        <v>166</v>
      </c>
    </row>
    <row r="4" spans="1:35" ht="12.9" customHeight="1" x14ac:dyDescent="0.3">
      <c r="A4" s="3"/>
      <c r="B4" s="7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6"/>
    </row>
    <row r="5" spans="1:35" s="359" customFormat="1" ht="12.9" customHeight="1" x14ac:dyDescent="0.3">
      <c r="A5" s="356"/>
      <c r="B5" s="351" t="s">
        <v>642</v>
      </c>
      <c r="C5" s="357"/>
      <c r="D5" s="357"/>
      <c r="E5" s="357"/>
      <c r="F5" s="357"/>
      <c r="G5" s="357"/>
      <c r="H5" s="357"/>
      <c r="I5" s="357"/>
      <c r="J5" s="357"/>
      <c r="K5" s="357"/>
      <c r="L5" s="357"/>
      <c r="M5" s="357"/>
      <c r="N5" s="357"/>
      <c r="O5" s="357"/>
      <c r="P5" s="357"/>
      <c r="Q5" s="357"/>
      <c r="R5" s="357"/>
      <c r="S5" s="358"/>
    </row>
    <row r="6" spans="1:35" ht="12.9" customHeight="1" x14ac:dyDescent="0.3"/>
    <row r="7" spans="1:35" ht="12.9" customHeight="1" x14ac:dyDescent="0.3">
      <c r="B7" s="13" t="s">
        <v>7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</row>
    <row r="8" spans="1:35" ht="12.9" customHeight="1" x14ac:dyDescent="0.3">
      <c r="B8" s="13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</row>
    <row r="9" spans="1:35" ht="12.9" customHeight="1" x14ac:dyDescent="0.3">
      <c r="B9" s="184" t="s">
        <v>646</v>
      </c>
      <c r="C9" s="66">
        <v>10.2082</v>
      </c>
      <c r="D9" s="27">
        <f>E9</f>
        <v>9.8312000000000008</v>
      </c>
      <c r="E9" s="66">
        <v>9.8312000000000008</v>
      </c>
      <c r="F9" s="66">
        <v>9.8811999999999998</v>
      </c>
      <c r="G9" s="27">
        <f>H9</f>
        <v>9.8811999999999998</v>
      </c>
      <c r="H9" s="66">
        <v>9.8811999999999998</v>
      </c>
      <c r="I9" s="66">
        <v>9.8811999999999998</v>
      </c>
      <c r="J9" s="27">
        <f>K9</f>
        <v>9.8962000000000003</v>
      </c>
      <c r="K9" s="66">
        <v>9.8962000000000003</v>
      </c>
      <c r="L9" s="66">
        <v>9.9112000000000009</v>
      </c>
      <c r="M9" s="27">
        <f>N9</f>
        <v>9.9504999999999999</v>
      </c>
      <c r="N9" s="66">
        <v>9.9504999999999999</v>
      </c>
      <c r="O9" s="66">
        <v>20.002500000000001</v>
      </c>
      <c r="P9" s="27">
        <f>Q9</f>
        <v>20.026500000000002</v>
      </c>
      <c r="Q9" s="66">
        <v>20.026500000000002</v>
      </c>
      <c r="R9" s="66">
        <v>20.026500000000002</v>
      </c>
      <c r="S9" s="27">
        <f>T9</f>
        <v>20.031500000000001</v>
      </c>
      <c r="T9" s="66">
        <v>20.031500000000001</v>
      </c>
      <c r="U9" s="134">
        <f>T9</f>
        <v>20.031500000000001</v>
      </c>
      <c r="V9" s="134">
        <f t="shared" ref="V9:AI9" si="0">U9</f>
        <v>20.031500000000001</v>
      </c>
      <c r="W9" s="134">
        <f t="shared" si="0"/>
        <v>20.031500000000001</v>
      </c>
      <c r="X9" s="134">
        <f t="shared" si="0"/>
        <v>20.031500000000001</v>
      </c>
      <c r="Y9" s="134">
        <f t="shared" si="0"/>
        <v>20.031500000000001</v>
      </c>
      <c r="Z9" s="134">
        <f t="shared" si="0"/>
        <v>20.031500000000001</v>
      </c>
      <c r="AA9" s="134">
        <f t="shared" si="0"/>
        <v>20.031500000000001</v>
      </c>
      <c r="AB9" s="134">
        <f t="shared" si="0"/>
        <v>20.031500000000001</v>
      </c>
      <c r="AC9" s="134">
        <f t="shared" si="0"/>
        <v>20.031500000000001</v>
      </c>
      <c r="AD9" s="134">
        <f t="shared" si="0"/>
        <v>20.031500000000001</v>
      </c>
      <c r="AE9" s="134">
        <f t="shared" si="0"/>
        <v>20.031500000000001</v>
      </c>
      <c r="AF9" s="134">
        <f t="shared" si="0"/>
        <v>20.031500000000001</v>
      </c>
      <c r="AG9" s="134">
        <f t="shared" si="0"/>
        <v>20.031500000000001</v>
      </c>
      <c r="AH9" s="134">
        <f t="shared" si="0"/>
        <v>20.031500000000001</v>
      </c>
      <c r="AI9" s="134">
        <f t="shared" si="0"/>
        <v>20.031500000000001</v>
      </c>
    </row>
    <row r="10" spans="1:35" ht="12.9" customHeight="1" x14ac:dyDescent="0.3">
      <c r="B10" s="184" t="s">
        <v>647</v>
      </c>
      <c r="C10" s="66">
        <v>322.81360000000001</v>
      </c>
      <c r="D10" s="27">
        <f>E10</f>
        <v>327.31790000000001</v>
      </c>
      <c r="E10" s="66">
        <v>327.31790000000001</v>
      </c>
      <c r="F10" s="66">
        <v>344.89980000000003</v>
      </c>
      <c r="G10" s="27">
        <f>H10</f>
        <v>383.52969999999999</v>
      </c>
      <c r="H10" s="66">
        <v>383.52969999999999</v>
      </c>
      <c r="I10" s="66">
        <v>393.916</v>
      </c>
      <c r="J10" s="27">
        <f>K10</f>
        <v>427.78460000000001</v>
      </c>
      <c r="K10" s="66">
        <v>427.78460000000001</v>
      </c>
      <c r="L10" s="66">
        <v>454.22190000000001</v>
      </c>
      <c r="M10" s="27">
        <f>N10</f>
        <v>518.49590000000001</v>
      </c>
      <c r="N10" s="66">
        <v>518.49590000000001</v>
      </c>
      <c r="O10" s="66">
        <v>528.44939999999997</v>
      </c>
      <c r="P10" s="27">
        <f>Q10</f>
        <v>591.9316</v>
      </c>
      <c r="Q10" s="66">
        <v>591.9316</v>
      </c>
      <c r="R10" s="66">
        <v>616.23120000000006</v>
      </c>
      <c r="S10" s="27">
        <f>T10</f>
        <v>670.97500000000002</v>
      </c>
      <c r="T10" s="66">
        <v>670.97500000000002</v>
      </c>
      <c r="U10" s="27">
        <f>T10+'Income Statement'!U43-'Income Statement'!U56</f>
        <v>679.68818594982383</v>
      </c>
      <c r="V10" s="27">
        <f>U10+'Income Statement'!V43-'Income Statement'!V56</f>
        <v>740.47398010761003</v>
      </c>
      <c r="W10" s="27">
        <f>V10</f>
        <v>740.47398010761003</v>
      </c>
      <c r="X10" s="27">
        <f>W10+'Income Statement'!X43-'Income Statement'!X56</f>
        <v>746.55269363892489</v>
      </c>
      <c r="Y10" s="27">
        <f>X10+'Income Statement'!Y43-'Income Statement'!Y56</f>
        <v>820.34522327270759</v>
      </c>
      <c r="Z10" s="27">
        <f>Y10</f>
        <v>820.34522327270759</v>
      </c>
      <c r="AA10" s="27">
        <f>Z10+'Income Statement'!AA43-'Income Statement'!AA56</f>
        <v>815.79792548580167</v>
      </c>
      <c r="AB10" s="27">
        <f>AA10+'Income Statement'!AB43-'Income Statement'!AB56</f>
        <v>908.16231308719784</v>
      </c>
      <c r="AC10" s="27">
        <f>AB10</f>
        <v>908.16231308719784</v>
      </c>
      <c r="AD10" s="27">
        <f>AC10+'Income Statement'!AD43-'Income Statement'!AD56</f>
        <v>895.41047004278744</v>
      </c>
      <c r="AE10" s="27">
        <f>AD10+'Income Statement'!AE43-'Income Statement'!AE56</f>
        <v>1006.6550296130982</v>
      </c>
      <c r="AF10" s="27">
        <f>AE10</f>
        <v>1006.6550296130982</v>
      </c>
      <c r="AG10" s="27">
        <f>AF10+'Income Statement'!AG43-'Income Statement'!AG56</f>
        <v>975.42688556221037</v>
      </c>
      <c r="AH10" s="27">
        <f>AG10+'Income Statement'!AH43-'Income Statement'!AH56</f>
        <v>1115.610128678941</v>
      </c>
      <c r="AI10" s="27">
        <f>AH10</f>
        <v>1115.610128678941</v>
      </c>
    </row>
    <row r="11" spans="1:35" ht="12.9" customHeight="1" x14ac:dyDescent="0.3">
      <c r="B11" s="183" t="s">
        <v>9</v>
      </c>
      <c r="C11" s="28">
        <f t="shared" ref="C11:Q11" si="1">SUM(C9:C10)</f>
        <v>333.02179999999998</v>
      </c>
      <c r="D11" s="28">
        <f t="shared" si="1"/>
        <v>337.14910000000003</v>
      </c>
      <c r="E11" s="28">
        <f t="shared" si="1"/>
        <v>337.14910000000003</v>
      </c>
      <c r="F11" s="28">
        <f t="shared" si="1"/>
        <v>354.78100000000001</v>
      </c>
      <c r="G11" s="28">
        <f t="shared" si="1"/>
        <v>393.41089999999997</v>
      </c>
      <c r="H11" s="28">
        <f t="shared" si="1"/>
        <v>393.41089999999997</v>
      </c>
      <c r="I11" s="28">
        <f t="shared" si="1"/>
        <v>403.79719999999998</v>
      </c>
      <c r="J11" s="28">
        <f t="shared" si="1"/>
        <v>437.68080000000003</v>
      </c>
      <c r="K11" s="28">
        <f t="shared" si="1"/>
        <v>437.68080000000003</v>
      </c>
      <c r="L11" s="28">
        <f t="shared" si="1"/>
        <v>464.13310000000001</v>
      </c>
      <c r="M11" s="28">
        <f t="shared" si="1"/>
        <v>528.44640000000004</v>
      </c>
      <c r="N11" s="28">
        <f t="shared" si="1"/>
        <v>528.44640000000004</v>
      </c>
      <c r="O11" s="28">
        <f t="shared" si="1"/>
        <v>548.45190000000002</v>
      </c>
      <c r="P11" s="28">
        <f t="shared" si="1"/>
        <v>611.95810000000006</v>
      </c>
      <c r="Q11" s="28">
        <f t="shared" si="1"/>
        <v>611.95810000000006</v>
      </c>
      <c r="R11" s="28">
        <f>SUM(R9:R10)</f>
        <v>636.25770000000011</v>
      </c>
      <c r="S11" s="28">
        <f t="shared" ref="S11:T11" si="2">SUM(S9:S10)</f>
        <v>691.00650000000007</v>
      </c>
      <c r="T11" s="28">
        <f t="shared" si="2"/>
        <v>691.00650000000007</v>
      </c>
      <c r="U11" s="28">
        <f t="shared" ref="U11" si="3">SUM(U9:U10)</f>
        <v>699.71968594982388</v>
      </c>
      <c r="V11" s="28">
        <f t="shared" ref="V11:AI11" si="4">SUM(V9:V10)</f>
        <v>760.50548010761008</v>
      </c>
      <c r="W11" s="28">
        <f t="shared" si="4"/>
        <v>760.50548010761008</v>
      </c>
      <c r="X11" s="28">
        <f t="shared" si="4"/>
        <v>766.58419363892494</v>
      </c>
      <c r="Y11" s="28">
        <f t="shared" si="4"/>
        <v>840.37672327270764</v>
      </c>
      <c r="Z11" s="28">
        <f t="shared" si="4"/>
        <v>840.37672327270764</v>
      </c>
      <c r="AA11" s="28">
        <f t="shared" si="4"/>
        <v>835.82942548580172</v>
      </c>
      <c r="AB11" s="28">
        <f t="shared" si="4"/>
        <v>928.1938130871979</v>
      </c>
      <c r="AC11" s="28">
        <f t="shared" si="4"/>
        <v>928.1938130871979</v>
      </c>
      <c r="AD11" s="28">
        <f t="shared" si="4"/>
        <v>915.44197004278749</v>
      </c>
      <c r="AE11" s="28">
        <f t="shared" si="4"/>
        <v>1026.6865296130982</v>
      </c>
      <c r="AF11" s="28">
        <f t="shared" si="4"/>
        <v>1026.6865296130982</v>
      </c>
      <c r="AG11" s="28">
        <f t="shared" si="4"/>
        <v>995.45838556221042</v>
      </c>
      <c r="AH11" s="28">
        <f t="shared" si="4"/>
        <v>1135.6416286789411</v>
      </c>
      <c r="AI11" s="28">
        <f t="shared" si="4"/>
        <v>1135.6416286789411</v>
      </c>
    </row>
    <row r="12" spans="1:35" ht="12.9" customHeight="1" x14ac:dyDescent="0.3">
      <c r="B12" s="13" t="s">
        <v>648</v>
      </c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</row>
    <row r="13" spans="1:35" ht="12.9" customHeight="1" x14ac:dyDescent="0.3">
      <c r="B13" s="184" t="s">
        <v>145</v>
      </c>
      <c r="C13" s="66"/>
      <c r="D13" s="27">
        <f>E13</f>
        <v>0</v>
      </c>
      <c r="E13" s="66">
        <v>0</v>
      </c>
      <c r="F13" s="66">
        <v>0</v>
      </c>
      <c r="G13" s="27">
        <f>H13</f>
        <v>0</v>
      </c>
      <c r="H13" s="66">
        <v>0</v>
      </c>
      <c r="I13" s="66">
        <v>0</v>
      </c>
      <c r="J13" s="27">
        <f>K13</f>
        <v>30.025400000000001</v>
      </c>
      <c r="K13" s="66">
        <v>30.025400000000001</v>
      </c>
      <c r="L13" s="66">
        <v>33.576700000000002</v>
      </c>
      <c r="M13" s="27">
        <f>N13</f>
        <v>13.79</v>
      </c>
      <c r="N13" s="66">
        <v>13.79</v>
      </c>
      <c r="O13" s="66">
        <v>12.2239</v>
      </c>
      <c r="P13" s="27">
        <f>Q13</f>
        <v>8.238999999999999</v>
      </c>
      <c r="Q13" s="66">
        <v>8.238999999999999</v>
      </c>
      <c r="R13" s="66">
        <v>5.5299000000000005</v>
      </c>
      <c r="S13" s="27">
        <f>T13</f>
        <v>33.921500000000002</v>
      </c>
      <c r="T13" s="66">
        <v>33.921500000000002</v>
      </c>
      <c r="U13" s="134">
        <f>T13</f>
        <v>33.921500000000002</v>
      </c>
      <c r="V13" s="134">
        <f t="shared" ref="V13:AI13" si="5">U13</f>
        <v>33.921500000000002</v>
      </c>
      <c r="W13" s="27">
        <f t="shared" si="5"/>
        <v>33.921500000000002</v>
      </c>
      <c r="X13" s="134">
        <f t="shared" si="5"/>
        <v>33.921500000000002</v>
      </c>
      <c r="Y13" s="134">
        <f t="shared" si="5"/>
        <v>33.921500000000002</v>
      </c>
      <c r="Z13" s="27">
        <f t="shared" si="5"/>
        <v>33.921500000000002</v>
      </c>
      <c r="AA13" s="134">
        <f t="shared" si="5"/>
        <v>33.921500000000002</v>
      </c>
      <c r="AB13" s="134">
        <f t="shared" si="5"/>
        <v>33.921500000000002</v>
      </c>
      <c r="AC13" s="27">
        <f t="shared" si="5"/>
        <v>33.921500000000002</v>
      </c>
      <c r="AD13" s="134">
        <f t="shared" si="5"/>
        <v>33.921500000000002</v>
      </c>
      <c r="AE13" s="134">
        <f t="shared" si="5"/>
        <v>33.921500000000002</v>
      </c>
      <c r="AF13" s="27">
        <f t="shared" si="5"/>
        <v>33.921500000000002</v>
      </c>
      <c r="AG13" s="134">
        <f t="shared" si="5"/>
        <v>33.921500000000002</v>
      </c>
      <c r="AH13" s="134">
        <f t="shared" si="5"/>
        <v>33.921500000000002</v>
      </c>
      <c r="AI13" s="27">
        <f t="shared" si="5"/>
        <v>33.921500000000002</v>
      </c>
    </row>
    <row r="14" spans="1:35" ht="12.9" customHeight="1" x14ac:dyDescent="0.3">
      <c r="B14" s="184" t="s">
        <v>649</v>
      </c>
      <c r="C14" s="66"/>
      <c r="D14" s="27">
        <f>E14</f>
        <v>0</v>
      </c>
      <c r="E14" s="66">
        <v>0</v>
      </c>
      <c r="F14" s="66">
        <v>0</v>
      </c>
      <c r="G14" s="27">
        <f>H14</f>
        <v>0</v>
      </c>
      <c r="H14" s="66">
        <v>0</v>
      </c>
      <c r="I14" s="66">
        <v>0</v>
      </c>
      <c r="J14" s="27">
        <f>K14</f>
        <v>0</v>
      </c>
      <c r="K14" s="66">
        <v>0</v>
      </c>
      <c r="L14" s="66">
        <v>0</v>
      </c>
      <c r="M14" s="27">
        <f>N14</f>
        <v>0.84129999999999994</v>
      </c>
      <c r="N14" s="66">
        <v>0.84129999999999994</v>
      </c>
      <c r="O14" s="66">
        <v>0.74680000000000002</v>
      </c>
      <c r="P14" s="27">
        <f>Q14</f>
        <v>2.6526999999999998</v>
      </c>
      <c r="Q14" s="66">
        <v>2.6526999999999998</v>
      </c>
      <c r="R14" s="66">
        <v>2.4897999999999998</v>
      </c>
      <c r="S14" s="27">
        <f>T14</f>
        <v>1.8777999999999999</v>
      </c>
      <c r="T14" s="66">
        <v>1.8777999999999999</v>
      </c>
      <c r="U14" s="134">
        <f>T14</f>
        <v>1.8777999999999999</v>
      </c>
      <c r="V14" s="134">
        <f>U14+3</f>
        <v>4.8777999999999997</v>
      </c>
      <c r="W14" s="27">
        <f>V14</f>
        <v>4.8777999999999997</v>
      </c>
      <c r="X14" s="134">
        <f t="shared" ref="X14:AI14" si="6">W14</f>
        <v>4.8777999999999997</v>
      </c>
      <c r="Y14" s="134">
        <f t="shared" si="6"/>
        <v>4.8777999999999997</v>
      </c>
      <c r="Z14" s="27">
        <f t="shared" si="6"/>
        <v>4.8777999999999997</v>
      </c>
      <c r="AA14" s="134">
        <f t="shared" si="6"/>
        <v>4.8777999999999997</v>
      </c>
      <c r="AB14" s="134">
        <f t="shared" si="6"/>
        <v>4.8777999999999997</v>
      </c>
      <c r="AC14" s="27">
        <f t="shared" si="6"/>
        <v>4.8777999999999997</v>
      </c>
      <c r="AD14" s="134">
        <f t="shared" si="6"/>
        <v>4.8777999999999997</v>
      </c>
      <c r="AE14" s="134">
        <f t="shared" si="6"/>
        <v>4.8777999999999997</v>
      </c>
      <c r="AF14" s="27">
        <f t="shared" si="6"/>
        <v>4.8777999999999997</v>
      </c>
      <c r="AG14" s="134">
        <f t="shared" si="6"/>
        <v>4.8777999999999997</v>
      </c>
      <c r="AH14" s="134">
        <f t="shared" si="6"/>
        <v>4.8777999999999997</v>
      </c>
      <c r="AI14" s="27">
        <f t="shared" si="6"/>
        <v>4.8777999999999997</v>
      </c>
    </row>
    <row r="15" spans="1:35" ht="12.9" customHeight="1" x14ac:dyDescent="0.3">
      <c r="B15" s="184" t="s">
        <v>650</v>
      </c>
      <c r="C15" s="67"/>
      <c r="D15" s="27">
        <f>E15</f>
        <v>8.5299999999999987E-2</v>
      </c>
      <c r="E15" s="66">
        <v>8.5299999999999987E-2</v>
      </c>
      <c r="F15" s="66">
        <v>8.5299999999999987E-2</v>
      </c>
      <c r="G15" s="27">
        <f>H15</f>
        <v>0.33429999999999999</v>
      </c>
      <c r="H15" s="66">
        <v>0.33429999999999999</v>
      </c>
      <c r="I15" s="67">
        <v>0.33429999999999999</v>
      </c>
      <c r="J15" s="27">
        <f>K15</f>
        <v>0</v>
      </c>
      <c r="K15" s="66">
        <v>0</v>
      </c>
      <c r="L15" s="66">
        <v>0</v>
      </c>
      <c r="M15" s="27">
        <f>N15</f>
        <v>2.3986999999999998</v>
      </c>
      <c r="N15" s="66">
        <v>2.3986999999999998</v>
      </c>
      <c r="O15" s="66">
        <v>10.7958</v>
      </c>
      <c r="P15" s="27">
        <f>Q15</f>
        <v>5.7767999999999997</v>
      </c>
      <c r="Q15" s="66">
        <v>5.7767999999999997</v>
      </c>
      <c r="R15" s="66">
        <v>6.7926000000000002</v>
      </c>
      <c r="S15" s="27">
        <f>T15</f>
        <v>5.9836999999999998</v>
      </c>
      <c r="T15" s="66">
        <v>5.9836999999999998</v>
      </c>
      <c r="U15" s="134">
        <f>T15</f>
        <v>5.9836999999999998</v>
      </c>
      <c r="V15" s="134">
        <f t="shared" ref="V15:AI15" si="7">U15</f>
        <v>5.9836999999999998</v>
      </c>
      <c r="W15" s="27">
        <f t="shared" si="7"/>
        <v>5.9836999999999998</v>
      </c>
      <c r="X15" s="134">
        <f t="shared" si="7"/>
        <v>5.9836999999999998</v>
      </c>
      <c r="Y15" s="134">
        <f t="shared" si="7"/>
        <v>5.9836999999999998</v>
      </c>
      <c r="Z15" s="27">
        <f t="shared" si="7"/>
        <v>5.9836999999999998</v>
      </c>
      <c r="AA15" s="134">
        <f t="shared" si="7"/>
        <v>5.9836999999999998</v>
      </c>
      <c r="AB15" s="134">
        <f t="shared" si="7"/>
        <v>5.9836999999999998</v>
      </c>
      <c r="AC15" s="27">
        <f t="shared" si="7"/>
        <v>5.9836999999999998</v>
      </c>
      <c r="AD15" s="134">
        <f t="shared" si="7"/>
        <v>5.9836999999999998</v>
      </c>
      <c r="AE15" s="134">
        <f t="shared" si="7"/>
        <v>5.9836999999999998</v>
      </c>
      <c r="AF15" s="27">
        <f t="shared" si="7"/>
        <v>5.9836999999999998</v>
      </c>
      <c r="AG15" s="134">
        <f t="shared" si="7"/>
        <v>5.9836999999999998</v>
      </c>
      <c r="AH15" s="134">
        <f t="shared" si="7"/>
        <v>5.9836999999999998</v>
      </c>
      <c r="AI15" s="27">
        <f t="shared" si="7"/>
        <v>5.9836999999999998</v>
      </c>
    </row>
    <row r="16" spans="1:35" ht="12.9" customHeight="1" x14ac:dyDescent="0.3">
      <c r="B16" s="184" t="s">
        <v>651</v>
      </c>
      <c r="C16" s="66">
        <v>14.779000000000002</v>
      </c>
      <c r="D16" s="27">
        <f>E16</f>
        <v>12.473599999999999</v>
      </c>
      <c r="E16" s="66">
        <v>12.473599999999999</v>
      </c>
      <c r="F16" s="66">
        <v>11.854800000000001</v>
      </c>
      <c r="G16" s="27">
        <f>H16</f>
        <v>11.650599999999999</v>
      </c>
      <c r="H16" s="66">
        <v>11.650599999999999</v>
      </c>
      <c r="I16" s="67">
        <v>11.473199999999999</v>
      </c>
      <c r="J16" s="27">
        <f>K16</f>
        <v>12.097799999999999</v>
      </c>
      <c r="K16" s="66">
        <v>12.097799999999999</v>
      </c>
      <c r="L16" s="66">
        <v>11.961600000000001</v>
      </c>
      <c r="M16" s="27">
        <f>N16</f>
        <v>12.449200000000001</v>
      </c>
      <c r="N16" s="66">
        <v>12.449200000000001</v>
      </c>
      <c r="O16" s="66">
        <v>4.4933999999999994</v>
      </c>
      <c r="P16" s="27">
        <f>Q16</f>
        <v>10.9749</v>
      </c>
      <c r="Q16" s="66">
        <v>10.9749</v>
      </c>
      <c r="R16" s="66">
        <v>9.8801000000000005</v>
      </c>
      <c r="S16" s="27">
        <f>T16</f>
        <v>9.6979000000000006</v>
      </c>
      <c r="T16" s="66">
        <v>9.6979000000000006</v>
      </c>
      <c r="U16" s="134">
        <f>T16</f>
        <v>9.6979000000000006</v>
      </c>
      <c r="V16" s="134">
        <f t="shared" ref="V16:AI16" si="8">U16</f>
        <v>9.6979000000000006</v>
      </c>
      <c r="W16" s="27">
        <f t="shared" si="8"/>
        <v>9.6979000000000006</v>
      </c>
      <c r="X16" s="134">
        <f t="shared" si="8"/>
        <v>9.6979000000000006</v>
      </c>
      <c r="Y16" s="134">
        <f t="shared" si="8"/>
        <v>9.6979000000000006</v>
      </c>
      <c r="Z16" s="27">
        <f t="shared" si="8"/>
        <v>9.6979000000000006</v>
      </c>
      <c r="AA16" s="134">
        <f t="shared" si="8"/>
        <v>9.6979000000000006</v>
      </c>
      <c r="AB16" s="134">
        <f t="shared" si="8"/>
        <v>9.6979000000000006</v>
      </c>
      <c r="AC16" s="27">
        <f t="shared" si="8"/>
        <v>9.6979000000000006</v>
      </c>
      <c r="AD16" s="134">
        <f t="shared" si="8"/>
        <v>9.6979000000000006</v>
      </c>
      <c r="AE16" s="134">
        <f t="shared" si="8"/>
        <v>9.6979000000000006</v>
      </c>
      <c r="AF16" s="27">
        <f t="shared" si="8"/>
        <v>9.6979000000000006</v>
      </c>
      <c r="AG16" s="134">
        <f t="shared" si="8"/>
        <v>9.6979000000000006</v>
      </c>
      <c r="AH16" s="134">
        <f t="shared" si="8"/>
        <v>9.6979000000000006</v>
      </c>
      <c r="AI16" s="27">
        <f t="shared" si="8"/>
        <v>9.6979000000000006</v>
      </c>
    </row>
    <row r="17" spans="2:36" ht="12.9" customHeight="1" x14ac:dyDescent="0.3">
      <c r="B17" s="183" t="s">
        <v>652</v>
      </c>
      <c r="C17" s="28">
        <f t="shared" ref="C17:AI17" si="9">SUM(C13:C16)</f>
        <v>14.779000000000002</v>
      </c>
      <c r="D17" s="28">
        <f t="shared" si="9"/>
        <v>12.5589</v>
      </c>
      <c r="E17" s="28">
        <f t="shared" si="9"/>
        <v>12.5589</v>
      </c>
      <c r="F17" s="28">
        <f t="shared" si="9"/>
        <v>11.940100000000001</v>
      </c>
      <c r="G17" s="28">
        <f t="shared" si="9"/>
        <v>11.9849</v>
      </c>
      <c r="H17" s="28">
        <f t="shared" si="9"/>
        <v>11.9849</v>
      </c>
      <c r="I17" s="28">
        <f t="shared" si="9"/>
        <v>11.807499999999999</v>
      </c>
      <c r="J17" s="28">
        <f t="shared" si="9"/>
        <v>42.123199999999997</v>
      </c>
      <c r="K17" s="28">
        <f t="shared" si="9"/>
        <v>42.123199999999997</v>
      </c>
      <c r="L17" s="28">
        <f t="shared" si="9"/>
        <v>45.538300000000007</v>
      </c>
      <c r="M17" s="28">
        <f t="shared" si="9"/>
        <v>29.479200000000002</v>
      </c>
      <c r="N17" s="28">
        <f t="shared" si="9"/>
        <v>29.479200000000002</v>
      </c>
      <c r="O17" s="28">
        <f t="shared" si="9"/>
        <v>28.259900000000002</v>
      </c>
      <c r="P17" s="28">
        <f t="shared" si="9"/>
        <v>27.6434</v>
      </c>
      <c r="Q17" s="28">
        <f t="shared" si="9"/>
        <v>27.6434</v>
      </c>
      <c r="R17" s="28">
        <f t="shared" si="9"/>
        <v>24.692399999999999</v>
      </c>
      <c r="S17" s="28">
        <f t="shared" ref="S17:T17" si="10">SUM(S13:S16)</f>
        <v>51.480900000000005</v>
      </c>
      <c r="T17" s="28">
        <f t="shared" si="10"/>
        <v>51.480900000000005</v>
      </c>
      <c r="U17" s="28">
        <f t="shared" si="9"/>
        <v>51.480900000000005</v>
      </c>
      <c r="V17" s="28">
        <f t="shared" si="9"/>
        <v>54.480900000000005</v>
      </c>
      <c r="W17" s="28">
        <f t="shared" si="9"/>
        <v>54.480900000000005</v>
      </c>
      <c r="X17" s="28">
        <f t="shared" si="9"/>
        <v>54.480900000000005</v>
      </c>
      <c r="Y17" s="28">
        <f t="shared" si="9"/>
        <v>54.480900000000005</v>
      </c>
      <c r="Z17" s="28">
        <f t="shared" si="9"/>
        <v>54.480900000000005</v>
      </c>
      <c r="AA17" s="28">
        <f t="shared" si="9"/>
        <v>54.480900000000005</v>
      </c>
      <c r="AB17" s="28">
        <f t="shared" si="9"/>
        <v>54.480900000000005</v>
      </c>
      <c r="AC17" s="28">
        <f t="shared" si="9"/>
        <v>54.480900000000005</v>
      </c>
      <c r="AD17" s="28">
        <f t="shared" si="9"/>
        <v>54.480900000000005</v>
      </c>
      <c r="AE17" s="28">
        <f t="shared" si="9"/>
        <v>54.480900000000005</v>
      </c>
      <c r="AF17" s="28">
        <f t="shared" si="9"/>
        <v>54.480900000000005</v>
      </c>
      <c r="AG17" s="28">
        <f t="shared" si="9"/>
        <v>54.480900000000005</v>
      </c>
      <c r="AH17" s="28">
        <f t="shared" si="9"/>
        <v>54.480900000000005</v>
      </c>
      <c r="AI17" s="28">
        <f t="shared" si="9"/>
        <v>54.480900000000005</v>
      </c>
    </row>
    <row r="18" spans="2:36" ht="12.9" customHeight="1" x14ac:dyDescent="0.3">
      <c r="B18" s="13" t="s">
        <v>648</v>
      </c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</row>
    <row r="19" spans="2:36" ht="12.9" customHeight="1" x14ac:dyDescent="0.3">
      <c r="B19" s="184" t="s">
        <v>145</v>
      </c>
      <c r="C19" s="66"/>
      <c r="D19" s="27">
        <f>E19</f>
        <v>0</v>
      </c>
      <c r="E19" s="66">
        <v>0</v>
      </c>
      <c r="F19" s="66">
        <v>0</v>
      </c>
      <c r="G19" s="27">
        <f>H19</f>
        <v>0</v>
      </c>
      <c r="H19" s="66">
        <v>0</v>
      </c>
      <c r="I19" s="66">
        <v>0</v>
      </c>
      <c r="J19" s="27">
        <f>K19</f>
        <v>4.3151000000000002</v>
      </c>
      <c r="K19" s="66">
        <v>4.3151000000000002</v>
      </c>
      <c r="L19" s="66">
        <v>11.2523</v>
      </c>
      <c r="M19" s="27">
        <f>N19</f>
        <v>5.4836</v>
      </c>
      <c r="N19" s="66">
        <v>5.4836</v>
      </c>
      <c r="O19" s="66">
        <v>5.6648000000000005</v>
      </c>
      <c r="P19" s="27">
        <f>Q19</f>
        <v>21.202100000000002</v>
      </c>
      <c r="Q19" s="66">
        <v>21.202100000000002</v>
      </c>
      <c r="R19" s="66">
        <v>149.32509999999999</v>
      </c>
      <c r="S19" s="27">
        <f>T19</f>
        <v>73.88</v>
      </c>
      <c r="T19" s="66">
        <v>73.88</v>
      </c>
      <c r="U19" s="134">
        <f>T19</f>
        <v>73.88</v>
      </c>
      <c r="V19" s="134">
        <v>70</v>
      </c>
      <c r="W19" s="51">
        <f>V19</f>
        <v>70</v>
      </c>
      <c r="X19" s="134">
        <v>65</v>
      </c>
      <c r="Y19" s="134">
        <v>60</v>
      </c>
      <c r="Z19" s="51">
        <f>Y19</f>
        <v>60</v>
      </c>
      <c r="AA19" s="134">
        <v>55</v>
      </c>
      <c r="AB19" s="134">
        <v>50</v>
      </c>
      <c r="AC19" s="51">
        <f>AB19</f>
        <v>50</v>
      </c>
      <c r="AD19" s="134">
        <v>45</v>
      </c>
      <c r="AE19" s="134">
        <v>40</v>
      </c>
      <c r="AF19" s="51">
        <f>AE19</f>
        <v>40</v>
      </c>
      <c r="AG19" s="134">
        <v>35</v>
      </c>
      <c r="AH19" s="134">
        <f>AI19</f>
        <v>30</v>
      </c>
      <c r="AI19" s="51">
        <v>30</v>
      </c>
    </row>
    <row r="20" spans="2:36" ht="12.9" customHeight="1" x14ac:dyDescent="0.3">
      <c r="B20" s="184" t="s">
        <v>649</v>
      </c>
      <c r="C20" s="66"/>
      <c r="D20" s="27">
        <f>E20</f>
        <v>0</v>
      </c>
      <c r="E20" s="66">
        <v>0</v>
      </c>
      <c r="F20" s="66">
        <v>0</v>
      </c>
      <c r="G20" s="27">
        <f>H20</f>
        <v>0</v>
      </c>
      <c r="H20" s="66">
        <v>0</v>
      </c>
      <c r="I20" s="66">
        <v>0</v>
      </c>
      <c r="J20" s="27">
        <f>K20</f>
        <v>0</v>
      </c>
      <c r="K20" s="66">
        <v>0</v>
      </c>
      <c r="L20" s="66">
        <v>0</v>
      </c>
      <c r="M20" s="27">
        <f>N20</f>
        <v>0.1648</v>
      </c>
      <c r="N20" s="66">
        <v>0.1648</v>
      </c>
      <c r="O20" s="66">
        <v>0.182</v>
      </c>
      <c r="P20" s="27">
        <f>Q20</f>
        <v>0.32369999999999999</v>
      </c>
      <c r="Q20" s="66">
        <v>0.32369999999999999</v>
      </c>
      <c r="R20" s="66">
        <v>0.3322</v>
      </c>
      <c r="S20" s="27">
        <f>T20</f>
        <v>0.2082</v>
      </c>
      <c r="T20" s="66">
        <v>0.2082</v>
      </c>
      <c r="U20" s="134">
        <f t="shared" ref="U20:AI22" si="11">T20</f>
        <v>0.2082</v>
      </c>
      <c r="V20" s="134">
        <f t="shared" si="11"/>
        <v>0.2082</v>
      </c>
      <c r="W20" s="27">
        <f t="shared" ref="W20:W22" si="12">V20</f>
        <v>0.2082</v>
      </c>
      <c r="X20" s="134">
        <f t="shared" si="11"/>
        <v>0.2082</v>
      </c>
      <c r="Y20" s="134">
        <f t="shared" si="11"/>
        <v>0.2082</v>
      </c>
      <c r="Z20" s="27">
        <f t="shared" si="11"/>
        <v>0.2082</v>
      </c>
      <c r="AA20" s="134">
        <f t="shared" si="11"/>
        <v>0.2082</v>
      </c>
      <c r="AB20" s="134">
        <f t="shared" si="11"/>
        <v>0.2082</v>
      </c>
      <c r="AC20" s="27">
        <f t="shared" si="11"/>
        <v>0.2082</v>
      </c>
      <c r="AD20" s="134">
        <f t="shared" si="11"/>
        <v>0.2082</v>
      </c>
      <c r="AE20" s="134">
        <f t="shared" si="11"/>
        <v>0.2082</v>
      </c>
      <c r="AF20" s="27">
        <f t="shared" si="11"/>
        <v>0.2082</v>
      </c>
      <c r="AG20" s="134">
        <f t="shared" si="11"/>
        <v>0.2082</v>
      </c>
      <c r="AH20" s="134">
        <f t="shared" si="11"/>
        <v>0.2082</v>
      </c>
      <c r="AI20" s="27">
        <f t="shared" si="11"/>
        <v>0.2082</v>
      </c>
    </row>
    <row r="21" spans="2:36" ht="12.9" hidden="1" customHeight="1" outlineLevel="1" x14ac:dyDescent="0.3">
      <c r="B21" s="184" t="s">
        <v>653</v>
      </c>
      <c r="C21" s="66"/>
      <c r="D21" s="27">
        <f>E21</f>
        <v>0</v>
      </c>
      <c r="E21" s="66">
        <v>0</v>
      </c>
      <c r="F21" s="66">
        <v>0</v>
      </c>
      <c r="G21" s="27">
        <f>H21</f>
        <v>0.3085</v>
      </c>
      <c r="H21" s="66">
        <v>0.3085</v>
      </c>
      <c r="I21" s="66">
        <v>2.12E-2</v>
      </c>
      <c r="J21" s="27">
        <f>K21</f>
        <v>0.62450000000000006</v>
      </c>
      <c r="K21" s="66">
        <v>0.62450000000000006</v>
      </c>
      <c r="L21" s="66">
        <v>3.0257999999999998</v>
      </c>
      <c r="M21" s="27">
        <f>N21</f>
        <v>13.2798</v>
      </c>
      <c r="N21" s="66">
        <v>13.2798</v>
      </c>
      <c r="O21" s="66">
        <v>15.479200000000001</v>
      </c>
      <c r="P21" s="27">
        <f>Q21</f>
        <v>29.600700000000003</v>
      </c>
      <c r="Q21" s="66">
        <v>29.600700000000003</v>
      </c>
      <c r="R21" s="66">
        <v>31.8155</v>
      </c>
      <c r="S21" s="27">
        <f>T21</f>
        <v>29.915099999999999</v>
      </c>
      <c r="T21" s="66">
        <v>29.915099999999999</v>
      </c>
      <c r="U21" s="134"/>
      <c r="V21" s="134"/>
      <c r="W21" s="27">
        <f t="shared" si="12"/>
        <v>0</v>
      </c>
      <c r="X21" s="134"/>
      <c r="Y21" s="134"/>
      <c r="Z21" s="27">
        <f t="shared" si="11"/>
        <v>0</v>
      </c>
      <c r="AA21" s="134"/>
      <c r="AB21" s="134"/>
      <c r="AC21" s="27">
        <f t="shared" si="11"/>
        <v>0</v>
      </c>
      <c r="AD21" s="134"/>
      <c r="AE21" s="134"/>
      <c r="AF21" s="27">
        <f t="shared" si="11"/>
        <v>0</v>
      </c>
      <c r="AG21" s="134"/>
      <c r="AH21" s="134"/>
      <c r="AI21" s="27">
        <f t="shared" si="11"/>
        <v>0</v>
      </c>
    </row>
    <row r="22" spans="2:36" ht="12.9" hidden="1" customHeight="1" outlineLevel="1" x14ac:dyDescent="0.3">
      <c r="B22" s="184" t="s">
        <v>654</v>
      </c>
      <c r="C22" s="66">
        <v>28.3611</v>
      </c>
      <c r="D22" s="27">
        <f>E22</f>
        <v>26.9466</v>
      </c>
      <c r="E22" s="66">
        <v>26.9466</v>
      </c>
      <c r="F22" s="66">
        <v>30.822199999999999</v>
      </c>
      <c r="G22" s="27">
        <f>H22</f>
        <v>42.986599999999996</v>
      </c>
      <c r="H22" s="66">
        <v>42.986599999999996</v>
      </c>
      <c r="I22" s="66">
        <v>40.745699999999999</v>
      </c>
      <c r="J22" s="27">
        <f>K22</f>
        <v>65.200500000000005</v>
      </c>
      <c r="K22" s="66">
        <v>65.200500000000005</v>
      </c>
      <c r="L22" s="66">
        <v>38.0974</v>
      </c>
      <c r="M22" s="27">
        <f>N22</f>
        <v>49.637900000000002</v>
      </c>
      <c r="N22" s="66">
        <v>49.637900000000002</v>
      </c>
      <c r="O22" s="66">
        <v>66.471400000000003</v>
      </c>
      <c r="P22" s="27">
        <f>Q22</f>
        <v>58.813299999999998</v>
      </c>
      <c r="Q22" s="66">
        <v>58.813299999999998</v>
      </c>
      <c r="R22" s="66">
        <v>48.903599999999997</v>
      </c>
      <c r="S22" s="27">
        <f>T22</f>
        <v>55.083799999999997</v>
      </c>
      <c r="T22" s="66">
        <v>55.083799999999997</v>
      </c>
      <c r="U22" s="134"/>
      <c r="V22" s="134"/>
      <c r="W22" s="27">
        <f t="shared" si="12"/>
        <v>0</v>
      </c>
      <c r="X22" s="134"/>
      <c r="Y22" s="134"/>
      <c r="Z22" s="27">
        <f t="shared" si="11"/>
        <v>0</v>
      </c>
      <c r="AA22" s="134"/>
      <c r="AB22" s="134"/>
      <c r="AC22" s="27">
        <f t="shared" si="11"/>
        <v>0</v>
      </c>
      <c r="AD22" s="134"/>
      <c r="AE22" s="134"/>
      <c r="AF22" s="27">
        <f t="shared" si="11"/>
        <v>0</v>
      </c>
      <c r="AG22" s="134"/>
      <c r="AH22" s="134"/>
      <c r="AI22" s="27">
        <f t="shared" si="11"/>
        <v>0</v>
      </c>
    </row>
    <row r="23" spans="2:36" ht="12.9" customHeight="1" collapsed="1" x14ac:dyDescent="0.3">
      <c r="B23" s="184" t="s">
        <v>132</v>
      </c>
      <c r="C23" s="27">
        <f>SUM(C21:C22)</f>
        <v>28.3611</v>
      </c>
      <c r="D23" s="27">
        <f t="shared" ref="D23:R23" si="13">SUM(D21:D22)</f>
        <v>26.9466</v>
      </c>
      <c r="E23" s="27">
        <f t="shared" si="13"/>
        <v>26.9466</v>
      </c>
      <c r="F23" s="27">
        <f t="shared" si="13"/>
        <v>30.822199999999999</v>
      </c>
      <c r="G23" s="27">
        <f t="shared" si="13"/>
        <v>43.295099999999998</v>
      </c>
      <c r="H23" s="27">
        <f t="shared" si="13"/>
        <v>43.295099999999998</v>
      </c>
      <c r="I23" s="27">
        <f t="shared" si="13"/>
        <v>40.7669</v>
      </c>
      <c r="J23" s="27">
        <f t="shared" si="13"/>
        <v>65.825000000000003</v>
      </c>
      <c r="K23" s="27">
        <f t="shared" si="13"/>
        <v>65.825000000000003</v>
      </c>
      <c r="L23" s="27">
        <f t="shared" si="13"/>
        <v>41.123199999999997</v>
      </c>
      <c r="M23" s="27">
        <f t="shared" si="13"/>
        <v>62.917700000000004</v>
      </c>
      <c r="N23" s="27">
        <f t="shared" si="13"/>
        <v>62.917700000000004</v>
      </c>
      <c r="O23" s="27">
        <f t="shared" si="13"/>
        <v>81.950600000000009</v>
      </c>
      <c r="P23" s="27">
        <f t="shared" si="13"/>
        <v>88.414000000000001</v>
      </c>
      <c r="Q23" s="27">
        <f t="shared" si="13"/>
        <v>88.414000000000001</v>
      </c>
      <c r="R23" s="27">
        <f t="shared" si="13"/>
        <v>80.719099999999997</v>
      </c>
      <c r="S23" s="27">
        <f t="shared" ref="S23:T23" si="14">SUM(S21:S22)</f>
        <v>84.998899999999992</v>
      </c>
      <c r="T23" s="27">
        <f t="shared" si="14"/>
        <v>84.998899999999992</v>
      </c>
      <c r="U23" s="51">
        <f>'Balance Sheet'!U71/365*('Income Statement'!U14+'Income Statement'!S14)</f>
        <v>86.776804844604357</v>
      </c>
      <c r="V23" s="51">
        <f>'Balance Sheet'!V71/365*('Income Statement'!V14+'Income Statement'!U14)</f>
        <v>91.51054471484828</v>
      </c>
      <c r="W23" s="51">
        <f t="shared" ref="W23:W27" si="15">V23</f>
        <v>91.51054471484828</v>
      </c>
      <c r="X23" s="51">
        <f>'Balance Sheet'!X71/365*('Income Statement'!X14+'Income Statement'!V14)</f>
        <v>106.58143470667261</v>
      </c>
      <c r="Y23" s="51">
        <f>'Balance Sheet'!Y71/365*('Income Statement'!Y14+'Income Statement'!X14)</f>
        <v>115.18722884651577</v>
      </c>
      <c r="Z23" s="51">
        <f t="shared" ref="Z23:Z25" si="16">Y23</f>
        <v>115.18722884651577</v>
      </c>
      <c r="AA23" s="51">
        <f>'Balance Sheet'!AA71/365*('Income Statement'!AA14+'Income Statement'!Y14)</f>
        <v>128.65691389095471</v>
      </c>
      <c r="AB23" s="51">
        <f>'Balance Sheet'!AB71/365*('Income Statement'!AB14+'Income Statement'!AA14)</f>
        <v>141.50412177065806</v>
      </c>
      <c r="AC23" s="51">
        <f t="shared" ref="AC23:AC25" si="17">AB23</f>
        <v>141.50412177065806</v>
      </c>
      <c r="AD23" s="51">
        <f>'Balance Sheet'!AD71/365*('Income Statement'!AD14+'Income Statement'!AB14)</f>
        <v>159.31986004455851</v>
      </c>
      <c r="AE23" s="51">
        <f>'Balance Sheet'!AE71/365*('Income Statement'!AE14+'Income Statement'!AD14)</f>
        <v>169.73686700625174</v>
      </c>
      <c r="AF23" s="51">
        <f t="shared" ref="AF23:AF25" si="18">AE23</f>
        <v>169.73686700625174</v>
      </c>
      <c r="AG23" s="51">
        <f>'Balance Sheet'!AG71/365*('Income Statement'!AG14+'Income Statement'!AE14)</f>
        <v>192.50098467127944</v>
      </c>
      <c r="AH23" s="51">
        <f>'Balance Sheet'!AH71/365*('Income Statement'!AH14+'Income Statement'!AG14)</f>
        <v>209.78035169451442</v>
      </c>
      <c r="AI23" s="51">
        <f t="shared" ref="AI23:AI25" si="19">AH23</f>
        <v>209.78035169451442</v>
      </c>
    </row>
    <row r="24" spans="2:36" ht="12.9" customHeight="1" x14ac:dyDescent="0.3">
      <c r="B24" s="184" t="s">
        <v>655</v>
      </c>
      <c r="C24" s="66">
        <v>8.0252999999999997</v>
      </c>
      <c r="D24" s="27">
        <f>E24</f>
        <v>2.4940000000000002</v>
      </c>
      <c r="E24" s="66">
        <v>2.4940000000000002</v>
      </c>
      <c r="F24" s="66">
        <v>2.7014</v>
      </c>
      <c r="G24" s="27">
        <f>H24</f>
        <v>2.6482999999999999</v>
      </c>
      <c r="H24" s="66">
        <v>2.6482999999999999</v>
      </c>
      <c r="I24" s="66">
        <v>5.5004999999999997</v>
      </c>
      <c r="J24" s="27">
        <f>K24</f>
        <v>3.8476999999999997</v>
      </c>
      <c r="K24" s="66">
        <v>3.8476999999999997</v>
      </c>
      <c r="L24" s="66">
        <v>3.3442000000000003</v>
      </c>
      <c r="M24" s="27">
        <f>N24</f>
        <v>8.6134000000000004</v>
      </c>
      <c r="N24" s="66">
        <v>8.6134000000000004</v>
      </c>
      <c r="O24" s="66">
        <v>8.007200000000001</v>
      </c>
      <c r="P24" s="27">
        <f>Q24</f>
        <v>11.3576</v>
      </c>
      <c r="Q24" s="66">
        <v>11.3576</v>
      </c>
      <c r="R24" s="66">
        <v>14.9178</v>
      </c>
      <c r="S24" s="27">
        <f>T24</f>
        <v>23.081199999999999</v>
      </c>
      <c r="T24" s="66">
        <v>23.081199999999999</v>
      </c>
      <c r="U24" s="51">
        <f>U72*('Income Statement'!U8+'Income Statement'!S8)</f>
        <v>23.707373507650839</v>
      </c>
      <c r="V24" s="51">
        <f>V72*('Income Statement'!V8+'Income Statement'!U8)</f>
        <v>25.151410834168495</v>
      </c>
      <c r="W24" s="51">
        <f t="shared" si="15"/>
        <v>25.151410834168495</v>
      </c>
      <c r="X24" s="51">
        <f>X72*('Income Statement'!X8+'Income Statement'!V8)</f>
        <v>28.047065492766993</v>
      </c>
      <c r="Y24" s="51">
        <f>Y72*('Income Statement'!Y8+'Income Statement'!X8)</f>
        <v>30.311693216363786</v>
      </c>
      <c r="Z24" s="51">
        <f t="shared" si="16"/>
        <v>30.311693216363786</v>
      </c>
      <c r="AA24" s="51">
        <f>AA72*('Income Statement'!AA8+'Income Statement'!Y8)</f>
        <v>32.351538457559691</v>
      </c>
      <c r="AB24" s="51">
        <f>AB72*('Income Statement'!AB8+'Income Statement'!AA8)</f>
        <v>35.582044516058488</v>
      </c>
      <c r="AC24" s="51">
        <f t="shared" si="17"/>
        <v>35.582044516058488</v>
      </c>
      <c r="AD24" s="51">
        <f>AD72*('Income Statement'!AD8+'Income Statement'!AB8)</f>
        <v>39.346544674959645</v>
      </c>
      <c r="AE24" s="51">
        <f>AE72*('Income Statement'!AE8+'Income Statement'!AD8)</f>
        <v>42.127574247534895</v>
      </c>
      <c r="AF24" s="51">
        <f t="shared" si="18"/>
        <v>42.127574247534895</v>
      </c>
      <c r="AG24" s="51">
        <f>AG72*('Income Statement'!AG8+'Income Statement'!AE8)</f>
        <v>45.759165016263502</v>
      </c>
      <c r="AH24" s="51">
        <f>AH72*('Income Statement'!AH8+'Income Statement'!AG8)</f>
        <v>50.114284336884502</v>
      </c>
      <c r="AI24" s="51">
        <f t="shared" si="19"/>
        <v>50.114284336884502</v>
      </c>
      <c r="AJ24" s="30"/>
    </row>
    <row r="25" spans="2:36" ht="12.9" customHeight="1" x14ac:dyDescent="0.3">
      <c r="B25" s="184" t="s">
        <v>656</v>
      </c>
      <c r="C25" s="66">
        <v>1.1259999999999999</v>
      </c>
      <c r="D25" s="27">
        <f>E25</f>
        <v>0.62240000000000006</v>
      </c>
      <c r="E25" s="66">
        <v>0.62240000000000006</v>
      </c>
      <c r="F25" s="66">
        <v>0.75139999999999996</v>
      </c>
      <c r="G25" s="27">
        <f>H25</f>
        <v>0.63649999999999995</v>
      </c>
      <c r="H25" s="66">
        <v>0.63649999999999995</v>
      </c>
      <c r="I25" s="66">
        <v>0.93579999999999997</v>
      </c>
      <c r="J25" s="27">
        <f>K25</f>
        <v>0.7389</v>
      </c>
      <c r="K25" s="66">
        <v>0.7389</v>
      </c>
      <c r="L25" s="66">
        <v>0.82290000000000008</v>
      </c>
      <c r="M25" s="27">
        <f>N25</f>
        <v>1.4338</v>
      </c>
      <c r="N25" s="66">
        <v>1.4338</v>
      </c>
      <c r="O25" s="66">
        <v>3.2489999999999997</v>
      </c>
      <c r="P25" s="27">
        <f>Q25</f>
        <v>2.5333000000000001</v>
      </c>
      <c r="Q25" s="66">
        <v>2.5333000000000001</v>
      </c>
      <c r="R25" s="66">
        <v>3.1648000000000001</v>
      </c>
      <c r="S25" s="27">
        <f>T25</f>
        <v>3.8807</v>
      </c>
      <c r="T25" s="66">
        <v>3.8807</v>
      </c>
      <c r="U25" s="51">
        <f>U74*('Income Statement'!U8+'Income Statement'!S8)</f>
        <v>17.792650254795383</v>
      </c>
      <c r="V25" s="51">
        <f>V74*('Income Statement'!V8+'Income Statement'!U8)</f>
        <v>18.876416497281365</v>
      </c>
      <c r="W25" s="51">
        <f t="shared" si="15"/>
        <v>18.876416497281365</v>
      </c>
      <c r="X25" s="51">
        <f>X74*('Income Statement'!X8+'Income Statement'!V8)</f>
        <v>21.049637861617025</v>
      </c>
      <c r="Y25" s="51">
        <f>Y74*('Income Statement'!Y8+'Income Statement'!X8)</f>
        <v>22.749266419384824</v>
      </c>
      <c r="Z25" s="51">
        <f t="shared" si="16"/>
        <v>22.749266419384824</v>
      </c>
      <c r="AA25" s="51">
        <f>AA74*('Income Statement'!AA8+'Income Statement'!Y8)</f>
        <v>24.280193197874002</v>
      </c>
      <c r="AB25" s="51">
        <f>AB74*('Income Statement'!AB8+'Income Statement'!AA8)</f>
        <v>26.704724301090341</v>
      </c>
      <c r="AC25" s="51">
        <f t="shared" si="17"/>
        <v>26.704724301090341</v>
      </c>
      <c r="AD25" s="51">
        <f>AD74*('Income Statement'!AD8+'Income Statement'!AB8)</f>
        <v>29.530023977996098</v>
      </c>
      <c r="AE25" s="51">
        <f>AE74*('Income Statement'!AE8+'Income Statement'!AD8)</f>
        <v>31.617217927047676</v>
      </c>
      <c r="AF25" s="51">
        <f t="shared" si="18"/>
        <v>31.617217927047676</v>
      </c>
      <c r="AG25" s="51">
        <f>AG74*('Income Statement'!AG8+'Income Statement'!AE8)</f>
        <v>34.342767612915615</v>
      </c>
      <c r="AH25" s="51">
        <f>AH74*('Income Statement'!AH8+'Income Statement'!AG8)</f>
        <v>37.611333608415038</v>
      </c>
      <c r="AI25" s="51">
        <f t="shared" si="19"/>
        <v>37.611333608415038</v>
      </c>
    </row>
    <row r="26" spans="2:36" ht="12.9" customHeight="1" x14ac:dyDescent="0.3">
      <c r="B26" s="184" t="s">
        <v>657</v>
      </c>
      <c r="C26" s="66">
        <v>77.084800000000001</v>
      </c>
      <c r="D26" s="27">
        <f>E26</f>
        <v>50.950900000000004</v>
      </c>
      <c r="E26" s="66">
        <v>50.950900000000004</v>
      </c>
      <c r="F26" s="66">
        <v>56.317599999999999</v>
      </c>
      <c r="G26" s="27">
        <f>H26</f>
        <v>62.965499999999999</v>
      </c>
      <c r="H26" s="66">
        <v>62.965499999999999</v>
      </c>
      <c r="I26" s="66">
        <v>64.859499999999997</v>
      </c>
      <c r="J26" s="27">
        <f>K26</f>
        <v>72.97399999999999</v>
      </c>
      <c r="K26" s="66">
        <v>72.97399999999999</v>
      </c>
      <c r="L26" s="66">
        <v>101.37350000000001</v>
      </c>
      <c r="M26" s="27">
        <f>N26</f>
        <v>154.5197</v>
      </c>
      <c r="N26" s="66">
        <v>154.5197</v>
      </c>
      <c r="O26" s="66">
        <v>177.76820000000001</v>
      </c>
      <c r="P26" s="27">
        <f>Q26</f>
        <v>144.0976</v>
      </c>
      <c r="Q26" s="66">
        <v>144.0976</v>
      </c>
      <c r="R26" s="66">
        <v>62.118100000000005</v>
      </c>
      <c r="S26" s="27">
        <f>T26</f>
        <v>24.8001</v>
      </c>
      <c r="T26" s="66">
        <v>24.8001</v>
      </c>
      <c r="U26" s="51">
        <f>'Balance Sheet'!U73*('Income Statement'!U8+'Income Statement'!S8)</f>
        <v>25.472905816296016</v>
      </c>
      <c r="V26" s="51">
        <f>'Balance Sheet'!V73*('Income Statement'!V$8+'Income Statement'!U$8)</f>
        <v>27.024483294996017</v>
      </c>
      <c r="W26" s="51">
        <f t="shared" si="15"/>
        <v>27.024483294996017</v>
      </c>
      <c r="X26" s="51">
        <f>'Balance Sheet'!X73*('Income Statement'!X8+'Income Statement'!V8)</f>
        <v>30.135782755106785</v>
      </c>
      <c r="Y26" s="51">
        <f>'Balance Sheet'!Y73*('Income Statement'!Y$8+'Income Statement'!X$8)</f>
        <v>32.569061527786403</v>
      </c>
      <c r="Z26" s="51">
        <f>Y26</f>
        <v>32.569061527786403</v>
      </c>
      <c r="AA26" s="51">
        <f>'Balance Sheet'!AA73*('Income Statement'!AA8+'Income Statement'!Y8)</f>
        <v>34.760817847483068</v>
      </c>
      <c r="AB26" s="51">
        <f>'Balance Sheet'!AB73*('Income Statement'!AB$8+'Income Statement'!AA$8)</f>
        <v>38.231905715591132</v>
      </c>
      <c r="AC26" s="51">
        <f>AB26</f>
        <v>38.231905715591132</v>
      </c>
      <c r="AD26" s="51">
        <f>'Balance Sheet'!AD73*('Income Statement'!AD8+'Income Statement'!AB8)</f>
        <v>42.276755220416042</v>
      </c>
      <c r="AE26" s="51">
        <f>'Balance Sheet'!AE73*('Income Statement'!AE$8+'Income Statement'!AD$8)</f>
        <v>45.264893250623459</v>
      </c>
      <c r="AF26" s="51">
        <f>AE26</f>
        <v>45.264893250623459</v>
      </c>
      <c r="AG26" s="51">
        <f>'Balance Sheet'!AG73*('Income Statement'!AG8+'Income Statement'!AE8)</f>
        <v>49.166935355173756</v>
      </c>
      <c r="AH26" s="51">
        <f>'Balance Sheet'!AH73*('Income Statement'!AH$8+'Income Statement'!AG$8)</f>
        <v>53.846388531929421</v>
      </c>
      <c r="AI26" s="51">
        <f>AH26</f>
        <v>53.846388531929421</v>
      </c>
    </row>
    <row r="27" spans="2:36" ht="12.9" customHeight="1" x14ac:dyDescent="0.3">
      <c r="B27" s="184" t="s">
        <v>658</v>
      </c>
      <c r="C27" s="66"/>
      <c r="D27" s="27">
        <f>E27</f>
        <v>0</v>
      </c>
      <c r="E27" s="66">
        <v>0</v>
      </c>
      <c r="F27" s="66">
        <v>0</v>
      </c>
      <c r="G27" s="27">
        <f>H27</f>
        <v>10.372400000000001</v>
      </c>
      <c r="H27" s="66">
        <v>10.372400000000001</v>
      </c>
      <c r="I27" s="66">
        <v>10.3307</v>
      </c>
      <c r="J27" s="27">
        <f>K27</f>
        <v>15.4099</v>
      </c>
      <c r="K27" s="66">
        <v>15.4099</v>
      </c>
      <c r="L27" s="66">
        <v>20.5059</v>
      </c>
      <c r="M27" s="27">
        <f>N27</f>
        <v>17.372199999999999</v>
      </c>
      <c r="N27" s="66">
        <v>17.372199999999999</v>
      </c>
      <c r="O27" s="66">
        <v>18.470700000000001</v>
      </c>
      <c r="P27" s="27">
        <f>Q27</f>
        <v>18.625399999999999</v>
      </c>
      <c r="Q27" s="66">
        <v>18.625399999999999</v>
      </c>
      <c r="R27" s="66">
        <v>25.351999999999997</v>
      </c>
      <c r="S27" s="27">
        <f>T27</f>
        <v>17.322700000000001</v>
      </c>
      <c r="T27" s="66">
        <v>17.322700000000001</v>
      </c>
      <c r="U27" s="134">
        <f t="shared" ref="U27" si="20">T27</f>
        <v>17.322700000000001</v>
      </c>
      <c r="V27" s="134">
        <f t="shared" ref="V27" si="21">U27</f>
        <v>17.322700000000001</v>
      </c>
      <c r="W27" s="51">
        <f t="shared" si="15"/>
        <v>17.322700000000001</v>
      </c>
      <c r="X27" s="134">
        <f t="shared" ref="X27" si="22">W27</f>
        <v>17.322700000000001</v>
      </c>
      <c r="Y27" s="134">
        <f t="shared" ref="Y27" si="23">X27</f>
        <v>17.322700000000001</v>
      </c>
      <c r="Z27" s="51">
        <f t="shared" ref="Z27" si="24">Y27</f>
        <v>17.322700000000001</v>
      </c>
      <c r="AA27" s="134">
        <f t="shared" ref="AA27" si="25">Z27</f>
        <v>17.322700000000001</v>
      </c>
      <c r="AB27" s="134">
        <f t="shared" ref="AB27" si="26">AA27</f>
        <v>17.322700000000001</v>
      </c>
      <c r="AC27" s="51">
        <f t="shared" ref="AC27" si="27">AB27</f>
        <v>17.322700000000001</v>
      </c>
      <c r="AD27" s="134">
        <f t="shared" ref="AD27" si="28">AC27</f>
        <v>17.322700000000001</v>
      </c>
      <c r="AE27" s="134">
        <f t="shared" ref="AE27" si="29">AD27</f>
        <v>17.322700000000001</v>
      </c>
      <c r="AF27" s="51">
        <f t="shared" ref="AF27" si="30">AE27</f>
        <v>17.322700000000001</v>
      </c>
      <c r="AG27" s="134">
        <f t="shared" ref="AG27" si="31">AF27</f>
        <v>17.322700000000001</v>
      </c>
      <c r="AH27" s="134">
        <f t="shared" ref="AH27" si="32">AG27</f>
        <v>17.322700000000001</v>
      </c>
      <c r="AI27" s="51">
        <f t="shared" ref="AI27" si="33">AH27</f>
        <v>17.322700000000001</v>
      </c>
    </row>
    <row r="28" spans="2:36" ht="12.9" customHeight="1" x14ac:dyDescent="0.3">
      <c r="B28" s="183" t="s">
        <v>659</v>
      </c>
      <c r="C28" s="28">
        <f t="shared" ref="C28:AI28" si="34">SUM(C19:C20,C23:C27)</f>
        <v>114.5972</v>
      </c>
      <c r="D28" s="28">
        <f t="shared" si="34"/>
        <v>81.013900000000007</v>
      </c>
      <c r="E28" s="28">
        <f t="shared" si="34"/>
        <v>81.013900000000007</v>
      </c>
      <c r="F28" s="28">
        <f t="shared" si="34"/>
        <v>90.592600000000004</v>
      </c>
      <c r="G28" s="28">
        <f t="shared" si="34"/>
        <v>119.9178</v>
      </c>
      <c r="H28" s="28">
        <f t="shared" si="34"/>
        <v>119.9178</v>
      </c>
      <c r="I28" s="28">
        <f t="shared" si="34"/>
        <v>122.39340000000001</v>
      </c>
      <c r="J28" s="28">
        <f t="shared" si="34"/>
        <v>163.11059999999998</v>
      </c>
      <c r="K28" s="28">
        <f t="shared" si="34"/>
        <v>163.11059999999998</v>
      </c>
      <c r="L28" s="28">
        <f t="shared" si="34"/>
        <v>178.422</v>
      </c>
      <c r="M28" s="28">
        <f t="shared" si="34"/>
        <v>250.5052</v>
      </c>
      <c r="N28" s="28">
        <f t="shared" si="34"/>
        <v>250.5052</v>
      </c>
      <c r="O28" s="28">
        <f t="shared" si="34"/>
        <v>295.29250000000002</v>
      </c>
      <c r="P28" s="28">
        <f t="shared" si="34"/>
        <v>286.55370000000005</v>
      </c>
      <c r="Q28" s="28">
        <f t="shared" si="34"/>
        <v>286.55370000000005</v>
      </c>
      <c r="R28" s="28">
        <f t="shared" si="34"/>
        <v>335.92910000000001</v>
      </c>
      <c r="S28" s="28">
        <f t="shared" ref="S28:T28" si="35">SUM(S19:S20,S23:S27)</f>
        <v>228.17179999999996</v>
      </c>
      <c r="T28" s="28">
        <f t="shared" si="35"/>
        <v>228.17179999999996</v>
      </c>
      <c r="U28" s="28">
        <f t="shared" si="34"/>
        <v>245.16063442334658</v>
      </c>
      <c r="V28" s="28">
        <f t="shared" si="34"/>
        <v>250.09375534129418</v>
      </c>
      <c r="W28" s="28">
        <f t="shared" si="34"/>
        <v>250.09375534129418</v>
      </c>
      <c r="X28" s="28">
        <f t="shared" si="34"/>
        <v>268.34482081616341</v>
      </c>
      <c r="Y28" s="28">
        <f t="shared" si="34"/>
        <v>278.34815001005074</v>
      </c>
      <c r="Z28" s="28">
        <f t="shared" si="34"/>
        <v>278.34815001005074</v>
      </c>
      <c r="AA28" s="28">
        <f t="shared" si="34"/>
        <v>292.58036339387149</v>
      </c>
      <c r="AB28" s="28">
        <f t="shared" si="34"/>
        <v>309.55369630339806</v>
      </c>
      <c r="AC28" s="28">
        <f t="shared" si="34"/>
        <v>309.55369630339806</v>
      </c>
      <c r="AD28" s="28">
        <f t="shared" si="34"/>
        <v>333.0040839179303</v>
      </c>
      <c r="AE28" s="28">
        <f t="shared" si="34"/>
        <v>346.27745243145779</v>
      </c>
      <c r="AF28" s="28">
        <f t="shared" si="34"/>
        <v>346.27745243145779</v>
      </c>
      <c r="AG28" s="28">
        <f t="shared" si="34"/>
        <v>374.30075265563232</v>
      </c>
      <c r="AH28" s="28">
        <f t="shared" si="34"/>
        <v>398.88325817174331</v>
      </c>
      <c r="AI28" s="28">
        <f t="shared" si="34"/>
        <v>398.88325817174331</v>
      </c>
    </row>
    <row r="29" spans="2:36" ht="12.9" customHeight="1" x14ac:dyDescent="0.3">
      <c r="B29" s="183" t="s">
        <v>679</v>
      </c>
      <c r="C29" s="28">
        <f t="shared" ref="C29:AI29" si="36">C11+C17+C28</f>
        <v>462.39799999999997</v>
      </c>
      <c r="D29" s="28">
        <f t="shared" si="36"/>
        <v>430.72190000000001</v>
      </c>
      <c r="E29" s="28">
        <f t="shared" si="36"/>
        <v>430.72190000000001</v>
      </c>
      <c r="F29" s="28">
        <f t="shared" si="36"/>
        <v>457.31369999999998</v>
      </c>
      <c r="G29" s="28">
        <f t="shared" si="36"/>
        <v>525.31359999999995</v>
      </c>
      <c r="H29" s="28">
        <f t="shared" si="36"/>
        <v>525.31359999999995</v>
      </c>
      <c r="I29" s="28">
        <f t="shared" si="36"/>
        <v>537.99810000000002</v>
      </c>
      <c r="J29" s="28">
        <f t="shared" si="36"/>
        <v>642.91460000000006</v>
      </c>
      <c r="K29" s="28">
        <f t="shared" si="36"/>
        <v>642.91460000000006</v>
      </c>
      <c r="L29" s="28">
        <f t="shared" si="36"/>
        <v>688.09339999999997</v>
      </c>
      <c r="M29" s="28">
        <f t="shared" si="36"/>
        <v>808.43080000000009</v>
      </c>
      <c r="N29" s="28">
        <f t="shared" si="36"/>
        <v>808.43080000000009</v>
      </c>
      <c r="O29" s="28">
        <f t="shared" si="36"/>
        <v>872.00430000000006</v>
      </c>
      <c r="P29" s="28">
        <f t="shared" si="36"/>
        <v>926.15520000000015</v>
      </c>
      <c r="Q29" s="28">
        <f t="shared" si="36"/>
        <v>926.15520000000015</v>
      </c>
      <c r="R29" s="28">
        <f t="shared" si="36"/>
        <v>996.87920000000008</v>
      </c>
      <c r="S29" s="28">
        <f t="shared" ref="S29:T29" si="37">S11+S17+S28</f>
        <v>970.65920000000006</v>
      </c>
      <c r="T29" s="28">
        <f t="shared" si="37"/>
        <v>970.65920000000006</v>
      </c>
      <c r="U29" s="28">
        <f t="shared" si="36"/>
        <v>996.36122037317045</v>
      </c>
      <c r="V29" s="28">
        <f t="shared" si="36"/>
        <v>1065.0801354489042</v>
      </c>
      <c r="W29" s="28">
        <f t="shared" si="36"/>
        <v>1065.0801354489042</v>
      </c>
      <c r="X29" s="28">
        <f t="shared" si="36"/>
        <v>1089.4099144550883</v>
      </c>
      <c r="Y29" s="28">
        <f t="shared" si="36"/>
        <v>1173.2057732827584</v>
      </c>
      <c r="Z29" s="28">
        <f t="shared" si="36"/>
        <v>1173.2057732827584</v>
      </c>
      <c r="AA29" s="28">
        <f t="shared" si="36"/>
        <v>1182.8906888796732</v>
      </c>
      <c r="AB29" s="28">
        <f t="shared" si="36"/>
        <v>1292.228409390596</v>
      </c>
      <c r="AC29" s="28">
        <f t="shared" si="36"/>
        <v>1292.228409390596</v>
      </c>
      <c r="AD29" s="28">
        <f t="shared" si="36"/>
        <v>1302.9269539607178</v>
      </c>
      <c r="AE29" s="28">
        <f t="shared" si="36"/>
        <v>1427.4448820445559</v>
      </c>
      <c r="AF29" s="28">
        <f t="shared" si="36"/>
        <v>1427.4448820445559</v>
      </c>
      <c r="AG29" s="28">
        <f t="shared" si="36"/>
        <v>1424.2400382178428</v>
      </c>
      <c r="AH29" s="28">
        <f t="shared" si="36"/>
        <v>1589.0057868506844</v>
      </c>
      <c r="AI29" s="28">
        <f t="shared" si="36"/>
        <v>1589.0057868506844</v>
      </c>
    </row>
    <row r="30" spans="2:36" ht="12.9" hidden="1" customHeight="1" outlineLevel="1" x14ac:dyDescent="0.3">
      <c r="B30" s="44" t="s">
        <v>660</v>
      </c>
      <c r="C30" s="30">
        <v>462.39799999999997</v>
      </c>
      <c r="D30" s="30"/>
      <c r="E30" s="30">
        <v>430.72190000000001</v>
      </c>
      <c r="F30" s="30">
        <v>457.31369999999998</v>
      </c>
      <c r="G30" s="30"/>
      <c r="H30" s="30">
        <v>525.31359999999995</v>
      </c>
      <c r="I30" s="30">
        <v>537.99810000000002</v>
      </c>
      <c r="J30" s="30"/>
      <c r="K30" s="30">
        <v>642.91460000000006</v>
      </c>
      <c r="L30" s="30">
        <v>688.09339999999997</v>
      </c>
      <c r="M30" s="30"/>
      <c r="N30" s="30">
        <v>808.43080000000009</v>
      </c>
      <c r="O30" s="30">
        <v>872.00430000000006</v>
      </c>
      <c r="P30" s="30"/>
      <c r="Q30" s="30">
        <v>926.15520000000015</v>
      </c>
      <c r="R30" s="30">
        <v>996.87920000000008</v>
      </c>
      <c r="S30" s="30"/>
      <c r="T30" s="30">
        <v>970.65920000000006</v>
      </c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</row>
    <row r="31" spans="2:36" s="186" customFormat="1" ht="12.9" hidden="1" customHeight="1" outlineLevel="1" x14ac:dyDescent="0.3">
      <c r="B31" s="178" t="s">
        <v>82</v>
      </c>
      <c r="C31" s="185">
        <f>C29-C30</f>
        <v>0</v>
      </c>
      <c r="D31" s="185"/>
      <c r="E31" s="185">
        <f t="shared" ref="E31:R31" si="38">E29-E30</f>
        <v>0</v>
      </c>
      <c r="F31" s="185">
        <f t="shared" si="38"/>
        <v>0</v>
      </c>
      <c r="G31" s="185"/>
      <c r="H31" s="185">
        <f t="shared" si="38"/>
        <v>0</v>
      </c>
      <c r="I31" s="185">
        <f t="shared" si="38"/>
        <v>0</v>
      </c>
      <c r="J31" s="185"/>
      <c r="K31" s="185">
        <f t="shared" si="38"/>
        <v>0</v>
      </c>
      <c r="L31" s="185">
        <f t="shared" si="38"/>
        <v>0</v>
      </c>
      <c r="M31" s="185"/>
      <c r="N31" s="185">
        <f t="shared" si="38"/>
        <v>0</v>
      </c>
      <c r="O31" s="185">
        <f t="shared" si="38"/>
        <v>0</v>
      </c>
      <c r="P31" s="185"/>
      <c r="Q31" s="185">
        <f t="shared" si="38"/>
        <v>0</v>
      </c>
      <c r="R31" s="185">
        <f t="shared" si="38"/>
        <v>0</v>
      </c>
      <c r="S31" s="185"/>
      <c r="T31" s="185">
        <f t="shared" ref="T31" si="39">T29-T30</f>
        <v>0</v>
      </c>
      <c r="U31" s="189"/>
      <c r="V31" s="189"/>
      <c r="W31" s="189"/>
      <c r="X31" s="189"/>
      <c r="Y31" s="189"/>
      <c r="Z31" s="189"/>
      <c r="AA31" s="189"/>
      <c r="AB31" s="189"/>
      <c r="AC31" s="189"/>
      <c r="AD31" s="189"/>
      <c r="AE31" s="189"/>
      <c r="AF31" s="189"/>
      <c r="AG31" s="189"/>
      <c r="AH31" s="189"/>
      <c r="AI31" s="189"/>
    </row>
    <row r="32" spans="2:36" ht="12.9" customHeight="1" collapsed="1" x14ac:dyDescent="0.3">
      <c r="B32" s="15" t="s">
        <v>648</v>
      </c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</row>
    <row r="33" spans="2:36" ht="12.9" customHeight="1" x14ac:dyDescent="0.3">
      <c r="B33" s="13" t="s">
        <v>5</v>
      </c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</row>
    <row r="34" spans="2:36" ht="12.9" customHeight="1" x14ac:dyDescent="0.3">
      <c r="B34" s="13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</row>
    <row r="35" spans="2:36" ht="12.9" customHeight="1" x14ac:dyDescent="0.3">
      <c r="B35" s="184" t="s">
        <v>661</v>
      </c>
      <c r="C35" s="66">
        <v>181.39860000000002</v>
      </c>
      <c r="D35" s="27">
        <f>E35</f>
        <v>188.05529999999999</v>
      </c>
      <c r="E35" s="66">
        <v>188.05529999999999</v>
      </c>
      <c r="F35" s="66">
        <v>185.11240000000001</v>
      </c>
      <c r="G35" s="27">
        <f>H35</f>
        <v>182.91069999999999</v>
      </c>
      <c r="H35" s="66">
        <v>182.91069999999999</v>
      </c>
      <c r="I35" s="66">
        <v>193.3338</v>
      </c>
      <c r="J35" s="27">
        <f>K35</f>
        <v>200.68619999999999</v>
      </c>
      <c r="K35" s="66">
        <v>200.68619999999999</v>
      </c>
      <c r="L35" s="66">
        <v>294.24549999999999</v>
      </c>
      <c r="M35" s="27">
        <f>N35</f>
        <v>299.54349999999999</v>
      </c>
      <c r="N35" s="66">
        <v>299.54349999999999</v>
      </c>
      <c r="O35" s="66">
        <v>322.97109999999998</v>
      </c>
      <c r="P35" s="27">
        <f>Q35</f>
        <v>288.0958</v>
      </c>
      <c r="Q35" s="66">
        <v>288.0958</v>
      </c>
      <c r="R35" s="66">
        <v>314.22219999999999</v>
      </c>
      <c r="S35" s="27">
        <f>T35</f>
        <v>328.30489999999998</v>
      </c>
      <c r="T35" s="66">
        <v>328.30489999999998</v>
      </c>
      <c r="U35" s="27">
        <f>'Balance Sheet'!U65</f>
        <v>331.26051592895089</v>
      </c>
      <c r="V35" s="27">
        <f>'Balance Sheet'!V65</f>
        <v>334.08519377797313</v>
      </c>
      <c r="W35" s="27">
        <f t="shared" ref="W35:W37" si="40">V35</f>
        <v>334.08519377797313</v>
      </c>
      <c r="X35" s="27">
        <f>'Balance Sheet'!X65</f>
        <v>334.2847342942502</v>
      </c>
      <c r="Y35" s="27">
        <f>'Balance Sheet'!Y65</f>
        <v>334.47543487573961</v>
      </c>
      <c r="Z35" s="27">
        <f t="shared" ref="Z35:Z37" si="41">Y35</f>
        <v>334.47543487573961</v>
      </c>
      <c r="AA35" s="27">
        <f>'Balance Sheet'!AA65</f>
        <v>334.65768714439628</v>
      </c>
      <c r="AB35" s="27">
        <f>'Balance Sheet'!AB65</f>
        <v>334.83186537275327</v>
      </c>
      <c r="AC35" s="27">
        <f t="shared" ref="AC35:AC37" si="42">AB35</f>
        <v>334.83186537275327</v>
      </c>
      <c r="AD35" s="27">
        <f>'Balance Sheet'!AD65</f>
        <v>334.99832725252679</v>
      </c>
      <c r="AE35" s="27">
        <f>'Balance Sheet'!AE65</f>
        <v>335.15741462917043</v>
      </c>
      <c r="AF35" s="27">
        <f t="shared" ref="AF35:AF37" si="43">AE35</f>
        <v>335.15741462917043</v>
      </c>
      <c r="AG35" s="27">
        <f>'Balance Sheet'!AG65</f>
        <v>335.30945420388741</v>
      </c>
      <c r="AH35" s="27">
        <f>'Balance Sheet'!AH65</f>
        <v>335.45475820454294</v>
      </c>
      <c r="AI35" s="27">
        <f t="shared" ref="AI35:AI37" si="44">AH35</f>
        <v>335.45475820454294</v>
      </c>
    </row>
    <row r="36" spans="2:36" ht="12.9" customHeight="1" x14ac:dyDescent="0.3">
      <c r="B36" s="184" t="s">
        <v>662</v>
      </c>
      <c r="C36" s="66">
        <v>7.61</v>
      </c>
      <c r="D36" s="27">
        <f t="shared" ref="D36:D42" si="45">E36</f>
        <v>1.5337000000000001</v>
      </c>
      <c r="E36" s="66">
        <v>1.5337000000000001</v>
      </c>
      <c r="F36" s="66">
        <v>3.0924999999999998</v>
      </c>
      <c r="G36" s="27">
        <f t="shared" ref="G36:G42" si="46">H36</f>
        <v>30.661999999999999</v>
      </c>
      <c r="H36" s="66">
        <v>30.661999999999999</v>
      </c>
      <c r="I36" s="66">
        <v>59.263500000000001</v>
      </c>
      <c r="J36" s="27">
        <f t="shared" ref="J36:J42" si="47">K36</f>
        <v>87.025599999999997</v>
      </c>
      <c r="K36" s="66">
        <v>87.025599999999997</v>
      </c>
      <c r="L36" s="66">
        <v>7.9167999999999994</v>
      </c>
      <c r="M36" s="27">
        <f t="shared" ref="M36:M42" si="48">N36</f>
        <v>15.504200000000001</v>
      </c>
      <c r="N36" s="66">
        <v>15.504200000000001</v>
      </c>
      <c r="O36" s="66">
        <v>14.5616</v>
      </c>
      <c r="P36" s="27">
        <f t="shared" ref="P36:P42" si="49">Q36</f>
        <v>9.9153000000000002</v>
      </c>
      <c r="Q36" s="66">
        <v>9.9153000000000002</v>
      </c>
      <c r="R36" s="66">
        <v>14.597999999999999</v>
      </c>
      <c r="S36" s="27">
        <f t="shared" ref="S36:S42" si="50">T36</f>
        <v>1.5728</v>
      </c>
      <c r="T36" s="66">
        <v>1.5728</v>
      </c>
      <c r="U36" s="134">
        <v>5</v>
      </c>
      <c r="V36" s="134">
        <f>U36</f>
        <v>5</v>
      </c>
      <c r="W36" s="27">
        <f t="shared" si="40"/>
        <v>5</v>
      </c>
      <c r="X36" s="134">
        <f t="shared" ref="X36:Y36" si="51">W36</f>
        <v>5</v>
      </c>
      <c r="Y36" s="134">
        <f t="shared" si="51"/>
        <v>5</v>
      </c>
      <c r="Z36" s="27">
        <f t="shared" si="41"/>
        <v>5</v>
      </c>
      <c r="AA36" s="134">
        <f t="shared" ref="AA36:AB36" si="52">Z36</f>
        <v>5</v>
      </c>
      <c r="AB36" s="134">
        <f t="shared" si="52"/>
        <v>5</v>
      </c>
      <c r="AC36" s="27">
        <f t="shared" si="42"/>
        <v>5</v>
      </c>
      <c r="AD36" s="134">
        <f t="shared" ref="AD36:AE36" si="53">AC36</f>
        <v>5</v>
      </c>
      <c r="AE36" s="134">
        <f t="shared" si="53"/>
        <v>5</v>
      </c>
      <c r="AF36" s="27">
        <f t="shared" si="43"/>
        <v>5</v>
      </c>
      <c r="AG36" s="134">
        <f t="shared" ref="AG36:AH36" si="54">AF36</f>
        <v>5</v>
      </c>
      <c r="AH36" s="134">
        <f t="shared" si="54"/>
        <v>5</v>
      </c>
      <c r="AI36" s="27">
        <f t="shared" si="44"/>
        <v>5</v>
      </c>
    </row>
    <row r="37" spans="2:36" ht="12.9" customHeight="1" x14ac:dyDescent="0.3">
      <c r="B37" s="184" t="s">
        <v>663</v>
      </c>
      <c r="C37" s="66">
        <v>0</v>
      </c>
      <c r="D37" s="27">
        <f t="shared" si="45"/>
        <v>0</v>
      </c>
      <c r="E37" s="66">
        <v>0</v>
      </c>
      <c r="F37" s="66">
        <v>0</v>
      </c>
      <c r="G37" s="27">
        <f t="shared" si="46"/>
        <v>0</v>
      </c>
      <c r="H37" s="66">
        <v>0</v>
      </c>
      <c r="I37" s="66">
        <v>0</v>
      </c>
      <c r="J37" s="27">
        <f t="shared" si="47"/>
        <v>0</v>
      </c>
      <c r="K37" s="66">
        <v>0</v>
      </c>
      <c r="L37" s="66">
        <v>0</v>
      </c>
      <c r="M37" s="27">
        <f t="shared" si="48"/>
        <v>0</v>
      </c>
      <c r="N37" s="66">
        <v>0</v>
      </c>
      <c r="O37" s="66">
        <v>13.016400000000001</v>
      </c>
      <c r="P37" s="27">
        <f t="shared" si="49"/>
        <v>12.616400000000001</v>
      </c>
      <c r="Q37" s="66">
        <v>12.616400000000001</v>
      </c>
      <c r="R37" s="66">
        <v>12.616400000000001</v>
      </c>
      <c r="S37" s="27">
        <f t="shared" si="50"/>
        <v>12.616400000000001</v>
      </c>
      <c r="T37" s="66">
        <v>12.616400000000001</v>
      </c>
      <c r="U37" s="134">
        <f>T37</f>
        <v>12.616400000000001</v>
      </c>
      <c r="V37" s="134">
        <f t="shared" ref="V37:Y37" si="55">U37</f>
        <v>12.616400000000001</v>
      </c>
      <c r="W37" s="27">
        <f t="shared" si="40"/>
        <v>12.616400000000001</v>
      </c>
      <c r="X37" s="134">
        <f t="shared" si="55"/>
        <v>12.616400000000001</v>
      </c>
      <c r="Y37" s="134">
        <f t="shared" si="55"/>
        <v>12.616400000000001</v>
      </c>
      <c r="Z37" s="27">
        <f t="shared" si="41"/>
        <v>12.616400000000001</v>
      </c>
      <c r="AA37" s="134">
        <f t="shared" ref="AA37:AB37" si="56">Z37</f>
        <v>12.616400000000001</v>
      </c>
      <c r="AB37" s="134">
        <f t="shared" si="56"/>
        <v>12.616400000000001</v>
      </c>
      <c r="AC37" s="27">
        <f t="shared" si="42"/>
        <v>12.616400000000001</v>
      </c>
      <c r="AD37" s="134">
        <f t="shared" ref="AD37:AE37" si="57">AC37</f>
        <v>12.616400000000001</v>
      </c>
      <c r="AE37" s="134">
        <f t="shared" si="57"/>
        <v>12.616400000000001</v>
      </c>
      <c r="AF37" s="27">
        <f t="shared" si="43"/>
        <v>12.616400000000001</v>
      </c>
      <c r="AG37" s="134">
        <f t="shared" ref="AG37:AH37" si="58">AF37</f>
        <v>12.616400000000001</v>
      </c>
      <c r="AH37" s="134">
        <f t="shared" si="58"/>
        <v>12.616400000000001</v>
      </c>
      <c r="AI37" s="27">
        <f t="shared" si="44"/>
        <v>12.616400000000001</v>
      </c>
      <c r="AJ37" s="30"/>
    </row>
    <row r="38" spans="2:36" ht="12.9" customHeight="1" x14ac:dyDescent="0.3">
      <c r="B38" s="184" t="s">
        <v>664</v>
      </c>
      <c r="C38" s="66">
        <v>25.375900000000001</v>
      </c>
      <c r="D38" s="27">
        <f t="shared" si="45"/>
        <v>23.72</v>
      </c>
      <c r="E38" s="66">
        <v>23.72</v>
      </c>
      <c r="F38" s="66">
        <v>21.960300000000004</v>
      </c>
      <c r="G38" s="27">
        <f t="shared" si="46"/>
        <v>20.200499999999998</v>
      </c>
      <c r="H38" s="66">
        <v>20.200499999999998</v>
      </c>
      <c r="I38" s="66">
        <v>18.572199999999999</v>
      </c>
      <c r="J38" s="27">
        <f t="shared" si="47"/>
        <v>16.700900000000001</v>
      </c>
      <c r="K38" s="66">
        <v>16.700900000000001</v>
      </c>
      <c r="L38" s="66">
        <v>15.228800000000001</v>
      </c>
      <c r="M38" s="27">
        <f t="shared" si="48"/>
        <v>13.671900000000001</v>
      </c>
      <c r="N38" s="66">
        <v>13.671900000000001</v>
      </c>
      <c r="O38" s="66">
        <v>12.236500000000001</v>
      </c>
      <c r="P38" s="27">
        <f t="shared" si="49"/>
        <v>10.4086</v>
      </c>
      <c r="Q38" s="66">
        <v>10.4086</v>
      </c>
      <c r="R38" s="66">
        <v>8.6507000000000005</v>
      </c>
      <c r="S38" s="27">
        <f t="shared" si="50"/>
        <v>7.0597000000000003</v>
      </c>
      <c r="T38" s="66">
        <v>7.0597000000000003</v>
      </c>
      <c r="U38" s="134">
        <f t="shared" ref="U38:U39" si="59">T38</f>
        <v>7.0597000000000003</v>
      </c>
      <c r="V38" s="134">
        <f t="shared" ref="V38:V39" si="60">U38</f>
        <v>7.0597000000000003</v>
      </c>
      <c r="W38" s="27">
        <f t="shared" ref="W38:AI39" si="61">V38</f>
        <v>7.0597000000000003</v>
      </c>
      <c r="X38" s="134">
        <f t="shared" ref="X38" si="62">W38</f>
        <v>7.0597000000000003</v>
      </c>
      <c r="Y38" s="134">
        <f t="shared" ref="Y38" si="63">X38</f>
        <v>7.0597000000000003</v>
      </c>
      <c r="Z38" s="27">
        <f t="shared" si="61"/>
        <v>7.0597000000000003</v>
      </c>
      <c r="AA38" s="134">
        <f t="shared" ref="AA38" si="64">Z38</f>
        <v>7.0597000000000003</v>
      </c>
      <c r="AB38" s="134">
        <f t="shared" ref="AB38" si="65">AA38</f>
        <v>7.0597000000000003</v>
      </c>
      <c r="AC38" s="27">
        <f t="shared" si="61"/>
        <v>7.0597000000000003</v>
      </c>
      <c r="AD38" s="134">
        <f t="shared" ref="AD38" si="66">AC38</f>
        <v>7.0597000000000003</v>
      </c>
      <c r="AE38" s="134">
        <f t="shared" ref="AE38" si="67">AD38</f>
        <v>7.0597000000000003</v>
      </c>
      <c r="AF38" s="27">
        <f t="shared" si="61"/>
        <v>7.0597000000000003</v>
      </c>
      <c r="AG38" s="134">
        <f t="shared" ref="AG38" si="68">AF38</f>
        <v>7.0597000000000003</v>
      </c>
      <c r="AH38" s="134">
        <f t="shared" ref="AH38" si="69">AG38</f>
        <v>7.0597000000000003</v>
      </c>
      <c r="AI38" s="27">
        <f t="shared" si="61"/>
        <v>7.0597000000000003</v>
      </c>
    </row>
    <row r="39" spans="2:36" ht="12.9" customHeight="1" x14ac:dyDescent="0.3">
      <c r="B39" s="184" t="s">
        <v>665</v>
      </c>
      <c r="C39" s="66">
        <v>0</v>
      </c>
      <c r="D39" s="27">
        <f t="shared" si="45"/>
        <v>0</v>
      </c>
      <c r="E39" s="66">
        <v>0</v>
      </c>
      <c r="F39" s="66">
        <v>0</v>
      </c>
      <c r="G39" s="27">
        <f t="shared" si="46"/>
        <v>0</v>
      </c>
      <c r="H39" s="66">
        <v>0</v>
      </c>
      <c r="I39" s="66">
        <v>0</v>
      </c>
      <c r="J39" s="27">
        <f t="shared" si="47"/>
        <v>0</v>
      </c>
      <c r="K39" s="66">
        <v>0</v>
      </c>
      <c r="L39" s="66">
        <v>0</v>
      </c>
      <c r="M39" s="27">
        <f t="shared" si="48"/>
        <v>5.4000000000000006E-2</v>
      </c>
      <c r="N39" s="66">
        <v>5.4000000000000006E-2</v>
      </c>
      <c r="O39" s="66">
        <v>0</v>
      </c>
      <c r="P39" s="27">
        <f t="shared" si="49"/>
        <v>0</v>
      </c>
      <c r="Q39" s="66">
        <v>0</v>
      </c>
      <c r="R39" s="66">
        <v>0.12509999999999999</v>
      </c>
      <c r="S39" s="27">
        <f t="shared" si="50"/>
        <v>0</v>
      </c>
      <c r="T39" s="66">
        <v>0</v>
      </c>
      <c r="U39" s="134">
        <f t="shared" si="59"/>
        <v>0</v>
      </c>
      <c r="V39" s="134">
        <f t="shared" si="60"/>
        <v>0</v>
      </c>
      <c r="W39" s="27">
        <f t="shared" si="61"/>
        <v>0</v>
      </c>
      <c r="X39" s="134">
        <f t="shared" ref="X39" si="70">W39</f>
        <v>0</v>
      </c>
      <c r="Y39" s="134">
        <f t="shared" ref="Y39" si="71">X39</f>
        <v>0</v>
      </c>
      <c r="Z39" s="27">
        <f t="shared" ref="Z39" si="72">Y39</f>
        <v>0</v>
      </c>
      <c r="AA39" s="134">
        <f t="shared" ref="AA39" si="73">Z39</f>
        <v>0</v>
      </c>
      <c r="AB39" s="134">
        <f t="shared" ref="AB39" si="74">AA39</f>
        <v>0</v>
      </c>
      <c r="AC39" s="27">
        <f t="shared" ref="AC39" si="75">AB39</f>
        <v>0</v>
      </c>
      <c r="AD39" s="134">
        <f t="shared" ref="AD39" si="76">AC39</f>
        <v>0</v>
      </c>
      <c r="AE39" s="134">
        <f t="shared" ref="AE39" si="77">AD39</f>
        <v>0</v>
      </c>
      <c r="AF39" s="27">
        <f t="shared" ref="AF39" si="78">AE39</f>
        <v>0</v>
      </c>
      <c r="AG39" s="134">
        <f t="shared" ref="AG39" si="79">AF39</f>
        <v>0</v>
      </c>
      <c r="AH39" s="134">
        <f t="shared" ref="AH39" si="80">AG39</f>
        <v>0</v>
      </c>
      <c r="AI39" s="27">
        <f t="shared" ref="AI39" si="81">AH39</f>
        <v>0</v>
      </c>
    </row>
    <row r="40" spans="2:36" ht="12.9" customHeight="1" x14ac:dyDescent="0.3">
      <c r="B40" s="184" t="s">
        <v>666</v>
      </c>
      <c r="C40" s="66">
        <v>0</v>
      </c>
      <c r="D40" s="27">
        <f t="shared" si="45"/>
        <v>0</v>
      </c>
      <c r="E40" s="66">
        <v>0</v>
      </c>
      <c r="F40" s="66">
        <v>0</v>
      </c>
      <c r="G40" s="27">
        <f t="shared" si="46"/>
        <v>0</v>
      </c>
      <c r="H40" s="66">
        <v>0</v>
      </c>
      <c r="I40" s="66">
        <v>0</v>
      </c>
      <c r="J40" s="27">
        <f t="shared" si="47"/>
        <v>0</v>
      </c>
      <c r="K40" s="66">
        <v>0</v>
      </c>
      <c r="L40" s="66">
        <v>0</v>
      </c>
      <c r="M40" s="27">
        <f t="shared" si="48"/>
        <v>0</v>
      </c>
      <c r="N40" s="66">
        <v>0</v>
      </c>
      <c r="O40" s="66">
        <v>0</v>
      </c>
      <c r="P40" s="27">
        <f t="shared" si="49"/>
        <v>51.656499999999994</v>
      </c>
      <c r="Q40" s="66">
        <v>51.656499999999994</v>
      </c>
      <c r="R40" s="66">
        <v>51.315100000000001</v>
      </c>
      <c r="S40" s="27">
        <f t="shared" si="50"/>
        <v>50.481699999999996</v>
      </c>
      <c r="T40" s="66">
        <v>50.481699999999996</v>
      </c>
      <c r="U40" s="134">
        <f>T40</f>
        <v>50.481699999999996</v>
      </c>
      <c r="V40" s="134">
        <f>U40+(V14-U14)</f>
        <v>53.481699999999996</v>
      </c>
      <c r="W40" s="27">
        <f t="shared" ref="W40:AI40" si="82">V40</f>
        <v>53.481699999999996</v>
      </c>
      <c r="X40" s="134">
        <f t="shared" si="82"/>
        <v>53.481699999999996</v>
      </c>
      <c r="Y40" s="134">
        <f t="shared" si="82"/>
        <v>53.481699999999996</v>
      </c>
      <c r="Z40" s="27">
        <f t="shared" si="82"/>
        <v>53.481699999999996</v>
      </c>
      <c r="AA40" s="134">
        <f t="shared" si="82"/>
        <v>53.481699999999996</v>
      </c>
      <c r="AB40" s="134">
        <f t="shared" si="82"/>
        <v>53.481699999999996</v>
      </c>
      <c r="AC40" s="27">
        <f t="shared" si="82"/>
        <v>53.481699999999996</v>
      </c>
      <c r="AD40" s="134">
        <f t="shared" si="82"/>
        <v>53.481699999999996</v>
      </c>
      <c r="AE40" s="134">
        <f t="shared" si="82"/>
        <v>53.481699999999996</v>
      </c>
      <c r="AF40" s="27">
        <f t="shared" si="82"/>
        <v>53.481699999999996</v>
      </c>
      <c r="AG40" s="134">
        <f t="shared" si="82"/>
        <v>53.481699999999996</v>
      </c>
      <c r="AH40" s="134">
        <f t="shared" si="82"/>
        <v>53.481699999999996</v>
      </c>
      <c r="AI40" s="27">
        <f t="shared" si="82"/>
        <v>53.481699999999996</v>
      </c>
      <c r="AJ40" s="30"/>
    </row>
    <row r="41" spans="2:36" ht="12.9" customHeight="1" x14ac:dyDescent="0.3">
      <c r="B41" s="184" t="s">
        <v>667</v>
      </c>
      <c r="C41" s="66">
        <v>0.70279999999999998</v>
      </c>
      <c r="D41" s="27">
        <f t="shared" si="45"/>
        <v>0.73299999999999998</v>
      </c>
      <c r="E41" s="66">
        <v>0.73299999999999998</v>
      </c>
      <c r="F41" s="66">
        <v>0.75719999999999998</v>
      </c>
      <c r="G41" s="27">
        <f t="shared" si="46"/>
        <v>2.1833</v>
      </c>
      <c r="H41" s="66">
        <v>2.1833</v>
      </c>
      <c r="I41" s="66">
        <v>0.9294</v>
      </c>
      <c r="J41" s="27">
        <f t="shared" si="47"/>
        <v>2.6320999999999999</v>
      </c>
      <c r="K41" s="66">
        <v>2.6320999999999999</v>
      </c>
      <c r="L41" s="66">
        <v>1.3199000000000001</v>
      </c>
      <c r="M41" s="27">
        <f t="shared" si="48"/>
        <v>11.055399999999999</v>
      </c>
      <c r="N41" s="66">
        <v>11.055399999999999</v>
      </c>
      <c r="O41" s="66">
        <v>2.3294999999999999</v>
      </c>
      <c r="P41" s="27">
        <f t="shared" si="49"/>
        <v>3.8094999999999999</v>
      </c>
      <c r="Q41" s="66">
        <v>3.8094999999999999</v>
      </c>
      <c r="R41" s="66">
        <v>0.71939999999999993</v>
      </c>
      <c r="S41" s="27">
        <f t="shared" si="50"/>
        <v>4.8304</v>
      </c>
      <c r="T41" s="66">
        <v>4.8304</v>
      </c>
      <c r="U41" s="134">
        <f>T41</f>
        <v>4.8304</v>
      </c>
      <c r="V41" s="134">
        <f t="shared" ref="V41:AI42" si="83">U41</f>
        <v>4.8304</v>
      </c>
      <c r="W41" s="27">
        <f t="shared" si="83"/>
        <v>4.8304</v>
      </c>
      <c r="X41" s="134">
        <f t="shared" si="83"/>
        <v>4.8304</v>
      </c>
      <c r="Y41" s="134">
        <f t="shared" si="83"/>
        <v>4.8304</v>
      </c>
      <c r="Z41" s="27">
        <f t="shared" si="83"/>
        <v>4.8304</v>
      </c>
      <c r="AA41" s="134">
        <f t="shared" si="83"/>
        <v>4.8304</v>
      </c>
      <c r="AB41" s="134">
        <f t="shared" si="83"/>
        <v>4.8304</v>
      </c>
      <c r="AC41" s="27">
        <f t="shared" si="83"/>
        <v>4.8304</v>
      </c>
      <c r="AD41" s="134">
        <f t="shared" si="83"/>
        <v>4.8304</v>
      </c>
      <c r="AE41" s="134">
        <f t="shared" si="83"/>
        <v>4.8304</v>
      </c>
      <c r="AF41" s="27">
        <f t="shared" si="83"/>
        <v>4.8304</v>
      </c>
      <c r="AG41" s="134">
        <f t="shared" si="83"/>
        <v>4.8304</v>
      </c>
      <c r="AH41" s="134">
        <f t="shared" si="83"/>
        <v>4.8304</v>
      </c>
      <c r="AI41" s="27">
        <f t="shared" si="83"/>
        <v>4.8304</v>
      </c>
      <c r="AJ41" s="30"/>
    </row>
    <row r="42" spans="2:36" ht="12.9" customHeight="1" x14ac:dyDescent="0.3">
      <c r="B42" s="184" t="s">
        <v>668</v>
      </c>
      <c r="C42" s="66">
        <v>0.58760000000000001</v>
      </c>
      <c r="D42" s="27">
        <f t="shared" si="45"/>
        <v>0.47399999999999998</v>
      </c>
      <c r="E42" s="66">
        <v>0.47399999999999998</v>
      </c>
      <c r="F42" s="66">
        <v>0.40610000000000002</v>
      </c>
      <c r="G42" s="27">
        <f t="shared" si="46"/>
        <v>9.8352000000000004</v>
      </c>
      <c r="H42" s="66">
        <v>9.8352000000000004</v>
      </c>
      <c r="I42" s="66">
        <v>4.6230000000000002</v>
      </c>
      <c r="J42" s="27">
        <f t="shared" si="47"/>
        <v>1.6859999999999999</v>
      </c>
      <c r="K42" s="66">
        <v>1.6859999999999999</v>
      </c>
      <c r="L42" s="66">
        <v>1.1577</v>
      </c>
      <c r="M42" s="27">
        <f t="shared" si="48"/>
        <v>3.827</v>
      </c>
      <c r="N42" s="66">
        <v>3.827</v>
      </c>
      <c r="O42" s="66">
        <v>2.2816999999999998</v>
      </c>
      <c r="P42" s="27">
        <f t="shared" si="49"/>
        <v>4.3529999999999998</v>
      </c>
      <c r="Q42" s="66">
        <v>4.3529999999999998</v>
      </c>
      <c r="R42" s="66">
        <v>0.68079999999999996</v>
      </c>
      <c r="S42" s="27">
        <f t="shared" si="50"/>
        <v>1.3223</v>
      </c>
      <c r="T42" s="66">
        <v>1.3223</v>
      </c>
      <c r="U42" s="134">
        <f>T42</f>
        <v>1.3223</v>
      </c>
      <c r="V42" s="134">
        <f t="shared" si="83"/>
        <v>1.3223</v>
      </c>
      <c r="W42" s="27">
        <f t="shared" si="83"/>
        <v>1.3223</v>
      </c>
      <c r="X42" s="134">
        <f t="shared" si="83"/>
        <v>1.3223</v>
      </c>
      <c r="Y42" s="134">
        <f t="shared" si="83"/>
        <v>1.3223</v>
      </c>
      <c r="Z42" s="27">
        <f t="shared" si="83"/>
        <v>1.3223</v>
      </c>
      <c r="AA42" s="134">
        <f t="shared" si="83"/>
        <v>1.3223</v>
      </c>
      <c r="AB42" s="134">
        <f t="shared" si="83"/>
        <v>1.3223</v>
      </c>
      <c r="AC42" s="27">
        <f t="shared" si="83"/>
        <v>1.3223</v>
      </c>
      <c r="AD42" s="134">
        <f t="shared" si="83"/>
        <v>1.3223</v>
      </c>
      <c r="AE42" s="134">
        <f t="shared" si="83"/>
        <v>1.3223</v>
      </c>
      <c r="AF42" s="27">
        <f t="shared" si="83"/>
        <v>1.3223</v>
      </c>
      <c r="AG42" s="134">
        <f t="shared" si="83"/>
        <v>1.3223</v>
      </c>
      <c r="AH42" s="134">
        <f t="shared" si="83"/>
        <v>1.3223</v>
      </c>
      <c r="AI42" s="27">
        <f t="shared" si="83"/>
        <v>1.3223</v>
      </c>
    </row>
    <row r="43" spans="2:36" s="6" customFormat="1" ht="12.9" customHeight="1" x14ac:dyDescent="0.3">
      <c r="B43" s="183" t="s">
        <v>669</v>
      </c>
      <c r="C43" s="28">
        <f t="shared" ref="C43:AI43" si="84">SUM(C35:C42)</f>
        <v>215.67490000000004</v>
      </c>
      <c r="D43" s="28">
        <f t="shared" si="84"/>
        <v>214.51599999999999</v>
      </c>
      <c r="E43" s="28">
        <f t="shared" si="84"/>
        <v>214.51599999999999</v>
      </c>
      <c r="F43" s="28">
        <f t="shared" si="84"/>
        <v>211.32850000000005</v>
      </c>
      <c r="G43" s="28">
        <f t="shared" si="84"/>
        <v>245.79169999999999</v>
      </c>
      <c r="H43" s="28">
        <f t="shared" si="84"/>
        <v>245.79169999999999</v>
      </c>
      <c r="I43" s="28">
        <f t="shared" si="84"/>
        <v>276.72189999999995</v>
      </c>
      <c r="J43" s="28">
        <f t="shared" si="84"/>
        <v>308.73079999999993</v>
      </c>
      <c r="K43" s="28">
        <f t="shared" si="84"/>
        <v>308.73079999999993</v>
      </c>
      <c r="L43" s="28">
        <f t="shared" si="84"/>
        <v>319.86869999999999</v>
      </c>
      <c r="M43" s="28">
        <f t="shared" si="84"/>
        <v>343.65600000000001</v>
      </c>
      <c r="N43" s="28">
        <f t="shared" si="84"/>
        <v>343.65600000000001</v>
      </c>
      <c r="O43" s="28">
        <f t="shared" si="84"/>
        <v>367.39679999999993</v>
      </c>
      <c r="P43" s="28">
        <f t="shared" si="84"/>
        <v>380.85509999999999</v>
      </c>
      <c r="Q43" s="28">
        <f t="shared" si="84"/>
        <v>380.85509999999999</v>
      </c>
      <c r="R43" s="28">
        <f t="shared" si="84"/>
        <v>402.92770000000002</v>
      </c>
      <c r="S43" s="28">
        <f t="shared" ref="S43:T43" si="85">SUM(S35:S42)</f>
        <v>406.18819999999994</v>
      </c>
      <c r="T43" s="28">
        <f t="shared" si="85"/>
        <v>406.18819999999994</v>
      </c>
      <c r="U43" s="28">
        <f t="shared" si="84"/>
        <v>412.57101592895089</v>
      </c>
      <c r="V43" s="28">
        <f t="shared" si="84"/>
        <v>418.39569377797312</v>
      </c>
      <c r="W43" s="28">
        <f t="shared" si="84"/>
        <v>418.39569377797312</v>
      </c>
      <c r="X43" s="28">
        <f t="shared" si="84"/>
        <v>418.59523429425019</v>
      </c>
      <c r="Y43" s="28">
        <f t="shared" si="84"/>
        <v>418.7859348757396</v>
      </c>
      <c r="Z43" s="28">
        <f t="shared" si="84"/>
        <v>418.7859348757396</v>
      </c>
      <c r="AA43" s="28">
        <f t="shared" si="84"/>
        <v>418.96818714439627</v>
      </c>
      <c r="AB43" s="28">
        <f t="shared" si="84"/>
        <v>419.14236537275326</v>
      </c>
      <c r="AC43" s="28">
        <f t="shared" si="84"/>
        <v>419.14236537275326</v>
      </c>
      <c r="AD43" s="28">
        <f t="shared" si="84"/>
        <v>419.30882725252678</v>
      </c>
      <c r="AE43" s="28">
        <f t="shared" si="84"/>
        <v>419.46791462917042</v>
      </c>
      <c r="AF43" s="28">
        <f t="shared" si="84"/>
        <v>419.46791462917042</v>
      </c>
      <c r="AG43" s="28">
        <f t="shared" si="84"/>
        <v>419.6199542038874</v>
      </c>
      <c r="AH43" s="28">
        <f t="shared" si="84"/>
        <v>419.76525820454293</v>
      </c>
      <c r="AI43" s="28">
        <f t="shared" si="84"/>
        <v>419.76525820454293</v>
      </c>
    </row>
    <row r="44" spans="2:36" ht="12.9" customHeight="1" x14ac:dyDescent="0.3">
      <c r="B44" s="13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</row>
    <row r="45" spans="2:36" ht="12.9" customHeight="1" x14ac:dyDescent="0.3">
      <c r="B45" s="184" t="s">
        <v>146</v>
      </c>
      <c r="C45" s="66">
        <v>85.176400000000001</v>
      </c>
      <c r="D45" s="27">
        <f t="shared" ref="D45:D53" si="86">E45</f>
        <v>66.780200000000008</v>
      </c>
      <c r="E45" s="66">
        <v>66.780200000000008</v>
      </c>
      <c r="F45" s="66">
        <v>64.449600000000004</v>
      </c>
      <c r="G45" s="27">
        <f t="shared" ref="G45:G53" si="87">H45</f>
        <v>90.196899999999999</v>
      </c>
      <c r="H45" s="66">
        <v>90.196899999999999</v>
      </c>
      <c r="I45" s="67">
        <v>115.83149999999999</v>
      </c>
      <c r="J45" s="27">
        <f t="shared" ref="J45:J53" si="88">K45</f>
        <v>126.91840000000001</v>
      </c>
      <c r="K45" s="66">
        <v>126.91840000000001</v>
      </c>
      <c r="L45" s="66">
        <v>118.9629</v>
      </c>
      <c r="M45" s="27">
        <f t="shared" ref="M45" si="89">N45</f>
        <v>165.28450000000001</v>
      </c>
      <c r="N45" s="66">
        <v>165.28450000000001</v>
      </c>
      <c r="O45" s="66">
        <v>179.68630000000002</v>
      </c>
      <c r="P45" s="27">
        <f t="shared" ref="P45" si="90">Q45</f>
        <v>147.2944</v>
      </c>
      <c r="Q45" s="66">
        <v>147.2944</v>
      </c>
      <c r="R45" s="66">
        <v>148.3081</v>
      </c>
      <c r="S45" s="27">
        <f t="shared" ref="S45" si="91">T45</f>
        <v>100.7499</v>
      </c>
      <c r="T45" s="66">
        <v>100.7499</v>
      </c>
      <c r="U45" s="51">
        <f>('Income Statement'!U14+'Income Statement'!S14)/'Balance Sheet'!U76</f>
        <v>104.57717506913859</v>
      </c>
      <c r="V45" s="51">
        <f>('Income Statement'!V14+'Income Statement'!U14)/'Balance Sheet'!V76</f>
        <v>110.28193850250948</v>
      </c>
      <c r="W45" s="27">
        <f>V45</f>
        <v>110.28193850250948</v>
      </c>
      <c r="X45" s="51">
        <f>('Income Statement'!X14+'Income Statement'!V14)/'Balance Sheet'!X76</f>
        <v>119.90411404500668</v>
      </c>
      <c r="Y45" s="51">
        <f>('Income Statement'!Y14+'Income Statement'!X14)/'Balance Sheet'!Y76</f>
        <v>129.58563245233023</v>
      </c>
      <c r="Z45" s="27">
        <f>Y45</f>
        <v>129.58563245233023</v>
      </c>
      <c r="AA45" s="51">
        <f>('Income Statement'!AA14+'Income Statement'!Y14)/'Balance Sheet'!AA76</f>
        <v>134.93286091002568</v>
      </c>
      <c r="AB45" s="51">
        <f>('Income Statement'!AB14+'Income Statement'!AA14)/'Balance Sheet'!AB76</f>
        <v>148.40676185703163</v>
      </c>
      <c r="AC45" s="27">
        <f>AB45</f>
        <v>148.40676185703163</v>
      </c>
      <c r="AD45" s="51">
        <f>('Income Statement'!AD14+'Income Statement'!AB14)/'Balance Sheet'!AD76</f>
        <v>155.61474702026649</v>
      </c>
      <c r="AE45" s="51">
        <f>('Income Statement'!AE14+'Income Statement'!AD14)/'Balance Sheet'!AE76</f>
        <v>165.78949800610636</v>
      </c>
      <c r="AF45" s="27">
        <f>AE45</f>
        <v>165.78949800610636</v>
      </c>
      <c r="AG45" s="51">
        <f>('Income Statement'!AG14+'Income Statement'!AE14)/'Balance Sheet'!AG76</f>
        <v>171.1119863744706</v>
      </c>
      <c r="AH45" s="51">
        <f>('Income Statement'!AH14+'Income Statement'!AG14)/'Balance Sheet'!AH76</f>
        <v>186.47142372845727</v>
      </c>
      <c r="AI45" s="27">
        <f>AH45</f>
        <v>186.47142372845727</v>
      </c>
    </row>
    <row r="46" spans="2:36" ht="12.9" hidden="1" customHeight="1" outlineLevel="1" x14ac:dyDescent="0.3">
      <c r="B46" s="184" t="s">
        <v>670</v>
      </c>
      <c r="C46" s="66"/>
      <c r="D46" s="27"/>
      <c r="E46" s="66"/>
      <c r="F46" s="66"/>
      <c r="G46" s="27"/>
      <c r="H46" s="66"/>
      <c r="I46" s="66"/>
      <c r="J46" s="27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30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</row>
    <row r="47" spans="2:36" ht="12.9" hidden="1" customHeight="1" outlineLevel="1" x14ac:dyDescent="0.3">
      <c r="B47" s="184" t="s">
        <v>147</v>
      </c>
      <c r="C47" s="66"/>
      <c r="D47" s="27"/>
      <c r="E47" s="66"/>
      <c r="F47" s="66"/>
      <c r="G47" s="27"/>
      <c r="H47" s="66"/>
      <c r="I47" s="66"/>
      <c r="J47" s="27"/>
      <c r="K47" s="66"/>
      <c r="L47" s="66">
        <v>89.004400000000004</v>
      </c>
      <c r="M47" s="27">
        <f t="shared" ref="M47:M53" si="92">N47</f>
        <v>103.86239999999999</v>
      </c>
      <c r="N47" s="66">
        <v>103.86239999999999</v>
      </c>
      <c r="O47" s="66">
        <v>23.028099999999998</v>
      </c>
      <c r="P47" s="27">
        <f t="shared" ref="P47:P53" si="93">Q47</f>
        <v>10.6319</v>
      </c>
      <c r="Q47" s="66">
        <v>10.6319</v>
      </c>
      <c r="R47" s="66"/>
      <c r="S47" s="27">
        <f t="shared" ref="S47:S53" si="94">T47</f>
        <v>0</v>
      </c>
      <c r="T47" s="66"/>
      <c r="U47" s="30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</row>
    <row r="48" spans="2:36" ht="12.9" customHeight="1" collapsed="1" x14ac:dyDescent="0.3">
      <c r="B48" s="184" t="s">
        <v>671</v>
      </c>
      <c r="C48" s="66">
        <v>75.448599999999999</v>
      </c>
      <c r="D48" s="27">
        <f t="shared" si="86"/>
        <v>110.1157</v>
      </c>
      <c r="E48" s="66">
        <v>110.1157</v>
      </c>
      <c r="F48" s="66">
        <v>112.2841</v>
      </c>
      <c r="G48" s="27">
        <f t="shared" si="87"/>
        <v>124.79549999999999</v>
      </c>
      <c r="H48" s="66">
        <v>124.79549999999999</v>
      </c>
      <c r="I48" s="29">
        <v>77.367000000000004</v>
      </c>
      <c r="J48" s="27">
        <f t="shared" si="88"/>
        <v>148.56219999999999</v>
      </c>
      <c r="K48" s="66">
        <v>148.56219999999999</v>
      </c>
      <c r="L48" s="66">
        <v>127.24520000000001</v>
      </c>
      <c r="M48" s="27">
        <f t="shared" si="92"/>
        <v>127.2406</v>
      </c>
      <c r="N48" s="66">
        <v>127.2406</v>
      </c>
      <c r="O48" s="66">
        <v>228.9854</v>
      </c>
      <c r="P48" s="27">
        <f t="shared" si="93"/>
        <v>283.6497</v>
      </c>
      <c r="Q48" s="66">
        <v>283.6497</v>
      </c>
      <c r="R48" s="66">
        <v>350.43209999999999</v>
      </c>
      <c r="S48" s="27">
        <f t="shared" si="94"/>
        <v>415.93889999999999</v>
      </c>
      <c r="T48" s="66">
        <v>415.93889999999999</v>
      </c>
      <c r="U48" s="51">
        <f>('Income Statement'!U8+'Income Statement'!S8)/'Balance Sheet'!U78</f>
        <v>383.90712383488682</v>
      </c>
      <c r="V48" s="51">
        <f>('Income Statement'!V8+'Income Statement'!U8)/'Balance Sheet'!V78</f>
        <v>407.29125015131342</v>
      </c>
      <c r="W48" s="27">
        <f t="shared" ref="W48" si="95">V48</f>
        <v>407.29125015131342</v>
      </c>
      <c r="X48" s="51">
        <f>('Income Statement'!X8+'Income Statement'!V8)/'Balance Sheet'!X78</f>
        <v>370.07442606483545</v>
      </c>
      <c r="Y48" s="51">
        <f>('Income Statement'!Y8+'Income Statement'!X8)/'Balance Sheet'!Y78</f>
        <v>399.95565571706868</v>
      </c>
      <c r="Z48" s="27">
        <f t="shared" ref="Z48" si="96">Y48</f>
        <v>399.95565571706868</v>
      </c>
      <c r="AA48" s="51">
        <f>('Income Statement'!AA8+'Income Statement'!Y8)/'Balance Sheet'!AA78</f>
        <v>371.79081299133418</v>
      </c>
      <c r="AB48" s="51">
        <f>('Income Statement'!AB8+'Income Statement'!AA8)/'Balance Sheet'!AB78</f>
        <v>408.91648092327262</v>
      </c>
      <c r="AC48" s="27">
        <f t="shared" ref="AC48" si="97">AB48</f>
        <v>408.91648092327262</v>
      </c>
      <c r="AD48" s="51">
        <f>('Income Statement'!AD8+'Income Statement'!AB8)/'Balance Sheet'!AD78</f>
        <v>389.37629523065203</v>
      </c>
      <c r="AE48" s="51">
        <f>('Income Statement'!AE8+'Income Statement'!AD8)/'Balance Sheet'!AE78</f>
        <v>416.89756808553062</v>
      </c>
      <c r="AF48" s="27">
        <f t="shared" ref="AF48" si="98">AE48</f>
        <v>416.89756808553062</v>
      </c>
      <c r="AG48" s="51">
        <f>('Income Statement'!AG8+'Income Statement'!AE8)/'Balance Sheet'!AG78</f>
        <v>388.14519170769955</v>
      </c>
      <c r="AH48" s="51">
        <f>('Income Statement'!AH8+'Income Statement'!AG8)/'Balance Sheet'!AH78</f>
        <v>425.08683220772934</v>
      </c>
      <c r="AI48" s="27">
        <f t="shared" ref="AI48" si="99">AH48</f>
        <v>425.08683220772934</v>
      </c>
    </row>
    <row r="49" spans="1:35" ht="12.9" customHeight="1" x14ac:dyDescent="0.3">
      <c r="B49" s="184" t="s">
        <v>672</v>
      </c>
      <c r="C49" s="66">
        <v>46.487099999999998</v>
      </c>
      <c r="D49" s="27">
        <f t="shared" si="86"/>
        <v>3.8694999999999999</v>
      </c>
      <c r="E49" s="66">
        <v>3.8694999999999999</v>
      </c>
      <c r="F49" s="66">
        <v>15.6929</v>
      </c>
      <c r="G49" s="27">
        <f t="shared" si="87"/>
        <v>9.4951000000000008</v>
      </c>
      <c r="H49" s="66">
        <v>9.4951000000000008</v>
      </c>
      <c r="I49" s="67">
        <v>16.119900000000001</v>
      </c>
      <c r="J49" s="27">
        <f t="shared" si="88"/>
        <v>31.087800000000001</v>
      </c>
      <c r="K49" s="66">
        <v>31.087800000000001</v>
      </c>
      <c r="L49" s="66">
        <v>13.454700000000001</v>
      </c>
      <c r="M49" s="27">
        <f t="shared" si="92"/>
        <v>17.747499999999999</v>
      </c>
      <c r="N49" s="66">
        <v>17.747499999999999</v>
      </c>
      <c r="O49" s="66">
        <v>3.4555000000000002</v>
      </c>
      <c r="P49" s="27">
        <f t="shared" si="93"/>
        <v>2.5105</v>
      </c>
      <c r="Q49" s="66">
        <v>2.5105</v>
      </c>
      <c r="R49" s="66">
        <v>0.2351</v>
      </c>
      <c r="S49" s="27">
        <f t="shared" si="94"/>
        <v>4.0509000000000004</v>
      </c>
      <c r="T49" s="66">
        <v>4.0509000000000004</v>
      </c>
      <c r="U49" s="28">
        <f>'Cash Flows'!U77</f>
        <v>50.620288596363864</v>
      </c>
      <c r="V49" s="28">
        <f>'Cash Flows'!V77</f>
        <v>82.224857421065451</v>
      </c>
      <c r="W49" s="28">
        <f>V49</f>
        <v>82.224857421065451</v>
      </c>
      <c r="X49" s="28">
        <f>'Cash Flows'!X77</f>
        <v>129.53663487682951</v>
      </c>
      <c r="Y49" s="28">
        <f>'Cash Flows'!Y77</f>
        <v>170.12764927348493</v>
      </c>
      <c r="Z49" s="28">
        <f>Y49</f>
        <v>170.12764927348493</v>
      </c>
      <c r="AA49" s="28">
        <f>'Cash Flows'!AA77</f>
        <v>199.33910982038697</v>
      </c>
      <c r="AB49" s="28">
        <f>'Cash Flows'!AB77</f>
        <v>252.97964486211211</v>
      </c>
      <c r="AC49" s="28">
        <f>AB49</f>
        <v>252.97964486211211</v>
      </c>
      <c r="AD49" s="28">
        <f>'Cash Flows'!AD77</f>
        <v>270.10665839094474</v>
      </c>
      <c r="AE49" s="28">
        <f>'Cash Flows'!AE77</f>
        <v>352.53105953083104</v>
      </c>
      <c r="AF49" s="28">
        <f>AE49</f>
        <v>352.53105953083104</v>
      </c>
      <c r="AG49" s="28">
        <f>'Cash Flows'!AG77</f>
        <v>367.06935441175574</v>
      </c>
      <c r="AH49" s="28">
        <f>'Cash Flows'!AH77</f>
        <v>472.75132099766415</v>
      </c>
      <c r="AI49" s="28">
        <f>AH49</f>
        <v>472.75132099766415</v>
      </c>
    </row>
    <row r="50" spans="1:35" ht="12.9" customHeight="1" x14ac:dyDescent="0.3">
      <c r="B50" s="184" t="s">
        <v>673</v>
      </c>
      <c r="C50" s="66">
        <v>32.278199999999998</v>
      </c>
      <c r="D50" s="27">
        <f t="shared" si="86"/>
        <v>19.737000000000002</v>
      </c>
      <c r="E50" s="66">
        <v>19.737000000000002</v>
      </c>
      <c r="F50" s="66">
        <v>42.834499999999998</v>
      </c>
      <c r="G50" s="27">
        <f t="shared" si="87"/>
        <v>41.802199999999999</v>
      </c>
      <c r="H50" s="66">
        <v>41.802199999999999</v>
      </c>
      <c r="I50" s="67">
        <v>18.394000000000002</v>
      </c>
      <c r="J50" s="27">
        <f t="shared" si="88"/>
        <v>1.5082</v>
      </c>
      <c r="K50" s="66">
        <v>1.5082</v>
      </c>
      <c r="L50" s="66">
        <v>2.7801999999999998</v>
      </c>
      <c r="M50" s="27">
        <f t="shared" si="92"/>
        <v>3.5273000000000003</v>
      </c>
      <c r="N50" s="66">
        <v>3.5273000000000003</v>
      </c>
      <c r="O50" s="66">
        <v>5.0193000000000003</v>
      </c>
      <c r="P50" s="27">
        <f t="shared" si="93"/>
        <v>13.170499999999999</v>
      </c>
      <c r="Q50" s="66">
        <v>13.170499999999999</v>
      </c>
      <c r="R50" s="66">
        <v>14.3871</v>
      </c>
      <c r="S50" s="27">
        <f t="shared" si="94"/>
        <v>8.5545000000000009</v>
      </c>
      <c r="T50" s="66">
        <v>8.5545000000000009</v>
      </c>
      <c r="U50" s="134">
        <f>T50</f>
        <v>8.5545000000000009</v>
      </c>
      <c r="V50" s="134">
        <f t="shared" ref="V50:AI50" si="100">U50</f>
        <v>8.5545000000000009</v>
      </c>
      <c r="W50" s="27">
        <f t="shared" si="100"/>
        <v>8.5545000000000009</v>
      </c>
      <c r="X50" s="134">
        <f t="shared" si="100"/>
        <v>8.5545000000000009</v>
      </c>
      <c r="Y50" s="134">
        <f t="shared" si="100"/>
        <v>8.5545000000000009</v>
      </c>
      <c r="Z50" s="27">
        <f t="shared" si="100"/>
        <v>8.5545000000000009</v>
      </c>
      <c r="AA50" s="134">
        <f t="shared" si="100"/>
        <v>8.5545000000000009</v>
      </c>
      <c r="AB50" s="134">
        <f t="shared" si="100"/>
        <v>8.5545000000000009</v>
      </c>
      <c r="AC50" s="27">
        <f t="shared" si="100"/>
        <v>8.5545000000000009</v>
      </c>
      <c r="AD50" s="134">
        <f t="shared" si="100"/>
        <v>8.5545000000000009</v>
      </c>
      <c r="AE50" s="134">
        <f t="shared" si="100"/>
        <v>8.5545000000000009</v>
      </c>
      <c r="AF50" s="27">
        <f t="shared" si="100"/>
        <v>8.5545000000000009</v>
      </c>
      <c r="AG50" s="134">
        <f t="shared" si="100"/>
        <v>8.5545000000000009</v>
      </c>
      <c r="AH50" s="134">
        <f t="shared" si="100"/>
        <v>8.5545000000000009</v>
      </c>
      <c r="AI50" s="27">
        <f t="shared" si="100"/>
        <v>8.5545000000000009</v>
      </c>
    </row>
    <row r="51" spans="1:35" ht="12.9" customHeight="1" x14ac:dyDescent="0.3">
      <c r="B51" s="184" t="s">
        <v>667</v>
      </c>
      <c r="C51" s="66">
        <v>0.4456</v>
      </c>
      <c r="D51" s="27">
        <f t="shared" si="86"/>
        <v>0.32200000000000001</v>
      </c>
      <c r="E51" s="66">
        <v>0.32200000000000001</v>
      </c>
      <c r="F51" s="66">
        <v>0.84920000000000007</v>
      </c>
      <c r="G51" s="27">
        <f t="shared" si="87"/>
        <v>0.50600000000000001</v>
      </c>
      <c r="H51" s="66">
        <v>0.50600000000000001</v>
      </c>
      <c r="I51" s="67">
        <v>0.26280000000000003</v>
      </c>
      <c r="J51" s="27">
        <f t="shared" si="88"/>
        <v>0.18170000000000003</v>
      </c>
      <c r="K51" s="66">
        <v>0.18170000000000003</v>
      </c>
      <c r="L51" s="66">
        <v>0.79659999999999997</v>
      </c>
      <c r="M51" s="27">
        <f t="shared" si="92"/>
        <v>1.6875</v>
      </c>
      <c r="N51" s="66">
        <v>1.6875</v>
      </c>
      <c r="O51" s="66">
        <v>0.49409999999999998</v>
      </c>
      <c r="P51" s="27">
        <f t="shared" si="93"/>
        <v>0.34329999999999999</v>
      </c>
      <c r="Q51" s="66">
        <v>0.34329999999999999</v>
      </c>
      <c r="R51" s="66">
        <v>0.72299999999999998</v>
      </c>
      <c r="S51" s="27">
        <f t="shared" si="94"/>
        <v>0.24809999999999999</v>
      </c>
      <c r="T51" s="66">
        <v>0.24809999999999999</v>
      </c>
      <c r="U51" s="51">
        <f>U80*('Income Statement'!U8+'Income Statement'!S8)</f>
        <v>0.25483074394954214</v>
      </c>
      <c r="V51" s="51">
        <f>V80*('Income Statement'!V$8+'Income Statement'!U$8)</f>
        <v>0.27035271250876047</v>
      </c>
      <c r="W51" s="27">
        <f>V51</f>
        <v>0.27035271250876047</v>
      </c>
      <c r="X51" s="51">
        <f>X80*('Income Statement'!X8+'Income Statement'!V8)</f>
        <v>0.30147812716650307</v>
      </c>
      <c r="Y51" s="51">
        <f>Y80*('Income Statement'!Y$8+'Income Statement'!X$8)</f>
        <v>0.32582062834600689</v>
      </c>
      <c r="Z51" s="27">
        <f>Y51</f>
        <v>0.32582062834600689</v>
      </c>
      <c r="AA51" s="51">
        <f>AA80*('Income Statement'!AA8+'Income Statement'!Y8)</f>
        <v>0.34774694085751862</v>
      </c>
      <c r="AB51" s="51">
        <f>AB80*('Income Statement'!AB$8+'Income Statement'!AA$8)</f>
        <v>0.38247167584155545</v>
      </c>
      <c r="AC51" s="27">
        <f>AB51</f>
        <v>0.38247167584155545</v>
      </c>
      <c r="AD51" s="51">
        <f>AD80*('Income Statement'!AD8+'Income Statement'!AB8)</f>
        <v>0.42293631760296202</v>
      </c>
      <c r="AE51" s="51">
        <f>AE80*('Income Statement'!AE$8+'Income Statement'!AD$8)</f>
        <v>0.4528296263111713</v>
      </c>
      <c r="AF51" s="27">
        <f>AE51</f>
        <v>0.4528296263111713</v>
      </c>
      <c r="AG51" s="51">
        <f>AG80*('Income Statement'!AG8+'Income Statement'!AE8)</f>
        <v>0.49186562399420192</v>
      </c>
      <c r="AH51" s="51">
        <f>AH80*('Income Statement'!AH$8+'Income Statement'!AG$8)</f>
        <v>0.53867883576161735</v>
      </c>
      <c r="AI51" s="27">
        <f>AH51</f>
        <v>0.53867883576161735</v>
      </c>
    </row>
    <row r="52" spans="1:35" ht="12.9" customHeight="1" x14ac:dyDescent="0.3">
      <c r="B52" s="184" t="s">
        <v>674</v>
      </c>
      <c r="C52" s="66">
        <v>1.3722000000000001</v>
      </c>
      <c r="D52" s="27">
        <f t="shared" si="86"/>
        <v>5.2088000000000001</v>
      </c>
      <c r="E52" s="66">
        <v>5.2088000000000001</v>
      </c>
      <c r="F52" s="66">
        <v>2.3422000000000001</v>
      </c>
      <c r="G52" s="27">
        <f t="shared" si="87"/>
        <v>0</v>
      </c>
      <c r="H52" s="66">
        <v>0</v>
      </c>
      <c r="I52" s="66">
        <v>0</v>
      </c>
      <c r="J52" s="27">
        <f t="shared" si="88"/>
        <v>0</v>
      </c>
      <c r="K52" s="66">
        <v>0</v>
      </c>
      <c r="L52" s="66">
        <v>0</v>
      </c>
      <c r="M52" s="27">
        <f t="shared" si="92"/>
        <v>0</v>
      </c>
      <c r="N52" s="66">
        <v>0</v>
      </c>
      <c r="O52" s="66">
        <v>0</v>
      </c>
      <c r="P52" s="27">
        <f t="shared" si="93"/>
        <v>0</v>
      </c>
      <c r="Q52" s="66">
        <v>0</v>
      </c>
      <c r="R52" s="66">
        <v>0</v>
      </c>
      <c r="S52" s="27">
        <f t="shared" si="94"/>
        <v>0</v>
      </c>
      <c r="T52" s="66">
        <v>0</v>
      </c>
      <c r="U52" s="134">
        <f t="shared" ref="U52" si="101">T52</f>
        <v>0</v>
      </c>
      <c r="V52" s="134">
        <f t="shared" ref="V52" si="102">U52</f>
        <v>0</v>
      </c>
      <c r="W52" s="27">
        <f t="shared" ref="W52" si="103">V52</f>
        <v>0</v>
      </c>
      <c r="X52" s="134">
        <f t="shared" ref="X52" si="104">W52</f>
        <v>0</v>
      </c>
      <c r="Y52" s="134">
        <f t="shared" ref="Y52" si="105">X52</f>
        <v>0</v>
      </c>
      <c r="Z52" s="27">
        <f t="shared" ref="Z52" si="106">Y52</f>
        <v>0</v>
      </c>
      <c r="AA52" s="134">
        <f t="shared" ref="AA52" si="107">Z52</f>
        <v>0</v>
      </c>
      <c r="AB52" s="134">
        <f t="shared" ref="AB52" si="108">AA52</f>
        <v>0</v>
      </c>
      <c r="AC52" s="27">
        <f t="shared" ref="AC52" si="109">AB52</f>
        <v>0</v>
      </c>
      <c r="AD52" s="134">
        <f t="shared" ref="AD52" si="110">AC52</f>
        <v>0</v>
      </c>
      <c r="AE52" s="134">
        <f t="shared" ref="AE52" si="111">AD52</f>
        <v>0</v>
      </c>
      <c r="AF52" s="27">
        <f t="shared" ref="AF52" si="112">AE52</f>
        <v>0</v>
      </c>
      <c r="AG52" s="134">
        <f t="shared" ref="AG52" si="113">AF52</f>
        <v>0</v>
      </c>
      <c r="AH52" s="134">
        <f t="shared" ref="AH52" si="114">AG52</f>
        <v>0</v>
      </c>
      <c r="AI52" s="27">
        <f t="shared" ref="AI52" si="115">AH52</f>
        <v>0</v>
      </c>
    </row>
    <row r="53" spans="1:35" ht="12.9" customHeight="1" x14ac:dyDescent="0.3">
      <c r="B53" s="184" t="s">
        <v>675</v>
      </c>
      <c r="C53" s="66">
        <v>5.5149999999999997</v>
      </c>
      <c r="D53" s="27">
        <f t="shared" si="86"/>
        <v>10.172699999999999</v>
      </c>
      <c r="E53" s="66">
        <v>10.172699999999999</v>
      </c>
      <c r="F53" s="66">
        <v>7.5327000000000002</v>
      </c>
      <c r="G53" s="27">
        <f t="shared" si="87"/>
        <v>12.726199999999999</v>
      </c>
      <c r="H53" s="66">
        <v>12.726199999999999</v>
      </c>
      <c r="I53" s="67">
        <v>33.301000000000002</v>
      </c>
      <c r="J53" s="27">
        <f t="shared" si="88"/>
        <v>25.925500000000003</v>
      </c>
      <c r="K53" s="66">
        <v>25.925500000000003</v>
      </c>
      <c r="L53" s="66">
        <v>15.980699999999999</v>
      </c>
      <c r="M53" s="27">
        <f t="shared" si="92"/>
        <v>45.424999999999997</v>
      </c>
      <c r="N53" s="66">
        <v>45.424999999999997</v>
      </c>
      <c r="O53" s="66">
        <v>63.938800000000001</v>
      </c>
      <c r="P53" s="27">
        <f t="shared" si="93"/>
        <v>87.699799999999996</v>
      </c>
      <c r="Q53" s="66">
        <v>87.699799999999996</v>
      </c>
      <c r="R53" s="66">
        <v>79.866100000000003</v>
      </c>
      <c r="S53" s="27">
        <f t="shared" si="94"/>
        <v>34.928699999999999</v>
      </c>
      <c r="T53" s="66">
        <v>34.928699999999999</v>
      </c>
      <c r="U53" s="27">
        <f>U81*('Income Statement'!U8+'Income Statement'!S8)</f>
        <v>35.876286199880582</v>
      </c>
      <c r="V53" s="27">
        <f>V81*('Income Statement'!V$8+'Income Statement'!U$8)</f>
        <v>38.061542883533832</v>
      </c>
      <c r="W53" s="27">
        <f>V53</f>
        <v>38.061542883533832</v>
      </c>
      <c r="X53" s="27">
        <f>X81*('Income Statement'!X8+'Income Statement'!V8)</f>
        <v>42.443527046999741</v>
      </c>
      <c r="Y53" s="27">
        <f>Y81*('Income Statement'!Y$8+'Income Statement'!X$8)</f>
        <v>45.870580335788681</v>
      </c>
      <c r="Z53" s="27">
        <f>Y53</f>
        <v>45.870580335788681</v>
      </c>
      <c r="AA53" s="27">
        <f>AA81*('Income Statement'!AA8+'Income Statement'!Y8)</f>
        <v>48.957471072672355</v>
      </c>
      <c r="AB53" s="27">
        <f>AB81*('Income Statement'!AB$8+'Income Statement'!AA$8)</f>
        <v>53.84618469958459</v>
      </c>
      <c r="AC53" s="27">
        <f>AB53</f>
        <v>53.84618469958459</v>
      </c>
      <c r="AD53" s="27">
        <f>AD81*('Income Statement'!AD8+'Income Statement'!AB8)</f>
        <v>59.542989748724629</v>
      </c>
      <c r="AE53" s="27">
        <f>AE81*('Income Statement'!AE$8+'Income Statement'!AD$8)</f>
        <v>63.75151216660624</v>
      </c>
      <c r="AF53" s="27">
        <f>AE53</f>
        <v>63.75151216660624</v>
      </c>
      <c r="AG53" s="27">
        <f>AG81*('Income Statement'!AG8+'Income Statement'!AE8)</f>
        <v>69.247185896034992</v>
      </c>
      <c r="AH53" s="27">
        <f>AH81*('Income Statement'!AH$8+'Income Statement'!AG$8)</f>
        <v>75.837772876528845</v>
      </c>
      <c r="AI53" s="27">
        <f>AH53</f>
        <v>75.837772876528845</v>
      </c>
    </row>
    <row r="54" spans="1:35" ht="12.9" customHeight="1" x14ac:dyDescent="0.3">
      <c r="B54" s="183" t="s">
        <v>676</v>
      </c>
      <c r="C54" s="28">
        <f t="shared" ref="C54:R54" si="116">SUM(C45:C53)</f>
        <v>246.72309999999999</v>
      </c>
      <c r="D54" s="28">
        <f t="shared" si="116"/>
        <v>216.20589999999999</v>
      </c>
      <c r="E54" s="28">
        <f t="shared" si="116"/>
        <v>216.20589999999999</v>
      </c>
      <c r="F54" s="28">
        <f t="shared" si="116"/>
        <v>245.98519999999999</v>
      </c>
      <c r="G54" s="28">
        <f t="shared" si="116"/>
        <v>279.52189999999996</v>
      </c>
      <c r="H54" s="28">
        <f t="shared" si="116"/>
        <v>279.52189999999996</v>
      </c>
      <c r="I54" s="28">
        <f t="shared" si="116"/>
        <v>261.27620000000002</v>
      </c>
      <c r="J54" s="28">
        <f t="shared" si="116"/>
        <v>334.18379999999996</v>
      </c>
      <c r="K54" s="28">
        <f t="shared" si="116"/>
        <v>334.18379999999996</v>
      </c>
      <c r="L54" s="28">
        <f t="shared" si="116"/>
        <v>368.22470000000004</v>
      </c>
      <c r="M54" s="28">
        <f t="shared" si="116"/>
        <v>464.77480000000008</v>
      </c>
      <c r="N54" s="28">
        <f t="shared" si="116"/>
        <v>464.77480000000008</v>
      </c>
      <c r="O54" s="28">
        <f t="shared" si="116"/>
        <v>504.60749999999996</v>
      </c>
      <c r="P54" s="28">
        <f t="shared" si="116"/>
        <v>545.30010000000004</v>
      </c>
      <c r="Q54" s="28">
        <f t="shared" si="116"/>
        <v>545.30010000000004</v>
      </c>
      <c r="R54" s="28">
        <f t="shared" si="116"/>
        <v>593.9514999999999</v>
      </c>
      <c r="S54" s="28">
        <f t="shared" ref="S54:T54" si="117">SUM(S45:S53)</f>
        <v>564.471</v>
      </c>
      <c r="T54" s="28">
        <f t="shared" si="117"/>
        <v>564.471</v>
      </c>
      <c r="U54" s="28">
        <f t="shared" ref="U54" si="118">SUM(U45:U53)</f>
        <v>583.7902044442194</v>
      </c>
      <c r="V54" s="28">
        <f t="shared" ref="V54:AI54" si="119">SUM(V45:V53)</f>
        <v>646.68444167093094</v>
      </c>
      <c r="W54" s="28">
        <f t="shared" si="119"/>
        <v>646.68444167093094</v>
      </c>
      <c r="X54" s="28">
        <f t="shared" si="119"/>
        <v>670.81468016083784</v>
      </c>
      <c r="Y54" s="28">
        <f t="shared" si="119"/>
        <v>754.41983840701857</v>
      </c>
      <c r="Z54" s="28">
        <f t="shared" si="119"/>
        <v>754.41983840701857</v>
      </c>
      <c r="AA54" s="28">
        <f t="shared" si="119"/>
        <v>763.92250173527668</v>
      </c>
      <c r="AB54" s="28">
        <f t="shared" si="119"/>
        <v>873.08604401784237</v>
      </c>
      <c r="AC54" s="28">
        <f t="shared" si="119"/>
        <v>873.08604401784237</v>
      </c>
      <c r="AD54" s="28">
        <f t="shared" si="119"/>
        <v>883.61812670819086</v>
      </c>
      <c r="AE54" s="28">
        <f t="shared" si="119"/>
        <v>1007.9769674153855</v>
      </c>
      <c r="AF54" s="28">
        <f t="shared" si="119"/>
        <v>1007.9769674153855</v>
      </c>
      <c r="AG54" s="28">
        <f t="shared" si="119"/>
        <v>1004.6200840139551</v>
      </c>
      <c r="AH54" s="28">
        <f t="shared" si="119"/>
        <v>1169.240528646141</v>
      </c>
      <c r="AI54" s="28">
        <f t="shared" si="119"/>
        <v>1169.240528646141</v>
      </c>
    </row>
    <row r="55" spans="1:35" ht="12.9" customHeight="1" x14ac:dyDescent="0.3">
      <c r="A55" s="15"/>
      <c r="B55" s="183" t="s">
        <v>680</v>
      </c>
      <c r="C55" s="28">
        <f t="shared" ref="C55:R55" si="120">C43+C54</f>
        <v>462.39800000000002</v>
      </c>
      <c r="D55" s="28">
        <f t="shared" si="120"/>
        <v>430.72190000000001</v>
      </c>
      <c r="E55" s="28">
        <f t="shared" si="120"/>
        <v>430.72190000000001</v>
      </c>
      <c r="F55" s="28">
        <f t="shared" si="120"/>
        <v>457.31370000000004</v>
      </c>
      <c r="G55" s="28">
        <f t="shared" si="120"/>
        <v>525.31359999999995</v>
      </c>
      <c r="H55" s="28">
        <f t="shared" si="120"/>
        <v>525.31359999999995</v>
      </c>
      <c r="I55" s="28">
        <f t="shared" si="120"/>
        <v>537.99810000000002</v>
      </c>
      <c r="J55" s="28">
        <f t="shared" si="120"/>
        <v>642.91459999999984</v>
      </c>
      <c r="K55" s="28">
        <f t="shared" si="120"/>
        <v>642.91459999999984</v>
      </c>
      <c r="L55" s="28">
        <f t="shared" si="120"/>
        <v>688.09339999999997</v>
      </c>
      <c r="M55" s="28">
        <f t="shared" si="120"/>
        <v>808.43080000000009</v>
      </c>
      <c r="N55" s="28">
        <f t="shared" si="120"/>
        <v>808.43080000000009</v>
      </c>
      <c r="O55" s="28">
        <f t="shared" si="120"/>
        <v>872.00429999999983</v>
      </c>
      <c r="P55" s="28">
        <f t="shared" si="120"/>
        <v>926.15520000000004</v>
      </c>
      <c r="Q55" s="28">
        <f t="shared" si="120"/>
        <v>926.15520000000004</v>
      </c>
      <c r="R55" s="28">
        <f t="shared" si="120"/>
        <v>996.87919999999986</v>
      </c>
      <c r="S55" s="28">
        <f t="shared" ref="S55:T55" si="121">S43+S54</f>
        <v>970.65919999999994</v>
      </c>
      <c r="T55" s="28">
        <f t="shared" si="121"/>
        <v>970.65919999999994</v>
      </c>
      <c r="U55" s="28">
        <f t="shared" ref="U55" si="122">U43+U54</f>
        <v>996.36122037317023</v>
      </c>
      <c r="V55" s="28">
        <f t="shared" ref="V55:AI55" si="123">V43+V54</f>
        <v>1065.080135448904</v>
      </c>
      <c r="W55" s="28">
        <f t="shared" si="123"/>
        <v>1065.080135448904</v>
      </c>
      <c r="X55" s="28">
        <f t="shared" si="123"/>
        <v>1089.409914455088</v>
      </c>
      <c r="Y55" s="28">
        <f t="shared" si="123"/>
        <v>1173.2057732827582</v>
      </c>
      <c r="Z55" s="28">
        <f t="shared" si="123"/>
        <v>1173.2057732827582</v>
      </c>
      <c r="AA55" s="28">
        <f t="shared" si="123"/>
        <v>1182.890688879673</v>
      </c>
      <c r="AB55" s="28">
        <f t="shared" si="123"/>
        <v>1292.2284093905955</v>
      </c>
      <c r="AC55" s="28">
        <f t="shared" si="123"/>
        <v>1292.2284093905955</v>
      </c>
      <c r="AD55" s="28">
        <f t="shared" si="123"/>
        <v>1302.9269539607176</v>
      </c>
      <c r="AE55" s="28">
        <f t="shared" si="123"/>
        <v>1427.4448820445559</v>
      </c>
      <c r="AF55" s="28">
        <f t="shared" si="123"/>
        <v>1427.4448820445559</v>
      </c>
      <c r="AG55" s="28">
        <f t="shared" si="123"/>
        <v>1424.2400382178425</v>
      </c>
      <c r="AH55" s="28">
        <f t="shared" si="123"/>
        <v>1589.005786850684</v>
      </c>
      <c r="AI55" s="28">
        <f t="shared" si="123"/>
        <v>1589.005786850684</v>
      </c>
    </row>
    <row r="56" spans="1:35" ht="12.9" hidden="1" customHeight="1" outlineLevel="1" x14ac:dyDescent="0.3">
      <c r="B56" s="44" t="s">
        <v>82</v>
      </c>
      <c r="C56" s="30">
        <v>462.39799999999997</v>
      </c>
      <c r="D56" s="30"/>
      <c r="E56" s="30">
        <v>430.72190000000001</v>
      </c>
      <c r="F56" s="30">
        <v>457.31369999999998</v>
      </c>
      <c r="G56" s="30"/>
      <c r="H56" s="30">
        <v>525.31359999999995</v>
      </c>
      <c r="I56" s="30">
        <v>537.99810000000002</v>
      </c>
      <c r="J56" s="30"/>
      <c r="K56" s="30">
        <v>642.91460000000006</v>
      </c>
      <c r="L56" s="30">
        <v>688.09339999999997</v>
      </c>
      <c r="M56" s="30"/>
      <c r="N56" s="30">
        <v>808.43080000000009</v>
      </c>
      <c r="O56" s="30">
        <v>872.00430000000006</v>
      </c>
      <c r="P56" s="30"/>
      <c r="Q56" s="30">
        <v>926.15520000000015</v>
      </c>
      <c r="R56" s="30">
        <v>996.87920000000008</v>
      </c>
      <c r="S56" s="30"/>
      <c r="T56" s="30">
        <v>970.65920000000006</v>
      </c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</row>
    <row r="57" spans="1:35" s="186" customFormat="1" ht="12.9" hidden="1" customHeight="1" outlineLevel="1" x14ac:dyDescent="0.3">
      <c r="B57" s="187" t="s">
        <v>660</v>
      </c>
      <c r="C57" s="185">
        <f>C55-C56</f>
        <v>0</v>
      </c>
      <c r="D57" s="185"/>
      <c r="E57" s="185">
        <f t="shared" ref="E57:R57" si="124">E55-E56</f>
        <v>0</v>
      </c>
      <c r="F57" s="185">
        <f t="shared" si="124"/>
        <v>0</v>
      </c>
      <c r="G57" s="185"/>
      <c r="H57" s="185">
        <f t="shared" si="124"/>
        <v>0</v>
      </c>
      <c r="I57" s="185">
        <f t="shared" si="124"/>
        <v>0</v>
      </c>
      <c r="J57" s="185"/>
      <c r="K57" s="185">
        <f t="shared" si="124"/>
        <v>0</v>
      </c>
      <c r="L57" s="185">
        <f t="shared" si="124"/>
        <v>0</v>
      </c>
      <c r="M57" s="185"/>
      <c r="N57" s="185">
        <f t="shared" si="124"/>
        <v>0</v>
      </c>
      <c r="O57" s="185">
        <f t="shared" si="124"/>
        <v>0</v>
      </c>
      <c r="P57" s="185"/>
      <c r="Q57" s="185">
        <f t="shared" si="124"/>
        <v>0</v>
      </c>
      <c r="R57" s="185">
        <f t="shared" si="124"/>
        <v>0</v>
      </c>
      <c r="S57" s="185"/>
      <c r="T57" s="185">
        <f t="shared" ref="T57" si="125">T55-T56</f>
        <v>0</v>
      </c>
      <c r="U57" s="185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  <c r="AF57" s="185"/>
      <c r="AG57" s="185"/>
      <c r="AH57" s="185"/>
      <c r="AI57" s="185"/>
    </row>
    <row r="58" spans="1:35" s="186" customFormat="1" ht="12.9" hidden="1" customHeight="1" outlineLevel="1" x14ac:dyDescent="0.3">
      <c r="B58" s="188" t="s">
        <v>137</v>
      </c>
      <c r="C58" s="185">
        <f t="shared" ref="C58:AI58" si="126">C29-C55</f>
        <v>0</v>
      </c>
      <c r="D58" s="185">
        <f t="shared" si="126"/>
        <v>0</v>
      </c>
      <c r="E58" s="185">
        <f t="shared" si="126"/>
        <v>0</v>
      </c>
      <c r="F58" s="185">
        <f t="shared" si="126"/>
        <v>0</v>
      </c>
      <c r="G58" s="185">
        <f t="shared" si="126"/>
        <v>0</v>
      </c>
      <c r="H58" s="185">
        <f t="shared" si="126"/>
        <v>0</v>
      </c>
      <c r="I58" s="185">
        <f t="shared" si="126"/>
        <v>0</v>
      </c>
      <c r="J58" s="185">
        <f t="shared" si="126"/>
        <v>0</v>
      </c>
      <c r="K58" s="185">
        <f t="shared" si="126"/>
        <v>0</v>
      </c>
      <c r="L58" s="185">
        <f t="shared" si="126"/>
        <v>0</v>
      </c>
      <c r="M58" s="185">
        <f t="shared" si="126"/>
        <v>0</v>
      </c>
      <c r="N58" s="185">
        <f t="shared" si="126"/>
        <v>0</v>
      </c>
      <c r="O58" s="185">
        <f t="shared" si="126"/>
        <v>0</v>
      </c>
      <c r="P58" s="185">
        <f t="shared" si="126"/>
        <v>0</v>
      </c>
      <c r="Q58" s="185">
        <f t="shared" si="126"/>
        <v>0</v>
      </c>
      <c r="R58" s="185">
        <f t="shared" si="126"/>
        <v>0</v>
      </c>
      <c r="S58" s="185">
        <f t="shared" ref="S58:T58" si="127">S29-S55</f>
        <v>0</v>
      </c>
      <c r="T58" s="185">
        <f t="shared" si="127"/>
        <v>0</v>
      </c>
      <c r="U58" s="185">
        <f t="shared" si="126"/>
        <v>0</v>
      </c>
      <c r="V58" s="185">
        <f t="shared" si="126"/>
        <v>0</v>
      </c>
      <c r="W58" s="185">
        <f t="shared" si="126"/>
        <v>0</v>
      </c>
      <c r="X58" s="185">
        <f t="shared" si="126"/>
        <v>0</v>
      </c>
      <c r="Y58" s="185">
        <f t="shared" si="126"/>
        <v>0</v>
      </c>
      <c r="Z58" s="185">
        <f t="shared" si="126"/>
        <v>0</v>
      </c>
      <c r="AA58" s="185">
        <f t="shared" si="126"/>
        <v>0</v>
      </c>
      <c r="AB58" s="185">
        <f t="shared" si="126"/>
        <v>0</v>
      </c>
      <c r="AC58" s="185">
        <f t="shared" si="126"/>
        <v>0</v>
      </c>
      <c r="AD58" s="185">
        <f t="shared" si="126"/>
        <v>0</v>
      </c>
      <c r="AE58" s="185">
        <f t="shared" si="126"/>
        <v>0</v>
      </c>
      <c r="AF58" s="185">
        <f t="shared" si="126"/>
        <v>0</v>
      </c>
      <c r="AG58" s="185">
        <f t="shared" si="126"/>
        <v>0</v>
      </c>
      <c r="AH58" s="185">
        <f t="shared" si="126"/>
        <v>0</v>
      </c>
      <c r="AI58" s="185">
        <f t="shared" si="126"/>
        <v>0</v>
      </c>
    </row>
    <row r="59" spans="1:35" ht="12.9" customHeight="1" collapsed="1" x14ac:dyDescent="0.3">
      <c r="B59" s="16" t="s">
        <v>648</v>
      </c>
    </row>
    <row r="60" spans="1:35" ht="12.9" customHeight="1" x14ac:dyDescent="0.3">
      <c r="B60" s="16" t="s">
        <v>648</v>
      </c>
    </row>
    <row r="61" spans="1:35" ht="12.9" customHeight="1" x14ac:dyDescent="0.3">
      <c r="B61" s="6" t="s">
        <v>148</v>
      </c>
    </row>
    <row r="62" spans="1:35" ht="12.9" customHeight="1" x14ac:dyDescent="0.3">
      <c r="B62" s="12" t="s">
        <v>149</v>
      </c>
      <c r="D62" s="27">
        <f>C65</f>
        <v>181.39860000000002</v>
      </c>
      <c r="E62" s="27">
        <f>D65</f>
        <v>188.05529999999999</v>
      </c>
      <c r="F62" s="27">
        <f>E65</f>
        <v>188.05529999999999</v>
      </c>
      <c r="G62" s="27">
        <f>F65</f>
        <v>185.11240000000001</v>
      </c>
      <c r="H62" s="27">
        <f>E65</f>
        <v>188.05529999999999</v>
      </c>
      <c r="I62" s="27">
        <f>H65</f>
        <v>182.91069999999999</v>
      </c>
      <c r="J62" s="27">
        <f>I65</f>
        <v>193.3338</v>
      </c>
      <c r="K62" s="27">
        <f>H65</f>
        <v>182.91069999999999</v>
      </c>
      <c r="L62" s="27">
        <f>K65</f>
        <v>200.68619999999999</v>
      </c>
      <c r="M62" s="27">
        <f>L65</f>
        <v>294.24549999999999</v>
      </c>
      <c r="N62" s="27">
        <f>K65</f>
        <v>200.68619999999999</v>
      </c>
      <c r="O62" s="27">
        <f>N65</f>
        <v>299.54349999999999</v>
      </c>
      <c r="P62" s="27">
        <f>O65</f>
        <v>322.97109999999998</v>
      </c>
      <c r="Q62" s="27">
        <f>N65</f>
        <v>299.54349999999999</v>
      </c>
      <c r="R62" s="27">
        <f>Q65</f>
        <v>288.0958</v>
      </c>
      <c r="S62" s="27">
        <f>R65</f>
        <v>314.22219999999999</v>
      </c>
      <c r="T62" s="27">
        <f>Q65</f>
        <v>288.0958</v>
      </c>
      <c r="U62" s="27">
        <f>T65</f>
        <v>328.30489999999998</v>
      </c>
      <c r="V62" s="27">
        <f>U65</f>
        <v>331.26051592895089</v>
      </c>
      <c r="W62" s="27">
        <f>T65</f>
        <v>328.30489999999998</v>
      </c>
      <c r="X62" s="27">
        <f>W65</f>
        <v>334.08519377797313</v>
      </c>
      <c r="Y62" s="27">
        <f>X65</f>
        <v>334.2847342942502</v>
      </c>
      <c r="Z62" s="27">
        <f>W65</f>
        <v>334.08519377797313</v>
      </c>
      <c r="AA62" s="27">
        <f>Z65</f>
        <v>334.47543487573967</v>
      </c>
      <c r="AB62" s="27">
        <f>AA65</f>
        <v>334.65768714439628</v>
      </c>
      <c r="AC62" s="27">
        <f>Z65</f>
        <v>334.47543487573967</v>
      </c>
      <c r="AD62" s="27">
        <f>AC65</f>
        <v>334.83186537275321</v>
      </c>
      <c r="AE62" s="27">
        <f>AD65</f>
        <v>334.99832725252679</v>
      </c>
      <c r="AF62" s="27">
        <f>AC65</f>
        <v>334.83186537275321</v>
      </c>
      <c r="AG62" s="27">
        <f>AF65</f>
        <v>335.15741462917043</v>
      </c>
      <c r="AH62" s="27">
        <f>AG65</f>
        <v>335.30945420388741</v>
      </c>
      <c r="AI62" s="27">
        <f>AF65</f>
        <v>335.15741462917043</v>
      </c>
    </row>
    <row r="63" spans="1:35" ht="12.9" customHeight="1" x14ac:dyDescent="0.3">
      <c r="B63" s="12" t="s">
        <v>150</v>
      </c>
      <c r="C63" s="23">
        <f>'Income Statement'!C26</f>
        <v>4.5148999999999999</v>
      </c>
      <c r="D63" s="23">
        <f>'Income Statement'!D26</f>
        <v>5.9909999999999988</v>
      </c>
      <c r="E63" s="23">
        <f>'Income Statement'!E26</f>
        <v>10.505899999999999</v>
      </c>
      <c r="F63" s="23">
        <f>'Income Statement'!F26</f>
        <v>5.7862</v>
      </c>
      <c r="G63" s="23">
        <f>'Income Statement'!G26</f>
        <v>5.806</v>
      </c>
      <c r="H63" s="23">
        <f>'Income Statement'!H26</f>
        <v>11.5922</v>
      </c>
      <c r="I63" s="23">
        <f>'Income Statement'!I26</f>
        <v>5.8628999999999998</v>
      </c>
      <c r="J63" s="23">
        <f>'Income Statement'!J26</f>
        <v>6.6776</v>
      </c>
      <c r="K63" s="23">
        <f>'Income Statement'!K26</f>
        <v>12.5405</v>
      </c>
      <c r="L63" s="23">
        <f>'Income Statement'!L26</f>
        <v>7.0289000000000001</v>
      </c>
      <c r="M63" s="23">
        <f>'Income Statement'!M26</f>
        <v>10.435100000000002</v>
      </c>
      <c r="N63" s="23">
        <f>'Income Statement'!N26</f>
        <v>17.464000000000002</v>
      </c>
      <c r="O63" s="23">
        <f>'Income Statement'!O26</f>
        <v>11.355699999999999</v>
      </c>
      <c r="P63" s="23">
        <f>'Income Statement'!P26</f>
        <v>12.463300000000004</v>
      </c>
      <c r="Q63" s="23">
        <f>'Income Statement'!Q26</f>
        <v>23.819000000000003</v>
      </c>
      <c r="R63" s="23">
        <f>'Income Statement'!R26</f>
        <v>13.2423</v>
      </c>
      <c r="S63" s="23">
        <f>'Income Statement'!S26</f>
        <v>14.598700000000001</v>
      </c>
      <c r="T63" s="23">
        <f>'Income Statement'!T26</f>
        <v>27.841000000000001</v>
      </c>
      <c r="U63" s="23">
        <f>(U62*U67)/2</f>
        <v>14.544384071049086</v>
      </c>
      <c r="V63" s="23">
        <f>(V62*V67)/2</f>
        <v>14.675322150977753</v>
      </c>
      <c r="W63" s="23">
        <f>U63+V63</f>
        <v>29.219706222026836</v>
      </c>
      <c r="X63" s="23">
        <f>(X62*X67)/2</f>
        <v>14.800459483722905</v>
      </c>
      <c r="Y63" s="23">
        <f>(Y62*Y67)/2</f>
        <v>14.809299418510566</v>
      </c>
      <c r="Z63" s="23">
        <f>X63+Y63</f>
        <v>29.609758902233473</v>
      </c>
      <c r="AA63" s="23">
        <f>(AA62*AA67)/2</f>
        <v>14.817747731343408</v>
      </c>
      <c r="AB63" s="23">
        <f>(AB62*AB67)/2</f>
        <v>14.825821771643025</v>
      </c>
      <c r="AC63" s="23">
        <f>AA63+AB63</f>
        <v>29.643569502986431</v>
      </c>
      <c r="AD63" s="23">
        <f>(AD62*AD67)/2</f>
        <v>14.833538120226425</v>
      </c>
      <c r="AE63" s="23">
        <f>(AE62*AE67)/2</f>
        <v>14.840912623356338</v>
      </c>
      <c r="AF63" s="23">
        <f>AD63+AE63</f>
        <v>29.674450743582764</v>
      </c>
      <c r="AG63" s="23">
        <f>(AG62*AG67)/2</f>
        <v>14.847960425283025</v>
      </c>
      <c r="AH63" s="23">
        <f>(AH62*AH67)/2</f>
        <v>14.854695999344461</v>
      </c>
      <c r="AI63" s="23">
        <f>AG63+AH63</f>
        <v>29.702656424627484</v>
      </c>
    </row>
    <row r="64" spans="1:35" ht="12.9" customHeight="1" x14ac:dyDescent="0.3">
      <c r="B64" s="12" t="s">
        <v>103</v>
      </c>
      <c r="D64" s="23">
        <f t="shared" ref="D64:R64" si="128">D65+D63-D62</f>
        <v>12.647699999999958</v>
      </c>
      <c r="E64" s="23">
        <f t="shared" si="128"/>
        <v>10.505899999999997</v>
      </c>
      <c r="F64" s="23">
        <f t="shared" si="128"/>
        <v>2.8433000000000277</v>
      </c>
      <c r="G64" s="23">
        <f t="shared" si="128"/>
        <v>3.604299999999995</v>
      </c>
      <c r="H64" s="23">
        <f t="shared" si="128"/>
        <v>6.4475999999999942</v>
      </c>
      <c r="I64" s="23">
        <f t="shared" si="128"/>
        <v>16.286000000000001</v>
      </c>
      <c r="J64" s="23">
        <f t="shared" si="128"/>
        <v>14.030000000000001</v>
      </c>
      <c r="K64" s="23">
        <f t="shared" si="128"/>
        <v>30.316000000000003</v>
      </c>
      <c r="L64" s="23">
        <f t="shared" si="128"/>
        <v>100.58820000000003</v>
      </c>
      <c r="M64" s="23">
        <f t="shared" si="128"/>
        <v>15.733099999999979</v>
      </c>
      <c r="N64" s="23">
        <f t="shared" si="128"/>
        <v>116.32130000000001</v>
      </c>
      <c r="O64" s="23">
        <f t="shared" si="128"/>
        <v>34.783299999999997</v>
      </c>
      <c r="P64" s="23">
        <f t="shared" si="128"/>
        <v>-22.411999999999978</v>
      </c>
      <c r="Q64" s="23">
        <f t="shared" si="128"/>
        <v>12.371300000000019</v>
      </c>
      <c r="R64" s="23">
        <f t="shared" si="128"/>
        <v>39.36869999999999</v>
      </c>
      <c r="S64" s="23">
        <f t="shared" ref="S64" si="129">S65+S63-S62</f>
        <v>28.681399999999996</v>
      </c>
      <c r="T64" s="23">
        <v>68.05</v>
      </c>
      <c r="U64" s="134">
        <f>W64/2</f>
        <v>17.5</v>
      </c>
      <c r="V64" s="134">
        <f>W64/2</f>
        <v>17.5</v>
      </c>
      <c r="W64" s="134">
        <v>35</v>
      </c>
      <c r="X64" s="134">
        <f>Z64/2</f>
        <v>15</v>
      </c>
      <c r="Y64" s="134">
        <f>Z64/2</f>
        <v>15</v>
      </c>
      <c r="Z64" s="134">
        <v>30</v>
      </c>
      <c r="AA64" s="134">
        <f>AC64/2</f>
        <v>15</v>
      </c>
      <c r="AB64" s="134">
        <f>AC64/2</f>
        <v>15</v>
      </c>
      <c r="AC64" s="134">
        <v>30</v>
      </c>
      <c r="AD64" s="134">
        <f>AF64/2</f>
        <v>15</v>
      </c>
      <c r="AE64" s="134">
        <f>AF64/2</f>
        <v>15</v>
      </c>
      <c r="AF64" s="134">
        <v>30</v>
      </c>
      <c r="AG64" s="134">
        <f>AI64/2</f>
        <v>15</v>
      </c>
      <c r="AH64" s="134">
        <f>AI64/2</f>
        <v>15</v>
      </c>
      <c r="AI64" s="134">
        <v>30</v>
      </c>
    </row>
    <row r="65" spans="2:36" ht="12.9" customHeight="1" x14ac:dyDescent="0.3">
      <c r="B65" s="12" t="s">
        <v>151</v>
      </c>
      <c r="C65" s="27">
        <f>'Balance Sheet'!C35</f>
        <v>181.39860000000002</v>
      </c>
      <c r="D65" s="27">
        <f>'Balance Sheet'!D35</f>
        <v>188.05529999999999</v>
      </c>
      <c r="E65" s="27">
        <f>'Balance Sheet'!E35</f>
        <v>188.05529999999999</v>
      </c>
      <c r="F65" s="27">
        <f>'Balance Sheet'!F35</f>
        <v>185.11240000000001</v>
      </c>
      <c r="G65" s="27">
        <f>'Balance Sheet'!G35</f>
        <v>182.91069999999999</v>
      </c>
      <c r="H65" s="27">
        <f>'Balance Sheet'!H35</f>
        <v>182.91069999999999</v>
      </c>
      <c r="I65" s="27">
        <f>'Balance Sheet'!I35</f>
        <v>193.3338</v>
      </c>
      <c r="J65" s="27">
        <f>'Balance Sheet'!J35</f>
        <v>200.68619999999999</v>
      </c>
      <c r="K65" s="27">
        <f>'Balance Sheet'!K35</f>
        <v>200.68619999999999</v>
      </c>
      <c r="L65" s="27">
        <f>'Balance Sheet'!L35</f>
        <v>294.24549999999999</v>
      </c>
      <c r="M65" s="27">
        <f>'Balance Sheet'!M35</f>
        <v>299.54349999999999</v>
      </c>
      <c r="N65" s="27">
        <f>'Balance Sheet'!N35</f>
        <v>299.54349999999999</v>
      </c>
      <c r="O65" s="27">
        <f>'Balance Sheet'!O35</f>
        <v>322.97109999999998</v>
      </c>
      <c r="P65" s="27">
        <f>'Balance Sheet'!P35</f>
        <v>288.0958</v>
      </c>
      <c r="Q65" s="27">
        <f>'Balance Sheet'!Q35</f>
        <v>288.0958</v>
      </c>
      <c r="R65" s="27">
        <f>'Balance Sheet'!R35</f>
        <v>314.22219999999999</v>
      </c>
      <c r="S65" s="27">
        <f>'Balance Sheet'!S35</f>
        <v>328.30489999999998</v>
      </c>
      <c r="T65" s="27">
        <f>'Balance Sheet'!T35</f>
        <v>328.30489999999998</v>
      </c>
      <c r="U65" s="27">
        <f t="shared" ref="U65:AI65" si="130">U62-U63+U64</f>
        <v>331.26051592895089</v>
      </c>
      <c r="V65" s="27">
        <f t="shared" si="130"/>
        <v>334.08519377797313</v>
      </c>
      <c r="W65" s="27">
        <f t="shared" si="130"/>
        <v>334.08519377797313</v>
      </c>
      <c r="X65" s="27">
        <f t="shared" si="130"/>
        <v>334.2847342942502</v>
      </c>
      <c r="Y65" s="27">
        <f t="shared" si="130"/>
        <v>334.47543487573961</v>
      </c>
      <c r="Z65" s="27">
        <f t="shared" si="130"/>
        <v>334.47543487573967</v>
      </c>
      <c r="AA65" s="27">
        <f t="shared" si="130"/>
        <v>334.65768714439628</v>
      </c>
      <c r="AB65" s="27">
        <f t="shared" si="130"/>
        <v>334.83186537275327</v>
      </c>
      <c r="AC65" s="27">
        <f t="shared" si="130"/>
        <v>334.83186537275321</v>
      </c>
      <c r="AD65" s="27">
        <f t="shared" si="130"/>
        <v>334.99832725252679</v>
      </c>
      <c r="AE65" s="27">
        <f t="shared" si="130"/>
        <v>335.15741462917043</v>
      </c>
      <c r="AF65" s="27">
        <f t="shared" si="130"/>
        <v>335.15741462917043</v>
      </c>
      <c r="AG65" s="27">
        <f t="shared" si="130"/>
        <v>335.30945420388741</v>
      </c>
      <c r="AH65" s="27">
        <f t="shared" si="130"/>
        <v>335.45475820454294</v>
      </c>
      <c r="AI65" s="27">
        <f t="shared" si="130"/>
        <v>335.45475820454294</v>
      </c>
    </row>
    <row r="66" spans="2:36" ht="12.9" customHeight="1" x14ac:dyDescent="0.3">
      <c r="B66" s="12" t="s">
        <v>648</v>
      </c>
      <c r="D66" s="23"/>
    </row>
    <row r="67" spans="2:36" ht="12.9" customHeight="1" x14ac:dyDescent="0.3">
      <c r="B67" s="12" t="s">
        <v>152</v>
      </c>
      <c r="C67" s="19"/>
      <c r="D67" s="19">
        <f>(D63+C63)/D62</f>
        <v>5.791610299087202E-2</v>
      </c>
      <c r="E67" s="19">
        <f t="shared" ref="E67:T67" si="131">E63/E62</f>
        <v>5.5866013879959771E-2</v>
      </c>
      <c r="F67" s="19">
        <f>(F63+D63)/F62</f>
        <v>6.2626259403483972E-2</v>
      </c>
      <c r="G67" s="19">
        <f>(G63+F63)/G62</f>
        <v>6.2622493144705596E-2</v>
      </c>
      <c r="H67" s="19">
        <f t="shared" si="131"/>
        <v>6.1642506220244794E-2</v>
      </c>
      <c r="I67" s="19">
        <f>(I63+G63)/I62</f>
        <v>6.3795611738405686E-2</v>
      </c>
      <c r="J67" s="19">
        <f>(J63+I63)/J62</f>
        <v>6.4864498602934403E-2</v>
      </c>
      <c r="K67" s="19">
        <f t="shared" si="131"/>
        <v>6.8560778565715408E-2</v>
      </c>
      <c r="L67" s="19">
        <f>(L63+J63)/L62</f>
        <v>6.8298168982222004E-2</v>
      </c>
      <c r="M67" s="19">
        <f>(M63+L63)/M62</f>
        <v>5.9351799772638845E-2</v>
      </c>
      <c r="N67" s="19">
        <f t="shared" si="131"/>
        <v>8.7021429475469675E-2</v>
      </c>
      <c r="O67" s="19">
        <f>(O63+M63)/O62</f>
        <v>7.2746696222752288E-2</v>
      </c>
      <c r="P67" s="19">
        <f>(P63+O63)/P62</f>
        <v>7.3749632707075047E-2</v>
      </c>
      <c r="Q67" s="19">
        <f t="shared" si="131"/>
        <v>7.9517666048503813E-2</v>
      </c>
      <c r="R67" s="19">
        <f>(R63+P63)/R62</f>
        <v>8.922587555944933E-2</v>
      </c>
      <c r="S67" s="19">
        <f>(S63+R63)/S62</f>
        <v>8.8602905841789675E-2</v>
      </c>
      <c r="T67" s="19">
        <f t="shared" si="131"/>
        <v>9.6637993334161773E-2</v>
      </c>
      <c r="U67" s="73">
        <f>S67</f>
        <v>8.8602905841789675E-2</v>
      </c>
      <c r="V67" s="73">
        <f>U67</f>
        <v>8.8602905841789675E-2</v>
      </c>
      <c r="W67" s="19">
        <f t="shared" ref="W67" si="132">W63/W62</f>
        <v>8.900173656264905E-2</v>
      </c>
      <c r="X67" s="73">
        <f>V67</f>
        <v>8.8602905841789675E-2</v>
      </c>
      <c r="Y67" s="73">
        <f>X67</f>
        <v>8.8602905841789675E-2</v>
      </c>
      <c r="Z67" s="19">
        <f t="shared" ref="Z67" si="133">Z63/Z62</f>
        <v>8.8629365963196718E-2</v>
      </c>
      <c r="AA67" s="73">
        <f>Y67</f>
        <v>8.8602905841789675E-2</v>
      </c>
      <c r="AB67" s="73">
        <f>AA67</f>
        <v>8.8602905841789675E-2</v>
      </c>
      <c r="AC67" s="19">
        <f t="shared" ref="AC67" si="134">AC63/AC62</f>
        <v>8.8627045253709763E-2</v>
      </c>
      <c r="AD67" s="73">
        <f>AB67</f>
        <v>8.8602905841789675E-2</v>
      </c>
      <c r="AE67" s="73">
        <f>AD67</f>
        <v>8.8602905841789675E-2</v>
      </c>
      <c r="AF67" s="19">
        <f t="shared" ref="AF67" si="135">AF63/AF62</f>
        <v>8.8624930337940014E-2</v>
      </c>
      <c r="AG67" s="73">
        <f>AE67</f>
        <v>8.8602905841789675E-2</v>
      </c>
      <c r="AH67" s="73">
        <f>AG67</f>
        <v>8.8602905841789675E-2</v>
      </c>
      <c r="AI67" s="19">
        <f t="shared" ref="AI67" si="136">AI63/AI62</f>
        <v>8.8623002589668237E-2</v>
      </c>
    </row>
    <row r="68" spans="2:36" ht="12.9" customHeight="1" x14ac:dyDescent="0.3">
      <c r="B68" s="12" t="s">
        <v>648</v>
      </c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32"/>
      <c r="T68" s="271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</row>
    <row r="69" spans="2:36" ht="12.9" customHeight="1" x14ac:dyDescent="0.3">
      <c r="B69" s="71" t="s">
        <v>60</v>
      </c>
    </row>
    <row r="70" spans="2:36" ht="12.9" customHeight="1" x14ac:dyDescent="0.3">
      <c r="B70" s="12" t="s">
        <v>73</v>
      </c>
      <c r="C70" s="21">
        <f>('Income Statement'!C14+'Income Statement'!A14)/'Balance Sheet'!C23</f>
        <v>2.3033344968989211</v>
      </c>
      <c r="D70" s="21">
        <f>('Income Statement'!D14+'Income Statement'!C14)/'Balance Sheet'!D23</f>
        <v>5.4946338313553467</v>
      </c>
      <c r="E70" s="21">
        <f>'Income Statement'!E14/'Balance Sheet'!E23</f>
        <v>5.4946338313553467</v>
      </c>
      <c r="F70" s="21">
        <f>('Income Statement'!F14+'Income Statement'!D14)/'Balance Sheet'!F23</f>
        <v>4.847626061734724</v>
      </c>
      <c r="G70" s="21">
        <f>('Income Statement'!G14+'Income Statement'!F14)/'Balance Sheet'!G23</f>
        <v>3.2374702910952977</v>
      </c>
      <c r="H70" s="21">
        <f>'Income Statement'!H14/'Balance Sheet'!H23</f>
        <v>3.2374702910952968</v>
      </c>
      <c r="I70" s="21">
        <f>('Income Statement'!I14+'Income Statement'!G14)/'Balance Sheet'!I23</f>
        <v>3.8456002295980309</v>
      </c>
      <c r="J70" s="21">
        <f>('Income Statement'!J14+'Income Statement'!I14)/'Balance Sheet'!J23</f>
        <v>3.3700144322066081</v>
      </c>
      <c r="K70" s="21">
        <f>'Income Statement'!K14/'Balance Sheet'!K23</f>
        <v>3.3700144322066081</v>
      </c>
      <c r="L70" s="21">
        <f>('Income Statement'!L14+'Income Statement'!J14)/'Balance Sheet'!L23</f>
        <v>6.7560087736362942</v>
      </c>
      <c r="M70" s="21">
        <f>('Income Statement'!M14+'Income Statement'!L14)/'Balance Sheet'!M23</f>
        <v>4.5294138215478323</v>
      </c>
      <c r="N70" s="21">
        <f>'Income Statement'!N14/'Balance Sheet'!N23</f>
        <v>4.5294138215478323</v>
      </c>
      <c r="O70" s="21">
        <f>('Income Statement'!O14+'Income Statement'!M14)/'Balance Sheet'!O23</f>
        <v>4.0587024378100951</v>
      </c>
      <c r="P70" s="21">
        <f>('Income Statement'!P14+'Income Statement'!O14)/'Balance Sheet'!P23</f>
        <v>4.4977944669396246</v>
      </c>
      <c r="Q70" s="21">
        <f>'Income Statement'!Q14/'Balance Sheet'!Q23</f>
        <v>4.4977944669396246</v>
      </c>
      <c r="R70" s="21">
        <f>('Income Statement'!R14+'Income Statement'!P14)/'Balance Sheet'!R23</f>
        <v>4.9866054007044172</v>
      </c>
      <c r="S70" s="21">
        <f>('Income Statement'!S14+'Income Statement'!R14)/'Balance Sheet'!S23</f>
        <v>4.6270998801160959</v>
      </c>
      <c r="T70" s="21">
        <f>'Income Statement'!T14/'Balance Sheet'!T23</f>
        <v>4.6270998801160959</v>
      </c>
      <c r="U70" s="134">
        <v>4.7</v>
      </c>
      <c r="V70" s="134">
        <f>U70</f>
        <v>4.7</v>
      </c>
      <c r="W70" s="21">
        <f>'Income Statement'!W14/'Balance Sheet'!W23</f>
        <v>4.7</v>
      </c>
      <c r="X70" s="134">
        <v>4.5</v>
      </c>
      <c r="Y70" s="134">
        <f>X70</f>
        <v>4.5</v>
      </c>
      <c r="Z70" s="21">
        <f>'Income Statement'!Z14/'Balance Sheet'!Z23</f>
        <v>4.5</v>
      </c>
      <c r="AA70" s="134">
        <v>4.3</v>
      </c>
      <c r="AB70" s="134">
        <f t="shared" ref="AB70" si="137">AA70</f>
        <v>4.3</v>
      </c>
      <c r="AC70" s="21">
        <f>'Income Statement'!AC14/'Balance Sheet'!AC23</f>
        <v>4.3</v>
      </c>
      <c r="AD70" s="134">
        <v>4.2</v>
      </c>
      <c r="AE70" s="134">
        <f t="shared" ref="AE70" si="138">AD70</f>
        <v>4.2</v>
      </c>
      <c r="AF70" s="21">
        <f>'Income Statement'!AF14/'Balance Sheet'!AF23</f>
        <v>4.2</v>
      </c>
      <c r="AG70" s="134">
        <v>4</v>
      </c>
      <c r="AH70" s="134">
        <f t="shared" ref="AH70" si="139">AG70</f>
        <v>4</v>
      </c>
      <c r="AI70" s="21">
        <f>'Income Statement'!AI14/'Balance Sheet'!AI23</f>
        <v>4</v>
      </c>
    </row>
    <row r="71" spans="2:36" ht="12.9" customHeight="1" x14ac:dyDescent="0.3">
      <c r="B71" s="12" t="s">
        <v>75</v>
      </c>
      <c r="C71" s="22">
        <f>365/'Balance Sheet'!C70</f>
        <v>158.46591126534827</v>
      </c>
      <c r="D71" s="22">
        <f>365/'Balance Sheet'!D70</f>
        <v>66.428448410358655</v>
      </c>
      <c r="E71" s="22">
        <f>365/'Balance Sheet'!E70</f>
        <v>66.428448410358655</v>
      </c>
      <c r="F71" s="22">
        <f>365/'Balance Sheet'!F70</f>
        <v>75.294586536112618</v>
      </c>
      <c r="G71" s="22">
        <f>365/'Balance Sheet'!G70</f>
        <v>112.74234732097374</v>
      </c>
      <c r="H71" s="22">
        <f>365/'Balance Sheet'!H70</f>
        <v>112.74234732097376</v>
      </c>
      <c r="I71" s="22">
        <f>365/'Balance Sheet'!I70</f>
        <v>94.913661901396438</v>
      </c>
      <c r="J71" s="22">
        <f>365/'Balance Sheet'!J70</f>
        <v>108.3081415057936</v>
      </c>
      <c r="K71" s="22">
        <f>365/'Balance Sheet'!K70</f>
        <v>108.3081415057936</v>
      </c>
      <c r="L71" s="22">
        <f>366/'Balance Sheet'!L70</f>
        <v>54.173997142843767</v>
      </c>
      <c r="M71" s="22">
        <f>366/'Balance Sheet'!M70</f>
        <v>80.805158110929057</v>
      </c>
      <c r="N71" s="22">
        <f>366/'Balance Sheet'!N70</f>
        <v>80.805158110929057</v>
      </c>
      <c r="O71" s="22">
        <f>365/'Balance Sheet'!O70</f>
        <v>89.930219224678765</v>
      </c>
      <c r="P71" s="22">
        <f>365/'Balance Sheet'!P70</f>
        <v>81.150884657553547</v>
      </c>
      <c r="Q71" s="22">
        <f>365/'Balance Sheet'!Q70</f>
        <v>81.150884657553547</v>
      </c>
      <c r="R71" s="22">
        <f>365/'Balance Sheet'!R70</f>
        <v>73.196086449599449</v>
      </c>
      <c r="S71" s="22">
        <f>365/'Balance Sheet'!S70</f>
        <v>78.883103770572163</v>
      </c>
      <c r="T71" s="22">
        <f>365/'Balance Sheet'!T70</f>
        <v>78.883103770572163</v>
      </c>
      <c r="U71" s="22">
        <f>365/'Balance Sheet'!U70</f>
        <v>77.659574468085097</v>
      </c>
      <c r="V71" s="22">
        <f>365/'Balance Sheet'!V70</f>
        <v>77.659574468085097</v>
      </c>
      <c r="W71" s="22">
        <f>365/'Balance Sheet'!W70</f>
        <v>77.659574468085097</v>
      </c>
      <c r="X71" s="22">
        <f>365/'Balance Sheet'!X70</f>
        <v>81.111111111111114</v>
      </c>
      <c r="Y71" s="22">
        <f>365/'Balance Sheet'!Y70</f>
        <v>81.111111111111114</v>
      </c>
      <c r="Z71" s="22">
        <f>365/'Balance Sheet'!Z70</f>
        <v>81.111111111111114</v>
      </c>
      <c r="AA71" s="22">
        <f>365/'Balance Sheet'!AA70</f>
        <v>84.883720930232556</v>
      </c>
      <c r="AB71" s="22">
        <f>365/'Balance Sheet'!AB70</f>
        <v>84.883720930232556</v>
      </c>
      <c r="AC71" s="22">
        <f>365/'Balance Sheet'!AC70</f>
        <v>84.883720930232556</v>
      </c>
      <c r="AD71" s="22">
        <f>365/'Balance Sheet'!AD70</f>
        <v>86.904761904761898</v>
      </c>
      <c r="AE71" s="22">
        <f>365/'Balance Sheet'!AE70</f>
        <v>86.904761904761898</v>
      </c>
      <c r="AF71" s="22">
        <f>365/'Balance Sheet'!AF70</f>
        <v>86.904761904761898</v>
      </c>
      <c r="AG71" s="22">
        <f>365/'Balance Sheet'!AG70</f>
        <v>91.25</v>
      </c>
      <c r="AH71" s="22">
        <f>365/'Balance Sheet'!AH70</f>
        <v>91.25</v>
      </c>
      <c r="AI71" s="22">
        <f>365/'Balance Sheet'!AI70</f>
        <v>91.25</v>
      </c>
    </row>
    <row r="72" spans="2:36" ht="12.9" customHeight="1" x14ac:dyDescent="0.3">
      <c r="B72" s="12" t="s">
        <v>910</v>
      </c>
      <c r="C72" s="19">
        <f>C24/('Income Statement'!C8+'Income Statement'!A8)</f>
        <v>6.8653391607404537E-2</v>
      </c>
      <c r="D72" s="19">
        <f>D24/('Income Statement'!D8+'Income Statement'!C8)</f>
        <v>8.9349176869812467E-3</v>
      </c>
      <c r="E72" s="19">
        <f>E24/'Income Statement'!E8</f>
        <v>8.9349176869812467E-3</v>
      </c>
      <c r="F72" s="19">
        <f>F24/('Income Statement'!F8+'Income Statement'!D8)</f>
        <v>8.9071511755962392E-3</v>
      </c>
      <c r="G72" s="19">
        <f>G24/('Income Statement'!G8+'Income Statement'!F8)</f>
        <v>9.1877785857419608E-3</v>
      </c>
      <c r="H72" s="19">
        <f>H24/'Income Statement'!H8</f>
        <v>9.1877785857419608E-3</v>
      </c>
      <c r="I72" s="19">
        <f>I24/('Income Statement'!I8+'Income Statement'!G8)</f>
        <v>1.8339114074590733E-2</v>
      </c>
      <c r="J72" s="19">
        <f>J24/('Income Statement'!J8+'Income Statement'!I8)</f>
        <v>9.3541055399439035E-3</v>
      </c>
      <c r="K72" s="19">
        <f>K24/'Income Statement'!K8</f>
        <v>9.3541055399439035E-3</v>
      </c>
      <c r="L72" s="19">
        <f>L24/('Income Statement'!L8+'Income Statement'!J8)</f>
        <v>6.3862401560104889E-3</v>
      </c>
      <c r="M72" s="19">
        <f>M24/('Income Statement'!M8+'Income Statement'!L8)</f>
        <v>1.5649786649151638E-2</v>
      </c>
      <c r="N72" s="19">
        <f>N24/'Income Statement'!N8</f>
        <v>1.5649786649151638E-2</v>
      </c>
      <c r="O72" s="19">
        <f>O24/('Income Statement'!O8+'Income Statement'!M8)</f>
        <v>1.2822652113658996E-2</v>
      </c>
      <c r="P72" s="19">
        <f>P24/('Income Statement'!P8+'Income Statement'!O8)</f>
        <v>1.5499204406197715E-2</v>
      </c>
      <c r="Q72" s="19">
        <f>Q24/'Income Statement'!Q8</f>
        <v>1.5499204406197715E-2</v>
      </c>
      <c r="R72" s="19">
        <f>R24/('Income Statement'!R8+'Income Statement'!P8)</f>
        <v>1.8620146049906104E-2</v>
      </c>
      <c r="S72" s="19">
        <f>S24/('Income Statement'!S8+'Income Statement'!R8)</f>
        <v>2.8069494411749076E-2</v>
      </c>
      <c r="T72" s="19">
        <f>T24/'Income Statement'!T8</f>
        <v>2.8069494411749076E-2</v>
      </c>
      <c r="U72" s="73">
        <f>S72</f>
        <v>2.8069494411749076E-2</v>
      </c>
      <c r="V72" s="73">
        <f>U72</f>
        <v>2.8069494411749076E-2</v>
      </c>
      <c r="W72" s="19">
        <f>W24/'Income Statement'!W8</f>
        <v>2.806949441174908E-2</v>
      </c>
      <c r="X72" s="73">
        <f>V72</f>
        <v>2.8069494411749076E-2</v>
      </c>
      <c r="Y72" s="73">
        <f>X72</f>
        <v>2.8069494411749076E-2</v>
      </c>
      <c r="Z72" s="19">
        <f>Z24/'Income Statement'!Z8</f>
        <v>2.8069494411749083E-2</v>
      </c>
      <c r="AA72" s="73">
        <f>Y72</f>
        <v>2.8069494411749076E-2</v>
      </c>
      <c r="AB72" s="73">
        <f>AA72</f>
        <v>2.8069494411749076E-2</v>
      </c>
      <c r="AC72" s="19">
        <f>AC24/'Income Statement'!AC8</f>
        <v>2.806949441174908E-2</v>
      </c>
      <c r="AD72" s="73">
        <f>AB72</f>
        <v>2.8069494411749076E-2</v>
      </c>
      <c r="AE72" s="73">
        <f>AD72</f>
        <v>2.8069494411749076E-2</v>
      </c>
      <c r="AF72" s="19">
        <f>AF24/'Income Statement'!AF8</f>
        <v>2.8069494411749076E-2</v>
      </c>
      <c r="AG72" s="73">
        <f>AE72</f>
        <v>2.8069494411749076E-2</v>
      </c>
      <c r="AH72" s="73">
        <f>AG72</f>
        <v>2.8069494411749076E-2</v>
      </c>
      <c r="AI72" s="19">
        <f>AI24/'Income Statement'!AI8</f>
        <v>2.806949441174908E-2</v>
      </c>
    </row>
    <row r="73" spans="2:36" ht="12.9" customHeight="1" x14ac:dyDescent="0.3">
      <c r="B73" s="12" t="s">
        <v>911</v>
      </c>
      <c r="C73" s="19">
        <f>'Balance Sheet'!C26/('Income Statement'!C8+'Income Statement'!A8)</f>
        <v>0.6594311691000283</v>
      </c>
      <c r="D73" s="19">
        <f>'Balance Sheet'!D26/('Income Statement'!D8+'Income Statement'!C8)</f>
        <v>0.18253492284587519</v>
      </c>
      <c r="E73" s="19">
        <f>'Balance Sheet'!E26/'Income Statement'!E8</f>
        <v>0.18253492284587519</v>
      </c>
      <c r="F73" s="19">
        <f>'Balance Sheet'!F26/('Income Statement'!F8+'Income Statement'!D8)</f>
        <v>0.18569237323119817</v>
      </c>
      <c r="G73" s="19">
        <f>'Balance Sheet'!G26/('Income Statement'!G8+'Income Statement'!F8)</f>
        <v>0.21844695560946095</v>
      </c>
      <c r="H73" s="19">
        <f>'Balance Sheet'!H26/'Income Statement'!H8</f>
        <v>0.21844695560946095</v>
      </c>
      <c r="I73" s="19">
        <f>'Balance Sheet'!I26/('Income Statement'!I8+'Income Statement'!G8)</f>
        <v>0.21624684470882966</v>
      </c>
      <c r="J73" s="19">
        <f>'Balance Sheet'!J26/('Income Statement'!J8+'Income Statement'!I8)</f>
        <v>0.17740637203312795</v>
      </c>
      <c r="K73" s="19">
        <f>'Balance Sheet'!K26/'Income Statement'!K8</f>
        <v>0.17740637203312795</v>
      </c>
      <c r="L73" s="19">
        <f>'Balance Sheet'!L26/('Income Statement'!L8+'Income Statement'!J8)</f>
        <v>0.19358755949265274</v>
      </c>
      <c r="M73" s="19">
        <f>'Balance Sheet'!M26/('Income Statement'!M8+'Income Statement'!L8)</f>
        <v>0.28074864026875757</v>
      </c>
      <c r="N73" s="19">
        <f>'Balance Sheet'!N26/'Income Statement'!N8</f>
        <v>0.28074864026875757</v>
      </c>
      <c r="O73" s="19">
        <f>'Balance Sheet'!O26/('Income Statement'!O8+'Income Statement'!M8)</f>
        <v>0.28467626454582812</v>
      </c>
      <c r="P73" s="19">
        <f>'Balance Sheet'!P26/('Income Statement'!P8+'Income Statement'!O8)</f>
        <v>0.1966434948265933</v>
      </c>
      <c r="Q73" s="19">
        <f>'Balance Sheet'!Q26/'Income Statement'!Q8</f>
        <v>0.1966434948265933</v>
      </c>
      <c r="R73" s="19">
        <f>'Balance Sheet'!R26/('Income Statement'!R$8+'Income Statement'!P$8)</f>
        <v>7.7534763459938622E-2</v>
      </c>
      <c r="S73" s="19">
        <f>'Balance Sheet'!S26/('Income Statement'!S$8+'Income Statement'!R$8)</f>
        <v>3.0159881997505255E-2</v>
      </c>
      <c r="T73" s="19">
        <f>'Balance Sheet'!T26/'Income Statement'!T8</f>
        <v>3.0159881997505255E-2</v>
      </c>
      <c r="U73" s="73">
        <f>T73</f>
        <v>3.0159881997505255E-2</v>
      </c>
      <c r="V73" s="73">
        <f>U73</f>
        <v>3.0159881997505255E-2</v>
      </c>
      <c r="W73" s="19">
        <f>'Balance Sheet'!W26/'Income Statement'!W8</f>
        <v>3.0159881997505258E-2</v>
      </c>
      <c r="X73" s="73">
        <f>V73</f>
        <v>3.0159881997505255E-2</v>
      </c>
      <c r="Y73" s="73">
        <f>X73</f>
        <v>3.0159881997505255E-2</v>
      </c>
      <c r="Z73" s="19">
        <f>'Balance Sheet'!Z26/'Income Statement'!Z8</f>
        <v>3.0159881997505262E-2</v>
      </c>
      <c r="AA73" s="73">
        <f>Y73</f>
        <v>3.0159881997505255E-2</v>
      </c>
      <c r="AB73" s="73">
        <f>AA73</f>
        <v>3.0159881997505255E-2</v>
      </c>
      <c r="AC73" s="19">
        <f>'Balance Sheet'!AC26/'Income Statement'!AC8</f>
        <v>3.0159881997505255E-2</v>
      </c>
      <c r="AD73" s="73">
        <f>AB73</f>
        <v>3.0159881997505255E-2</v>
      </c>
      <c r="AE73" s="73">
        <f>AD73</f>
        <v>3.0159881997505255E-2</v>
      </c>
      <c r="AF73" s="19">
        <f>'Balance Sheet'!AF26/'Income Statement'!AF8</f>
        <v>3.0159881997505255E-2</v>
      </c>
      <c r="AG73" s="73">
        <f>AE73</f>
        <v>3.0159881997505255E-2</v>
      </c>
      <c r="AH73" s="73">
        <f>AG73</f>
        <v>3.0159881997505255E-2</v>
      </c>
      <c r="AI73" s="19">
        <f>'Balance Sheet'!AI26/'Income Statement'!AI8</f>
        <v>3.0159881997505255E-2</v>
      </c>
    </row>
    <row r="74" spans="2:36" ht="12.9" customHeight="1" x14ac:dyDescent="0.3">
      <c r="B74" s="12" t="s">
        <v>912</v>
      </c>
      <c r="C74" s="19">
        <f>'Balance Sheet'!C27/('Income Statement'!C$8+'Income Statement'!A$8)</f>
        <v>0</v>
      </c>
      <c r="D74" s="19">
        <f>'Balance Sheet'!D27/('Income Statement'!D$8+'Income Statement'!C$8)</f>
        <v>0</v>
      </c>
      <c r="E74" s="19">
        <f>E25/'Income Statement'!E8</f>
        <v>2.2297885999908291E-3</v>
      </c>
      <c r="F74" s="19">
        <f>'Balance Sheet'!F27/('Income Statement'!F$8+'Income Statement'!D$8)</f>
        <v>0</v>
      </c>
      <c r="G74" s="19">
        <f>'Balance Sheet'!G27/('Income Statement'!G$8+'Income Statement'!F$8)</f>
        <v>3.5985090285371717E-2</v>
      </c>
      <c r="H74" s="19">
        <f>H25/'Income Statement'!H8</f>
        <v>2.2082169957424601E-3</v>
      </c>
      <c r="I74" s="19">
        <f>'Balance Sheet'!I27/('Income Statement'!I$8+'Income Statement'!G$8)</f>
        <v>3.4443393467934638E-2</v>
      </c>
      <c r="J74" s="19">
        <f>'Balance Sheet'!J27/('Income Statement'!J$8+'Income Statement'!I$8)</f>
        <v>3.7462855981490656E-2</v>
      </c>
      <c r="K74" s="19">
        <f>K25/'Income Statement'!K8</f>
        <v>1.7963325060333579E-3</v>
      </c>
      <c r="L74" s="19">
        <f>'Balance Sheet'!L27/('Income Statement'!L$8+'Income Statement'!J$8)</f>
        <v>3.9159022192194089E-2</v>
      </c>
      <c r="M74" s="19">
        <f>'Balance Sheet'!M27/('Income Statement'!M$8+'Income Statement'!L$8)</f>
        <v>3.156375224956371E-2</v>
      </c>
      <c r="N74" s="19">
        <f>N25/'Income Statement'!N8</f>
        <v>2.6050878976424663E-3</v>
      </c>
      <c r="O74" s="19">
        <f>'Balance Sheet'!O27/('Income Statement'!O$8+'Income Statement'!M$8)</f>
        <v>2.9578799130252922E-2</v>
      </c>
      <c r="P74" s="19">
        <f>'Balance Sheet'!P27/('Income Statement'!P$8+'Income Statement'!O$8)</f>
        <v>2.5417243233358713E-2</v>
      </c>
      <c r="Q74" s="19">
        <f>Q25/'Income Statement'!Q8</f>
        <v>3.4570802389783648E-3</v>
      </c>
      <c r="R74" s="19">
        <f>'Balance Sheet'!R27/('Income Statement'!R$8+'Income Statement'!P$8)</f>
        <v>3.1643938292323232E-2</v>
      </c>
      <c r="S74" s="19">
        <f>'Balance Sheet'!S27/('Income Statement'!S$8+'Income Statement'!R$8)</f>
        <v>2.1066471017382363E-2</v>
      </c>
      <c r="T74" s="19">
        <f>T25/'Income Statement'!T8</f>
        <v>4.7193944406562329E-3</v>
      </c>
      <c r="U74" s="73">
        <f>S74</f>
        <v>2.1066471017382363E-2</v>
      </c>
      <c r="V74" s="73">
        <f>U74</f>
        <v>2.1066471017382363E-2</v>
      </c>
      <c r="W74" s="19">
        <f>W25/'Income Statement'!W8</f>
        <v>2.1066471017382366E-2</v>
      </c>
      <c r="X74" s="73">
        <f>V74</f>
        <v>2.1066471017382363E-2</v>
      </c>
      <c r="Y74" s="73">
        <f>X74</f>
        <v>2.1066471017382363E-2</v>
      </c>
      <c r="Z74" s="19">
        <f>Z25/'Income Statement'!Z8</f>
        <v>2.1066471017382366E-2</v>
      </c>
      <c r="AA74" s="73">
        <f>Y74</f>
        <v>2.1066471017382363E-2</v>
      </c>
      <c r="AB74" s="73">
        <f>AA74</f>
        <v>2.1066471017382363E-2</v>
      </c>
      <c r="AC74" s="19">
        <f>AC25/'Income Statement'!AC8</f>
        <v>2.1066471017382363E-2</v>
      </c>
      <c r="AD74" s="73">
        <f>AB74</f>
        <v>2.1066471017382363E-2</v>
      </c>
      <c r="AE74" s="73">
        <f>AD74</f>
        <v>2.1066471017382363E-2</v>
      </c>
      <c r="AF74" s="19">
        <f>AF25/'Income Statement'!AF8</f>
        <v>2.1066471017382363E-2</v>
      </c>
      <c r="AG74" s="73">
        <f>AE74</f>
        <v>2.1066471017382363E-2</v>
      </c>
      <c r="AH74" s="73">
        <f>AG74</f>
        <v>2.1066471017382363E-2</v>
      </c>
      <c r="AI74" s="19">
        <f>AI25/'Income Statement'!AI8</f>
        <v>2.1066471017382363E-2</v>
      </c>
    </row>
    <row r="75" spans="2:36" ht="12.9" customHeight="1" x14ac:dyDescent="0.3">
      <c r="B75" s="16" t="s">
        <v>648</v>
      </c>
    </row>
    <row r="76" spans="2:36" ht="12.9" customHeight="1" x14ac:dyDescent="0.3">
      <c r="B76" s="12" t="s">
        <v>157</v>
      </c>
      <c r="C76" s="21">
        <f>('Income Statement'!C14+'Income Statement'!A14)/'Balance Sheet'!C45</f>
        <v>0.76693896431405872</v>
      </c>
      <c r="D76" s="21">
        <f>('Income Statement'!D14+'Income Statement'!C14)/'Balance Sheet'!D45</f>
        <v>2.2171496940709963</v>
      </c>
      <c r="E76" s="21">
        <f>'Income Statement'!E14/'Balance Sheet'!E45</f>
        <v>2.2171496940709963</v>
      </c>
      <c r="F76" s="21">
        <f>('Income Statement'!F14+'Income Statement'!D14)/'Balance Sheet'!F45</f>
        <v>2.3183153968372183</v>
      </c>
      <c r="G76" s="21">
        <f>('Income Statement'!G14+'Income Statement'!F14)/'Balance Sheet'!G45</f>
        <v>1.5540068450246074</v>
      </c>
      <c r="H76" s="21">
        <f>'Income Statement'!H14/'Balance Sheet'!H45</f>
        <v>1.5540068450246072</v>
      </c>
      <c r="I76" s="21">
        <f>('Income Statement'!I14+'Income Statement'!G14)/'Balance Sheet'!I45</f>
        <v>1.3534591194968553</v>
      </c>
      <c r="J76" s="21">
        <f>('Income Statement'!J14+'Income Statement'!I14)/'Balance Sheet'!J45</f>
        <v>1.7478253744137964</v>
      </c>
      <c r="K76" s="21">
        <f>'Income Statement'!K14/'Balance Sheet'!K45</f>
        <v>1.7478253744137964</v>
      </c>
      <c r="L76" s="21">
        <f>('Income Statement'!L14+'Income Statement'!J14)/'Balance Sheet'!L45</f>
        <v>2.3354230604667507</v>
      </c>
      <c r="M76" s="21">
        <f>('Income Statement'!M14+'Income Statement'!L14)/'Balance Sheet'!M45</f>
        <v>1.7241804282918243</v>
      </c>
      <c r="N76" s="21">
        <f>'Income Statement'!N14/'Balance Sheet'!N45</f>
        <v>1.7241804282918243</v>
      </c>
      <c r="O76" s="21">
        <f>('Income Statement'!O14+'Income Statement'!M14)/'Balance Sheet'!O45</f>
        <v>1.8510765706678807</v>
      </c>
      <c r="P76" s="21">
        <f>('Income Statement'!P14+'Income Statement'!O14)/'Balance Sheet'!P45</f>
        <v>2.6998175083370448</v>
      </c>
      <c r="Q76" s="21">
        <f>'Income Statement'!Q14/'Balance Sheet'!Q45</f>
        <v>2.6998175083370448</v>
      </c>
      <c r="R76" s="21">
        <f>('Income Statement'!R14+'Income Statement'!P14)/'Balance Sheet'!R45</f>
        <v>2.7140412425214802</v>
      </c>
      <c r="S76" s="21">
        <f>('Income Statement'!S14+'Income Statement'!R14)/'Balance Sheet'!S45</f>
        <v>3.9037100781241474</v>
      </c>
      <c r="T76" s="21">
        <f>'Income Statement'!T14/'Balance Sheet'!T45</f>
        <v>3.9037100781241474</v>
      </c>
      <c r="U76" s="134">
        <v>3.9</v>
      </c>
      <c r="V76" s="134">
        <f>U76</f>
        <v>3.9</v>
      </c>
      <c r="W76" s="21">
        <f>'Income Statement'!W14/'Balance Sheet'!W45</f>
        <v>3.9</v>
      </c>
      <c r="X76" s="134">
        <v>4</v>
      </c>
      <c r="Y76" s="134">
        <f>X76</f>
        <v>4</v>
      </c>
      <c r="Z76" s="21">
        <f>'Income Statement'!Z14/'Balance Sheet'!Z45</f>
        <v>4</v>
      </c>
      <c r="AA76" s="134">
        <v>4.0999999999999996</v>
      </c>
      <c r="AB76" s="134">
        <f>AA76</f>
        <v>4.0999999999999996</v>
      </c>
      <c r="AC76" s="21">
        <f>'Income Statement'!AC14/'Balance Sheet'!AC45</f>
        <v>4.0999999999999996</v>
      </c>
      <c r="AD76" s="134">
        <v>4.3</v>
      </c>
      <c r="AE76" s="134">
        <f>AD76</f>
        <v>4.3</v>
      </c>
      <c r="AF76" s="21">
        <f>'Income Statement'!AF14/'Balance Sheet'!AF45</f>
        <v>4.3</v>
      </c>
      <c r="AG76" s="134">
        <v>4.5</v>
      </c>
      <c r="AH76" s="134">
        <f>AG76</f>
        <v>4.5</v>
      </c>
      <c r="AI76" s="21">
        <f>'Income Statement'!AI14/'Balance Sheet'!AI45</f>
        <v>4.5</v>
      </c>
    </row>
    <row r="77" spans="2:36" ht="12.9" customHeight="1" x14ac:dyDescent="0.3">
      <c r="B77" s="12" t="s">
        <v>913</v>
      </c>
      <c r="C77" s="22">
        <f>365/C76</f>
        <v>475.91792435067077</v>
      </c>
      <c r="D77" s="22">
        <f t="shared" ref="D77:P77" si="140">365/D76</f>
        <v>164.62578100886327</v>
      </c>
      <c r="E77" s="22">
        <f t="shared" si="140"/>
        <v>164.62578100886327</v>
      </c>
      <c r="F77" s="22">
        <f t="shared" si="140"/>
        <v>157.4419082485301</v>
      </c>
      <c r="G77" s="22">
        <f t="shared" si="140"/>
        <v>234.87670029807384</v>
      </c>
      <c r="H77" s="22">
        <f t="shared" si="140"/>
        <v>234.87670029807387</v>
      </c>
      <c r="I77" s="22">
        <f t="shared" si="140"/>
        <v>269.67936802973981</v>
      </c>
      <c r="J77" s="22">
        <f t="shared" si="140"/>
        <v>208.83093090602227</v>
      </c>
      <c r="K77" s="22">
        <f t="shared" si="140"/>
        <v>208.83093090602227</v>
      </c>
      <c r="L77" s="22">
        <f t="shared" si="140"/>
        <v>156.28859977388944</v>
      </c>
      <c r="M77" s="22">
        <f t="shared" si="140"/>
        <v>211.69478206037397</v>
      </c>
      <c r="N77" s="22">
        <f t="shared" si="140"/>
        <v>211.69478206037397</v>
      </c>
      <c r="O77" s="22">
        <f t="shared" si="140"/>
        <v>197.18255083759479</v>
      </c>
      <c r="P77" s="22">
        <f t="shared" si="140"/>
        <v>135.19432290252169</v>
      </c>
      <c r="Q77" s="22">
        <f>365/Q76</f>
        <v>135.19432290252169</v>
      </c>
      <c r="R77" s="22">
        <f t="shared" ref="R77:S77" si="141">365/R76</f>
        <v>134.4857971505609</v>
      </c>
      <c r="S77" s="22">
        <f t="shared" si="141"/>
        <v>93.500796087652517</v>
      </c>
      <c r="T77" s="22">
        <f>365/T76</f>
        <v>93.500796087652517</v>
      </c>
      <c r="U77" s="22">
        <f>365/U76</f>
        <v>93.589743589743591</v>
      </c>
      <c r="V77" s="22">
        <f t="shared" ref="V77" si="142">365/V76</f>
        <v>93.589743589743591</v>
      </c>
      <c r="W77" s="22">
        <f t="shared" ref="W77" si="143">365/W76</f>
        <v>93.589743589743591</v>
      </c>
      <c r="X77" s="22">
        <f t="shared" ref="X77" si="144">365/X76</f>
        <v>91.25</v>
      </c>
      <c r="Y77" s="22">
        <f t="shared" ref="Y77" si="145">365/Y76</f>
        <v>91.25</v>
      </c>
      <c r="Z77" s="22">
        <f t="shared" ref="Z77" si="146">365/Z76</f>
        <v>91.25</v>
      </c>
      <c r="AA77" s="22">
        <f t="shared" ref="AA77" si="147">365/AA76</f>
        <v>89.024390243902445</v>
      </c>
      <c r="AB77" s="22">
        <f t="shared" ref="AB77" si="148">365/AB76</f>
        <v>89.024390243902445</v>
      </c>
      <c r="AC77" s="22">
        <f t="shared" ref="AC77" si="149">365/AC76</f>
        <v>89.024390243902445</v>
      </c>
      <c r="AD77" s="22">
        <f t="shared" ref="AD77" si="150">365/AD76</f>
        <v>84.883720930232556</v>
      </c>
      <c r="AE77" s="22">
        <f t="shared" ref="AE77" si="151">365/AE76</f>
        <v>84.883720930232556</v>
      </c>
      <c r="AF77" s="22">
        <f t="shared" ref="AF77" si="152">365/AF76</f>
        <v>84.883720930232556</v>
      </c>
      <c r="AG77" s="22">
        <f t="shared" ref="AG77" si="153">365/AG76</f>
        <v>81.111111111111114</v>
      </c>
      <c r="AH77" s="22">
        <f t="shared" ref="AH77" si="154">365/AH76</f>
        <v>81.111111111111114</v>
      </c>
      <c r="AI77" s="22">
        <f>365/AI76</f>
        <v>81.111111111111114</v>
      </c>
    </row>
    <row r="78" spans="2:36" ht="12.9" customHeight="1" x14ac:dyDescent="0.3">
      <c r="B78" s="12" t="s">
        <v>72</v>
      </c>
      <c r="C78" s="21">
        <f>('Income Statement'!C$8+'Income Statement'!A$8)/'Balance Sheet'!C48</f>
        <v>1.5493448519919522</v>
      </c>
      <c r="D78" s="21">
        <f>('Income Statement'!D$8+'Income Statement'!C$8)/'Balance Sheet'!D48</f>
        <v>2.534875589947664</v>
      </c>
      <c r="E78" s="21">
        <f>'Income Statement'!E8/'Balance Sheet'!E48</f>
        <v>2.534875589947664</v>
      </c>
      <c r="F78" s="21">
        <f>('Income Statement'!F$8+'Income Statement'!D$8)/'Balance Sheet'!F48</f>
        <v>2.7010449386867776</v>
      </c>
      <c r="G78" s="21">
        <f>('Income Statement'!G$8+'Income Statement'!F$8)/'Balance Sheet'!G48</f>
        <v>2.3097114879943592</v>
      </c>
      <c r="H78" s="21">
        <f>'Income Statement'!H8/'Balance Sheet'!H48</f>
        <v>2.3097114879943592</v>
      </c>
      <c r="I78" s="21">
        <f>('Income Statement'!I$8+'Income Statement'!G$8)/'Balance Sheet'!I48</f>
        <v>3.8767523621182156</v>
      </c>
      <c r="J78" s="21">
        <f>('Income Statement'!J$8+'Income Statement'!I$8)/'Balance Sheet'!J48</f>
        <v>2.7687938116156063</v>
      </c>
      <c r="K78" s="21">
        <f>'Income Statement'!K8/'Balance Sheet'!K48</f>
        <v>2.7687938116156063</v>
      </c>
      <c r="L78" s="21">
        <f>('Income Statement'!L$8+'Income Statement'!J$8)/'Balance Sheet'!L48</f>
        <v>4.1153387318342851</v>
      </c>
      <c r="M78" s="21">
        <f>('Income Statement'!M$8+'Income Statement'!L$8)/'Balance Sheet'!M48</f>
        <v>4.3255415331270051</v>
      </c>
      <c r="N78" s="21">
        <f>'Income Statement'!N8/'Balance Sheet'!N48</f>
        <v>4.3255415331270051</v>
      </c>
      <c r="O78" s="21">
        <f>('Income Statement'!O$8+'Income Statement'!M$8)/'Balance Sheet'!O48</f>
        <v>2.7270620746999592</v>
      </c>
      <c r="P78" s="21">
        <f>('Income Statement'!P$8+'Income Statement'!O$8)/'Balance Sheet'!P48</f>
        <v>2.5834189142452826</v>
      </c>
      <c r="Q78" s="21">
        <f>'Income Statement'!Q8/'Balance Sheet'!Q48</f>
        <v>2.5834189142452826</v>
      </c>
      <c r="R78" s="21">
        <f>('Income Statement'!R$8+'Income Statement'!P$8)/'Balance Sheet'!R48</f>
        <v>2.2862189280034566</v>
      </c>
      <c r="S78" s="21">
        <f>('Income Statement'!S$8+'Income Statement'!R$8)/'Balance Sheet'!S48</f>
        <v>1.9769434885748844</v>
      </c>
      <c r="T78" s="21">
        <f>'Income Statement'!T8/'Balance Sheet'!T48</f>
        <v>1.9769434885748844</v>
      </c>
      <c r="U78" s="134">
        <v>2.2000000000000002</v>
      </c>
      <c r="V78" s="134">
        <f>U78</f>
        <v>2.2000000000000002</v>
      </c>
      <c r="W78" s="21">
        <f>'Income Statement'!W8/'Balance Sheet'!W48</f>
        <v>2.1999999999999997</v>
      </c>
      <c r="X78" s="134">
        <v>2.7</v>
      </c>
      <c r="Y78" s="134">
        <f>X78</f>
        <v>2.7</v>
      </c>
      <c r="Z78" s="21">
        <f>'Income Statement'!Z8/'Balance Sheet'!Z48</f>
        <v>2.6999999999999997</v>
      </c>
      <c r="AA78" s="134">
        <v>3.1</v>
      </c>
      <c r="AB78" s="134">
        <f>AA78</f>
        <v>3.1</v>
      </c>
      <c r="AC78" s="21">
        <f>'Income Statement'!AC8/'Balance Sheet'!AC48</f>
        <v>3.1</v>
      </c>
      <c r="AD78" s="134">
        <v>3.6</v>
      </c>
      <c r="AE78" s="134">
        <f>AD78</f>
        <v>3.6</v>
      </c>
      <c r="AF78" s="21">
        <f>'Income Statement'!AF8/'Balance Sheet'!AF48</f>
        <v>3.6</v>
      </c>
      <c r="AG78" s="134">
        <v>4.2</v>
      </c>
      <c r="AH78" s="134">
        <f>AG78</f>
        <v>4.2</v>
      </c>
      <c r="AI78" s="21">
        <f>'Income Statement'!AI8/'Balance Sheet'!AI48</f>
        <v>4.2</v>
      </c>
      <c r="AJ78" s="190"/>
    </row>
    <row r="79" spans="2:36" ht="12.9" customHeight="1" x14ac:dyDescent="0.3">
      <c r="B79" s="12" t="s">
        <v>74</v>
      </c>
      <c r="C79" s="22">
        <f>365/'Balance Sheet'!C78</f>
        <v>235.58344646818236</v>
      </c>
      <c r="D79" s="22">
        <f>365/'Balance Sheet'!D78</f>
        <v>143.99128755961388</v>
      </c>
      <c r="E79" s="22">
        <f>365/'Balance Sheet'!E78</f>
        <v>143.99128755961388</v>
      </c>
      <c r="F79" s="22">
        <f>365/'Balance Sheet'!F78</f>
        <v>135.13288682174223</v>
      </c>
      <c r="G79" s="22">
        <f>365/'Balance Sheet'!G78</f>
        <v>158.02839527674004</v>
      </c>
      <c r="H79" s="22">
        <f>365/'Balance Sheet'!H78</f>
        <v>158.02839527674004</v>
      </c>
      <c r="I79" s="22">
        <f>365/'Balance Sheet'!I78</f>
        <v>94.150971201206147</v>
      </c>
      <c r="J79" s="22">
        <f>365/'Balance Sheet'!J78</f>
        <v>131.82635646928887</v>
      </c>
      <c r="K79" s="22">
        <f>365/'Balance Sheet'!K78</f>
        <v>131.82635646928887</v>
      </c>
      <c r="L79" s="22">
        <f>366/'Balance Sheet'!L78</f>
        <v>88.935571006294012</v>
      </c>
      <c r="M79" s="22">
        <f>366/'Balance Sheet'!M78</f>
        <v>84.613682979807749</v>
      </c>
      <c r="N79" s="22">
        <f>366/'Balance Sheet'!N78</f>
        <v>84.613682979807749</v>
      </c>
      <c r="O79" s="22">
        <f>365/'Balance Sheet'!O78</f>
        <v>133.84367132169464</v>
      </c>
      <c r="P79" s="22">
        <f>365/'Balance Sheet'!P78</f>
        <v>141.2856420564803</v>
      </c>
      <c r="Q79" s="22">
        <f>365/'Balance Sheet'!Q78</f>
        <v>141.2856420564803</v>
      </c>
      <c r="R79" s="22">
        <f>365/'Balance Sheet'!R78</f>
        <v>159.65225181595039</v>
      </c>
      <c r="S79" s="22">
        <f>365/'Balance Sheet'!S78</f>
        <v>184.6284439132435</v>
      </c>
      <c r="T79" s="22">
        <f>365/'Balance Sheet'!T78</f>
        <v>184.6284439132435</v>
      </c>
      <c r="U79" s="22">
        <f>365/'Balance Sheet'!U78</f>
        <v>165.90909090909091</v>
      </c>
      <c r="V79" s="22">
        <f>365/'Balance Sheet'!V78</f>
        <v>165.90909090909091</v>
      </c>
      <c r="W79" s="22">
        <f>365/'Balance Sheet'!W78</f>
        <v>165.90909090909093</v>
      </c>
      <c r="X79" s="22">
        <f>365/'Balance Sheet'!X78</f>
        <v>135.18518518518519</v>
      </c>
      <c r="Y79" s="22">
        <f>365/'Balance Sheet'!Y78</f>
        <v>135.18518518518519</v>
      </c>
      <c r="Z79" s="22">
        <f>365/'Balance Sheet'!Z78</f>
        <v>135.18518518518519</v>
      </c>
      <c r="AA79" s="22">
        <f>365/'Balance Sheet'!AA78</f>
        <v>117.74193548387096</v>
      </c>
      <c r="AB79" s="22">
        <f>365/'Balance Sheet'!AB78</f>
        <v>117.74193548387096</v>
      </c>
      <c r="AC79" s="22">
        <f>365/'Balance Sheet'!AC78</f>
        <v>117.74193548387096</v>
      </c>
      <c r="AD79" s="22">
        <f>365/'Balance Sheet'!AD78</f>
        <v>101.38888888888889</v>
      </c>
      <c r="AE79" s="22">
        <f>365/'Balance Sheet'!AE78</f>
        <v>101.38888888888889</v>
      </c>
      <c r="AF79" s="22">
        <f>365/'Balance Sheet'!AF78</f>
        <v>101.38888888888889</v>
      </c>
      <c r="AG79" s="22">
        <f>365/'Balance Sheet'!AG78</f>
        <v>86.904761904761898</v>
      </c>
      <c r="AH79" s="22">
        <f>365/'Balance Sheet'!AH78</f>
        <v>86.904761904761898</v>
      </c>
      <c r="AI79" s="22">
        <f>365/'Balance Sheet'!AI78</f>
        <v>86.904761904761898</v>
      </c>
      <c r="AJ79" s="190"/>
    </row>
    <row r="80" spans="2:36" ht="12.9" customHeight="1" x14ac:dyDescent="0.3">
      <c r="B80" s="16" t="s">
        <v>907</v>
      </c>
      <c r="C80" s="19">
        <f>C51/('Income Statement'!C$8+'Income Statement'!A$8)</f>
        <v>3.8119386565311532E-3</v>
      </c>
      <c r="D80" s="19">
        <f>D51/('Income Statement'!D$8+'Income Statement'!C$8)</f>
        <v>1.1535860044939699E-3</v>
      </c>
      <c r="E80" s="19">
        <f>E51/'Income Statement'!E8</f>
        <v>1.1535860044939699E-3</v>
      </c>
      <c r="F80" s="19">
        <f>F51/('Income Statement'!F$8+'Income Statement'!D$8)</f>
        <v>2.800012133825545E-3</v>
      </c>
      <c r="G80" s="19">
        <f>G51/('Income Statement'!G$8+'Income Statement'!F$8)</f>
        <v>1.7554717986577927E-3</v>
      </c>
      <c r="H80" s="19">
        <f>H51/'Income Statement'!H8</f>
        <v>1.7554717986577927E-3</v>
      </c>
      <c r="I80" s="19">
        <f>I51/('Income Statement'!I$8+'Income Statement'!G$8)</f>
        <v>8.7619656009498134E-4</v>
      </c>
      <c r="J80" s="19">
        <f>J51/('Income Statement'!J$8+'Income Statement'!I$8)</f>
        <v>4.4172907882834102E-4</v>
      </c>
      <c r="K80" s="19">
        <f>K51/'Income Statement'!K8</f>
        <v>4.4172907882834102E-4</v>
      </c>
      <c r="L80" s="19">
        <f>L51/('Income Statement'!L$8+'Income Statement'!J$8)</f>
        <v>1.5212244806763816E-3</v>
      </c>
      <c r="M80" s="19">
        <f>M51/('Income Statement'!M$8+'Income Statement'!L$8)</f>
        <v>3.066038378624398E-3</v>
      </c>
      <c r="N80" s="19">
        <f>N51/'Income Statement'!N8</f>
        <v>3.066038378624398E-3</v>
      </c>
      <c r="O80" s="19">
        <f>O51/('Income Statement'!O$8+'Income Statement'!M$8)</f>
        <v>7.912469289338231E-4</v>
      </c>
      <c r="P80" s="19">
        <f>P51/('Income Statement'!P$8+'Income Statement'!O$8)</f>
        <v>4.6848602456924665E-4</v>
      </c>
      <c r="Q80" s="19">
        <f>Q51/'Income Statement'!Q8</f>
        <v>4.6848602456924665E-4</v>
      </c>
      <c r="R80" s="19">
        <f>R51/('Income Statement'!R$8+'Income Statement'!P$8)</f>
        <v>9.0243639102830929E-4</v>
      </c>
      <c r="S80" s="19">
        <f>S51/('Income Statement'!S$8+'Income Statement'!R$8)</f>
        <v>3.017192157927207E-4</v>
      </c>
      <c r="T80" s="19">
        <f>T51/'Income Statement'!T8</f>
        <v>3.017192157927207E-4</v>
      </c>
      <c r="U80" s="73">
        <f>S80</f>
        <v>3.017192157927207E-4</v>
      </c>
      <c r="V80" s="73">
        <f>U80</f>
        <v>3.017192157927207E-4</v>
      </c>
      <c r="W80" s="19">
        <f>W51/'Income Statement'!W8</f>
        <v>3.017192157927207E-4</v>
      </c>
      <c r="X80" s="73">
        <f>V80</f>
        <v>3.017192157927207E-4</v>
      </c>
      <c r="Y80" s="73">
        <f>X80</f>
        <v>3.017192157927207E-4</v>
      </c>
      <c r="Z80" s="19">
        <f>Z51/'Income Statement'!Z8</f>
        <v>3.0171921579272076E-4</v>
      </c>
      <c r="AA80" s="73">
        <f>Y80</f>
        <v>3.017192157927207E-4</v>
      </c>
      <c r="AB80" s="73">
        <f>AA80</f>
        <v>3.017192157927207E-4</v>
      </c>
      <c r="AC80" s="19">
        <f>AC51/'Income Statement'!AC8</f>
        <v>3.017192157927207E-4</v>
      </c>
      <c r="AD80" s="73">
        <f>AB80</f>
        <v>3.017192157927207E-4</v>
      </c>
      <c r="AE80" s="73">
        <f>AD80</f>
        <v>3.017192157927207E-4</v>
      </c>
      <c r="AF80" s="19">
        <f>AF51/'Income Statement'!AF8</f>
        <v>3.017192157927207E-4</v>
      </c>
      <c r="AG80" s="73">
        <f>AE80</f>
        <v>3.017192157927207E-4</v>
      </c>
      <c r="AH80" s="73">
        <f>AG80</f>
        <v>3.017192157927207E-4</v>
      </c>
      <c r="AI80" s="19">
        <f>AI51/'Income Statement'!AI8</f>
        <v>3.017192157927207E-4</v>
      </c>
    </row>
    <row r="81" spans="2:36" ht="12.9" customHeight="1" x14ac:dyDescent="0.3">
      <c r="B81" s="16" t="s">
        <v>908</v>
      </c>
      <c r="C81" s="19">
        <f>C53/('Income Statement'!C$8+'Income Statement'!A$8)</f>
        <v>4.7178729108548714E-2</v>
      </c>
      <c r="D81" s="19">
        <f>D53/('Income Statement'!D$8+'Income Statement'!C$8)</f>
        <v>3.6444361328931078E-2</v>
      </c>
      <c r="E81" s="19">
        <f>E53/'Income Statement'!E8</f>
        <v>3.6444361328931078E-2</v>
      </c>
      <c r="F81" s="19">
        <f>F53/('Income Statement'!F$8+'Income Statement'!D$8)</f>
        <v>2.4837083608652472E-2</v>
      </c>
      <c r="G81" s="19">
        <f>G53/('Income Statement'!G$8+'Income Statement'!F$8)</f>
        <v>4.4151156529799993E-2</v>
      </c>
      <c r="H81" s="19">
        <f>H53/'Income Statement'!H8</f>
        <v>4.4151156529799993E-2</v>
      </c>
      <c r="I81" s="19">
        <f>I53/('Income Statement'!I$8+'Income Statement'!G$8)</f>
        <v>0.11102824066865667</v>
      </c>
      <c r="J81" s="19">
        <f>J53/('Income Statement'!J$8+'Income Statement'!I$8)</f>
        <v>6.3027227480265027E-2</v>
      </c>
      <c r="K81" s="19">
        <f>K53/'Income Statement'!K8</f>
        <v>6.3027227480265027E-2</v>
      </c>
      <c r="L81" s="19">
        <f>L53/('Income Statement'!L$8+'Income Statement'!J$8)</f>
        <v>3.0517489402893609E-2</v>
      </c>
      <c r="M81" s="19">
        <f>M53/('Income Statement'!M$8+'Income Statement'!L$8)</f>
        <v>8.2533210873489346E-2</v>
      </c>
      <c r="N81" s="19">
        <f>N53/'Income Statement'!N8</f>
        <v>8.2533210873489346E-2</v>
      </c>
      <c r="O81" s="19">
        <f>O53/('Income Statement'!O$8+'Income Statement'!M$8)</f>
        <v>0.10239097174603104</v>
      </c>
      <c r="P81" s="19">
        <f>P53/('Income Statement'!P$8+'Income Statement'!O$8)</f>
        <v>0.11967996113462864</v>
      </c>
      <c r="Q81" s="19">
        <f>Q53/'Income Statement'!Q8</f>
        <v>0.11967996113462864</v>
      </c>
      <c r="R81" s="19">
        <f>R53/('Income Statement'!R$8+'Income Statement'!P$8)</f>
        <v>9.9687517357546412E-2</v>
      </c>
      <c r="S81" s="19">
        <f>S53/('Income Statement'!S$8+'Income Statement'!R$8)</f>
        <v>4.2477468652395017E-2</v>
      </c>
      <c r="T81" s="19">
        <f>T53/'Income Statement'!T8</f>
        <v>4.2477468652395017E-2</v>
      </c>
      <c r="U81" s="73">
        <f>T81</f>
        <v>4.2477468652395017E-2</v>
      </c>
      <c r="V81" s="73">
        <f>U81</f>
        <v>4.2477468652395017E-2</v>
      </c>
      <c r="W81" s="19">
        <f>W53/'Income Statement'!W8</f>
        <v>4.2477468652395024E-2</v>
      </c>
      <c r="X81" s="73">
        <f>V81</f>
        <v>4.2477468652395017E-2</v>
      </c>
      <c r="Y81" s="73">
        <f>X81</f>
        <v>4.2477468652395017E-2</v>
      </c>
      <c r="Z81" s="19">
        <f>Z53/'Income Statement'!Z8</f>
        <v>4.2477468652395031E-2</v>
      </c>
      <c r="AA81" s="73">
        <f>Y81</f>
        <v>4.2477468652395017E-2</v>
      </c>
      <c r="AB81" s="73">
        <f>AA81</f>
        <v>4.2477468652395017E-2</v>
      </c>
      <c r="AC81" s="19">
        <f>AC53/'Income Statement'!AC8</f>
        <v>4.2477468652395017E-2</v>
      </c>
      <c r="AD81" s="73">
        <f>AB81</f>
        <v>4.2477468652395017E-2</v>
      </c>
      <c r="AE81" s="73">
        <f>AD81</f>
        <v>4.2477468652395017E-2</v>
      </c>
      <c r="AF81" s="19">
        <f>AF53/'Income Statement'!AF8</f>
        <v>4.2477468652395017E-2</v>
      </c>
      <c r="AG81" s="73">
        <f>AE81</f>
        <v>4.2477468652395017E-2</v>
      </c>
      <c r="AH81" s="73">
        <f>AG81</f>
        <v>4.2477468652395017E-2</v>
      </c>
      <c r="AI81" s="19">
        <f>AI53/'Income Statement'!AI8</f>
        <v>4.2477468652395017E-2</v>
      </c>
      <c r="AJ81" s="45"/>
    </row>
    <row r="82" spans="2:36" ht="12.9" customHeight="1" x14ac:dyDescent="0.3">
      <c r="B82" s="16" t="s">
        <v>648</v>
      </c>
    </row>
    <row r="83" spans="2:36" ht="12.9" customHeight="1" x14ac:dyDescent="0.3">
      <c r="B83" s="12" t="s">
        <v>677</v>
      </c>
      <c r="C83" s="21">
        <f>'Balance Sheet'!C54/'Balance Sheet'!C28</f>
        <v>2.1529592346060809</v>
      </c>
      <c r="D83" s="21">
        <f>'Balance Sheet'!D54/'Balance Sheet'!D28</f>
        <v>2.668750671181118</v>
      </c>
      <c r="E83" s="21">
        <f>'Balance Sheet'!E54/'Balance Sheet'!E28</f>
        <v>2.668750671181118</v>
      </c>
      <c r="F83" s="21">
        <f>'Balance Sheet'!F54/'Balance Sheet'!F28</f>
        <v>2.715290211341765</v>
      </c>
      <c r="G83" s="21">
        <f>'Balance Sheet'!G54/'Balance Sheet'!G28</f>
        <v>2.3309458645839065</v>
      </c>
      <c r="H83" s="21">
        <f>'Balance Sheet'!H54/'Balance Sheet'!H28</f>
        <v>2.3309458645839065</v>
      </c>
      <c r="I83" s="21">
        <f>'Balance Sheet'!I54/'Balance Sheet'!I28</f>
        <v>2.1347245848223841</v>
      </c>
      <c r="J83" s="21">
        <f>'Balance Sheet'!J54/'Balance Sheet'!J28</f>
        <v>2.0488171829421264</v>
      </c>
      <c r="K83" s="21">
        <f>'Balance Sheet'!K54/'Balance Sheet'!K28</f>
        <v>2.0488171829421264</v>
      </c>
      <c r="L83" s="21">
        <f>'Balance Sheet'!L54/'Balance Sheet'!L28</f>
        <v>2.063785295535304</v>
      </c>
      <c r="M83" s="21">
        <f>'Balance Sheet'!M54/'Balance Sheet'!M28</f>
        <v>1.855349908904087</v>
      </c>
      <c r="N83" s="21">
        <f>'Balance Sheet'!N54/'Balance Sheet'!N28</f>
        <v>1.855349908904087</v>
      </c>
      <c r="O83" s="21">
        <f>'Balance Sheet'!O54/'Balance Sheet'!O28</f>
        <v>1.7088395404556496</v>
      </c>
      <c r="P83" s="21">
        <f>'Balance Sheet'!P54/'Balance Sheet'!P28</f>
        <v>1.9029595499901064</v>
      </c>
      <c r="Q83" s="21">
        <f>'Balance Sheet'!Q54/'Balance Sheet'!Q28</f>
        <v>1.9029595499901064</v>
      </c>
      <c r="R83" s="21">
        <f>'Balance Sheet'!R54/'Balance Sheet'!R28</f>
        <v>1.7680858847893792</v>
      </c>
      <c r="S83" s="21">
        <f>'Balance Sheet'!S54/'Balance Sheet'!S28</f>
        <v>2.473885905269626</v>
      </c>
      <c r="T83" s="21">
        <f>'Balance Sheet'!T54/'Balance Sheet'!T28</f>
        <v>2.473885905269626</v>
      </c>
      <c r="U83" s="21">
        <f>'Balance Sheet'!U54/'Balance Sheet'!U28</f>
        <v>2.3812558888884374</v>
      </c>
      <c r="V83" s="21">
        <f>'Balance Sheet'!V54/'Balance Sheet'!V28</f>
        <v>2.5857680484201748</v>
      </c>
      <c r="W83" s="21">
        <f>'Balance Sheet'!W54/'Balance Sheet'!W28</f>
        <v>2.5857680484201748</v>
      </c>
      <c r="X83" s="21">
        <f>'Balance Sheet'!X54/'Balance Sheet'!X28</f>
        <v>2.4998234663913892</v>
      </c>
      <c r="Y83" s="21">
        <f>'Balance Sheet'!Y54/'Balance Sheet'!Y28</f>
        <v>2.7103461559912563</v>
      </c>
      <c r="Z83" s="21">
        <f>'Balance Sheet'!Z54/'Balance Sheet'!Z28</f>
        <v>2.7103461559912563</v>
      </c>
      <c r="AA83" s="21">
        <f>'Balance Sheet'!AA54/'Balance Sheet'!AA28</f>
        <v>2.6109835016743235</v>
      </c>
      <c r="AB83" s="21">
        <f>'Balance Sheet'!AB54/'Balance Sheet'!AB28</f>
        <v>2.8204671901643783</v>
      </c>
      <c r="AC83" s="21">
        <f>'Balance Sheet'!AC54/'Balance Sheet'!AC28</f>
        <v>2.8204671901643783</v>
      </c>
      <c r="AD83" s="21">
        <f>'Balance Sheet'!AD54/'Balance Sheet'!AD28</f>
        <v>2.6534753457436899</v>
      </c>
      <c r="AE83" s="21">
        <f>'Balance Sheet'!AE54/'Balance Sheet'!AE28</f>
        <v>2.9108940254055513</v>
      </c>
      <c r="AF83" s="21">
        <f>'Balance Sheet'!AF54/'Balance Sheet'!AF28</f>
        <v>2.9108940254055513</v>
      </c>
      <c r="AG83" s="21">
        <f>'Balance Sheet'!AG54/'Balance Sheet'!AG28</f>
        <v>2.6839916214067436</v>
      </c>
      <c r="AH83" s="21">
        <f>'Balance Sheet'!AH54/'Balance Sheet'!AH28</f>
        <v>2.9312850431609552</v>
      </c>
      <c r="AI83" s="21">
        <f>'Balance Sheet'!AI54/'Balance Sheet'!AI28</f>
        <v>2.9312850431609552</v>
      </c>
    </row>
    <row r="84" spans="2:36" ht="12.9" customHeight="1" x14ac:dyDescent="0.3">
      <c r="B84" s="12" t="s">
        <v>61</v>
      </c>
      <c r="C84" s="21">
        <f>('Balance Sheet'!C54-'Balance Sheet'!C45)/'Balance Sheet'!C28</f>
        <v>1.4096915107873489</v>
      </c>
      <c r="D84" s="21">
        <f>('Balance Sheet'!D54-'Balance Sheet'!D45)/'Balance Sheet'!D28</f>
        <v>1.8444452124882269</v>
      </c>
      <c r="E84" s="21">
        <f>('Balance Sheet'!E54-'Balance Sheet'!E45)/'Balance Sheet'!E28</f>
        <v>1.8444452124882269</v>
      </c>
      <c r="F84" s="21">
        <f>('Balance Sheet'!F54-'Balance Sheet'!F45)/'Balance Sheet'!F28</f>
        <v>2.0038678655872553</v>
      </c>
      <c r="G84" s="21">
        <f>('Balance Sheet'!G54-'Balance Sheet'!G45)/'Balance Sheet'!G28</f>
        <v>1.5787898043493123</v>
      </c>
      <c r="H84" s="21">
        <f>('Balance Sheet'!H54-'Balance Sheet'!H45)/'Balance Sheet'!H28</f>
        <v>1.5787898043493123</v>
      </c>
      <c r="I84" s="21">
        <f>('Balance Sheet'!I54-'Balance Sheet'!I45)/'Balance Sheet'!I28</f>
        <v>1.188337769847067</v>
      </c>
      <c r="J84" s="21">
        <f>('Balance Sheet'!J54-'Balance Sheet'!J45)/'Balance Sheet'!J28</f>
        <v>1.2707046629710146</v>
      </c>
      <c r="K84" s="21">
        <f>('Balance Sheet'!K54-'Balance Sheet'!K45)/'Balance Sheet'!K28</f>
        <v>1.2707046629710146</v>
      </c>
      <c r="L84" s="21">
        <f>('Balance Sheet'!L54-'Balance Sheet'!L45)/'Balance Sheet'!L28</f>
        <v>1.3970351189875692</v>
      </c>
      <c r="M84" s="21">
        <f>('Balance Sheet'!M54-'Balance Sheet'!M45)/'Balance Sheet'!M28</f>
        <v>1.1955452421746138</v>
      </c>
      <c r="N84" s="21">
        <f>('Balance Sheet'!N54-'Balance Sheet'!N45)/'Balance Sheet'!N28</f>
        <v>1.1955452421746138</v>
      </c>
      <c r="O84" s="21">
        <f>('Balance Sheet'!O54-'Balance Sheet'!O45)/'Balance Sheet'!O28</f>
        <v>1.1003367847134617</v>
      </c>
      <c r="P84" s="21">
        <f>('Balance Sheet'!P54-'Balance Sheet'!P45)/'Balance Sheet'!P28</f>
        <v>1.3889393157373295</v>
      </c>
      <c r="Q84" s="21">
        <f>('Balance Sheet'!Q54-'Balance Sheet'!Q45)/'Balance Sheet'!Q28</f>
        <v>1.3889393157373295</v>
      </c>
      <c r="R84" s="21">
        <f>('Balance Sheet'!R54-'Balance Sheet'!R45)/'Balance Sheet'!R28</f>
        <v>1.3265995711595093</v>
      </c>
      <c r="S84" s="21">
        <f>('Balance Sheet'!S54-'Balance Sheet'!S45)/'Balance Sheet'!S28</f>
        <v>2.0323330928712489</v>
      </c>
      <c r="T84" s="21">
        <f>('Balance Sheet'!T54-'Balance Sheet'!T45)/'Balance Sheet'!T28</f>
        <v>2.0323330928712489</v>
      </c>
      <c r="U84" s="21">
        <f>('Balance Sheet'!U54-'Balance Sheet'!U45)/'Balance Sheet'!U28</f>
        <v>1.9546899546179566</v>
      </c>
      <c r="V84" s="21">
        <f>('Balance Sheet'!V54-'Balance Sheet'!V45)/'Balance Sheet'!V28</f>
        <v>2.1448056647252618</v>
      </c>
      <c r="W84" s="21">
        <f>('Balance Sheet'!W54-'Balance Sheet'!W45)/'Balance Sheet'!W28</f>
        <v>2.1448056647252618</v>
      </c>
      <c r="X84" s="21">
        <f>('Balance Sheet'!X54-'Balance Sheet'!X45)/'Balance Sheet'!X28</f>
        <v>2.052994965359316</v>
      </c>
      <c r="Y84" s="21">
        <f>('Balance Sheet'!Y54-'Balance Sheet'!Y45)/'Balance Sheet'!Y28</f>
        <v>2.2447938164206458</v>
      </c>
      <c r="Z84" s="21">
        <f>('Balance Sheet'!Z54-'Balance Sheet'!Z45)/'Balance Sheet'!Z28</f>
        <v>2.2447938164206458</v>
      </c>
      <c r="AA84" s="21">
        <f>('Balance Sheet'!AA54-'Balance Sheet'!AA45)/'Balance Sheet'!AA28</f>
        <v>2.1498012837536384</v>
      </c>
      <c r="AB84" s="21">
        <f>('Balance Sheet'!AB54-'Balance Sheet'!AB45)/'Balance Sheet'!AB28</f>
        <v>2.3410454819784872</v>
      </c>
      <c r="AC84" s="21">
        <f>('Balance Sheet'!AC54-'Balance Sheet'!AC45)/'Balance Sheet'!AC28</f>
        <v>2.3410454819784872</v>
      </c>
      <c r="AD84" s="21">
        <f>('Balance Sheet'!AD54-'Balance Sheet'!AD45)/'Balance Sheet'!AD28</f>
        <v>2.186169524177195</v>
      </c>
      <c r="AE84" s="21">
        <f>('Balance Sheet'!AE54-'Balance Sheet'!AE45)/'Balance Sheet'!AE28</f>
        <v>2.4321175505239743</v>
      </c>
      <c r="AF84" s="21">
        <f>('Balance Sheet'!AF54-'Balance Sheet'!AF45)/'Balance Sheet'!AF28</f>
        <v>2.4321175505239743</v>
      </c>
      <c r="AG84" s="21">
        <f>('Balance Sheet'!AG54-'Balance Sheet'!AG45)/'Balance Sheet'!AG28</f>
        <v>2.2268405599663232</v>
      </c>
      <c r="AH84" s="21">
        <f>('Balance Sheet'!AH54-'Balance Sheet'!AH45)/'Balance Sheet'!AH28</f>
        <v>2.4638013373189565</v>
      </c>
      <c r="AI84" s="21">
        <f>('Balance Sheet'!AI54-'Balance Sheet'!AI45)/'Balance Sheet'!AI28</f>
        <v>2.4638013373189565</v>
      </c>
    </row>
    <row r="85" spans="2:36" ht="12.9" customHeight="1" x14ac:dyDescent="0.3">
      <c r="B85" s="12" t="s">
        <v>131</v>
      </c>
      <c r="C85" s="21">
        <f>'Balance Sheet'!C49/'Balance Sheet'!C28</f>
        <v>0.40565650818693649</v>
      </c>
      <c r="D85" s="21">
        <f>'Balance Sheet'!D49/'Balance Sheet'!D28</f>
        <v>4.7763408501504061E-2</v>
      </c>
      <c r="E85" s="21">
        <f>'Balance Sheet'!E49/'Balance Sheet'!E28</f>
        <v>4.7763408501504061E-2</v>
      </c>
      <c r="F85" s="21">
        <f>'Balance Sheet'!F49/'Balance Sheet'!F28</f>
        <v>0.17322496539452448</v>
      </c>
      <c r="G85" s="21">
        <f>'Balance Sheet'!G49/'Balance Sheet'!G28</f>
        <v>7.9180071682435807E-2</v>
      </c>
      <c r="H85" s="21">
        <f>'Balance Sheet'!H49/'Balance Sheet'!H28</f>
        <v>7.9180071682435807E-2</v>
      </c>
      <c r="I85" s="21">
        <f>'Balance Sheet'!I49/'Balance Sheet'!I28</f>
        <v>0.13170563118599532</v>
      </c>
      <c r="J85" s="21">
        <f>'Balance Sheet'!J49/'Balance Sheet'!J28</f>
        <v>0.1905933765187548</v>
      </c>
      <c r="K85" s="21">
        <f>'Balance Sheet'!K49/'Balance Sheet'!K28</f>
        <v>0.1905933765187548</v>
      </c>
      <c r="L85" s="21">
        <f>'Balance Sheet'!L49/'Balance Sheet'!L28</f>
        <v>7.5409422604835727E-2</v>
      </c>
      <c r="M85" s="21">
        <f>'Balance Sheet'!M49/'Balance Sheet'!M28</f>
        <v>7.0846832720438527E-2</v>
      </c>
      <c r="N85" s="21">
        <f>'Balance Sheet'!N49/'Balance Sheet'!N28</f>
        <v>7.0846832720438527E-2</v>
      </c>
      <c r="O85" s="21">
        <f>'Balance Sheet'!O49/'Balance Sheet'!O28</f>
        <v>1.170195653462245E-2</v>
      </c>
      <c r="P85" s="21">
        <f>'Balance Sheet'!P49/'Balance Sheet'!P28</f>
        <v>8.7610105889402209E-3</v>
      </c>
      <c r="Q85" s="21">
        <f>'Balance Sheet'!Q49/'Balance Sheet'!Q28</f>
        <v>8.7610105889402209E-3</v>
      </c>
      <c r="R85" s="21">
        <f>'Balance Sheet'!R49/'Balance Sheet'!R28</f>
        <v>6.9985005764609256E-4</v>
      </c>
      <c r="S85" s="21">
        <f>'Balance Sheet'!S49/'Balance Sheet'!S28</f>
        <v>1.7753727673621371E-2</v>
      </c>
      <c r="T85" s="21">
        <f>'Balance Sheet'!T49/'Balance Sheet'!T28</f>
        <v>1.7753727673621371E-2</v>
      </c>
      <c r="U85" s="21">
        <f>'Balance Sheet'!U49/'Balance Sheet'!U28</f>
        <v>0.20647804536576655</v>
      </c>
      <c r="V85" s="21">
        <f>'Balance Sheet'!V49/'Balance Sheet'!V28</f>
        <v>0.32877613161054769</v>
      </c>
      <c r="W85" s="21">
        <f>'Balance Sheet'!W49/'Balance Sheet'!W28</f>
        <v>0.32877613161054769</v>
      </c>
      <c r="X85" s="21">
        <f>'Balance Sheet'!X49/'Balance Sheet'!X28</f>
        <v>0.48272455746620108</v>
      </c>
      <c r="Y85" s="21">
        <f>'Balance Sheet'!Y49/'Balance Sheet'!Y28</f>
        <v>0.61120452665965941</v>
      </c>
      <c r="Z85" s="21">
        <f>'Balance Sheet'!Z49/'Balance Sheet'!Z28</f>
        <v>0.61120452665965941</v>
      </c>
      <c r="AA85" s="21">
        <f>'Balance Sheet'!AA49/'Balance Sheet'!AA28</f>
        <v>0.6813140414076142</v>
      </c>
      <c r="AB85" s="21">
        <f>'Balance Sheet'!AB49/'Balance Sheet'!AB28</f>
        <v>0.8172399421590596</v>
      </c>
      <c r="AC85" s="21">
        <f>'Balance Sheet'!AC49/'Balance Sheet'!AC28</f>
        <v>0.8172399421590596</v>
      </c>
      <c r="AD85" s="21">
        <f>'Balance Sheet'!AD49/'Balance Sheet'!AD28</f>
        <v>0.8111211586747783</v>
      </c>
      <c r="AE85" s="21">
        <f>'Balance Sheet'!AE49/'Balance Sheet'!AE28</f>
        <v>1.0180595272821324</v>
      </c>
      <c r="AF85" s="21">
        <f>'Balance Sheet'!AF49/'Balance Sheet'!AF28</f>
        <v>1.0180595272821324</v>
      </c>
      <c r="AG85" s="21">
        <f>'Balance Sheet'!AG49/'Balance Sheet'!AG28</f>
        <v>0.98068024658628006</v>
      </c>
      <c r="AH85" s="21">
        <f>'Balance Sheet'!AH49/'Balance Sheet'!AH28</f>
        <v>1.185187172719383</v>
      </c>
      <c r="AI85" s="21">
        <f>'Balance Sheet'!AI49/'Balance Sheet'!AI28</f>
        <v>1.185187172719383</v>
      </c>
    </row>
    <row r="86" spans="2:36" ht="12.9" customHeight="1" x14ac:dyDescent="0.3">
      <c r="B86" s="16" t="s">
        <v>648</v>
      </c>
    </row>
    <row r="87" spans="2:36" ht="12.9" customHeight="1" x14ac:dyDescent="0.3">
      <c r="B87" s="12" t="s">
        <v>62</v>
      </c>
      <c r="C87" s="21">
        <f>SUM('Balance Sheet'!C13,'Balance Sheet'!C14,'Balance Sheet'!C19,'Balance Sheet'!C20)/'Balance Sheet'!C11</f>
        <v>0</v>
      </c>
      <c r="D87" s="21">
        <f>SUM('Balance Sheet'!D13,'Balance Sheet'!D14,'Balance Sheet'!D19,'Balance Sheet'!D20)/'Balance Sheet'!D11</f>
        <v>0</v>
      </c>
      <c r="E87" s="21">
        <f>SUM('Balance Sheet'!E13,'Balance Sheet'!E14,'Balance Sheet'!E19,'Balance Sheet'!E20)/'Balance Sheet'!E11</f>
        <v>0</v>
      </c>
      <c r="F87" s="21">
        <f>SUM('Balance Sheet'!F13,'Balance Sheet'!F14,'Balance Sheet'!F19,'Balance Sheet'!F20)/'Balance Sheet'!F11</f>
        <v>0</v>
      </c>
      <c r="G87" s="21">
        <f>SUM('Balance Sheet'!G13,'Balance Sheet'!G14,'Balance Sheet'!G19,'Balance Sheet'!G20)/'Balance Sheet'!G11</f>
        <v>0</v>
      </c>
      <c r="H87" s="21">
        <f>SUM('Balance Sheet'!H13,'Balance Sheet'!H14,'Balance Sheet'!H19,'Balance Sheet'!H20)/'Balance Sheet'!H11</f>
        <v>0</v>
      </c>
      <c r="I87" s="21">
        <f>SUM('Balance Sheet'!I13,'Balance Sheet'!I14,'Balance Sheet'!I19,'Balance Sheet'!I20)/'Balance Sheet'!I11</f>
        <v>0</v>
      </c>
      <c r="J87" s="21">
        <f>SUM('Balance Sheet'!J13,'Balance Sheet'!J14,'Balance Sheet'!J19,'Balance Sheet'!J20)/'Balance Sheet'!J11</f>
        <v>7.8460147212306305E-2</v>
      </c>
      <c r="K87" s="21">
        <f>SUM('Balance Sheet'!K13,'Balance Sheet'!K14,'Balance Sheet'!K19,'Balance Sheet'!K20)/'Balance Sheet'!K11</f>
        <v>7.8460147212306305E-2</v>
      </c>
      <c r="L87" s="21">
        <f>SUM('Balance Sheet'!L13,'Balance Sheet'!L14,'Balance Sheet'!L19,'Balance Sheet'!L20)/'Balance Sheet'!L11</f>
        <v>9.6586517962196625E-2</v>
      </c>
      <c r="M87" s="21">
        <f>SUM('Balance Sheet'!M13,'Balance Sheet'!M14,'Balance Sheet'!M19,'Balance Sheet'!M20)/'Balance Sheet'!M11</f>
        <v>3.8376077498115224E-2</v>
      </c>
      <c r="N87" s="21">
        <f>SUM('Balance Sheet'!N13,'Balance Sheet'!N14,'Balance Sheet'!N19,'Balance Sheet'!N20)/'Balance Sheet'!N11</f>
        <v>3.8376077498115224E-2</v>
      </c>
      <c r="O87" s="21">
        <f>SUM('Balance Sheet'!O13,'Balance Sheet'!O14,'Balance Sheet'!O19,'Balance Sheet'!O20)/'Balance Sheet'!O11</f>
        <v>3.4310210248154852E-2</v>
      </c>
      <c r="P87" s="21">
        <f>SUM('Balance Sheet'!P13,'Balance Sheet'!P14,'Balance Sheet'!P19,'Balance Sheet'!P20)/'Balance Sheet'!P11</f>
        <v>5.2973398015321638E-2</v>
      </c>
      <c r="Q87" s="21">
        <f>SUM('Balance Sheet'!Q13,'Balance Sheet'!Q14,'Balance Sheet'!Q19,'Balance Sheet'!Q20)/'Balance Sheet'!Q11</f>
        <v>5.2973398015321638E-2</v>
      </c>
      <c r="R87" s="21">
        <f>SUM('Balance Sheet'!R13,'Balance Sheet'!R14,'Balance Sheet'!R19,'Balance Sheet'!R20)/'Balance Sheet'!R11</f>
        <v>0.24781939770630668</v>
      </c>
      <c r="S87" s="21">
        <f>SUM('Balance Sheet'!S13,'Balance Sheet'!S14,'Balance Sheet'!S19,'Balance Sheet'!S20)/'Balance Sheet'!S11</f>
        <v>0.15902527689681645</v>
      </c>
      <c r="T87" s="21">
        <f>SUM('Balance Sheet'!T13,'Balance Sheet'!T14,'Balance Sheet'!T19,'Balance Sheet'!T20)/'Balance Sheet'!T11</f>
        <v>0.15902527689681645</v>
      </c>
      <c r="U87" s="21">
        <f>SUM('Balance Sheet'!U13,'Balance Sheet'!U14,'Balance Sheet'!U19,'Balance Sheet'!U20)/'Balance Sheet'!U11</f>
        <v>0.15704503132684466</v>
      </c>
      <c r="V87" s="21">
        <f>SUM('Balance Sheet'!V13,'Balance Sheet'!V14,'Balance Sheet'!V19,'Balance Sheet'!V20)/'Balance Sheet'!V11</f>
        <v>0.14333558777850708</v>
      </c>
      <c r="W87" s="21">
        <f>SUM('Balance Sheet'!W13,'Balance Sheet'!W14,'Balance Sheet'!W19,'Balance Sheet'!W20)/'Balance Sheet'!W11</f>
        <v>0.14333558777850708</v>
      </c>
      <c r="X87" s="21">
        <f>SUM('Balance Sheet'!X13,'Balance Sheet'!X14,'Balance Sheet'!X19,'Balance Sheet'!X20)/'Balance Sheet'!X11</f>
        <v>0.1356765517252361</v>
      </c>
      <c r="Y87" s="21">
        <f>SUM('Balance Sheet'!Y13,'Balance Sheet'!Y14,'Balance Sheet'!Y19,'Balance Sheet'!Y20)/'Balance Sheet'!Y11</f>
        <v>0.11781323453894789</v>
      </c>
      <c r="Z87" s="21">
        <f>SUM('Balance Sheet'!Z13,'Balance Sheet'!Z14,'Balance Sheet'!Z19,'Balance Sheet'!Z20)/'Balance Sheet'!Z11</f>
        <v>0.11781323453894789</v>
      </c>
      <c r="AA87" s="21">
        <f>SUM('Balance Sheet'!AA13,'Balance Sheet'!AA14,'Balance Sheet'!AA19,'Balance Sheet'!AA20)/'Balance Sheet'!AA11</f>
        <v>0.11247211109534803</v>
      </c>
      <c r="AB87" s="21">
        <f>SUM('Balance Sheet'!AB13,'Balance Sheet'!AB14,'Balance Sheet'!AB19,'Balance Sheet'!AB20)/'Balance Sheet'!AB11</f>
        <v>9.5893226980212937E-2</v>
      </c>
      <c r="AC87" s="21">
        <f>SUM('Balance Sheet'!AC13,'Balance Sheet'!AC14,'Balance Sheet'!AC19,'Balance Sheet'!AC20)/'Balance Sheet'!AC11</f>
        <v>9.5893226980212937E-2</v>
      </c>
      <c r="AD87" s="21">
        <f>SUM('Balance Sheet'!AD13,'Balance Sheet'!AD14,'Balance Sheet'!AD19,'Balance Sheet'!AD20)/'Balance Sheet'!AD11</f>
        <v>9.176714936510233E-2</v>
      </c>
      <c r="AE87" s="21">
        <f>SUM('Balance Sheet'!AE13,'Balance Sheet'!AE14,'Balance Sheet'!AE19,'Balance Sheet'!AE20)/'Balance Sheet'!AE11</f>
        <v>7.6953868314385693E-2</v>
      </c>
      <c r="AF87" s="21">
        <f>SUM('Balance Sheet'!AF13,'Balance Sheet'!AF14,'Balance Sheet'!AF19,'Balance Sheet'!AF20)/'Balance Sheet'!AF11</f>
        <v>7.6953868314385693E-2</v>
      </c>
      <c r="AG87" s="21">
        <f>SUM('Balance Sheet'!AG13,'Balance Sheet'!AG14,'Balance Sheet'!AG19,'Balance Sheet'!AG20)/'Balance Sheet'!AG11</f>
        <v>7.4345146992962838E-2</v>
      </c>
      <c r="AH87" s="21">
        <f>SUM('Balance Sheet'!AH13,'Balance Sheet'!AH14,'Balance Sheet'!AH19,'Balance Sheet'!AH20)/'Balance Sheet'!AH11</f>
        <v>6.076520819360455E-2</v>
      </c>
      <c r="AI87" s="21">
        <f>SUM('Balance Sheet'!AI13,'Balance Sheet'!AI14,'Balance Sheet'!AI19,'Balance Sheet'!AI20)/'Balance Sheet'!AI11</f>
        <v>6.076520819360455E-2</v>
      </c>
    </row>
    <row r="88" spans="2:36" ht="12.9" customHeight="1" x14ac:dyDescent="0.3">
      <c r="B88" s="12" t="s">
        <v>63</v>
      </c>
      <c r="C88" s="21">
        <f>SUM('Balance Sheet'!C13,'Balance Sheet'!C14,'Balance Sheet'!C19,'Balance Sheet'!C20)/'Balance Sheet'!C55</f>
        <v>0</v>
      </c>
      <c r="D88" s="21">
        <f>SUM('Balance Sheet'!D13,'Balance Sheet'!D14,'Balance Sheet'!D19,'Balance Sheet'!D20)/'Balance Sheet'!D55</f>
        <v>0</v>
      </c>
      <c r="E88" s="21">
        <f>SUM('Balance Sheet'!E13,'Balance Sheet'!E14,'Balance Sheet'!E19,'Balance Sheet'!E20)/'Balance Sheet'!E55</f>
        <v>0</v>
      </c>
      <c r="F88" s="21">
        <f>SUM('Balance Sheet'!F13,'Balance Sheet'!F14,'Balance Sheet'!F19,'Balance Sheet'!F20)/'Balance Sheet'!F55</f>
        <v>0</v>
      </c>
      <c r="G88" s="21">
        <f>SUM('Balance Sheet'!G13,'Balance Sheet'!G14,'Balance Sheet'!G19,'Balance Sheet'!G20)/'Balance Sheet'!G55</f>
        <v>0</v>
      </c>
      <c r="H88" s="21">
        <f>SUM('Balance Sheet'!H13,'Balance Sheet'!H14,'Balance Sheet'!H19,'Balance Sheet'!H20)/'Balance Sheet'!H55</f>
        <v>0</v>
      </c>
      <c r="I88" s="21">
        <f>SUM('Balance Sheet'!I13,'Balance Sheet'!I14,'Balance Sheet'!I19,'Balance Sheet'!I20)/'Balance Sheet'!I55</f>
        <v>0</v>
      </c>
      <c r="J88" s="21">
        <f>SUM('Balance Sheet'!J13,'Balance Sheet'!J14,'Balance Sheet'!J19,'Balance Sheet'!J20)/'Balance Sheet'!J55</f>
        <v>5.3413781550457881E-2</v>
      </c>
      <c r="K88" s="21">
        <f>SUM('Balance Sheet'!K13,'Balance Sheet'!K14,'Balance Sheet'!K19,'Balance Sheet'!K20)/'Balance Sheet'!K55</f>
        <v>5.3413781550457881E-2</v>
      </c>
      <c r="L88" s="21">
        <f>SUM('Balance Sheet'!L13,'Balance Sheet'!L14,'Balance Sheet'!L19,'Balance Sheet'!L20)/'Balance Sheet'!L55</f>
        <v>6.5149585797509471E-2</v>
      </c>
      <c r="M88" s="21">
        <f>SUM('Balance Sheet'!M13,'Balance Sheet'!M14,'Balance Sheet'!M19,'Balance Sheet'!M20)/'Balance Sheet'!M55</f>
        <v>2.5085263945906065E-2</v>
      </c>
      <c r="N88" s="21">
        <f>SUM('Balance Sheet'!N13,'Balance Sheet'!N14,'Balance Sheet'!N19,'Balance Sheet'!N20)/'Balance Sheet'!N55</f>
        <v>2.5085263945906065E-2</v>
      </c>
      <c r="O88" s="21">
        <f>SUM('Balance Sheet'!O13,'Balance Sheet'!O14,'Balance Sheet'!O19,'Balance Sheet'!O20)/'Balance Sheet'!O55</f>
        <v>2.1579595421719826E-2</v>
      </c>
      <c r="P88" s="21">
        <f>SUM('Balance Sheet'!P13,'Balance Sheet'!P14,'Balance Sheet'!P19,'Balance Sheet'!P20)/'Balance Sheet'!P55</f>
        <v>3.5002232887101428E-2</v>
      </c>
      <c r="Q88" s="21">
        <f>SUM('Balance Sheet'!Q13,'Balance Sheet'!Q14,'Balance Sheet'!Q19,'Balance Sheet'!Q20)/'Balance Sheet'!Q55</f>
        <v>3.5002232887101428E-2</v>
      </c>
      <c r="R88" s="21">
        <f>SUM('Balance Sheet'!R13,'Balance Sheet'!R14,'Balance Sheet'!R19,'Balance Sheet'!R20)/'Balance Sheet'!R55</f>
        <v>0.15817061886736128</v>
      </c>
      <c r="S88" s="21">
        <f>SUM('Balance Sheet'!S13,'Balance Sheet'!S14,'Balance Sheet'!S19,'Balance Sheet'!S20)/'Balance Sheet'!S55</f>
        <v>0.11320914693849295</v>
      </c>
      <c r="T88" s="21">
        <f>SUM('Balance Sheet'!T13,'Balance Sheet'!T14,'Balance Sheet'!T19,'Balance Sheet'!T20)/'Balance Sheet'!T55</f>
        <v>0.11320914693849295</v>
      </c>
      <c r="U88" s="21">
        <f>SUM('Balance Sheet'!U13,'Balance Sheet'!U14,'Balance Sheet'!U19,'Balance Sheet'!U20)/'Balance Sheet'!U55</f>
        <v>0.11028881669927248</v>
      </c>
      <c r="V88" s="21">
        <f>SUM('Balance Sheet'!V13,'Balance Sheet'!V14,'Balance Sheet'!V19,'Balance Sheet'!V20)/'Balance Sheet'!V55</f>
        <v>0.10234675905776436</v>
      </c>
      <c r="W88" s="21">
        <f>SUM('Balance Sheet'!W13,'Balance Sheet'!W14,'Balance Sheet'!W19,'Balance Sheet'!W20)/'Balance Sheet'!W55</f>
        <v>0.10234675905776436</v>
      </c>
      <c r="X88" s="21">
        <f>SUM('Balance Sheet'!X13,'Balance Sheet'!X14,'Balance Sheet'!X19,'Balance Sheet'!X20)/'Balance Sheet'!X55</f>
        <v>9.5471409448319111E-2</v>
      </c>
      <c r="Y88" s="21">
        <f>SUM('Balance Sheet'!Y13,'Balance Sheet'!Y14,'Balance Sheet'!Y19,'Balance Sheet'!Y20)/'Balance Sheet'!Y55</f>
        <v>8.4390566646263751E-2</v>
      </c>
      <c r="Z88" s="21">
        <f>SUM('Balance Sheet'!Z13,'Balance Sheet'!Z14,'Balance Sheet'!Z19,'Balance Sheet'!Z20)/'Balance Sheet'!Z55</f>
        <v>8.4390566646263751E-2</v>
      </c>
      <c r="AA88" s="21">
        <f>SUM('Balance Sheet'!AA13,'Balance Sheet'!AA14,'Balance Sheet'!AA19,'Balance Sheet'!AA20)/'Balance Sheet'!AA55</f>
        <v>7.9472685755127045E-2</v>
      </c>
      <c r="AB88" s="21">
        <f>SUM('Balance Sheet'!AB13,'Balance Sheet'!AB14,'Balance Sheet'!AB19,'Balance Sheet'!AB20)/'Balance Sheet'!AB55</f>
        <v>6.8879076913326204E-2</v>
      </c>
      <c r="AC88" s="21">
        <f>SUM('Balance Sheet'!AC13,'Balance Sheet'!AC14,'Balance Sheet'!AC19,'Balance Sheet'!AC20)/'Balance Sheet'!AC55</f>
        <v>6.8879076913326204E-2</v>
      </c>
      <c r="AD88" s="21">
        <f>SUM('Balance Sheet'!AD13,'Balance Sheet'!AD14,'Balance Sheet'!AD19,'Balance Sheet'!AD20)/'Balance Sheet'!AD55</f>
        <v>6.4475985967309093E-2</v>
      </c>
      <c r="AE88" s="21">
        <f>SUM('Balance Sheet'!AE13,'Balance Sheet'!AE14,'Balance Sheet'!AE19,'Balance Sheet'!AE20)/'Balance Sheet'!AE55</f>
        <v>5.534889717551552E-2</v>
      </c>
      <c r="AF88" s="21">
        <f>SUM('Balance Sheet'!AF13,'Balance Sheet'!AF14,'Balance Sheet'!AF19,'Balance Sheet'!AF20)/'Balance Sheet'!AF55</f>
        <v>5.534889717551552E-2</v>
      </c>
      <c r="AG88" s="21">
        <f>SUM('Balance Sheet'!AG13,'Balance Sheet'!AG14,'Balance Sheet'!AG19,'Balance Sheet'!AG20)/'Balance Sheet'!AG55</f>
        <v>5.1962799818916688E-2</v>
      </c>
      <c r="AH88" s="21">
        <f>SUM('Balance Sheet'!AH13,'Balance Sheet'!AH14,'Balance Sheet'!AH19,'Balance Sheet'!AH20)/'Balance Sheet'!AH55</f>
        <v>4.342809860797852E-2</v>
      </c>
      <c r="AI88" s="21">
        <f>SUM('Balance Sheet'!AI13,'Balance Sheet'!AI14,'Balance Sheet'!AI19,'Balance Sheet'!AI20)/'Balance Sheet'!AI55</f>
        <v>4.342809860797852E-2</v>
      </c>
    </row>
    <row r="89" spans="2:36" ht="12.9" customHeight="1" x14ac:dyDescent="0.3">
      <c r="B89" s="12" t="s">
        <v>77</v>
      </c>
      <c r="C89" s="21">
        <f>'Income Statement'!C23/('Income Statement'!C31+SUM('Balance Sheet'!C19+'Balance Sheet'!C13))</f>
        <v>97.933161004431341</v>
      </c>
      <c r="D89" s="21">
        <f>'Income Statement'!D23/('Income Statement'!D31+SUM('Balance Sheet'!D19+'Balance Sheet'!D13))</f>
        <v>573.92255434782624</v>
      </c>
      <c r="E89" s="21">
        <f>'Income Statement'!E23/('Income Statement'!E31+SUM('Balance Sheet'!E19+'Balance Sheet'!E13))</f>
        <v>199.65447154471553</v>
      </c>
      <c r="F89" s="21">
        <f>'Income Statement'!F23/('Income Statement'!F31+SUM('Balance Sheet'!F19+'Balance Sheet'!F13))</f>
        <v>158.2460638776428</v>
      </c>
      <c r="G89" s="21">
        <f>'Income Statement'!G23/('Income Statement'!G31+SUM('Balance Sheet'!G19+'Balance Sheet'!G13))</f>
        <v>43.005561047948582</v>
      </c>
      <c r="H89" s="21">
        <f>'Income Statement'!H23/('Income Statement'!H31+SUM('Balance Sheet'!H19+'Balance Sheet'!H13))</f>
        <v>67.841202132816292</v>
      </c>
      <c r="I89" s="21">
        <f>'Income Statement'!I23/('Income Statement'!I31+SUM('Balance Sheet'!I19+'Balance Sheet'!I13))</f>
        <v>50.137393054856624</v>
      </c>
      <c r="J89" s="21">
        <f>'Income Statement'!J23/('Income Statement'!J31+SUM('Balance Sheet'!J19+'Balance Sheet'!J13))</f>
        <v>1.5025303888463748</v>
      </c>
      <c r="K89" s="21">
        <f>'Income Statement'!K23/('Income Statement'!K31+SUM('Balance Sheet'!K19+'Balance Sheet'!K13))</f>
        <v>2.3135014322159067</v>
      </c>
      <c r="L89" s="21">
        <f>'Income Statement'!L23/('Income Statement'!L31+SUM('Balance Sheet'!L19+'Balance Sheet'!L13))</f>
        <v>1.3182830510017614</v>
      </c>
      <c r="M89" s="21">
        <f>'Income Statement'!M23/('Income Statement'!M31+SUM('Balance Sheet'!M19+'Balance Sheet'!M13))</f>
        <v>3.1721598960515571</v>
      </c>
      <c r="N89" s="21">
        <f>'Income Statement'!N23/('Income Statement'!N31+SUM('Balance Sheet'!N19+'Balance Sheet'!N13))</f>
        <v>5.9096698992913081</v>
      </c>
      <c r="O89" s="21">
        <f>'Income Statement'!O23/('Income Statement'!O31+SUM('Balance Sheet'!O19+'Balance Sheet'!O13))</f>
        <v>3.8463774541167712</v>
      </c>
      <c r="P89" s="21">
        <f>'Income Statement'!P23/('Income Statement'!P31+SUM('Balance Sheet'!P19+'Balance Sheet'!P13))</f>
        <v>2.8837712609590089</v>
      </c>
      <c r="Q89" s="21">
        <f>'Income Statement'!Q23/('Income Statement'!Q31+SUM('Balance Sheet'!Q19+'Balance Sheet'!Q13))</f>
        <v>5.0403904820012224</v>
      </c>
      <c r="R89" s="21">
        <f>'Income Statement'!R23/('Income Statement'!R31+SUM('Balance Sheet'!R19+'Balance Sheet'!R13))</f>
        <v>0.58180502633803155</v>
      </c>
      <c r="S89" s="21">
        <f>'Income Statement'!S23/('Income Statement'!S31+SUM('Balance Sheet'!S19+'Balance Sheet'!S13))</f>
        <v>0.72527135661571029</v>
      </c>
      <c r="T89" s="21">
        <f>'Income Statement'!T23/('Income Statement'!T31+SUM('Balance Sheet'!T19+'Balance Sheet'!T13))</f>
        <v>1.4949570728876787</v>
      </c>
      <c r="U89" s="21">
        <f>'Income Statement'!U23/('Income Statement'!U31+SUM('Balance Sheet'!U19+'Balance Sheet'!U13))</f>
        <v>0.80999119094656991</v>
      </c>
      <c r="V89" s="21">
        <f>'Income Statement'!V23/('Income Statement'!V31+SUM('Balance Sheet'!V19+'Balance Sheet'!V13))</f>
        <v>0.91068052761133356</v>
      </c>
      <c r="W89" s="21">
        <f>'Income Statement'!W23/('Income Statement'!W31+SUM('Balance Sheet'!W19+'Balance Sheet'!W13))</f>
        <v>1.6776717618924883</v>
      </c>
      <c r="X89" s="21">
        <f>'Income Statement'!X23/('Income Statement'!X31+SUM('Balance Sheet'!X19+'Balance Sheet'!X13))</f>
        <v>1.0934046600148513</v>
      </c>
      <c r="Y89" s="21">
        <f>'Income Statement'!Y23/('Income Statement'!Y31+SUM('Balance Sheet'!Y19+'Balance Sheet'!Y13))</f>
        <v>1.1816227839108362</v>
      </c>
      <c r="Z89" s="21">
        <f>'Income Statement'!Z23/('Income Statement'!Z31+SUM('Balance Sheet'!Z19+'Balance Sheet'!Z13))</f>
        <v>2.2326458220340819</v>
      </c>
      <c r="AA89" s="21">
        <f>'Income Statement'!AA23/('Income Statement'!AA31+SUM('Balance Sheet'!AA19+'Balance Sheet'!AA13))</f>
        <v>1.3820540783503963</v>
      </c>
      <c r="AB89" s="21">
        <f>'Income Statement'!AB23/('Income Statement'!AB31+SUM('Balance Sheet'!AB19+'Balance Sheet'!AB13))</f>
        <v>1.6005028262488585</v>
      </c>
      <c r="AC89" s="21">
        <f>'Income Statement'!AC23/('Income Statement'!AC31+SUM('Balance Sheet'!AC19+'Balance Sheet'!AC13))</f>
        <v>2.9316527780392434</v>
      </c>
      <c r="AD89" s="21">
        <f>'Income Statement'!AD23/('Income Statement'!AD31+SUM('Balance Sheet'!AD19+'Balance Sheet'!AD13))</f>
        <v>1.9465558503549669</v>
      </c>
      <c r="AE89" s="21">
        <f>'Income Statement'!AE23/('Income Statement'!AE31+SUM('Balance Sheet'!AE19+'Balance Sheet'!AE13))</f>
        <v>2.1378690281972883</v>
      </c>
      <c r="AF89" s="21">
        <f>'Income Statement'!AF23/('Income Statement'!AF31+SUM('Balance Sheet'!AF19+'Balance Sheet'!AF13))</f>
        <v>4.0308379123471081</v>
      </c>
      <c r="AG89" s="21">
        <f>'Income Statement'!AG23/('Income Statement'!AG31+SUM('Balance Sheet'!AG19+'Balance Sheet'!AG13))</f>
        <v>2.6786454756973397</v>
      </c>
      <c r="AH89" s="21">
        <f>'Income Statement'!AH23/('Income Statement'!AH31+SUM('Balance Sheet'!AH19+'Balance Sheet'!AH13))</f>
        <v>3.0442495160836605</v>
      </c>
      <c r="AI89" s="21">
        <f>'Income Statement'!AI23/('Income Statement'!AI31+SUM('Balance Sheet'!AI19+'Balance Sheet'!AI13))</f>
        <v>5.6681498989965817</v>
      </c>
    </row>
    <row r="90" spans="2:36" ht="12.9" customHeight="1" x14ac:dyDescent="0.3">
      <c r="B90" s="12" t="s">
        <v>648</v>
      </c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</row>
    <row r="91" spans="2:36" ht="12.9" customHeight="1" x14ac:dyDescent="0.3">
      <c r="B91" s="12" t="s">
        <v>678</v>
      </c>
      <c r="C91" s="22">
        <f>'Balance Sheet'!C79+C77-'Balance Sheet'!C71</f>
        <v>553.03545955350489</v>
      </c>
      <c r="D91" s="22">
        <f>'Balance Sheet'!D79+D77-'Balance Sheet'!D71</f>
        <v>242.18862015811851</v>
      </c>
      <c r="E91" s="22">
        <f>'Balance Sheet'!E79+E77-'Balance Sheet'!E71</f>
        <v>242.18862015811851</v>
      </c>
      <c r="F91" s="22">
        <f>'Balance Sheet'!F79+F77-'Balance Sheet'!F71</f>
        <v>217.28020853415973</v>
      </c>
      <c r="G91" s="22">
        <f>'Balance Sheet'!G79+G77-'Balance Sheet'!G71</f>
        <v>280.16274825384016</v>
      </c>
      <c r="H91" s="22">
        <f>'Balance Sheet'!H79+H77-'Balance Sheet'!H71</f>
        <v>280.16274825384016</v>
      </c>
      <c r="I91" s="22">
        <f>'Balance Sheet'!I79+I77-'Balance Sheet'!I71</f>
        <v>268.91667732954949</v>
      </c>
      <c r="J91" s="22">
        <f>'Balance Sheet'!J79+J77-'Balance Sheet'!J71</f>
        <v>232.34914586951757</v>
      </c>
      <c r="K91" s="22">
        <f>'Balance Sheet'!K79+K77-'Balance Sheet'!K71</f>
        <v>232.34914586951757</v>
      </c>
      <c r="L91" s="22">
        <f>'Balance Sheet'!L79+L77-'Balance Sheet'!L71</f>
        <v>191.05017363733967</v>
      </c>
      <c r="M91" s="22">
        <f>'Balance Sheet'!M79+M77-'Balance Sheet'!M71</f>
        <v>215.50330692925266</v>
      </c>
      <c r="N91" s="22">
        <f>'Balance Sheet'!N79+N77-'Balance Sheet'!N71</f>
        <v>215.50330692925266</v>
      </c>
      <c r="O91" s="22">
        <f>'Balance Sheet'!O79+O77-'Balance Sheet'!O71</f>
        <v>241.09600293461068</v>
      </c>
      <c r="P91" s="22">
        <f>'Balance Sheet'!P79+P77-'Balance Sheet'!P71</f>
        <v>195.32908030144847</v>
      </c>
      <c r="Q91" s="22">
        <f>'Balance Sheet'!Q79+Q77-'Balance Sheet'!Q71</f>
        <v>195.32908030144847</v>
      </c>
      <c r="R91" s="22">
        <f>'Balance Sheet'!R79+R77-'Balance Sheet'!R71</f>
        <v>220.94196251691184</v>
      </c>
      <c r="S91" s="22">
        <f>'Balance Sheet'!S79+S77-'Balance Sheet'!S71</f>
        <v>199.24613623032383</v>
      </c>
      <c r="T91" s="22">
        <f>'Balance Sheet'!T79+T77-'Balance Sheet'!T71</f>
        <v>199.24613623032383</v>
      </c>
      <c r="U91" s="22">
        <f>'Balance Sheet'!U79+U77-'Balance Sheet'!U71</f>
        <v>181.83926003074941</v>
      </c>
      <c r="V91" s="22">
        <f>'Balance Sheet'!V79+V77-'Balance Sheet'!V71</f>
        <v>181.83926003074941</v>
      </c>
      <c r="W91" s="22">
        <f>'Balance Sheet'!W79+W77-'Balance Sheet'!W71</f>
        <v>181.83926003074941</v>
      </c>
      <c r="X91" s="22">
        <f>'Balance Sheet'!X79+X77-'Balance Sheet'!X71</f>
        <v>145.32407407407408</v>
      </c>
      <c r="Y91" s="22">
        <f>'Balance Sheet'!Y79+Y77-'Balance Sheet'!Y71</f>
        <v>145.32407407407408</v>
      </c>
      <c r="Z91" s="22">
        <f>'Balance Sheet'!Z79+Z77-'Balance Sheet'!Z71</f>
        <v>145.32407407407408</v>
      </c>
      <c r="AA91" s="22">
        <f>'Balance Sheet'!AA79+AA77-'Balance Sheet'!AA71</f>
        <v>121.88260479754084</v>
      </c>
      <c r="AB91" s="22">
        <f>'Balance Sheet'!AB79+AB77-'Balance Sheet'!AB71</f>
        <v>121.88260479754084</v>
      </c>
      <c r="AC91" s="22">
        <f>'Balance Sheet'!AC79+AC77-'Balance Sheet'!AC71</f>
        <v>121.88260479754084</v>
      </c>
      <c r="AD91" s="22">
        <f>'Balance Sheet'!AD79+AD77-'Balance Sheet'!AD71</f>
        <v>99.367847914359544</v>
      </c>
      <c r="AE91" s="22">
        <f>'Balance Sheet'!AE79+AE77-'Balance Sheet'!AE71</f>
        <v>99.367847914359544</v>
      </c>
      <c r="AF91" s="22">
        <f>'Balance Sheet'!AF79+AF77-'Balance Sheet'!AF71</f>
        <v>99.367847914359544</v>
      </c>
      <c r="AG91" s="22">
        <f>'Balance Sheet'!AG79+AG77-'Balance Sheet'!AG71</f>
        <v>76.765873015873012</v>
      </c>
      <c r="AH91" s="22">
        <f>'Balance Sheet'!AH79+AH77-'Balance Sheet'!AH71</f>
        <v>76.765873015873012</v>
      </c>
      <c r="AI91" s="22">
        <f>'Balance Sheet'!AI79+AI77-'Balance Sheet'!AI71</f>
        <v>76.765873015873012</v>
      </c>
    </row>
    <row r="92" spans="2:36" ht="12.9" customHeight="1" x14ac:dyDescent="0.3">
      <c r="B92" s="16" t="s">
        <v>648</v>
      </c>
    </row>
    <row r="93" spans="2:36" ht="12.9" customHeight="1" x14ac:dyDescent="0.3">
      <c r="B93" s="21" t="s">
        <v>81</v>
      </c>
      <c r="C93" s="21">
        <f>'Balance Sheet'!C54-'Balance Sheet'!C28</f>
        <v>132.1259</v>
      </c>
      <c r="D93" s="21">
        <f>'Balance Sheet'!D54-'Balance Sheet'!D28</f>
        <v>135.19199999999998</v>
      </c>
      <c r="E93" s="21">
        <f>'Balance Sheet'!E54-'Balance Sheet'!E28</f>
        <v>135.19199999999998</v>
      </c>
      <c r="F93" s="21">
        <f>'Balance Sheet'!F54-'Balance Sheet'!F28</f>
        <v>155.39259999999999</v>
      </c>
      <c r="G93" s="21">
        <f>'Balance Sheet'!G54-'Balance Sheet'!G28</f>
        <v>159.60409999999996</v>
      </c>
      <c r="H93" s="21">
        <f>'Balance Sheet'!H54-'Balance Sheet'!H28</f>
        <v>159.60409999999996</v>
      </c>
      <c r="I93" s="21">
        <f>'Balance Sheet'!I54-'Balance Sheet'!I28</f>
        <v>138.8828</v>
      </c>
      <c r="J93" s="21">
        <f>'Balance Sheet'!J54-'Balance Sheet'!J28</f>
        <v>171.07319999999999</v>
      </c>
      <c r="K93" s="21">
        <f>'Balance Sheet'!K54-'Balance Sheet'!K28</f>
        <v>171.07319999999999</v>
      </c>
      <c r="L93" s="21">
        <f>'Balance Sheet'!L54-'Balance Sheet'!L28</f>
        <v>189.80270000000004</v>
      </c>
      <c r="M93" s="21">
        <f>'Balance Sheet'!M54-'Balance Sheet'!M28</f>
        <v>214.26960000000008</v>
      </c>
      <c r="N93" s="21">
        <f>'Balance Sheet'!N54-'Balance Sheet'!N28</f>
        <v>214.26960000000008</v>
      </c>
      <c r="O93" s="21">
        <f>'Balance Sheet'!O54-'Balance Sheet'!O28</f>
        <v>209.31499999999994</v>
      </c>
      <c r="P93" s="21">
        <f>'Balance Sheet'!P54-'Balance Sheet'!P28</f>
        <v>258.74639999999999</v>
      </c>
      <c r="Q93" s="21">
        <f>'Balance Sheet'!Q54-'Balance Sheet'!Q28</f>
        <v>258.74639999999999</v>
      </c>
      <c r="R93" s="21">
        <f>'Balance Sheet'!R54-'Balance Sheet'!R28</f>
        <v>258.02239999999989</v>
      </c>
      <c r="S93" s="21">
        <f>'Balance Sheet'!S54-'Balance Sheet'!S28</f>
        <v>336.29920000000004</v>
      </c>
      <c r="T93" s="21">
        <f>'Balance Sheet'!T54-'Balance Sheet'!T28</f>
        <v>336.29920000000004</v>
      </c>
      <c r="U93" s="21">
        <f>'Balance Sheet'!U54-'Balance Sheet'!U28</f>
        <v>338.62957002087285</v>
      </c>
      <c r="V93" s="21">
        <f>'Balance Sheet'!V54-'Balance Sheet'!V28</f>
        <v>396.59068632963675</v>
      </c>
      <c r="W93" s="182">
        <f>'Balance Sheet'!W54-'Balance Sheet'!W28</f>
        <v>396.59068632963675</v>
      </c>
      <c r="X93" s="182">
        <f>'Balance Sheet'!X54-'Balance Sheet'!X28</f>
        <v>402.46985934467443</v>
      </c>
      <c r="Y93" s="182">
        <f>'Balance Sheet'!Y54-'Balance Sheet'!Y28</f>
        <v>476.07168839696783</v>
      </c>
      <c r="Z93" s="182">
        <f>'Balance Sheet'!Z54-'Balance Sheet'!Z28</f>
        <v>476.07168839696783</v>
      </c>
      <c r="AA93" s="182">
        <f>'Balance Sheet'!AA54-'Balance Sheet'!AA28</f>
        <v>471.34213834140519</v>
      </c>
      <c r="AB93" s="182">
        <f>'Balance Sheet'!AB54-'Balance Sheet'!AB28</f>
        <v>563.53234771444431</v>
      </c>
      <c r="AC93" s="182">
        <f>'Balance Sheet'!AC54-'Balance Sheet'!AC28</f>
        <v>563.53234771444431</v>
      </c>
      <c r="AD93" s="182">
        <f>'Balance Sheet'!AD54-'Balance Sheet'!AD28</f>
        <v>550.61404279026056</v>
      </c>
      <c r="AE93" s="182">
        <f>'Balance Sheet'!AE54-'Balance Sheet'!AE28</f>
        <v>661.69951498392766</v>
      </c>
      <c r="AF93" s="182">
        <f>'Balance Sheet'!AF54-'Balance Sheet'!AF28</f>
        <v>661.69951498392766</v>
      </c>
      <c r="AG93" s="182">
        <f>'Balance Sheet'!AG54-'Balance Sheet'!AG28</f>
        <v>630.31933135832276</v>
      </c>
      <c r="AH93" s="182">
        <f>'Balance Sheet'!AH54-'Balance Sheet'!AH28</f>
        <v>770.35727047439764</v>
      </c>
      <c r="AI93" s="182">
        <f>'Balance Sheet'!AI54-'Balance Sheet'!AI28</f>
        <v>770.35727047439764</v>
      </c>
    </row>
    <row r="94" spans="2:36" ht="12.9" customHeight="1" x14ac:dyDescent="0.3">
      <c r="B94" s="21" t="s">
        <v>134</v>
      </c>
      <c r="C94" s="22">
        <f>(C93/'Income Statement'!C8)*182.5</f>
        <v>206.27735232801152</v>
      </c>
      <c r="D94" s="22">
        <f>(D93/'Income Statement'!D8)*182.5</f>
        <v>152.08023980221122</v>
      </c>
      <c r="E94" s="22">
        <f>(E93/'Income Statement'!E8)*365</f>
        <v>176.78196794607234</v>
      </c>
      <c r="F94" s="22">
        <f>(F93/'Income Statement'!F8)*182.5</f>
        <v>201.05642510104519</v>
      </c>
      <c r="G94" s="22">
        <f>(G93/'Income Statement'!G8)*182.5</f>
        <v>197.89095827255622</v>
      </c>
      <c r="H94" s="22">
        <f>(H93/'Income Statement'!H8)*365</f>
        <v>202.10648462956073</v>
      </c>
      <c r="I94" s="22">
        <f>(I93/'Income Statement'!I8)*182.5</f>
        <v>165.94089502677065</v>
      </c>
      <c r="J94" s="22">
        <f>(J93/'Income Statement'!J8)*182.5</f>
        <v>120.73204063631228</v>
      </c>
      <c r="K94" s="22">
        <f>(K93/'Income Statement'!K8)*365</f>
        <v>151.80144508860229</v>
      </c>
      <c r="L94" s="22">
        <f>(L93/'Income Statement'!L8)*183</f>
        <v>131.04123318121731</v>
      </c>
      <c r="M94" s="22">
        <f>(M93/'Income Statement'!M8)*183</f>
        <v>137.42754913103965</v>
      </c>
      <c r="N94" s="22">
        <f>(N93/'Income Statement'!N8)*366</f>
        <v>142.48706785892415</v>
      </c>
      <c r="O94" s="22">
        <f>(O93/'Income Statement'!O8)*182.5</f>
        <v>112.63990426194738</v>
      </c>
      <c r="P94" s="22">
        <f>(P93/'Income Statement'!P8)*182.5</f>
        <v>119.95666734323665</v>
      </c>
      <c r="Q94" s="22">
        <f>(Q93/'Income Statement'!Q8)*365</f>
        <v>128.88133233986454</v>
      </c>
      <c r="R94" s="22">
        <f>(R93/'Income Statement'!R8)*182.5</f>
        <v>115.55258468335421</v>
      </c>
      <c r="S94" s="22">
        <f>(S93/'Income Statement'!S8)*182.5</f>
        <v>147.97065882628075</v>
      </c>
      <c r="T94" s="22">
        <f>(T93/'Income Statement'!T8)*365</f>
        <v>149.27768954831748</v>
      </c>
      <c r="U94" s="22">
        <f>(U93/'Income Statement'!U8)*182.5</f>
        <v>143.78081926320775</v>
      </c>
      <c r="V94" s="22">
        <f>(V93/'Income Statement'!V8)*182.5</f>
        <v>155.24368439885239</v>
      </c>
      <c r="W94" s="22">
        <f>(W93/'Income Statement'!W8)*365</f>
        <v>161.55024250463947</v>
      </c>
      <c r="X94" s="22">
        <f>(X93/'Income Statement'!X8)*183</f>
        <v>138.18892413901946</v>
      </c>
      <c r="Y94" s="22">
        <f>(Y93/'Income Statement'!Y8)*183</f>
        <v>159.29993642724762</v>
      </c>
      <c r="Z94" s="22">
        <f>(Z93/'Income Statement'!Z8)*366</f>
        <v>161.3532932525255</v>
      </c>
      <c r="AA94" s="22">
        <f>(AA93/'Income Statement'!AA8)*182.5</f>
        <v>142.02874569768747</v>
      </c>
      <c r="AB94" s="22">
        <f>(AB93/'Income Statement'!AB8)*182.5</f>
        <v>155.35693291880835</v>
      </c>
      <c r="AC94" s="22">
        <f>(AC93/'Income Statement'!AC8)*365</f>
        <v>162.26147006317004</v>
      </c>
      <c r="AD94" s="22">
        <f>(AD93/'Income Statement'!AD8)*182.5</f>
        <v>135.83642970180338</v>
      </c>
      <c r="AE94" s="22">
        <f>(AE93/'Income Statement'!AE8)*182.5</f>
        <v>158.67237982020345</v>
      </c>
      <c r="AF94" s="22">
        <f>(AF93/'Income Statement'!AF8)*365</f>
        <v>160.92437024908034</v>
      </c>
      <c r="AG94" s="22">
        <f>(AG93/'Income Statement'!AG8)*182.5</f>
        <v>132.35241856982398</v>
      </c>
      <c r="AH94" s="22">
        <f>(AH93/'Income Statement'!AH8)*182.5</f>
        <v>153.4457417223125</v>
      </c>
      <c r="AI94" s="22">
        <f>(AI93/'Income Statement'!AI8)*365</f>
        <v>157.49185836804307</v>
      </c>
    </row>
    <row r="95" spans="2:36" ht="12.9" customHeight="1" x14ac:dyDescent="0.3">
      <c r="B95" s="21" t="s">
        <v>133</v>
      </c>
      <c r="C95" s="21">
        <f>'Balance Sheet'!C45+'Balance Sheet'!C48-'Balance Sheet'!C23</f>
        <v>132.26390000000001</v>
      </c>
      <c r="D95" s="21">
        <f>'Balance Sheet'!D45+'Balance Sheet'!D48-'Balance Sheet'!D23</f>
        <v>149.94930000000002</v>
      </c>
      <c r="E95" s="21">
        <f>'Balance Sheet'!E45+'Balance Sheet'!E48-'Balance Sheet'!E23</f>
        <v>149.94930000000002</v>
      </c>
      <c r="F95" s="21">
        <f>'Balance Sheet'!F45+'Balance Sheet'!F48-'Balance Sheet'!F23</f>
        <v>145.91149999999999</v>
      </c>
      <c r="G95" s="21">
        <f>'Balance Sheet'!G45+'Balance Sheet'!G48-'Balance Sheet'!G23</f>
        <v>171.69729999999998</v>
      </c>
      <c r="H95" s="21">
        <f>'Balance Sheet'!H45+'Balance Sheet'!H48-'Balance Sheet'!H23</f>
        <v>171.69729999999998</v>
      </c>
      <c r="I95" s="21">
        <f>'Balance Sheet'!I45+'Balance Sheet'!I48-'Balance Sheet'!I23</f>
        <v>152.4316</v>
      </c>
      <c r="J95" s="21">
        <f>'Balance Sheet'!J45+'Balance Sheet'!J48-'Balance Sheet'!J23</f>
        <v>209.65559999999999</v>
      </c>
      <c r="K95" s="21">
        <f>'Balance Sheet'!K45+'Balance Sheet'!K48-'Balance Sheet'!K23</f>
        <v>209.65559999999999</v>
      </c>
      <c r="L95" s="21">
        <f>'Balance Sheet'!L45+'Balance Sheet'!L48-'Balance Sheet'!L23</f>
        <v>205.0849</v>
      </c>
      <c r="M95" s="21">
        <f>'Balance Sheet'!M45+'Balance Sheet'!M48-'Balance Sheet'!M23</f>
        <v>229.60740000000001</v>
      </c>
      <c r="N95" s="21">
        <f>'Balance Sheet'!N45+'Balance Sheet'!N48-'Balance Sheet'!N23</f>
        <v>229.60740000000001</v>
      </c>
      <c r="O95" s="21">
        <f>'Balance Sheet'!O45+'Balance Sheet'!O48-'Balance Sheet'!O23</f>
        <v>326.72109999999998</v>
      </c>
      <c r="P95" s="21">
        <f>'Balance Sheet'!P45+'Balance Sheet'!P48-'Balance Sheet'!P23</f>
        <v>342.5301</v>
      </c>
      <c r="Q95" s="21">
        <f>'Balance Sheet'!Q45+'Balance Sheet'!Q48-'Balance Sheet'!Q23</f>
        <v>342.5301</v>
      </c>
      <c r="R95" s="21">
        <f>'Balance Sheet'!R45+'Balance Sheet'!R48-'Balance Sheet'!R23</f>
        <v>418.02109999999993</v>
      </c>
      <c r="S95" s="21">
        <f>'Balance Sheet'!S45+'Balance Sheet'!S48-'Balance Sheet'!S23</f>
        <v>431.68990000000002</v>
      </c>
      <c r="T95" s="21">
        <f>'Balance Sheet'!T45+'Balance Sheet'!T48-'Balance Sheet'!T23</f>
        <v>431.68990000000002</v>
      </c>
      <c r="U95" s="21">
        <f>'Balance Sheet'!U45+'Balance Sheet'!U48-'Balance Sheet'!U23</f>
        <v>401.70749405942104</v>
      </c>
      <c r="V95" s="21">
        <f>'Balance Sheet'!V45+'Balance Sheet'!V48-'Balance Sheet'!V23</f>
        <v>426.06264393897459</v>
      </c>
      <c r="W95" s="21">
        <f>'Balance Sheet'!W45+'Balance Sheet'!W48-'Balance Sheet'!W23</f>
        <v>426.06264393897459</v>
      </c>
      <c r="X95" s="182">
        <f>'Balance Sheet'!X45+'Balance Sheet'!X48-'Balance Sheet'!X23</f>
        <v>383.39710540316952</v>
      </c>
      <c r="Y95" s="182">
        <f>'Balance Sheet'!Y45+'Balance Sheet'!Y48-'Balance Sheet'!Y23</f>
        <v>414.35405932288319</v>
      </c>
      <c r="Z95" s="182">
        <f>'Balance Sheet'!Z45+'Balance Sheet'!Z48-'Balance Sheet'!Z23</f>
        <v>414.35405932288319</v>
      </c>
      <c r="AA95" s="182">
        <f>'Balance Sheet'!AA45+'Balance Sheet'!AA48-'Balance Sheet'!AA23</f>
        <v>378.06676001040512</v>
      </c>
      <c r="AB95" s="182">
        <f>'Balance Sheet'!AB45+'Balance Sheet'!AB48-'Balance Sheet'!AB23</f>
        <v>415.81912100964615</v>
      </c>
      <c r="AC95" s="182">
        <f>'Balance Sheet'!AC45+'Balance Sheet'!AC48-'Balance Sheet'!AC23</f>
        <v>415.81912100964615</v>
      </c>
      <c r="AD95" s="182">
        <f>'Balance Sheet'!AD45+'Balance Sheet'!AD48-'Balance Sheet'!AD23</f>
        <v>385.67118220636007</v>
      </c>
      <c r="AE95" s="182">
        <f>'Balance Sheet'!AE45+'Balance Sheet'!AE48-'Balance Sheet'!AE23</f>
        <v>412.95019908538529</v>
      </c>
      <c r="AF95" s="182">
        <f>'Balance Sheet'!AF45+'Balance Sheet'!AF48-'Balance Sheet'!AF23</f>
        <v>412.95019908538529</v>
      </c>
      <c r="AG95" s="182">
        <f>'Balance Sheet'!AG45+'Balance Sheet'!AG48-'Balance Sheet'!AG23</f>
        <v>366.75619341089077</v>
      </c>
      <c r="AH95" s="182">
        <f>'Balance Sheet'!AH45+'Balance Sheet'!AH48-'Balance Sheet'!AH23</f>
        <v>401.77790424167216</v>
      </c>
      <c r="AI95" s="182">
        <f>'Balance Sheet'!AI45+'Balance Sheet'!AI48-'Balance Sheet'!AI23</f>
        <v>401.77790424167216</v>
      </c>
      <c r="AJ95" s="182"/>
    </row>
    <row r="96" spans="2:36" ht="12.9" customHeight="1" x14ac:dyDescent="0.3">
      <c r="B96" s="21" t="s">
        <v>82</v>
      </c>
      <c r="F96" s="21">
        <f>F95-E95</f>
        <v>-4.0378000000000327</v>
      </c>
      <c r="G96" s="21">
        <f>G95-F95</f>
        <v>25.785799999999995</v>
      </c>
      <c r="H96" s="21">
        <f>H95-E95</f>
        <v>21.747999999999962</v>
      </c>
      <c r="I96" s="21">
        <f>I95-H95</f>
        <v>-19.265699999999981</v>
      </c>
      <c r="J96" s="21">
        <f>J95-I95</f>
        <v>57.22399999999999</v>
      </c>
      <c r="K96" s="21">
        <f>K95-H95</f>
        <v>37.958300000000008</v>
      </c>
      <c r="L96" s="21">
        <f>L95-K95</f>
        <v>-4.570699999999988</v>
      </c>
      <c r="M96" s="21">
        <f>M95-L95</f>
        <v>24.522500000000008</v>
      </c>
      <c r="N96" s="21">
        <f>N95-K95</f>
        <v>19.95180000000002</v>
      </c>
      <c r="O96" s="21">
        <f>O95-N95</f>
        <v>97.113699999999966</v>
      </c>
      <c r="P96" s="21">
        <f>P95-O95</f>
        <v>15.809000000000026</v>
      </c>
      <c r="Q96" s="21">
        <f>Q95-N95</f>
        <v>112.92269999999999</v>
      </c>
      <c r="R96" s="21">
        <f>R95-Q95</f>
        <v>75.490999999999929</v>
      </c>
      <c r="S96" s="21">
        <f>S95-R95</f>
        <v>13.66880000000009</v>
      </c>
      <c r="T96" s="21">
        <f>T95-Q95</f>
        <v>89.159800000000018</v>
      </c>
      <c r="U96" s="21">
        <f>U95-T95</f>
        <v>-29.982405940578985</v>
      </c>
      <c r="V96" s="21">
        <f>V95-U95</f>
        <v>24.355149879553551</v>
      </c>
      <c r="W96" s="21">
        <f>W95-T95</f>
        <v>-5.6272560610254345</v>
      </c>
      <c r="X96" s="21">
        <f>X95-W95</f>
        <v>-42.665538535805069</v>
      </c>
      <c r="Y96" s="21">
        <f>Y95-X95</f>
        <v>30.956953919713669</v>
      </c>
      <c r="Z96" s="21">
        <f>Z95-W95</f>
        <v>-11.7085846160914</v>
      </c>
      <c r="AA96" s="21">
        <f>AA95-Z95</f>
        <v>-36.287299312478069</v>
      </c>
      <c r="AB96" s="21">
        <f>AB95-AA95</f>
        <v>37.752360999241034</v>
      </c>
      <c r="AC96" s="21">
        <f>AC95-Z95</f>
        <v>1.4650616867629651</v>
      </c>
      <c r="AD96" s="21">
        <f>AD95-AC95</f>
        <v>-30.147938803286081</v>
      </c>
      <c r="AE96" s="21">
        <f>AE95-AD95</f>
        <v>27.279016879025221</v>
      </c>
      <c r="AF96" s="21">
        <f>AF95-AC95</f>
        <v>-2.8689219242608601</v>
      </c>
      <c r="AG96" s="21">
        <f>AG95-AF95</f>
        <v>-46.19400567449452</v>
      </c>
      <c r="AH96" s="21">
        <f>AH95-AG95</f>
        <v>35.021710830781387</v>
      </c>
      <c r="AI96" s="21">
        <f>AI95-AF95</f>
        <v>-11.172294843713132</v>
      </c>
    </row>
    <row r="97" spans="17:28" ht="12.9" customHeight="1" x14ac:dyDescent="0.3">
      <c r="Q97" s="23"/>
      <c r="R97" s="23"/>
      <c r="S97" s="23"/>
      <c r="T97" s="19"/>
      <c r="U97" s="23"/>
      <c r="V97" s="23"/>
      <c r="W97" s="23"/>
      <c r="X97" s="23"/>
      <c r="Y97" s="23"/>
      <c r="Z97" s="23"/>
      <c r="AA97" s="23"/>
      <c r="AB97" s="23"/>
    </row>
    <row r="98" spans="17:28" ht="12.9" customHeight="1" x14ac:dyDescent="0.3"/>
    <row r="99" spans="17:28" ht="12.9" customHeight="1" x14ac:dyDescent="0.3"/>
    <row r="100" spans="17:28" ht="12.9" customHeight="1" x14ac:dyDescent="0.3"/>
  </sheetData>
  <phoneticPr fontId="7" type="noConversion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60284-B585-4C38-8F19-B785C86700ED}">
  <sheetPr>
    <tabColor rgb="FF8E1C2F"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defaultColWidth="10.5546875" defaultRowHeight="13.8" outlineLevelRow="1" outlineLevelCol="1" x14ac:dyDescent="0.3"/>
  <cols>
    <col min="1" max="1" width="2.6640625" style="6" customWidth="1"/>
    <col min="2" max="2" width="55.6640625" style="12" customWidth="1"/>
    <col min="3" max="4" width="10.6640625" style="12" hidden="1" customWidth="1" outlineLevel="1"/>
    <col min="5" max="5" width="10.6640625" style="12" customWidth="1" collapsed="1"/>
    <col min="6" max="7" width="10.6640625" style="12" hidden="1" customWidth="1" outlineLevel="1"/>
    <col min="8" max="8" width="10.6640625" style="12" customWidth="1" collapsed="1"/>
    <col min="9" max="10" width="10.6640625" style="12" hidden="1" customWidth="1" outlineLevel="1"/>
    <col min="11" max="11" width="10.6640625" style="12" customWidth="1" collapsed="1"/>
    <col min="12" max="13" width="10.6640625" style="12" hidden="1" customWidth="1" outlineLevel="1"/>
    <col min="14" max="14" width="10.6640625" style="12" customWidth="1" collapsed="1"/>
    <col min="15" max="16" width="10.6640625" style="12" hidden="1" customWidth="1" outlineLevel="1"/>
    <col min="17" max="17" width="10.6640625" style="12" customWidth="1" collapsed="1"/>
    <col min="18" max="19" width="10.6640625" style="12" hidden="1" customWidth="1" outlineLevel="1"/>
    <col min="20" max="20" width="10.6640625" style="12" customWidth="1" collapsed="1"/>
    <col min="21" max="22" width="10.6640625" style="12" hidden="1" customWidth="1" outlineLevel="1"/>
    <col min="23" max="23" width="10.6640625" style="12" customWidth="1" collapsed="1"/>
    <col min="24" max="25" width="10.6640625" style="12" hidden="1" customWidth="1" outlineLevel="1"/>
    <col min="26" max="26" width="10.6640625" style="12" customWidth="1" collapsed="1"/>
    <col min="27" max="28" width="10.6640625" style="12" hidden="1" customWidth="1" outlineLevel="1"/>
    <col min="29" max="29" width="10.6640625" style="12" customWidth="1" collapsed="1"/>
    <col min="30" max="31" width="10.6640625" style="12" hidden="1" customWidth="1" outlineLevel="1"/>
    <col min="32" max="32" width="10.6640625" style="12" customWidth="1" collapsed="1"/>
    <col min="33" max="34" width="10.6640625" style="12" hidden="1" customWidth="1" outlineLevel="1"/>
    <col min="35" max="35" width="10.6640625" style="12" customWidth="1" collapsed="1"/>
    <col min="36" max="60" width="10.6640625" style="12" customWidth="1"/>
    <col min="61" max="16384" width="10.5546875" style="12"/>
  </cols>
  <sheetData>
    <row r="1" spans="1:35" ht="12.9" customHeight="1" x14ac:dyDescent="0.3">
      <c r="A1" s="1"/>
      <c r="B1" s="1" t="s">
        <v>83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35" ht="12.9" customHeight="1" x14ac:dyDescent="0.3">
      <c r="A2" s="3"/>
      <c r="B2" s="12" t="s">
        <v>963</v>
      </c>
      <c r="C2" s="344" t="s">
        <v>161</v>
      </c>
      <c r="D2" s="344" t="s">
        <v>159</v>
      </c>
      <c r="E2" s="344" t="s">
        <v>160</v>
      </c>
      <c r="F2" s="344" t="s">
        <v>161</v>
      </c>
      <c r="G2" s="344" t="s">
        <v>159</v>
      </c>
      <c r="H2" s="344" t="s">
        <v>160</v>
      </c>
      <c r="I2" s="344" t="s">
        <v>161</v>
      </c>
      <c r="J2" s="344" t="s">
        <v>159</v>
      </c>
      <c r="K2" s="344" t="s">
        <v>160</v>
      </c>
      <c r="L2" s="344" t="s">
        <v>161</v>
      </c>
      <c r="M2" s="344" t="s">
        <v>159</v>
      </c>
      <c r="N2" s="344" t="s">
        <v>160</v>
      </c>
      <c r="O2" s="344" t="s">
        <v>161</v>
      </c>
      <c r="P2" s="344" t="s">
        <v>159</v>
      </c>
      <c r="Q2" s="344" t="s">
        <v>160</v>
      </c>
      <c r="R2" s="344" t="s">
        <v>161</v>
      </c>
      <c r="S2" s="344" t="s">
        <v>159</v>
      </c>
      <c r="T2" s="344" t="s">
        <v>160</v>
      </c>
      <c r="U2" s="345" t="s">
        <v>161</v>
      </c>
      <c r="V2" s="345" t="s">
        <v>159</v>
      </c>
      <c r="W2" s="345" t="s">
        <v>160</v>
      </c>
      <c r="X2" s="345" t="s">
        <v>161</v>
      </c>
      <c r="Y2" s="345" t="s">
        <v>159</v>
      </c>
      <c r="Z2" s="345" t="s">
        <v>160</v>
      </c>
      <c r="AA2" s="345" t="s">
        <v>161</v>
      </c>
      <c r="AB2" s="345" t="s">
        <v>159</v>
      </c>
      <c r="AC2" s="345" t="s">
        <v>160</v>
      </c>
      <c r="AD2" s="345" t="s">
        <v>161</v>
      </c>
      <c r="AE2" s="345" t="s">
        <v>159</v>
      </c>
      <c r="AF2" s="345" t="s">
        <v>160</v>
      </c>
      <c r="AG2" s="345" t="s">
        <v>161</v>
      </c>
      <c r="AH2" s="345" t="s">
        <v>159</v>
      </c>
      <c r="AI2" s="345" t="s">
        <v>160</v>
      </c>
    </row>
    <row r="3" spans="1:35" ht="12.9" customHeight="1" x14ac:dyDescent="0.3">
      <c r="A3" s="3"/>
      <c r="B3" s="12" t="s">
        <v>114</v>
      </c>
      <c r="C3" s="346">
        <v>2021</v>
      </c>
      <c r="D3" s="346">
        <v>2021</v>
      </c>
      <c r="E3" s="346">
        <v>2021</v>
      </c>
      <c r="F3" s="347">
        <v>2022</v>
      </c>
      <c r="G3" s="347">
        <v>2022</v>
      </c>
      <c r="H3" s="347">
        <v>2022</v>
      </c>
      <c r="I3" s="348">
        <v>2023</v>
      </c>
      <c r="J3" s="348">
        <v>2023</v>
      </c>
      <c r="K3" s="348">
        <v>2023</v>
      </c>
      <c r="L3" s="348">
        <v>2024</v>
      </c>
      <c r="M3" s="348">
        <v>2024</v>
      </c>
      <c r="N3" s="348">
        <v>2024</v>
      </c>
      <c r="O3" s="348">
        <v>2025</v>
      </c>
      <c r="P3" s="348">
        <v>2025</v>
      </c>
      <c r="Q3" s="348">
        <v>2025</v>
      </c>
      <c r="R3" s="348">
        <v>2026</v>
      </c>
      <c r="S3" s="348">
        <v>2026</v>
      </c>
      <c r="T3" s="348">
        <v>2026</v>
      </c>
      <c r="U3" s="349" t="s">
        <v>162</v>
      </c>
      <c r="V3" s="349" t="s">
        <v>162</v>
      </c>
      <c r="W3" s="349" t="s">
        <v>162</v>
      </c>
      <c r="X3" s="349" t="s">
        <v>163</v>
      </c>
      <c r="Y3" s="349" t="s">
        <v>163</v>
      </c>
      <c r="Z3" s="349" t="s">
        <v>163</v>
      </c>
      <c r="AA3" s="349" t="s">
        <v>164</v>
      </c>
      <c r="AB3" s="349" t="s">
        <v>164</v>
      </c>
      <c r="AC3" s="349" t="s">
        <v>164</v>
      </c>
      <c r="AD3" s="349" t="s">
        <v>165</v>
      </c>
      <c r="AE3" s="349" t="s">
        <v>165</v>
      </c>
      <c r="AF3" s="349" t="s">
        <v>165</v>
      </c>
      <c r="AG3" s="349" t="s">
        <v>166</v>
      </c>
      <c r="AH3" s="349" t="s">
        <v>166</v>
      </c>
      <c r="AI3" s="349" t="s">
        <v>166</v>
      </c>
    </row>
    <row r="4" spans="1:35" ht="12.9" customHeight="1" x14ac:dyDescent="0.3">
      <c r="A4" s="3"/>
      <c r="B4" s="4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6"/>
    </row>
    <row r="5" spans="1:35" s="360" customFormat="1" ht="12.9" customHeight="1" x14ac:dyDescent="0.3">
      <c r="B5" s="354" t="s">
        <v>643</v>
      </c>
      <c r="L5" s="361"/>
      <c r="M5" s="361"/>
      <c r="N5" s="361"/>
      <c r="O5" s="361"/>
      <c r="P5" s="361"/>
    </row>
    <row r="6" spans="1:35" ht="12.9" customHeight="1" x14ac:dyDescent="0.3">
      <c r="A6" s="12"/>
      <c r="B6" s="6"/>
      <c r="L6" s="20"/>
      <c r="M6" s="20"/>
      <c r="N6" s="20"/>
      <c r="O6" s="20"/>
      <c r="P6" s="20"/>
    </row>
    <row r="7" spans="1:35" ht="12.9" customHeight="1" x14ac:dyDescent="0.3">
      <c r="B7" s="13" t="s">
        <v>48</v>
      </c>
      <c r="L7" s="20"/>
      <c r="M7" s="20"/>
      <c r="N7" s="20"/>
      <c r="O7" s="20"/>
      <c r="P7" s="20"/>
      <c r="Q7" s="20"/>
      <c r="R7" s="20"/>
    </row>
    <row r="8" spans="1:35" ht="12.9" customHeight="1" x14ac:dyDescent="0.3">
      <c r="B8" s="13" t="s">
        <v>10</v>
      </c>
      <c r="C8" s="66">
        <v>23.298400000000001</v>
      </c>
      <c r="D8" s="20">
        <f>E8-C8</f>
        <v>38.166599999999995</v>
      </c>
      <c r="E8" s="66">
        <v>61.464999999999996</v>
      </c>
      <c r="F8" s="66">
        <v>30.152899999999999</v>
      </c>
      <c r="G8" s="20">
        <f>H8-F8</f>
        <v>30.969300000000008</v>
      </c>
      <c r="H8" s="66">
        <v>61.122200000000007</v>
      </c>
      <c r="I8" s="66">
        <v>24.046100000000003</v>
      </c>
      <c r="J8" s="20">
        <f>K8-I8</f>
        <v>45.952099999999994</v>
      </c>
      <c r="K8" s="66">
        <v>69.998199999999997</v>
      </c>
      <c r="L8" s="66">
        <v>54.186599999999999</v>
      </c>
      <c r="M8" s="20">
        <f>N8-L8</f>
        <v>61.9893</v>
      </c>
      <c r="N8" s="66">
        <v>116.1759</v>
      </c>
      <c r="O8" s="66">
        <v>67.016899999999993</v>
      </c>
      <c r="P8" s="20">
        <f>Q8-O8</f>
        <v>76.183300000000003</v>
      </c>
      <c r="Q8" s="66">
        <v>143.2002</v>
      </c>
      <c r="R8" s="66">
        <v>78.299099999999996</v>
      </c>
      <c r="S8" s="20">
        <f>T8-R8</f>
        <v>61.001400000000004</v>
      </c>
      <c r="T8" s="66">
        <v>139.3005</v>
      </c>
      <c r="U8" s="23">
        <f>'Income Statement'!U32</f>
        <v>73.559225137503944</v>
      </c>
      <c r="V8" s="23">
        <f>'Income Statement'!V32</f>
        <v>81.229680026975387</v>
      </c>
      <c r="W8" s="23">
        <f>U8+V8</f>
        <v>154.78890516447933</v>
      </c>
      <c r="X8" s="23">
        <f>'Income Statement'!X32</f>
        <v>95.451026946461909</v>
      </c>
      <c r="Y8" s="23">
        <f>'Income Statement'!Y32</f>
        <v>98.610927990408825</v>
      </c>
      <c r="Z8" s="23">
        <f>X8+Y8</f>
        <v>194.06195493687073</v>
      </c>
      <c r="AA8" s="23">
        <f>'Income Statement'!AA32</f>
        <v>111.27564681898679</v>
      </c>
      <c r="AB8" s="23">
        <f>'Income Statement'!AB32</f>
        <v>123.42899775683695</v>
      </c>
      <c r="AC8" s="23">
        <f>AA8+AB8</f>
        <v>234.70464457582375</v>
      </c>
      <c r="AD8" s="23">
        <f>'Income Statement'!AD32</f>
        <v>143.82636281347405</v>
      </c>
      <c r="AE8" s="23">
        <f>'Income Statement'!AE32</f>
        <v>148.65907575677625</v>
      </c>
      <c r="AF8" s="23">
        <f>AD8+AE8</f>
        <v>292.48543857025027</v>
      </c>
      <c r="AG8" s="23">
        <f>'Income Statement'!AG32</f>
        <v>176.66840996883195</v>
      </c>
      <c r="AH8" s="23">
        <f>'Income Statement'!AH32</f>
        <v>187.33061139182513</v>
      </c>
      <c r="AI8" s="23">
        <f>AG8+AH8</f>
        <v>363.99902136065708</v>
      </c>
    </row>
    <row r="9" spans="1:35" ht="12.9" customHeight="1" x14ac:dyDescent="0.3">
      <c r="B9" s="13" t="s">
        <v>1048</v>
      </c>
      <c r="C9" s="66"/>
      <c r="D9" s="20">
        <f t="shared" ref="D9:D27" si="0">E9-C9</f>
        <v>0</v>
      </c>
      <c r="E9" s="66">
        <v>0</v>
      </c>
      <c r="F9" s="66">
        <v>0</v>
      </c>
      <c r="G9" s="20">
        <f t="shared" ref="G9:G27" si="1">H9-F9</f>
        <v>0</v>
      </c>
      <c r="H9" s="66">
        <v>0</v>
      </c>
      <c r="I9" s="66">
        <v>0</v>
      </c>
      <c r="J9" s="20">
        <f t="shared" ref="J9:J27" si="2">K9-I9</f>
        <v>0</v>
      </c>
      <c r="K9" s="66">
        <v>0</v>
      </c>
      <c r="L9" s="66">
        <v>0</v>
      </c>
      <c r="M9" s="20">
        <f t="shared" ref="M9:M27" si="3">N9-L9</f>
        <v>0</v>
      </c>
      <c r="N9" s="66">
        <v>0</v>
      </c>
      <c r="O9" s="66">
        <v>0</v>
      </c>
      <c r="P9" s="20">
        <f t="shared" ref="P9:P27" si="4">Q9-O9</f>
        <v>0</v>
      </c>
      <c r="Q9" s="66">
        <v>0</v>
      </c>
      <c r="R9" s="66">
        <v>0</v>
      </c>
      <c r="S9" s="20">
        <f t="shared" ref="S9:S27" si="5">T9-R9</f>
        <v>0</v>
      </c>
      <c r="T9" s="66">
        <v>0</v>
      </c>
      <c r="W9" s="23">
        <f t="shared" ref="W9:W27" si="6">U9+V9</f>
        <v>0</v>
      </c>
      <c r="Z9" s="23">
        <f t="shared" ref="Z9:Z27" si="7">X9+Y9</f>
        <v>0</v>
      </c>
      <c r="AC9" s="23">
        <f t="shared" ref="AC9:AC27" si="8">AA9+AB9</f>
        <v>0</v>
      </c>
      <c r="AF9" s="23">
        <f t="shared" ref="AF9:AF27" si="9">AD9+AE9</f>
        <v>0</v>
      </c>
      <c r="AI9" s="23">
        <f t="shared" ref="AI9:AI27" si="10">AG9+AH9</f>
        <v>0</v>
      </c>
    </row>
    <row r="10" spans="1:35" ht="12.9" customHeight="1" x14ac:dyDescent="0.3">
      <c r="B10" s="16" t="s">
        <v>11</v>
      </c>
      <c r="C10" s="66">
        <v>4.5148999999999999</v>
      </c>
      <c r="D10" s="20">
        <f t="shared" si="0"/>
        <v>5.9909999999999988</v>
      </c>
      <c r="E10" s="66">
        <v>10.505899999999999</v>
      </c>
      <c r="F10" s="66">
        <v>5.7862</v>
      </c>
      <c r="G10" s="20">
        <f t="shared" si="1"/>
        <v>5.806</v>
      </c>
      <c r="H10" s="66">
        <v>11.5922</v>
      </c>
      <c r="I10" s="66">
        <v>5.8628999999999998</v>
      </c>
      <c r="J10" s="20">
        <f t="shared" si="2"/>
        <v>6.6776</v>
      </c>
      <c r="K10" s="66">
        <v>12.5405</v>
      </c>
      <c r="L10" s="66">
        <v>7.0289000000000001</v>
      </c>
      <c r="M10" s="20">
        <f t="shared" si="3"/>
        <v>10.435100000000002</v>
      </c>
      <c r="N10" s="66">
        <v>17.464000000000002</v>
      </c>
      <c r="O10" s="66">
        <v>11.355699999999999</v>
      </c>
      <c r="P10" s="20">
        <f t="shared" si="4"/>
        <v>12.463300000000004</v>
      </c>
      <c r="Q10" s="66">
        <v>23.819000000000003</v>
      </c>
      <c r="R10" s="66">
        <v>13.2423</v>
      </c>
      <c r="S10" s="20">
        <f t="shared" si="5"/>
        <v>14.598700000000001</v>
      </c>
      <c r="T10" s="66">
        <v>27.841000000000001</v>
      </c>
      <c r="U10" s="23">
        <f>'Balance Sheet'!U63</f>
        <v>14.544384071049086</v>
      </c>
      <c r="V10" s="23">
        <f>'Balance Sheet'!V63</f>
        <v>14.675322150977753</v>
      </c>
      <c r="W10" s="23">
        <f t="shared" si="6"/>
        <v>29.219706222026836</v>
      </c>
      <c r="X10" s="23">
        <f>'Balance Sheet'!X63</f>
        <v>14.800459483722905</v>
      </c>
      <c r="Y10" s="23">
        <f>'Balance Sheet'!Y63</f>
        <v>14.809299418510566</v>
      </c>
      <c r="Z10" s="23">
        <f t="shared" si="7"/>
        <v>29.609758902233473</v>
      </c>
      <c r="AA10" s="23">
        <f>'Balance Sheet'!AA63</f>
        <v>14.817747731343408</v>
      </c>
      <c r="AB10" s="23">
        <f>'Balance Sheet'!AB63</f>
        <v>14.825821771643025</v>
      </c>
      <c r="AC10" s="23">
        <f t="shared" si="8"/>
        <v>29.643569502986431</v>
      </c>
      <c r="AD10" s="23">
        <f>'Balance Sheet'!AD63</f>
        <v>14.833538120226425</v>
      </c>
      <c r="AE10" s="23">
        <f>'Balance Sheet'!AE63</f>
        <v>14.840912623356338</v>
      </c>
      <c r="AF10" s="23">
        <f t="shared" si="9"/>
        <v>29.674450743582764</v>
      </c>
      <c r="AG10" s="23">
        <f>'Balance Sheet'!AG63</f>
        <v>14.847960425283025</v>
      </c>
      <c r="AH10" s="23">
        <f>'Balance Sheet'!AH63</f>
        <v>14.854695999344461</v>
      </c>
      <c r="AI10" s="23">
        <f t="shared" si="10"/>
        <v>29.702656424627484</v>
      </c>
    </row>
    <row r="11" spans="1:35" ht="12.9" hidden="1" customHeight="1" outlineLevel="1" x14ac:dyDescent="0.3">
      <c r="B11" s="16" t="s">
        <v>1045</v>
      </c>
      <c r="C11" s="66">
        <v>0</v>
      </c>
      <c r="D11" s="66">
        <v>0</v>
      </c>
      <c r="E11" s="66">
        <v>0</v>
      </c>
      <c r="F11" s="66">
        <v>0</v>
      </c>
      <c r="G11" s="66">
        <v>0</v>
      </c>
      <c r="H11" s="66">
        <v>0</v>
      </c>
      <c r="I11" s="66">
        <v>0</v>
      </c>
      <c r="J11" s="66">
        <v>0</v>
      </c>
      <c r="K11" s="66">
        <v>0</v>
      </c>
      <c r="L11" s="66">
        <v>0</v>
      </c>
      <c r="M11" s="66">
        <v>0</v>
      </c>
      <c r="N11" s="66">
        <v>0</v>
      </c>
      <c r="O11" s="66">
        <v>0</v>
      </c>
      <c r="P11" s="66">
        <v>0</v>
      </c>
      <c r="Q11" s="66">
        <v>0</v>
      </c>
      <c r="R11" s="66">
        <v>0</v>
      </c>
      <c r="S11" s="66">
        <v>0</v>
      </c>
      <c r="T11" s="66">
        <v>0</v>
      </c>
      <c r="U11" s="23">
        <f>'Balance Sheet'!T40-'Balance Sheet'!U40</f>
        <v>0</v>
      </c>
      <c r="V11" s="23">
        <f>'Balance Sheet'!U40-'Balance Sheet'!V40</f>
        <v>-3</v>
      </c>
      <c r="W11" s="23">
        <f t="shared" si="6"/>
        <v>-3</v>
      </c>
      <c r="X11" s="23">
        <f>'Balance Sheet'!W40-'Balance Sheet'!X40</f>
        <v>0</v>
      </c>
      <c r="Y11" s="23">
        <f>'Balance Sheet'!X40-'Balance Sheet'!Y40</f>
        <v>0</v>
      </c>
      <c r="Z11" s="23">
        <f t="shared" si="7"/>
        <v>0</v>
      </c>
      <c r="AA11" s="23">
        <f>'Balance Sheet'!Z40-'Balance Sheet'!AA40</f>
        <v>0</v>
      </c>
      <c r="AB11" s="23">
        <f>'Balance Sheet'!AA40-'Balance Sheet'!AB40</f>
        <v>0</v>
      </c>
      <c r="AC11" s="23">
        <f t="shared" si="8"/>
        <v>0</v>
      </c>
      <c r="AD11" s="23">
        <f>'Balance Sheet'!AC40-'Balance Sheet'!AD40</f>
        <v>0</v>
      </c>
      <c r="AE11" s="23">
        <f>'Balance Sheet'!AD40-'Balance Sheet'!AE40</f>
        <v>0</v>
      </c>
      <c r="AF11" s="23">
        <f t="shared" si="9"/>
        <v>0</v>
      </c>
      <c r="AG11" s="23">
        <f>'Balance Sheet'!AF40-'Balance Sheet'!AG40</f>
        <v>0</v>
      </c>
      <c r="AH11" s="23">
        <f>'Balance Sheet'!AG40-'Balance Sheet'!AH40</f>
        <v>0</v>
      </c>
      <c r="AI11" s="23">
        <f t="shared" si="10"/>
        <v>0</v>
      </c>
    </row>
    <row r="12" spans="1:35" ht="12.9" hidden="1" customHeight="1" outlineLevel="1" x14ac:dyDescent="0.3">
      <c r="B12" s="16" t="s">
        <v>1046</v>
      </c>
      <c r="C12" s="66">
        <v>0</v>
      </c>
      <c r="D12" s="66">
        <v>0</v>
      </c>
      <c r="E12" s="66">
        <v>0</v>
      </c>
      <c r="F12" s="66">
        <v>0</v>
      </c>
      <c r="G12" s="66">
        <v>0</v>
      </c>
      <c r="H12" s="66">
        <v>0</v>
      </c>
      <c r="I12" s="66">
        <v>0</v>
      </c>
      <c r="J12" s="66">
        <v>0</v>
      </c>
      <c r="K12" s="66">
        <v>0</v>
      </c>
      <c r="L12" s="66">
        <v>0</v>
      </c>
      <c r="M12" s="66">
        <v>0</v>
      </c>
      <c r="N12" s="66">
        <v>0</v>
      </c>
      <c r="O12" s="66">
        <v>0</v>
      </c>
      <c r="P12" s="66">
        <v>0</v>
      </c>
      <c r="Q12" s="66">
        <v>0</v>
      </c>
      <c r="R12" s="66">
        <v>0</v>
      </c>
      <c r="S12" s="66">
        <v>0</v>
      </c>
      <c r="T12" s="66">
        <v>0</v>
      </c>
      <c r="U12" s="23">
        <f>'Balance Sheet'!U15-'Balance Sheet'!T15</f>
        <v>0</v>
      </c>
      <c r="V12" s="23">
        <f>'Balance Sheet'!V15-'Balance Sheet'!U15</f>
        <v>0</v>
      </c>
      <c r="W12" s="23">
        <f t="shared" si="6"/>
        <v>0</v>
      </c>
      <c r="X12" s="23">
        <f>'Balance Sheet'!X15-'Balance Sheet'!W15</f>
        <v>0</v>
      </c>
      <c r="Y12" s="23">
        <f>'Balance Sheet'!Y15-'Balance Sheet'!X15</f>
        <v>0</v>
      </c>
      <c r="Z12" s="23">
        <f t="shared" si="7"/>
        <v>0</v>
      </c>
      <c r="AA12" s="23">
        <f>'Balance Sheet'!AA15-'Balance Sheet'!Z15</f>
        <v>0</v>
      </c>
      <c r="AB12" s="23">
        <f>'Balance Sheet'!AB15-'Balance Sheet'!AA15</f>
        <v>0</v>
      </c>
      <c r="AC12" s="23">
        <f t="shared" si="8"/>
        <v>0</v>
      </c>
      <c r="AD12" s="23">
        <f>'Balance Sheet'!AD15-'Balance Sheet'!AC15</f>
        <v>0</v>
      </c>
      <c r="AE12" s="23">
        <f>'Balance Sheet'!AE15-'Balance Sheet'!AD15</f>
        <v>0</v>
      </c>
      <c r="AF12" s="23">
        <f t="shared" si="9"/>
        <v>0</v>
      </c>
      <c r="AG12" s="23">
        <f>'Balance Sheet'!AG15-'Balance Sheet'!AF15</f>
        <v>0</v>
      </c>
      <c r="AH12" s="23">
        <f>'Balance Sheet'!AH15-'Balance Sheet'!AG15</f>
        <v>0</v>
      </c>
      <c r="AI12" s="23">
        <f t="shared" si="10"/>
        <v>0</v>
      </c>
    </row>
    <row r="13" spans="1:35" ht="12.9" hidden="1" customHeight="1" outlineLevel="1" x14ac:dyDescent="0.3">
      <c r="B13" s="16" t="s">
        <v>1047</v>
      </c>
      <c r="C13" s="66">
        <v>0</v>
      </c>
      <c r="D13" s="66">
        <v>0</v>
      </c>
      <c r="E13" s="66">
        <v>0</v>
      </c>
      <c r="F13" s="66">
        <v>0</v>
      </c>
      <c r="G13" s="66">
        <v>0</v>
      </c>
      <c r="H13" s="66">
        <v>0</v>
      </c>
      <c r="I13" s="66">
        <v>0</v>
      </c>
      <c r="J13" s="66">
        <v>0</v>
      </c>
      <c r="K13" s="66">
        <v>0</v>
      </c>
      <c r="L13" s="66">
        <v>0</v>
      </c>
      <c r="M13" s="66">
        <v>0</v>
      </c>
      <c r="N13" s="66">
        <v>0</v>
      </c>
      <c r="O13" s="66">
        <v>0</v>
      </c>
      <c r="P13" s="66">
        <v>0</v>
      </c>
      <c r="Q13" s="66">
        <v>0</v>
      </c>
      <c r="R13" s="66">
        <v>0</v>
      </c>
      <c r="S13" s="66">
        <v>0</v>
      </c>
      <c r="T13" s="66">
        <v>0</v>
      </c>
      <c r="U13" s="23">
        <f>'Balance Sheet'!U16-'Balance Sheet'!T16</f>
        <v>0</v>
      </c>
      <c r="V13" s="23">
        <f>'Balance Sheet'!V16-'Balance Sheet'!U16</f>
        <v>0</v>
      </c>
      <c r="W13" s="23">
        <f t="shared" si="6"/>
        <v>0</v>
      </c>
      <c r="X13" s="23">
        <f>'Balance Sheet'!X16-'Balance Sheet'!W16</f>
        <v>0</v>
      </c>
      <c r="Y13" s="23">
        <f>'Balance Sheet'!Y16-'Balance Sheet'!X16</f>
        <v>0</v>
      </c>
      <c r="Z13" s="23">
        <f t="shared" si="7"/>
        <v>0</v>
      </c>
      <c r="AA13" s="23">
        <f>'Balance Sheet'!AA16-'Balance Sheet'!Z16</f>
        <v>0</v>
      </c>
      <c r="AB13" s="23">
        <f>'Balance Sheet'!AB16-'Balance Sheet'!AA16</f>
        <v>0</v>
      </c>
      <c r="AC13" s="23">
        <f t="shared" si="8"/>
        <v>0</v>
      </c>
      <c r="AD13" s="23">
        <f>'Balance Sheet'!AD16-'Balance Sheet'!AC16</f>
        <v>0</v>
      </c>
      <c r="AE13" s="23">
        <f>'Balance Sheet'!AE16-'Balance Sheet'!AD16</f>
        <v>0</v>
      </c>
      <c r="AF13" s="23">
        <f t="shared" si="9"/>
        <v>0</v>
      </c>
      <c r="AG13" s="23">
        <f>'Balance Sheet'!AG16-'Balance Sheet'!AF16</f>
        <v>0</v>
      </c>
      <c r="AH13" s="23">
        <f>'Balance Sheet'!AH16-'Balance Sheet'!AG16</f>
        <v>0</v>
      </c>
      <c r="AI13" s="23">
        <f t="shared" si="10"/>
        <v>0</v>
      </c>
    </row>
    <row r="14" spans="1:35" ht="12.9" hidden="1" customHeight="1" outlineLevel="1" x14ac:dyDescent="0.3">
      <c r="B14" s="16" t="s">
        <v>12</v>
      </c>
      <c r="C14" s="66">
        <v>-0.83660000000000001</v>
      </c>
      <c r="D14" s="20">
        <f t="shared" si="0"/>
        <v>-1.1699999999999997</v>
      </c>
      <c r="E14" s="66">
        <v>-2.0065999999999997</v>
      </c>
      <c r="F14" s="66">
        <v>-0.89859999999999995</v>
      </c>
      <c r="G14" s="20">
        <f t="shared" si="1"/>
        <v>-2.7006000000000001</v>
      </c>
      <c r="H14" s="66">
        <v>-3.5992000000000002</v>
      </c>
      <c r="I14" s="66">
        <v>-0.61819999999999997</v>
      </c>
      <c r="J14" s="20">
        <f t="shared" si="2"/>
        <v>-0.33490000000000009</v>
      </c>
      <c r="K14" s="66">
        <v>-0.95310000000000006</v>
      </c>
      <c r="L14" s="66">
        <v>-8.9600000000000013E-2</v>
      </c>
      <c r="M14" s="20">
        <f t="shared" si="3"/>
        <v>-1.7545999999999999</v>
      </c>
      <c r="N14" s="66">
        <v>-1.8441999999999998</v>
      </c>
      <c r="O14" s="66">
        <v>-0.44939999999999997</v>
      </c>
      <c r="P14" s="20">
        <f t="shared" si="4"/>
        <v>-0.44060000000000005</v>
      </c>
      <c r="Q14" s="66">
        <v>-0.89</v>
      </c>
      <c r="R14" s="66">
        <v>-0.55359999999999998</v>
      </c>
      <c r="S14" s="20">
        <f t="shared" si="5"/>
        <v>-0.30910000000000004</v>
      </c>
      <c r="T14" s="66">
        <v>-0.86270000000000002</v>
      </c>
      <c r="U14" s="23"/>
      <c r="V14" s="23"/>
      <c r="W14" s="23">
        <f t="shared" si="6"/>
        <v>0</v>
      </c>
      <c r="X14" s="23"/>
      <c r="Y14" s="23"/>
      <c r="Z14" s="23">
        <f t="shared" si="7"/>
        <v>0</v>
      </c>
      <c r="AA14" s="23"/>
      <c r="AB14" s="23"/>
      <c r="AC14" s="23">
        <f t="shared" si="8"/>
        <v>0</v>
      </c>
      <c r="AD14" s="23"/>
      <c r="AE14" s="23"/>
      <c r="AF14" s="23">
        <f t="shared" si="9"/>
        <v>0</v>
      </c>
      <c r="AG14" s="23"/>
      <c r="AH14" s="23"/>
      <c r="AI14" s="23">
        <f t="shared" si="10"/>
        <v>0</v>
      </c>
    </row>
    <row r="15" spans="1:35" ht="12.9" hidden="1" customHeight="1" outlineLevel="1" x14ac:dyDescent="0.3">
      <c r="B15" s="16" t="s">
        <v>13</v>
      </c>
      <c r="C15" s="66">
        <v>-0.71079999999999999</v>
      </c>
      <c r="D15" s="20">
        <f t="shared" si="0"/>
        <v>0</v>
      </c>
      <c r="E15" s="66">
        <v>-0.71079999999999999</v>
      </c>
      <c r="F15" s="66">
        <v>0</v>
      </c>
      <c r="G15" s="20">
        <f t="shared" si="1"/>
        <v>0</v>
      </c>
      <c r="H15" s="66">
        <v>0</v>
      </c>
      <c r="I15" s="66">
        <v>0</v>
      </c>
      <c r="J15" s="20">
        <f t="shared" si="2"/>
        <v>0</v>
      </c>
      <c r="K15" s="66">
        <v>0</v>
      </c>
      <c r="L15" s="66">
        <v>0</v>
      </c>
      <c r="M15" s="20">
        <f t="shared" si="3"/>
        <v>-2.8948</v>
      </c>
      <c r="N15" s="66">
        <v>-2.8948</v>
      </c>
      <c r="O15" s="66">
        <v>-2.6097000000000001</v>
      </c>
      <c r="P15" s="20">
        <f t="shared" si="4"/>
        <v>0.7988000000000004</v>
      </c>
      <c r="Q15" s="66">
        <v>-1.8108999999999997</v>
      </c>
      <c r="R15" s="66">
        <v>-7.7699999999999991E-2</v>
      </c>
      <c r="S15" s="20">
        <f t="shared" si="5"/>
        <v>-4.3100000000000013E-2</v>
      </c>
      <c r="T15" s="66">
        <v>-0.1208</v>
      </c>
      <c r="W15" s="23">
        <f t="shared" si="6"/>
        <v>0</v>
      </c>
      <c r="Z15" s="23">
        <f t="shared" si="7"/>
        <v>0</v>
      </c>
      <c r="AC15" s="23">
        <f t="shared" si="8"/>
        <v>0</v>
      </c>
      <c r="AF15" s="23">
        <f t="shared" si="9"/>
        <v>0</v>
      </c>
      <c r="AI15" s="23">
        <f t="shared" si="10"/>
        <v>0</v>
      </c>
    </row>
    <row r="16" spans="1:35" ht="12.9" hidden="1" customHeight="1" outlineLevel="1" x14ac:dyDescent="0.3">
      <c r="B16" s="16" t="s">
        <v>14</v>
      </c>
      <c r="C16" s="66">
        <v>0</v>
      </c>
      <c r="D16" s="20">
        <f t="shared" si="0"/>
        <v>0</v>
      </c>
      <c r="E16" s="66">
        <v>0</v>
      </c>
      <c r="F16" s="66">
        <v>0</v>
      </c>
      <c r="G16" s="20">
        <f t="shared" si="1"/>
        <v>0</v>
      </c>
      <c r="H16" s="66">
        <v>0</v>
      </c>
      <c r="I16" s="66">
        <v>0</v>
      </c>
      <c r="J16" s="20">
        <f t="shared" si="2"/>
        <v>0</v>
      </c>
      <c r="K16" s="66">
        <v>0</v>
      </c>
      <c r="L16" s="66">
        <v>-1.4636000000000002</v>
      </c>
      <c r="M16" s="20">
        <f t="shared" si="3"/>
        <v>-0.18500000000000005</v>
      </c>
      <c r="N16" s="66">
        <v>-1.6486000000000003</v>
      </c>
      <c r="O16" s="66">
        <v>0.13980000000000001</v>
      </c>
      <c r="P16" s="20">
        <f t="shared" si="4"/>
        <v>-1.3357999999999999</v>
      </c>
      <c r="Q16" s="66">
        <v>-1.196</v>
      </c>
      <c r="R16" s="66">
        <v>0</v>
      </c>
      <c r="S16" s="20">
        <f t="shared" si="5"/>
        <v>0</v>
      </c>
      <c r="T16" s="66">
        <v>0</v>
      </c>
      <c r="W16" s="23">
        <f t="shared" si="6"/>
        <v>0</v>
      </c>
      <c r="Z16" s="23">
        <f t="shared" si="7"/>
        <v>0</v>
      </c>
      <c r="AC16" s="23">
        <f t="shared" si="8"/>
        <v>0</v>
      </c>
      <c r="AF16" s="23">
        <f t="shared" si="9"/>
        <v>0</v>
      </c>
      <c r="AI16" s="23">
        <f t="shared" si="10"/>
        <v>0</v>
      </c>
    </row>
    <row r="17" spans="2:35" ht="12.9" customHeight="1" collapsed="1" x14ac:dyDescent="0.3">
      <c r="B17" s="16" t="s">
        <v>15</v>
      </c>
      <c r="C17" s="66">
        <v>0.27079999999999999</v>
      </c>
      <c r="D17" s="20">
        <f t="shared" si="0"/>
        <v>7.3599999999999999E-2</v>
      </c>
      <c r="E17" s="66">
        <v>0.34439999999999998</v>
      </c>
      <c r="F17" s="66">
        <v>0.2223</v>
      </c>
      <c r="G17" s="20">
        <f t="shared" si="1"/>
        <v>0.80920000000000014</v>
      </c>
      <c r="H17" s="66">
        <v>1.0315000000000001</v>
      </c>
      <c r="I17" s="66">
        <v>0.59609999999999996</v>
      </c>
      <c r="J17" s="20">
        <f t="shared" si="2"/>
        <v>0.81220000000000014</v>
      </c>
      <c r="K17" s="66">
        <v>1.4083000000000001</v>
      </c>
      <c r="L17" s="66">
        <v>0.20670000000000002</v>
      </c>
      <c r="M17" s="20">
        <f t="shared" si="3"/>
        <v>1.9676999999999998</v>
      </c>
      <c r="N17" s="66">
        <v>2.1743999999999999</v>
      </c>
      <c r="O17" s="66">
        <v>1.9606000000000001</v>
      </c>
      <c r="P17" s="20">
        <f t="shared" si="4"/>
        <v>1.3782999999999996</v>
      </c>
      <c r="Q17" s="66">
        <v>3.3388999999999998</v>
      </c>
      <c r="R17" s="66">
        <v>2.9775999999999998</v>
      </c>
      <c r="S17" s="20">
        <f t="shared" si="5"/>
        <v>5.7206999999999999</v>
      </c>
      <c r="T17" s="66">
        <v>8.6982999999999997</v>
      </c>
      <c r="U17" s="23">
        <f>'Income Statement'!U31</f>
        <v>4.6958673480382176</v>
      </c>
      <c r="V17" s="23">
        <f>'Income Statement'!V31</f>
        <v>4.6113603360282349</v>
      </c>
      <c r="W17" s="23">
        <f t="shared" si="6"/>
        <v>9.3072276840664525</v>
      </c>
      <c r="X17" s="23">
        <f>'Income Statement'!X31</f>
        <v>4.4179525353455942</v>
      </c>
      <c r="Y17" s="23">
        <f>'Income Statement'!Y31</f>
        <v>4.200150958000278</v>
      </c>
      <c r="Z17" s="23">
        <f t="shared" si="7"/>
        <v>8.6181034933458722</v>
      </c>
      <c r="AA17" s="23">
        <f>'Income Statement'!AA31</f>
        <v>3.9823493806549624</v>
      </c>
      <c r="AB17" s="23">
        <f>'Income Statement'!AB31</f>
        <v>3.7645478033096462</v>
      </c>
      <c r="AC17" s="23">
        <f t="shared" si="8"/>
        <v>7.7468971839646086</v>
      </c>
      <c r="AD17" s="23">
        <f>'Income Statement'!AD31</f>
        <v>3.5467462259643301</v>
      </c>
      <c r="AE17" s="23">
        <f>'Income Statement'!AE31</f>
        <v>3.3289446486190144</v>
      </c>
      <c r="AF17" s="23">
        <f t="shared" si="9"/>
        <v>6.8756908745833449</v>
      </c>
      <c r="AG17" s="23">
        <f>'Income Statement'!AG31</f>
        <v>3.1111430712736983</v>
      </c>
      <c r="AH17" s="23">
        <f>'Income Statement'!AH31</f>
        <v>2.8933414939283821</v>
      </c>
      <c r="AI17" s="23">
        <f t="shared" si="10"/>
        <v>6.0044845652020804</v>
      </c>
    </row>
    <row r="18" spans="2:35" ht="12.9" hidden="1" customHeight="1" outlineLevel="1" x14ac:dyDescent="0.3">
      <c r="B18" s="16" t="s">
        <v>16</v>
      </c>
      <c r="C18" s="66">
        <v>1.4253</v>
      </c>
      <c r="D18" s="20">
        <f t="shared" si="0"/>
        <v>0.26</v>
      </c>
      <c r="E18" s="66">
        <v>1.6853</v>
      </c>
      <c r="F18" s="66">
        <v>1.1071</v>
      </c>
      <c r="G18" s="20">
        <f t="shared" si="1"/>
        <v>0.78779999999999983</v>
      </c>
      <c r="H18" s="66">
        <v>1.8948999999999998</v>
      </c>
      <c r="I18" s="66">
        <v>-1.0368000000000002</v>
      </c>
      <c r="J18" s="20">
        <f t="shared" si="2"/>
        <v>0.82420000000000015</v>
      </c>
      <c r="K18" s="66">
        <v>-0.21260000000000001</v>
      </c>
      <c r="L18" s="66">
        <v>-0.1986</v>
      </c>
      <c r="M18" s="20">
        <f t="shared" si="3"/>
        <v>2.7423999999999999</v>
      </c>
      <c r="N18" s="66">
        <v>2.5438000000000001</v>
      </c>
      <c r="O18" s="66">
        <v>-0.1268</v>
      </c>
      <c r="P18" s="20">
        <f t="shared" si="4"/>
        <v>0.14219999999999999</v>
      </c>
      <c r="Q18" s="66">
        <v>1.5399999999999997E-2</v>
      </c>
      <c r="R18" s="66">
        <v>0.65900000000000003</v>
      </c>
      <c r="S18" s="20">
        <f t="shared" si="5"/>
        <v>0.25929999999999997</v>
      </c>
      <c r="T18" s="66">
        <v>0.91830000000000001</v>
      </c>
      <c r="W18" s="23">
        <f t="shared" si="6"/>
        <v>0</v>
      </c>
      <c r="Z18" s="23">
        <f t="shared" si="7"/>
        <v>0</v>
      </c>
      <c r="AC18" s="23">
        <f t="shared" si="8"/>
        <v>0</v>
      </c>
      <c r="AF18" s="23">
        <f t="shared" si="9"/>
        <v>0</v>
      </c>
      <c r="AI18" s="23">
        <f t="shared" si="10"/>
        <v>0</v>
      </c>
    </row>
    <row r="19" spans="2:35" ht="12.9" hidden="1" customHeight="1" outlineLevel="1" x14ac:dyDescent="0.3">
      <c r="B19" s="16" t="s">
        <v>957</v>
      </c>
      <c r="C19" s="66"/>
      <c r="D19" s="20"/>
      <c r="E19" s="66"/>
      <c r="F19" s="66"/>
      <c r="G19" s="20"/>
      <c r="H19" s="66"/>
      <c r="I19" s="66"/>
      <c r="J19" s="20"/>
      <c r="K19" s="66"/>
      <c r="L19" s="66"/>
      <c r="M19" s="20"/>
      <c r="N19" s="66"/>
      <c r="O19" s="66"/>
      <c r="P19" s="20"/>
      <c r="Q19" s="66"/>
      <c r="R19" s="66"/>
      <c r="S19" s="20"/>
      <c r="T19" s="66">
        <v>-8.5000000000000006E-3</v>
      </c>
      <c r="W19" s="23"/>
      <c r="Z19" s="23"/>
      <c r="AC19" s="23"/>
      <c r="AF19" s="23"/>
      <c r="AI19" s="23"/>
    </row>
    <row r="20" spans="2:35" ht="12.9" hidden="1" customHeight="1" outlineLevel="1" x14ac:dyDescent="0.3">
      <c r="B20" s="16" t="s">
        <v>55</v>
      </c>
      <c r="C20" s="66">
        <v>0</v>
      </c>
      <c r="D20" s="20">
        <f t="shared" si="0"/>
        <v>0.35499999999999998</v>
      </c>
      <c r="E20" s="66">
        <v>0.35499999999999998</v>
      </c>
      <c r="F20" s="66">
        <v>0</v>
      </c>
      <c r="G20" s="20">
        <f t="shared" si="1"/>
        <v>0</v>
      </c>
      <c r="H20" s="66">
        <v>0</v>
      </c>
      <c r="I20" s="66">
        <v>2.87E-2</v>
      </c>
      <c r="J20" s="20">
        <f t="shared" si="2"/>
        <v>4.8399999999999999E-2</v>
      </c>
      <c r="K20" s="66">
        <v>7.7100000000000002E-2</v>
      </c>
      <c r="L20" s="66">
        <v>0</v>
      </c>
      <c r="M20" s="20">
        <f t="shared" si="3"/>
        <v>0</v>
      </c>
      <c r="N20" s="66">
        <v>0</v>
      </c>
      <c r="O20" s="66">
        <v>0</v>
      </c>
      <c r="P20" s="20">
        <f t="shared" si="4"/>
        <v>0</v>
      </c>
      <c r="Q20" s="66">
        <v>0</v>
      </c>
      <c r="R20" s="66">
        <v>0</v>
      </c>
      <c r="S20" s="20">
        <f t="shared" si="5"/>
        <v>0</v>
      </c>
      <c r="T20" s="66">
        <v>0</v>
      </c>
      <c r="W20" s="23">
        <f t="shared" si="6"/>
        <v>0</v>
      </c>
      <c r="Z20" s="23">
        <f t="shared" si="7"/>
        <v>0</v>
      </c>
      <c r="AC20" s="23">
        <f t="shared" si="8"/>
        <v>0</v>
      </c>
      <c r="AF20" s="23">
        <f t="shared" si="9"/>
        <v>0</v>
      </c>
      <c r="AI20" s="23">
        <f t="shared" si="10"/>
        <v>0</v>
      </c>
    </row>
    <row r="21" spans="2:35" ht="12.9" hidden="1" customHeight="1" outlineLevel="1" x14ac:dyDescent="0.3">
      <c r="B21" s="16" t="s">
        <v>58</v>
      </c>
      <c r="C21" s="66">
        <v>3.39E-2</v>
      </c>
      <c r="D21" s="20">
        <f t="shared" si="0"/>
        <v>0</v>
      </c>
      <c r="E21" s="66">
        <v>3.39E-2</v>
      </c>
      <c r="F21" s="66">
        <v>0</v>
      </c>
      <c r="G21" s="20">
        <f t="shared" si="1"/>
        <v>0</v>
      </c>
      <c r="H21" s="66">
        <v>0</v>
      </c>
      <c r="I21" s="66">
        <v>0</v>
      </c>
      <c r="J21" s="20">
        <f t="shared" si="2"/>
        <v>0</v>
      </c>
      <c r="K21" s="66">
        <v>0</v>
      </c>
      <c r="L21" s="66">
        <v>0</v>
      </c>
      <c r="M21" s="20">
        <f t="shared" si="3"/>
        <v>0</v>
      </c>
      <c r="N21" s="66">
        <v>0</v>
      </c>
      <c r="O21" s="66">
        <v>0</v>
      </c>
      <c r="P21" s="20">
        <f t="shared" si="4"/>
        <v>2.1400000000000002E-2</v>
      </c>
      <c r="Q21" s="66">
        <v>2.1400000000000002E-2</v>
      </c>
      <c r="R21" s="66">
        <v>0</v>
      </c>
      <c r="S21" s="20">
        <f t="shared" si="5"/>
        <v>0</v>
      </c>
      <c r="T21" s="66">
        <v>0</v>
      </c>
      <c r="W21" s="23">
        <f t="shared" si="6"/>
        <v>0</v>
      </c>
      <c r="Z21" s="23">
        <f t="shared" si="7"/>
        <v>0</v>
      </c>
      <c r="AC21" s="23">
        <f t="shared" si="8"/>
        <v>0</v>
      </c>
      <c r="AF21" s="23">
        <f t="shared" si="9"/>
        <v>0</v>
      </c>
      <c r="AI21" s="23">
        <f t="shared" si="10"/>
        <v>0</v>
      </c>
    </row>
    <row r="22" spans="2:35" ht="12.9" hidden="1" customHeight="1" outlineLevel="1" x14ac:dyDescent="0.3">
      <c r="B22" s="16" t="s">
        <v>17</v>
      </c>
      <c r="C22" s="66">
        <v>0</v>
      </c>
      <c r="D22" s="20">
        <f t="shared" si="0"/>
        <v>-0.79120000000000001</v>
      </c>
      <c r="E22" s="66">
        <v>-0.79120000000000001</v>
      </c>
      <c r="F22" s="66">
        <v>2.8999999999999998E-3</v>
      </c>
      <c r="G22" s="20">
        <f t="shared" si="1"/>
        <v>-7.4400000000000008E-2</v>
      </c>
      <c r="H22" s="66">
        <v>-7.1500000000000008E-2</v>
      </c>
      <c r="I22" s="66">
        <v>0</v>
      </c>
      <c r="J22" s="20">
        <f t="shared" si="2"/>
        <v>-7.6399999999999996E-2</v>
      </c>
      <c r="K22" s="66">
        <v>-7.6399999999999996E-2</v>
      </c>
      <c r="L22" s="66">
        <v>0</v>
      </c>
      <c r="M22" s="20">
        <f t="shared" si="3"/>
        <v>0.23860000000000001</v>
      </c>
      <c r="N22" s="66">
        <v>0.23860000000000001</v>
      </c>
      <c r="O22" s="66">
        <v>1.6E-2</v>
      </c>
      <c r="P22" s="20">
        <f t="shared" si="4"/>
        <v>-1.77E-2</v>
      </c>
      <c r="Q22" s="66">
        <v>-1.7000000000000001E-3</v>
      </c>
      <c r="R22" s="66">
        <v>5.9999999999999995E-4</v>
      </c>
      <c r="S22" s="20">
        <f t="shared" si="5"/>
        <v>3.0499999999999999E-2</v>
      </c>
      <c r="T22" s="66">
        <v>3.1099999999999999E-2</v>
      </c>
      <c r="W22" s="23">
        <f t="shared" si="6"/>
        <v>0</v>
      </c>
      <c r="Z22" s="23">
        <f t="shared" si="7"/>
        <v>0</v>
      </c>
      <c r="AC22" s="23">
        <f t="shared" si="8"/>
        <v>0</v>
      </c>
      <c r="AF22" s="23">
        <f t="shared" si="9"/>
        <v>0</v>
      </c>
      <c r="AI22" s="23">
        <f t="shared" si="10"/>
        <v>0</v>
      </c>
    </row>
    <row r="23" spans="2:35" ht="12.9" hidden="1" customHeight="1" outlineLevel="1" x14ac:dyDescent="0.3">
      <c r="B23" s="16" t="s">
        <v>18</v>
      </c>
      <c r="C23" s="66">
        <v>5.57E-2</v>
      </c>
      <c r="D23" s="20">
        <f t="shared" si="0"/>
        <v>7.9999999999999932E-3</v>
      </c>
      <c r="E23" s="66">
        <v>6.3699999999999993E-2</v>
      </c>
      <c r="F23" s="66">
        <v>-6.8999999999999999E-3</v>
      </c>
      <c r="G23" s="20">
        <f t="shared" si="1"/>
        <v>-1.1800000000000001E-2</v>
      </c>
      <c r="H23" s="66">
        <v>-1.8700000000000001E-2</v>
      </c>
      <c r="I23" s="66">
        <v>2.35E-2</v>
      </c>
      <c r="J23" s="20">
        <f t="shared" si="2"/>
        <v>1.4800000000000001E-2</v>
      </c>
      <c r="K23" s="66">
        <v>3.8300000000000001E-2</v>
      </c>
      <c r="L23" s="66">
        <v>-6.8499999999999991E-2</v>
      </c>
      <c r="M23" s="20">
        <f t="shared" si="3"/>
        <v>-5.4300000000000001E-2</v>
      </c>
      <c r="N23" s="66">
        <v>-0.12279999999999999</v>
      </c>
      <c r="O23" s="66">
        <v>-0.36649999999999999</v>
      </c>
      <c r="P23" s="20">
        <f t="shared" si="4"/>
        <v>-1.8100000000000005E-2</v>
      </c>
      <c r="Q23" s="66">
        <v>-0.3846</v>
      </c>
      <c r="R23" s="66">
        <v>1.24E-2</v>
      </c>
      <c r="S23" s="20">
        <f t="shared" si="5"/>
        <v>2.4599999999999997E-2</v>
      </c>
      <c r="T23" s="66">
        <v>3.6999999999999998E-2</v>
      </c>
      <c r="W23" s="23">
        <f t="shared" si="6"/>
        <v>0</v>
      </c>
      <c r="Z23" s="23">
        <f t="shared" si="7"/>
        <v>0</v>
      </c>
      <c r="AC23" s="23">
        <f t="shared" si="8"/>
        <v>0</v>
      </c>
      <c r="AF23" s="23">
        <f t="shared" si="9"/>
        <v>0</v>
      </c>
      <c r="AI23" s="23">
        <f t="shared" si="10"/>
        <v>0</v>
      </c>
    </row>
    <row r="24" spans="2:35" ht="12.9" hidden="1" customHeight="1" outlineLevel="1" x14ac:dyDescent="0.3">
      <c r="B24" s="16" t="s">
        <v>54</v>
      </c>
      <c r="C24" s="66">
        <v>0</v>
      </c>
      <c r="D24" s="20">
        <f t="shared" si="0"/>
        <v>0</v>
      </c>
      <c r="E24" s="66">
        <v>0</v>
      </c>
      <c r="F24" s="66">
        <v>0</v>
      </c>
      <c r="G24" s="20">
        <f t="shared" si="1"/>
        <v>0</v>
      </c>
      <c r="H24" s="66">
        <v>0</v>
      </c>
      <c r="I24" s="66">
        <v>0</v>
      </c>
      <c r="J24" s="20">
        <f t="shared" si="2"/>
        <v>-0.29220000000000002</v>
      </c>
      <c r="K24" s="66">
        <v>-0.29220000000000002</v>
      </c>
      <c r="L24" s="66">
        <v>0</v>
      </c>
      <c r="M24" s="20">
        <f t="shared" si="3"/>
        <v>-1.095</v>
      </c>
      <c r="N24" s="66">
        <v>-1.095</v>
      </c>
      <c r="O24" s="66">
        <v>0</v>
      </c>
      <c r="P24" s="20">
        <f t="shared" si="4"/>
        <v>-9.1199999999999989E-2</v>
      </c>
      <c r="Q24" s="66">
        <v>-9.1199999999999989E-2</v>
      </c>
      <c r="R24" s="66">
        <v>0</v>
      </c>
      <c r="S24" s="20">
        <f t="shared" si="5"/>
        <v>-6.4154</v>
      </c>
      <c r="T24" s="66">
        <v>-6.4154</v>
      </c>
      <c r="W24" s="23">
        <f t="shared" si="6"/>
        <v>0</v>
      </c>
      <c r="Z24" s="23">
        <f t="shared" si="7"/>
        <v>0</v>
      </c>
      <c r="AC24" s="23">
        <f t="shared" si="8"/>
        <v>0</v>
      </c>
      <c r="AF24" s="23">
        <f t="shared" si="9"/>
        <v>0</v>
      </c>
      <c r="AI24" s="23">
        <f t="shared" si="10"/>
        <v>0</v>
      </c>
    </row>
    <row r="25" spans="2:35" ht="12.9" hidden="1" customHeight="1" outlineLevel="1" x14ac:dyDescent="0.3">
      <c r="B25" s="16" t="s">
        <v>19</v>
      </c>
      <c r="C25" s="66">
        <v>0</v>
      </c>
      <c r="D25" s="20">
        <f t="shared" si="0"/>
        <v>0</v>
      </c>
      <c r="E25" s="66">
        <v>0</v>
      </c>
      <c r="F25" s="66">
        <v>0</v>
      </c>
      <c r="G25" s="20">
        <f t="shared" si="1"/>
        <v>0</v>
      </c>
      <c r="H25" s="66">
        <v>0</v>
      </c>
      <c r="I25" s="66">
        <v>0</v>
      </c>
      <c r="J25" s="20">
        <f t="shared" si="2"/>
        <v>0</v>
      </c>
      <c r="K25" s="66">
        <v>0</v>
      </c>
      <c r="L25" s="66">
        <v>0</v>
      </c>
      <c r="M25" s="20">
        <f t="shared" si="3"/>
        <v>2</v>
      </c>
      <c r="N25" s="66">
        <v>2</v>
      </c>
      <c r="O25" s="66">
        <v>0</v>
      </c>
      <c r="P25" s="20">
        <f t="shared" si="4"/>
        <v>0.5</v>
      </c>
      <c r="Q25" s="66">
        <v>0.5</v>
      </c>
      <c r="R25" s="66">
        <v>1</v>
      </c>
      <c r="S25" s="20">
        <f t="shared" si="5"/>
        <v>-1</v>
      </c>
      <c r="T25" s="66">
        <v>0</v>
      </c>
      <c r="W25" s="23">
        <f t="shared" si="6"/>
        <v>0</v>
      </c>
      <c r="Z25" s="23">
        <f t="shared" si="7"/>
        <v>0</v>
      </c>
      <c r="AC25" s="23">
        <f t="shared" si="8"/>
        <v>0</v>
      </c>
      <c r="AF25" s="23">
        <f t="shared" si="9"/>
        <v>0</v>
      </c>
      <c r="AI25" s="23">
        <f t="shared" si="10"/>
        <v>0</v>
      </c>
    </row>
    <row r="26" spans="2:35" ht="12.9" hidden="1" customHeight="1" outlineLevel="1" x14ac:dyDescent="0.3">
      <c r="B26" s="16" t="s">
        <v>958</v>
      </c>
      <c r="C26" s="66"/>
      <c r="D26" s="20"/>
      <c r="E26" s="66"/>
      <c r="F26" s="66"/>
      <c r="G26" s="20"/>
      <c r="H26" s="66"/>
      <c r="I26" s="66"/>
      <c r="J26" s="20"/>
      <c r="K26" s="66"/>
      <c r="L26" s="66"/>
      <c r="M26" s="20"/>
      <c r="N26" s="66"/>
      <c r="O26" s="66"/>
      <c r="P26" s="20"/>
      <c r="Q26" s="66"/>
      <c r="R26" s="66"/>
      <c r="S26" s="20"/>
      <c r="T26" s="66">
        <v>-0.48859999999999998</v>
      </c>
      <c r="W26" s="23"/>
      <c r="Z26" s="23"/>
      <c r="AC26" s="23"/>
      <c r="AF26" s="23"/>
      <c r="AI26" s="23"/>
    </row>
    <row r="27" spans="2:35" ht="12.9" hidden="1" customHeight="1" outlineLevel="1" x14ac:dyDescent="0.3">
      <c r="B27" s="16" t="s">
        <v>20</v>
      </c>
      <c r="C27" s="66">
        <v>0.22329999999999997</v>
      </c>
      <c r="D27" s="20">
        <f t="shared" si="0"/>
        <v>0.22219999999999998</v>
      </c>
      <c r="E27" s="66">
        <v>0.44549999999999995</v>
      </c>
      <c r="F27" s="66">
        <v>0.14219999999999999</v>
      </c>
      <c r="G27" s="20">
        <f t="shared" si="1"/>
        <v>0.247</v>
      </c>
      <c r="H27" s="66">
        <v>0.38919999999999999</v>
      </c>
      <c r="I27" s="66">
        <v>0.2263</v>
      </c>
      <c r="J27" s="20">
        <f t="shared" si="2"/>
        <v>0.20500000000000002</v>
      </c>
      <c r="K27" s="66">
        <v>0.43130000000000002</v>
      </c>
      <c r="L27" s="66">
        <v>0.65670000000000006</v>
      </c>
      <c r="M27" s="20">
        <f t="shared" si="3"/>
        <v>0.80790000000000006</v>
      </c>
      <c r="N27" s="66">
        <v>1.4646000000000001</v>
      </c>
      <c r="O27" s="66">
        <v>1.3977999999999999</v>
      </c>
      <c r="P27" s="20">
        <f t="shared" si="4"/>
        <v>1.4145000000000001</v>
      </c>
      <c r="Q27" s="66">
        <v>2.8123</v>
      </c>
      <c r="R27" s="66">
        <v>1.7697000000000001</v>
      </c>
      <c r="S27" s="20">
        <f t="shared" si="5"/>
        <v>1.9033999999999998</v>
      </c>
      <c r="T27" s="66">
        <v>3.6730999999999998</v>
      </c>
      <c r="W27" s="23">
        <f t="shared" si="6"/>
        <v>0</v>
      </c>
      <c r="Z27" s="23">
        <f t="shared" si="7"/>
        <v>0</v>
      </c>
      <c r="AC27" s="23">
        <f t="shared" si="8"/>
        <v>0</v>
      </c>
      <c r="AF27" s="23">
        <f t="shared" si="9"/>
        <v>0</v>
      </c>
      <c r="AI27" s="23">
        <f t="shared" si="10"/>
        <v>0</v>
      </c>
    </row>
    <row r="28" spans="2:35" ht="12.9" customHeight="1" collapsed="1" x14ac:dyDescent="0.3">
      <c r="B28" s="16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</row>
    <row r="29" spans="2:35" ht="12.9" customHeight="1" x14ac:dyDescent="0.3">
      <c r="B29" s="13" t="s">
        <v>21</v>
      </c>
      <c r="C29" s="98">
        <f t="shared" ref="C29:R29" si="11">SUM(C8:C28)</f>
        <v>28.274900000000002</v>
      </c>
      <c r="D29" s="98">
        <f t="shared" si="11"/>
        <v>43.115199999999987</v>
      </c>
      <c r="E29" s="98">
        <f t="shared" si="11"/>
        <v>71.390099999999975</v>
      </c>
      <c r="F29" s="98">
        <f t="shared" si="11"/>
        <v>36.508099999999992</v>
      </c>
      <c r="G29" s="98">
        <f t="shared" si="11"/>
        <v>35.832500000000003</v>
      </c>
      <c r="H29" s="98">
        <f t="shared" si="11"/>
        <v>72.340600000000023</v>
      </c>
      <c r="I29" s="98">
        <f t="shared" si="11"/>
        <v>29.128599999999999</v>
      </c>
      <c r="J29" s="98">
        <f t="shared" si="11"/>
        <v>53.830799999999989</v>
      </c>
      <c r="K29" s="98">
        <f t="shared" si="11"/>
        <v>82.959399999999988</v>
      </c>
      <c r="L29" s="98">
        <f t="shared" si="11"/>
        <v>60.258600000000001</v>
      </c>
      <c r="M29" s="98">
        <f t="shared" si="11"/>
        <v>74.197300000000013</v>
      </c>
      <c r="N29" s="98">
        <f t="shared" si="11"/>
        <v>134.45589999999999</v>
      </c>
      <c r="O29" s="98">
        <f t="shared" si="11"/>
        <v>78.334399999999988</v>
      </c>
      <c r="P29" s="98">
        <f t="shared" si="11"/>
        <v>90.99839999999999</v>
      </c>
      <c r="Q29" s="98">
        <f t="shared" si="11"/>
        <v>169.33280000000002</v>
      </c>
      <c r="R29" s="98">
        <f t="shared" si="11"/>
        <v>97.329400000000007</v>
      </c>
      <c r="S29" s="98">
        <f t="shared" ref="S29:T29" si="12">SUM(S8:S28)</f>
        <v>75.771000000000001</v>
      </c>
      <c r="T29" s="98">
        <f t="shared" si="12"/>
        <v>172.60330000000002</v>
      </c>
      <c r="U29" s="98">
        <f>SUM(U8:U28)</f>
        <v>92.799476556591245</v>
      </c>
      <c r="V29" s="98">
        <f t="shared" ref="V29" si="13">SUM(V8:V28)</f>
        <v>97.516362513981377</v>
      </c>
      <c r="W29" s="98">
        <f t="shared" ref="W29" si="14">SUM(W8:W28)</f>
        <v>190.31583907057262</v>
      </c>
      <c r="X29" s="98">
        <f t="shared" ref="X29:AI29" si="15">SUM(X8:X28)</f>
        <v>114.6694389655304</v>
      </c>
      <c r="Y29" s="98">
        <f t="shared" si="15"/>
        <v>117.62037836691967</v>
      </c>
      <c r="Z29" s="98">
        <f t="shared" si="15"/>
        <v>232.28981733245007</v>
      </c>
      <c r="AA29" s="98">
        <f t="shared" si="15"/>
        <v>130.07574393098514</v>
      </c>
      <c r="AB29" s="98">
        <f t="shared" si="15"/>
        <v>142.01936733178962</v>
      </c>
      <c r="AC29" s="98">
        <f t="shared" si="15"/>
        <v>272.09511126277482</v>
      </c>
      <c r="AD29" s="98">
        <f t="shared" si="15"/>
        <v>162.20664715966481</v>
      </c>
      <c r="AE29" s="98">
        <f t="shared" si="15"/>
        <v>166.82893302875158</v>
      </c>
      <c r="AF29" s="98">
        <f t="shared" si="15"/>
        <v>329.03558018841642</v>
      </c>
      <c r="AG29" s="98">
        <f t="shared" si="15"/>
        <v>194.62751346538866</v>
      </c>
      <c r="AH29" s="98">
        <f t="shared" si="15"/>
        <v>205.07864888509798</v>
      </c>
      <c r="AI29" s="98">
        <f t="shared" si="15"/>
        <v>399.70616235048664</v>
      </c>
    </row>
    <row r="30" spans="2:35" ht="12.9" customHeight="1" x14ac:dyDescent="0.3">
      <c r="B30" s="13" t="s">
        <v>22</v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</row>
    <row r="31" spans="2:35" ht="12.9" customHeight="1" x14ac:dyDescent="0.3">
      <c r="B31" s="16" t="s">
        <v>23</v>
      </c>
      <c r="C31" s="66">
        <v>21.005300000000002</v>
      </c>
      <c r="D31" s="20">
        <f t="shared" ref="D31:D38" si="16">E31-C31</f>
        <v>18.396199999999997</v>
      </c>
      <c r="E31" s="66">
        <v>39.401499999999999</v>
      </c>
      <c r="F31" s="66">
        <v>2.3306</v>
      </c>
      <c r="G31" s="20">
        <f t="shared" ref="G31:G38" si="17">H31-F31</f>
        <v>-25.747299999999999</v>
      </c>
      <c r="H31" s="66">
        <v>-23.416699999999999</v>
      </c>
      <c r="I31" s="66">
        <v>-25.634599999999999</v>
      </c>
      <c r="J31" s="20">
        <f t="shared" ref="J31:J38" si="18">K31-I31</f>
        <v>-11.0869</v>
      </c>
      <c r="K31" s="66">
        <v>-36.721499999999999</v>
      </c>
      <c r="L31" s="66">
        <v>7.9554999999999998</v>
      </c>
      <c r="M31" s="20">
        <f t="shared" ref="M31:M38" si="19">N31-L31</f>
        <v>-46.321599999999997</v>
      </c>
      <c r="N31" s="66">
        <v>-38.366099999999996</v>
      </c>
      <c r="O31" s="66">
        <v>-9.0219000000000005</v>
      </c>
      <c r="P31" s="20">
        <f t="shared" ref="P31:P38" si="20">Q31-O31</f>
        <v>32.3919</v>
      </c>
      <c r="Q31" s="66">
        <v>23.369999999999997</v>
      </c>
      <c r="R31" s="66">
        <v>-1.0137</v>
      </c>
      <c r="S31" s="20">
        <f t="shared" ref="S31:S38" si="21">T31-R31</f>
        <v>47.558199999999999</v>
      </c>
      <c r="T31" s="66">
        <v>46.544499999999999</v>
      </c>
      <c r="U31" s="23">
        <f>'Balance Sheet'!T45-'Balance Sheet'!U45</f>
        <v>-3.8272750691385937</v>
      </c>
      <c r="V31" s="23">
        <f>'Balance Sheet'!U45-'Balance Sheet'!V45</f>
        <v>-5.7047634333708857</v>
      </c>
      <c r="W31" s="23">
        <f t="shared" ref="W31:W38" si="22">U31+V31</f>
        <v>-9.5320385025094794</v>
      </c>
      <c r="X31" s="23">
        <f>'Balance Sheet'!W45-'Balance Sheet'!X45</f>
        <v>-9.6221755424972031</v>
      </c>
      <c r="Y31" s="23">
        <f>'Balance Sheet'!X45-'Balance Sheet'!Y45</f>
        <v>-9.6815184073235514</v>
      </c>
      <c r="Z31" s="23">
        <f>SUM(X31:Y31)</f>
        <v>-19.303693949820754</v>
      </c>
      <c r="AA31" s="23">
        <f>'Balance Sheet'!Z45-'Balance Sheet'!AA45</f>
        <v>-5.3472284576954507</v>
      </c>
      <c r="AB31" s="23">
        <f>'Balance Sheet'!AA45-'Balance Sheet'!AB45</f>
        <v>-13.473900947005944</v>
      </c>
      <c r="AC31" s="23">
        <f>SUM(AA31:AB31)</f>
        <v>-18.821129404701395</v>
      </c>
      <c r="AD31" s="23">
        <f>'Balance Sheet'!AC45-'Balance Sheet'!AD45</f>
        <v>-7.2079851632348664</v>
      </c>
      <c r="AE31" s="23">
        <f>'Balance Sheet'!AD45-'Balance Sheet'!AE45</f>
        <v>-10.174750985839864</v>
      </c>
      <c r="AF31" s="23">
        <f>SUM(AD31:AE31)</f>
        <v>-17.382736149074731</v>
      </c>
      <c r="AG31" s="23">
        <f>'Balance Sheet'!AF45-'Balance Sheet'!AG45</f>
        <v>-5.3224883683642474</v>
      </c>
      <c r="AH31" s="23">
        <f>'Balance Sheet'!AG45-'Balance Sheet'!AH45</f>
        <v>-15.359437353986664</v>
      </c>
      <c r="AI31" s="23">
        <f>SUM(AG31:AH31)</f>
        <v>-20.681925722350911</v>
      </c>
    </row>
    <row r="32" spans="2:35" ht="12.9" customHeight="1" x14ac:dyDescent="0.3">
      <c r="B32" s="16" t="s">
        <v>24</v>
      </c>
      <c r="C32" s="66">
        <v>-12.5228</v>
      </c>
      <c r="D32" s="20">
        <f t="shared" si="16"/>
        <v>-34.869900000000001</v>
      </c>
      <c r="E32" s="66">
        <v>-47.392700000000005</v>
      </c>
      <c r="F32" s="66">
        <v>-3.2582999999999998</v>
      </c>
      <c r="G32" s="20">
        <f t="shared" si="17"/>
        <v>-13.281899999999998</v>
      </c>
      <c r="H32" s="66">
        <v>-16.540199999999999</v>
      </c>
      <c r="I32" s="66">
        <v>48.462499999999999</v>
      </c>
      <c r="J32" s="20">
        <f t="shared" si="18"/>
        <v>-71.780500000000004</v>
      </c>
      <c r="K32" s="66">
        <v>-23.318000000000005</v>
      </c>
      <c r="L32" s="66">
        <v>21.457100000000001</v>
      </c>
      <c r="M32" s="20">
        <f t="shared" si="19"/>
        <v>-1.6717000000000013</v>
      </c>
      <c r="N32" s="66">
        <v>19.785399999999999</v>
      </c>
      <c r="O32" s="66">
        <v>-84.034500000000008</v>
      </c>
      <c r="P32" s="20">
        <f t="shared" si="20"/>
        <v>-54.822499999999991</v>
      </c>
      <c r="Q32" s="66">
        <v>-138.857</v>
      </c>
      <c r="R32" s="66">
        <v>-67.441999999999993</v>
      </c>
      <c r="S32" s="20">
        <f t="shared" si="21"/>
        <v>-59.341500000000011</v>
      </c>
      <c r="T32" s="66">
        <v>-126.7835</v>
      </c>
      <c r="U32" s="23">
        <f>'Balance Sheet'!T48-'Balance Sheet'!U48</f>
        <v>32.031776165113172</v>
      </c>
      <c r="V32" s="23">
        <f>'Balance Sheet'!U48-'Balance Sheet'!V48</f>
        <v>-23.384126316426602</v>
      </c>
      <c r="W32" s="23">
        <f t="shared" si="22"/>
        <v>8.6476498486865694</v>
      </c>
      <c r="X32" s="23">
        <f>'Balance Sheet'!W48-'Balance Sheet'!X48</f>
        <v>37.21682408647797</v>
      </c>
      <c r="Y32" s="23">
        <f>'Balance Sheet'!X48-'Balance Sheet'!Y48</f>
        <v>-29.88122965223323</v>
      </c>
      <c r="Z32" s="23">
        <f>'Balance Sheet'!W48-'Balance Sheet'!Z48</f>
        <v>7.3355944342447401</v>
      </c>
      <c r="AA32" s="23">
        <f>'Balance Sheet'!Z48-'Balance Sheet'!AA48</f>
        <v>28.164842725734502</v>
      </c>
      <c r="AB32" s="23">
        <f>'Balance Sheet'!AA48-'Balance Sheet'!AB48</f>
        <v>-37.125667931938438</v>
      </c>
      <c r="AC32" s="23">
        <f>'Balance Sheet'!Z48-'Balance Sheet'!AC48</f>
        <v>-8.9608252062039355</v>
      </c>
      <c r="AD32" s="23">
        <f>'Balance Sheet'!AC48-'Balance Sheet'!AD48</f>
        <v>19.540185692620582</v>
      </c>
      <c r="AE32" s="23">
        <f>'Balance Sheet'!AD48-'Balance Sheet'!AE48</f>
        <v>-27.521272854878589</v>
      </c>
      <c r="AF32" s="23">
        <f>'Balance Sheet'!AC48-'Balance Sheet'!AF48</f>
        <v>-7.9810871622580066</v>
      </c>
      <c r="AG32" s="23">
        <f>'Balance Sheet'!AF48-'Balance Sheet'!AG48</f>
        <v>28.752376377831069</v>
      </c>
      <c r="AH32" s="23">
        <f>'Balance Sheet'!AG48-'Balance Sheet'!AH48</f>
        <v>-36.941640500029791</v>
      </c>
      <c r="AI32" s="23">
        <f>'Balance Sheet'!AF48-'Balance Sheet'!AI48</f>
        <v>-8.1892641221987219</v>
      </c>
    </row>
    <row r="33" spans="2:35" ht="12.9" customHeight="1" x14ac:dyDescent="0.3">
      <c r="B33" s="16" t="s">
        <v>25</v>
      </c>
      <c r="C33" s="66">
        <v>10.6973</v>
      </c>
      <c r="D33" s="20">
        <f t="shared" si="16"/>
        <v>-10.7203</v>
      </c>
      <c r="E33" s="66">
        <v>-2.2999999999999687E-2</v>
      </c>
      <c r="F33" s="66">
        <v>2.5590000000000002</v>
      </c>
      <c r="G33" s="20">
        <f t="shared" si="17"/>
        <v>-2.6998000000000002</v>
      </c>
      <c r="H33" s="66">
        <v>-0.14080000000000004</v>
      </c>
      <c r="I33" s="66">
        <v>-20.607500000000002</v>
      </c>
      <c r="J33" s="20">
        <f t="shared" si="18"/>
        <v>20.3932</v>
      </c>
      <c r="K33" s="66">
        <v>-0.21430000000000149</v>
      </c>
      <c r="L33" s="66">
        <v>1.3122</v>
      </c>
      <c r="M33" s="20">
        <f t="shared" si="19"/>
        <v>-0.81400000000000006</v>
      </c>
      <c r="N33" s="66">
        <v>0.49819999999999998</v>
      </c>
      <c r="O33" s="66">
        <v>-1.3541999999999998</v>
      </c>
      <c r="P33" s="20">
        <f t="shared" si="20"/>
        <v>1.2184999999999999</v>
      </c>
      <c r="Q33" s="66">
        <v>-0.13569999999999993</v>
      </c>
      <c r="R33" s="66">
        <v>3.0901000000000001</v>
      </c>
      <c r="S33" s="20">
        <f t="shared" si="21"/>
        <v>-4.1109999999999998</v>
      </c>
      <c r="T33" s="66">
        <v>-1.0208999999999999</v>
      </c>
      <c r="U33" s="23">
        <f>'Balance Sheet'!T51-'Balance Sheet'!U51</f>
        <v>-6.7307439495421506E-3</v>
      </c>
      <c r="V33" s="23">
        <f>'Balance Sheet'!U51-'Balance Sheet'!V51</f>
        <v>-1.5521968559218335E-2</v>
      </c>
      <c r="W33" s="23">
        <f t="shared" si="22"/>
        <v>-2.2252712508760486E-2</v>
      </c>
      <c r="X33" s="23">
        <f>'Balance Sheet'!W51-'Balance Sheet'!X51</f>
        <v>-3.1125414657742601E-2</v>
      </c>
      <c r="Y33" s="23">
        <f>'Balance Sheet'!X51-'Balance Sheet'!Y51</f>
        <v>-2.4342501179503817E-2</v>
      </c>
      <c r="Z33" s="23">
        <f>'Balance Sheet'!W51-'Balance Sheet'!Z51</f>
        <v>-5.5467915837246418E-2</v>
      </c>
      <c r="AA33" s="23">
        <f>'Balance Sheet'!Z51-'Balance Sheet'!AA51</f>
        <v>-2.1926312511511725E-2</v>
      </c>
      <c r="AB33" s="23">
        <f>'Balance Sheet'!AA51-'Balance Sheet'!AB51</f>
        <v>-3.4724734984036831E-2</v>
      </c>
      <c r="AC33" s="23">
        <f>'Balance Sheet'!Z51-'Balance Sheet'!AC51</f>
        <v>-5.6651047495548557E-2</v>
      </c>
      <c r="AD33" s="23">
        <f>'Balance Sheet'!AC51-'Balance Sheet'!AD51</f>
        <v>-4.0464641761406572E-2</v>
      </c>
      <c r="AE33" s="23">
        <f>'Balance Sheet'!AD51-'Balance Sheet'!AE51</f>
        <v>-2.9893308708209276E-2</v>
      </c>
      <c r="AF33" s="23">
        <f>'Balance Sheet'!AC51-'Balance Sheet'!AF51</f>
        <v>-7.0357950469615849E-2</v>
      </c>
      <c r="AG33" s="23">
        <f>'Balance Sheet'!AF51-'Balance Sheet'!AG51</f>
        <v>-3.9035997683030621E-2</v>
      </c>
      <c r="AH33" s="23">
        <f>'Balance Sheet'!AG51-'Balance Sheet'!AH51</f>
        <v>-4.681321176741543E-2</v>
      </c>
      <c r="AI33" s="23">
        <f>'Balance Sheet'!AF51-'Balance Sheet'!AI51</f>
        <v>-8.5849209450446051E-2</v>
      </c>
    </row>
    <row r="34" spans="2:35" ht="12.9" customHeight="1" x14ac:dyDescent="0.3">
      <c r="B34" s="16" t="s">
        <v>26</v>
      </c>
      <c r="C34" s="66">
        <v>-3.0000000000000001E-3</v>
      </c>
      <c r="D34" s="20">
        <f t="shared" si="16"/>
        <v>6.1504999999999992</v>
      </c>
      <c r="E34" s="66">
        <v>6.1474999999999991</v>
      </c>
      <c r="F34" s="66">
        <v>-4.0999999999999995E-2</v>
      </c>
      <c r="G34" s="20">
        <f t="shared" si="17"/>
        <v>-2.5600999999999998</v>
      </c>
      <c r="H34" s="66">
        <v>-2.6010999999999997</v>
      </c>
      <c r="I34" s="66">
        <v>3.5999999999999999E-3</v>
      </c>
      <c r="J34" s="20">
        <f t="shared" si="18"/>
        <v>-13.183199999999999</v>
      </c>
      <c r="K34" s="66">
        <v>-13.179599999999999</v>
      </c>
      <c r="L34" s="66">
        <v>10.531600000000001</v>
      </c>
      <c r="M34" s="20">
        <f t="shared" si="19"/>
        <v>-30.368600000000001</v>
      </c>
      <c r="N34" s="66">
        <v>-19.837</v>
      </c>
      <c r="O34" s="66">
        <v>-18.046300000000002</v>
      </c>
      <c r="P34" s="20">
        <f t="shared" si="20"/>
        <v>-23.182200000000002</v>
      </c>
      <c r="Q34" s="66">
        <v>-41.228500000000004</v>
      </c>
      <c r="R34" s="66">
        <v>7.8807000000000009</v>
      </c>
      <c r="S34" s="20">
        <f t="shared" si="21"/>
        <v>44.907600000000002</v>
      </c>
      <c r="T34" s="66">
        <v>52.7883</v>
      </c>
      <c r="U34" s="23">
        <f>'Balance Sheet'!T53-'Balance Sheet'!U53</f>
        <v>-0.94758619988058257</v>
      </c>
      <c r="V34" s="23">
        <f>'Balance Sheet'!U53-'Balance Sheet'!V53</f>
        <v>-2.1852566836532503</v>
      </c>
      <c r="W34" s="23">
        <f t="shared" si="22"/>
        <v>-3.1328428835338329</v>
      </c>
      <c r="X34" s="23">
        <f>'Balance Sheet'!W53-'Balance Sheet'!X53</f>
        <v>-4.3819841634659085</v>
      </c>
      <c r="Y34" s="23">
        <f>'Balance Sheet'!X53-'Balance Sheet'!Y53</f>
        <v>-3.4270532887889402</v>
      </c>
      <c r="Z34" s="23">
        <f>'Balance Sheet'!W53-'Balance Sheet'!Z53</f>
        <v>-7.8090374522548487</v>
      </c>
      <c r="AA34" s="23">
        <f>'Balance Sheet'!Z53-'Balance Sheet'!AA53</f>
        <v>-3.0868907368836744</v>
      </c>
      <c r="AB34" s="23">
        <f>'Balance Sheet'!AA53-'Balance Sheet'!AB53</f>
        <v>-4.8887136269122351</v>
      </c>
      <c r="AC34" s="23">
        <f>'Balance Sheet'!Z53-'Balance Sheet'!AC53</f>
        <v>-7.9756043637959095</v>
      </c>
      <c r="AD34" s="23">
        <f>'Balance Sheet'!AC53-'Balance Sheet'!AD53</f>
        <v>-5.696805049140039</v>
      </c>
      <c r="AE34" s="23">
        <f>'Balance Sheet'!AD53-'Balance Sheet'!AE53</f>
        <v>-4.2085224178816105</v>
      </c>
      <c r="AF34" s="23">
        <f>'Balance Sheet'!AC53-'Balance Sheet'!AF53</f>
        <v>-9.9053274670216496</v>
      </c>
      <c r="AG34" s="23">
        <f>'Balance Sheet'!AF53-'Balance Sheet'!AG53</f>
        <v>-5.4956737294287521</v>
      </c>
      <c r="AH34" s="23">
        <f>'Balance Sheet'!AG53-'Balance Sheet'!AH53</f>
        <v>-6.5905869804938533</v>
      </c>
      <c r="AI34" s="23">
        <f>'Balance Sheet'!AF53-'Balance Sheet'!AI53</f>
        <v>-12.086260709922605</v>
      </c>
    </row>
    <row r="35" spans="2:35" ht="12.9" customHeight="1" x14ac:dyDescent="0.3">
      <c r="B35" s="16" t="s">
        <v>27</v>
      </c>
      <c r="C35" s="66">
        <v>5.1684000000000001</v>
      </c>
      <c r="D35" s="20">
        <f t="shared" si="16"/>
        <v>-0.62330000000000041</v>
      </c>
      <c r="E35" s="66">
        <v>4.5450999999999997</v>
      </c>
      <c r="F35" s="66">
        <v>3.8755999999999999</v>
      </c>
      <c r="G35" s="20">
        <f t="shared" si="17"/>
        <v>12.544400000000001</v>
      </c>
      <c r="H35" s="66">
        <v>16.420000000000002</v>
      </c>
      <c r="I35" s="66">
        <v>-2.5282</v>
      </c>
      <c r="J35" s="20">
        <f t="shared" si="18"/>
        <v>25.134500000000003</v>
      </c>
      <c r="K35" s="66">
        <v>22.606300000000005</v>
      </c>
      <c r="L35" s="66">
        <v>-24.701799999999999</v>
      </c>
      <c r="M35" s="20">
        <f t="shared" si="19"/>
        <v>21.803199999999997</v>
      </c>
      <c r="N35" s="66">
        <v>-2.8986000000000018</v>
      </c>
      <c r="O35" s="66">
        <v>13.816400000000002</v>
      </c>
      <c r="P35" s="20">
        <f t="shared" si="20"/>
        <v>7.6676000000000002</v>
      </c>
      <c r="Q35" s="66">
        <v>21.484000000000002</v>
      </c>
      <c r="R35" s="66">
        <v>-7.6949000000000005</v>
      </c>
      <c r="S35" s="20">
        <f t="shared" si="21"/>
        <v>4.2401</v>
      </c>
      <c r="T35" s="66">
        <v>-3.4548000000000001</v>
      </c>
      <c r="U35" s="23">
        <f>'Balance Sheet'!U23-'Balance Sheet'!T23</f>
        <v>1.7779048446043646</v>
      </c>
      <c r="V35" s="23">
        <f>'Balance Sheet'!V23-'Balance Sheet'!U23</f>
        <v>4.7337398702439231</v>
      </c>
      <c r="W35" s="23">
        <f t="shared" si="22"/>
        <v>6.5116447148482877</v>
      </c>
      <c r="X35" s="23">
        <f>-('Balance Sheet'!W23-'Balance Sheet'!X23)</f>
        <v>15.07088999182433</v>
      </c>
      <c r="Y35" s="23">
        <f>-('Balance Sheet'!X23-'Balance Sheet'!Y23)</f>
        <v>8.6057941398431552</v>
      </c>
      <c r="Z35" s="23">
        <f>-('Balance Sheet'!W23-'Balance Sheet'!Z23)</f>
        <v>23.676684131667486</v>
      </c>
      <c r="AA35" s="23">
        <f>-('Balance Sheet'!Z23-'Balance Sheet'!AA23)</f>
        <v>13.469685044438947</v>
      </c>
      <c r="AB35" s="23">
        <f>-('Balance Sheet'!AA23-'Balance Sheet'!AB23)</f>
        <v>12.847207879703348</v>
      </c>
      <c r="AC35" s="23">
        <f>-('Balance Sheet'!Z23-'Balance Sheet'!AC23)</f>
        <v>26.316892924142294</v>
      </c>
      <c r="AD35" s="23">
        <f>-('Balance Sheet'!AC23-'Balance Sheet'!AD23)</f>
        <v>17.81573827390045</v>
      </c>
      <c r="AE35" s="23">
        <f>-('Balance Sheet'!AD23-'Balance Sheet'!AE23)</f>
        <v>10.417006961693232</v>
      </c>
      <c r="AF35" s="23">
        <f>-('Balance Sheet'!AC23-'Balance Sheet'!AF23)</f>
        <v>28.232745235593683</v>
      </c>
      <c r="AG35" s="23">
        <f>-('Balance Sheet'!AF23-'Balance Sheet'!AG23)</f>
        <v>22.764117665027698</v>
      </c>
      <c r="AH35" s="23">
        <f>-('Balance Sheet'!AG23-'Balance Sheet'!AH23)</f>
        <v>17.279367023234983</v>
      </c>
      <c r="AI35" s="23">
        <f>-('Balance Sheet'!AF23-'Balance Sheet'!AI23)</f>
        <v>40.04348468826268</v>
      </c>
    </row>
    <row r="36" spans="2:35" ht="12.9" customHeight="1" x14ac:dyDescent="0.3">
      <c r="B36" s="16" t="s">
        <v>28</v>
      </c>
      <c r="C36" s="66">
        <v>-1.1206</v>
      </c>
      <c r="D36" s="20">
        <f t="shared" si="16"/>
        <v>1.1992</v>
      </c>
      <c r="E36" s="66">
        <v>7.8600000000000003E-2</v>
      </c>
      <c r="F36" s="66">
        <v>0.20739999999999997</v>
      </c>
      <c r="G36" s="20">
        <f t="shared" si="17"/>
        <v>-0.15139999999999998</v>
      </c>
      <c r="H36" s="66">
        <v>5.5999999999999994E-2</v>
      </c>
      <c r="I36" s="66">
        <v>2.7611000000000003</v>
      </c>
      <c r="J36" s="20">
        <f t="shared" si="18"/>
        <v>-1.6556</v>
      </c>
      <c r="K36" s="66">
        <v>1.1055000000000004</v>
      </c>
      <c r="L36" s="66">
        <v>-0.73769999999999991</v>
      </c>
      <c r="M36" s="20">
        <f t="shared" si="19"/>
        <v>5.0339999999999998</v>
      </c>
      <c r="N36" s="66">
        <v>4.2962999999999996</v>
      </c>
      <c r="O36" s="66">
        <v>-1.1073</v>
      </c>
      <c r="P36" s="20">
        <f t="shared" si="20"/>
        <v>2.6486000000000001</v>
      </c>
      <c r="Q36" s="66">
        <v>1.5413000000000001</v>
      </c>
      <c r="R36" s="66">
        <v>0.95840000000000003</v>
      </c>
      <c r="S36" s="20">
        <f t="shared" si="21"/>
        <v>7.6000000000000005</v>
      </c>
      <c r="T36" s="66">
        <v>8.5584000000000007</v>
      </c>
      <c r="U36" s="23">
        <f>'Balance Sheet'!U24-'Balance Sheet'!T24</f>
        <v>0.62617350765084012</v>
      </c>
      <c r="V36" s="23">
        <f>'Balance Sheet'!V24-'Balance Sheet'!U24</f>
        <v>1.4440373265176554</v>
      </c>
      <c r="W36" s="23">
        <f t="shared" si="22"/>
        <v>2.0702108341684955</v>
      </c>
      <c r="X36" s="23">
        <f>-('Balance Sheet'!W24-'Balance Sheet'!X24)</f>
        <v>2.8956546585984988</v>
      </c>
      <c r="Y36" s="23">
        <f>-('Balance Sheet'!X24-'Balance Sheet'!Y24)</f>
        <v>2.2646277235967922</v>
      </c>
      <c r="Z36" s="23">
        <f>-('Balance Sheet'!W24-'Balance Sheet'!Z24)</f>
        <v>5.160282382195291</v>
      </c>
      <c r="AA36" s="23">
        <f>-('Balance Sheet'!Z24-'Balance Sheet'!AA24)</f>
        <v>2.0398452411959056</v>
      </c>
      <c r="AB36" s="23">
        <f>-('Balance Sheet'!AA24-'Balance Sheet'!AB24)</f>
        <v>3.230506058498797</v>
      </c>
      <c r="AC36" s="23">
        <f>-('Balance Sheet'!Z24-'Balance Sheet'!AC24)</f>
        <v>5.2703512996947026</v>
      </c>
      <c r="AD36" s="23">
        <f>-('Balance Sheet'!AC24-'Balance Sheet'!AD24)</f>
        <v>3.7645001589011571</v>
      </c>
      <c r="AE36" s="23">
        <f>-('Balance Sheet'!AD24-'Balance Sheet'!AE24)</f>
        <v>2.7810295725752496</v>
      </c>
      <c r="AF36" s="23">
        <f>-('Balance Sheet'!AC24-'Balance Sheet'!AF24)</f>
        <v>6.5455297314764067</v>
      </c>
      <c r="AG36" s="23">
        <f>-('Balance Sheet'!AF24-'Balance Sheet'!AG24)</f>
        <v>3.6315907687286071</v>
      </c>
      <c r="AH36" s="23">
        <f>-('Balance Sheet'!AG24-'Balance Sheet'!AH24)</f>
        <v>4.3551193206210002</v>
      </c>
      <c r="AI36" s="23">
        <f>-('Balance Sheet'!AF24-'Balance Sheet'!AI24)</f>
        <v>7.9867100893496072</v>
      </c>
    </row>
    <row r="37" spans="2:35" ht="12.9" customHeight="1" x14ac:dyDescent="0.3">
      <c r="B37" s="16" t="s">
        <v>29</v>
      </c>
      <c r="C37" s="66">
        <v>19.087</v>
      </c>
      <c r="D37" s="20">
        <f t="shared" si="16"/>
        <v>-27.760200000000001</v>
      </c>
      <c r="E37" s="66">
        <v>-8.6732000000000014</v>
      </c>
      <c r="F37" s="66">
        <v>5.3666999999999998</v>
      </c>
      <c r="G37" s="20">
        <f t="shared" si="17"/>
        <v>6.6479000000000017</v>
      </c>
      <c r="H37" s="66">
        <v>12.014600000000002</v>
      </c>
      <c r="I37" s="66">
        <v>1.8940000000000001</v>
      </c>
      <c r="J37" s="20">
        <f t="shared" si="18"/>
        <v>8.1144999999999996</v>
      </c>
      <c r="K37" s="66">
        <v>10.0085</v>
      </c>
      <c r="L37" s="66">
        <v>28.3995</v>
      </c>
      <c r="M37" s="20">
        <f t="shared" si="19"/>
        <v>53.146199999999993</v>
      </c>
      <c r="N37" s="66">
        <v>81.545699999999997</v>
      </c>
      <c r="O37" s="66">
        <v>17.757300000000001</v>
      </c>
      <c r="P37" s="20">
        <f t="shared" si="20"/>
        <v>-33.861400000000003</v>
      </c>
      <c r="Q37" s="66">
        <v>-16.104100000000003</v>
      </c>
      <c r="R37" s="66">
        <v>-81.979500000000002</v>
      </c>
      <c r="S37" s="20">
        <f t="shared" si="21"/>
        <v>-37.317999999999998</v>
      </c>
      <c r="T37" s="66">
        <v>-119.2975</v>
      </c>
      <c r="U37" s="23">
        <f>'Balance Sheet'!U26-'Balance Sheet'!T26</f>
        <v>0.67280581629601599</v>
      </c>
      <c r="V37" s="23">
        <f>'Balance Sheet'!V26-'Balance Sheet'!U26</f>
        <v>1.5515774787000005</v>
      </c>
      <c r="W37" s="23">
        <f t="shared" si="22"/>
        <v>2.2243832949960165</v>
      </c>
      <c r="X37" s="23">
        <f>-('Balance Sheet'!W26-'Balance Sheet'!X26)</f>
        <v>3.111299460110768</v>
      </c>
      <c r="Y37" s="23">
        <f>-('Balance Sheet'!X26-'Balance Sheet'!Y26)</f>
        <v>2.4332787726796177</v>
      </c>
      <c r="Z37" s="23">
        <f>-('Balance Sheet'!W26-'Balance Sheet'!Z26)</f>
        <v>5.5445782327903856</v>
      </c>
      <c r="AA37" s="23">
        <f>-('Balance Sheet'!Z26-'Balance Sheet'!AA26)</f>
        <v>2.1917563196966654</v>
      </c>
      <c r="AB37" s="23">
        <f>-('Balance Sheet'!AA26-'Balance Sheet'!AB26)</f>
        <v>3.4710878681080644</v>
      </c>
      <c r="AC37" s="23">
        <f>-('Balance Sheet'!Z26-'Balance Sheet'!AC26)</f>
        <v>5.6628441878047298</v>
      </c>
      <c r="AD37" s="23">
        <f>-('Balance Sheet'!AC26-'Balance Sheet'!AD26)</f>
        <v>4.04484950482491</v>
      </c>
      <c r="AE37" s="23">
        <f>-('Balance Sheet'!AD26-'Balance Sheet'!AE26)</f>
        <v>2.9881380302074163</v>
      </c>
      <c r="AF37" s="23">
        <f>-('Balance Sheet'!AC26-'Balance Sheet'!AF26)</f>
        <v>7.0329875350323263</v>
      </c>
      <c r="AG37" s="23">
        <f>-('Balance Sheet'!AF26-'Balance Sheet'!AG26)</f>
        <v>3.9020421045502971</v>
      </c>
      <c r="AH37" s="23">
        <f>-('Balance Sheet'!AG26-'Balance Sheet'!AH26)</f>
        <v>4.6794531767556649</v>
      </c>
      <c r="AI37" s="23">
        <f>-('Balance Sheet'!AF26-'Balance Sheet'!AI26)</f>
        <v>8.581495281305962</v>
      </c>
    </row>
    <row r="38" spans="2:35" ht="12.9" customHeight="1" x14ac:dyDescent="0.3">
      <c r="B38" s="16" t="s">
        <v>30</v>
      </c>
      <c r="C38" s="66">
        <v>0.18100000000000002</v>
      </c>
      <c r="D38" s="20">
        <f t="shared" si="16"/>
        <v>-0.37939999999999996</v>
      </c>
      <c r="E38" s="66">
        <v>-0.19839999999999994</v>
      </c>
      <c r="F38" s="66">
        <v>0.1158</v>
      </c>
      <c r="G38" s="20">
        <f t="shared" si="17"/>
        <v>8.9599999999999971E-2</v>
      </c>
      <c r="H38" s="66">
        <v>0.20539999999999997</v>
      </c>
      <c r="I38" s="66">
        <v>0.27050000000000002</v>
      </c>
      <c r="J38" s="20">
        <f t="shared" si="18"/>
        <v>-0.38719999999999999</v>
      </c>
      <c r="K38" s="66">
        <v>-0.11669999999999997</v>
      </c>
      <c r="L38" s="66">
        <v>0.1416</v>
      </c>
      <c r="M38" s="20">
        <f t="shared" si="19"/>
        <v>-0.2109</v>
      </c>
      <c r="N38" s="66">
        <v>-6.93E-2</v>
      </c>
      <c r="O38" s="66">
        <v>0.6493000000000001</v>
      </c>
      <c r="P38" s="20">
        <f t="shared" si="20"/>
        <v>1.0406999999999997</v>
      </c>
      <c r="Q38" s="66">
        <v>1.69</v>
      </c>
      <c r="R38" s="66">
        <v>0.44310000000000005</v>
      </c>
      <c r="S38" s="20">
        <f t="shared" si="21"/>
        <v>2.4496000000000002</v>
      </c>
      <c r="T38" s="66">
        <v>2.8927</v>
      </c>
      <c r="U38" s="23">
        <f>'Balance Sheet'!U25-'Balance Sheet'!T25</f>
        <v>13.911950254795382</v>
      </c>
      <c r="V38" s="23">
        <f>'Balance Sheet'!V25-'Balance Sheet'!U25</f>
        <v>1.0837662424859822</v>
      </c>
      <c r="W38" s="23">
        <f t="shared" si="22"/>
        <v>14.995716497281364</v>
      </c>
      <c r="X38" s="23">
        <f>-('Balance Sheet'!W25-'Balance Sheet'!X25)</f>
        <v>2.1732213643356602</v>
      </c>
      <c r="Y38" s="23">
        <f>-('Balance Sheet'!X25-'Balance Sheet'!Y25)</f>
        <v>1.6996285577677988</v>
      </c>
      <c r="Z38" s="23">
        <f>-('Balance Sheet'!W25-'Balance Sheet'!Z25)</f>
        <v>3.8728499221034589</v>
      </c>
      <c r="AA38" s="23">
        <f>-('Balance Sheet'!Z25-'Balance Sheet'!AA25)</f>
        <v>1.530926778489178</v>
      </c>
      <c r="AB38" s="23">
        <f>-('Balance Sheet'!AA25-'Balance Sheet'!AB25)</f>
        <v>2.4245311032163386</v>
      </c>
      <c r="AC38" s="23">
        <f>-('Balance Sheet'!Z25-'Balance Sheet'!AC25)</f>
        <v>3.9554578817055166</v>
      </c>
      <c r="AD38" s="23">
        <f>-('Balance Sheet'!AC25-'Balance Sheet'!AD25)</f>
        <v>2.8252996769057575</v>
      </c>
      <c r="AE38" s="23">
        <f>-('Balance Sheet'!AD25-'Balance Sheet'!AE25)</f>
        <v>2.0871939490515778</v>
      </c>
      <c r="AF38" s="23">
        <f>-('Balance Sheet'!AC25-'Balance Sheet'!AF25)</f>
        <v>4.9124936259573353</v>
      </c>
      <c r="AG38" s="23">
        <f>-('Balance Sheet'!AF25-'Balance Sheet'!AG25)</f>
        <v>2.7255496858679393</v>
      </c>
      <c r="AH38" s="23">
        <f>-('Balance Sheet'!AG25-'Balance Sheet'!AH25)</f>
        <v>3.2685659954994222</v>
      </c>
      <c r="AI38" s="23">
        <f>-('Balance Sheet'!AF25-'Balance Sheet'!AI25)</f>
        <v>5.9941156813673615</v>
      </c>
    </row>
    <row r="39" spans="2:35" s="6" customFormat="1" ht="12.9" customHeight="1" x14ac:dyDescent="0.3">
      <c r="B39" s="13" t="s">
        <v>31</v>
      </c>
      <c r="C39" s="98">
        <f>SUM(C31:C38)</f>
        <v>42.492599999999996</v>
      </c>
      <c r="D39" s="98">
        <f t="shared" ref="D39:T39" si="23">SUM(D31:D38)</f>
        <v>-48.607199999999999</v>
      </c>
      <c r="E39" s="98">
        <v>-6.1146000000000091</v>
      </c>
      <c r="F39" s="98">
        <f t="shared" si="23"/>
        <v>11.155799999999999</v>
      </c>
      <c r="G39" s="98">
        <f t="shared" si="23"/>
        <v>-25.158599999999989</v>
      </c>
      <c r="H39" s="98">
        <v>-14.002799999999995</v>
      </c>
      <c r="I39" s="98">
        <f t="shared" si="23"/>
        <v>4.6213999999999986</v>
      </c>
      <c r="J39" s="98">
        <f t="shared" si="23"/>
        <v>-44.451199999999993</v>
      </c>
      <c r="K39" s="98">
        <v>-39.829800000000006</v>
      </c>
      <c r="L39" s="98">
        <f t="shared" si="23"/>
        <v>44.357999999999997</v>
      </c>
      <c r="M39" s="98">
        <f t="shared" si="23"/>
        <v>0.59659999999999036</v>
      </c>
      <c r="N39" s="98">
        <v>44.954599999999999</v>
      </c>
      <c r="O39" s="98">
        <f t="shared" si="23"/>
        <v>-81.341200000000015</v>
      </c>
      <c r="P39" s="98">
        <f t="shared" si="23"/>
        <v>-66.898799999999994</v>
      </c>
      <c r="Q39" s="98">
        <f t="shared" si="23"/>
        <v>-148.24</v>
      </c>
      <c r="R39" s="98">
        <f t="shared" si="23"/>
        <v>-145.7578</v>
      </c>
      <c r="S39" s="98">
        <f t="shared" si="23"/>
        <v>5.9849999999999959</v>
      </c>
      <c r="T39" s="98">
        <f t="shared" si="23"/>
        <v>-139.77280000000002</v>
      </c>
      <c r="U39" s="98">
        <f t="shared" ref="U39:AI39" si="24">SUM(U31:U38)</f>
        <v>44.239018575491059</v>
      </c>
      <c r="V39" s="98">
        <f t="shared" ref="V39" si="25">SUM(V31:V38)</f>
        <v>-22.476547484062397</v>
      </c>
      <c r="W39" s="98">
        <f t="shared" ref="W39" si="26">SUM(W31:W38)</f>
        <v>21.762471091428662</v>
      </c>
      <c r="X39" s="98">
        <f t="shared" si="24"/>
        <v>46.432604440726379</v>
      </c>
      <c r="Y39" s="98">
        <f t="shared" si="24"/>
        <v>-28.010814655637866</v>
      </c>
      <c r="Z39" s="98">
        <f t="shared" si="24"/>
        <v>18.42178978508851</v>
      </c>
      <c r="AA39" s="98">
        <f t="shared" si="24"/>
        <v>38.941010602464559</v>
      </c>
      <c r="AB39" s="98">
        <f t="shared" si="24"/>
        <v>-33.549674331314108</v>
      </c>
      <c r="AC39" s="98">
        <f t="shared" si="24"/>
        <v>5.391336271150454</v>
      </c>
      <c r="AD39" s="98">
        <f t="shared" si="24"/>
        <v>35.045318453016549</v>
      </c>
      <c r="AE39" s="98">
        <f t="shared" si="24"/>
        <v>-23.661071053780798</v>
      </c>
      <c r="AF39" s="98">
        <f t="shared" si="24"/>
        <v>11.38424739923575</v>
      </c>
      <c r="AG39" s="98">
        <f t="shared" si="24"/>
        <v>50.918478506529581</v>
      </c>
      <c r="AH39" s="98">
        <f t="shared" si="24"/>
        <v>-29.355972530166653</v>
      </c>
      <c r="AI39" s="98">
        <f t="shared" si="24"/>
        <v>21.562505976362921</v>
      </c>
    </row>
    <row r="40" spans="2:35" s="6" customFormat="1" ht="12.9" customHeight="1" x14ac:dyDescent="0.3">
      <c r="B40" s="13" t="s">
        <v>32</v>
      </c>
      <c r="C40" s="98">
        <f>C29+C39</f>
        <v>70.767499999999998</v>
      </c>
      <c r="D40" s="98">
        <f t="shared" ref="D40:T40" si="27">D29+D39</f>
        <v>-5.4920000000000115</v>
      </c>
      <c r="E40" s="98">
        <v>65.275499999999965</v>
      </c>
      <c r="F40" s="98">
        <f t="shared" si="27"/>
        <v>47.663899999999991</v>
      </c>
      <c r="G40" s="98">
        <f t="shared" si="27"/>
        <v>10.673900000000014</v>
      </c>
      <c r="H40" s="98">
        <v>58.33780000000003</v>
      </c>
      <c r="I40" s="98">
        <f t="shared" si="27"/>
        <v>33.75</v>
      </c>
      <c r="J40" s="98">
        <f t="shared" si="27"/>
        <v>9.3795999999999964</v>
      </c>
      <c r="K40" s="98">
        <v>43.129599999999982</v>
      </c>
      <c r="L40" s="98">
        <f t="shared" si="27"/>
        <v>104.61660000000001</v>
      </c>
      <c r="M40" s="98">
        <f t="shared" si="27"/>
        <v>74.793900000000008</v>
      </c>
      <c r="N40" s="98">
        <f t="shared" si="27"/>
        <v>179.41049999999998</v>
      </c>
      <c r="O40" s="98">
        <f t="shared" si="27"/>
        <v>-3.0068000000000268</v>
      </c>
      <c r="P40" s="98">
        <f t="shared" si="27"/>
        <v>24.099599999999995</v>
      </c>
      <c r="Q40" s="98">
        <f t="shared" si="27"/>
        <v>21.092800000000011</v>
      </c>
      <c r="R40" s="98">
        <f t="shared" si="27"/>
        <v>-48.428399999999996</v>
      </c>
      <c r="S40" s="98">
        <f t="shared" si="27"/>
        <v>81.756</v>
      </c>
      <c r="T40" s="98">
        <f t="shared" si="27"/>
        <v>32.830500000000001</v>
      </c>
      <c r="U40" s="98">
        <f t="shared" ref="U40:AI40" si="28">U29+U39</f>
        <v>137.03849513208229</v>
      </c>
      <c r="V40" s="98">
        <f t="shared" ref="V40" si="29">V29+V39</f>
        <v>75.039815029918984</v>
      </c>
      <c r="W40" s="98">
        <f t="shared" ref="W40" si="30">W29+W39</f>
        <v>212.07831016200129</v>
      </c>
      <c r="X40" s="98">
        <f t="shared" si="28"/>
        <v>161.10204340625677</v>
      </c>
      <c r="Y40" s="98">
        <f t="shared" si="28"/>
        <v>89.609563711281794</v>
      </c>
      <c r="Z40" s="98">
        <f t="shared" si="28"/>
        <v>250.71160711753859</v>
      </c>
      <c r="AA40" s="98">
        <f t="shared" si="28"/>
        <v>169.0167545334497</v>
      </c>
      <c r="AB40" s="98">
        <f t="shared" si="28"/>
        <v>108.46969300047552</v>
      </c>
      <c r="AC40" s="98">
        <f t="shared" si="28"/>
        <v>277.48644753392529</v>
      </c>
      <c r="AD40" s="98">
        <f t="shared" si="28"/>
        <v>197.25196561268137</v>
      </c>
      <c r="AE40" s="98">
        <f t="shared" si="28"/>
        <v>143.16786197497078</v>
      </c>
      <c r="AF40" s="98">
        <f t="shared" si="28"/>
        <v>340.41982758765215</v>
      </c>
      <c r="AG40" s="98">
        <f t="shared" si="28"/>
        <v>245.54599197191823</v>
      </c>
      <c r="AH40" s="98">
        <f t="shared" si="28"/>
        <v>175.72267635493131</v>
      </c>
      <c r="AI40" s="98">
        <f t="shared" si="28"/>
        <v>421.26866832684954</v>
      </c>
    </row>
    <row r="41" spans="2:35" ht="12.9" customHeight="1" x14ac:dyDescent="0.3">
      <c r="B41" s="16" t="s">
        <v>33</v>
      </c>
      <c r="C41" s="66">
        <v>-4.6335000000000006</v>
      </c>
      <c r="D41" s="20">
        <f t="shared" ref="D41" si="31">E41-C41</f>
        <v>-7.6609000000000007</v>
      </c>
      <c r="E41" s="66">
        <v>-12.294400000000001</v>
      </c>
      <c r="F41" s="66">
        <v>-4.2633999999999999</v>
      </c>
      <c r="G41" s="20">
        <f t="shared" ref="G41" si="32">H41-F41</f>
        <v>19.968299999999999</v>
      </c>
      <c r="H41" s="66">
        <v>15.704899999999999</v>
      </c>
      <c r="I41" s="66">
        <v>-6.1715</v>
      </c>
      <c r="J41" s="20">
        <f t="shared" ref="J41" si="33">K41-I41</f>
        <v>-6.9410000000000007</v>
      </c>
      <c r="K41" s="66">
        <v>-13.112500000000001</v>
      </c>
      <c r="L41" s="66">
        <v>-8.9440099999999987</v>
      </c>
      <c r="M41" s="20">
        <f t="shared" ref="M41" si="34">N41-L41</f>
        <v>-1.0821900000000007</v>
      </c>
      <c r="N41" s="66">
        <v>-10.026199999999999</v>
      </c>
      <c r="O41" s="66">
        <v>-12.849400000000001</v>
      </c>
      <c r="P41" s="20">
        <f t="shared" ref="P41" si="35">Q41-O41</f>
        <v>-15.396700000000001</v>
      </c>
      <c r="Q41" s="66">
        <v>-28.246100000000002</v>
      </c>
      <c r="R41" s="66">
        <v>-13.7643</v>
      </c>
      <c r="S41" s="20">
        <f t="shared" ref="S41" si="36">T41-R41</f>
        <v>-16.9041</v>
      </c>
      <c r="T41" s="66">
        <v>-30.668399999999998</v>
      </c>
      <c r="U41" s="23">
        <f>-'Income Statement'!U41+('Balance Sheet'!U27-'Balance Sheet'!T27)+('Balance Sheet'!T52-'Balance Sheet'!U52)</f>
        <v>-18.513385782606992</v>
      </c>
      <c r="V41" s="23">
        <f>-'Income Statement'!V41+('Balance Sheet'!V27-'Balance Sheet'!U27)+('Balance Sheet'!U52-'Balance Sheet'!V52)</f>
        <v>-20.443885869189167</v>
      </c>
      <c r="W41" s="23">
        <f t="shared" ref="W41" si="37">U41+V41</f>
        <v>-38.957271651796162</v>
      </c>
      <c r="X41" s="23">
        <f>-'Income Statement'!X41+('Balance Sheet'!X27-'Balance Sheet'!W27)+('Balance Sheet'!W52-'Balance Sheet'!X52)</f>
        <v>-24.023114461885534</v>
      </c>
      <c r="Y41" s="23">
        <f>-'Income Statement'!Y41+('Balance Sheet'!Y27-'Balance Sheet'!X27)+('Balance Sheet'!X52-'Balance Sheet'!Y52)</f>
        <v>-24.818398356626094</v>
      </c>
      <c r="Z41" s="23">
        <f>-'Income Statement'!Z41</f>
        <v>-48.841512818511632</v>
      </c>
      <c r="AA41" s="23">
        <f>-'Income Statement'!AA41+('Balance Sheet'!AA27-'Balance Sheet'!Z27)+('Balance Sheet'!Z52-'Balance Sheet'!AA52)</f>
        <v>-28.005854791402594</v>
      </c>
      <c r="AB41" s="23">
        <f>-'Income Statement'!AB41+('Balance Sheet'!AB27-'Balance Sheet'!AA27)+('Balance Sheet'!AA52-'Balance Sheet'!AB52)</f>
        <v>-31.064610155440725</v>
      </c>
      <c r="AC41" s="23">
        <f>-'Income Statement'!AC41</f>
        <v>-59.070464946843316</v>
      </c>
      <c r="AD41" s="23">
        <f>-'Income Statement'!AD41+('Balance Sheet'!AD27-'Balance Sheet'!AC27)+('Balance Sheet'!AC52-'Balance Sheet'!AD52)</f>
        <v>-36.19821899289515</v>
      </c>
      <c r="AE41" s="23">
        <f>-'Income Statement'!AE41+('Balance Sheet'!AE27-'Balance Sheet'!AD27)+('Balance Sheet'!AD52-'Balance Sheet'!AE52)</f>
        <v>-37.414516186465448</v>
      </c>
      <c r="AF41" s="23">
        <f>-'Income Statement'!AF41</f>
        <v>-73.612735179360598</v>
      </c>
      <c r="AG41" s="23">
        <f>-'Income Statement'!AG41+('Balance Sheet'!AG27-'Balance Sheet'!AF27)+('Balance Sheet'!AF52-'Balance Sheet'!AG52)</f>
        <v>-44.463905420955626</v>
      </c>
      <c r="AH41" s="23">
        <f>-'Income Statement'!AH41+('Balance Sheet'!AH27-'Balance Sheet'!AG27)+('Balance Sheet'!AG52-'Balance Sheet'!AH52)</f>
        <v>-47.14736827509455</v>
      </c>
      <c r="AI41" s="23">
        <f>-'Income Statement'!AI41</f>
        <v>-91.611273696050176</v>
      </c>
    </row>
    <row r="42" spans="2:35" s="6" customFormat="1" ht="12.9" customHeight="1" x14ac:dyDescent="0.3">
      <c r="B42" s="13" t="s">
        <v>117</v>
      </c>
      <c r="C42" s="98">
        <f>SUM(C40:C41)</f>
        <v>66.134</v>
      </c>
      <c r="D42" s="98">
        <f t="shared" ref="D42:AI42" si="38">SUM(D40:D41)</f>
        <v>-13.152900000000013</v>
      </c>
      <c r="E42" s="98">
        <f t="shared" si="38"/>
        <v>52.981099999999962</v>
      </c>
      <c r="F42" s="98">
        <f t="shared" si="38"/>
        <v>43.400499999999994</v>
      </c>
      <c r="G42" s="98">
        <f t="shared" si="38"/>
        <v>30.642200000000013</v>
      </c>
      <c r="H42" s="98">
        <f t="shared" si="38"/>
        <v>74.042700000000025</v>
      </c>
      <c r="I42" s="98">
        <f t="shared" si="38"/>
        <v>27.578499999999998</v>
      </c>
      <c r="J42" s="98">
        <f t="shared" si="38"/>
        <v>2.4385999999999957</v>
      </c>
      <c r="K42" s="98">
        <f t="shared" si="38"/>
        <v>30.017099999999981</v>
      </c>
      <c r="L42" s="98">
        <f t="shared" si="38"/>
        <v>95.672590000000014</v>
      </c>
      <c r="M42" s="98">
        <f t="shared" si="38"/>
        <v>73.711710000000011</v>
      </c>
      <c r="N42" s="98">
        <f t="shared" si="38"/>
        <v>169.3843</v>
      </c>
      <c r="O42" s="98">
        <f t="shared" si="38"/>
        <v>-15.856200000000028</v>
      </c>
      <c r="P42" s="98">
        <f t="shared" si="38"/>
        <v>8.7028999999999943</v>
      </c>
      <c r="Q42" s="98">
        <f t="shared" si="38"/>
        <v>-7.1532999999999909</v>
      </c>
      <c r="R42" s="98">
        <f t="shared" si="38"/>
        <v>-62.192699999999995</v>
      </c>
      <c r="S42" s="98">
        <f t="shared" ref="S42:T42" si="39">SUM(S40:S41)</f>
        <v>64.851900000000001</v>
      </c>
      <c r="T42" s="98">
        <f t="shared" si="39"/>
        <v>2.1621000000000024</v>
      </c>
      <c r="U42" s="98">
        <f t="shared" si="38"/>
        <v>118.5251093494753</v>
      </c>
      <c r="V42" s="98">
        <f t="shared" ref="V42" si="40">SUM(V40:V41)</f>
        <v>54.595929160729817</v>
      </c>
      <c r="W42" s="98">
        <f t="shared" ref="W42" si="41">SUM(W40:W41)</f>
        <v>173.12103851020512</v>
      </c>
      <c r="X42" s="98">
        <f t="shared" si="38"/>
        <v>137.07892894437123</v>
      </c>
      <c r="Y42" s="98">
        <f t="shared" si="38"/>
        <v>64.791165354655703</v>
      </c>
      <c r="Z42" s="98">
        <f t="shared" si="38"/>
        <v>201.87009429902696</v>
      </c>
      <c r="AA42" s="98">
        <f t="shared" si="38"/>
        <v>141.01089974204712</v>
      </c>
      <c r="AB42" s="98">
        <f t="shared" si="38"/>
        <v>77.405082845034798</v>
      </c>
      <c r="AC42" s="98">
        <f t="shared" si="38"/>
        <v>218.41598258708197</v>
      </c>
      <c r="AD42" s="98">
        <f t="shared" si="38"/>
        <v>161.05374661978624</v>
      </c>
      <c r="AE42" s="98">
        <f t="shared" si="38"/>
        <v>105.75334578850533</v>
      </c>
      <c r="AF42" s="98">
        <f t="shared" si="38"/>
        <v>266.80709240829157</v>
      </c>
      <c r="AG42" s="98">
        <f t="shared" si="38"/>
        <v>201.0820865509626</v>
      </c>
      <c r="AH42" s="98">
        <f t="shared" si="38"/>
        <v>128.57530807983676</v>
      </c>
      <c r="AI42" s="98">
        <f t="shared" si="38"/>
        <v>329.65739463079933</v>
      </c>
    </row>
    <row r="43" spans="2:35" s="193" customFormat="1" ht="12.9" hidden="1" customHeight="1" outlineLevel="1" x14ac:dyDescent="0.3">
      <c r="B43" s="178" t="s">
        <v>118</v>
      </c>
      <c r="C43" s="191">
        <v>66.134</v>
      </c>
      <c r="D43" s="191"/>
      <c r="E43" s="191">
        <v>52.981099999999962</v>
      </c>
      <c r="F43" s="191">
        <v>43.400499999999994</v>
      </c>
      <c r="G43" s="191"/>
      <c r="H43" s="191">
        <v>74.042700000000025</v>
      </c>
      <c r="I43" s="191">
        <v>27.578499999999998</v>
      </c>
      <c r="J43" s="191"/>
      <c r="K43" s="191">
        <v>30.017099999999981</v>
      </c>
      <c r="L43" s="191">
        <v>95.672590000000014</v>
      </c>
      <c r="M43" s="191"/>
      <c r="N43" s="191">
        <v>169.3843</v>
      </c>
      <c r="O43" s="191">
        <v>-15.856200000000028</v>
      </c>
      <c r="P43" s="191"/>
      <c r="Q43" s="191">
        <v>-7.1532999999999909</v>
      </c>
      <c r="R43" s="191">
        <v>-62.192699999999995</v>
      </c>
      <c r="S43" s="191"/>
      <c r="T43" s="191">
        <v>2.1621000000000001</v>
      </c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</row>
    <row r="44" spans="2:35" s="193" customFormat="1" ht="12.9" hidden="1" customHeight="1" outlineLevel="1" x14ac:dyDescent="0.3">
      <c r="B44" s="178" t="s">
        <v>136</v>
      </c>
      <c r="C44" s="191">
        <f>C42-C43</f>
        <v>0</v>
      </c>
      <c r="D44" s="191"/>
      <c r="E44" s="191">
        <f t="shared" ref="E44:R44" si="42">E42-E43</f>
        <v>0</v>
      </c>
      <c r="F44" s="191">
        <f t="shared" si="42"/>
        <v>0</v>
      </c>
      <c r="G44" s="191"/>
      <c r="H44" s="191">
        <f t="shared" si="42"/>
        <v>0</v>
      </c>
      <c r="I44" s="191">
        <f t="shared" si="42"/>
        <v>0</v>
      </c>
      <c r="J44" s="191"/>
      <c r="K44" s="191">
        <f t="shared" si="42"/>
        <v>0</v>
      </c>
      <c r="L44" s="191">
        <f t="shared" si="42"/>
        <v>0</v>
      </c>
      <c r="M44" s="191"/>
      <c r="N44" s="191">
        <f t="shared" si="42"/>
        <v>0</v>
      </c>
      <c r="O44" s="191">
        <f t="shared" si="42"/>
        <v>0</v>
      </c>
      <c r="P44" s="191"/>
      <c r="Q44" s="191">
        <f t="shared" si="42"/>
        <v>0</v>
      </c>
      <c r="R44" s="191">
        <f t="shared" si="42"/>
        <v>0</v>
      </c>
      <c r="S44" s="191"/>
      <c r="T44" s="191">
        <f t="shared" ref="T44" si="43">T42-T43</f>
        <v>0</v>
      </c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</row>
    <row r="45" spans="2:35" ht="12.9" customHeight="1" collapsed="1" x14ac:dyDescent="0.3">
      <c r="B45" s="13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</row>
    <row r="46" spans="2:35" ht="12.9" customHeight="1" x14ac:dyDescent="0.3">
      <c r="B46" s="13" t="s">
        <v>49</v>
      </c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</row>
    <row r="47" spans="2:35" ht="12.9" customHeight="1" x14ac:dyDescent="0.3">
      <c r="B47" s="16" t="s">
        <v>53</v>
      </c>
      <c r="C47" s="66">
        <v>-34.7196</v>
      </c>
      <c r="D47" s="20">
        <f t="shared" ref="D47:D53" si="44">E47-C47</f>
        <v>-5.5615999999999985</v>
      </c>
      <c r="E47" s="66">
        <v>-40.281199999999998</v>
      </c>
      <c r="F47" s="66">
        <v>-2.6373000000000002</v>
      </c>
      <c r="G47" s="20">
        <f t="shared" ref="G47:G53" si="45">H47-F47</f>
        <v>-38.914500000000004</v>
      </c>
      <c r="H47" s="66">
        <v>-41.551800000000007</v>
      </c>
      <c r="I47" s="66">
        <v>-38.097700000000003</v>
      </c>
      <c r="J47" s="20">
        <f t="shared" ref="J47:J53" si="46">K47-I47</f>
        <v>-36.820899999999995</v>
      </c>
      <c r="K47" s="66">
        <v>-74.918599999999998</v>
      </c>
      <c r="L47" s="66">
        <v>-18.441099999999999</v>
      </c>
      <c r="M47" s="20">
        <f t="shared" ref="M47:M53" si="47">N47-L47</f>
        <v>-24.470700000000008</v>
      </c>
      <c r="N47" s="66">
        <v>-42.911800000000007</v>
      </c>
      <c r="O47" s="66">
        <v>-22.015799999999999</v>
      </c>
      <c r="P47" s="20">
        <f t="shared" ref="P47:P53" si="48">Q47-O47</f>
        <v>-22.602499999999999</v>
      </c>
      <c r="Q47" s="66">
        <v>-44.618299999999998</v>
      </c>
      <c r="R47" s="66">
        <v>-38.581499999999998</v>
      </c>
      <c r="S47" s="20">
        <f t="shared" ref="S47:S53" si="49">T47-R47</f>
        <v>-14.296700000000001</v>
      </c>
      <c r="T47" s="66">
        <v>-52.8782</v>
      </c>
      <c r="U47" s="23">
        <f>-('Balance Sheet'!U64)+('Balance Sheet'!T36-'Balance Sheet'!U36)+('Balance Sheet'!T38-'Balance Sheet'!U38)+('Balance Sheet'!T39-'Balance Sheet'!U39)</f>
        <v>-20.927199999999999</v>
      </c>
      <c r="V47" s="23">
        <f>-('Balance Sheet'!V64)+('Balance Sheet'!U36-'Balance Sheet'!V36)+('Balance Sheet'!U38-'Balance Sheet'!V38)+('Balance Sheet'!U39-'Balance Sheet'!V39)</f>
        <v>-17.5</v>
      </c>
      <c r="W47" s="23">
        <f t="shared" ref="W47:W53" si="50">U47+V47</f>
        <v>-38.427199999999999</v>
      </c>
      <c r="X47" s="23">
        <f>-('Balance Sheet'!X64)+('Balance Sheet'!W36-'Balance Sheet'!X36)+('Balance Sheet'!W38-'Balance Sheet'!X38)+('Balance Sheet'!W39-'Balance Sheet'!X39)</f>
        <v>-15</v>
      </c>
      <c r="Y47" s="23">
        <f>-('Balance Sheet'!Y64)+('Balance Sheet'!X36-'Balance Sheet'!Y36)+('Balance Sheet'!X38-'Balance Sheet'!Y38)+('Balance Sheet'!X39-'Balance Sheet'!Y39)</f>
        <v>-15</v>
      </c>
      <c r="Z47" s="23">
        <f>X47+Y47</f>
        <v>-30</v>
      </c>
      <c r="AA47" s="23">
        <f>-('Balance Sheet'!AA64)+('Balance Sheet'!Z36-'Balance Sheet'!AA36)+('Balance Sheet'!Z38-'Balance Sheet'!AA38)+('Balance Sheet'!Z39-'Balance Sheet'!AA39)</f>
        <v>-15</v>
      </c>
      <c r="AB47" s="23">
        <f>-('Balance Sheet'!AB64)+('Balance Sheet'!AA36-'Balance Sheet'!AB36)+('Balance Sheet'!AA38-'Balance Sheet'!AB38)+('Balance Sheet'!AA39-'Balance Sheet'!AB39)</f>
        <v>-15</v>
      </c>
      <c r="AC47" s="23">
        <f>AA47+AB47</f>
        <v>-30</v>
      </c>
      <c r="AD47" s="23">
        <f>-('Balance Sheet'!AD64)+('Balance Sheet'!AC36-'Balance Sheet'!AD36)+('Balance Sheet'!AC38-'Balance Sheet'!AD38)+('Balance Sheet'!AC39-'Balance Sheet'!AD39)</f>
        <v>-15</v>
      </c>
      <c r="AE47" s="23">
        <f>-('Balance Sheet'!AE64)+('Balance Sheet'!AD36-'Balance Sheet'!AE36)+('Balance Sheet'!AD38-'Balance Sheet'!AE38)+('Balance Sheet'!AD39-'Balance Sheet'!AE39)</f>
        <v>-15</v>
      </c>
      <c r="AF47" s="23">
        <f>AD47+AE47</f>
        <v>-30</v>
      </c>
      <c r="AG47" s="23">
        <f>-('Balance Sheet'!AG64)+('Balance Sheet'!AF36-'Balance Sheet'!AG36)+('Balance Sheet'!AF38-'Balance Sheet'!AG38)+('Balance Sheet'!AF39-'Balance Sheet'!AG39)</f>
        <v>-15</v>
      </c>
      <c r="AH47" s="23">
        <f>-('Balance Sheet'!AH64)+('Balance Sheet'!AG36-'Balance Sheet'!AH36)+('Balance Sheet'!AG38-'Balance Sheet'!AH38)+('Balance Sheet'!AG39-'Balance Sheet'!AH39)</f>
        <v>-15</v>
      </c>
      <c r="AI47" s="23">
        <f>AG47+AH47</f>
        <v>-30</v>
      </c>
    </row>
    <row r="48" spans="2:35" ht="12.9" hidden="1" customHeight="1" outlineLevel="1" x14ac:dyDescent="0.3">
      <c r="B48" s="16" t="s">
        <v>34</v>
      </c>
      <c r="C48" s="66">
        <v>1.04E-2</v>
      </c>
      <c r="D48" s="20">
        <f t="shared" si="44"/>
        <v>0.23170000000000002</v>
      </c>
      <c r="E48" s="66">
        <v>0.24210000000000001</v>
      </c>
      <c r="F48" s="66">
        <v>0.14779999999999999</v>
      </c>
      <c r="G48" s="20">
        <f t="shared" si="45"/>
        <v>1.8200000000000022E-2</v>
      </c>
      <c r="H48" s="66">
        <v>0.16600000000000001</v>
      </c>
      <c r="I48" s="66">
        <v>3.4000000000000002E-2</v>
      </c>
      <c r="J48" s="20">
        <f t="shared" si="46"/>
        <v>0.14069999999999999</v>
      </c>
      <c r="K48" s="66">
        <v>0.17469999999999999</v>
      </c>
      <c r="L48" s="66">
        <v>0.15039999999999998</v>
      </c>
      <c r="M48" s="20">
        <f t="shared" si="47"/>
        <v>0.15139999999999998</v>
      </c>
      <c r="N48" s="66">
        <v>0.30179999999999996</v>
      </c>
      <c r="O48" s="66">
        <v>0.6875</v>
      </c>
      <c r="P48" s="20">
        <f t="shared" si="48"/>
        <v>0.25750000000000006</v>
      </c>
      <c r="Q48" s="66">
        <v>0.94500000000000006</v>
      </c>
      <c r="R48" s="66">
        <v>0.11710000000000001</v>
      </c>
      <c r="S48" s="20">
        <f t="shared" si="49"/>
        <v>4.36E-2</v>
      </c>
      <c r="T48" s="66">
        <v>0.16070000000000001</v>
      </c>
      <c r="W48" s="23">
        <f t="shared" si="50"/>
        <v>0</v>
      </c>
      <c r="Z48" s="23">
        <f t="shared" ref="Z48:Z53" si="51">X48+Y48</f>
        <v>0</v>
      </c>
      <c r="AC48" s="23">
        <f t="shared" ref="AC48:AC53" si="52">AA48+AB48</f>
        <v>0</v>
      </c>
      <c r="AF48" s="23">
        <f t="shared" ref="AF48:AF53" si="53">AD48+AE48</f>
        <v>0</v>
      </c>
      <c r="AI48" s="23">
        <f t="shared" ref="AI48:AI53" si="54">AG48+AH48</f>
        <v>0</v>
      </c>
    </row>
    <row r="49" spans="2:35" ht="12.9" hidden="1" customHeight="1" outlineLevel="1" x14ac:dyDescent="0.3">
      <c r="B49" s="16" t="s">
        <v>35</v>
      </c>
      <c r="C49" s="66">
        <v>0</v>
      </c>
      <c r="D49" s="20">
        <f t="shared" si="44"/>
        <v>0</v>
      </c>
      <c r="E49" s="66">
        <v>0</v>
      </c>
      <c r="F49" s="66">
        <v>0</v>
      </c>
      <c r="G49" s="20">
        <f t="shared" si="45"/>
        <v>0</v>
      </c>
      <c r="H49" s="66">
        <v>0</v>
      </c>
      <c r="I49" s="66">
        <v>0</v>
      </c>
      <c r="J49" s="20">
        <f t="shared" si="46"/>
        <v>0</v>
      </c>
      <c r="K49" s="66">
        <v>0</v>
      </c>
      <c r="L49" s="66">
        <v>0</v>
      </c>
      <c r="M49" s="20">
        <f t="shared" si="47"/>
        <v>0</v>
      </c>
      <c r="N49" s="66">
        <v>0</v>
      </c>
      <c r="O49" s="66">
        <v>-33</v>
      </c>
      <c r="P49" s="20">
        <f t="shared" si="48"/>
        <v>0</v>
      </c>
      <c r="Q49" s="66">
        <v>-33</v>
      </c>
      <c r="R49" s="66">
        <v>0</v>
      </c>
      <c r="S49" s="20">
        <f t="shared" si="49"/>
        <v>0</v>
      </c>
      <c r="T49" s="66">
        <v>0</v>
      </c>
      <c r="U49" s="23">
        <f>'Balance Sheet'!T37-'Balance Sheet'!U37</f>
        <v>0</v>
      </c>
      <c r="V49" s="23">
        <f>'Balance Sheet'!U37-'Balance Sheet'!V37</f>
        <v>0</v>
      </c>
      <c r="W49" s="23">
        <f t="shared" si="50"/>
        <v>0</v>
      </c>
      <c r="X49" s="23">
        <f>'Balance Sheet'!W37-'Balance Sheet'!X37</f>
        <v>0</v>
      </c>
      <c r="Y49" s="23">
        <f>'Balance Sheet'!X37-'Balance Sheet'!Y37</f>
        <v>0</v>
      </c>
      <c r="Z49" s="23">
        <f t="shared" si="51"/>
        <v>0</v>
      </c>
      <c r="AA49" s="23">
        <f>'Balance Sheet'!Z37-'Balance Sheet'!AA37</f>
        <v>0</v>
      </c>
      <c r="AB49" s="23">
        <f>'Balance Sheet'!AA37-'Balance Sheet'!AB37</f>
        <v>0</v>
      </c>
      <c r="AC49" s="23">
        <f t="shared" si="52"/>
        <v>0</v>
      </c>
      <c r="AD49" s="23">
        <f>'Balance Sheet'!AC37-'Balance Sheet'!AD37</f>
        <v>0</v>
      </c>
      <c r="AE49" s="23">
        <f>'Balance Sheet'!AD37-'Balance Sheet'!AE37</f>
        <v>0</v>
      </c>
      <c r="AF49" s="23">
        <f t="shared" si="53"/>
        <v>0</v>
      </c>
      <c r="AG49" s="23">
        <f>'Balance Sheet'!AF37-'Balance Sheet'!AG37</f>
        <v>0</v>
      </c>
      <c r="AH49" s="23">
        <f>'Balance Sheet'!AG37-'Balance Sheet'!AH37</f>
        <v>0</v>
      </c>
      <c r="AI49" s="23">
        <f t="shared" si="54"/>
        <v>0</v>
      </c>
    </row>
    <row r="50" spans="2:35" ht="12.9" hidden="1" customHeight="1" outlineLevel="1" x14ac:dyDescent="0.3">
      <c r="B50" s="16" t="s">
        <v>56</v>
      </c>
      <c r="C50" s="66">
        <v>0</v>
      </c>
      <c r="D50" s="20">
        <f t="shared" si="44"/>
        <v>0</v>
      </c>
      <c r="E50" s="66">
        <v>0</v>
      </c>
      <c r="F50" s="66">
        <v>0</v>
      </c>
      <c r="G50" s="20">
        <f t="shared" si="45"/>
        <v>0</v>
      </c>
      <c r="H50" s="66">
        <v>0</v>
      </c>
      <c r="I50" s="66">
        <v>0</v>
      </c>
      <c r="J50" s="20">
        <f t="shared" si="46"/>
        <v>0</v>
      </c>
      <c r="K50" s="66">
        <v>0</v>
      </c>
      <c r="L50" s="66">
        <v>-88.270799999999994</v>
      </c>
      <c r="M50" s="20">
        <f t="shared" si="47"/>
        <v>-13.836799999999997</v>
      </c>
      <c r="N50" s="66">
        <v>-102.10759999999999</v>
      </c>
      <c r="O50" s="66">
        <v>0</v>
      </c>
      <c r="P50" s="20">
        <f t="shared" si="48"/>
        <v>0</v>
      </c>
      <c r="Q50" s="66">
        <v>0</v>
      </c>
      <c r="R50" s="66">
        <v>0</v>
      </c>
      <c r="S50" s="20">
        <f t="shared" si="49"/>
        <v>0</v>
      </c>
      <c r="T50" s="66">
        <v>0</v>
      </c>
      <c r="W50" s="23">
        <f t="shared" si="50"/>
        <v>0</v>
      </c>
      <c r="Z50" s="23">
        <f t="shared" si="51"/>
        <v>0</v>
      </c>
      <c r="AC50" s="23">
        <f t="shared" si="52"/>
        <v>0</v>
      </c>
      <c r="AF50" s="23">
        <f t="shared" si="53"/>
        <v>0</v>
      </c>
      <c r="AI50" s="23">
        <f t="shared" si="54"/>
        <v>0</v>
      </c>
    </row>
    <row r="51" spans="2:35" ht="12.9" hidden="1" customHeight="1" outlineLevel="1" x14ac:dyDescent="0.3">
      <c r="B51" s="16" t="s">
        <v>36</v>
      </c>
      <c r="C51" s="66">
        <v>44.933900000000001</v>
      </c>
      <c r="D51" s="20">
        <f t="shared" si="44"/>
        <v>0</v>
      </c>
      <c r="E51" s="66">
        <v>44.933900000000001</v>
      </c>
      <c r="F51" s="66">
        <v>0</v>
      </c>
      <c r="G51" s="20">
        <f t="shared" si="45"/>
        <v>0</v>
      </c>
      <c r="H51" s="66">
        <v>0</v>
      </c>
      <c r="I51" s="66">
        <v>0</v>
      </c>
      <c r="J51" s="20">
        <f t="shared" si="46"/>
        <v>0</v>
      </c>
      <c r="K51" s="66">
        <v>0</v>
      </c>
      <c r="L51" s="66">
        <v>0</v>
      </c>
      <c r="M51" s="20">
        <f t="shared" si="47"/>
        <v>2.8948</v>
      </c>
      <c r="N51" s="66">
        <v>2.8948</v>
      </c>
      <c r="O51" s="66">
        <v>83.296399999999991</v>
      </c>
      <c r="P51" s="20">
        <f t="shared" si="48"/>
        <v>12.933200000000014</v>
      </c>
      <c r="Q51" s="66">
        <v>96.229600000000005</v>
      </c>
      <c r="R51" s="66">
        <v>10.7096</v>
      </c>
      <c r="S51" s="20">
        <f t="shared" si="49"/>
        <v>4.3100000000000804E-2</v>
      </c>
      <c r="T51" s="66">
        <v>10.752700000000001</v>
      </c>
      <c r="W51" s="23">
        <f t="shared" si="50"/>
        <v>0</v>
      </c>
      <c r="Z51" s="23">
        <f t="shared" si="51"/>
        <v>0</v>
      </c>
      <c r="AC51" s="23">
        <f t="shared" si="52"/>
        <v>0</v>
      </c>
      <c r="AF51" s="23">
        <f t="shared" si="53"/>
        <v>0</v>
      </c>
      <c r="AI51" s="23">
        <f t="shared" si="54"/>
        <v>0</v>
      </c>
    </row>
    <row r="52" spans="2:35" ht="12.9" hidden="1" customHeight="1" outlineLevel="1" x14ac:dyDescent="0.3">
      <c r="B52" s="16" t="s">
        <v>37</v>
      </c>
      <c r="C52" s="66">
        <v>-31.064</v>
      </c>
      <c r="D52" s="20">
        <f t="shared" si="44"/>
        <v>12.541200000000003</v>
      </c>
      <c r="E52" s="66">
        <v>-18.522799999999997</v>
      </c>
      <c r="F52" s="66">
        <v>-23.1996</v>
      </c>
      <c r="G52" s="20">
        <f t="shared" si="45"/>
        <v>-0.35909999999999798</v>
      </c>
      <c r="H52" s="66">
        <v>-23.558699999999998</v>
      </c>
      <c r="I52" s="66">
        <v>24.901700000000002</v>
      </c>
      <c r="J52" s="20">
        <f t="shared" si="46"/>
        <v>15.180800000000001</v>
      </c>
      <c r="K52" s="66">
        <v>40.082500000000003</v>
      </c>
      <c r="L52" s="66">
        <v>-1.272</v>
      </c>
      <c r="M52" s="20">
        <f t="shared" si="47"/>
        <v>-9.6685999999999996</v>
      </c>
      <c r="N52" s="66">
        <v>-10.9406</v>
      </c>
      <c r="O52" s="66">
        <v>9.134500000000001</v>
      </c>
      <c r="P52" s="20">
        <f t="shared" si="48"/>
        <v>-9.0189000000000004</v>
      </c>
      <c r="Q52" s="66">
        <v>0.11560000000000059</v>
      </c>
      <c r="R52" s="66">
        <v>-1.2165999999999999</v>
      </c>
      <c r="S52" s="20">
        <f t="shared" si="49"/>
        <v>5.8325999999999993</v>
      </c>
      <c r="T52" s="66">
        <v>4.6159999999999997</v>
      </c>
      <c r="U52" s="23">
        <f>('Balance Sheet'!T41-'Balance Sheet'!U41)+('Balance Sheet'!T42-'Balance Sheet'!U42)+('Balance Sheet'!T50-'Balance Sheet'!U50)</f>
        <v>0</v>
      </c>
      <c r="V52" s="23">
        <f>('Balance Sheet'!U41-'Balance Sheet'!V41)+('Balance Sheet'!U42-'Balance Sheet'!V42)+('Balance Sheet'!U50-'Balance Sheet'!V50)</f>
        <v>0</v>
      </c>
      <c r="W52" s="23">
        <f t="shared" si="50"/>
        <v>0</v>
      </c>
      <c r="X52" s="23">
        <f>('Balance Sheet'!W41-'Balance Sheet'!X41)+('Balance Sheet'!W42-'Balance Sheet'!X42)+('Balance Sheet'!W50-'Balance Sheet'!X50)</f>
        <v>0</v>
      </c>
      <c r="Y52" s="23">
        <f>('Balance Sheet'!X41-'Balance Sheet'!Y41)+('Balance Sheet'!X42-'Balance Sheet'!Y42)+('Balance Sheet'!X50-'Balance Sheet'!Y50)</f>
        <v>0</v>
      </c>
      <c r="Z52" s="23">
        <f t="shared" si="51"/>
        <v>0</v>
      </c>
      <c r="AA52" s="23">
        <f>('Balance Sheet'!Z41-'Balance Sheet'!AA41)+('Balance Sheet'!Z42-'Balance Sheet'!AA42)+('Balance Sheet'!Z50-'Balance Sheet'!AA50)</f>
        <v>0</v>
      </c>
      <c r="AB52" s="23">
        <f>('Balance Sheet'!AA41-'Balance Sheet'!AB41)+('Balance Sheet'!AA42-'Balance Sheet'!AB42)+('Balance Sheet'!AA50-'Balance Sheet'!AB50)</f>
        <v>0</v>
      </c>
      <c r="AC52" s="23">
        <f t="shared" si="52"/>
        <v>0</v>
      </c>
      <c r="AD52" s="23">
        <f>('Balance Sheet'!AC41-'Balance Sheet'!AD41)+('Balance Sheet'!AC42-'Balance Sheet'!AD42)+('Balance Sheet'!AC50-'Balance Sheet'!AD50)</f>
        <v>0</v>
      </c>
      <c r="AE52" s="23">
        <f>('Balance Sheet'!AD41-'Balance Sheet'!AE41)+('Balance Sheet'!AD42-'Balance Sheet'!AE42)+('Balance Sheet'!AD50-'Balance Sheet'!AE50)</f>
        <v>0</v>
      </c>
      <c r="AF52" s="23">
        <f t="shared" si="53"/>
        <v>0</v>
      </c>
      <c r="AG52" s="23">
        <f>('Balance Sheet'!AF41-'Balance Sheet'!AG41)+('Balance Sheet'!AF42-'Balance Sheet'!AG42)+('Balance Sheet'!AF50-'Balance Sheet'!AG50)</f>
        <v>0</v>
      </c>
      <c r="AH52" s="23">
        <f>('Balance Sheet'!AG41-'Balance Sheet'!AH41)+('Balance Sheet'!AG42-'Balance Sheet'!AH42)+('Balance Sheet'!AG50-'Balance Sheet'!AH50)</f>
        <v>0</v>
      </c>
      <c r="AI52" s="23">
        <f t="shared" si="54"/>
        <v>0</v>
      </c>
    </row>
    <row r="53" spans="2:35" ht="12.9" hidden="1" customHeight="1" outlineLevel="1" x14ac:dyDescent="0.3">
      <c r="B53" s="16" t="s">
        <v>158</v>
      </c>
      <c r="C53" s="66">
        <v>0.42869999999999997</v>
      </c>
      <c r="D53" s="20">
        <f t="shared" si="44"/>
        <v>1.2833999999999999</v>
      </c>
      <c r="E53" s="66">
        <v>1.7121</v>
      </c>
      <c r="F53" s="66">
        <v>0.37140000000000001</v>
      </c>
      <c r="G53" s="20">
        <f t="shared" si="45"/>
        <v>3.2278000000000002</v>
      </c>
      <c r="H53" s="66">
        <v>3.5992000000000002</v>
      </c>
      <c r="I53" s="66">
        <v>0.61819999999999997</v>
      </c>
      <c r="J53" s="20">
        <f t="shared" si="46"/>
        <v>0.6591999999999999</v>
      </c>
      <c r="K53" s="66">
        <v>1.2773999999999999</v>
      </c>
      <c r="L53" s="66">
        <v>0.20469999999999999</v>
      </c>
      <c r="M53" s="20">
        <f t="shared" si="47"/>
        <v>3.5299999999999998E-2</v>
      </c>
      <c r="N53" s="66">
        <v>0.24</v>
      </c>
      <c r="O53" s="66">
        <v>2.0528</v>
      </c>
      <c r="P53" s="20">
        <f t="shared" si="48"/>
        <v>0.18340000000000023</v>
      </c>
      <c r="Q53" s="66">
        <v>2.2362000000000002</v>
      </c>
      <c r="R53" s="66">
        <v>0.1739</v>
      </c>
      <c r="S53" s="20">
        <f t="shared" si="49"/>
        <v>0.78400000000000003</v>
      </c>
      <c r="T53" s="66">
        <v>0.95789999999999997</v>
      </c>
      <c r="U53" s="23"/>
      <c r="V53" s="23"/>
      <c r="W53" s="23">
        <f t="shared" si="50"/>
        <v>0</v>
      </c>
      <c r="X53" s="23"/>
      <c r="Y53" s="23"/>
      <c r="Z53" s="23">
        <f t="shared" si="51"/>
        <v>0</v>
      </c>
      <c r="AA53" s="23"/>
      <c r="AB53" s="23"/>
      <c r="AC53" s="23">
        <f t="shared" si="52"/>
        <v>0</v>
      </c>
      <c r="AD53" s="23"/>
      <c r="AE53" s="23"/>
      <c r="AF53" s="23">
        <f t="shared" si="53"/>
        <v>0</v>
      </c>
      <c r="AG53" s="23"/>
      <c r="AH53" s="23"/>
      <c r="AI53" s="23">
        <f t="shared" si="54"/>
        <v>0</v>
      </c>
    </row>
    <row r="54" spans="2:35" s="6" customFormat="1" ht="12.9" customHeight="1" collapsed="1" x14ac:dyDescent="0.3">
      <c r="B54" s="13" t="s">
        <v>116</v>
      </c>
      <c r="C54" s="98">
        <f>SUM(C47:C53)</f>
        <v>-20.410600000000002</v>
      </c>
      <c r="D54" s="98">
        <f t="shared" ref="D54:AI54" si="55">SUM(D47:D53)</f>
        <v>8.4947000000000052</v>
      </c>
      <c r="E54" s="98">
        <f t="shared" si="55"/>
        <v>-11.915899999999993</v>
      </c>
      <c r="F54" s="98">
        <f t="shared" si="55"/>
        <v>-25.317699999999999</v>
      </c>
      <c r="G54" s="98">
        <f t="shared" si="55"/>
        <v>-36.0276</v>
      </c>
      <c r="H54" s="98">
        <f t="shared" si="55"/>
        <v>-61.345300000000002</v>
      </c>
      <c r="I54" s="98">
        <f t="shared" si="55"/>
        <v>-12.543800000000003</v>
      </c>
      <c r="J54" s="98">
        <f t="shared" si="55"/>
        <v>-20.840199999999992</v>
      </c>
      <c r="K54" s="98">
        <f t="shared" si="55"/>
        <v>-33.383999999999993</v>
      </c>
      <c r="L54" s="98">
        <f t="shared" si="55"/>
        <v>-107.6288</v>
      </c>
      <c r="M54" s="98">
        <f t="shared" si="55"/>
        <v>-44.894600000000004</v>
      </c>
      <c r="N54" s="98">
        <f t="shared" si="55"/>
        <v>-152.52339999999998</v>
      </c>
      <c r="O54" s="98">
        <f t="shared" si="55"/>
        <v>40.155399999999993</v>
      </c>
      <c r="P54" s="98">
        <f t="shared" si="55"/>
        <v>-18.247299999999989</v>
      </c>
      <c r="Q54" s="98">
        <f t="shared" si="55"/>
        <v>21.908100000000008</v>
      </c>
      <c r="R54" s="98">
        <f t="shared" si="55"/>
        <v>-28.797499999999996</v>
      </c>
      <c r="S54" s="98">
        <f t="shared" ref="S54:T54" si="56">SUM(S47:S53)</f>
        <v>-7.5934000000000017</v>
      </c>
      <c r="T54" s="98">
        <f t="shared" si="56"/>
        <v>-36.390899999999995</v>
      </c>
      <c r="U54" s="98">
        <f t="shared" si="55"/>
        <v>-20.927199999999999</v>
      </c>
      <c r="V54" s="98">
        <f t="shared" ref="V54" si="57">SUM(V47:V53)</f>
        <v>-17.5</v>
      </c>
      <c r="W54" s="98">
        <f t="shared" ref="W54" si="58">SUM(W47:W53)</f>
        <v>-38.427199999999999</v>
      </c>
      <c r="X54" s="98">
        <f t="shared" si="55"/>
        <v>-15</v>
      </c>
      <c r="Y54" s="98">
        <f t="shared" si="55"/>
        <v>-15</v>
      </c>
      <c r="Z54" s="98">
        <f t="shared" si="55"/>
        <v>-30</v>
      </c>
      <c r="AA54" s="98">
        <f t="shared" si="55"/>
        <v>-15</v>
      </c>
      <c r="AB54" s="98">
        <f t="shared" si="55"/>
        <v>-15</v>
      </c>
      <c r="AC54" s="98">
        <f t="shared" si="55"/>
        <v>-30</v>
      </c>
      <c r="AD54" s="98">
        <f t="shared" si="55"/>
        <v>-15</v>
      </c>
      <c r="AE54" s="98">
        <f t="shared" si="55"/>
        <v>-15</v>
      </c>
      <c r="AF54" s="98">
        <f t="shared" si="55"/>
        <v>-30</v>
      </c>
      <c r="AG54" s="98">
        <f t="shared" si="55"/>
        <v>-15</v>
      </c>
      <c r="AH54" s="98">
        <f t="shared" si="55"/>
        <v>-15</v>
      </c>
      <c r="AI54" s="98">
        <f t="shared" si="55"/>
        <v>-30</v>
      </c>
    </row>
    <row r="55" spans="2:35" s="193" customFormat="1" ht="12.9" hidden="1" customHeight="1" outlineLevel="1" x14ac:dyDescent="0.3">
      <c r="B55" s="178" t="s">
        <v>118</v>
      </c>
      <c r="C55" s="191">
        <v>-20.410600000000002</v>
      </c>
      <c r="D55" s="191"/>
      <c r="E55" s="191">
        <v>-11.915899999999993</v>
      </c>
      <c r="F55" s="191">
        <v>-25.317699999999999</v>
      </c>
      <c r="G55" s="191"/>
      <c r="H55" s="191">
        <v>-61.345300000000002</v>
      </c>
      <c r="I55" s="191">
        <v>-12.543800000000003</v>
      </c>
      <c r="J55" s="191"/>
      <c r="K55" s="191">
        <v>-33.383999999999993</v>
      </c>
      <c r="L55" s="191">
        <v>-107.6288</v>
      </c>
      <c r="M55" s="191"/>
      <c r="N55" s="191">
        <v>-152.52339999999998</v>
      </c>
      <c r="O55" s="191">
        <v>40.155399999999993</v>
      </c>
      <c r="P55" s="191"/>
      <c r="Q55" s="191">
        <v>21.908100000000008</v>
      </c>
      <c r="R55" s="191">
        <v>-28.797499999999996</v>
      </c>
      <c r="S55" s="191"/>
      <c r="T55" s="191">
        <v>-36.390900000000002</v>
      </c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</row>
    <row r="56" spans="2:35" s="193" customFormat="1" ht="12.9" hidden="1" customHeight="1" outlineLevel="1" x14ac:dyDescent="0.3">
      <c r="B56" s="178" t="s">
        <v>136</v>
      </c>
      <c r="C56" s="191">
        <f>C54-C55</f>
        <v>0</v>
      </c>
      <c r="D56" s="191"/>
      <c r="E56" s="191">
        <f t="shared" ref="E56:R56" si="59">E54-E55</f>
        <v>0</v>
      </c>
      <c r="F56" s="191">
        <f t="shared" si="59"/>
        <v>0</v>
      </c>
      <c r="G56" s="191"/>
      <c r="H56" s="191">
        <f t="shared" si="59"/>
        <v>0</v>
      </c>
      <c r="I56" s="191">
        <f t="shared" si="59"/>
        <v>0</v>
      </c>
      <c r="J56" s="191"/>
      <c r="K56" s="191">
        <f t="shared" si="59"/>
        <v>0</v>
      </c>
      <c r="L56" s="191">
        <f t="shared" si="59"/>
        <v>0</v>
      </c>
      <c r="M56" s="191"/>
      <c r="N56" s="191">
        <f t="shared" si="59"/>
        <v>0</v>
      </c>
      <c r="O56" s="191">
        <f t="shared" si="59"/>
        <v>0</v>
      </c>
      <c r="P56" s="191"/>
      <c r="Q56" s="191">
        <f t="shared" si="59"/>
        <v>0</v>
      </c>
      <c r="R56" s="191">
        <f t="shared" si="59"/>
        <v>0</v>
      </c>
      <c r="S56" s="191"/>
      <c r="T56" s="191">
        <f t="shared" ref="T56" si="60">T54-T55</f>
        <v>0</v>
      </c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</row>
    <row r="57" spans="2:35" ht="12.9" customHeight="1" collapsed="1" x14ac:dyDescent="0.3">
      <c r="B57" s="13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</row>
    <row r="58" spans="2:35" ht="12.9" customHeight="1" x14ac:dyDescent="0.3">
      <c r="B58" s="13" t="s">
        <v>50</v>
      </c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</row>
    <row r="59" spans="2:35" ht="12.9" hidden="1" customHeight="1" outlineLevel="1" x14ac:dyDescent="0.3">
      <c r="B59" s="16" t="s">
        <v>38</v>
      </c>
      <c r="C59" s="66">
        <v>0.2132</v>
      </c>
      <c r="D59" s="20">
        <f t="shared" ref="D59:D69" si="61">E59-C59</f>
        <v>0.2621</v>
      </c>
      <c r="E59" s="66">
        <v>0.4753</v>
      </c>
      <c r="F59" s="66">
        <v>0.75709999999999988</v>
      </c>
      <c r="G59" s="20">
        <f t="shared" ref="G59:G69" si="62">H59-F59</f>
        <v>1.0000000000010001E-4</v>
      </c>
      <c r="H59" s="66">
        <v>0.75719999999999998</v>
      </c>
      <c r="I59" s="66">
        <v>0</v>
      </c>
      <c r="J59" s="20">
        <f t="shared" ref="J59:J69" si="63">K59-I59</f>
        <v>0.2273</v>
      </c>
      <c r="K59" s="66">
        <v>0.2273</v>
      </c>
      <c r="L59" s="66">
        <v>0.38350000000000001</v>
      </c>
      <c r="M59" s="20">
        <f t="shared" ref="M59:M69" si="64">N59-L59</f>
        <v>1.3751000000000002</v>
      </c>
      <c r="N59" s="66">
        <v>1.7586000000000002</v>
      </c>
      <c r="O59" s="66">
        <v>2.2079</v>
      </c>
      <c r="P59" s="20">
        <f t="shared" ref="P59:P69" si="65">Q59-O59</f>
        <v>0.93389999999999995</v>
      </c>
      <c r="Q59" s="66">
        <v>3.1417999999999999</v>
      </c>
      <c r="R59" s="66">
        <v>0</v>
      </c>
      <c r="S59" s="20">
        <f t="shared" ref="S59:S69" si="66">T59-R59</f>
        <v>5.0000000000000001E-3</v>
      </c>
      <c r="T59" s="66">
        <v>5.0000000000000001E-3</v>
      </c>
      <c r="U59" s="23"/>
      <c r="V59" s="23"/>
      <c r="W59" s="23">
        <f t="shared" ref="W59:W69" si="67">U59+V59</f>
        <v>0</v>
      </c>
      <c r="X59" s="23"/>
      <c r="Y59" s="23"/>
      <c r="Z59" s="23">
        <f t="shared" ref="Z59:Z69" si="68">X59+Y59</f>
        <v>0</v>
      </c>
      <c r="AA59" s="23"/>
      <c r="AB59" s="23"/>
      <c r="AC59" s="23">
        <f t="shared" ref="AC59:AC69" si="69">AA59+AB59</f>
        <v>0</v>
      </c>
      <c r="AD59" s="23"/>
      <c r="AE59" s="23"/>
      <c r="AF59" s="23">
        <f t="shared" ref="AF59:AF69" si="70">AD59+AE59</f>
        <v>0</v>
      </c>
      <c r="AG59" s="23"/>
      <c r="AH59" s="23"/>
      <c r="AI59" s="23">
        <f t="shared" ref="AI59:AI69" si="71">AG59+AH59</f>
        <v>0</v>
      </c>
    </row>
    <row r="60" spans="2:35" ht="12.9" hidden="1" customHeight="1" outlineLevel="1" x14ac:dyDescent="0.3">
      <c r="B60" s="16" t="s">
        <v>59</v>
      </c>
      <c r="C60" s="66">
        <v>0</v>
      </c>
      <c r="D60" s="20">
        <f t="shared" si="61"/>
        <v>-31.124600000000001</v>
      </c>
      <c r="E60" s="66">
        <v>-31.124600000000001</v>
      </c>
      <c r="F60" s="66">
        <v>0</v>
      </c>
      <c r="G60" s="20">
        <f t="shared" si="62"/>
        <v>0</v>
      </c>
      <c r="H60" s="66">
        <v>0</v>
      </c>
      <c r="I60" s="66">
        <v>0</v>
      </c>
      <c r="J60" s="20">
        <f t="shared" si="63"/>
        <v>0</v>
      </c>
      <c r="K60" s="66">
        <v>0</v>
      </c>
      <c r="L60" s="66">
        <v>0</v>
      </c>
      <c r="M60" s="20">
        <f t="shared" si="64"/>
        <v>0</v>
      </c>
      <c r="N60" s="66">
        <v>0</v>
      </c>
      <c r="O60" s="66">
        <v>0</v>
      </c>
      <c r="P60" s="20">
        <f t="shared" si="65"/>
        <v>0</v>
      </c>
      <c r="Q60" s="66">
        <v>0</v>
      </c>
      <c r="R60" s="66">
        <v>0</v>
      </c>
      <c r="S60" s="20">
        <f t="shared" si="66"/>
        <v>0</v>
      </c>
      <c r="T60" s="66">
        <v>0</v>
      </c>
      <c r="U60" s="23"/>
      <c r="V60" s="23"/>
      <c r="W60" s="23">
        <f t="shared" si="67"/>
        <v>0</v>
      </c>
      <c r="X60" s="23"/>
      <c r="Y60" s="23"/>
      <c r="Z60" s="23">
        <f t="shared" si="68"/>
        <v>0</v>
      </c>
      <c r="AA60" s="23"/>
      <c r="AB60" s="23"/>
      <c r="AC60" s="23">
        <f t="shared" si="69"/>
        <v>0</v>
      </c>
      <c r="AD60" s="23"/>
      <c r="AE60" s="23"/>
      <c r="AF60" s="23">
        <f t="shared" si="70"/>
        <v>0</v>
      </c>
      <c r="AG60" s="23"/>
      <c r="AH60" s="23"/>
      <c r="AI60" s="23">
        <f t="shared" si="71"/>
        <v>0</v>
      </c>
    </row>
    <row r="61" spans="2:35" ht="12.9" hidden="1" customHeight="1" outlineLevel="1" x14ac:dyDescent="0.3">
      <c r="B61" s="16" t="s">
        <v>39</v>
      </c>
      <c r="C61" s="66">
        <v>0</v>
      </c>
      <c r="D61" s="20">
        <f t="shared" si="61"/>
        <v>0</v>
      </c>
      <c r="E61" s="66">
        <v>0</v>
      </c>
      <c r="F61" s="66">
        <v>0</v>
      </c>
      <c r="G61" s="20">
        <f t="shared" si="62"/>
        <v>0</v>
      </c>
      <c r="H61" s="66">
        <v>0</v>
      </c>
      <c r="I61" s="66">
        <v>0</v>
      </c>
      <c r="J61" s="20">
        <f t="shared" si="63"/>
        <v>0</v>
      </c>
      <c r="K61" s="66">
        <v>0</v>
      </c>
      <c r="L61" s="66">
        <v>0</v>
      </c>
      <c r="M61" s="20">
        <f t="shared" si="64"/>
        <v>0</v>
      </c>
      <c r="N61" s="66">
        <v>0</v>
      </c>
      <c r="O61" s="66">
        <v>-0.18170000000000003</v>
      </c>
      <c r="P61" s="20">
        <f t="shared" si="65"/>
        <v>0</v>
      </c>
      <c r="Q61" s="66">
        <v>-0.18170000000000003</v>
      </c>
      <c r="R61" s="66">
        <v>0</v>
      </c>
      <c r="S61" s="20">
        <f t="shared" si="66"/>
        <v>0</v>
      </c>
      <c r="T61" s="66">
        <v>0</v>
      </c>
      <c r="U61" s="23"/>
      <c r="V61" s="23"/>
      <c r="W61" s="23">
        <f t="shared" si="67"/>
        <v>0</v>
      </c>
      <c r="X61" s="23"/>
      <c r="Y61" s="23"/>
      <c r="Z61" s="23">
        <f t="shared" si="68"/>
        <v>0</v>
      </c>
      <c r="AA61" s="23"/>
      <c r="AB61" s="23"/>
      <c r="AC61" s="23">
        <f t="shared" si="69"/>
        <v>0</v>
      </c>
      <c r="AD61" s="23"/>
      <c r="AE61" s="23"/>
      <c r="AF61" s="23">
        <f t="shared" si="70"/>
        <v>0</v>
      </c>
      <c r="AG61" s="23"/>
      <c r="AH61" s="23"/>
      <c r="AI61" s="23">
        <f t="shared" si="71"/>
        <v>0</v>
      </c>
    </row>
    <row r="62" spans="2:35" ht="12.9" hidden="1" customHeight="1" outlineLevel="1" x14ac:dyDescent="0.3">
      <c r="B62" s="16" t="s">
        <v>57</v>
      </c>
      <c r="C62" s="66">
        <v>0</v>
      </c>
      <c r="D62" s="20">
        <f t="shared" si="61"/>
        <v>0</v>
      </c>
      <c r="E62" s="66">
        <v>0</v>
      </c>
      <c r="F62" s="66">
        <v>0</v>
      </c>
      <c r="G62" s="20">
        <f t="shared" si="62"/>
        <v>0</v>
      </c>
      <c r="H62" s="66">
        <v>0</v>
      </c>
      <c r="I62" s="66">
        <v>0</v>
      </c>
      <c r="J62" s="20">
        <f t="shared" si="63"/>
        <v>34.340499999999999</v>
      </c>
      <c r="K62" s="66">
        <v>34.340499999999999</v>
      </c>
      <c r="L62" s="66">
        <v>10.488499999999998</v>
      </c>
      <c r="M62" s="20">
        <f t="shared" si="64"/>
        <v>-25.555399999999999</v>
      </c>
      <c r="N62" s="66">
        <v>-15.0669</v>
      </c>
      <c r="O62" s="66">
        <v>0</v>
      </c>
      <c r="P62" s="20">
        <f t="shared" si="65"/>
        <v>0</v>
      </c>
      <c r="Q62" s="66">
        <v>0</v>
      </c>
      <c r="R62" s="66">
        <v>0</v>
      </c>
      <c r="S62" s="20">
        <f t="shared" si="66"/>
        <v>53.299799999999998</v>
      </c>
      <c r="T62" s="66">
        <v>53.299799999999998</v>
      </c>
      <c r="U62" s="23"/>
      <c r="V62" s="23"/>
      <c r="W62" s="23">
        <f t="shared" si="67"/>
        <v>0</v>
      </c>
      <c r="X62" s="23"/>
      <c r="Y62" s="23"/>
      <c r="Z62" s="23">
        <f t="shared" si="68"/>
        <v>0</v>
      </c>
      <c r="AA62" s="23"/>
      <c r="AB62" s="23"/>
      <c r="AC62" s="23">
        <f t="shared" si="69"/>
        <v>0</v>
      </c>
      <c r="AD62" s="23"/>
      <c r="AE62" s="23"/>
      <c r="AF62" s="23">
        <f t="shared" si="70"/>
        <v>0</v>
      </c>
      <c r="AG62" s="23"/>
      <c r="AH62" s="23"/>
      <c r="AI62" s="23">
        <f t="shared" si="71"/>
        <v>0</v>
      </c>
    </row>
    <row r="63" spans="2:35" ht="12.9" hidden="1" customHeight="1" outlineLevel="1" x14ac:dyDescent="0.3">
      <c r="B63" s="16" t="s">
        <v>40</v>
      </c>
      <c r="C63" s="66">
        <v>0</v>
      </c>
      <c r="D63" s="20">
        <f t="shared" si="61"/>
        <v>0</v>
      </c>
      <c r="E63" s="66">
        <v>0</v>
      </c>
      <c r="F63" s="66">
        <v>0</v>
      </c>
      <c r="G63" s="20">
        <f t="shared" si="62"/>
        <v>0</v>
      </c>
      <c r="H63" s="66">
        <v>0</v>
      </c>
      <c r="I63" s="66">
        <v>0</v>
      </c>
      <c r="J63" s="20">
        <f t="shared" si="63"/>
        <v>0</v>
      </c>
      <c r="K63" s="66">
        <v>0</v>
      </c>
      <c r="L63" s="66">
        <v>0</v>
      </c>
      <c r="M63" s="20">
        <f t="shared" si="64"/>
        <v>0</v>
      </c>
      <c r="N63" s="66">
        <v>0</v>
      </c>
      <c r="O63" s="66">
        <v>-2.0569999999999999</v>
      </c>
      <c r="P63" s="20">
        <f t="shared" si="65"/>
        <v>-3.4674</v>
      </c>
      <c r="Q63" s="66">
        <v>-5.5244</v>
      </c>
      <c r="R63" s="66">
        <v>-2.7091000000000003</v>
      </c>
      <c r="S63" s="20">
        <f t="shared" si="66"/>
        <v>-7.1794000000000002</v>
      </c>
      <c r="T63" s="66">
        <v>-9.8885000000000005</v>
      </c>
      <c r="U63" s="23">
        <f>'Balance Sheet'!U13-'Balance Sheet'!T13</f>
        <v>0</v>
      </c>
      <c r="V63" s="23">
        <f>'Balance Sheet'!V13-'Balance Sheet'!U13</f>
        <v>0</v>
      </c>
      <c r="W63" s="23">
        <f t="shared" si="67"/>
        <v>0</v>
      </c>
      <c r="X63" s="23">
        <f>'Balance Sheet'!X13-'Balance Sheet'!W13</f>
        <v>0</v>
      </c>
      <c r="Y63" s="23">
        <f>'Balance Sheet'!Y13-'Balance Sheet'!X13</f>
        <v>0</v>
      </c>
      <c r="Z63" s="23">
        <f t="shared" si="68"/>
        <v>0</v>
      </c>
      <c r="AA63" s="23">
        <f>'Balance Sheet'!AA13-'Balance Sheet'!Z13</f>
        <v>0</v>
      </c>
      <c r="AB63" s="23">
        <f>'Balance Sheet'!AB13-'Balance Sheet'!AA13</f>
        <v>0</v>
      </c>
      <c r="AC63" s="23">
        <f t="shared" si="69"/>
        <v>0</v>
      </c>
      <c r="AD63" s="23">
        <f>'Balance Sheet'!AD13-'Balance Sheet'!AC13</f>
        <v>0</v>
      </c>
      <c r="AE63" s="23">
        <f>'Balance Sheet'!AE13-'Balance Sheet'!AD13</f>
        <v>0</v>
      </c>
      <c r="AF63" s="23">
        <f t="shared" si="70"/>
        <v>0</v>
      </c>
      <c r="AG63" s="23">
        <f>'Balance Sheet'!AG13-'Balance Sheet'!AF13</f>
        <v>0</v>
      </c>
      <c r="AH63" s="23">
        <f>'Balance Sheet'!AH13-'Balance Sheet'!AG13</f>
        <v>0</v>
      </c>
      <c r="AI63" s="23">
        <f t="shared" si="71"/>
        <v>0</v>
      </c>
    </row>
    <row r="64" spans="2:35" ht="12.9" customHeight="1" collapsed="1" x14ac:dyDescent="0.3">
      <c r="B64" s="16" t="s">
        <v>41</v>
      </c>
      <c r="C64" s="66">
        <v>0</v>
      </c>
      <c r="D64" s="20">
        <f t="shared" si="61"/>
        <v>0</v>
      </c>
      <c r="E64" s="66">
        <v>0</v>
      </c>
      <c r="F64" s="66">
        <v>0</v>
      </c>
      <c r="G64" s="20">
        <f t="shared" si="62"/>
        <v>0</v>
      </c>
      <c r="H64" s="66">
        <v>0</v>
      </c>
      <c r="I64" s="66">
        <v>0</v>
      </c>
      <c r="J64" s="20">
        <f t="shared" si="63"/>
        <v>0</v>
      </c>
      <c r="K64" s="66">
        <v>0</v>
      </c>
      <c r="L64" s="66">
        <v>0</v>
      </c>
      <c r="M64" s="20">
        <f t="shared" si="64"/>
        <v>0</v>
      </c>
      <c r="N64" s="66">
        <v>0</v>
      </c>
      <c r="O64" s="66">
        <v>0.17199999999999999</v>
      </c>
      <c r="P64" s="20">
        <f t="shared" si="65"/>
        <v>14.991900000000001</v>
      </c>
      <c r="Q64" s="66">
        <v>15.163900000000002</v>
      </c>
      <c r="R64" s="66">
        <v>128.12299999999999</v>
      </c>
      <c r="S64" s="20">
        <f t="shared" si="66"/>
        <v>-93.642699999999991</v>
      </c>
      <c r="T64" s="66">
        <v>34.4803</v>
      </c>
      <c r="U64" s="23">
        <f>'Balance Sheet'!U19-'Balance Sheet'!T19</f>
        <v>0</v>
      </c>
      <c r="V64" s="23">
        <f>'Balance Sheet'!V19-'Balance Sheet'!U19</f>
        <v>-3.8799999999999955</v>
      </c>
      <c r="W64" s="23">
        <f t="shared" si="67"/>
        <v>-3.8799999999999955</v>
      </c>
      <c r="X64" s="23">
        <f>'Balance Sheet'!X19-'Balance Sheet'!W19</f>
        <v>-5</v>
      </c>
      <c r="Y64" s="23">
        <f>'Balance Sheet'!Y19-'Balance Sheet'!X19</f>
        <v>-5</v>
      </c>
      <c r="Z64" s="23">
        <f t="shared" si="68"/>
        <v>-10</v>
      </c>
      <c r="AA64" s="23">
        <f>'Balance Sheet'!AA19-'Balance Sheet'!Z19</f>
        <v>-5</v>
      </c>
      <c r="AB64" s="23">
        <f>'Balance Sheet'!AB19-'Balance Sheet'!AA19</f>
        <v>-5</v>
      </c>
      <c r="AC64" s="23">
        <f t="shared" si="69"/>
        <v>-10</v>
      </c>
      <c r="AD64" s="23">
        <f>'Balance Sheet'!AD19-'Balance Sheet'!AC19</f>
        <v>-5</v>
      </c>
      <c r="AE64" s="23">
        <f>'Balance Sheet'!AE19-'Balance Sheet'!AD19</f>
        <v>-5</v>
      </c>
      <c r="AF64" s="23">
        <f t="shared" si="70"/>
        <v>-10</v>
      </c>
      <c r="AG64" s="23">
        <f>'Balance Sheet'!AG19-'Balance Sheet'!AF19</f>
        <v>-5</v>
      </c>
      <c r="AH64" s="23">
        <f>'Balance Sheet'!AH19-'Balance Sheet'!AG19</f>
        <v>-5</v>
      </c>
      <c r="AI64" s="23">
        <f t="shared" si="71"/>
        <v>-10</v>
      </c>
    </row>
    <row r="65" spans="2:35" ht="12.9" customHeight="1" x14ac:dyDescent="0.3">
      <c r="B65" s="16" t="s">
        <v>42</v>
      </c>
      <c r="C65" s="66">
        <v>-5.9999999999999995E-4</v>
      </c>
      <c r="D65" s="20">
        <f t="shared" si="61"/>
        <v>-7.0222000000000007</v>
      </c>
      <c r="E65" s="66">
        <v>-7.022800000000001</v>
      </c>
      <c r="F65" s="66">
        <v>-6.7938000000000001</v>
      </c>
      <c r="G65" s="20">
        <f t="shared" si="62"/>
        <v>-2.6000000000001577E-3</v>
      </c>
      <c r="H65" s="66">
        <v>-6.7964000000000002</v>
      </c>
      <c r="I65" s="66">
        <v>-7.8133000000000008</v>
      </c>
      <c r="J65" s="20">
        <f t="shared" si="63"/>
        <v>3.3000000000003027E-3</v>
      </c>
      <c r="K65" s="66">
        <v>-7.8100000000000005</v>
      </c>
      <c r="L65" s="66">
        <v>-14.693399999999999</v>
      </c>
      <c r="M65" s="20">
        <f t="shared" si="64"/>
        <v>2.5900000000000034E-2</v>
      </c>
      <c r="N65" s="66">
        <v>-14.667499999999999</v>
      </c>
      <c r="O65" s="66">
        <v>-39.236899999999999</v>
      </c>
      <c r="P65" s="20">
        <f t="shared" si="65"/>
        <v>4.7899999999998499E-2</v>
      </c>
      <c r="Q65" s="66">
        <v>-39.189</v>
      </c>
      <c r="R65" s="66">
        <v>-33.565799999999996</v>
      </c>
      <c r="S65" s="20">
        <f t="shared" si="66"/>
        <v>4.4499999999999318E-2</v>
      </c>
      <c r="T65" s="66">
        <v>-33.521299999999997</v>
      </c>
      <c r="U65" s="20">
        <f>-'Income Statement'!U56</f>
        <v>-46.332653405073238</v>
      </c>
      <c r="V65" s="23">
        <f>-'Income Statement'!V56</f>
        <v>0</v>
      </c>
      <c r="W65" s="23">
        <f t="shared" si="67"/>
        <v>-46.332653405073238</v>
      </c>
      <c r="X65" s="20">
        <f>-'Income Statement'!X56</f>
        <v>-65.349198953261578</v>
      </c>
      <c r="Y65" s="23">
        <f>-'Income Statement'!Y56</f>
        <v>0</v>
      </c>
      <c r="Z65" s="23">
        <f t="shared" si="68"/>
        <v>-65.349198953261578</v>
      </c>
      <c r="AA65" s="20">
        <f>-'Income Statement'!AA56</f>
        <v>-87.817089814490132</v>
      </c>
      <c r="AB65" s="23">
        <f>-'Income Statement'!AB56</f>
        <v>0</v>
      </c>
      <c r="AC65" s="23">
        <f t="shared" si="69"/>
        <v>-87.817089814490132</v>
      </c>
      <c r="AD65" s="20">
        <f>-'Income Statement'!AD56</f>
        <v>-120.37998686498933</v>
      </c>
      <c r="AE65" s="23">
        <f>-'Income Statement'!AE56</f>
        <v>0</v>
      </c>
      <c r="AF65" s="23">
        <f t="shared" si="70"/>
        <v>-120.37998686498933</v>
      </c>
      <c r="AG65" s="20">
        <f>-'Income Statement'!AG56</f>
        <v>-163.43264859876425</v>
      </c>
      <c r="AH65" s="23">
        <f>-'Income Statement'!AH56</f>
        <v>0</v>
      </c>
      <c r="AI65" s="23">
        <f t="shared" si="71"/>
        <v>-163.43264859876425</v>
      </c>
    </row>
    <row r="66" spans="2:35" ht="12.9" hidden="1" customHeight="1" outlineLevel="1" x14ac:dyDescent="0.3">
      <c r="B66" s="16" t="s">
        <v>43</v>
      </c>
      <c r="C66" s="66">
        <v>-8.9999999999999998E-4</v>
      </c>
      <c r="D66" s="20">
        <f t="shared" si="61"/>
        <v>-1E-3</v>
      </c>
      <c r="E66" s="66">
        <v>-1.9E-3</v>
      </c>
      <c r="F66" s="66">
        <v>-4.0000000000000002E-4</v>
      </c>
      <c r="G66" s="20">
        <f t="shared" si="62"/>
        <v>-7.000000000000001E-4</v>
      </c>
      <c r="H66" s="66">
        <v>-1.1000000000000001E-3</v>
      </c>
      <c r="I66" s="66">
        <v>-5.0000000000000001E-4</v>
      </c>
      <c r="J66" s="20">
        <f t="shared" si="63"/>
        <v>-5.0000000000000001E-4</v>
      </c>
      <c r="K66" s="66">
        <v>-1E-3</v>
      </c>
      <c r="L66" s="66">
        <v>-7.000000000000001E-4</v>
      </c>
      <c r="M66" s="20">
        <f t="shared" si="64"/>
        <v>-8.9999999999999998E-4</v>
      </c>
      <c r="N66" s="66">
        <v>-1.6000000000000001E-3</v>
      </c>
      <c r="O66" s="66">
        <v>-1.1999999999999999E-3</v>
      </c>
      <c r="P66" s="20">
        <f t="shared" si="65"/>
        <v>-1.4E-3</v>
      </c>
      <c r="Q66" s="66">
        <v>-2.5999999999999999E-3</v>
      </c>
      <c r="R66" s="66">
        <v>-1.2999999999999999E-3</v>
      </c>
      <c r="S66" s="20">
        <f t="shared" si="66"/>
        <v>-1.4000000000000002E-3</v>
      </c>
      <c r="T66" s="66">
        <v>-2.7000000000000001E-3</v>
      </c>
      <c r="W66" s="23">
        <f t="shared" si="67"/>
        <v>0</v>
      </c>
      <c r="Z66" s="23">
        <f t="shared" si="68"/>
        <v>0</v>
      </c>
      <c r="AC66" s="23">
        <f t="shared" si="69"/>
        <v>0</v>
      </c>
      <c r="AF66" s="23">
        <f t="shared" si="70"/>
        <v>0</v>
      </c>
      <c r="AI66" s="23">
        <f t="shared" si="71"/>
        <v>0</v>
      </c>
    </row>
    <row r="67" spans="2:35" ht="12.9" hidden="1" customHeight="1" outlineLevel="1" x14ac:dyDescent="0.3">
      <c r="B67" s="16" t="s">
        <v>44</v>
      </c>
      <c r="C67" s="66">
        <v>0</v>
      </c>
      <c r="D67" s="20">
        <f t="shared" si="61"/>
        <v>0</v>
      </c>
      <c r="E67" s="66">
        <v>0</v>
      </c>
      <c r="F67" s="66">
        <v>0</v>
      </c>
      <c r="G67" s="20">
        <f t="shared" si="62"/>
        <v>0</v>
      </c>
      <c r="H67" s="66">
        <v>0</v>
      </c>
      <c r="I67" s="66">
        <v>0</v>
      </c>
      <c r="J67" s="20">
        <f t="shared" si="63"/>
        <v>0</v>
      </c>
      <c r="K67" s="66">
        <v>0</v>
      </c>
      <c r="L67" s="66">
        <v>0</v>
      </c>
      <c r="M67" s="20">
        <f t="shared" si="64"/>
        <v>-6.9599999999999995E-2</v>
      </c>
      <c r="N67" s="66">
        <v>-6.9599999999999995E-2</v>
      </c>
      <c r="O67" s="66">
        <v>-7.7300000000000008E-2</v>
      </c>
      <c r="P67" s="20">
        <f t="shared" si="65"/>
        <v>-0.58899999999999997</v>
      </c>
      <c r="Q67" s="66">
        <v>-0.6663</v>
      </c>
      <c r="R67" s="66">
        <v>-0.27989999999999998</v>
      </c>
      <c r="S67" s="20">
        <f t="shared" si="66"/>
        <v>-0.26400000000000007</v>
      </c>
      <c r="T67" s="66">
        <v>-0.54390000000000005</v>
      </c>
      <c r="U67" s="23">
        <f>'Balance Sheet'!U20-'Balance Sheet'!T20</f>
        <v>0</v>
      </c>
      <c r="V67" s="23">
        <f>'Balance Sheet'!V20-'Balance Sheet'!U20</f>
        <v>0</v>
      </c>
      <c r="W67" s="23">
        <f t="shared" si="67"/>
        <v>0</v>
      </c>
      <c r="X67" s="23">
        <f>'Balance Sheet'!X20-'Balance Sheet'!W20</f>
        <v>0</v>
      </c>
      <c r="Y67" s="23">
        <f>'Balance Sheet'!Y20-'Balance Sheet'!X20</f>
        <v>0</v>
      </c>
      <c r="Z67" s="23">
        <f t="shared" si="68"/>
        <v>0</v>
      </c>
      <c r="AA67" s="23">
        <f>'Balance Sheet'!AA20-'Balance Sheet'!Z20</f>
        <v>0</v>
      </c>
      <c r="AB67" s="23">
        <f>'Balance Sheet'!AB20-'Balance Sheet'!AA20</f>
        <v>0</v>
      </c>
      <c r="AC67" s="23">
        <f t="shared" si="69"/>
        <v>0</v>
      </c>
      <c r="AD67" s="23">
        <f>'Balance Sheet'!AD20-'Balance Sheet'!AC20</f>
        <v>0</v>
      </c>
      <c r="AE67" s="23">
        <f>'Balance Sheet'!AE20-'Balance Sheet'!AD20</f>
        <v>0</v>
      </c>
      <c r="AF67" s="23">
        <f t="shared" si="70"/>
        <v>0</v>
      </c>
      <c r="AG67" s="23">
        <f>'Balance Sheet'!AG20-'Balance Sheet'!AF20</f>
        <v>0</v>
      </c>
      <c r="AH67" s="23">
        <f>'Balance Sheet'!AH20-'Balance Sheet'!AG20</f>
        <v>0</v>
      </c>
      <c r="AI67" s="23">
        <f t="shared" si="71"/>
        <v>0</v>
      </c>
    </row>
    <row r="68" spans="2:35" ht="12.9" hidden="1" customHeight="1" outlineLevel="1" x14ac:dyDescent="0.3">
      <c r="B68" s="16" t="s">
        <v>45</v>
      </c>
      <c r="C68" s="66">
        <v>0</v>
      </c>
      <c r="D68" s="20">
        <f t="shared" si="61"/>
        <v>0</v>
      </c>
      <c r="E68" s="66">
        <v>0</v>
      </c>
      <c r="F68" s="66">
        <v>0</v>
      </c>
      <c r="G68" s="20">
        <f t="shared" si="62"/>
        <v>0</v>
      </c>
      <c r="H68" s="66">
        <v>0</v>
      </c>
      <c r="I68" s="66">
        <v>0</v>
      </c>
      <c r="J68" s="20">
        <f t="shared" si="63"/>
        <v>0</v>
      </c>
      <c r="K68" s="66">
        <v>0</v>
      </c>
      <c r="L68" s="66">
        <v>0</v>
      </c>
      <c r="M68" s="20">
        <f t="shared" si="64"/>
        <v>-2.5099999999999997E-2</v>
      </c>
      <c r="N68" s="66">
        <v>-2.5099999999999997E-2</v>
      </c>
      <c r="O68" s="66">
        <v>-4.2199999999999994E-2</v>
      </c>
      <c r="P68" s="20">
        <f t="shared" si="65"/>
        <v>4.2199999999999994E-2</v>
      </c>
      <c r="Q68" s="66">
        <v>0</v>
      </c>
      <c r="R68" s="66">
        <v>0.1255</v>
      </c>
      <c r="S68" s="20">
        <f t="shared" si="66"/>
        <v>-0.1255</v>
      </c>
      <c r="T68" s="66">
        <v>0</v>
      </c>
      <c r="U68" s="23">
        <f>'Balance Sheet'!U14-'Balance Sheet'!T14</f>
        <v>0</v>
      </c>
      <c r="V68" s="23">
        <f>'Balance Sheet'!V14-'Balance Sheet'!U14</f>
        <v>3</v>
      </c>
      <c r="W68" s="23">
        <f t="shared" si="67"/>
        <v>3</v>
      </c>
      <c r="X68" s="23">
        <f>'Balance Sheet'!X14-'Balance Sheet'!W14</f>
        <v>0</v>
      </c>
      <c r="Y68" s="23">
        <f>'Balance Sheet'!Y14-'Balance Sheet'!X14</f>
        <v>0</v>
      </c>
      <c r="Z68" s="23">
        <f t="shared" si="68"/>
        <v>0</v>
      </c>
      <c r="AA68" s="23">
        <f>'Balance Sheet'!AA14-'Balance Sheet'!Z14</f>
        <v>0</v>
      </c>
      <c r="AB68" s="23">
        <f>'Balance Sheet'!AB14-'Balance Sheet'!AA14</f>
        <v>0</v>
      </c>
      <c r="AC68" s="23">
        <f t="shared" si="69"/>
        <v>0</v>
      </c>
      <c r="AD68" s="23">
        <f>'Balance Sheet'!AD14-'Balance Sheet'!AC14</f>
        <v>0</v>
      </c>
      <c r="AE68" s="23">
        <f>'Balance Sheet'!AE14-'Balance Sheet'!AD14</f>
        <v>0</v>
      </c>
      <c r="AF68" s="23">
        <f t="shared" si="70"/>
        <v>0</v>
      </c>
      <c r="AG68" s="23">
        <f>'Balance Sheet'!AG14-'Balance Sheet'!AF14</f>
        <v>0</v>
      </c>
      <c r="AH68" s="23">
        <f>'Balance Sheet'!AH14-'Balance Sheet'!AG14</f>
        <v>0</v>
      </c>
      <c r="AI68" s="23">
        <f t="shared" si="71"/>
        <v>0</v>
      </c>
    </row>
    <row r="69" spans="2:35" ht="12.9" customHeight="1" collapsed="1" x14ac:dyDescent="0.3">
      <c r="B69" s="16" t="s">
        <v>46</v>
      </c>
      <c r="C69" s="66">
        <v>-0.27079999999999999</v>
      </c>
      <c r="D69" s="20">
        <f t="shared" si="61"/>
        <v>-7.3599999999999999E-2</v>
      </c>
      <c r="E69" s="66">
        <v>-0.34439999999999998</v>
      </c>
      <c r="F69" s="66">
        <v>-0.2223</v>
      </c>
      <c r="G69" s="20">
        <f t="shared" si="62"/>
        <v>-0.80920000000000014</v>
      </c>
      <c r="H69" s="66">
        <v>-1.0315000000000001</v>
      </c>
      <c r="I69" s="66">
        <v>-0.59609999999999996</v>
      </c>
      <c r="J69" s="20">
        <f t="shared" si="63"/>
        <v>-1.2011000000000003</v>
      </c>
      <c r="K69" s="66">
        <v>-1.7972000000000001</v>
      </c>
      <c r="L69" s="66">
        <v>-1.8548099999999998</v>
      </c>
      <c r="M69" s="20">
        <f t="shared" si="64"/>
        <v>-0.29449000000000036</v>
      </c>
      <c r="N69" s="66">
        <v>-2.1493000000000002</v>
      </c>
      <c r="O69" s="66">
        <v>-1.9184000000000001</v>
      </c>
      <c r="P69" s="20">
        <f t="shared" si="65"/>
        <v>-1.3010000000000002</v>
      </c>
      <c r="Q69" s="66">
        <v>-3.2194000000000003</v>
      </c>
      <c r="R69" s="66">
        <v>-2.9775999999999998</v>
      </c>
      <c r="S69" s="20">
        <f t="shared" si="66"/>
        <v>-5.0819000000000001</v>
      </c>
      <c r="T69" s="66">
        <v>-8.0594999999999999</v>
      </c>
      <c r="U69" s="23">
        <f>-'Income Statement'!U31</f>
        <v>-4.6958673480382176</v>
      </c>
      <c r="V69" s="23">
        <f>-'Income Statement'!V31</f>
        <v>-4.6113603360282349</v>
      </c>
      <c r="W69" s="23">
        <f t="shared" si="67"/>
        <v>-9.3072276840664525</v>
      </c>
      <c r="X69" s="23">
        <f>-'Income Statement'!X31</f>
        <v>-4.4179525353455942</v>
      </c>
      <c r="Y69" s="23">
        <f>-'Income Statement'!Y31</f>
        <v>-4.200150958000278</v>
      </c>
      <c r="Z69" s="23">
        <f t="shared" si="68"/>
        <v>-8.6181034933458722</v>
      </c>
      <c r="AA69" s="23">
        <f>-'Income Statement'!AA31</f>
        <v>-3.9823493806549624</v>
      </c>
      <c r="AB69" s="23">
        <f>-'Income Statement'!AB31</f>
        <v>-3.7645478033096462</v>
      </c>
      <c r="AC69" s="23">
        <f t="shared" si="69"/>
        <v>-7.7468971839646086</v>
      </c>
      <c r="AD69" s="23">
        <f>-'Income Statement'!AD31</f>
        <v>-3.5467462259643301</v>
      </c>
      <c r="AE69" s="23">
        <f>-'Income Statement'!AE31</f>
        <v>-3.3289446486190144</v>
      </c>
      <c r="AF69" s="23">
        <f t="shared" si="70"/>
        <v>-6.8756908745833449</v>
      </c>
      <c r="AG69" s="23">
        <f>-'Income Statement'!AG31</f>
        <v>-3.1111430712736983</v>
      </c>
      <c r="AH69" s="23">
        <f>-'Income Statement'!AH31</f>
        <v>-2.8933414939283821</v>
      </c>
      <c r="AI69" s="23">
        <f t="shared" si="71"/>
        <v>-6.0044845652020804</v>
      </c>
    </row>
    <row r="70" spans="2:35" s="6" customFormat="1" ht="12.9" customHeight="1" x14ac:dyDescent="0.3">
      <c r="B70" s="13" t="s">
        <v>115</v>
      </c>
      <c r="C70" s="98">
        <f>SUM(C59:C69)</f>
        <v>-5.9099999999999986E-2</v>
      </c>
      <c r="D70" s="98">
        <f t="shared" ref="D70:R70" si="72">SUM(D59:D69)</f>
        <v>-37.959299999999999</v>
      </c>
      <c r="E70" s="98">
        <f t="shared" si="72"/>
        <v>-38.0184</v>
      </c>
      <c r="F70" s="98">
        <f t="shared" si="72"/>
        <v>-6.2593999999999994</v>
      </c>
      <c r="G70" s="98">
        <f t="shared" si="72"/>
        <v>-0.81240000000000023</v>
      </c>
      <c r="H70" s="98">
        <f t="shared" si="72"/>
        <v>-7.0718000000000005</v>
      </c>
      <c r="I70" s="98">
        <f t="shared" si="72"/>
        <v>-8.4099000000000004</v>
      </c>
      <c r="J70" s="98">
        <f t="shared" si="72"/>
        <v>33.369500000000002</v>
      </c>
      <c r="K70" s="98">
        <f t="shared" si="72"/>
        <v>24.959599999999995</v>
      </c>
      <c r="L70" s="98">
        <f t="shared" si="72"/>
        <v>-5.6769100000000003</v>
      </c>
      <c r="M70" s="98">
        <f t="shared" si="72"/>
        <v>-24.54449</v>
      </c>
      <c r="N70" s="98">
        <f t="shared" si="72"/>
        <v>-30.221399999999999</v>
      </c>
      <c r="O70" s="98">
        <f t="shared" si="72"/>
        <v>-41.134799999999998</v>
      </c>
      <c r="P70" s="98">
        <f t="shared" si="72"/>
        <v>10.657099999999998</v>
      </c>
      <c r="Q70" s="98">
        <f t="shared" si="72"/>
        <v>-30.477699999999999</v>
      </c>
      <c r="R70" s="98">
        <f t="shared" si="72"/>
        <v>88.714799999999997</v>
      </c>
      <c r="S70" s="98">
        <f t="shared" ref="S70:T70" si="73">SUM(S59:S69)</f>
        <v>-52.945599999999992</v>
      </c>
      <c r="T70" s="98">
        <f t="shared" si="73"/>
        <v>35.769200000000012</v>
      </c>
      <c r="U70" s="98">
        <f t="shared" ref="U70:AI70" si="74">SUM(U59:U69)</f>
        <v>-51.028520753111458</v>
      </c>
      <c r="V70" s="98">
        <f t="shared" ref="V70" si="75">SUM(V59:V69)</f>
        <v>-5.4913603360282304</v>
      </c>
      <c r="W70" s="98">
        <f t="shared" ref="W70" si="76">SUM(W59:W69)</f>
        <v>-56.519881089139687</v>
      </c>
      <c r="X70" s="98">
        <f t="shared" si="74"/>
        <v>-74.767151488607169</v>
      </c>
      <c r="Y70" s="98">
        <f t="shared" si="74"/>
        <v>-9.2001509580002789</v>
      </c>
      <c r="Z70" s="98">
        <f t="shared" si="74"/>
        <v>-83.967302446607448</v>
      </c>
      <c r="AA70" s="98">
        <f t="shared" si="74"/>
        <v>-96.799439195145098</v>
      </c>
      <c r="AB70" s="98">
        <f t="shared" si="74"/>
        <v>-8.7645478033096467</v>
      </c>
      <c r="AC70" s="98">
        <f t="shared" si="74"/>
        <v>-105.56398699845474</v>
      </c>
      <c r="AD70" s="98">
        <f t="shared" si="74"/>
        <v>-128.92673309095366</v>
      </c>
      <c r="AE70" s="98">
        <f t="shared" si="74"/>
        <v>-8.3289446486190144</v>
      </c>
      <c r="AF70" s="98">
        <f t="shared" si="74"/>
        <v>-137.25567773957269</v>
      </c>
      <c r="AG70" s="98">
        <f t="shared" si="74"/>
        <v>-171.54379167003793</v>
      </c>
      <c r="AH70" s="98">
        <f t="shared" si="74"/>
        <v>-7.8933414939283821</v>
      </c>
      <c r="AI70" s="98">
        <f t="shared" si="74"/>
        <v>-179.43713316396634</v>
      </c>
    </row>
    <row r="71" spans="2:35" s="193" customFormat="1" ht="12.9" hidden="1" customHeight="1" outlineLevel="1" x14ac:dyDescent="0.3">
      <c r="B71" s="178" t="s">
        <v>118</v>
      </c>
      <c r="C71" s="191">
        <v>-5.9099999999999986E-2</v>
      </c>
      <c r="D71" s="191"/>
      <c r="E71" s="191">
        <v>-38.0184</v>
      </c>
      <c r="F71" s="191">
        <v>-6.2593999999999994</v>
      </c>
      <c r="G71" s="191"/>
      <c r="H71" s="191">
        <v>-7.0718000000000005</v>
      </c>
      <c r="I71" s="191">
        <v>-8.4099000000000004</v>
      </c>
      <c r="J71" s="191"/>
      <c r="K71" s="191">
        <v>24.959599999999995</v>
      </c>
      <c r="L71" s="191">
        <v>-5.6769100000000003</v>
      </c>
      <c r="M71" s="191"/>
      <c r="N71" s="191">
        <v>-30.221399999999999</v>
      </c>
      <c r="O71" s="191">
        <v>-41.134799999999998</v>
      </c>
      <c r="P71" s="191"/>
      <c r="Q71" s="191">
        <v>-30.477699999999999</v>
      </c>
      <c r="R71" s="191">
        <v>88.714799999999997</v>
      </c>
      <c r="S71" s="191"/>
      <c r="T71" s="191">
        <v>35.769199999999998</v>
      </c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</row>
    <row r="72" spans="2:35" s="193" customFormat="1" ht="12.9" hidden="1" customHeight="1" outlineLevel="1" x14ac:dyDescent="0.3">
      <c r="B72" s="178" t="s">
        <v>136</v>
      </c>
      <c r="C72" s="191">
        <f>C70-C71</f>
        <v>0</v>
      </c>
      <c r="D72" s="191"/>
      <c r="E72" s="191">
        <f t="shared" ref="E72:R72" si="77">E70-E71</f>
        <v>0</v>
      </c>
      <c r="F72" s="191">
        <f t="shared" si="77"/>
        <v>0</v>
      </c>
      <c r="G72" s="191"/>
      <c r="H72" s="191">
        <f t="shared" si="77"/>
        <v>0</v>
      </c>
      <c r="I72" s="191">
        <f t="shared" si="77"/>
        <v>0</v>
      </c>
      <c r="J72" s="191"/>
      <c r="K72" s="191">
        <f t="shared" si="77"/>
        <v>0</v>
      </c>
      <c r="L72" s="191">
        <f t="shared" si="77"/>
        <v>0</v>
      </c>
      <c r="M72" s="191"/>
      <c r="N72" s="191">
        <f t="shared" si="77"/>
        <v>0</v>
      </c>
      <c r="O72" s="191">
        <f t="shared" si="77"/>
        <v>0</v>
      </c>
      <c r="P72" s="191"/>
      <c r="Q72" s="191">
        <f t="shared" si="77"/>
        <v>0</v>
      </c>
      <c r="R72" s="191">
        <f t="shared" si="77"/>
        <v>0</v>
      </c>
      <c r="S72" s="191"/>
      <c r="T72" s="191">
        <f t="shared" ref="T72" si="78">T70-T71</f>
        <v>0</v>
      </c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</row>
    <row r="73" spans="2:35" s="6" customFormat="1" ht="12.9" customHeight="1" collapsed="1" x14ac:dyDescent="0.3">
      <c r="B73" s="13"/>
      <c r="C73" s="20"/>
      <c r="D73" s="98"/>
      <c r="E73" s="98"/>
      <c r="F73" s="20"/>
      <c r="G73" s="98"/>
      <c r="H73" s="98"/>
      <c r="I73" s="20"/>
      <c r="J73" s="98"/>
      <c r="K73" s="98"/>
      <c r="L73" s="20"/>
      <c r="M73" s="98"/>
      <c r="N73" s="98"/>
      <c r="O73" s="20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8"/>
      <c r="AB73" s="98"/>
      <c r="AC73" s="98"/>
      <c r="AD73" s="98"/>
      <c r="AE73" s="98"/>
      <c r="AF73" s="98"/>
      <c r="AG73" s="98"/>
      <c r="AH73" s="98"/>
      <c r="AI73" s="98"/>
    </row>
    <row r="74" spans="2:35" s="6" customFormat="1" ht="12.9" customHeight="1" x14ac:dyDescent="0.3">
      <c r="B74" s="13" t="s">
        <v>282</v>
      </c>
      <c r="C74" s="98">
        <f>C42+C54+C70</f>
        <v>45.664299999999997</v>
      </c>
      <c r="D74" s="98">
        <f t="shared" ref="D74:R74" si="79">D42+D54+D70</f>
        <v>-42.617500000000007</v>
      </c>
      <c r="E74" s="98">
        <f t="shared" si="79"/>
        <v>3.0467999999999691</v>
      </c>
      <c r="F74" s="98">
        <f t="shared" si="79"/>
        <v>11.823399999999996</v>
      </c>
      <c r="G74" s="98">
        <f t="shared" si="79"/>
        <v>-6.1977999999999867</v>
      </c>
      <c r="H74" s="98">
        <f t="shared" si="79"/>
        <v>5.6256000000000226</v>
      </c>
      <c r="I74" s="98">
        <f t="shared" si="79"/>
        <v>6.6247999999999951</v>
      </c>
      <c r="J74" s="98">
        <f t="shared" si="79"/>
        <v>14.967900000000007</v>
      </c>
      <c r="K74" s="98">
        <f t="shared" si="79"/>
        <v>21.592699999999983</v>
      </c>
      <c r="L74" s="98">
        <f t="shared" si="79"/>
        <v>-17.633119999999984</v>
      </c>
      <c r="M74" s="98">
        <f t="shared" si="79"/>
        <v>4.272620000000007</v>
      </c>
      <c r="N74" s="98">
        <f t="shared" si="79"/>
        <v>-13.360499999999984</v>
      </c>
      <c r="O74" s="98">
        <f t="shared" si="79"/>
        <v>-16.835600000000035</v>
      </c>
      <c r="P74" s="98">
        <f t="shared" si="79"/>
        <v>1.1127000000000038</v>
      </c>
      <c r="Q74" s="98">
        <f t="shared" si="79"/>
        <v>-15.722899999999981</v>
      </c>
      <c r="R74" s="98">
        <f t="shared" si="79"/>
        <v>-2.2753999999999905</v>
      </c>
      <c r="S74" s="98">
        <f t="shared" ref="S74:T74" si="80">S42+S54+S70</f>
        <v>4.3129000000000062</v>
      </c>
      <c r="T74" s="98">
        <f t="shared" si="80"/>
        <v>1.5404000000000195</v>
      </c>
      <c r="U74" s="98">
        <f t="shared" ref="U74:AI74" si="81">U42+U54+U70</f>
        <v>46.569388596363844</v>
      </c>
      <c r="V74" s="98">
        <f t="shared" si="81"/>
        <v>31.604568824701587</v>
      </c>
      <c r="W74" s="98">
        <f t="shared" si="81"/>
        <v>78.173957421065438</v>
      </c>
      <c r="X74" s="98">
        <f t="shared" si="81"/>
        <v>47.311777455764059</v>
      </c>
      <c r="Y74" s="98">
        <f t="shared" si="81"/>
        <v>40.591014396655424</v>
      </c>
      <c r="Z74" s="98">
        <f t="shared" si="81"/>
        <v>87.902791852419512</v>
      </c>
      <c r="AA74" s="98">
        <f t="shared" si="81"/>
        <v>29.211460546902018</v>
      </c>
      <c r="AB74" s="98">
        <f t="shared" si="81"/>
        <v>53.640535041725151</v>
      </c>
      <c r="AC74" s="98">
        <f t="shared" si="81"/>
        <v>82.851995588627233</v>
      </c>
      <c r="AD74" s="98">
        <f t="shared" si="81"/>
        <v>17.127013528832578</v>
      </c>
      <c r="AE74" s="98">
        <f t="shared" si="81"/>
        <v>82.424401139886314</v>
      </c>
      <c r="AF74" s="98">
        <f t="shared" si="81"/>
        <v>99.551414668718877</v>
      </c>
      <c r="AG74" s="98">
        <f t="shared" si="81"/>
        <v>14.538294880924667</v>
      </c>
      <c r="AH74" s="98">
        <f t="shared" si="81"/>
        <v>105.68196658590838</v>
      </c>
      <c r="AI74" s="98">
        <f t="shared" si="81"/>
        <v>120.22026146683299</v>
      </c>
    </row>
    <row r="75" spans="2:35" s="6" customFormat="1" ht="12.9" customHeight="1" x14ac:dyDescent="0.3">
      <c r="B75" s="13" t="s">
        <v>47</v>
      </c>
      <c r="C75" s="66">
        <v>0.82269999999999999</v>
      </c>
      <c r="D75" s="20">
        <f>C77</f>
        <v>46.486999999999995</v>
      </c>
      <c r="E75" s="66">
        <v>0.82269999999999999</v>
      </c>
      <c r="F75" s="66">
        <v>3.8694999999999999</v>
      </c>
      <c r="G75" s="20">
        <f>F77</f>
        <v>15.692899999999996</v>
      </c>
      <c r="H75" s="66">
        <v>3.8694999999999999</v>
      </c>
      <c r="I75" s="66">
        <v>9.4951000000000008</v>
      </c>
      <c r="J75" s="20">
        <f>I77</f>
        <v>16.119899999999994</v>
      </c>
      <c r="K75" s="66">
        <v>9.4951000000000008</v>
      </c>
      <c r="L75" s="66">
        <v>31.087800000000001</v>
      </c>
      <c r="M75" s="20">
        <f>L77</f>
        <v>13.454680000000018</v>
      </c>
      <c r="N75" s="66">
        <v>31.087800000000001</v>
      </c>
      <c r="O75" s="66">
        <v>17.747499999999999</v>
      </c>
      <c r="P75" s="20">
        <f>O77</f>
        <v>3.4554999999999638</v>
      </c>
      <c r="Q75" s="66">
        <v>17.747499999999999</v>
      </c>
      <c r="R75" s="66">
        <v>2.5105</v>
      </c>
      <c r="S75" s="20">
        <f>R77</f>
        <v>0.23510000000000941</v>
      </c>
      <c r="T75" s="66">
        <v>2.5105</v>
      </c>
      <c r="U75" s="20">
        <f>T77</f>
        <v>4.0509000000000199</v>
      </c>
      <c r="V75" s="20">
        <f>U77</f>
        <v>50.620288596363864</v>
      </c>
      <c r="W75" s="20">
        <f>T77</f>
        <v>4.0509000000000199</v>
      </c>
      <c r="X75" s="20">
        <f>W77</f>
        <v>82.224857421065451</v>
      </c>
      <c r="Y75" s="20">
        <f>X77</f>
        <v>129.53663487682951</v>
      </c>
      <c r="Z75" s="20">
        <f>W77</f>
        <v>82.224857421065451</v>
      </c>
      <c r="AA75" s="20">
        <f>Z77</f>
        <v>170.12764927348496</v>
      </c>
      <c r="AB75" s="20">
        <f>AA77</f>
        <v>199.33910982038697</v>
      </c>
      <c r="AC75" s="20">
        <f>Z77</f>
        <v>170.12764927348496</v>
      </c>
      <c r="AD75" s="20">
        <f>AC77</f>
        <v>252.9796448621122</v>
      </c>
      <c r="AE75" s="20">
        <f>AD77</f>
        <v>270.10665839094474</v>
      </c>
      <c r="AF75" s="20">
        <f>AC77</f>
        <v>252.9796448621122</v>
      </c>
      <c r="AG75" s="20">
        <f>AF77</f>
        <v>352.53105953083104</v>
      </c>
      <c r="AH75" s="20">
        <f>AG77</f>
        <v>367.06935441175574</v>
      </c>
      <c r="AI75" s="20">
        <f>AF77</f>
        <v>352.53105953083104</v>
      </c>
    </row>
    <row r="76" spans="2:35" ht="12.9" customHeight="1" x14ac:dyDescent="0.3">
      <c r="B76" s="16" t="s">
        <v>51</v>
      </c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>
        <f t="shared" ref="M76" si="82">N76-L76</f>
        <v>2.0199999999999999E-2</v>
      </c>
      <c r="N76" s="66">
        <v>2.0199999999999999E-2</v>
      </c>
      <c r="O76" s="66">
        <v>2.5436000000000001</v>
      </c>
      <c r="P76" s="20">
        <f t="shared" ref="P76" si="83">Q76-O76</f>
        <v>-2.0577000000000001</v>
      </c>
      <c r="Q76" s="66">
        <v>0.4859</v>
      </c>
      <c r="R76" s="20"/>
      <c r="S76" s="20">
        <f t="shared" ref="S76" si="84">T76-R76</f>
        <v>0</v>
      </c>
      <c r="T76" s="66">
        <v>0</v>
      </c>
    </row>
    <row r="77" spans="2:35" s="6" customFormat="1" ht="12.9" customHeight="1" x14ac:dyDescent="0.3">
      <c r="B77" s="6" t="s">
        <v>52</v>
      </c>
      <c r="C77" s="98">
        <f>C74+C75+C76</f>
        <v>46.486999999999995</v>
      </c>
      <c r="D77" s="98">
        <f t="shared" ref="D77:AI77" si="85">D74+D75+D76</f>
        <v>3.8694999999999879</v>
      </c>
      <c r="E77" s="98">
        <f t="shared" si="85"/>
        <v>3.8694999999999693</v>
      </c>
      <c r="F77" s="98">
        <f t="shared" si="85"/>
        <v>15.692899999999996</v>
      </c>
      <c r="G77" s="98">
        <f t="shared" si="85"/>
        <v>9.4951000000000096</v>
      </c>
      <c r="H77" s="98">
        <f t="shared" si="85"/>
        <v>9.4951000000000221</v>
      </c>
      <c r="I77" s="98">
        <f t="shared" si="85"/>
        <v>16.119899999999994</v>
      </c>
      <c r="J77" s="98">
        <f t="shared" si="85"/>
        <v>31.087800000000001</v>
      </c>
      <c r="K77" s="98">
        <f t="shared" si="85"/>
        <v>31.087799999999984</v>
      </c>
      <c r="L77" s="98">
        <f t="shared" si="85"/>
        <v>13.454680000000018</v>
      </c>
      <c r="M77" s="98">
        <f t="shared" si="85"/>
        <v>17.747500000000024</v>
      </c>
      <c r="N77" s="98">
        <f t="shared" si="85"/>
        <v>17.747500000000016</v>
      </c>
      <c r="O77" s="98">
        <f t="shared" si="85"/>
        <v>3.4554999999999638</v>
      </c>
      <c r="P77" s="98">
        <f t="shared" si="85"/>
        <v>2.5104999999999671</v>
      </c>
      <c r="Q77" s="98">
        <f t="shared" si="85"/>
        <v>2.5105000000000173</v>
      </c>
      <c r="R77" s="98">
        <f t="shared" si="85"/>
        <v>0.23510000000000941</v>
      </c>
      <c r="S77" s="98">
        <f t="shared" ref="S77:T77" si="86">S74+S75+S76</f>
        <v>4.548000000000016</v>
      </c>
      <c r="T77" s="98">
        <f t="shared" si="86"/>
        <v>4.0509000000000199</v>
      </c>
      <c r="U77" s="98">
        <f t="shared" si="85"/>
        <v>50.620288596363864</v>
      </c>
      <c r="V77" s="98">
        <f t="shared" si="85"/>
        <v>82.224857421065451</v>
      </c>
      <c r="W77" s="98">
        <f t="shared" si="85"/>
        <v>82.224857421065451</v>
      </c>
      <c r="X77" s="98">
        <f t="shared" si="85"/>
        <v>129.53663487682951</v>
      </c>
      <c r="Y77" s="98">
        <f t="shared" si="85"/>
        <v>170.12764927348493</v>
      </c>
      <c r="Z77" s="98">
        <f t="shared" si="85"/>
        <v>170.12764927348496</v>
      </c>
      <c r="AA77" s="98">
        <f t="shared" si="85"/>
        <v>199.33910982038697</v>
      </c>
      <c r="AB77" s="98">
        <f t="shared" si="85"/>
        <v>252.97964486211211</v>
      </c>
      <c r="AC77" s="98">
        <f t="shared" si="85"/>
        <v>252.9796448621122</v>
      </c>
      <c r="AD77" s="98">
        <f t="shared" si="85"/>
        <v>270.10665839094474</v>
      </c>
      <c r="AE77" s="98">
        <f t="shared" si="85"/>
        <v>352.53105953083104</v>
      </c>
      <c r="AF77" s="98">
        <f t="shared" si="85"/>
        <v>352.53105953083104</v>
      </c>
      <c r="AG77" s="98">
        <f t="shared" si="85"/>
        <v>367.06935441175574</v>
      </c>
      <c r="AH77" s="98">
        <f t="shared" si="85"/>
        <v>472.75132099766415</v>
      </c>
      <c r="AI77" s="98">
        <f t="shared" si="85"/>
        <v>472.75132099766404</v>
      </c>
    </row>
    <row r="78" spans="2:35" ht="12.9" customHeight="1" x14ac:dyDescent="0.3">
      <c r="B78" s="6"/>
      <c r="R78" s="98"/>
    </row>
    <row r="79" spans="2:35" ht="12.9" customHeight="1" x14ac:dyDescent="0.3">
      <c r="B79" s="12" t="s">
        <v>103</v>
      </c>
      <c r="C79" s="20">
        <f>-C47</f>
        <v>34.7196</v>
      </c>
      <c r="D79" s="20">
        <f t="shared" ref="D79:R79" si="87">-D47</f>
        <v>5.5615999999999985</v>
      </c>
      <c r="E79" s="20">
        <f t="shared" si="87"/>
        <v>40.281199999999998</v>
      </c>
      <c r="F79" s="20">
        <f t="shared" si="87"/>
        <v>2.6373000000000002</v>
      </c>
      <c r="G79" s="20">
        <f t="shared" si="87"/>
        <v>38.914500000000004</v>
      </c>
      <c r="H79" s="20">
        <f t="shared" si="87"/>
        <v>41.551800000000007</v>
      </c>
      <c r="I79" s="20">
        <f t="shared" si="87"/>
        <v>38.097700000000003</v>
      </c>
      <c r="J79" s="20">
        <f t="shared" si="87"/>
        <v>36.820899999999995</v>
      </c>
      <c r="K79" s="20">
        <f t="shared" si="87"/>
        <v>74.918599999999998</v>
      </c>
      <c r="L79" s="20">
        <f t="shared" si="87"/>
        <v>18.441099999999999</v>
      </c>
      <c r="M79" s="20">
        <f t="shared" si="87"/>
        <v>24.470700000000008</v>
      </c>
      <c r="N79" s="20">
        <f t="shared" si="87"/>
        <v>42.911800000000007</v>
      </c>
      <c r="O79" s="20">
        <f t="shared" si="87"/>
        <v>22.015799999999999</v>
      </c>
      <c r="P79" s="20">
        <f t="shared" si="87"/>
        <v>22.602499999999999</v>
      </c>
      <c r="Q79" s="20">
        <f t="shared" si="87"/>
        <v>44.618299999999998</v>
      </c>
      <c r="R79" s="20">
        <f t="shared" si="87"/>
        <v>38.581499999999998</v>
      </c>
      <c r="S79" s="20">
        <f t="shared" ref="S79:AA79" si="88">-S47</f>
        <v>14.296700000000001</v>
      </c>
      <c r="T79" s="20">
        <f t="shared" si="88"/>
        <v>52.8782</v>
      </c>
      <c r="U79" s="20">
        <f t="shared" si="88"/>
        <v>20.927199999999999</v>
      </c>
      <c r="V79" s="20">
        <f t="shared" si="88"/>
        <v>17.5</v>
      </c>
      <c r="W79" s="20">
        <f t="shared" si="88"/>
        <v>38.427199999999999</v>
      </c>
      <c r="X79" s="20">
        <f t="shared" si="88"/>
        <v>15</v>
      </c>
      <c r="Y79" s="20">
        <f t="shared" si="88"/>
        <v>15</v>
      </c>
      <c r="Z79" s="20">
        <f t="shared" si="88"/>
        <v>30</v>
      </c>
      <c r="AA79" s="20">
        <f t="shared" si="88"/>
        <v>15</v>
      </c>
      <c r="AB79" s="20">
        <f t="shared" ref="AB79:AI79" si="89">-AB47</f>
        <v>15</v>
      </c>
      <c r="AC79" s="20">
        <f t="shared" si="89"/>
        <v>30</v>
      </c>
      <c r="AD79" s="20">
        <f t="shared" si="89"/>
        <v>15</v>
      </c>
      <c r="AE79" s="20">
        <f t="shared" si="89"/>
        <v>15</v>
      </c>
      <c r="AF79" s="20">
        <f t="shared" si="89"/>
        <v>30</v>
      </c>
      <c r="AG79" s="20">
        <f t="shared" si="89"/>
        <v>15</v>
      </c>
      <c r="AH79" s="20">
        <f t="shared" si="89"/>
        <v>15</v>
      </c>
      <c r="AI79" s="20">
        <f t="shared" si="89"/>
        <v>30</v>
      </c>
    </row>
    <row r="80" spans="2:35" ht="12.9" customHeight="1" x14ac:dyDescent="0.3">
      <c r="B80" s="12" t="s">
        <v>104</v>
      </c>
      <c r="C80" s="11">
        <f>C79/'Income Statement'!C8</f>
        <v>0.29701298334672133</v>
      </c>
      <c r="D80" s="11">
        <f>D79/'Income Statement'!D8</f>
        <v>3.4281410089272442E-2</v>
      </c>
      <c r="E80" s="11">
        <f>E79/'Income Statement'!E8</f>
        <v>0.14431002659696429</v>
      </c>
      <c r="F80" s="11">
        <f>F79/'Income Statement'!F8</f>
        <v>1.8697532163966576E-2</v>
      </c>
      <c r="G80" s="11">
        <f>G79/'Income Statement'!G8</f>
        <v>0.26438115399797135</v>
      </c>
      <c r="H80" s="11">
        <f>H79/'Income Statement'!H8</f>
        <v>0.1441561523388713</v>
      </c>
      <c r="I80" s="11">
        <f>I79/'Income Statement'!I8</f>
        <v>0.24942550107436209</v>
      </c>
      <c r="J80" s="11">
        <f>J79/'Income Statement'!J8</f>
        <v>0.14238757476421743</v>
      </c>
      <c r="K80" s="11">
        <f>K79/'Income Statement'!K8</f>
        <v>0.18213386992354949</v>
      </c>
      <c r="L80" s="11">
        <f>L79/'Income Statement'!L8</f>
        <v>6.9573094173110459E-2</v>
      </c>
      <c r="M80" s="11">
        <f>M79/'Income Statement'!M8</f>
        <v>8.5764694625788215E-2</v>
      </c>
      <c r="N80" s="11">
        <f>N79/'Income Statement'!N8</f>
        <v>7.7966948560506344E-2</v>
      </c>
      <c r="O80" s="11">
        <f>O79/'Income Statement'!O8</f>
        <v>6.4917759573878964E-2</v>
      </c>
      <c r="P80" s="11">
        <f>P79/'Income Statement'!P8</f>
        <v>5.7417421414786597E-2</v>
      </c>
      <c r="Q80" s="11">
        <f>Q79/'Income Statement'!Q8</f>
        <v>6.0888581386653123E-2</v>
      </c>
      <c r="R80" s="11">
        <f>R79/'Income Statement'!R8</f>
        <v>9.4675693144892339E-2</v>
      </c>
      <c r="S80" s="11">
        <f>S79/'Income Statement'!S8</f>
        <v>3.4468525744649821E-2</v>
      </c>
      <c r="T80" s="11">
        <f>T79/'Income Statement'!T8</f>
        <v>6.4306203291135206E-2</v>
      </c>
      <c r="U80" s="11">
        <f>U79/'Income Statement'!U8</f>
        <v>4.8688268587671925E-2</v>
      </c>
      <c r="V80" s="11">
        <f>V79/'Income Statement'!V8</f>
        <v>3.7535880717600008E-2</v>
      </c>
      <c r="W80" s="11">
        <f>W79/'Income Statement'!W8</f>
        <v>4.2885549553102191E-2</v>
      </c>
      <c r="X80" s="11">
        <f>X79/'Income Statement'!X8</f>
        <v>2.8143625496440484E-2</v>
      </c>
      <c r="Y80" s="11">
        <f>Y79/'Income Statement'!Y8</f>
        <v>2.7427322725839601E-2</v>
      </c>
      <c r="Z80" s="11">
        <f>Z79/'Income Statement'!Z8</f>
        <v>2.7780857583299651E-2</v>
      </c>
      <c r="AA80" s="11">
        <f>AA79/'Income Statement'!AA8</f>
        <v>2.4766713152094087E-2</v>
      </c>
      <c r="AB80" s="11">
        <f>AB79/'Income Statement'!AB8</f>
        <v>2.265897074305747E-2</v>
      </c>
      <c r="AC80" s="11">
        <f>AC79/'Income Statement'!AC8</f>
        <v>2.3666004688753399E-2</v>
      </c>
      <c r="AD80" s="11">
        <f>AD79/'Income Statement'!AD8</f>
        <v>2.0276704170320795E-2</v>
      </c>
      <c r="AE80" s="11">
        <f>AE79/'Income Statement'!AE8</f>
        <v>1.970919604647289E-2</v>
      </c>
      <c r="AF80" s="11">
        <f>AF79/'Income Statement'!AF8</f>
        <v>1.998892287043437E-2</v>
      </c>
      <c r="AG80" s="11">
        <f>AG79/'Income Statement'!AG8</f>
        <v>1.7258364827395133E-2</v>
      </c>
      <c r="AH80" s="11">
        <f>AH79/'Income Statement'!AH8</f>
        <v>1.6371596991523518E-2</v>
      </c>
      <c r="AI80" s="11">
        <f>AI79/'Income Statement'!AI8</f>
        <v>1.6803289590882002E-2</v>
      </c>
    </row>
    <row r="81" spans="11:20" ht="12.9" customHeight="1" x14ac:dyDescent="0.3"/>
    <row r="82" spans="11:20" ht="12.9" customHeight="1" x14ac:dyDescent="0.3"/>
    <row r="83" spans="11:20" ht="12.9" customHeight="1" x14ac:dyDescent="0.3">
      <c r="K83" s="19"/>
      <c r="L83" s="19"/>
      <c r="M83" s="19"/>
      <c r="N83" s="19"/>
      <c r="O83" s="19"/>
      <c r="P83" s="19"/>
      <c r="Q83" s="19"/>
      <c r="R83" s="19"/>
      <c r="S83" s="19"/>
      <c r="T83" s="1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71F93-9532-463A-B4F8-26899FE00E17}">
  <sheetPr>
    <tabColor rgb="FF8E1C2F"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defaultColWidth="8.77734375" defaultRowHeight="13.8" x14ac:dyDescent="0.3"/>
  <cols>
    <col min="1" max="1" width="2.6640625" style="12" customWidth="1"/>
    <col min="2" max="2" width="34.109375" style="12" customWidth="1"/>
    <col min="3" max="4" width="8.77734375" style="12" hidden="1" customWidth="1"/>
    <col min="5" max="5" width="8.77734375" style="12"/>
    <col min="6" max="7" width="8.77734375" style="12" hidden="1" customWidth="1"/>
    <col min="8" max="8" width="11.33203125" style="12" bestFit="1" customWidth="1"/>
    <col min="9" max="10" width="8.77734375" style="12" hidden="1" customWidth="1"/>
    <col min="11" max="11" width="8.77734375" style="12"/>
    <col min="12" max="13" width="8.77734375" style="12" hidden="1" customWidth="1"/>
    <col min="14" max="14" width="8.77734375" style="12"/>
    <col min="15" max="16" width="8.77734375" style="12" hidden="1" customWidth="1"/>
    <col min="17" max="17" width="8.77734375" style="12"/>
    <col min="18" max="19" width="8.77734375" style="12" hidden="1" customWidth="1"/>
    <col min="20" max="20" width="10.33203125" style="12" bestFit="1" customWidth="1"/>
    <col min="21" max="22" width="8.77734375" style="12" hidden="1" customWidth="1"/>
    <col min="23" max="23" width="9.33203125" style="12" bestFit="1" customWidth="1"/>
    <col min="24" max="25" width="8.77734375" style="12" hidden="1" customWidth="1"/>
    <col min="26" max="26" width="8.77734375" style="12"/>
    <col min="27" max="28" width="8.77734375" style="12" hidden="1" customWidth="1"/>
    <col min="29" max="29" width="8.77734375" style="12"/>
    <col min="30" max="31" width="8.77734375" style="12" hidden="1" customWidth="1"/>
    <col min="32" max="32" width="8.77734375" style="12"/>
    <col min="33" max="34" width="8.77734375" style="12" hidden="1" customWidth="1"/>
    <col min="35" max="16384" width="8.77734375" style="12"/>
  </cols>
  <sheetData>
    <row r="1" spans="2:2" x14ac:dyDescent="0.3">
      <c r="B1" s="1" t="s">
        <v>83</v>
      </c>
    </row>
    <row r="2" spans="2:2" x14ac:dyDescent="0.3">
      <c r="B2" s="12" t="s">
        <v>963</v>
      </c>
    </row>
    <row r="3" spans="2:2" x14ac:dyDescent="0.3">
      <c r="B3" s="12" t="s">
        <v>114</v>
      </c>
    </row>
    <row r="5" spans="2:2" s="360" customFormat="1" x14ac:dyDescent="0.3">
      <c r="B5" s="354" t="s">
        <v>964</v>
      </c>
    </row>
    <row r="154" spans="2:36" x14ac:dyDescent="0.3">
      <c r="B154" s="354" t="s">
        <v>923</v>
      </c>
      <c r="C154" s="360"/>
      <c r="D154" s="360"/>
      <c r="E154" s="360"/>
      <c r="F154" s="360"/>
      <c r="G154" s="360"/>
      <c r="H154" s="360"/>
      <c r="I154" s="360"/>
      <c r="J154" s="360"/>
      <c r="K154" s="360"/>
      <c r="L154" s="360"/>
      <c r="M154" s="360"/>
      <c r="N154" s="360"/>
      <c r="O154" s="360"/>
      <c r="P154" s="360"/>
      <c r="Q154" s="360"/>
      <c r="R154" s="360"/>
      <c r="S154" s="360"/>
      <c r="T154" s="360"/>
      <c r="U154" s="360"/>
      <c r="V154" s="360"/>
      <c r="W154" s="360"/>
      <c r="X154" s="360"/>
      <c r="Y154" s="360"/>
      <c r="Z154" s="360"/>
      <c r="AA154" s="360"/>
      <c r="AB154" s="360"/>
      <c r="AC154" s="360"/>
      <c r="AD154" s="360"/>
      <c r="AE154" s="360"/>
      <c r="AF154" s="360"/>
      <c r="AG154" s="360"/>
      <c r="AH154" s="360"/>
      <c r="AI154" s="360"/>
    </row>
    <row r="155" spans="2:36" x14ac:dyDescent="0.3">
      <c r="B155" s="324" t="s">
        <v>1002</v>
      </c>
      <c r="C155" s="378" t="s">
        <v>161</v>
      </c>
      <c r="D155" s="378" t="s">
        <v>159</v>
      </c>
      <c r="E155" s="379" t="s">
        <v>924</v>
      </c>
      <c r="F155" s="378" t="s">
        <v>161</v>
      </c>
      <c r="G155" s="378" t="s">
        <v>159</v>
      </c>
      <c r="H155" s="379" t="s">
        <v>925</v>
      </c>
      <c r="I155" s="378" t="s">
        <v>161</v>
      </c>
      <c r="J155" s="378" t="s">
        <v>159</v>
      </c>
      <c r="K155" s="379" t="s">
        <v>926</v>
      </c>
      <c r="L155" s="378" t="s">
        <v>161</v>
      </c>
      <c r="M155" s="378" t="s">
        <v>159</v>
      </c>
      <c r="N155" s="379" t="s">
        <v>927</v>
      </c>
      <c r="O155" s="378" t="s">
        <v>161</v>
      </c>
      <c r="P155" s="378" t="s">
        <v>159</v>
      </c>
      <c r="Q155" s="379" t="s">
        <v>283</v>
      </c>
      <c r="R155" s="378" t="s">
        <v>161</v>
      </c>
      <c r="S155" s="378" t="s">
        <v>159</v>
      </c>
      <c r="T155" s="379" t="s">
        <v>959</v>
      </c>
      <c r="U155" s="380" t="s">
        <v>161</v>
      </c>
      <c r="V155" s="380" t="s">
        <v>159</v>
      </c>
      <c r="W155" s="381" t="s">
        <v>928</v>
      </c>
      <c r="X155" s="380" t="s">
        <v>161</v>
      </c>
      <c r="Y155" s="380" t="s">
        <v>159</v>
      </c>
      <c r="Z155" s="381" t="s">
        <v>929</v>
      </c>
      <c r="AA155" s="380" t="s">
        <v>161</v>
      </c>
      <c r="AB155" s="380" t="s">
        <v>159</v>
      </c>
      <c r="AC155" s="381" t="s">
        <v>930</v>
      </c>
      <c r="AD155" s="380" t="s">
        <v>161</v>
      </c>
      <c r="AE155" s="380" t="s">
        <v>159</v>
      </c>
      <c r="AF155" s="381" t="s">
        <v>931</v>
      </c>
      <c r="AG155" s="380" t="s">
        <v>161</v>
      </c>
      <c r="AH155" s="380" t="s">
        <v>159</v>
      </c>
      <c r="AI155" s="382" t="s">
        <v>932</v>
      </c>
    </row>
    <row r="156" spans="2:36" x14ac:dyDescent="0.3">
      <c r="B156" s="325"/>
      <c r="C156" s="346">
        <v>2021</v>
      </c>
      <c r="D156" s="346">
        <v>2021</v>
      </c>
      <c r="E156" s="383"/>
      <c r="F156" s="347">
        <v>2022</v>
      </c>
      <c r="G156" s="347">
        <v>2022</v>
      </c>
      <c r="H156" s="383"/>
      <c r="I156" s="348">
        <v>2023</v>
      </c>
      <c r="J156" s="348">
        <v>2023</v>
      </c>
      <c r="K156" s="383"/>
      <c r="L156" s="348">
        <v>2024</v>
      </c>
      <c r="M156" s="348">
        <v>2024</v>
      </c>
      <c r="N156" s="383"/>
      <c r="O156" s="348">
        <v>2025</v>
      </c>
      <c r="P156" s="348">
        <v>2025</v>
      </c>
      <c r="Q156" s="383"/>
      <c r="R156" s="348">
        <v>2026</v>
      </c>
      <c r="S156" s="348">
        <v>2026</v>
      </c>
      <c r="T156" s="383"/>
      <c r="U156" s="349" t="s">
        <v>162</v>
      </c>
      <c r="V156" s="349" t="s">
        <v>162</v>
      </c>
      <c r="W156" s="384"/>
      <c r="X156" s="349" t="s">
        <v>163</v>
      </c>
      <c r="Y156" s="349" t="s">
        <v>163</v>
      </c>
      <c r="Z156" s="384"/>
      <c r="AA156" s="349" t="s">
        <v>164</v>
      </c>
      <c r="AB156" s="349" t="s">
        <v>164</v>
      </c>
      <c r="AC156" s="384"/>
      <c r="AD156" s="349" t="s">
        <v>165</v>
      </c>
      <c r="AE156" s="349" t="s">
        <v>165</v>
      </c>
      <c r="AF156" s="384"/>
      <c r="AG156" s="349" t="s">
        <v>166</v>
      </c>
      <c r="AH156" s="349" t="s">
        <v>166</v>
      </c>
      <c r="AI156" s="385"/>
    </row>
    <row r="157" spans="2:36" x14ac:dyDescent="0.3">
      <c r="B157" s="254" t="s">
        <v>87</v>
      </c>
      <c r="C157" s="23">
        <f>'Income Statement'!C8</f>
        <v>116.8959</v>
      </c>
      <c r="D157" s="23">
        <f>'Income Statement'!D8</f>
        <v>162.2337</v>
      </c>
      <c r="E157" s="23">
        <f>'Income Statement'!E8</f>
        <v>279.12959999999998</v>
      </c>
      <c r="F157" s="23">
        <f>'Income Statement'!F8</f>
        <v>141.05070000000001</v>
      </c>
      <c r="G157" s="23">
        <f>'Income Statement'!G8</f>
        <v>147.1909</v>
      </c>
      <c r="H157" s="23">
        <f>'Income Statement'!H8</f>
        <v>288.24160000000001</v>
      </c>
      <c r="I157" s="23">
        <f>'Income Statement'!I8</f>
        <v>152.74180000000001</v>
      </c>
      <c r="J157" s="23">
        <f>'Income Statement'!J8</f>
        <v>258.59629999999999</v>
      </c>
      <c r="K157" s="23">
        <f>'Income Statement'!K8</f>
        <v>411.3381</v>
      </c>
      <c r="L157" s="23">
        <f>'Income Statement'!L8</f>
        <v>265.06080000000003</v>
      </c>
      <c r="M157" s="23">
        <f>'Income Statement'!M8</f>
        <v>285.32369999999997</v>
      </c>
      <c r="N157" s="23">
        <f>'Income Statement'!N8</f>
        <v>550.3845</v>
      </c>
      <c r="O157" s="23">
        <f>'Income Statement'!O8</f>
        <v>339.13370000000003</v>
      </c>
      <c r="P157" s="23">
        <f>'Income Statement'!P8</f>
        <v>393.65230000000003</v>
      </c>
      <c r="Q157" s="23">
        <f>'Income Statement'!Q8</f>
        <v>732.78600000000006</v>
      </c>
      <c r="R157" s="23">
        <f>'Income Statement'!R8</f>
        <v>407.51220000000001</v>
      </c>
      <c r="S157" s="23">
        <f>'Income Statement'!S8</f>
        <v>414.77549999999997</v>
      </c>
      <c r="T157" s="23">
        <f>'Income Statement'!T8</f>
        <v>822.28769999999997</v>
      </c>
      <c r="U157" s="23">
        <f>'Income Statement'!U8</f>
        <v>429.82017243675108</v>
      </c>
      <c r="V157" s="23">
        <f>'Income Statement'!V8</f>
        <v>466.22057789613854</v>
      </c>
      <c r="W157" s="23">
        <f>'Income Statement'!W8</f>
        <v>896.0407503328895</v>
      </c>
      <c r="X157" s="23">
        <f>'Income Statement'!X8</f>
        <v>532.98037247891716</v>
      </c>
      <c r="Y157" s="23">
        <f>'Income Statement'!Y8</f>
        <v>546.89989795716826</v>
      </c>
      <c r="Z157" s="23">
        <f>'Income Statement'!Z8</f>
        <v>1079.8802704360853</v>
      </c>
      <c r="AA157" s="23">
        <f>'Income Statement'!AA8</f>
        <v>605.65162231596776</v>
      </c>
      <c r="AB157" s="23">
        <f>'Income Statement'!AB8</f>
        <v>661.98946854617748</v>
      </c>
      <c r="AC157" s="23">
        <f>'Income Statement'!AC8</f>
        <v>1267.6410908621451</v>
      </c>
      <c r="AD157" s="23">
        <f>'Income Statement'!AD8</f>
        <v>739.76519428416987</v>
      </c>
      <c r="AE157" s="23">
        <f>'Income Statement'!AE8</f>
        <v>761.0660508237404</v>
      </c>
      <c r="AF157" s="23">
        <f>'Income Statement'!AF8</f>
        <v>1500.8312451079103</v>
      </c>
      <c r="AG157" s="23">
        <f>'Income Statement'!AG8</f>
        <v>869.14375434859801</v>
      </c>
      <c r="AH157" s="23">
        <f>'Income Statement'!AH8</f>
        <v>916.22094092386521</v>
      </c>
      <c r="AI157" s="132">
        <f>'Income Statement'!AI8</f>
        <v>1785.3646952724632</v>
      </c>
      <c r="AJ157" s="19"/>
    </row>
    <row r="158" spans="2:36" x14ac:dyDescent="0.3">
      <c r="B158" s="255" t="s">
        <v>947</v>
      </c>
      <c r="E158" s="40"/>
      <c r="F158" s="137">
        <f>(F157-C157)/C157</f>
        <v>0.20663513433747471</v>
      </c>
      <c r="G158" s="137">
        <f t="shared" ref="G158:AI158" si="0">(G157-D157)/D157</f>
        <v>-9.2723028569279997E-2</v>
      </c>
      <c r="H158" s="137">
        <f t="shared" si="0"/>
        <v>3.2644334388040624E-2</v>
      </c>
      <c r="I158" s="137">
        <f t="shared" si="0"/>
        <v>8.288579921971323E-2</v>
      </c>
      <c r="J158" s="137">
        <f t="shared" si="0"/>
        <v>0.75687695367036945</v>
      </c>
      <c r="K158" s="137">
        <f t="shared" si="0"/>
        <v>0.4270601467657687</v>
      </c>
      <c r="L158" s="137">
        <f t="shared" si="0"/>
        <v>0.73535207782021694</v>
      </c>
      <c r="M158" s="137">
        <f t="shared" si="0"/>
        <v>0.10335569379762971</v>
      </c>
      <c r="N158" s="137">
        <f t="shared" si="0"/>
        <v>0.33803433234120545</v>
      </c>
      <c r="O158" s="137">
        <f t="shared" si="0"/>
        <v>0.27945626060134127</v>
      </c>
      <c r="P158" s="137">
        <f t="shared" si="0"/>
        <v>0.3796691266796276</v>
      </c>
      <c r="Q158" s="137">
        <f t="shared" si="0"/>
        <v>0.33140740700364935</v>
      </c>
      <c r="R158" s="137">
        <f t="shared" si="0"/>
        <v>0.20162696895059373</v>
      </c>
      <c r="S158" s="137">
        <f t="shared" si="0"/>
        <v>5.3659536601208577E-2</v>
      </c>
      <c r="T158" s="137">
        <f t="shared" si="0"/>
        <v>0.1221389327852878</v>
      </c>
      <c r="U158" s="137">
        <f t="shared" si="0"/>
        <v>5.4741851745177372E-2</v>
      </c>
      <c r="V158" s="137">
        <f t="shared" si="0"/>
        <v>0.12403113948663452</v>
      </c>
      <c r="W158" s="137">
        <f t="shared" si="0"/>
        <v>8.9692513134866952E-2</v>
      </c>
      <c r="X158" s="137">
        <f t="shared" si="0"/>
        <v>0.24000781409892138</v>
      </c>
      <c r="Y158" s="137">
        <f t="shared" si="0"/>
        <v>0.17304967623930773</v>
      </c>
      <c r="Z158" s="137">
        <f t="shared" si="0"/>
        <v>0.20516870469886253</v>
      </c>
      <c r="AA158" s="137">
        <f t="shared" si="0"/>
        <v>0.13634882931814757</v>
      </c>
      <c r="AB158" s="137">
        <f t="shared" si="0"/>
        <v>0.21043991966153688</v>
      </c>
      <c r="AC158" s="137">
        <f t="shared" si="0"/>
        <v>0.1738718870659956</v>
      </c>
      <c r="AD158" s="137">
        <f t="shared" si="0"/>
        <v>0.2214368244492792</v>
      </c>
      <c r="AE158" s="137">
        <f t="shared" si="0"/>
        <v>0.14966489194329496</v>
      </c>
      <c r="AF158" s="137">
        <f t="shared" si="0"/>
        <v>0.18395597612504688</v>
      </c>
      <c r="AG158" s="137">
        <f t="shared" si="0"/>
        <v>0.1748913858938993</v>
      </c>
      <c r="AH158" s="137">
        <f t="shared" si="0"/>
        <v>0.20386520977015438</v>
      </c>
      <c r="AI158" s="256">
        <f t="shared" si="0"/>
        <v>0.18958390631326102</v>
      </c>
    </row>
    <row r="159" spans="2:36" x14ac:dyDescent="0.3">
      <c r="B159" s="76"/>
      <c r="AI159" s="170"/>
    </row>
    <row r="160" spans="2:36" x14ac:dyDescent="0.3">
      <c r="B160" s="79" t="s">
        <v>933</v>
      </c>
      <c r="AI160" s="170"/>
    </row>
    <row r="161" spans="2:41" x14ac:dyDescent="0.3">
      <c r="B161" s="76" t="s">
        <v>119</v>
      </c>
      <c r="C161" s="21">
        <f>'Revenue Segments'!C14</f>
        <v>0</v>
      </c>
      <c r="D161" s="21">
        <f>'Revenue Segments'!D14</f>
        <v>0</v>
      </c>
      <c r="E161" s="21">
        <f>'Revenue Segments'!E14</f>
        <v>0</v>
      </c>
      <c r="F161" s="21">
        <f>'Revenue Segments'!F14</f>
        <v>88</v>
      </c>
      <c r="G161" s="21">
        <f>'Revenue Segments'!G14</f>
        <v>107.6</v>
      </c>
      <c r="H161" s="21">
        <f>'Revenue Segments'!H14</f>
        <v>195.6</v>
      </c>
      <c r="I161" s="21">
        <f>'Revenue Segments'!I14</f>
        <v>115.7</v>
      </c>
      <c r="J161" s="21">
        <f>'Revenue Segments'!J14</f>
        <v>190.10000000000002</v>
      </c>
      <c r="K161" s="21">
        <f>'Revenue Segments'!K14</f>
        <v>305.8</v>
      </c>
      <c r="L161" s="21">
        <f>'Revenue Segments'!L14</f>
        <v>104.9</v>
      </c>
      <c r="M161" s="21">
        <f>'Revenue Segments'!M14</f>
        <v>282.70000000000005</v>
      </c>
      <c r="N161" s="21">
        <f>'Revenue Segments'!N14</f>
        <v>387.6</v>
      </c>
      <c r="O161" s="21">
        <f>'Revenue Segments'!O14</f>
        <v>243</v>
      </c>
      <c r="P161" s="21">
        <f>'Revenue Segments'!P14</f>
        <v>224.60000000000002</v>
      </c>
      <c r="Q161" s="21">
        <f>'Revenue Segments'!Q14</f>
        <v>467.6</v>
      </c>
      <c r="R161" s="21">
        <f>'Revenue Segments'!R14</f>
        <v>234.8</v>
      </c>
      <c r="S161" s="21">
        <f>'Revenue Segments'!S14</f>
        <v>208.39999999999998</v>
      </c>
      <c r="T161" s="21">
        <f>'Revenue Segments'!T14</f>
        <v>443.2</v>
      </c>
      <c r="U161" s="21">
        <f>'Revenue Segments'!U14</f>
        <v>217.035</v>
      </c>
      <c r="V161" s="21">
        <f>'Revenue Segments'!V14</f>
        <v>279.52245000000005</v>
      </c>
      <c r="W161" s="21">
        <f>'Revenue Segments'!W14</f>
        <v>496.55745000000002</v>
      </c>
      <c r="X161" s="21">
        <f>'Revenue Segments'!X14</f>
        <v>224.87627500000008</v>
      </c>
      <c r="Y161" s="21">
        <f>'Revenue Segments'!Y14</f>
        <v>275.82939750000003</v>
      </c>
      <c r="Z161" s="21">
        <f>'Revenue Segments'!Z14</f>
        <v>500.70567250000011</v>
      </c>
      <c r="AA161" s="21">
        <f>'Revenue Segments'!AA14</f>
        <v>222.05849462500004</v>
      </c>
      <c r="AB161" s="21">
        <f>'Revenue Segments'!AB14</f>
        <v>303.67593326125001</v>
      </c>
      <c r="AC161" s="21">
        <f>'Revenue Segments'!AC14</f>
        <v>525.73442788625005</v>
      </c>
      <c r="AD161" s="21">
        <f>'Revenue Segments'!AD14</f>
        <v>232.10686920825006</v>
      </c>
      <c r="AE161" s="21">
        <f>'Revenue Segments'!AE14</f>
        <v>339.27571936170011</v>
      </c>
      <c r="AF161" s="21">
        <f>'Revenue Segments'!AF14</f>
        <v>571.38258856995014</v>
      </c>
      <c r="AG161" s="21">
        <f>'Revenue Segments'!AG14</f>
        <v>244.36607183807001</v>
      </c>
      <c r="AH161" s="21">
        <f>'Revenue Segments'!AH14</f>
        <v>373.59719917996449</v>
      </c>
      <c r="AI161" s="131">
        <f>'Revenue Segments'!AI14</f>
        <v>617.96327101803445</v>
      </c>
    </row>
    <row r="162" spans="2:41" s="69" customFormat="1" x14ac:dyDescent="0.3">
      <c r="B162" s="257" t="s">
        <v>948</v>
      </c>
      <c r="C162" s="213"/>
      <c r="D162" s="213"/>
      <c r="E162" s="180">
        <f>E161/E$157</f>
        <v>0</v>
      </c>
      <c r="F162" s="180">
        <f t="shared" ref="F162:AI162" si="1">F161/F$157</f>
        <v>0.62388914057143985</v>
      </c>
      <c r="G162" s="180">
        <f t="shared" si="1"/>
        <v>0.73102345321619744</v>
      </c>
      <c r="H162" s="180">
        <f t="shared" si="1"/>
        <v>0.67859739884874348</v>
      </c>
      <c r="I162" s="180">
        <f t="shared" si="1"/>
        <v>0.75748747232257307</v>
      </c>
      <c r="J162" s="180">
        <f t="shared" si="1"/>
        <v>0.73512266030101758</v>
      </c>
      <c r="K162" s="180">
        <f t="shared" si="1"/>
        <v>0.7434273654689415</v>
      </c>
      <c r="L162" s="180">
        <f t="shared" si="1"/>
        <v>0.3957582562189505</v>
      </c>
      <c r="M162" s="180">
        <f t="shared" si="1"/>
        <v>0.99080447926337722</v>
      </c>
      <c r="N162" s="180">
        <f t="shared" si="1"/>
        <v>0.70423494847692847</v>
      </c>
      <c r="O162" s="180">
        <f t="shared" si="1"/>
        <v>0.7165315626255957</v>
      </c>
      <c r="P162" s="180">
        <f t="shared" si="1"/>
        <v>0.57055426832257805</v>
      </c>
      <c r="Q162" s="180">
        <f t="shared" si="1"/>
        <v>0.63811262769758159</v>
      </c>
      <c r="R162" s="180">
        <f t="shared" si="1"/>
        <v>0.57617906899474425</v>
      </c>
      <c r="S162" s="180">
        <f t="shared" si="1"/>
        <v>0.50244047683626447</v>
      </c>
      <c r="T162" s="180">
        <f t="shared" si="1"/>
        <v>0.53898410495499327</v>
      </c>
      <c r="U162" s="180">
        <f t="shared" si="1"/>
        <v>0.50494372744205518</v>
      </c>
      <c r="V162" s="180">
        <f t="shared" si="1"/>
        <v>0.59954979091950367</v>
      </c>
      <c r="W162" s="180">
        <f t="shared" si="1"/>
        <v>0.55416837885500536</v>
      </c>
      <c r="X162" s="180">
        <f t="shared" si="1"/>
        <v>0.42192224444230431</v>
      </c>
      <c r="Y162" s="180">
        <f t="shared" si="1"/>
        <v>0.50435079350042633</v>
      </c>
      <c r="Z162" s="180">
        <f t="shared" si="1"/>
        <v>0.46366776596242598</v>
      </c>
      <c r="AA162" s="180">
        <f t="shared" si="1"/>
        <v>0.36664393595754685</v>
      </c>
      <c r="AB162" s="180">
        <f t="shared" si="1"/>
        <v>0.45873227247582249</v>
      </c>
      <c r="AC162" s="180">
        <f t="shared" si="1"/>
        <v>0.41473444784650265</v>
      </c>
      <c r="AD162" s="180">
        <f t="shared" si="1"/>
        <v>0.31375748818900184</v>
      </c>
      <c r="AE162" s="180">
        <f t="shared" si="1"/>
        <v>0.44579011111385769</v>
      </c>
      <c r="AF162" s="180">
        <f t="shared" si="1"/>
        <v>0.38071074974779562</v>
      </c>
      <c r="AG162" s="180">
        <f t="shared" si="1"/>
        <v>0.28115725461459068</v>
      </c>
      <c r="AH162" s="180">
        <f t="shared" si="1"/>
        <v>0.4077588521424213</v>
      </c>
      <c r="AI162" s="258">
        <f t="shared" si="1"/>
        <v>0.34612719331482439</v>
      </c>
      <c r="AO162" s="12"/>
    </row>
    <row r="163" spans="2:41" x14ac:dyDescent="0.3">
      <c r="B163" s="76" t="s">
        <v>120</v>
      </c>
      <c r="C163" s="21">
        <f>'Revenue Segments'!C26</f>
        <v>0</v>
      </c>
      <c r="D163" s="21">
        <f>'Revenue Segments'!D26</f>
        <v>0</v>
      </c>
      <c r="E163" s="21">
        <f>'Revenue Segments'!E26</f>
        <v>0</v>
      </c>
      <c r="F163" s="21">
        <f>'Revenue Segments'!F26</f>
        <v>42.8</v>
      </c>
      <c r="G163" s="21">
        <f>'Revenue Segments'!G26</f>
        <v>10.400000000000006</v>
      </c>
      <c r="H163" s="21">
        <f>'Revenue Segments'!H26</f>
        <v>53.2</v>
      </c>
      <c r="I163" s="21">
        <f>'Revenue Segments'!I26</f>
        <v>29.2</v>
      </c>
      <c r="J163" s="21">
        <f>'Revenue Segments'!J26</f>
        <v>15.3</v>
      </c>
      <c r="K163" s="21">
        <f>'Revenue Segments'!K26</f>
        <v>44.5</v>
      </c>
      <c r="L163" s="21">
        <f>'Revenue Segments'!L26</f>
        <v>17.124500665778964</v>
      </c>
      <c r="M163" s="21">
        <f>'Revenue Segments'!M26</f>
        <v>54.375499334221033</v>
      </c>
      <c r="N163" s="21">
        <f>'Revenue Segments'!N26</f>
        <v>71.5</v>
      </c>
      <c r="O163" s="21">
        <f>'Revenue Segments'!O26</f>
        <v>33.299999999999997</v>
      </c>
      <c r="P163" s="21">
        <f>'Revenue Segments'!P26</f>
        <v>97.2</v>
      </c>
      <c r="Q163" s="21">
        <f>'Revenue Segments'!Q26</f>
        <v>130.5</v>
      </c>
      <c r="R163" s="21">
        <f>'Revenue Segments'!R26</f>
        <v>128.80000000000001</v>
      </c>
      <c r="S163" s="21">
        <f>'Revenue Segments'!S26</f>
        <v>138.30000000000001</v>
      </c>
      <c r="T163" s="21">
        <f>'Revenue Segments'!T26</f>
        <v>267.10000000000002</v>
      </c>
      <c r="U163" s="21">
        <f>'Revenue Segments'!U26</f>
        <v>140.61556258322236</v>
      </c>
      <c r="V163" s="21">
        <f>'Revenue Segments'!V26</f>
        <v>128.11839380825566</v>
      </c>
      <c r="W163" s="21">
        <f>'Revenue Segments'!W26</f>
        <v>268.73395639147805</v>
      </c>
      <c r="X163" s="21">
        <f>'Revenue Segments'!X26</f>
        <v>215.07050510430543</v>
      </c>
      <c r="Y163" s="21">
        <f>'Revenue Segments'!Y26</f>
        <v>189.60480306258324</v>
      </c>
      <c r="Z163" s="21">
        <f>'Revenue Segments'!Z26</f>
        <v>404.67530816688867</v>
      </c>
      <c r="AA163" s="21">
        <f>'Revenue Segments'!AA26</f>
        <v>265.44197470317357</v>
      </c>
      <c r="AB163" s="21">
        <f>'Revenue Segments'!AB26</f>
        <v>248.88159499047566</v>
      </c>
      <c r="AC163" s="21">
        <f>'Revenue Segments'!AC26</f>
        <v>514.32356969364923</v>
      </c>
      <c r="AD163" s="21">
        <f>'Revenue Segments'!AD26</f>
        <v>360.57183249001326</v>
      </c>
      <c r="AE163" s="21">
        <f>'Revenue Segments'!AE26</f>
        <v>293.86133056544969</v>
      </c>
      <c r="AF163" s="21">
        <f>'Revenue Segments'!AF26</f>
        <v>654.43316305546296</v>
      </c>
      <c r="AG163" s="21">
        <f>'Revenue Segments'!AG26</f>
        <v>459.48868351824802</v>
      </c>
      <c r="AH163" s="21">
        <f>'Revenue Segments'!AH26</f>
        <v>381.59592929447911</v>
      </c>
      <c r="AI163" s="131">
        <f>'Revenue Segments'!AI26</f>
        <v>841.08461281272707</v>
      </c>
      <c r="AO163" s="69"/>
    </row>
    <row r="164" spans="2:41" x14ac:dyDescent="0.3">
      <c r="B164" s="257" t="s">
        <v>948</v>
      </c>
      <c r="C164" s="213"/>
      <c r="D164" s="213"/>
      <c r="E164" s="180">
        <f>E163/E$157</f>
        <v>0</v>
      </c>
      <c r="F164" s="180">
        <f t="shared" ref="F164" si="2">F163/F$157</f>
        <v>0.30343699109610939</v>
      </c>
      <c r="G164" s="180">
        <f t="shared" ref="G164" si="3">G163/G$157</f>
        <v>7.0656541946547011E-2</v>
      </c>
      <c r="H164" s="180">
        <f t="shared" ref="H164" si="4">H163/H$157</f>
        <v>0.18456739068892208</v>
      </c>
      <c r="I164" s="180">
        <f t="shared" ref="I164" si="5">I163/I$157</f>
        <v>0.19117229206412389</v>
      </c>
      <c r="J164" s="180">
        <f t="shared" ref="J164" si="6">J163/J$157</f>
        <v>5.9165579708603727E-2</v>
      </c>
      <c r="K164" s="180">
        <f t="shared" ref="K164" si="7">K163/K$157</f>
        <v>0.10818351132559809</v>
      </c>
      <c r="L164" s="180">
        <f t="shared" ref="L164" si="8">L163/L$157</f>
        <v>6.4605934433831641E-2</v>
      </c>
      <c r="M164" s="180">
        <f t="shared" ref="M164" si="9">M163/M$157</f>
        <v>0.19057477291308447</v>
      </c>
      <c r="N164" s="180">
        <f t="shared" ref="N164" si="10">N163/N$157</f>
        <v>0.12990918167208559</v>
      </c>
      <c r="O164" s="180">
        <f t="shared" ref="O164" si="11">O163/O$157</f>
        <v>9.8191362285729764E-2</v>
      </c>
      <c r="P164" s="180">
        <f t="shared" ref="P164" si="12">P163/P$157</f>
        <v>0.246918409977536</v>
      </c>
      <c r="Q164" s="180">
        <f t="shared" ref="Q164" si="13">Q163/Q$157</f>
        <v>0.17808746346136525</v>
      </c>
      <c r="R164" s="180">
        <f t="shared" ref="R164" si="14">R163/R$157</f>
        <v>0.31606415709762803</v>
      </c>
      <c r="S164" s="180">
        <f t="shared" ref="S164" si="15">S163/S$157</f>
        <v>0.33343338745899898</v>
      </c>
      <c r="T164" s="180">
        <f t="shared" ref="T164" si="16">T163/T$157</f>
        <v>0.32482548383005122</v>
      </c>
      <c r="U164" s="180">
        <f t="shared" ref="U164" si="17">U163/U$157</f>
        <v>0.32714975145545133</v>
      </c>
      <c r="V164" s="180">
        <f t="shared" ref="V164" si="18">V163/V$157</f>
        <v>0.27480209986955362</v>
      </c>
      <c r="W164" s="180">
        <f t="shared" ref="W164" si="19">W163/W$157</f>
        <v>0.2999126505034958</v>
      </c>
      <c r="X164" s="180">
        <f t="shared" ref="X164" si="20">X163/X$157</f>
        <v>0.40352425006572423</v>
      </c>
      <c r="Y164" s="180">
        <f t="shared" ref="Y164" si="21">Y163/Y$157</f>
        <v>0.34669014159778211</v>
      </c>
      <c r="Z164" s="180">
        <f t="shared" ref="Z164" si="22">Z163/Z$157</f>
        <v>0.37474090345540778</v>
      </c>
      <c r="AA164" s="180">
        <f t="shared" ref="AA164" si="23">AA163/AA$157</f>
        <v>0.43827501639992766</v>
      </c>
      <c r="AB164" s="180">
        <f t="shared" ref="AB164" si="24">AB163/AB$157</f>
        <v>0.37596005195831111</v>
      </c>
      <c r="AC164" s="180">
        <f t="shared" ref="AC164" si="25">AC163/AC$157</f>
        <v>0.40573280039687626</v>
      </c>
      <c r="AD164" s="180">
        <f t="shared" ref="AD164" si="26">AD163/AD$157</f>
        <v>0.48741389197003088</v>
      </c>
      <c r="AE164" s="180">
        <f t="shared" ref="AE164" si="27">AE163/AE$157</f>
        <v>0.38611803830612162</v>
      </c>
      <c r="AF164" s="180">
        <f t="shared" ref="AF164" si="28">AF163/AF$157</f>
        <v>0.4360471340056683</v>
      </c>
      <c r="AG164" s="180">
        <f t="shared" ref="AG164" si="29">AG163/AG$157</f>
        <v>0.52866822228116173</v>
      </c>
      <c r="AH164" s="180">
        <f t="shared" ref="AH164" si="30">AH163/AH$157</f>
        <v>0.41648898453434108</v>
      </c>
      <c r="AI164" s="258">
        <f t="shared" ref="AI164" si="31">AI163/AI$157</f>
        <v>0.47109961065090389</v>
      </c>
    </row>
    <row r="165" spans="2:41" x14ac:dyDescent="0.3">
      <c r="B165" s="76" t="s">
        <v>121</v>
      </c>
      <c r="C165" s="21">
        <f>'Revenue Segments'!C38</f>
        <v>0</v>
      </c>
      <c r="D165" s="21">
        <f>'Revenue Segments'!D38</f>
        <v>0</v>
      </c>
      <c r="E165" s="21">
        <f>'Revenue Segments'!E38</f>
        <v>0</v>
      </c>
      <c r="F165" s="21">
        <f>'Revenue Segments'!F38</f>
        <v>0</v>
      </c>
      <c r="G165" s="21">
        <f>'Revenue Segments'!G38</f>
        <v>22</v>
      </c>
      <c r="H165" s="21">
        <f>'Revenue Segments'!H38</f>
        <v>22</v>
      </c>
      <c r="I165" s="21">
        <f>'Revenue Segments'!I38</f>
        <v>3.3</v>
      </c>
      <c r="J165" s="21">
        <f>'Revenue Segments'!J38</f>
        <v>27.3</v>
      </c>
      <c r="K165" s="21">
        <f>'Revenue Segments'!K38</f>
        <v>30.6</v>
      </c>
      <c r="L165" s="21">
        <f>'Revenue Segments'!L38</f>
        <v>11.77549933422104</v>
      </c>
      <c r="M165" s="21">
        <f>'Revenue Segments'!M38</f>
        <v>37.924500665778965</v>
      </c>
      <c r="N165" s="21">
        <f>'Revenue Segments'!N38</f>
        <v>49.7</v>
      </c>
      <c r="O165" s="21">
        <f>'Revenue Segments'!O38</f>
        <v>48.1</v>
      </c>
      <c r="P165" s="21">
        <f>'Revenue Segments'!P38</f>
        <v>46.800000000000004</v>
      </c>
      <c r="Q165" s="21">
        <f>'Revenue Segments'!Q38</f>
        <v>94.9</v>
      </c>
      <c r="R165" s="21">
        <f>'Revenue Segments'!R38</f>
        <v>24.5</v>
      </c>
      <c r="S165" s="21">
        <f>'Revenue Segments'!S38</f>
        <v>25.4</v>
      </c>
      <c r="T165" s="21">
        <f>'Revenue Segments'!T38</f>
        <v>49.9</v>
      </c>
      <c r="U165" s="21">
        <f>'Revenue Segments'!U38</f>
        <v>39.724609853528641</v>
      </c>
      <c r="V165" s="21">
        <f>'Revenue Segments'!V38</f>
        <v>16.533234087882821</v>
      </c>
      <c r="W165" s="21">
        <f>'Revenue Segments'!W38</f>
        <v>56.257843941411465</v>
      </c>
      <c r="X165" s="21">
        <f>'Revenue Segments'!X38</f>
        <v>29.552399041278292</v>
      </c>
      <c r="Y165" s="21">
        <f>'Revenue Segments'!Y38</f>
        <v>10.622142061251662</v>
      </c>
      <c r="Z165" s="21">
        <f>'Revenue Segments'!Z38</f>
        <v>40.174541102529957</v>
      </c>
      <c r="AA165" s="21">
        <f>'Revenue Segments'!AA38</f>
        <v>32.805459887794051</v>
      </c>
      <c r="AB165" s="21">
        <f>'Revenue Segments'!AB38</f>
        <v>10.297015214451838</v>
      </c>
      <c r="AC165" s="21">
        <f>'Revenue Segments'!AC38</f>
        <v>43.10247510224589</v>
      </c>
      <c r="AD165" s="21">
        <f>'Revenue Segments'!AD38</f>
        <v>50.103384313351093</v>
      </c>
      <c r="AE165" s="21">
        <f>'Revenue Segments'!AE38</f>
        <v>13.278969988679528</v>
      </c>
      <c r="AF165" s="21">
        <f>'Revenue Segments'!AF38</f>
        <v>63.38235430203062</v>
      </c>
      <c r="AG165" s="21">
        <f>'Revenue Segments'!AG38</f>
        <v>58.733021413167059</v>
      </c>
      <c r="AH165" s="21">
        <f>'Revenue Segments'!AH38</f>
        <v>12.580056644225346</v>
      </c>
      <c r="AI165" s="131">
        <f>'Revenue Segments'!AI38</f>
        <v>71.313078057392403</v>
      </c>
    </row>
    <row r="166" spans="2:41" x14ac:dyDescent="0.3">
      <c r="B166" s="257" t="s">
        <v>948</v>
      </c>
      <c r="C166" s="213"/>
      <c r="D166" s="213"/>
      <c r="E166" s="180">
        <f>E165/E$157</f>
        <v>0</v>
      </c>
      <c r="F166" s="180">
        <f t="shared" ref="F166" si="32">F165/F$157</f>
        <v>0</v>
      </c>
      <c r="G166" s="180">
        <f t="shared" ref="G166" si="33">G165/G$157</f>
        <v>0.14946576181000321</v>
      </c>
      <c r="H166" s="180">
        <f t="shared" ref="H166" si="34">H165/H$157</f>
        <v>7.6324860811208373E-2</v>
      </c>
      <c r="I166" s="180">
        <f t="shared" ref="I166" si="35">I165/I$157</f>
        <v>2.1605087801767425E-2</v>
      </c>
      <c r="J166" s="180">
        <f t="shared" ref="J166" si="36">J165/J$157</f>
        <v>0.10556995595064586</v>
      </c>
      <c r="K166" s="180">
        <f t="shared" ref="K166" si="37">K165/K$157</f>
        <v>7.4391358349737119E-2</v>
      </c>
      <c r="L166" s="180">
        <f t="shared" ref="L166" si="38">L165/L$157</f>
        <v>4.4425653790455016E-2</v>
      </c>
      <c r="M166" s="180">
        <f t="shared" ref="M166" si="39">M165/M$157</f>
        <v>0.13291745714000963</v>
      </c>
      <c r="N166" s="180">
        <f t="shared" ref="N166" si="40">N165/N$157</f>
        <v>9.0300508099337831E-2</v>
      </c>
      <c r="O166" s="180">
        <f t="shared" ref="O166" si="41">O165/O$157</f>
        <v>0.14183196774605414</v>
      </c>
      <c r="P166" s="180">
        <f t="shared" ref="P166" si="42">P165/P$157</f>
        <v>0.11888664184103587</v>
      </c>
      <c r="Q166" s="180">
        <f t="shared" ref="Q166" si="43">Q165/Q$157</f>
        <v>0.12950574929106179</v>
      </c>
      <c r="R166" s="180">
        <f t="shared" ref="R166" si="44">R165/R$157</f>
        <v>6.0120899447918368E-2</v>
      </c>
      <c r="S166" s="180">
        <f t="shared" ref="S166" si="45">S165/S$157</f>
        <v>6.1237946792903633E-2</v>
      </c>
      <c r="T166" s="180">
        <f t="shared" ref="T166" si="46">T165/T$157</f>
        <v>6.0684356582252172E-2</v>
      </c>
      <c r="U166" s="180">
        <f t="shared" ref="U166" si="47">U165/U$157</f>
        <v>9.2421464605350043E-2</v>
      </c>
      <c r="V166" s="180">
        <f t="shared" ref="V166" si="48">V165/V$157</f>
        <v>3.5462257291367316E-2</v>
      </c>
      <c r="W166" s="180">
        <f t="shared" ref="W166" si="49">W165/W$157</f>
        <v>6.2784916780303832E-2</v>
      </c>
      <c r="X166" s="180">
        <f t="shared" ref="X166" si="50">X165/X$157</f>
        <v>5.5447443409273538E-2</v>
      </c>
      <c r="Y166" s="180">
        <f t="shared" ref="Y166" si="51">Y165/Y$157</f>
        <v>1.9422461223577627E-2</v>
      </c>
      <c r="Z166" s="180">
        <f t="shared" ref="Z166" si="52">Z165/Z$157</f>
        <v>3.720277349479343E-2</v>
      </c>
      <c r="AA166" s="180">
        <f t="shared" ref="AA166" si="53">AA165/AA$157</f>
        <v>5.4165560990901598E-2</v>
      </c>
      <c r="AB166" s="180">
        <f t="shared" ref="AB166" si="54">AB165/AB$157</f>
        <v>1.5554651099005456E-2</v>
      </c>
      <c r="AC166" s="180">
        <f t="shared" ref="AC166" si="55">AC165/AC$157</f>
        <v>3.400211259555426E-2</v>
      </c>
      <c r="AD166" s="180">
        <f t="shared" ref="AD166" si="56">AD165/AD$157</f>
        <v>6.7728766776914112E-2</v>
      </c>
      <c r="AE166" s="180">
        <f t="shared" ref="AE166" si="57">AE165/AE$157</f>
        <v>1.7447854853474314E-2</v>
      </c>
      <c r="AF166" s="180">
        <f t="shared" ref="AF166" si="58">AF165/AF$157</f>
        <v>4.2231499716327808E-2</v>
      </c>
      <c r="AG166" s="180">
        <f t="shared" ref="AG166" si="59">AG165/AG$157</f>
        <v>6.7575727397576502E-2</v>
      </c>
      <c r="AH166" s="180">
        <f t="shared" ref="AH166" si="60">AH165/AH$157</f>
        <v>1.3730374500653009E-2</v>
      </c>
      <c r="AI166" s="258">
        <f t="shared" ref="AI166" si="61">AI165/AI$157</f>
        <v>3.9943143407184585E-2</v>
      </c>
    </row>
    <row r="167" spans="2:41" x14ac:dyDescent="0.3">
      <c r="B167" s="76" t="s">
        <v>122</v>
      </c>
      <c r="C167" s="21">
        <f>'Revenue Segments'!C50</f>
        <v>0</v>
      </c>
      <c r="D167" s="21">
        <f>'Revenue Segments'!D50</f>
        <v>0</v>
      </c>
      <c r="E167" s="21">
        <f>'Revenue Segments'!E50</f>
        <v>0</v>
      </c>
      <c r="F167" s="21">
        <f>'Revenue Segments'!F50</f>
        <v>0</v>
      </c>
      <c r="G167" s="21">
        <f>'Revenue Segments'!G50</f>
        <v>0</v>
      </c>
      <c r="H167" s="21">
        <f>'Revenue Segments'!H50</f>
        <v>0</v>
      </c>
      <c r="I167" s="21">
        <f>'Revenue Segments'!I50</f>
        <v>0</v>
      </c>
      <c r="J167" s="21">
        <f>'Revenue Segments'!J50</f>
        <v>0</v>
      </c>
      <c r="K167" s="21">
        <f>'Revenue Segments'!K50</f>
        <v>0</v>
      </c>
      <c r="L167" s="21">
        <f>'Revenue Segments'!L50</f>
        <v>0</v>
      </c>
      <c r="M167" s="21">
        <f>'Revenue Segments'!M50</f>
        <v>0</v>
      </c>
      <c r="N167" s="21">
        <f>'Revenue Segments'!N50</f>
        <v>0</v>
      </c>
      <c r="O167" s="21">
        <f>'Revenue Segments'!O50</f>
        <v>0</v>
      </c>
      <c r="P167" s="21">
        <f>'Revenue Segments'!P50</f>
        <v>0</v>
      </c>
      <c r="Q167" s="21">
        <f>'Revenue Segments'!Q50</f>
        <v>0</v>
      </c>
      <c r="R167" s="21">
        <f>'Revenue Segments'!R50</f>
        <v>3.2</v>
      </c>
      <c r="S167" s="21">
        <f>'Revenue Segments'!S50</f>
        <v>23.1</v>
      </c>
      <c r="T167" s="21">
        <f>'Revenue Segments'!T50</f>
        <v>26.3</v>
      </c>
      <c r="U167" s="21">
        <f>'Revenue Segments'!U50</f>
        <v>16.832999999999998</v>
      </c>
      <c r="V167" s="21">
        <f>'Revenue Segments'!V50</f>
        <v>18.741299999999999</v>
      </c>
      <c r="W167" s="21">
        <f>'Revenue Segments'!W50</f>
        <v>35.574299999999994</v>
      </c>
      <c r="X167" s="21">
        <f>'Revenue Segments'!X50</f>
        <v>39.537710000000004</v>
      </c>
      <c r="Y167" s="21">
        <f>'Revenue Segments'!Y50</f>
        <v>41.008271999999998</v>
      </c>
      <c r="Z167" s="21">
        <f>'Revenue Segments'!Z50</f>
        <v>80.545982000000009</v>
      </c>
      <c r="AA167" s="21">
        <f>'Revenue Segments'!AA50</f>
        <v>60.678548100000008</v>
      </c>
      <c r="AB167" s="21">
        <f>'Revenue Segments'!AB50</f>
        <v>58.60360458000001</v>
      </c>
      <c r="AC167" s="21">
        <f>'Revenue Segments'!AC50</f>
        <v>119.28215268000002</v>
      </c>
      <c r="AD167" s="21">
        <f>'Revenue Segments'!AD50</f>
        <v>66.688382525333324</v>
      </c>
      <c r="AE167" s="21">
        <f>'Revenue Segments'!AE50</f>
        <v>64.393375301799978</v>
      </c>
      <c r="AF167" s="21">
        <f>'Revenue Segments'!AF50</f>
        <v>131.08175782713329</v>
      </c>
      <c r="AG167" s="21">
        <f>'Revenue Segments'!AG50</f>
        <v>72.600379959927807</v>
      </c>
      <c r="AH167" s="21">
        <f>'Revenue Segments'!AH50</f>
        <v>81.456170063766663</v>
      </c>
      <c r="AI167" s="131">
        <f>'Revenue Segments'!AI50</f>
        <v>154.05655002369446</v>
      </c>
      <c r="AJ167" s="21"/>
    </row>
    <row r="168" spans="2:41" x14ac:dyDescent="0.3">
      <c r="B168" s="257" t="s">
        <v>948</v>
      </c>
      <c r="C168" s="213"/>
      <c r="D168" s="213"/>
      <c r="E168" s="180">
        <f>E167/E$157</f>
        <v>0</v>
      </c>
      <c r="F168" s="180">
        <f t="shared" ref="F168" si="62">F167/F$157</f>
        <v>0</v>
      </c>
      <c r="G168" s="180">
        <f t="shared" ref="G168" si="63">G167/G$157</f>
        <v>0</v>
      </c>
      <c r="H168" s="180">
        <f t="shared" ref="H168" si="64">H167/H$157</f>
        <v>0</v>
      </c>
      <c r="I168" s="180">
        <f t="shared" ref="I168" si="65">I167/I$157</f>
        <v>0</v>
      </c>
      <c r="J168" s="180">
        <f t="shared" ref="J168" si="66">J167/J$157</f>
        <v>0</v>
      </c>
      <c r="K168" s="180">
        <f t="shared" ref="K168" si="67">K167/K$157</f>
        <v>0</v>
      </c>
      <c r="L168" s="180">
        <f t="shared" ref="L168" si="68">L167/L$157</f>
        <v>0</v>
      </c>
      <c r="M168" s="180">
        <f t="shared" ref="M168" si="69">M167/M$157</f>
        <v>0</v>
      </c>
      <c r="N168" s="180">
        <f t="shared" ref="N168" si="70">N167/N$157</f>
        <v>0</v>
      </c>
      <c r="O168" s="180">
        <f t="shared" ref="O168" si="71">O167/O$157</f>
        <v>0</v>
      </c>
      <c r="P168" s="180">
        <f t="shared" ref="P168" si="72">P167/P$157</f>
        <v>0</v>
      </c>
      <c r="Q168" s="180">
        <f t="shared" ref="Q168" si="73">Q167/Q$157</f>
        <v>0</v>
      </c>
      <c r="R168" s="180">
        <f t="shared" ref="R168" si="74">R167/R$157</f>
        <v>7.8525256421770936E-3</v>
      </c>
      <c r="S168" s="180">
        <f t="shared" ref="S168" si="75">S167/S$157</f>
        <v>5.5692778382522602E-2</v>
      </c>
      <c r="T168" s="180">
        <f t="shared" ref="T168" si="76">T167/T$157</f>
        <v>3.1983939441146941E-2</v>
      </c>
      <c r="U168" s="180">
        <f t="shared" ref="U168" si="77">U167/U$157</f>
        <v>3.9162889690750866E-2</v>
      </c>
      <c r="V168" s="180">
        <f t="shared" ref="V168" si="78">V167/V$157</f>
        <v>4.0198354359586116E-2</v>
      </c>
      <c r="W168" s="180">
        <f t="shared" ref="W168" si="79">W167/W$157</f>
        <v>3.9701654178990999E-2</v>
      </c>
      <c r="X168" s="180">
        <f t="shared" ref="X168" si="80">X167/X$157</f>
        <v>7.4182300215124675E-2</v>
      </c>
      <c r="Y168" s="180">
        <f t="shared" ref="Y168" si="81">Y167/Y$157</f>
        <v>7.4983140704867446E-2</v>
      </c>
      <c r="Z168" s="180">
        <f t="shared" ref="Z168" si="82">Z167/Z$157</f>
        <v>7.458788182830059E-2</v>
      </c>
      <c r="AA168" s="180">
        <f t="shared" ref="AA168" si="83">AA167/AA$157</f>
        <v>0.10018721301854959</v>
      </c>
      <c r="AB168" s="180">
        <f t="shared" ref="AB168" si="84">AB167/AB$157</f>
        <v>8.8526490774395269E-2</v>
      </c>
      <c r="AC168" s="180">
        <f t="shared" ref="AC168" si="85">AC167/AC$157</f>
        <v>9.4097732820315985E-2</v>
      </c>
      <c r="AD168" s="180">
        <f t="shared" ref="AD168" si="86">AD167/AD$157</f>
        <v>9.0148040270891641E-2</v>
      </c>
      <c r="AE168" s="180">
        <f t="shared" ref="AE168" si="87">AE167/AE$157</f>
        <v>8.4609443861152073E-2</v>
      </c>
      <c r="AF168" s="180">
        <f t="shared" ref="AF168" si="88">AF167/AF$157</f>
        <v>8.7339438230917471E-2</v>
      </c>
      <c r="AG168" s="180">
        <f t="shared" ref="AG168" si="89">AG167/AG$157</f>
        <v>8.3530922930396032E-2</v>
      </c>
      <c r="AH168" s="180">
        <f t="shared" ref="AH168" si="90">AH167/AH$157</f>
        <v>8.8904505917132698E-2</v>
      </c>
      <c r="AI168" s="258">
        <f t="shared" ref="AI168" si="91">AI167/AI$157</f>
        <v>8.6288560780677925E-2</v>
      </c>
      <c r="AJ168" s="21"/>
    </row>
    <row r="169" spans="2:41" x14ac:dyDescent="0.3">
      <c r="B169" s="76" t="s">
        <v>123</v>
      </c>
      <c r="C169" s="21">
        <f>'Revenue Segments'!C62</f>
        <v>0</v>
      </c>
      <c r="D169" s="21">
        <f>'Revenue Segments'!D62</f>
        <v>0</v>
      </c>
      <c r="E169" s="21">
        <f>'Revenue Segments'!E62</f>
        <v>0</v>
      </c>
      <c r="F169" s="21">
        <f>'Revenue Segments'!F62</f>
        <v>10.3</v>
      </c>
      <c r="G169" s="21">
        <f>'Revenue Segments'!G62</f>
        <v>7.0999999999999979</v>
      </c>
      <c r="H169" s="21">
        <f>'Revenue Segments'!H62</f>
        <v>17.399999999999999</v>
      </c>
      <c r="I169" s="21">
        <f>'Revenue Segments'!I62</f>
        <v>4.4000000000000004</v>
      </c>
      <c r="J169" s="21">
        <f>'Revenue Segments'!J62</f>
        <v>25.9</v>
      </c>
      <c r="K169" s="21">
        <f>'Revenue Segments'!K62</f>
        <v>30.3</v>
      </c>
      <c r="L169" s="21">
        <f>'Revenue Segments'!L62</f>
        <v>3.6</v>
      </c>
      <c r="M169" s="21">
        <f>'Revenue Segments'!M62</f>
        <v>38.1</v>
      </c>
      <c r="N169" s="21">
        <f>'Revenue Segments'!N62</f>
        <v>41.7</v>
      </c>
      <c r="O169" s="21">
        <f>'Revenue Segments'!O62</f>
        <v>14.6</v>
      </c>
      <c r="P169" s="21">
        <f>'Revenue Segments'!P62</f>
        <v>0.70000000000000107</v>
      </c>
      <c r="Q169" s="21">
        <f>'Revenue Segments'!Q62</f>
        <v>15.3</v>
      </c>
      <c r="R169" s="21">
        <f>'Revenue Segments'!R62</f>
        <v>16.2</v>
      </c>
      <c r="S169" s="21">
        <f>'Revenue Segments'!S62</f>
        <v>19.599999999999998</v>
      </c>
      <c r="T169" s="21">
        <f>'Revenue Segments'!T62</f>
        <v>35.799999999999997</v>
      </c>
      <c r="U169" s="21">
        <f>'Revenue Segments'!U62</f>
        <v>15.612000000000002</v>
      </c>
      <c r="V169" s="21">
        <f>'Revenue Segments'!V62</f>
        <v>23.305199999999999</v>
      </c>
      <c r="W169" s="21">
        <f>'Revenue Segments'!W62</f>
        <v>38.917200000000001</v>
      </c>
      <c r="X169" s="21">
        <f>'Revenue Segments'!X62</f>
        <v>23.943483333333333</v>
      </c>
      <c r="Y169" s="21">
        <f>'Revenue Segments'!Y62</f>
        <v>29.835283333333333</v>
      </c>
      <c r="Z169" s="21">
        <f>'Revenue Segments'!Z62</f>
        <v>53.778766666666669</v>
      </c>
      <c r="AA169" s="21">
        <f>'Revenue Segments'!AA62</f>
        <v>24.667144999999991</v>
      </c>
      <c r="AB169" s="21">
        <f>'Revenue Segments'!AB62</f>
        <v>40.5313205</v>
      </c>
      <c r="AC169" s="21">
        <f>'Revenue Segments'!AC62</f>
        <v>65.198465499999998</v>
      </c>
      <c r="AD169" s="21">
        <f>'Revenue Segments'!AD62</f>
        <v>30.294725747222209</v>
      </c>
      <c r="AE169" s="21">
        <f>'Revenue Segments'!AE62</f>
        <v>50.25665560611111</v>
      </c>
      <c r="AF169" s="21">
        <f>'Revenue Segments'!AF62</f>
        <v>80.551381353333312</v>
      </c>
      <c r="AG169" s="21">
        <f>'Revenue Segments'!AG62</f>
        <v>33.955597619185177</v>
      </c>
      <c r="AH169" s="21">
        <f>'Revenue Segments'!AH62</f>
        <v>66.991585741429617</v>
      </c>
      <c r="AI169" s="131">
        <f>'Revenue Segments'!AI62</f>
        <v>100.94718336061479</v>
      </c>
    </row>
    <row r="170" spans="2:41" x14ac:dyDescent="0.3">
      <c r="B170" s="257" t="s">
        <v>948</v>
      </c>
      <c r="C170" s="213"/>
      <c r="D170" s="213"/>
      <c r="E170" s="180">
        <f>E169/E$157</f>
        <v>0</v>
      </c>
      <c r="F170" s="180">
        <f t="shared" ref="F170" si="92">F169/F$157</f>
        <v>7.3023388044157173E-2</v>
      </c>
      <c r="G170" s="180">
        <f t="shared" ref="G170" si="93">G169/G$157</f>
        <v>4.8236677675046476E-2</v>
      </c>
      <c r="H170" s="180">
        <f t="shared" ref="H170" si="94">H169/H$157</f>
        <v>6.036602627795571E-2</v>
      </c>
      <c r="I170" s="180">
        <f t="shared" ref="I170" si="95">I169/I$157</f>
        <v>2.8806783735689904E-2</v>
      </c>
      <c r="J170" s="180">
        <f t="shared" ref="J170" si="96">J169/J$157</f>
        <v>0.10015611205574093</v>
      </c>
      <c r="K170" s="180">
        <f t="shared" ref="K170" si="97">K169/K$157</f>
        <v>7.3662031307092632E-2</v>
      </c>
      <c r="L170" s="180">
        <f t="shared" ref="L170" si="98">L169/L$157</f>
        <v>1.3581789536589339E-2</v>
      </c>
      <c r="M170" s="180">
        <f t="shared" ref="M170" si="99">M169/M$157</f>
        <v>0.13353254566655348</v>
      </c>
      <c r="N170" s="180">
        <f t="shared" ref="N170" si="100">N169/N$157</f>
        <v>7.5765215045118461E-2</v>
      </c>
      <c r="O170" s="180">
        <f t="shared" ref="O170" si="101">O169/O$157</f>
        <v>4.3050867548698343E-2</v>
      </c>
      <c r="P170" s="180">
        <f t="shared" ref="P170" si="102">P169/P$157</f>
        <v>1.778219001895838E-3</v>
      </c>
      <c r="Q170" s="180">
        <f t="shared" ref="Q170" si="103">Q169/Q$157</f>
        <v>2.0879219854091097E-2</v>
      </c>
      <c r="R170" s="180">
        <f t="shared" ref="R170" si="104">R169/R$157</f>
        <v>3.9753411063521531E-2</v>
      </c>
      <c r="S170" s="180">
        <f t="shared" ref="S170" si="105">S169/S$157</f>
        <v>4.725447862759493E-2</v>
      </c>
      <c r="T170" s="180">
        <f t="shared" ref="T170" si="106">T169/T$157</f>
        <v>4.3537073459812177E-2</v>
      </c>
      <c r="U170" s="180">
        <f t="shared" ref="U170" si="107">U169/U$157</f>
        <v>3.6322166806392366E-2</v>
      </c>
      <c r="V170" s="180">
        <f t="shared" ref="V170" si="108">V169/V$157</f>
        <v>4.9987497559989241E-2</v>
      </c>
      <c r="W170" s="180">
        <f t="shared" ref="W170" si="109">W169/W$157</f>
        <v>4.3432399682203977E-2</v>
      </c>
      <c r="X170" s="180">
        <f t="shared" ref="X170" si="110">X169/X$157</f>
        <v>4.4923761867573186E-2</v>
      </c>
      <c r="Y170" s="180">
        <f t="shared" ref="Y170" si="111">Y169/Y$157</f>
        <v>5.4553462973346456E-2</v>
      </c>
      <c r="Z170" s="180">
        <f t="shared" ref="Z170" si="112">Z169/Z$157</f>
        <v>4.9800675259072308E-2</v>
      </c>
      <c r="AA170" s="180">
        <f t="shared" ref="AA170" si="113">AA169/AA$157</f>
        <v>4.0728273633074116E-2</v>
      </c>
      <c r="AB170" s="180">
        <f t="shared" ref="AB170" si="114">AB169/AB$157</f>
        <v>6.1226533692465702E-2</v>
      </c>
      <c r="AC170" s="180">
        <f t="shared" ref="AC170" si="115">AC169/AC$157</f>
        <v>5.1432906340750886E-2</v>
      </c>
      <c r="AD170" s="180">
        <f t="shared" ref="AD170" si="116">AD169/AD$157</f>
        <v>4.0951812793161686E-2</v>
      </c>
      <c r="AE170" s="180">
        <f t="shared" ref="AE170" si="117">AE169/AE$157</f>
        <v>6.6034551865394309E-2</v>
      </c>
      <c r="AF170" s="180">
        <f t="shared" ref="AF170" si="118">AF169/AF$157</f>
        <v>5.3671178299290828E-2</v>
      </c>
      <c r="AG170" s="180">
        <f t="shared" ref="AG170" si="119">AG169/AG$157</f>
        <v>3.9067872776275159E-2</v>
      </c>
      <c r="AH170" s="180">
        <f t="shared" ref="AH170" si="120">AH169/AH$157</f>
        <v>7.3117282905451941E-2</v>
      </c>
      <c r="AI170" s="258">
        <f t="shared" ref="AI170" si="121">AI169/AI$157</f>
        <v>5.6541491846409178E-2</v>
      </c>
    </row>
    <row r="171" spans="2:41" x14ac:dyDescent="0.3">
      <c r="B171" s="257"/>
      <c r="C171" s="213"/>
      <c r="D171" s="213"/>
      <c r="E171" s="180"/>
      <c r="F171" s="180"/>
      <c r="G171" s="180"/>
      <c r="H171" s="180"/>
      <c r="I171" s="180"/>
      <c r="J171" s="180"/>
      <c r="K171" s="180"/>
      <c r="L171" s="180"/>
      <c r="M171" s="180"/>
      <c r="N171" s="180"/>
      <c r="O171" s="180"/>
      <c r="P171" s="180"/>
      <c r="Q171" s="180"/>
      <c r="R171" s="180"/>
      <c r="S171" s="180"/>
      <c r="T171" s="180"/>
      <c r="U171" s="180"/>
      <c r="V171" s="180"/>
      <c r="W171" s="180"/>
      <c r="X171" s="180"/>
      <c r="Y171" s="180"/>
      <c r="Z171" s="180"/>
      <c r="AA171" s="180"/>
      <c r="AB171" s="180"/>
      <c r="AC171" s="180"/>
      <c r="AD171" s="180"/>
      <c r="AE171" s="180"/>
      <c r="AF171" s="180"/>
      <c r="AG171" s="180"/>
      <c r="AH171" s="180"/>
      <c r="AI171" s="258"/>
    </row>
    <row r="172" spans="2:41" x14ac:dyDescent="0.3">
      <c r="B172" s="76" t="s">
        <v>949</v>
      </c>
      <c r="C172" s="21">
        <f>'Revenue Segments'!C68</f>
        <v>0</v>
      </c>
      <c r="D172" s="21">
        <f>'Revenue Segments'!D68</f>
        <v>256</v>
      </c>
      <c r="E172" s="21">
        <f>'Revenue Segments'!E68</f>
        <v>256</v>
      </c>
      <c r="F172" s="21">
        <f>'Revenue Segments'!F68</f>
        <v>298.5</v>
      </c>
      <c r="G172" s="21">
        <f>'Revenue Segments'!G68</f>
        <v>393.3</v>
      </c>
      <c r="H172" s="21">
        <f>'Revenue Segments'!H68</f>
        <v>393.3</v>
      </c>
      <c r="I172" s="21">
        <f>'Revenue Segments'!I68</f>
        <v>536.20000000000005</v>
      </c>
      <c r="J172" s="21">
        <f>'Revenue Segments'!J68</f>
        <v>530</v>
      </c>
      <c r="K172" s="21">
        <f>'Revenue Segments'!K68</f>
        <v>530</v>
      </c>
      <c r="L172" s="21">
        <f>'Revenue Segments'!L68</f>
        <v>819.3</v>
      </c>
      <c r="M172" s="21">
        <f>'Revenue Segments'!M68</f>
        <v>854.1</v>
      </c>
      <c r="N172" s="21">
        <f>'Revenue Segments'!N68</f>
        <v>854.1</v>
      </c>
      <c r="O172" s="21">
        <f>'Revenue Segments'!O68</f>
        <v>882.6</v>
      </c>
      <c r="P172" s="21">
        <f>'Revenue Segments'!P68</f>
        <v>741.30000000000007</v>
      </c>
      <c r="Q172" s="21">
        <f>'Revenue Segments'!Q68</f>
        <v>741.30000000000007</v>
      </c>
      <c r="R172" s="21">
        <f>'Revenue Segments'!R68</f>
        <v>568</v>
      </c>
      <c r="S172" s="21">
        <f>'Revenue Segments'!S68</f>
        <v>768.90000000000009</v>
      </c>
      <c r="T172" s="21">
        <f>'Revenue Segments'!T68</f>
        <v>768.90000000000009</v>
      </c>
      <c r="U172" s="21">
        <f>'Revenue Segments'!U68</f>
        <v>738.65605259653796</v>
      </c>
      <c r="V172" s="21">
        <f>'Revenue Segments'!V68</f>
        <v>792.7621249445184</v>
      </c>
      <c r="W172" s="21">
        <f>'Revenue Segments'!W68</f>
        <v>792.76212494451852</v>
      </c>
      <c r="X172" s="21">
        <f>'Revenue Segments'!X68</f>
        <v>679.59300290945419</v>
      </c>
      <c r="Y172" s="21">
        <f>'Revenue Segments'!Y68</f>
        <v>691.47746838326668</v>
      </c>
      <c r="Z172" s="21">
        <f>'Revenue Segments'!Z68</f>
        <v>691.47746838326668</v>
      </c>
      <c r="AA172" s="21">
        <f>'Revenue Segments'!AA68</f>
        <v>551.79311362056148</v>
      </c>
      <c r="AB172" s="21">
        <f>'Revenue Segments'!AB68</f>
        <v>600.40423687803843</v>
      </c>
      <c r="AC172" s="21">
        <f>'Revenue Segments'!AC68</f>
        <v>600.40423687803832</v>
      </c>
      <c r="AD172" s="21">
        <f>'Revenue Segments'!AD68</f>
        <v>469.26263814518143</v>
      </c>
      <c r="AE172" s="21">
        <f>'Revenue Segments'!AE68</f>
        <v>490.9851735038597</v>
      </c>
      <c r="AF172" s="21">
        <f>'Revenue Segments'!AF68</f>
        <v>490.98517350385976</v>
      </c>
      <c r="AG172" s="21">
        <f>'Revenue Segments'!AG68</f>
        <v>375.8777339089479</v>
      </c>
      <c r="AH172" s="21">
        <f>'Revenue Segments'!AH68</f>
        <v>411.75380247447816</v>
      </c>
      <c r="AI172" s="131">
        <f>'Revenue Segments'!AI68</f>
        <v>411.75380247447828</v>
      </c>
      <c r="AJ172" s="21"/>
    </row>
    <row r="173" spans="2:41" x14ac:dyDescent="0.3">
      <c r="B173" s="76" t="s">
        <v>142</v>
      </c>
      <c r="C173" s="21">
        <f>'Revenue Segments'!C11+'Revenue Segments'!C23+'Revenue Segments'!C35+'Revenue Segments'!C47+'Revenue Segments'!C59</f>
        <v>0</v>
      </c>
      <c r="D173" s="21">
        <f>'Revenue Segments'!D11+'Revenue Segments'!D23+'Revenue Segments'!D35+'Revenue Segments'!D47+'Revenue Segments'!D59</f>
        <v>256</v>
      </c>
      <c r="E173" s="21">
        <f>'Revenue Segments'!E11+'Revenue Segments'!E23+'Revenue Segments'!E35+'Revenue Segments'!E47+'Revenue Segments'!E59</f>
        <v>256</v>
      </c>
      <c r="F173" s="21">
        <f>'Revenue Segments'!F11+'Revenue Segments'!F23+'Revenue Segments'!F35+'Revenue Segments'!F47+'Revenue Segments'!F59</f>
        <v>183.6</v>
      </c>
      <c r="G173" s="21">
        <f>'Revenue Segments'!G11+'Revenue Segments'!G23+'Revenue Segments'!G35+'Revenue Segments'!G47+'Revenue Segments'!G59</f>
        <v>241.9</v>
      </c>
      <c r="H173" s="21">
        <f>'Revenue Segments'!H11+'Revenue Segments'!H23+'Revenue Segments'!H35+'Revenue Segments'!H47+'Revenue Segments'!H59</f>
        <v>425.5</v>
      </c>
      <c r="I173" s="21">
        <f>'Revenue Segments'!I11+'Revenue Segments'!I23+'Revenue Segments'!I35+'Revenue Segments'!I47+'Revenue Segments'!I59</f>
        <v>295.5</v>
      </c>
      <c r="J173" s="21">
        <f>'Revenue Segments'!J11+'Revenue Segments'!J23+'Revenue Segments'!J35+'Revenue Segments'!J47+'Revenue Segments'!J59</f>
        <v>252.40000000000003</v>
      </c>
      <c r="K173" s="21">
        <f>'Revenue Segments'!K11+'Revenue Segments'!K23+'Revenue Segments'!K35+'Revenue Segments'!K47+'Revenue Segments'!K59</f>
        <v>547.9</v>
      </c>
      <c r="L173" s="21">
        <f>'Revenue Segments'!L11+'Revenue Segments'!L23+'Revenue Segments'!L35+'Revenue Segments'!L47+'Revenue Segments'!L59</f>
        <v>426.7</v>
      </c>
      <c r="M173" s="21">
        <f>'Revenue Segments'!M11+'Revenue Segments'!M23+'Revenue Segments'!M35+'Revenue Segments'!M47+'Revenue Segments'!M59</f>
        <v>447.90000000000009</v>
      </c>
      <c r="N173" s="21">
        <f>'Revenue Segments'!N11+'Revenue Segments'!N23+'Revenue Segments'!N35+'Revenue Segments'!N47+'Revenue Segments'!N59</f>
        <v>874.6</v>
      </c>
      <c r="O173" s="21">
        <f>'Revenue Segments'!O11+'Revenue Segments'!O23+'Revenue Segments'!O35+'Revenue Segments'!O47+'Revenue Segments'!O59</f>
        <v>367.5</v>
      </c>
      <c r="P173" s="21">
        <f>'Revenue Segments'!P11+'Revenue Segments'!P23+'Revenue Segments'!P35+'Revenue Segments'!P47+'Revenue Segments'!P59</f>
        <v>228.00000000000003</v>
      </c>
      <c r="Q173" s="21">
        <f>'Revenue Segments'!Q11+'Revenue Segments'!Q23+'Revenue Segments'!Q35+'Revenue Segments'!Q47+'Revenue Segments'!Q59</f>
        <v>595.49999999999989</v>
      </c>
      <c r="R173" s="21">
        <f>'Revenue Segments'!R11+'Revenue Segments'!R23+'Revenue Segments'!R35+'Revenue Segments'!R47+'Revenue Segments'!R59</f>
        <v>234.2</v>
      </c>
      <c r="S173" s="21">
        <f>'Revenue Segments'!S11+'Revenue Segments'!S23+'Revenue Segments'!S35+'Revenue Segments'!S47+'Revenue Segments'!S59</f>
        <v>615.70000000000005</v>
      </c>
      <c r="T173" s="21">
        <f>'Revenue Segments'!T11+'Revenue Segments'!T23+'Revenue Segments'!T35+'Revenue Segments'!T47+'Revenue Segments'!T59</f>
        <v>849.90000000000009</v>
      </c>
      <c r="U173" s="21">
        <f>'Revenue Segments'!U11+'Revenue Segments'!U23+'Revenue Segments'!U35+'Revenue Segments'!U47+'Revenue Segments'!U59</f>
        <v>399.57622503328901</v>
      </c>
      <c r="V173" s="21">
        <f>'Revenue Segments'!V11+'Revenue Segments'!V23+'Revenue Segments'!V35+'Revenue Segments'!V47+'Revenue Segments'!V59</f>
        <v>520.32665024411904</v>
      </c>
      <c r="W173" s="21">
        <f>'Revenue Segments'!W11+'Revenue Segments'!W23+'Revenue Segments'!W35+'Revenue Segments'!W47+'Revenue Segments'!W59</f>
        <v>919.90287527740804</v>
      </c>
      <c r="X173" s="21">
        <f>'Revenue Segments'!X11+'Revenue Segments'!X23+'Revenue Segments'!X35+'Revenue Segments'!X47+'Revenue Segments'!X59</f>
        <v>419.81125044385271</v>
      </c>
      <c r="Y173" s="21">
        <f>'Revenue Segments'!Y11+'Revenue Segments'!Y23+'Revenue Segments'!Y35+'Revenue Segments'!Y47+'Revenue Segments'!Y59</f>
        <v>558.78436343098099</v>
      </c>
      <c r="Z173" s="21">
        <f>'Revenue Segments'!Z11+'Revenue Segments'!Z23+'Revenue Segments'!Z35+'Revenue Segments'!Z47+'Revenue Segments'!Z59</f>
        <v>978.59561387483359</v>
      </c>
      <c r="AA173" s="21">
        <f>'Revenue Segments'!AA11+'Revenue Segments'!AA23+'Revenue Segments'!AA35+'Revenue Segments'!AA47+'Revenue Segments'!AA59</f>
        <v>465.96726755326239</v>
      </c>
      <c r="AB173" s="21">
        <f>'Revenue Segments'!AB11+'Revenue Segments'!AB23+'Revenue Segments'!AB35+'Revenue Segments'!AB47+'Revenue Segments'!AB59</f>
        <v>710.60059180365442</v>
      </c>
      <c r="AC173" s="21">
        <f>'Revenue Segments'!AC11+'Revenue Segments'!AC23+'Revenue Segments'!AC35+'Revenue Segments'!AC47+'Revenue Segments'!AC59</f>
        <v>1176.5678593569169</v>
      </c>
      <c r="AD173" s="21">
        <f>'Revenue Segments'!AD11+'Revenue Segments'!AD23+'Revenue Segments'!AD35+'Revenue Segments'!AD47+'Revenue Segments'!AD59</f>
        <v>608.62359555131309</v>
      </c>
      <c r="AE173" s="21">
        <f>'Revenue Segments'!AE11+'Revenue Segments'!AE23+'Revenue Segments'!AE35+'Revenue Segments'!AE47+'Revenue Segments'!AE59</f>
        <v>782.78858618241861</v>
      </c>
      <c r="AF173" s="21">
        <f>'Revenue Segments'!AF11+'Revenue Segments'!AF23+'Revenue Segments'!AF35+'Revenue Segments'!AF47+'Revenue Segments'!AF59</f>
        <v>1391.4121817337318</v>
      </c>
      <c r="AG173" s="21">
        <f>'Revenue Segments'!AG11+'Revenue Segments'!AG23+'Revenue Segments'!AG35+'Revenue Segments'!AG47+'Revenue Segments'!AG59</f>
        <v>754.03631475368616</v>
      </c>
      <c r="AH173" s="21">
        <f>'Revenue Segments'!AH11+'Revenue Segments'!AH23+'Revenue Segments'!AH35+'Revenue Segments'!AH47+'Revenue Segments'!AH59</f>
        <v>952.09700948939542</v>
      </c>
      <c r="AI173" s="131">
        <f>'Revenue Segments'!AI11+'Revenue Segments'!AI23+'Revenue Segments'!AI35+'Revenue Segments'!AI47+'Revenue Segments'!AI59</f>
        <v>1706.1333242430815</v>
      </c>
      <c r="AJ173" s="21"/>
    </row>
    <row r="174" spans="2:41" x14ac:dyDescent="0.3">
      <c r="B174" s="76" t="s">
        <v>950</v>
      </c>
      <c r="C174" s="11">
        <f>C172/C157</f>
        <v>0</v>
      </c>
      <c r="D174" s="11">
        <f t="shared" ref="D174:AI174" si="122">D172/D157</f>
        <v>1.5779705449607573</v>
      </c>
      <c r="E174" s="272">
        <f t="shared" si="122"/>
        <v>0.9171366992250195</v>
      </c>
      <c r="F174" s="272">
        <f t="shared" si="122"/>
        <v>2.1162603234156228</v>
      </c>
      <c r="G174" s="272">
        <f t="shared" si="122"/>
        <v>2.6720401872670116</v>
      </c>
      <c r="H174" s="272">
        <f t="shared" si="122"/>
        <v>1.3644803525931024</v>
      </c>
      <c r="I174" s="272">
        <f t="shared" si="122"/>
        <v>3.5104994179720288</v>
      </c>
      <c r="J174" s="272">
        <f t="shared" si="122"/>
        <v>2.0495266173568609</v>
      </c>
      <c r="K174" s="272">
        <f t="shared" si="122"/>
        <v>1.2884777753385841</v>
      </c>
      <c r="L174" s="272">
        <f t="shared" si="122"/>
        <v>3.0909889353687903</v>
      </c>
      <c r="M174" s="272">
        <f t="shared" si="122"/>
        <v>2.993442185139195</v>
      </c>
      <c r="N174" s="272">
        <f t="shared" si="122"/>
        <v>1.5518242247010954</v>
      </c>
      <c r="O174" s="272">
        <f t="shared" si="122"/>
        <v>2.6025134040055589</v>
      </c>
      <c r="P174" s="272">
        <f t="shared" si="122"/>
        <v>1.8831339230076898</v>
      </c>
      <c r="Q174" s="272">
        <f t="shared" si="122"/>
        <v>1.0116186717541</v>
      </c>
      <c r="R174" s="272">
        <f t="shared" si="122"/>
        <v>1.3938233014864341</v>
      </c>
      <c r="S174" s="272">
        <f t="shared" si="122"/>
        <v>1.8537739090182523</v>
      </c>
      <c r="T174" s="272">
        <f t="shared" si="122"/>
        <v>0.93507418388965335</v>
      </c>
      <c r="U174" s="272">
        <f t="shared" si="122"/>
        <v>1.7185234662415307</v>
      </c>
      <c r="V174" s="272">
        <f t="shared" si="122"/>
        <v>1.7004014033913462</v>
      </c>
      <c r="W174" s="272">
        <f t="shared" si="122"/>
        <v>0.88473891912839708</v>
      </c>
      <c r="X174" s="272">
        <f t="shared" si="122"/>
        <v>1.2750807309256711</v>
      </c>
      <c r="Y174" s="272">
        <f t="shared" si="122"/>
        <v>1.2643583788662935</v>
      </c>
      <c r="Z174" s="272">
        <f t="shared" si="122"/>
        <v>0.64032790237387061</v>
      </c>
      <c r="AA174" s="272">
        <f t="shared" si="122"/>
        <v>0.91107345095608716</v>
      </c>
      <c r="AB174" s="272">
        <f t="shared" si="122"/>
        <v>0.90696946916181476</v>
      </c>
      <c r="AC174" s="272">
        <f t="shared" si="122"/>
        <v>0.4736389828367687</v>
      </c>
      <c r="AD174" s="272">
        <f t="shared" si="122"/>
        <v>0.63433997945694254</v>
      </c>
      <c r="AE174" s="272">
        <f t="shared" si="122"/>
        <v>0.64512820269993854</v>
      </c>
      <c r="AF174" s="272">
        <f t="shared" si="122"/>
        <v>0.32714215878984965</v>
      </c>
      <c r="AG174" s="272">
        <f t="shared" si="122"/>
        <v>0.43246900415301159</v>
      </c>
      <c r="AH174" s="272">
        <f t="shared" si="122"/>
        <v>0.4494044875893024</v>
      </c>
      <c r="AI174" s="273">
        <f t="shared" si="122"/>
        <v>0.23062727943751618</v>
      </c>
    </row>
    <row r="175" spans="2:41" x14ac:dyDescent="0.3">
      <c r="B175" s="76" t="s">
        <v>1013</v>
      </c>
      <c r="C175" s="11"/>
      <c r="D175" s="11"/>
      <c r="E175" s="272">
        <f>E173/E157</f>
        <v>0.9171366992250195</v>
      </c>
      <c r="F175" s="272">
        <f t="shared" ref="F175:AI175" si="123">F173/F157</f>
        <v>1.3016596160104132</v>
      </c>
      <c r="G175" s="272">
        <f t="shared" si="123"/>
        <v>1.6434439900836262</v>
      </c>
      <c r="H175" s="272">
        <f t="shared" si="123"/>
        <v>1.4761921943258711</v>
      </c>
      <c r="I175" s="272">
        <f t="shared" si="123"/>
        <v>1.9346374077037194</v>
      </c>
      <c r="J175" s="272">
        <f t="shared" si="123"/>
        <v>0.9760387136242864</v>
      </c>
      <c r="K175" s="272">
        <f t="shared" si="123"/>
        <v>1.3319942888830381</v>
      </c>
      <c r="L175" s="272">
        <f t="shared" si="123"/>
        <v>1.6098193320174086</v>
      </c>
      <c r="M175" s="272">
        <f t="shared" si="123"/>
        <v>1.5697959896075935</v>
      </c>
      <c r="N175" s="272">
        <f t="shared" si="123"/>
        <v>1.5890709131525325</v>
      </c>
      <c r="O175" s="272">
        <f t="shared" si="123"/>
        <v>1.0836434126127836</v>
      </c>
      <c r="P175" s="272">
        <f t="shared" si="123"/>
        <v>0.5791913320460722</v>
      </c>
      <c r="Q175" s="272">
        <f t="shared" si="123"/>
        <v>0.8126519884386435</v>
      </c>
      <c r="R175" s="272">
        <f t="shared" si="123"/>
        <v>0.57470672043683602</v>
      </c>
      <c r="S175" s="272">
        <f t="shared" si="123"/>
        <v>1.4844174740311327</v>
      </c>
      <c r="T175" s="272">
        <f t="shared" si="123"/>
        <v>1.0335798528909044</v>
      </c>
      <c r="U175" s="272">
        <f t="shared" si="123"/>
        <v>0.92963581203738754</v>
      </c>
      <c r="V175" s="272">
        <f t="shared" si="123"/>
        <v>1.1160525187286647</v>
      </c>
      <c r="W175" s="272">
        <f t="shared" si="123"/>
        <v>1.0266306247072507</v>
      </c>
      <c r="X175" s="272">
        <f t="shared" si="123"/>
        <v>0.78766737411227838</v>
      </c>
      <c r="Y175" s="272">
        <f t="shared" si="123"/>
        <v>1.0217306046649572</v>
      </c>
      <c r="Z175" s="272">
        <f t="shared" si="123"/>
        <v>0.90620751268994826</v>
      </c>
      <c r="AA175" s="272">
        <f t="shared" si="123"/>
        <v>0.76936517691711526</v>
      </c>
      <c r="AB175" s="272">
        <f t="shared" si="123"/>
        <v>1.0734318679785553</v>
      </c>
      <c r="AC175" s="272">
        <f t="shared" si="123"/>
        <v>0.92815534920591147</v>
      </c>
      <c r="AD175" s="272">
        <f t="shared" si="123"/>
        <v>0.82272537320472983</v>
      </c>
      <c r="AE175" s="272">
        <f t="shared" si="123"/>
        <v>1.0285422472007086</v>
      </c>
      <c r="AF175" s="272">
        <f t="shared" si="123"/>
        <v>0.92709435938861251</v>
      </c>
      <c r="AG175" s="272">
        <f t="shared" si="123"/>
        <v>0.86756225420824418</v>
      </c>
      <c r="AH175" s="272">
        <f t="shared" si="123"/>
        <v>1.0391565690796751</v>
      </c>
      <c r="AI175" s="272">
        <f t="shared" si="123"/>
        <v>0.95562174426368929</v>
      </c>
    </row>
    <row r="176" spans="2:41" x14ac:dyDescent="0.3">
      <c r="B176" s="76"/>
      <c r="C176" s="21"/>
      <c r="D176" s="2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242"/>
    </row>
    <row r="177" spans="2:42" x14ac:dyDescent="0.3">
      <c r="B177" s="76" t="s">
        <v>84</v>
      </c>
      <c r="C177" s="21">
        <f>'Income Statement'!C23</f>
        <v>26.520300000000006</v>
      </c>
      <c r="D177" s="21">
        <f>'Income Statement'!D23</f>
        <v>42.240700000000011</v>
      </c>
      <c r="E177" s="21">
        <f>'Income Statement'!E23</f>
        <v>68.761000000000024</v>
      </c>
      <c r="F177" s="21">
        <f>'Income Statement'!F23</f>
        <v>35.178099999999993</v>
      </c>
      <c r="G177" s="21">
        <f>'Income Statement'!G23</f>
        <v>34.8001</v>
      </c>
      <c r="H177" s="21">
        <f>'Income Statement'!H23</f>
        <v>69.978200000000015</v>
      </c>
      <c r="I177" s="21">
        <f>'Income Statement'!I23</f>
        <v>29.886900000000033</v>
      </c>
      <c r="J177" s="21">
        <f>'Income Statement'!J23</f>
        <v>52.817999999999955</v>
      </c>
      <c r="K177" s="21">
        <f>'Income Statement'!K23</f>
        <v>82.704899999999995</v>
      </c>
      <c r="L177" s="21">
        <f>'Income Statement'!L23</f>
        <v>59.369800000000026</v>
      </c>
      <c r="M177" s="21">
        <f>'Income Statement'!M23</f>
        <v>67.380799999999937</v>
      </c>
      <c r="N177" s="21">
        <f>'Income Statement'!N23</f>
        <v>126.75059999999996</v>
      </c>
      <c r="O177" s="21">
        <f>'Income Statement'!O23</f>
        <v>76.347900000000024</v>
      </c>
      <c r="P177" s="21">
        <f>'Income Statement'!P23</f>
        <v>88.876100000000079</v>
      </c>
      <c r="Q177" s="21">
        <f>'Income Statement'!Q23</f>
        <v>165.22400000000007</v>
      </c>
      <c r="R177" s="21">
        <f>'Income Statement'!R23</f>
        <v>91.827799999999996</v>
      </c>
      <c r="S177" s="21">
        <f>'Income Statement'!S23</f>
        <v>82.334399999999988</v>
      </c>
      <c r="T177" s="21">
        <f>'Income Statement'!T23</f>
        <v>174.16219999999998</v>
      </c>
      <c r="U177" s="21">
        <f>'Income Statement'!U23</f>
        <v>91.121876556591246</v>
      </c>
      <c r="V177" s="21">
        <f>'Income Statement'!V23</f>
        <v>98.838762513981379</v>
      </c>
      <c r="W177" s="21">
        <f>'Income Statement'!W23</f>
        <v>189.96063907057254</v>
      </c>
      <c r="X177" s="21">
        <f>'Income Statement'!X23</f>
        <v>112.99183896553041</v>
      </c>
      <c r="Y177" s="21">
        <f>'Income Statement'!Y23</f>
        <v>115.94277836691967</v>
      </c>
      <c r="Z177" s="21">
        <f>'Income Statement'!Z23</f>
        <v>228.93461733245005</v>
      </c>
      <c r="AA177" s="21">
        <f>'Income Statement'!AA23</f>
        <v>128.39814393098516</v>
      </c>
      <c r="AB177" s="21">
        <f>'Income Statement'!AB23</f>
        <v>140.34176733178961</v>
      </c>
      <c r="AC177" s="21">
        <f>'Income Statement'!AC23</f>
        <v>268.73991126277463</v>
      </c>
      <c r="AD177" s="21">
        <f>'Income Statement'!AD23</f>
        <v>160.5290471596648</v>
      </c>
      <c r="AE177" s="21">
        <f>'Income Statement'!AE23</f>
        <v>165.15133302875157</v>
      </c>
      <c r="AF177" s="21">
        <f>'Income Statement'!AF23</f>
        <v>325.68038018841639</v>
      </c>
      <c r="AG177" s="21">
        <f>'Income Statement'!AG23</f>
        <v>192.94991346538865</v>
      </c>
      <c r="AH177" s="21">
        <f>'Income Statement'!AH23</f>
        <v>203.40104888509796</v>
      </c>
      <c r="AI177" s="131">
        <f>'Income Statement'!AI23</f>
        <v>396.35096235048672</v>
      </c>
    </row>
    <row r="178" spans="2:42" s="69" customFormat="1" x14ac:dyDescent="0.3">
      <c r="B178" s="257" t="s">
        <v>66</v>
      </c>
      <c r="C178" s="180">
        <f>'Income Statement'!C24</f>
        <v>0.22687108786535717</v>
      </c>
      <c r="D178" s="180">
        <f>'Income Statement'!D24</f>
        <v>0.26036945468173389</v>
      </c>
      <c r="E178" s="180">
        <f>'Income Statement'!E24</f>
        <v>0.24634076787270154</v>
      </c>
      <c r="F178" s="180">
        <f>'Income Statement'!F24</f>
        <v>0.24940039290836552</v>
      </c>
      <c r="G178" s="180">
        <f>'Income Statement'!G24</f>
        <v>0.23642833898019511</v>
      </c>
      <c r="H178" s="180">
        <f>'Income Statement'!H24</f>
        <v>0.24277619885540469</v>
      </c>
      <c r="I178" s="180">
        <f>'Income Statement'!I24</f>
        <v>0.19566942382504351</v>
      </c>
      <c r="J178" s="180">
        <f>'Income Statement'!J24</f>
        <v>0.20424886202934828</v>
      </c>
      <c r="K178" s="180">
        <f>'Income Statement'!K24</f>
        <v>0.20106306709735858</v>
      </c>
      <c r="L178" s="180">
        <f>'Income Statement'!L24</f>
        <v>0.22398559123038947</v>
      </c>
      <c r="M178" s="180">
        <f>'Income Statement'!M24</f>
        <v>0.23615563656296321</v>
      </c>
      <c r="N178" s="180">
        <f>'Income Statement'!N24</f>
        <v>0.23029463947476711</v>
      </c>
      <c r="O178" s="180">
        <f>'Income Statement'!O24</f>
        <v>0.22512625551515528</v>
      </c>
      <c r="P178" s="180">
        <f>'Income Statement'!P24</f>
        <v>0.22577309976342086</v>
      </c>
      <c r="Q178" s="180">
        <f>'Income Statement'!Q24</f>
        <v>0.22547373994590517</v>
      </c>
      <c r="R178" s="180">
        <f>'Income Statement'!R24</f>
        <v>0.22533754817647175</v>
      </c>
      <c r="S178" s="180">
        <f>'Income Statement'!S24</f>
        <v>0.19850352781203323</v>
      </c>
      <c r="T178" s="180">
        <f>'Income Statement'!T24</f>
        <v>0.21180202500900838</v>
      </c>
      <c r="U178" s="180">
        <f>'Income Statement'!U24</f>
        <v>0.21200000000000005</v>
      </c>
      <c r="V178" s="180">
        <f>'Income Statement'!V24</f>
        <v>0.21200000000000002</v>
      </c>
      <c r="W178" s="180">
        <f>'Income Statement'!W24</f>
        <v>0.21199999999999997</v>
      </c>
      <c r="X178" s="180">
        <f>'Income Statement'!X24</f>
        <v>0.21199999999999994</v>
      </c>
      <c r="Y178" s="180">
        <f>'Income Statement'!Y24</f>
        <v>0.21199999999999999</v>
      </c>
      <c r="Z178" s="180">
        <f>'Income Statement'!Z24</f>
        <v>0.21199999999999997</v>
      </c>
      <c r="AA178" s="180">
        <f>'Income Statement'!AA24</f>
        <v>0.21199999999999999</v>
      </c>
      <c r="AB178" s="180">
        <f>'Income Statement'!AB24</f>
        <v>0.21199999999999997</v>
      </c>
      <c r="AC178" s="180">
        <f>'Income Statement'!AC24</f>
        <v>0.21199999999999988</v>
      </c>
      <c r="AD178" s="180">
        <f>'Income Statement'!AD24</f>
        <v>0.21699999999999992</v>
      </c>
      <c r="AE178" s="180">
        <f>'Income Statement'!AE24</f>
        <v>0.21699999999999986</v>
      </c>
      <c r="AF178" s="180">
        <f>'Income Statement'!AF24</f>
        <v>0.21699999999999992</v>
      </c>
      <c r="AG178" s="180">
        <f>'Income Statement'!AG24</f>
        <v>0.22199999999999986</v>
      </c>
      <c r="AH178" s="180">
        <f>'Income Statement'!AH24</f>
        <v>0.22199999999999986</v>
      </c>
      <c r="AI178" s="258">
        <f>'Income Statement'!AI24</f>
        <v>0.22199999999999995</v>
      </c>
      <c r="AJ178" s="213"/>
      <c r="AO178" s="12"/>
    </row>
    <row r="179" spans="2:42" x14ac:dyDescent="0.3">
      <c r="B179" s="76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131"/>
      <c r="AO179" s="69"/>
    </row>
    <row r="180" spans="2:42" x14ac:dyDescent="0.3">
      <c r="B180" s="76" t="s">
        <v>228</v>
      </c>
      <c r="C180" s="21">
        <f>'Income Statement'!C27</f>
        <v>22.005400000000005</v>
      </c>
      <c r="D180" s="21">
        <f>'Income Statement'!D27</f>
        <v>36.249700000000011</v>
      </c>
      <c r="E180" s="21">
        <f>'Income Statement'!E27</f>
        <v>58.255100000000027</v>
      </c>
      <c r="F180" s="21">
        <f>'Income Statement'!F27</f>
        <v>29.391899999999993</v>
      </c>
      <c r="G180" s="21">
        <f>'Income Statement'!G27</f>
        <v>28.9941</v>
      </c>
      <c r="H180" s="21">
        <f>'Income Statement'!H27</f>
        <v>58.386000000000017</v>
      </c>
      <c r="I180" s="21">
        <f>'Income Statement'!I27</f>
        <v>24.024000000000033</v>
      </c>
      <c r="J180" s="21">
        <f>'Income Statement'!J27</f>
        <v>46.140399999999957</v>
      </c>
      <c r="K180" s="21">
        <f>'Income Statement'!K27</f>
        <v>70.164400000000001</v>
      </c>
      <c r="L180" s="21">
        <f>'Income Statement'!L27</f>
        <v>52.340900000000026</v>
      </c>
      <c r="M180" s="21">
        <f>'Income Statement'!M27</f>
        <v>56.945699999999931</v>
      </c>
      <c r="N180" s="21">
        <f>'Income Statement'!N27</f>
        <v>109.28659999999996</v>
      </c>
      <c r="O180" s="21">
        <f>'Income Statement'!O27</f>
        <v>64.992200000000025</v>
      </c>
      <c r="P180" s="21">
        <f>'Income Statement'!P27</f>
        <v>76.412800000000075</v>
      </c>
      <c r="Q180" s="21">
        <f>'Income Statement'!Q27</f>
        <v>141.40500000000009</v>
      </c>
      <c r="R180" s="21">
        <f>'Income Statement'!R27</f>
        <v>78.585499999999996</v>
      </c>
      <c r="S180" s="21">
        <f>'Income Statement'!S27</f>
        <v>67.73569999999998</v>
      </c>
      <c r="T180" s="21">
        <f>'Income Statement'!T27</f>
        <v>146.32119999999998</v>
      </c>
      <c r="U180" s="21">
        <f>'Income Statement'!U27</f>
        <v>76.577492485542166</v>
      </c>
      <c r="V180" s="21">
        <f>'Income Statement'!V27</f>
        <v>84.16344036300363</v>
      </c>
      <c r="W180" s="21">
        <f>'Income Statement'!W27</f>
        <v>160.7409328485457</v>
      </c>
      <c r="X180" s="21">
        <f>'Income Statement'!X27</f>
        <v>98.191379481807502</v>
      </c>
      <c r="Y180" s="21">
        <f>'Income Statement'!Y27</f>
        <v>101.13347894840911</v>
      </c>
      <c r="Z180" s="21">
        <f>'Income Statement'!Z27</f>
        <v>199.32485843021658</v>
      </c>
      <c r="AA180" s="21">
        <f>'Income Statement'!AA27</f>
        <v>113.58039619964175</v>
      </c>
      <c r="AB180" s="21">
        <f>'Income Statement'!AB27</f>
        <v>125.51594556014659</v>
      </c>
      <c r="AC180" s="21">
        <f>'Income Statement'!AC27</f>
        <v>239.0963417597882</v>
      </c>
      <c r="AD180" s="21">
        <f>'Income Statement'!AD27</f>
        <v>145.69550903943838</v>
      </c>
      <c r="AE180" s="21">
        <f>'Income Statement'!AE27</f>
        <v>150.31042040539523</v>
      </c>
      <c r="AF180" s="21">
        <f>'Income Statement'!AF27</f>
        <v>296.00592944483361</v>
      </c>
      <c r="AG180" s="21">
        <f>'Income Statement'!AG27</f>
        <v>178.10195304010563</v>
      </c>
      <c r="AH180" s="21">
        <f>'Income Statement'!AH27</f>
        <v>188.54635288575349</v>
      </c>
      <c r="AI180" s="131">
        <f>'Income Statement'!AI27</f>
        <v>366.64830592585923</v>
      </c>
    </row>
    <row r="181" spans="2:42" x14ac:dyDescent="0.3">
      <c r="B181" s="257" t="s">
        <v>67</v>
      </c>
      <c r="C181" s="180">
        <f>'Income Statement'!C28</f>
        <v>0.18824783418409033</v>
      </c>
      <c r="D181" s="180">
        <f>'Income Statement'!D28</f>
        <v>0.22344124556118741</v>
      </c>
      <c r="E181" s="180">
        <f>'Income Statement'!E28</f>
        <v>0.20870269580868539</v>
      </c>
      <c r="F181" s="180">
        <f>'Income Statement'!F28</f>
        <v>0.2083782639859284</v>
      </c>
      <c r="G181" s="180">
        <f>'Income Statement'!G28</f>
        <v>0.19698296565888243</v>
      </c>
      <c r="H181" s="180">
        <f>'Income Statement'!H28</f>
        <v>0.20255924196923697</v>
      </c>
      <c r="I181" s="180">
        <f>'Income Statement'!I28</f>
        <v>0.15728503919686707</v>
      </c>
      <c r="J181" s="180">
        <f>'Income Statement'!J28</f>
        <v>0.17842637346319323</v>
      </c>
      <c r="K181" s="180">
        <f>'Income Statement'!K28</f>
        <v>0.1705759811697482</v>
      </c>
      <c r="L181" s="180">
        <f>'Income Statement'!L28</f>
        <v>0.19746752443213036</v>
      </c>
      <c r="M181" s="180">
        <f>'Income Statement'!M28</f>
        <v>0.19958278965259435</v>
      </c>
      <c r="N181" s="180">
        <f>'Income Statement'!N28</f>
        <v>0.19856409473740624</v>
      </c>
      <c r="O181" s="180">
        <f>'Income Statement'!O28</f>
        <v>0.19164182149989817</v>
      </c>
      <c r="P181" s="180">
        <f>'Income Statement'!P28</f>
        <v>0.19411241849723745</v>
      </c>
      <c r="Q181" s="180">
        <f>'Income Statement'!Q28</f>
        <v>0.19296902506325186</v>
      </c>
      <c r="R181" s="180">
        <f>'Income Statement'!R28</f>
        <v>0.19284207932915873</v>
      </c>
      <c r="S181" s="180">
        <f>'Income Statement'!S28</f>
        <v>0.1633068973456725</v>
      </c>
      <c r="T181" s="180">
        <f>'Income Statement'!T28</f>
        <v>0.1779440456180969</v>
      </c>
      <c r="U181" s="180">
        <f>'Income Statement'!U28</f>
        <v>0.17816169969735587</v>
      </c>
      <c r="V181" s="180">
        <f>'Income Statement'!V28</f>
        <v>0.18052279189991693</v>
      </c>
      <c r="W181" s="180">
        <f>'Income Statement'!W28</f>
        <v>0.17939020383707838</v>
      </c>
      <c r="X181" s="180">
        <f>'Income Statement'!X28</f>
        <v>0.18423076074099071</v>
      </c>
      <c r="Y181" s="180">
        <f>'Income Statement'!Y28</f>
        <v>0.18492137103366146</v>
      </c>
      <c r="Z181" s="180">
        <f>'Income Statement'!Z28</f>
        <v>0.18458051682870708</v>
      </c>
      <c r="AA181" s="180">
        <f>'Income Statement'!AA28</f>
        <v>0.18753420615851499</v>
      </c>
      <c r="AB181" s="180">
        <f>'Income Statement'!AB28</f>
        <v>0.1896041425489704</v>
      </c>
      <c r="AC181" s="180">
        <f>'Income Statement'!AC28</f>
        <v>0.1886151715050311</v>
      </c>
      <c r="AD181" s="180">
        <f>'Income Statement'!AD28</f>
        <v>0.1969483157157994</v>
      </c>
      <c r="AE181" s="180">
        <f>'Income Statement'!AE28</f>
        <v>0.19749983623984627</v>
      </c>
      <c r="AF181" s="180">
        <f>'Income Statement'!AF28</f>
        <v>0.1972279897621339</v>
      </c>
      <c r="AG181" s="180">
        <f>'Income Statement'!AG28</f>
        <v>0.20491656546918258</v>
      </c>
      <c r="AH181" s="180">
        <f>'Income Statement'!AH28</f>
        <v>0.20578699357780891</v>
      </c>
      <c r="AI181" s="258">
        <f>'Income Statement'!AI28</f>
        <v>0.20536325541595035</v>
      </c>
    </row>
    <row r="182" spans="2:42" x14ac:dyDescent="0.3">
      <c r="B182" s="76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131"/>
    </row>
    <row r="183" spans="2:42" x14ac:dyDescent="0.3">
      <c r="B183" s="76" t="s">
        <v>86</v>
      </c>
      <c r="C183" s="21">
        <f>'Income Statement'!C43</f>
        <v>16.863200000000006</v>
      </c>
      <c r="D183" s="21">
        <f>'Income Statement'!D43</f>
        <v>36.660000000000011</v>
      </c>
      <c r="E183" s="21">
        <f>'Income Statement'!E43</f>
        <v>53.523200000000024</v>
      </c>
      <c r="F183" s="21">
        <f>'Income Statement'!F43</f>
        <v>23.63839999999999</v>
      </c>
      <c r="G183" s="21">
        <f>'Income Statement'!G43</f>
        <v>38.415999999999997</v>
      </c>
      <c r="H183" s="21">
        <f>'Income Statement'!H43</f>
        <v>62.054400000000015</v>
      </c>
      <c r="I183" s="21">
        <f>'Income Statement'!I43</f>
        <v>18.086300000000037</v>
      </c>
      <c r="J183" s="21">
        <f>'Income Statement'!J43</f>
        <v>33.343699999999956</v>
      </c>
      <c r="K183" s="21">
        <f>'Income Statement'!K43</f>
        <v>51.43</v>
      </c>
      <c r="L183" s="21">
        <f>'Income Statement'!L43</f>
        <v>40.279900000000026</v>
      </c>
      <c r="M183" s="21">
        <f>'Income Statement'!M43</f>
        <v>63.195099999999933</v>
      </c>
      <c r="N183" s="21">
        <f>'Income Statement'!N43</f>
        <v>103.47499999999995</v>
      </c>
      <c r="O183" s="21">
        <f>'Income Statement'!O43</f>
        <v>56.553400000000025</v>
      </c>
      <c r="P183" s="21">
        <f>'Income Statement'!P43</f>
        <v>61.749300000000076</v>
      </c>
      <c r="Q183" s="21">
        <f>'Income Statement'!Q43</f>
        <v>118.30270000000009</v>
      </c>
      <c r="R183" s="21">
        <f>'Income Statement'!R43</f>
        <v>58.313899999999997</v>
      </c>
      <c r="S183" s="21">
        <f>'Income Statement'!S43</f>
        <v>52.078499999999977</v>
      </c>
      <c r="T183" s="21">
        <f>'Income Statement'!T43</f>
        <v>110.39239999999999</v>
      </c>
      <c r="U183" s="21">
        <f>'Income Statement'!U43</f>
        <v>55.045839354896955</v>
      </c>
      <c r="V183" s="21">
        <f>'Income Statement'!V43</f>
        <v>60.785794157786221</v>
      </c>
      <c r="W183" s="21">
        <f>'Income Statement'!W43</f>
        <v>115.83163351268308</v>
      </c>
      <c r="X183" s="21">
        <f>'Income Statement'!X43</f>
        <v>71.427912484576382</v>
      </c>
      <c r="Y183" s="21">
        <f>'Income Statement'!Y43</f>
        <v>73.792529633782735</v>
      </c>
      <c r="Z183" s="21">
        <f>'Income Statement'!Z43</f>
        <v>145.22044211835907</v>
      </c>
      <c r="AA183" s="21">
        <f>'Income Statement'!AA43</f>
        <v>83.269792027584188</v>
      </c>
      <c r="AB183" s="21">
        <f>'Income Statement'!AB43</f>
        <v>92.364387601396231</v>
      </c>
      <c r="AC183" s="21">
        <f>'Income Statement'!AC43</f>
        <v>175.63417962898026</v>
      </c>
      <c r="AD183" s="21">
        <f>'Income Statement'!AD43</f>
        <v>107.6281438205789</v>
      </c>
      <c r="AE183" s="21">
        <f>'Income Statement'!AE43</f>
        <v>111.2445595703108</v>
      </c>
      <c r="AF183" s="21">
        <f>'Income Statement'!AF43</f>
        <v>218.87270339088968</v>
      </c>
      <c r="AG183" s="21">
        <f>'Income Statement'!AG43</f>
        <v>132.20450454787633</v>
      </c>
      <c r="AH183" s="21">
        <f>'Income Statement'!AH43</f>
        <v>140.18324311673058</v>
      </c>
      <c r="AI183" s="131">
        <f>'Income Statement'!AI43</f>
        <v>272.38774766460699</v>
      </c>
    </row>
    <row r="184" spans="2:42" x14ac:dyDescent="0.3">
      <c r="B184" s="257" t="s">
        <v>101</v>
      </c>
      <c r="C184" s="180">
        <f>'Income Statement'!C46</f>
        <v>0.14425826739860001</v>
      </c>
      <c r="D184" s="180">
        <f>'Income Statement'!D46</f>
        <v>0.22597031319633351</v>
      </c>
      <c r="E184" s="180">
        <f>'Income Statement'!E46</f>
        <v>0.19175035539047106</v>
      </c>
      <c r="F184" s="180">
        <f>'Income Statement'!F46</f>
        <v>0.16758796659640818</v>
      </c>
      <c r="G184" s="180">
        <f>'Income Statement'!G46</f>
        <v>0.26099439571332195</v>
      </c>
      <c r="H184" s="180">
        <f>'Income Statement'!H46</f>
        <v>0.21528606557832045</v>
      </c>
      <c r="I184" s="180">
        <f>'Income Statement'!I46</f>
        <v>0.11841093924518394</v>
      </c>
      <c r="J184" s="180">
        <f>'Income Statement'!J46</f>
        <v>0.12894113334181487</v>
      </c>
      <c r="K184" s="180">
        <f>'Income Statement'!K46</f>
        <v>0.12503096601068561</v>
      </c>
      <c r="L184" s="180">
        <f>'Income Statement'!L46</f>
        <v>0.15196475676524035</v>
      </c>
      <c r="M184" s="180">
        <f>'Income Statement'!M46</f>
        <v>0.22148563193313398</v>
      </c>
      <c r="N184" s="180">
        <f>'Income Statement'!N46</f>
        <v>0.18800493109816854</v>
      </c>
      <c r="O184" s="180">
        <f>'Income Statement'!O46</f>
        <v>0.16675842005675054</v>
      </c>
      <c r="P184" s="180">
        <f>'Income Statement'!P46</f>
        <v>0.15686254087680948</v>
      </c>
      <c r="Q184" s="180">
        <f>'Income Statement'!Q46</f>
        <v>0.16144235834199899</v>
      </c>
      <c r="R184" s="180">
        <f>'Income Statement'!R46</f>
        <v>0.14309731095167211</v>
      </c>
      <c r="S184" s="180">
        <f>'Income Statement'!S46</f>
        <v>0.12555828393914295</v>
      </c>
      <c r="T184" s="180">
        <f>'Income Statement'!T46</f>
        <v>0.13425033598337904</v>
      </c>
      <c r="U184" s="180">
        <f>'Income Statement'!U46</f>
        <v>0.12806713803781991</v>
      </c>
      <c r="V184" s="180">
        <f>'Income Statement'!V46</f>
        <v>0.13037990393321436</v>
      </c>
      <c r="W184" s="180">
        <f>'Income Statement'!W46</f>
        <v>0.12927049742955363</v>
      </c>
      <c r="X184" s="180">
        <f>'Income Statement'!X46</f>
        <v>0.13401602793056291</v>
      </c>
      <c r="Y184" s="180">
        <f>'Income Statement'!Y46</f>
        <v>0.13492876833478942</v>
      </c>
      <c r="Z184" s="180">
        <f>'Income Statement'!Z46</f>
        <v>0.13447828068913145</v>
      </c>
      <c r="AA184" s="180">
        <f>'Income Statement'!AA46</f>
        <v>0.13748793689211392</v>
      </c>
      <c r="AB184" s="180">
        <f>'Income Statement'!AB46</f>
        <v>0.13952546375736383</v>
      </c>
      <c r="AC184" s="180">
        <f>'Income Statement'!AC46</f>
        <v>0.13855197728682678</v>
      </c>
      <c r="AD184" s="180">
        <f>'Income Statement'!AD46</f>
        <v>0.14548960217670789</v>
      </c>
      <c r="AE184" s="180">
        <f>'Income Statement'!AE46</f>
        <v>0.14616938891165251</v>
      </c>
      <c r="AF184" s="180">
        <f>'Income Statement'!AF46</f>
        <v>0.14583431955079845</v>
      </c>
      <c r="AG184" s="180">
        <f>'Income Statement'!AG46</f>
        <v>0.15210890475415126</v>
      </c>
      <c r="AH184" s="180">
        <f>'Income Statement'!AH46</f>
        <v>0.15300157075145843</v>
      </c>
      <c r="AI184" s="258">
        <f>'Income Statement'!AI46</f>
        <v>0.1525670068338828</v>
      </c>
    </row>
    <row r="185" spans="2:42" x14ac:dyDescent="0.3">
      <c r="B185" s="76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131"/>
    </row>
    <row r="186" spans="2:42" x14ac:dyDescent="0.3">
      <c r="B186" s="76" t="s">
        <v>106</v>
      </c>
      <c r="C186" s="21">
        <f>'Income Statement'!C49</f>
        <v>8.4305461817272853</v>
      </c>
      <c r="D186" s="21">
        <f>'Income Statement'!D49</f>
        <v>18.327709036370457</v>
      </c>
      <c r="E186" s="21">
        <f>'Income Statement'!E49</f>
        <v>26.758255218097744</v>
      </c>
      <c r="F186" s="21">
        <f>'Income Statement'!F49</f>
        <v>11.817722784651911</v>
      </c>
      <c r="G186" s="21">
        <f>'Income Statement'!G49</f>
        <v>19.205599300087485</v>
      </c>
      <c r="H186" s="21">
        <f>'Income Statement'!H49</f>
        <v>31.023322084739412</v>
      </c>
      <c r="I186" s="21">
        <f>'Income Statement'!I49</f>
        <v>9.042019747531576</v>
      </c>
      <c r="J186" s="21">
        <f>'Income Statement'!J49</f>
        <v>16.669766279215075</v>
      </c>
      <c r="K186" s="21">
        <f>'Income Statement'!K49</f>
        <v>25.711786026746651</v>
      </c>
      <c r="L186" s="21">
        <f>'Income Statement'!L49</f>
        <v>20.137432820897398</v>
      </c>
      <c r="M186" s="21">
        <f>'Income Statement'!M49</f>
        <v>31.593600799899974</v>
      </c>
      <c r="N186" s="21">
        <f>'Income Statement'!N49</f>
        <v>51.731033620797369</v>
      </c>
      <c r="O186" s="21">
        <f>'Income Statement'!O49</f>
        <v>28.273165854268225</v>
      </c>
      <c r="P186" s="21">
        <f>'Income Statement'!P49</f>
        <v>30.833795221331773</v>
      </c>
      <c r="Q186" s="21">
        <f>'Income Statement'!Q49</f>
        <v>59.073078171422907</v>
      </c>
      <c r="R186" s="21">
        <f>'Income Statement'!R49</f>
        <v>29.118368162185103</v>
      </c>
      <c r="S186" s="21">
        <f>'Income Statement'!S49</f>
        <v>25.998302673289555</v>
      </c>
      <c r="T186" s="21">
        <f>'Income Statement'!T49</f>
        <v>55.109402690762039</v>
      </c>
      <c r="U186" s="21">
        <f>'Income Statement'!U49</f>
        <v>27.479639245636598</v>
      </c>
      <c r="V186" s="21">
        <f>'Income Statement'!V49</f>
        <v>30.345103540816321</v>
      </c>
      <c r="W186" s="21">
        <f>'Income Statement'!W49</f>
        <v>57.824742786452873</v>
      </c>
      <c r="X186" s="21">
        <f>'Income Statement'!X49</f>
        <v>35.657795214824837</v>
      </c>
      <c r="Y186" s="21">
        <f>'Income Statement'!Y49</f>
        <v>36.838244581675227</v>
      </c>
      <c r="Z186" s="21">
        <f>'Income Statement'!Z49</f>
        <v>72.496039796500042</v>
      </c>
      <c r="AA186" s="21">
        <f>'Income Statement'!AA49</f>
        <v>41.569424170723202</v>
      </c>
      <c r="AB186" s="21">
        <f>'Income Statement'!AB49</f>
        <v>46.109571226017131</v>
      </c>
      <c r="AC186" s="21">
        <f>'Income Statement'!AC49</f>
        <v>87.678995396740262</v>
      </c>
      <c r="AD186" s="21">
        <f>'Income Statement'!AD49</f>
        <v>53.729448029642754</v>
      </c>
      <c r="AE186" s="21">
        <f>'Income Statement'!AE49</f>
        <v>55.534812455537924</v>
      </c>
      <c r="AF186" s="21">
        <f>'Income Statement'!AF49</f>
        <v>109.26426048518067</v>
      </c>
      <c r="AG186" s="21">
        <f>'Income Statement'!AG49</f>
        <v>65.998304943651902</v>
      </c>
      <c r="AH186" s="21">
        <f>'Income Statement'!AH49</f>
        <v>69.981400852023341</v>
      </c>
      <c r="AI186" s="131">
        <f>'Income Statement'!AI49</f>
        <v>135.9797057956753</v>
      </c>
    </row>
    <row r="187" spans="2:42" x14ac:dyDescent="0.3">
      <c r="B187" s="76" t="s">
        <v>934</v>
      </c>
      <c r="C187" s="21">
        <f>'Income Statement'!C76</f>
        <v>32.6372685789174</v>
      </c>
      <c r="D187" s="21">
        <f>'Income Statement'!D76</f>
        <v>18.109191898527001</v>
      </c>
      <c r="E187" s="21">
        <f>'Income Statement'!E76</f>
        <v>12.403648791552071</v>
      </c>
      <c r="F187" s="21">
        <f>'Income Statement'!F76</f>
        <v>42.804354884425372</v>
      </c>
      <c r="G187" s="21">
        <f>'Income Statement'!G76</f>
        <v>20.850690142128283</v>
      </c>
      <c r="H187" s="21">
        <f>'Income Statement'!H76</f>
        <v>12.908030897083847</v>
      </c>
      <c r="I187" s="21">
        <f>'Income Statement'!I76</f>
        <v>46.995031183824132</v>
      </c>
      <c r="J187" s="21">
        <f>'Income Statement'!J76</f>
        <v>41.959196564868385</v>
      </c>
      <c r="K187" s="21">
        <f>'Income Statement'!K76</f>
        <v>27.203477785339302</v>
      </c>
      <c r="L187" s="21">
        <f>'Income Statement'!L76</f>
        <v>59.438062966889163</v>
      </c>
      <c r="M187" s="21">
        <f>'Income Statement'!M76</f>
        <v>61.697620741165132</v>
      </c>
      <c r="N187" s="21">
        <f>'Income Statement'!N76</f>
        <v>37.680476564387554</v>
      </c>
      <c r="O187" s="21">
        <f>'Income Statement'!O76</f>
        <v>111.37238808807247</v>
      </c>
      <c r="P187" s="21">
        <f>'Income Statement'!P76</f>
        <v>97.010438660842993</v>
      </c>
      <c r="Q187" s="21">
        <f>'Income Statement'!Q76</f>
        <v>50.635587184400656</v>
      </c>
      <c r="R187" s="21">
        <f>'Income Statement'!R76</f>
        <v>84.046605440555354</v>
      </c>
      <c r="S187" s="21">
        <f>'Income Statement'!S76</f>
        <v>70.777697418320457</v>
      </c>
      <c r="T187" s="21">
        <f>'Income Statement'!T76</f>
        <v>33.389946364061302</v>
      </c>
      <c r="U187" s="21">
        <f>'Income Statement'!U76</f>
        <v>0</v>
      </c>
      <c r="V187" s="21">
        <f>'Income Statement'!V76</f>
        <v>0</v>
      </c>
      <c r="W187" s="21">
        <f>'Income Statement'!W76</f>
        <v>0</v>
      </c>
      <c r="X187" s="21">
        <f>'Income Statement'!X76</f>
        <v>0</v>
      </c>
      <c r="Y187" s="21">
        <f>'Income Statement'!Y76</f>
        <v>0</v>
      </c>
      <c r="Z187" s="21">
        <f>'Income Statement'!Z76</f>
        <v>0</v>
      </c>
      <c r="AA187" s="21">
        <f>'Income Statement'!AA76</f>
        <v>0</v>
      </c>
      <c r="AB187" s="21">
        <f>'Income Statement'!AB76</f>
        <v>0</v>
      </c>
      <c r="AC187" s="21">
        <f>'Income Statement'!AC76</f>
        <v>0</v>
      </c>
      <c r="AD187" s="21">
        <f>'Income Statement'!AD76</f>
        <v>0</v>
      </c>
      <c r="AE187" s="21">
        <f>'Income Statement'!AE76</f>
        <v>0</v>
      </c>
      <c r="AF187" s="21">
        <f>'Income Statement'!AF76</f>
        <v>0</v>
      </c>
      <c r="AG187" s="21">
        <f>'Income Statement'!AG76</f>
        <v>0</v>
      </c>
      <c r="AH187" s="21">
        <f>'Income Statement'!AH76</f>
        <v>0</v>
      </c>
      <c r="AI187" s="131">
        <f>'Income Statement'!AI76</f>
        <v>0</v>
      </c>
      <c r="AP187" s="4"/>
    </row>
    <row r="188" spans="2:42" x14ac:dyDescent="0.3">
      <c r="B188" s="76" t="s">
        <v>322</v>
      </c>
      <c r="C188" s="21">
        <f>'Income Statement'!C50</f>
        <v>275.14999999999998</v>
      </c>
      <c r="D188" s="21">
        <f>'Income Statement'!D50</f>
        <v>331.9</v>
      </c>
      <c r="E188" s="21">
        <f>'Income Statement'!E50</f>
        <v>331.9</v>
      </c>
      <c r="F188" s="21">
        <f>'Income Statement'!F50</f>
        <v>505.85</v>
      </c>
      <c r="G188" s="21">
        <f>'Income Statement'!G50</f>
        <v>400.45</v>
      </c>
      <c r="H188" s="21">
        <f>'Income Statement'!H50</f>
        <v>400.45</v>
      </c>
      <c r="I188" s="21">
        <f>'Income Statement'!I50</f>
        <v>424.93</v>
      </c>
      <c r="J188" s="21">
        <f>'Income Statement'!J50</f>
        <v>699.45</v>
      </c>
      <c r="K188" s="21">
        <f>'Income Statement'!K50</f>
        <v>699.45</v>
      </c>
      <c r="L188" s="21">
        <f>'Income Statement'!L50</f>
        <v>1196.93</v>
      </c>
      <c r="M188" s="21">
        <f>'Income Statement'!M50</f>
        <v>1949.25</v>
      </c>
      <c r="N188" s="21">
        <f>'Income Statement'!N50</f>
        <v>1949.25</v>
      </c>
      <c r="O188" s="21">
        <f>'Income Statement'!O50</f>
        <v>3148.85</v>
      </c>
      <c r="P188" s="21">
        <f>'Income Statement'!P50</f>
        <v>2991.2</v>
      </c>
      <c r="Q188" s="21">
        <f>'Income Statement'!Q50</f>
        <v>2991.2</v>
      </c>
      <c r="R188" s="21">
        <f>'Income Statement'!R50</f>
        <v>2447.3000000000002</v>
      </c>
      <c r="S188" s="21">
        <f>'Income Statement'!S50</f>
        <v>1840.1</v>
      </c>
      <c r="T188" s="21">
        <f>'Income Statement'!T50</f>
        <v>1840.1</v>
      </c>
      <c r="U188" s="21">
        <f>'Income Statement'!U50</f>
        <v>0</v>
      </c>
      <c r="V188" s="21">
        <f>'Income Statement'!V50</f>
        <v>0</v>
      </c>
      <c r="W188" s="21">
        <f>'Income Statement'!W50</f>
        <v>0</v>
      </c>
      <c r="X188" s="21">
        <f>'Income Statement'!X50</f>
        <v>0</v>
      </c>
      <c r="Y188" s="21">
        <f>'Income Statement'!Y50</f>
        <v>0</v>
      </c>
      <c r="Z188" s="21">
        <f>'Income Statement'!Z50</f>
        <v>0</v>
      </c>
      <c r="AA188" s="21">
        <f>'Income Statement'!AA50</f>
        <v>0</v>
      </c>
      <c r="AB188" s="21">
        <f>'Income Statement'!AB50</f>
        <v>0</v>
      </c>
      <c r="AC188" s="21">
        <f>'Income Statement'!AC50</f>
        <v>0</v>
      </c>
      <c r="AD188" s="21">
        <f>'Income Statement'!AD50</f>
        <v>0</v>
      </c>
      <c r="AE188" s="21">
        <f>'Income Statement'!AE50</f>
        <v>0</v>
      </c>
      <c r="AF188" s="21">
        <f>'Income Statement'!AF50</f>
        <v>0</v>
      </c>
      <c r="AG188" s="21">
        <f>'Income Statement'!AG50</f>
        <v>0</v>
      </c>
      <c r="AH188" s="21">
        <f>'Income Statement'!AH50</f>
        <v>0</v>
      </c>
      <c r="AI188" s="131">
        <f>'Income Statement'!AI50</f>
        <v>0</v>
      </c>
    </row>
    <row r="189" spans="2:42" x14ac:dyDescent="0.3">
      <c r="B189" s="76" t="s">
        <v>951</v>
      </c>
      <c r="C189" s="21">
        <f>C$186*10</f>
        <v>84.305461817272857</v>
      </c>
      <c r="D189" s="21">
        <f t="shared" ref="D189:AI189" si="124">D$186*10</f>
        <v>183.27709036370459</v>
      </c>
      <c r="E189" s="21">
        <f t="shared" si="124"/>
        <v>267.58255218097747</v>
      </c>
      <c r="F189" s="21">
        <f t="shared" si="124"/>
        <v>118.17722784651912</v>
      </c>
      <c r="G189" s="21">
        <f t="shared" si="124"/>
        <v>192.05599300087485</v>
      </c>
      <c r="H189" s="21">
        <f t="shared" si="124"/>
        <v>310.23322084739414</v>
      </c>
      <c r="I189" s="21">
        <f t="shared" si="124"/>
        <v>90.42019747531576</v>
      </c>
      <c r="J189" s="21">
        <f t="shared" si="124"/>
        <v>166.69766279215077</v>
      </c>
      <c r="K189" s="21">
        <f t="shared" si="124"/>
        <v>257.11786026746654</v>
      </c>
      <c r="L189" s="21">
        <f t="shared" si="124"/>
        <v>201.37432820897399</v>
      </c>
      <c r="M189" s="21">
        <f t="shared" si="124"/>
        <v>315.93600799899974</v>
      </c>
      <c r="N189" s="21">
        <f t="shared" si="124"/>
        <v>517.31033620797371</v>
      </c>
      <c r="O189" s="21">
        <f t="shared" si="124"/>
        <v>282.73165854268223</v>
      </c>
      <c r="P189" s="21">
        <f t="shared" si="124"/>
        <v>308.33795221331775</v>
      </c>
      <c r="Q189" s="21">
        <f t="shared" si="124"/>
        <v>590.73078171422912</v>
      </c>
      <c r="R189" s="21">
        <f t="shared" si="124"/>
        <v>291.18368162185101</v>
      </c>
      <c r="S189" s="21">
        <f t="shared" si="124"/>
        <v>259.98302673289555</v>
      </c>
      <c r="T189" s="21">
        <f t="shared" si="124"/>
        <v>551.09402690762045</v>
      </c>
      <c r="U189" s="21">
        <f t="shared" si="124"/>
        <v>274.79639245636599</v>
      </c>
      <c r="V189" s="21">
        <f t="shared" si="124"/>
        <v>303.45103540816319</v>
      </c>
      <c r="W189" s="21">
        <f t="shared" si="124"/>
        <v>578.24742786452873</v>
      </c>
      <c r="X189" s="21">
        <f t="shared" si="124"/>
        <v>356.57795214824836</v>
      </c>
      <c r="Y189" s="21">
        <f t="shared" si="124"/>
        <v>368.38244581675224</v>
      </c>
      <c r="Z189" s="21">
        <f t="shared" si="124"/>
        <v>724.96039796500042</v>
      </c>
      <c r="AA189" s="21">
        <f t="shared" si="124"/>
        <v>415.69424170723204</v>
      </c>
      <c r="AB189" s="21">
        <f t="shared" si="124"/>
        <v>461.0957122601713</v>
      </c>
      <c r="AC189" s="21">
        <f t="shared" si="124"/>
        <v>876.78995396740265</v>
      </c>
      <c r="AD189" s="21">
        <f t="shared" si="124"/>
        <v>537.29448029642754</v>
      </c>
      <c r="AE189" s="21">
        <f t="shared" si="124"/>
        <v>555.34812455537929</v>
      </c>
      <c r="AF189" s="21">
        <f t="shared" si="124"/>
        <v>1092.6426048518067</v>
      </c>
      <c r="AG189" s="21">
        <f t="shared" si="124"/>
        <v>659.98304943651897</v>
      </c>
      <c r="AH189" s="21">
        <f t="shared" si="124"/>
        <v>699.81400852023341</v>
      </c>
      <c r="AI189" s="131">
        <f t="shared" si="124"/>
        <v>1359.797057956753</v>
      </c>
    </row>
    <row r="190" spans="2:42" x14ac:dyDescent="0.3">
      <c r="B190" s="76" t="s">
        <v>952</v>
      </c>
      <c r="C190" s="21">
        <f>C$186*15</f>
        <v>126.45819272590929</v>
      </c>
      <c r="D190" s="21">
        <f t="shared" ref="D190:AI190" si="125">D$186*15</f>
        <v>274.91563554555688</v>
      </c>
      <c r="E190" s="21">
        <f t="shared" si="125"/>
        <v>401.37382827146615</v>
      </c>
      <c r="F190" s="21">
        <f t="shared" si="125"/>
        <v>177.26584176977866</v>
      </c>
      <c r="G190" s="21">
        <f t="shared" si="125"/>
        <v>288.08398950131226</v>
      </c>
      <c r="H190" s="21">
        <f t="shared" si="125"/>
        <v>465.3498312710912</v>
      </c>
      <c r="I190" s="21">
        <f t="shared" si="125"/>
        <v>135.63029621297363</v>
      </c>
      <c r="J190" s="21">
        <f t="shared" si="125"/>
        <v>250.04649418822612</v>
      </c>
      <c r="K190" s="21">
        <f t="shared" si="125"/>
        <v>385.67679040119975</v>
      </c>
      <c r="L190" s="21">
        <f t="shared" si="125"/>
        <v>302.06149231346097</v>
      </c>
      <c r="M190" s="21">
        <f t="shared" si="125"/>
        <v>473.90401199849964</v>
      </c>
      <c r="N190" s="21">
        <f t="shared" si="125"/>
        <v>775.96550431196056</v>
      </c>
      <c r="O190" s="21">
        <f t="shared" si="125"/>
        <v>424.0974878140234</v>
      </c>
      <c r="P190" s="21">
        <f t="shared" si="125"/>
        <v>462.50692831997657</v>
      </c>
      <c r="Q190" s="21">
        <f t="shared" si="125"/>
        <v>886.09617257134357</v>
      </c>
      <c r="R190" s="21">
        <f t="shared" si="125"/>
        <v>436.77552243277654</v>
      </c>
      <c r="S190" s="21">
        <f t="shared" si="125"/>
        <v>389.9745400993433</v>
      </c>
      <c r="T190" s="21">
        <f t="shared" si="125"/>
        <v>826.64104036143056</v>
      </c>
      <c r="U190" s="21">
        <f t="shared" si="125"/>
        <v>412.19458868454899</v>
      </c>
      <c r="V190" s="21">
        <f t="shared" si="125"/>
        <v>455.17655311224485</v>
      </c>
      <c r="W190" s="21">
        <f t="shared" si="125"/>
        <v>867.37114179679315</v>
      </c>
      <c r="X190" s="21">
        <f t="shared" si="125"/>
        <v>534.86692822237251</v>
      </c>
      <c r="Y190" s="21">
        <f t="shared" si="125"/>
        <v>552.57366872512841</v>
      </c>
      <c r="Z190" s="21">
        <f t="shared" si="125"/>
        <v>1087.4405969475006</v>
      </c>
      <c r="AA190" s="21">
        <f t="shared" si="125"/>
        <v>623.54136256084803</v>
      </c>
      <c r="AB190" s="21">
        <f t="shared" si="125"/>
        <v>691.64356839025697</v>
      </c>
      <c r="AC190" s="21">
        <f t="shared" si="125"/>
        <v>1315.184930951104</v>
      </c>
      <c r="AD190" s="21">
        <f t="shared" si="125"/>
        <v>805.94172044464131</v>
      </c>
      <c r="AE190" s="21">
        <f t="shared" si="125"/>
        <v>833.02218683306887</v>
      </c>
      <c r="AF190" s="21">
        <f t="shared" si="125"/>
        <v>1638.9639072777099</v>
      </c>
      <c r="AG190" s="21">
        <f t="shared" si="125"/>
        <v>989.97457415477857</v>
      </c>
      <c r="AH190" s="21">
        <f t="shared" si="125"/>
        <v>1049.7210127803501</v>
      </c>
      <c r="AI190" s="131">
        <f t="shared" si="125"/>
        <v>2039.6955869351295</v>
      </c>
    </row>
    <row r="191" spans="2:42" x14ac:dyDescent="0.3">
      <c r="B191" s="76" t="s">
        <v>953</v>
      </c>
      <c r="C191" s="21">
        <f>C$186*20</f>
        <v>168.61092363454571</v>
      </c>
      <c r="D191" s="21">
        <f t="shared" ref="D191:AI191" si="126">D$186*20</f>
        <v>366.55418072740918</v>
      </c>
      <c r="E191" s="21">
        <f t="shared" si="126"/>
        <v>535.16510436195495</v>
      </c>
      <c r="F191" s="21">
        <f t="shared" si="126"/>
        <v>236.35445569303823</v>
      </c>
      <c r="G191" s="21">
        <f t="shared" si="126"/>
        <v>384.1119860017497</v>
      </c>
      <c r="H191" s="21">
        <f t="shared" si="126"/>
        <v>620.46644169478827</v>
      </c>
      <c r="I191" s="21">
        <f t="shared" si="126"/>
        <v>180.84039495063152</v>
      </c>
      <c r="J191" s="21">
        <f t="shared" si="126"/>
        <v>333.39532558430153</v>
      </c>
      <c r="K191" s="21">
        <f t="shared" si="126"/>
        <v>514.23572053493308</v>
      </c>
      <c r="L191" s="21">
        <f t="shared" si="126"/>
        <v>402.74865641794798</v>
      </c>
      <c r="M191" s="21">
        <f t="shared" si="126"/>
        <v>631.87201599799948</v>
      </c>
      <c r="N191" s="21">
        <f t="shared" si="126"/>
        <v>1034.6206724159474</v>
      </c>
      <c r="O191" s="21">
        <f t="shared" si="126"/>
        <v>565.46331708536445</v>
      </c>
      <c r="P191" s="21">
        <f t="shared" si="126"/>
        <v>616.6759044266355</v>
      </c>
      <c r="Q191" s="21">
        <f t="shared" si="126"/>
        <v>1181.4615634284582</v>
      </c>
      <c r="R191" s="21">
        <f t="shared" si="126"/>
        <v>582.36736324370202</v>
      </c>
      <c r="S191" s="21">
        <f t="shared" si="126"/>
        <v>519.96605346579111</v>
      </c>
      <c r="T191" s="21">
        <f t="shared" si="126"/>
        <v>1102.1880538152409</v>
      </c>
      <c r="U191" s="21">
        <f t="shared" si="126"/>
        <v>549.59278491273199</v>
      </c>
      <c r="V191" s="21">
        <f t="shared" si="126"/>
        <v>606.90207081632639</v>
      </c>
      <c r="W191" s="21">
        <f t="shared" si="126"/>
        <v>1156.4948557290575</v>
      </c>
      <c r="X191" s="21">
        <f t="shared" si="126"/>
        <v>713.15590429649671</v>
      </c>
      <c r="Y191" s="21">
        <f t="shared" si="126"/>
        <v>736.76489163350448</v>
      </c>
      <c r="Z191" s="21">
        <f t="shared" si="126"/>
        <v>1449.9207959300008</v>
      </c>
      <c r="AA191" s="21">
        <f t="shared" si="126"/>
        <v>831.38848341446408</v>
      </c>
      <c r="AB191" s="21">
        <f t="shared" si="126"/>
        <v>922.19142452034259</v>
      </c>
      <c r="AC191" s="21">
        <f t="shared" si="126"/>
        <v>1753.5799079348053</v>
      </c>
      <c r="AD191" s="21">
        <f t="shared" si="126"/>
        <v>1074.5889605928551</v>
      </c>
      <c r="AE191" s="21">
        <f t="shared" si="126"/>
        <v>1110.6962491107586</v>
      </c>
      <c r="AF191" s="21">
        <f t="shared" si="126"/>
        <v>2185.2852097036134</v>
      </c>
      <c r="AG191" s="21">
        <f t="shared" si="126"/>
        <v>1319.9660988730379</v>
      </c>
      <c r="AH191" s="21">
        <f t="shared" si="126"/>
        <v>1399.6280170404668</v>
      </c>
      <c r="AI191" s="131">
        <f t="shared" si="126"/>
        <v>2719.5941159135059</v>
      </c>
    </row>
    <row r="192" spans="2:42" x14ac:dyDescent="0.3">
      <c r="B192" s="76" t="s">
        <v>954</v>
      </c>
      <c r="C192" s="21">
        <f>C$186*25</f>
        <v>210.76365454318213</v>
      </c>
      <c r="D192" s="21">
        <f t="shared" ref="D192:AI192" si="127">D$186*25</f>
        <v>458.19272590926141</v>
      </c>
      <c r="E192" s="21">
        <f t="shared" si="127"/>
        <v>668.95638045244357</v>
      </c>
      <c r="F192" s="21">
        <f t="shared" si="127"/>
        <v>295.44306961629781</v>
      </c>
      <c r="G192" s="21">
        <f t="shared" si="127"/>
        <v>480.13998250218714</v>
      </c>
      <c r="H192" s="21">
        <f t="shared" si="127"/>
        <v>775.58305211848528</v>
      </c>
      <c r="I192" s="21">
        <f t="shared" si="127"/>
        <v>226.05049368828941</v>
      </c>
      <c r="J192" s="21">
        <f t="shared" si="127"/>
        <v>416.74415698037689</v>
      </c>
      <c r="K192" s="21">
        <f t="shared" si="127"/>
        <v>642.79465066866624</v>
      </c>
      <c r="L192" s="21">
        <f t="shared" si="127"/>
        <v>503.43582052243494</v>
      </c>
      <c r="M192" s="21">
        <f t="shared" si="127"/>
        <v>789.84001999749933</v>
      </c>
      <c r="N192" s="21">
        <f t="shared" si="127"/>
        <v>1293.2758405199343</v>
      </c>
      <c r="O192" s="21">
        <f t="shared" si="127"/>
        <v>706.82914635670556</v>
      </c>
      <c r="P192" s="21">
        <f t="shared" si="127"/>
        <v>770.84488053329437</v>
      </c>
      <c r="Q192" s="21">
        <f t="shared" si="127"/>
        <v>1476.8269542855726</v>
      </c>
      <c r="R192" s="21">
        <f t="shared" si="127"/>
        <v>727.95920405462755</v>
      </c>
      <c r="S192" s="21">
        <f t="shared" si="127"/>
        <v>649.95756683223885</v>
      </c>
      <c r="T192" s="21">
        <f t="shared" si="127"/>
        <v>1377.7350672690509</v>
      </c>
      <c r="U192" s="21">
        <f t="shared" si="127"/>
        <v>686.99098114091498</v>
      </c>
      <c r="V192" s="21">
        <f t="shared" si="127"/>
        <v>758.62758852040804</v>
      </c>
      <c r="W192" s="21">
        <f t="shared" si="127"/>
        <v>1445.6185696613218</v>
      </c>
      <c r="X192" s="21">
        <f t="shared" si="127"/>
        <v>891.44488037062092</v>
      </c>
      <c r="Y192" s="21">
        <f t="shared" si="127"/>
        <v>920.95611454188065</v>
      </c>
      <c r="Z192" s="21">
        <f t="shared" si="127"/>
        <v>1812.4009949125011</v>
      </c>
      <c r="AA192" s="21">
        <f t="shared" si="127"/>
        <v>1039.2356042680801</v>
      </c>
      <c r="AB192" s="21">
        <f t="shared" si="127"/>
        <v>1152.7392806504283</v>
      </c>
      <c r="AC192" s="21">
        <f t="shared" si="127"/>
        <v>2191.9748849185066</v>
      </c>
      <c r="AD192" s="21">
        <f t="shared" si="127"/>
        <v>1343.2362007410688</v>
      </c>
      <c r="AE192" s="21">
        <f t="shared" si="127"/>
        <v>1388.370311388448</v>
      </c>
      <c r="AF192" s="21">
        <f t="shared" si="127"/>
        <v>2731.6065121295169</v>
      </c>
      <c r="AG192" s="21">
        <f t="shared" si="127"/>
        <v>1649.9576235912975</v>
      </c>
      <c r="AH192" s="21">
        <f t="shared" si="127"/>
        <v>1749.5350213005836</v>
      </c>
      <c r="AI192" s="131">
        <f t="shared" si="127"/>
        <v>3399.4926448918827</v>
      </c>
    </row>
    <row r="193" spans="2:41" x14ac:dyDescent="0.3">
      <c r="B193" s="76" t="s">
        <v>955</v>
      </c>
      <c r="C193" s="21">
        <f>C$186*30</f>
        <v>252.91638545181857</v>
      </c>
      <c r="D193" s="21">
        <f t="shared" ref="D193:AI193" si="128">D$186*30</f>
        <v>549.83127109111376</v>
      </c>
      <c r="E193" s="21">
        <f t="shared" si="128"/>
        <v>802.7476565429323</v>
      </c>
      <c r="F193" s="21">
        <f t="shared" si="128"/>
        <v>354.53168353955732</v>
      </c>
      <c r="G193" s="21">
        <f t="shared" si="128"/>
        <v>576.16797900262452</v>
      </c>
      <c r="H193" s="21">
        <f t="shared" si="128"/>
        <v>930.69966254218241</v>
      </c>
      <c r="I193" s="21">
        <f t="shared" si="128"/>
        <v>271.26059242594727</v>
      </c>
      <c r="J193" s="21">
        <f t="shared" si="128"/>
        <v>500.09298837645224</v>
      </c>
      <c r="K193" s="21">
        <f t="shared" si="128"/>
        <v>771.35358080239951</v>
      </c>
      <c r="L193" s="21">
        <f t="shared" si="128"/>
        <v>604.12298462692195</v>
      </c>
      <c r="M193" s="21">
        <f t="shared" si="128"/>
        <v>947.80802399699928</v>
      </c>
      <c r="N193" s="21">
        <f t="shared" si="128"/>
        <v>1551.9310086239211</v>
      </c>
      <c r="O193" s="21">
        <f t="shared" si="128"/>
        <v>848.19497562804679</v>
      </c>
      <c r="P193" s="21">
        <f t="shared" si="128"/>
        <v>925.01385663995313</v>
      </c>
      <c r="Q193" s="21">
        <f t="shared" si="128"/>
        <v>1772.1923451426871</v>
      </c>
      <c r="R193" s="21">
        <f t="shared" si="128"/>
        <v>873.55104486555308</v>
      </c>
      <c r="S193" s="21">
        <f t="shared" si="128"/>
        <v>779.9490801986866</v>
      </c>
      <c r="T193" s="21">
        <f t="shared" si="128"/>
        <v>1653.2820807228611</v>
      </c>
      <c r="U193" s="21">
        <f t="shared" si="128"/>
        <v>824.38917736909798</v>
      </c>
      <c r="V193" s="21">
        <f t="shared" si="128"/>
        <v>910.35310622448969</v>
      </c>
      <c r="W193" s="21">
        <f t="shared" si="128"/>
        <v>1734.7422835935863</v>
      </c>
      <c r="X193" s="21">
        <f t="shared" si="128"/>
        <v>1069.733856444745</v>
      </c>
      <c r="Y193" s="21">
        <f t="shared" si="128"/>
        <v>1105.1473374502568</v>
      </c>
      <c r="Z193" s="21">
        <f t="shared" si="128"/>
        <v>2174.8811938950012</v>
      </c>
      <c r="AA193" s="21">
        <f t="shared" si="128"/>
        <v>1247.0827251216961</v>
      </c>
      <c r="AB193" s="21">
        <f t="shared" si="128"/>
        <v>1383.2871367805139</v>
      </c>
      <c r="AC193" s="21">
        <f t="shared" si="128"/>
        <v>2630.369861902208</v>
      </c>
      <c r="AD193" s="21">
        <f t="shared" si="128"/>
        <v>1611.8834408892826</v>
      </c>
      <c r="AE193" s="21">
        <f t="shared" si="128"/>
        <v>1666.0443736661377</v>
      </c>
      <c r="AF193" s="21">
        <f t="shared" si="128"/>
        <v>3277.9278145554199</v>
      </c>
      <c r="AG193" s="21">
        <f t="shared" si="128"/>
        <v>1979.9491483095571</v>
      </c>
      <c r="AH193" s="21">
        <f t="shared" si="128"/>
        <v>2099.4420255607001</v>
      </c>
      <c r="AI193" s="131">
        <f t="shared" si="128"/>
        <v>4079.3911738702591</v>
      </c>
    </row>
    <row r="194" spans="2:41" x14ac:dyDescent="0.3">
      <c r="B194" s="76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131"/>
    </row>
    <row r="195" spans="2:41" x14ac:dyDescent="0.3">
      <c r="B195" s="76" t="s">
        <v>127</v>
      </c>
      <c r="C195" s="21">
        <f>'Revenue Segments'!C77</f>
        <v>0</v>
      </c>
      <c r="D195" s="21">
        <f>'Revenue Segments'!D77</f>
        <v>0</v>
      </c>
      <c r="E195" s="21">
        <f>'Revenue Segments'!E77</f>
        <v>0</v>
      </c>
      <c r="F195" s="21">
        <f>'Revenue Segments'!F77</f>
        <v>15.9</v>
      </c>
      <c r="G195" s="21">
        <f>'Revenue Segments'!G77</f>
        <v>11.6</v>
      </c>
      <c r="H195" s="21">
        <f>'Revenue Segments'!H77</f>
        <v>27.5</v>
      </c>
      <c r="I195" s="21">
        <f>'Revenue Segments'!I77</f>
        <v>31.3</v>
      </c>
      <c r="J195" s="21">
        <f>'Revenue Segments'!J77</f>
        <v>47.400000000000006</v>
      </c>
      <c r="K195" s="21">
        <f>'Revenue Segments'!K77</f>
        <v>78.7</v>
      </c>
      <c r="L195" s="21">
        <f>'Revenue Segments'!L77</f>
        <v>121.6</v>
      </c>
      <c r="M195" s="21">
        <f>'Revenue Segments'!M77</f>
        <v>50.200000000000017</v>
      </c>
      <c r="N195" s="21">
        <f>'Revenue Segments'!N77</f>
        <v>171.8</v>
      </c>
      <c r="O195" s="21">
        <f>'Revenue Segments'!O77</f>
        <v>158.80000000000001</v>
      </c>
      <c r="P195" s="21">
        <f>'Revenue Segments'!P77</f>
        <v>221.39999999999998</v>
      </c>
      <c r="Q195" s="21">
        <f>'Revenue Segments'!Q77</f>
        <v>380.2</v>
      </c>
      <c r="R195" s="21">
        <f>'Revenue Segments'!R77</f>
        <v>231.1</v>
      </c>
      <c r="S195" s="21">
        <f>'Revenue Segments'!S77-'Revenue Segments'!S105</f>
        <v>164.00000000000003</v>
      </c>
      <c r="T195" s="21">
        <f>'Revenue Segments'!T77-'Revenue Segments'!T105</f>
        <v>395.1</v>
      </c>
      <c r="U195" s="21">
        <f>'Revenue Segments'!U77-'Revenue Segments'!U105</f>
        <v>99.050398400579411</v>
      </c>
      <c r="V195" s="21">
        <f>'Revenue Segments'!V77-'Revenue Segments'!V105</f>
        <v>107.43873122882866</v>
      </c>
      <c r="W195" s="21">
        <f>'Revenue Segments'!W77-'Revenue Segments'!W105</f>
        <v>206.48912962940804</v>
      </c>
      <c r="X195" s="21">
        <f>'Revenue Segments'!X77-'Revenue Segments'!X105</f>
        <v>122.8232680063298</v>
      </c>
      <c r="Y195" s="21">
        <f>'Revenue Segments'!Y77-'Revenue Segments'!Y105</f>
        <v>126.03096888353947</v>
      </c>
      <c r="Z195" s="21">
        <f>'Revenue Segments'!Z77-'Revenue Segments'!Z105</f>
        <v>248.85423688986924</v>
      </c>
      <c r="AA195" s="21">
        <f>'Revenue Segments'!AA77-'Revenue Segments'!AA105</f>
        <v>139.57007681202191</v>
      </c>
      <c r="AB195" s="21">
        <f>'Revenue Segments'!AB77-'Revenue Segments'!AB105</f>
        <v>152.55291585025716</v>
      </c>
      <c r="AC195" s="21">
        <f>'Revenue Segments'!AC77-'Revenue Segments'!AC105</f>
        <v>292.1229926622791</v>
      </c>
      <c r="AD195" s="21">
        <f>'Revenue Segments'!AD77-'Revenue Segments'!AD105</f>
        <v>170.47603140941803</v>
      </c>
      <c r="AE195" s="21">
        <f>'Revenue Segments'!AE77-'Revenue Segments'!AE105</f>
        <v>175.38473151662049</v>
      </c>
      <c r="AF195" s="21">
        <f>'Revenue Segments'!AF77-'Revenue Segments'!AF105</f>
        <v>345.86076292603855</v>
      </c>
      <c r="AG195" s="21">
        <f>'Revenue Segments'!AG77-'Revenue Segments'!AG105</f>
        <v>200.29082080430308</v>
      </c>
      <c r="AH195" s="21">
        <f>'Revenue Segments'!AH77-'Revenue Segments'!AH105</f>
        <v>211.13957659773854</v>
      </c>
      <c r="AI195" s="131">
        <f>'Revenue Segments'!AI77-'Revenue Segments'!AI105</f>
        <v>411.43039740204165</v>
      </c>
    </row>
    <row r="196" spans="2:41" x14ac:dyDescent="0.3">
      <c r="B196" s="76" t="s">
        <v>124</v>
      </c>
      <c r="C196" s="21">
        <f>'Revenue Segments'!C73</f>
        <v>0</v>
      </c>
      <c r="D196" s="21">
        <f>'Revenue Segments'!D73</f>
        <v>0</v>
      </c>
      <c r="E196" s="21">
        <f>'Revenue Segments'!E73</f>
        <v>0</v>
      </c>
      <c r="F196" s="21">
        <f>'Revenue Segments'!F73</f>
        <v>125.2</v>
      </c>
      <c r="G196" s="21">
        <f>'Revenue Segments'!G73</f>
        <v>135.5</v>
      </c>
      <c r="H196" s="21">
        <f>'Revenue Segments'!H73</f>
        <v>260.7</v>
      </c>
      <c r="I196" s="21">
        <f>'Revenue Segments'!I73</f>
        <v>121.4</v>
      </c>
      <c r="J196" s="21">
        <f>'Revenue Segments'!J73</f>
        <v>211.20000000000002</v>
      </c>
      <c r="K196" s="21">
        <f>'Revenue Segments'!K73</f>
        <v>332.6</v>
      </c>
      <c r="L196" s="21">
        <f>'Revenue Segments'!L73</f>
        <v>109</v>
      </c>
      <c r="M196" s="21">
        <f>'Revenue Segments'!M73</f>
        <v>216.60000000000002</v>
      </c>
      <c r="N196" s="21">
        <f>'Revenue Segments'!N73</f>
        <v>325.60000000000002</v>
      </c>
      <c r="O196" s="21">
        <f>'Revenue Segments'!O73</f>
        <v>163.6</v>
      </c>
      <c r="P196" s="21">
        <f>'Revenue Segments'!P73</f>
        <v>101.4</v>
      </c>
      <c r="Q196" s="21">
        <f>'Revenue Segments'!Q73</f>
        <v>265</v>
      </c>
      <c r="R196" s="21">
        <f>'Revenue Segments'!R73</f>
        <v>145.69999999999999</v>
      </c>
      <c r="S196" s="21">
        <f>'Revenue Segments'!S73</f>
        <v>251</v>
      </c>
      <c r="T196" s="21">
        <f>'Revenue Segments'!T73</f>
        <v>396.7</v>
      </c>
      <c r="U196" s="21">
        <f>'Revenue Segments'!U73</f>
        <v>253.59390173768313</v>
      </c>
      <c r="V196" s="21">
        <f>'Revenue Segments'!V73</f>
        <v>275.07014095872171</v>
      </c>
      <c r="W196" s="21">
        <f>'Revenue Segments'!W73</f>
        <v>528.66404269640486</v>
      </c>
      <c r="X196" s="21">
        <f>'Revenue Segments'!X73</f>
        <v>314.45841976256111</v>
      </c>
      <c r="Y196" s="21">
        <f>'Revenue Segments'!Y73</f>
        <v>322.67093979472924</v>
      </c>
      <c r="Z196" s="21">
        <f>'Revenue Segments'!Z73</f>
        <v>637.1293595572904</v>
      </c>
      <c r="AA196" s="21">
        <f>'Revenue Segments'!AA73</f>
        <v>357.33445716642098</v>
      </c>
      <c r="AB196" s="21">
        <f>'Revenue Segments'!AB73</f>
        <v>390.57378644224468</v>
      </c>
      <c r="AC196" s="21">
        <f>'Revenue Segments'!AC73</f>
        <v>747.90824360866566</v>
      </c>
      <c r="AD196" s="21">
        <f>'Revenue Segments'!AD73</f>
        <v>436.46146462766018</v>
      </c>
      <c r="AE196" s="21">
        <f>'Revenue Segments'!AE73</f>
        <v>449.02896998600681</v>
      </c>
      <c r="AF196" s="21">
        <f>'Revenue Segments'!AF73</f>
        <v>885.49043461366705</v>
      </c>
      <c r="AG196" s="21">
        <f>'Revenue Segments'!AG73</f>
        <v>512.79481506567276</v>
      </c>
      <c r="AH196" s="21">
        <f>'Revenue Segments'!AH73</f>
        <v>540.5703551450805</v>
      </c>
      <c r="AI196" s="131">
        <f>'Revenue Segments'!AI73</f>
        <v>1053.3651702107531</v>
      </c>
    </row>
    <row r="197" spans="2:41" x14ac:dyDescent="0.3">
      <c r="B197" s="76" t="s">
        <v>956</v>
      </c>
      <c r="C197" s="21">
        <f>'Revenue Segments'!C81</f>
        <v>0</v>
      </c>
      <c r="D197" s="21">
        <f>'Revenue Segments'!D81</f>
        <v>0</v>
      </c>
      <c r="E197" s="21">
        <f>'Revenue Segments'!E81</f>
        <v>0</v>
      </c>
      <c r="F197" s="21">
        <f>'Revenue Segments'!F81</f>
        <v>0</v>
      </c>
      <c r="G197" s="21">
        <f>'Revenue Segments'!G81</f>
        <v>0</v>
      </c>
      <c r="H197" s="21">
        <f>'Revenue Segments'!H81</f>
        <v>0</v>
      </c>
      <c r="I197" s="21">
        <f>'Revenue Segments'!I81</f>
        <v>0</v>
      </c>
      <c r="J197" s="21">
        <f>'Revenue Segments'!J81</f>
        <v>0</v>
      </c>
      <c r="K197" s="21">
        <f>'Revenue Segments'!K81</f>
        <v>0</v>
      </c>
      <c r="L197" s="21">
        <f>'Revenue Segments'!L81</f>
        <v>6.8</v>
      </c>
      <c r="M197" s="21">
        <f>'Revenue Segments'!M81</f>
        <v>46.2</v>
      </c>
      <c r="N197" s="21">
        <f>'Revenue Segments'!N81</f>
        <v>53</v>
      </c>
      <c r="O197" s="21">
        <f>'Revenue Segments'!O81</f>
        <v>16.7</v>
      </c>
      <c r="P197" s="21">
        <f>'Revenue Segments'!P81</f>
        <v>46.400000000000006</v>
      </c>
      <c r="Q197" s="21">
        <f>'Revenue Segments'!Q81</f>
        <v>63.1</v>
      </c>
      <c r="R197" s="21">
        <f>'Revenue Segments'!R81</f>
        <v>30.7</v>
      </c>
      <c r="S197" s="21">
        <f>'Revenue Segments'!S81</f>
        <v>-0.19999999999999929</v>
      </c>
      <c r="T197" s="21">
        <f>'Revenue Segments'!T81</f>
        <v>30.5</v>
      </c>
      <c r="U197" s="21">
        <f>'Revenue Segments'!U81</f>
        <v>12.894605173102544</v>
      </c>
      <c r="V197" s="21">
        <f>'Revenue Segments'!V81</f>
        <v>13.986617336884169</v>
      </c>
      <c r="W197" s="21">
        <f>'Revenue Segments'!W81</f>
        <v>26.881222509986713</v>
      </c>
      <c r="X197" s="21">
        <f>'Revenue Segments'!X81</f>
        <v>15.989411174367529</v>
      </c>
      <c r="Y197" s="21">
        <f>'Revenue Segments'!Y81</f>
        <v>16.406996938715064</v>
      </c>
      <c r="Z197" s="21">
        <f>'Revenue Segments'!Z81</f>
        <v>32.396408113082593</v>
      </c>
      <c r="AA197" s="21">
        <f>'Revenue Segments'!AA81</f>
        <v>18.169548669479049</v>
      </c>
      <c r="AB197" s="21">
        <f>'Revenue Segments'!AB81</f>
        <v>19.859684056385341</v>
      </c>
      <c r="AC197" s="21">
        <f>'Revenue Segments'!AC81</f>
        <v>38.029232725864389</v>
      </c>
      <c r="AD197" s="21">
        <f>'Revenue Segments'!AD81</f>
        <v>22.192955828525115</v>
      </c>
      <c r="AE197" s="21">
        <f>'Revenue Segments'!AE81</f>
        <v>22.831981524712234</v>
      </c>
      <c r="AF197" s="21">
        <f>'Revenue Segments'!AF81</f>
        <v>45.024937353237348</v>
      </c>
      <c r="AG197" s="21">
        <f>'Revenue Segments'!AG81</f>
        <v>26.074312630457964</v>
      </c>
      <c r="AH197" s="21">
        <f>'Revenue Segments'!AH81</f>
        <v>27.486628227715983</v>
      </c>
      <c r="AI197" s="131">
        <f>'Revenue Segments'!AI81</f>
        <v>53.56094085817395</v>
      </c>
    </row>
    <row r="198" spans="2:41" x14ac:dyDescent="0.3">
      <c r="B198" s="76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131"/>
    </row>
    <row r="199" spans="2:41" s="69" customFormat="1" x14ac:dyDescent="0.3">
      <c r="B199" s="257" t="s">
        <v>321</v>
      </c>
      <c r="C199" s="180">
        <f>'Income Statement'!C70</f>
        <v>3.6469015869445814E-2</v>
      </c>
      <c r="D199" s="180">
        <f>'Income Statement'!D70</f>
        <v>8.5112923211009259E-2</v>
      </c>
      <c r="E199" s="180">
        <f>'Income Statement'!E70</f>
        <v>0.12426393921460697</v>
      </c>
      <c r="F199" s="180">
        <f>'Income Statement'!F70</f>
        <v>5.168968259643214E-2</v>
      </c>
      <c r="G199" s="180">
        <f>'Income Statement'!G70</f>
        <v>7.3129650555401576E-2</v>
      </c>
      <c r="H199" s="180">
        <f>'Income Statement'!H70</f>
        <v>0.11812829517453959</v>
      </c>
      <c r="I199" s="180">
        <f>'Income Statement'!I70</f>
        <v>3.3617776717055389E-2</v>
      </c>
      <c r="J199" s="180">
        <f>'Income Statement'!J70</f>
        <v>5.1863342347490578E-2</v>
      </c>
      <c r="K199" s="180">
        <f>'Income Statement'!K70</f>
        <v>7.9995072440414344E-2</v>
      </c>
      <c r="L199" s="180">
        <f>'Income Statement'!L70</f>
        <v>5.853841934830363E-2</v>
      </c>
      <c r="M199" s="180">
        <f>'Income Statement'!M70</f>
        <v>7.8170079615967045E-2</v>
      </c>
      <c r="N199" s="180">
        <f>'Income Statement'!N70</f>
        <v>0.1279948759992815</v>
      </c>
      <c r="O199" s="180">
        <f>'Income Statement'!O70</f>
        <v>6.4854496703743353E-2</v>
      </c>
      <c r="P199" s="180">
        <f>'Income Statement'!P70</f>
        <v>6.6672734764108732E-2</v>
      </c>
      <c r="Q199" s="180">
        <f>'Income Statement'!Q70</f>
        <v>0.12773528669924877</v>
      </c>
      <c r="R199" s="180">
        <f>'Income Statement'!R70</f>
        <v>5.8496455739070495E-2</v>
      </c>
      <c r="S199" s="180">
        <f>'Income Statement'!S70</f>
        <v>5.3652713537356858E-2</v>
      </c>
      <c r="T199" s="180">
        <f>'Income Statement'!T70</f>
        <v>0.11372930890677181</v>
      </c>
      <c r="U199" s="180">
        <f>'Income Statement'!U70</f>
        <v>5.5246870541870816E-2</v>
      </c>
      <c r="V199" s="180">
        <f>'Income Statement'!V70</f>
        <v>5.7071568734277975E-2</v>
      </c>
      <c r="W199" s="180">
        <f>'Income Statement'!W70</f>
        <v>0.10875391405536168</v>
      </c>
      <c r="X199" s="180">
        <f>'Income Statement'!X70</f>
        <v>6.556568977096551E-2</v>
      </c>
      <c r="Y199" s="180">
        <f>'Income Statement'!Y70</f>
        <v>6.2898198520881091E-2</v>
      </c>
      <c r="Z199" s="180">
        <f>'Income Statement'!Z70</f>
        <v>0.1237808792161126</v>
      </c>
      <c r="AA199" s="180">
        <f>'Income Statement'!AA70</f>
        <v>7.0395170754492795E-2</v>
      </c>
      <c r="AB199" s="180">
        <f>'Income Statement'!AB70</f>
        <v>7.1476827881345323E-2</v>
      </c>
      <c r="AC199" s="180">
        <f>'Income Statement'!AC70</f>
        <v>0.13591573931717529</v>
      </c>
      <c r="AD199" s="180">
        <f>'Income Statement'!AD70</f>
        <v>8.2604894689916608E-2</v>
      </c>
      <c r="AE199" s="180">
        <f>'Income Statement'!AE70</f>
        <v>7.7932648026992915E-2</v>
      </c>
      <c r="AF199" s="180">
        <f>'Income Statement'!AF70</f>
        <v>0.15333180716399658</v>
      </c>
      <c r="AG199" s="180">
        <f>'Income Statement'!AG70</f>
        <v>9.2824594871875929E-2</v>
      </c>
      <c r="AH199" s="180">
        <f>'Income Statement'!AH70</f>
        <v>8.8220725359701505E-2</v>
      </c>
      <c r="AI199" s="258">
        <f>'Income Statement'!AI70</f>
        <v>0.17142023642623952</v>
      </c>
      <c r="AO199" s="12"/>
    </row>
    <row r="200" spans="2:41" s="69" customFormat="1" x14ac:dyDescent="0.3">
      <c r="B200" s="257" t="s">
        <v>320</v>
      </c>
      <c r="C200" s="180">
        <f>'Income Statement'!C71</f>
        <v>5.0636925270357694E-2</v>
      </c>
      <c r="D200" s="180">
        <f>'Income Statement'!D71</f>
        <v>0.10873527469004071</v>
      </c>
      <c r="E200" s="180">
        <f>'Income Statement'!E71</f>
        <v>0.15875231462875036</v>
      </c>
      <c r="F200" s="180">
        <f>'Income Statement'!F71</f>
        <v>6.6628145250168386E-2</v>
      </c>
      <c r="G200" s="180">
        <f>'Income Statement'!G71</f>
        <v>9.7648539987072042E-2</v>
      </c>
      <c r="H200" s="180">
        <f>'Income Statement'!H71</f>
        <v>0.15773431798661405</v>
      </c>
      <c r="I200" s="180">
        <f>'Income Statement'!I71</f>
        <v>4.4790553277734561E-2</v>
      </c>
      <c r="J200" s="180">
        <f>'Income Statement'!J71</f>
        <v>7.6182688388432743E-2</v>
      </c>
      <c r="K200" s="180">
        <f>'Income Statement'!K71</f>
        <v>0.1175057256338409</v>
      </c>
      <c r="L200" s="180">
        <f>'Income Statement'!L71</f>
        <v>8.6785234666521355E-2</v>
      </c>
      <c r="M200" s="180">
        <f>'Income Statement'!M71</f>
        <v>0.11958658437260605</v>
      </c>
      <c r="N200" s="180">
        <f>'Income Statement'!N71</f>
        <v>0.19580983047665751</v>
      </c>
      <c r="O200" s="180">
        <f>'Income Statement'!O71</f>
        <v>0.10311460312198759</v>
      </c>
      <c r="P200" s="180">
        <f>'Income Statement'!P71</f>
        <v>0.10090445734765185</v>
      </c>
      <c r="Q200" s="180">
        <f>'Income Statement'!Q71</f>
        <v>0.19331830071372547</v>
      </c>
      <c r="R200" s="180">
        <f>'Income Statement'!R71</f>
        <v>9.1651385908571303E-2</v>
      </c>
      <c r="S200" s="180">
        <f>'Income Statement'!S71</f>
        <v>7.53661506802034E-2</v>
      </c>
      <c r="T200" s="180">
        <f>'Income Statement'!T71</f>
        <v>0.15975595019728467</v>
      </c>
      <c r="U200" s="180">
        <f>'Income Statement'!U71</f>
        <v>7.866841602459107E-2</v>
      </c>
      <c r="V200" s="180">
        <f>'Income Statement'!V71</f>
        <v>7.9928147459483317E-2</v>
      </c>
      <c r="W200" s="180">
        <f>'Income Statement'!W71</f>
        <v>0.15230874272765677</v>
      </c>
      <c r="X200" s="180">
        <f>'Income Statement'!X71</f>
        <v>9.3176865734098641E-2</v>
      </c>
      <c r="Y200" s="180">
        <f>'Income Statement'!Y71</f>
        <v>8.7808869034841877E-2</v>
      </c>
      <c r="Z200" s="180">
        <f>'Income Statement'!Z71</f>
        <v>0.17280397956861795</v>
      </c>
      <c r="AA200" s="180">
        <f>'Income Statement'!AA71</f>
        <v>9.9625341593096009E-2</v>
      </c>
      <c r="AB200" s="180">
        <f>'Income Statement'!AB71</f>
        <v>9.9509807433632594E-2</v>
      </c>
      <c r="AC200" s="180">
        <f>'Income Statement'!AC71</f>
        <v>0.18922145046928959</v>
      </c>
      <c r="AD200" s="180">
        <f>'Income Statement'!AD71</f>
        <v>0.11756959735585248</v>
      </c>
      <c r="AE200" s="180">
        <f>'Income Statement'!AE71</f>
        <v>0.10835299418239447</v>
      </c>
      <c r="AF200" s="180">
        <f>'Income Statement'!AF71</f>
        <v>0.21318357363992183</v>
      </c>
      <c r="AG200" s="180">
        <f>'Income Statement'!AG71</f>
        <v>0.13280766576014172</v>
      </c>
      <c r="AH200" s="180">
        <f>'Income Statement'!AH71</f>
        <v>0.1234396834147421</v>
      </c>
      <c r="AI200" s="258">
        <f>'Income Statement'!AI71</f>
        <v>0.2398536129584011</v>
      </c>
      <c r="AJ200" s="37"/>
    </row>
    <row r="201" spans="2:41" s="69" customFormat="1" x14ac:dyDescent="0.3">
      <c r="B201" s="257" t="s">
        <v>977</v>
      </c>
      <c r="C201" s="180">
        <f>'Income Statement'!C72</f>
        <v>6.3270124738068464E-2</v>
      </c>
      <c r="D201" s="180">
        <f>'Income Statement'!D72</f>
        <v>0.10365705102542697</v>
      </c>
      <c r="E201" s="180">
        <f>'Income Statement'!E72</f>
        <v>0.16658211994006436</v>
      </c>
      <c r="F201" s="180">
        <f>'Income Statement'!F72</f>
        <v>8.0147828963209336E-2</v>
      </c>
      <c r="G201" s="180">
        <f>'Income Statement'!G72</f>
        <v>7.1520474558443875E-2</v>
      </c>
      <c r="H201" s="180">
        <f>'Income Statement'!H72</f>
        <v>0.14402221236628507</v>
      </c>
      <c r="I201" s="180">
        <f>'Income Statement'!I72</f>
        <v>5.7804928577564293E-2</v>
      </c>
      <c r="J201" s="180">
        <f>'Income Statement'!J72</f>
        <v>9.616510074947264E-2</v>
      </c>
      <c r="K201" s="180">
        <f>'Income Statement'!K72</f>
        <v>0.14623554618135742</v>
      </c>
      <c r="L201" s="180">
        <f>'Income Statement'!L72</f>
        <v>0.1026953837315573</v>
      </c>
      <c r="M201" s="180">
        <f>'Income Statement'!M72</f>
        <v>0.10206683471774719</v>
      </c>
      <c r="N201" s="180">
        <f>'Income Statement'!N72</f>
        <v>0.19588023922902975</v>
      </c>
      <c r="O201" s="180">
        <f>'Income Statement'!O72</f>
        <v>0.11269441686471483</v>
      </c>
      <c r="P201" s="180">
        <f>'Income Statement'!P72</f>
        <v>0.11946938836134699</v>
      </c>
      <c r="Q201" s="180">
        <f>'Income Statement'!Q72</f>
        <v>0.22108297119378251</v>
      </c>
      <c r="R201" s="180">
        <f>'Income Statement'!R72</f>
        <v>0.11889778063427181</v>
      </c>
      <c r="S201" s="180">
        <f>'Income Statement'!S72</f>
        <v>9.1228080099406375E-2</v>
      </c>
      <c r="T201" s="180">
        <f>'Income Statement'!T72</f>
        <v>0.19706893342567158</v>
      </c>
      <c r="U201" s="180">
        <f>'Income Statement'!U72</f>
        <v>0.10194013944852959</v>
      </c>
      <c r="V201" s="180">
        <f>'Income Statement'!V72</f>
        <v>0.10326975078024099</v>
      </c>
      <c r="W201" s="180">
        <f>'Income Statement'!W72</f>
        <v>0.19723143450240438</v>
      </c>
      <c r="X201" s="180">
        <f>'Income Statement'!X72</f>
        <v>0.11959024959473992</v>
      </c>
      <c r="Y201" s="180">
        <f>'Income Statement'!Y72</f>
        <v>0.11301627914677632</v>
      </c>
      <c r="Z201" s="180">
        <f>'Income Statement'!Z72</f>
        <v>0.22274477329839143</v>
      </c>
      <c r="AA201" s="180">
        <f>'Income Statement'!AA72</f>
        <v>0.12757394017379967</v>
      </c>
      <c r="AB201" s="180">
        <f>'Income Statement'!AB72</f>
        <v>0.12772888514228914</v>
      </c>
      <c r="AC201" s="180">
        <f>'Income Statement'!AC72</f>
        <v>0.24331178830137662</v>
      </c>
      <c r="AD201" s="180">
        <f>'Income Statement'!AD72</f>
        <v>0.15021350000027439</v>
      </c>
      <c r="AE201" s="180">
        <f>'Income Statement'!AE72</f>
        <v>0.13902603453304607</v>
      </c>
      <c r="AF201" s="180">
        <f>'Income Statement'!AF72</f>
        <v>0.27378361698406045</v>
      </c>
      <c r="AG201" s="180">
        <f>'Income Statement'!AG72</f>
        <v>0.16963071626064311</v>
      </c>
      <c r="AH201" s="180">
        <f>'Income Statement'!AH72</f>
        <v>0.15842600097239035</v>
      </c>
      <c r="AI201" s="258">
        <f>'Income Statement'!AI72</f>
        <v>0.30807609896507554</v>
      </c>
      <c r="AJ201" s="37"/>
    </row>
    <row r="202" spans="2:41" s="69" customFormat="1" x14ac:dyDescent="0.3">
      <c r="B202" s="257"/>
      <c r="C202" s="180"/>
      <c r="D202" s="180"/>
      <c r="E202" s="180"/>
      <c r="F202" s="180"/>
      <c r="G202" s="180"/>
      <c r="H202" s="180"/>
      <c r="I202" s="180"/>
      <c r="J202" s="180"/>
      <c r="K202" s="180"/>
      <c r="L202" s="180"/>
      <c r="M202" s="180"/>
      <c r="N202" s="180"/>
      <c r="O202" s="180"/>
      <c r="P202" s="180"/>
      <c r="Q202" s="180"/>
      <c r="R202" s="180"/>
      <c r="S202" s="180"/>
      <c r="T202" s="180"/>
      <c r="U202" s="180"/>
      <c r="V202" s="180"/>
      <c r="W202" s="180"/>
      <c r="X202" s="180"/>
      <c r="Y202" s="180"/>
      <c r="Z202" s="180"/>
      <c r="AA202" s="180"/>
      <c r="AB202" s="180"/>
      <c r="AC202" s="180"/>
      <c r="AD202" s="180"/>
      <c r="AE202" s="180"/>
      <c r="AF202" s="180"/>
      <c r="AG202" s="180"/>
      <c r="AH202" s="180"/>
      <c r="AI202" s="258"/>
      <c r="AJ202" s="37"/>
    </row>
    <row r="203" spans="2:41" s="69" customFormat="1" x14ac:dyDescent="0.3">
      <c r="B203" s="76" t="s">
        <v>74</v>
      </c>
      <c r="C203" s="265">
        <f>'Balance Sheet'!C79</f>
        <v>235.58344646818236</v>
      </c>
      <c r="D203" s="265">
        <f>'Balance Sheet'!D79</f>
        <v>143.99128755961388</v>
      </c>
      <c r="E203" s="265">
        <f>'Balance Sheet'!E79</f>
        <v>143.99128755961388</v>
      </c>
      <c r="F203" s="265">
        <f>'Balance Sheet'!F79</f>
        <v>135.13288682174223</v>
      </c>
      <c r="G203" s="265">
        <f>'Balance Sheet'!G79</f>
        <v>158.02839527674004</v>
      </c>
      <c r="H203" s="265">
        <f>'Balance Sheet'!H79</f>
        <v>158.02839527674004</v>
      </c>
      <c r="I203" s="265">
        <f>'Balance Sheet'!I79</f>
        <v>94.150971201206147</v>
      </c>
      <c r="J203" s="265">
        <f>'Balance Sheet'!J79</f>
        <v>131.82635646928887</v>
      </c>
      <c r="K203" s="265">
        <f>'Balance Sheet'!K79</f>
        <v>131.82635646928887</v>
      </c>
      <c r="L203" s="265">
        <f>'Balance Sheet'!L79</f>
        <v>88.935571006294012</v>
      </c>
      <c r="M203" s="265">
        <f>'Balance Sheet'!M79</f>
        <v>84.613682979807749</v>
      </c>
      <c r="N203" s="265">
        <f>'Balance Sheet'!N79</f>
        <v>84.613682979807749</v>
      </c>
      <c r="O203" s="265">
        <f>'Balance Sheet'!O79</f>
        <v>133.84367132169464</v>
      </c>
      <c r="P203" s="265">
        <f>'Balance Sheet'!P79</f>
        <v>141.2856420564803</v>
      </c>
      <c r="Q203" s="265">
        <f>'Balance Sheet'!Q79</f>
        <v>141.2856420564803</v>
      </c>
      <c r="R203" s="265">
        <f>'Balance Sheet'!R79</f>
        <v>159.65225181595039</v>
      </c>
      <c r="S203" s="265">
        <f>'Balance Sheet'!S79</f>
        <v>184.6284439132435</v>
      </c>
      <c r="T203" s="265">
        <f>'Balance Sheet'!T79</f>
        <v>184.6284439132435</v>
      </c>
      <c r="U203" s="265">
        <f>'Balance Sheet'!U79</f>
        <v>165.90909090909091</v>
      </c>
      <c r="V203" s="265">
        <f>'Balance Sheet'!V79</f>
        <v>165.90909090909091</v>
      </c>
      <c r="W203" s="265">
        <f>'Balance Sheet'!W79</f>
        <v>165.90909090909093</v>
      </c>
      <c r="X203" s="265">
        <f>'Balance Sheet'!X79</f>
        <v>135.18518518518519</v>
      </c>
      <c r="Y203" s="265">
        <f>'Balance Sheet'!Y79</f>
        <v>135.18518518518519</v>
      </c>
      <c r="Z203" s="265">
        <f>'Balance Sheet'!Z79</f>
        <v>135.18518518518519</v>
      </c>
      <c r="AA203" s="265">
        <f>'Balance Sheet'!AA79</f>
        <v>117.74193548387096</v>
      </c>
      <c r="AB203" s="265">
        <f>'Balance Sheet'!AB79</f>
        <v>117.74193548387096</v>
      </c>
      <c r="AC203" s="265">
        <f>'Balance Sheet'!AC79</f>
        <v>117.74193548387096</v>
      </c>
      <c r="AD203" s="265">
        <f>'Balance Sheet'!AD79</f>
        <v>101.38888888888889</v>
      </c>
      <c r="AE203" s="265">
        <f>'Balance Sheet'!AE79</f>
        <v>101.38888888888889</v>
      </c>
      <c r="AF203" s="265">
        <f>'Balance Sheet'!AF79</f>
        <v>101.38888888888889</v>
      </c>
      <c r="AG203" s="265">
        <f>'Balance Sheet'!AG79</f>
        <v>86.904761904761898</v>
      </c>
      <c r="AH203" s="265">
        <f>'Balance Sheet'!AH79</f>
        <v>86.904761904761898</v>
      </c>
      <c r="AI203" s="265">
        <f>'Balance Sheet'!AI79</f>
        <v>86.904761904761898</v>
      </c>
      <c r="AJ203" s="37"/>
    </row>
    <row r="204" spans="2:41" s="69" customFormat="1" x14ac:dyDescent="0.3">
      <c r="B204" s="76" t="s">
        <v>167</v>
      </c>
      <c r="C204" s="265"/>
      <c r="D204" s="265"/>
      <c r="E204" s="265"/>
      <c r="F204" s="265"/>
      <c r="G204" s="265"/>
      <c r="H204" s="180">
        <f>(H203-E203)/E203</f>
        <v>9.7485812892079693E-2</v>
      </c>
      <c r="I204" s="180">
        <f t="shared" ref="I204:U204" si="129">(I203-F203)/F203</f>
        <v>-0.30327122127270573</v>
      </c>
      <c r="J204" s="180">
        <f t="shared" si="129"/>
        <v>-0.16580589052724382</v>
      </c>
      <c r="K204" s="180">
        <f t="shared" si="129"/>
        <v>-0.16580589052724382</v>
      </c>
      <c r="L204" s="180">
        <f t="shared" si="129"/>
        <v>-5.5394013767171013E-2</v>
      </c>
      <c r="M204" s="180">
        <f t="shared" si="129"/>
        <v>-0.35814289914384528</v>
      </c>
      <c r="N204" s="180">
        <f t="shared" si="129"/>
        <v>-0.35814289914384528</v>
      </c>
      <c r="O204" s="180">
        <f t="shared" si="129"/>
        <v>0.50495094153297182</v>
      </c>
      <c r="P204" s="180">
        <f t="shared" si="129"/>
        <v>0.6697729856552489</v>
      </c>
      <c r="Q204" s="180">
        <f t="shared" si="129"/>
        <v>0.6697729856552489</v>
      </c>
      <c r="R204" s="180">
        <f t="shared" si="129"/>
        <v>0.19282630429513967</v>
      </c>
      <c r="S204" s="180">
        <f t="shared" si="129"/>
        <v>0.30677428524150036</v>
      </c>
      <c r="T204" s="180">
        <f t="shared" si="129"/>
        <v>0.30677428524150036</v>
      </c>
      <c r="U204" s="180">
        <f t="shared" si="129"/>
        <v>3.9190421819752942E-2</v>
      </c>
      <c r="V204" s="180">
        <f t="shared" ref="V204" si="130">(V203-S203)/S203</f>
        <v>-0.10138932337505253</v>
      </c>
      <c r="W204" s="180">
        <f t="shared" ref="W204" si="131">(W203-T203)/T203</f>
        <v>-0.10138932337505238</v>
      </c>
      <c r="X204" s="180">
        <f t="shared" ref="X204" si="132">(X203-U203)/U203</f>
        <v>-0.18518518518518515</v>
      </c>
      <c r="Y204" s="180">
        <f t="shared" ref="Y204" si="133">(Y203-V203)/V203</f>
        <v>-0.18518518518518515</v>
      </c>
      <c r="Z204" s="180">
        <f t="shared" ref="Z204" si="134">(Z203-W203)/W203</f>
        <v>-0.18518518518518529</v>
      </c>
      <c r="AA204" s="180">
        <f t="shared" ref="AA204" si="135">(AA203-X203)/X203</f>
        <v>-0.12903225806451621</v>
      </c>
      <c r="AB204" s="180">
        <f t="shared" ref="AB204" si="136">(AB203-Y203)/Y203</f>
        <v>-0.12903225806451621</v>
      </c>
      <c r="AC204" s="180">
        <f t="shared" ref="AC204" si="137">(AC203-Z203)/Z203</f>
        <v>-0.12903225806451621</v>
      </c>
      <c r="AD204" s="180">
        <f t="shared" ref="AD204" si="138">(AD203-AA203)/AA203</f>
        <v>-0.13888888888888887</v>
      </c>
      <c r="AE204" s="180">
        <f t="shared" ref="AE204" si="139">(AE203-AB203)/AB203</f>
        <v>-0.13888888888888887</v>
      </c>
      <c r="AF204" s="180">
        <f t="shared" ref="AF204" si="140">(AF203-AC203)/AC203</f>
        <v>-0.13888888888888887</v>
      </c>
      <c r="AG204" s="180">
        <f t="shared" ref="AG204:AH204" si="141">(AG203-AD203)/AD203</f>
        <v>-0.1428571428571429</v>
      </c>
      <c r="AH204" s="180">
        <f t="shared" si="141"/>
        <v>-0.1428571428571429</v>
      </c>
      <c r="AI204" s="180">
        <f t="shared" ref="AI204" si="142">(AI203-AF203)/AF203</f>
        <v>-0.1428571428571429</v>
      </c>
      <c r="AJ204" s="37"/>
    </row>
    <row r="205" spans="2:41" x14ac:dyDescent="0.3">
      <c r="B205" s="76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131"/>
      <c r="AO205" s="69"/>
    </row>
    <row r="206" spans="2:41" x14ac:dyDescent="0.3">
      <c r="B206" s="79" t="s">
        <v>978</v>
      </c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131"/>
    </row>
    <row r="207" spans="2:41" x14ac:dyDescent="0.3">
      <c r="B207" s="76" t="s">
        <v>242</v>
      </c>
      <c r="C207" s="21">
        <f>'Revenue Segments'!C114</f>
        <v>0</v>
      </c>
      <c r="D207" s="21">
        <f>'Revenue Segments'!D114</f>
        <v>0</v>
      </c>
      <c r="E207" s="21">
        <f>'Revenue Segments'!E114</f>
        <v>0</v>
      </c>
      <c r="F207" s="21">
        <f>'Revenue Segments'!F114</f>
        <v>141.10000000000002</v>
      </c>
      <c r="G207" s="21">
        <f>'Revenue Segments'!G114</f>
        <v>147.1</v>
      </c>
      <c r="H207" s="21">
        <f>'Revenue Segments'!H114</f>
        <v>288.2</v>
      </c>
      <c r="I207" s="21">
        <f>'Revenue Segments'!I114</f>
        <v>152.60000000000002</v>
      </c>
      <c r="J207" s="21">
        <f>'Revenue Segments'!J114</f>
        <v>258.60000000000002</v>
      </c>
      <c r="K207" s="21">
        <f>'Revenue Segments'!K114</f>
        <v>411.20000000000005</v>
      </c>
      <c r="L207" s="21">
        <f>'Revenue Segments'!L114</f>
        <v>137.4</v>
      </c>
      <c r="M207" s="21">
        <f>'Revenue Segments'!M114</f>
        <v>413.10000000000008</v>
      </c>
      <c r="N207" s="21">
        <f>'Revenue Segments'!N114</f>
        <v>550.5</v>
      </c>
      <c r="O207" s="21">
        <f>'Revenue Segments'!O114</f>
        <v>339.00000000000006</v>
      </c>
      <c r="P207" s="21">
        <f>'Revenue Segments'!P114</f>
        <v>369.3</v>
      </c>
      <c r="Q207" s="21">
        <f>'Revenue Segments'!Q114</f>
        <v>708.3</v>
      </c>
      <c r="R207" s="21">
        <f>'Revenue Segments'!R114</f>
        <v>407.5</v>
      </c>
      <c r="S207" s="21">
        <f>'Revenue Segments'!S114</f>
        <v>414.8</v>
      </c>
      <c r="T207" s="21">
        <f>'Revenue Segments'!T114</f>
        <v>822.29999999999984</v>
      </c>
      <c r="U207" s="21">
        <f>'Revenue Segments'!U114</f>
        <v>429.82017243675108</v>
      </c>
      <c r="V207" s="21">
        <f>'Revenue Segments'!V114</f>
        <v>466.22057789613854</v>
      </c>
      <c r="W207" s="21">
        <f>'Revenue Segments'!W114</f>
        <v>896.0407503328895</v>
      </c>
      <c r="X207" s="21">
        <f>'Revenue Segments'!X114</f>
        <v>532.98037247891716</v>
      </c>
      <c r="Y207" s="21">
        <f>'Revenue Segments'!Y114</f>
        <v>546.89989795716826</v>
      </c>
      <c r="Z207" s="21">
        <f>'Revenue Segments'!Z114</f>
        <v>1079.8802704360853</v>
      </c>
      <c r="AA207" s="21">
        <f>'Revenue Segments'!AA114</f>
        <v>605.65162231596776</v>
      </c>
      <c r="AB207" s="21">
        <f>'Revenue Segments'!AB114</f>
        <v>661.98946854617748</v>
      </c>
      <c r="AC207" s="21">
        <f>'Revenue Segments'!AC114</f>
        <v>1267.6410908621451</v>
      </c>
      <c r="AD207" s="21">
        <f>'Revenue Segments'!AD114</f>
        <v>739.76519428416987</v>
      </c>
      <c r="AE207" s="21">
        <f>'Revenue Segments'!AE114</f>
        <v>761.0660508237404</v>
      </c>
      <c r="AF207" s="21">
        <f>'Revenue Segments'!AF114</f>
        <v>1500.8312451079103</v>
      </c>
      <c r="AG207" s="21">
        <f>'Revenue Segments'!AG114</f>
        <v>869.14375434859801</v>
      </c>
      <c r="AH207" s="21">
        <f>'Revenue Segments'!AH114</f>
        <v>916.22094092386521</v>
      </c>
      <c r="AI207" s="131">
        <f>'Revenue Segments'!AI114</f>
        <v>1785.3646952724632</v>
      </c>
    </row>
    <row r="208" spans="2:41" x14ac:dyDescent="0.3">
      <c r="B208" s="76" t="s">
        <v>629</v>
      </c>
      <c r="C208" s="21">
        <f>'Revenue Segments'!C119</f>
        <v>0</v>
      </c>
      <c r="D208" s="21">
        <f>'Revenue Segments'!D119</f>
        <v>0</v>
      </c>
      <c r="E208" s="21">
        <f>'Revenue Segments'!E119</f>
        <v>0</v>
      </c>
      <c r="F208" s="21">
        <f>'Revenue Segments'!F119</f>
        <v>0</v>
      </c>
      <c r="G208" s="21">
        <f>'Revenue Segments'!G119</f>
        <v>0</v>
      </c>
      <c r="H208" s="21">
        <f>'Revenue Segments'!H119</f>
        <v>0</v>
      </c>
      <c r="I208" s="21">
        <f>'Revenue Segments'!I119</f>
        <v>0</v>
      </c>
      <c r="J208" s="21">
        <f>'Revenue Segments'!J119</f>
        <v>0</v>
      </c>
      <c r="K208" s="21">
        <f>'Revenue Segments'!K119</f>
        <v>0</v>
      </c>
      <c r="L208" s="21">
        <f>'Revenue Segments'!L119</f>
        <v>0</v>
      </c>
      <c r="M208" s="21">
        <f>'Revenue Segments'!M119</f>
        <v>0</v>
      </c>
      <c r="N208" s="21">
        <f>'Revenue Segments'!N119</f>
        <v>0</v>
      </c>
      <c r="O208" s="21">
        <f>'Revenue Segments'!O119</f>
        <v>0</v>
      </c>
      <c r="P208" s="21">
        <f>'Revenue Segments'!P119</f>
        <v>0</v>
      </c>
      <c r="Q208" s="21">
        <f>'Revenue Segments'!Q119</f>
        <v>0</v>
      </c>
      <c r="R208" s="21">
        <f>'Revenue Segments'!R119</f>
        <v>0</v>
      </c>
      <c r="S208" s="21">
        <f>'Revenue Segments'!S119</f>
        <v>0</v>
      </c>
      <c r="T208" s="21">
        <f>'Revenue Segments'!T119</f>
        <v>0</v>
      </c>
      <c r="U208" s="21">
        <f>'Revenue Segments'!U119</f>
        <v>412.67034755652469</v>
      </c>
      <c r="V208" s="21">
        <f>'Revenue Segments'!V119</f>
        <v>447.61837683808261</v>
      </c>
      <c r="W208" s="21">
        <f>'Revenue Segments'!W119</f>
        <v>860.28872439460724</v>
      </c>
      <c r="X208" s="21">
        <f>'Revenue Segments'!X119</f>
        <v>511.71445561700835</v>
      </c>
      <c r="Y208" s="21">
        <f>'Revenue Segments'!Y119</f>
        <v>525.07859202867735</v>
      </c>
      <c r="Z208" s="21">
        <f>'Revenue Segments'!Z119</f>
        <v>1036.7930476456856</v>
      </c>
      <c r="AA208" s="21">
        <f>'Revenue Segments'!AA119</f>
        <v>581.48612258556068</v>
      </c>
      <c r="AB208" s="21">
        <f>'Revenue Segments'!AB119</f>
        <v>635.57608875118501</v>
      </c>
      <c r="AC208" s="21">
        <f>'Revenue Segments'!AC119</f>
        <v>1217.0622113367458</v>
      </c>
      <c r="AD208" s="21">
        <f>'Revenue Segments'!AD119</f>
        <v>710.24856303223146</v>
      </c>
      <c r="AE208" s="21">
        <f>'Revenue Segments'!AE119</f>
        <v>730.69951539587316</v>
      </c>
      <c r="AF208" s="21">
        <f>'Revenue Segments'!AF119</f>
        <v>1440.9480784281045</v>
      </c>
      <c r="AG208" s="21">
        <f>'Revenue Segments'!AG119</f>
        <v>834.4649185500889</v>
      </c>
      <c r="AH208" s="21">
        <f>'Revenue Segments'!AH119</f>
        <v>879.66372538100302</v>
      </c>
      <c r="AI208" s="131">
        <f>'Revenue Segments'!AI119</f>
        <v>1714.128643931092</v>
      </c>
      <c r="AJ208" s="21"/>
    </row>
    <row r="209" spans="2:35" x14ac:dyDescent="0.3">
      <c r="B209" s="76" t="s">
        <v>634</v>
      </c>
      <c r="C209" s="21">
        <f>'Revenue Segments'!C126</f>
        <v>0</v>
      </c>
      <c r="D209" s="21">
        <f>'Revenue Segments'!D126</f>
        <v>0</v>
      </c>
      <c r="E209" s="21">
        <f>'Revenue Segments'!E126</f>
        <v>0</v>
      </c>
      <c r="F209" s="21">
        <f>'Revenue Segments'!F126</f>
        <v>0</v>
      </c>
      <c r="G209" s="21">
        <f>'Revenue Segments'!G126</f>
        <v>0</v>
      </c>
      <c r="H209" s="21">
        <f>'Revenue Segments'!H126</f>
        <v>0</v>
      </c>
      <c r="I209" s="21">
        <f>'Revenue Segments'!I126</f>
        <v>0</v>
      </c>
      <c r="J209" s="21">
        <f>'Revenue Segments'!J126</f>
        <v>0</v>
      </c>
      <c r="K209" s="21">
        <f>'Revenue Segments'!K126</f>
        <v>0</v>
      </c>
      <c r="L209" s="21">
        <f>'Revenue Segments'!L126</f>
        <v>0</v>
      </c>
      <c r="M209" s="21">
        <f>'Revenue Segments'!M126</f>
        <v>0</v>
      </c>
      <c r="N209" s="21">
        <f>'Revenue Segments'!N126</f>
        <v>0</v>
      </c>
      <c r="O209" s="21">
        <f>'Revenue Segments'!O126</f>
        <v>0</v>
      </c>
      <c r="P209" s="21">
        <f>'Revenue Segments'!P126</f>
        <v>0</v>
      </c>
      <c r="Q209" s="21">
        <f>'Revenue Segments'!Q126</f>
        <v>0</v>
      </c>
      <c r="R209" s="21">
        <f>'Revenue Segments'!R126</f>
        <v>0</v>
      </c>
      <c r="S209" s="21">
        <f>'Revenue Segments'!S126</f>
        <v>0</v>
      </c>
      <c r="T209" s="21">
        <f>'Revenue Segments'!T126</f>
        <v>0</v>
      </c>
      <c r="U209" s="21">
        <f>'Revenue Segments'!U126</f>
        <v>377.14571030462724</v>
      </c>
      <c r="V209" s="21">
        <f>'Revenue Segments'!V126</f>
        <v>409.08524607496673</v>
      </c>
      <c r="W209" s="21">
        <f>'Revenue Segments'!W126</f>
        <v>786.23095637959398</v>
      </c>
      <c r="X209" s="21">
        <f>'Revenue Segments'!X126</f>
        <v>467.66362783162583</v>
      </c>
      <c r="Y209" s="21">
        <f>'Revenue Segments'!Y126</f>
        <v>479.87731546251729</v>
      </c>
      <c r="Z209" s="21">
        <f>'Revenue Segments'!Z126</f>
        <v>947.54094329414306</v>
      </c>
      <c r="AA209" s="21">
        <f>'Revenue Segments'!AA126</f>
        <v>531.4290160011459</v>
      </c>
      <c r="AB209" s="21">
        <f>'Revenue Segments'!AB126</f>
        <v>580.86265917584342</v>
      </c>
      <c r="AC209" s="21">
        <f>'Revenue Segments'!AC126</f>
        <v>1112.2916751769894</v>
      </c>
      <c r="AD209" s="21">
        <f>'Revenue Segments'!AD126</f>
        <v>649.10696972464484</v>
      </c>
      <c r="AE209" s="21">
        <f>'Revenue Segments'!AE126</f>
        <v>667.79740629529101</v>
      </c>
      <c r="AF209" s="21">
        <f>'Revenue Segments'!AF126</f>
        <v>1316.9043760199359</v>
      </c>
      <c r="AG209" s="21">
        <f>'Revenue Segments'!AG126</f>
        <v>762.63018725317738</v>
      </c>
      <c r="AH209" s="21">
        <f>'Revenue Segments'!AH126</f>
        <v>803.93806461364557</v>
      </c>
      <c r="AI209" s="131">
        <f>'Revenue Segments'!AI126</f>
        <v>1566.5682518668229</v>
      </c>
    </row>
    <row r="210" spans="2:35" x14ac:dyDescent="0.3">
      <c r="B210" s="76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131"/>
    </row>
    <row r="211" spans="2:35" x14ac:dyDescent="0.3">
      <c r="B211" s="79" t="s">
        <v>979</v>
      </c>
      <c r="C211" s="21"/>
      <c r="D211" s="21"/>
      <c r="AI211" s="170"/>
    </row>
    <row r="212" spans="2:35" x14ac:dyDescent="0.3">
      <c r="B212" s="76" t="s">
        <v>980</v>
      </c>
      <c r="C212" s="21"/>
      <c r="D212" s="21"/>
      <c r="W212" s="23">
        <f>'Revenue Segments'!W102</f>
        <v>37.650306890776299</v>
      </c>
      <c r="X212" s="23">
        <f>'Revenue Segments'!X102</f>
        <v>22.395046858233201</v>
      </c>
      <c r="Y212" s="23">
        <f>'Revenue Segments'!Y102</f>
        <v>22.979924728838341</v>
      </c>
      <c r="Z212" s="23">
        <f>'Revenue Segments'!Z102</f>
        <v>45.374971587071542</v>
      </c>
      <c r="AA212" s="23">
        <f>'Revenue Segments'!AA102</f>
        <v>25.448585279878355</v>
      </c>
      <c r="AB212" s="23">
        <f>'Revenue Segments'!AB102</f>
        <v>27.815818242603243</v>
      </c>
      <c r="AC212" s="23">
        <f>'Revenue Segments'!AC102</f>
        <v>53.264403522481594</v>
      </c>
      <c r="AD212" s="23">
        <f>'Revenue Segments'!AD102</f>
        <v>31.083839190981283</v>
      </c>
      <c r="AE212" s="23">
        <f>'Revenue Segments'!AE102</f>
        <v>31.978869674196794</v>
      </c>
      <c r="AF212" s="23">
        <f>'Revenue Segments'!AF102</f>
        <v>63.062708865178081</v>
      </c>
      <c r="AG212" s="23">
        <f>'Revenue Segments'!AG102</f>
        <v>36.520134905995107</v>
      </c>
      <c r="AH212" s="23">
        <f>'Revenue Segments'!AH102</f>
        <v>38.498248648539345</v>
      </c>
      <c r="AI212" s="132">
        <f>'Revenue Segments'!AI102</f>
        <v>75.018383554534452</v>
      </c>
    </row>
    <row r="213" spans="2:35" x14ac:dyDescent="0.3">
      <c r="B213" s="76" t="s">
        <v>982</v>
      </c>
      <c r="W213" s="23">
        <f>'Revenue Segments'!W103</f>
        <v>125.15640652754281</v>
      </c>
      <c r="X213" s="23">
        <f>'Revenue Segments'!X103</f>
        <v>74.445172437068877</v>
      </c>
      <c r="Y213" s="23">
        <f>'Revenue Segments'!Y103</f>
        <v>76.38941190249416</v>
      </c>
      <c r="Z213" s="23">
        <f>'Revenue Segments'!Z103</f>
        <v>150.83458433956307</v>
      </c>
      <c r="AA213" s="23">
        <f>'Revenue Segments'!AA103</f>
        <v>84.595684547250855</v>
      </c>
      <c r="AB213" s="23">
        <f>'Revenue Segments'!AB103</f>
        <v>92.464793606247071</v>
      </c>
      <c r="AC213" s="23">
        <f>'Revenue Segments'!AC103</f>
        <v>177.06047815349791</v>
      </c>
      <c r="AD213" s="23">
        <f>'Revenue Segments'!AD103</f>
        <v>103.32828429550703</v>
      </c>
      <c r="AE213" s="23">
        <f>'Revenue Segments'!AE103</f>
        <v>106.30352694988512</v>
      </c>
      <c r="AF213" s="23">
        <f>'Revenue Segments'!AF103</f>
        <v>209.63181124539213</v>
      </c>
      <c r="AG213" s="23">
        <f>'Revenue Segments'!AG103</f>
        <v>121.39951113798708</v>
      </c>
      <c r="AH213" s="23">
        <f>'Revenue Segments'!AH103</f>
        <v>127.97511777083071</v>
      </c>
      <c r="AI213" s="132">
        <f>'Revenue Segments'!AI103</f>
        <v>249.37462890881778</v>
      </c>
    </row>
    <row r="214" spans="2:35" x14ac:dyDescent="0.3">
      <c r="B214" s="76" t="s">
        <v>1016</v>
      </c>
      <c r="W214" s="23">
        <f>'Revenue Segments'!W105</f>
        <v>134.00635549708997</v>
      </c>
      <c r="X214" s="23">
        <f>'Revenue Segments'!X105</f>
        <v>79.709273535658738</v>
      </c>
      <c r="Y214" s="23">
        <f>'Revenue Segments'!Y105</f>
        <v>81.790992340184474</v>
      </c>
      <c r="Z214" s="23">
        <f>'Revenue Segments'!Z105</f>
        <v>161.50026587584324</v>
      </c>
      <c r="AA214" s="23">
        <f>'Revenue Segments'!AA105</f>
        <v>90.57753966804583</v>
      </c>
      <c r="AB214" s="23">
        <f>'Revenue Segments'!AB105</f>
        <v>99.003082197290269</v>
      </c>
      <c r="AC214" s="23">
        <f>'Revenue Segments'!AC105</f>
        <v>189.58062186533607</v>
      </c>
      <c r="AD214" s="23">
        <f>'Revenue Segments'!AD105</f>
        <v>110.6347424185665</v>
      </c>
      <c r="AE214" s="23">
        <f>'Revenue Segments'!AE105</f>
        <v>113.82036779640089</v>
      </c>
      <c r="AF214" s="23">
        <f>'Revenue Segments'!AF105</f>
        <v>224.45511021496733</v>
      </c>
      <c r="AG214" s="23">
        <f>'Revenue Segments'!AG105</f>
        <v>129.98380584816417</v>
      </c>
      <c r="AH214" s="23">
        <f>'Revenue Segments'!AH105</f>
        <v>137.02438095333025</v>
      </c>
      <c r="AI214" s="132">
        <f>'Revenue Segments'!AI105</f>
        <v>267.00818680149439</v>
      </c>
    </row>
    <row r="215" spans="2:35" x14ac:dyDescent="0.3">
      <c r="B215" s="76" t="s">
        <v>981</v>
      </c>
      <c r="W215" s="23">
        <f>W212+W213</f>
        <v>162.80671341831911</v>
      </c>
      <c r="X215" s="23">
        <f t="shared" ref="X215:AI215" si="143">X212+X213</f>
        <v>96.840219295302077</v>
      </c>
      <c r="Y215" s="23">
        <f t="shared" si="143"/>
        <v>99.369336631332501</v>
      </c>
      <c r="Z215" s="23">
        <f t="shared" si="143"/>
        <v>196.20955592663461</v>
      </c>
      <c r="AA215" s="23">
        <f t="shared" si="143"/>
        <v>110.04426982712921</v>
      </c>
      <c r="AB215" s="23">
        <f t="shared" si="143"/>
        <v>120.28061184885031</v>
      </c>
      <c r="AC215" s="23">
        <f t="shared" si="143"/>
        <v>230.3248816759795</v>
      </c>
      <c r="AD215" s="23">
        <f t="shared" si="143"/>
        <v>134.41212348648833</v>
      </c>
      <c r="AE215" s="23">
        <f t="shared" si="143"/>
        <v>138.28239662408191</v>
      </c>
      <c r="AF215" s="23">
        <f t="shared" si="143"/>
        <v>272.69452011057024</v>
      </c>
      <c r="AG215" s="23">
        <f t="shared" si="143"/>
        <v>157.9196460439822</v>
      </c>
      <c r="AH215" s="23">
        <f t="shared" si="143"/>
        <v>166.47336641937005</v>
      </c>
      <c r="AI215" s="132">
        <f t="shared" si="143"/>
        <v>324.39301246335225</v>
      </c>
    </row>
    <row r="216" spans="2:35" x14ac:dyDescent="0.3">
      <c r="B216" s="123" t="s">
        <v>986</v>
      </c>
      <c r="C216" s="144"/>
      <c r="D216" s="144"/>
      <c r="E216" s="144"/>
      <c r="F216" s="144"/>
      <c r="G216" s="144"/>
      <c r="H216" s="144"/>
      <c r="I216" s="144"/>
      <c r="J216" s="144"/>
      <c r="K216" s="144"/>
      <c r="L216" s="144"/>
      <c r="M216" s="144"/>
      <c r="N216" s="144"/>
      <c r="O216" s="144"/>
      <c r="P216" s="144"/>
      <c r="Q216" s="144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  <c r="AD216" s="144"/>
      <c r="AE216" s="144"/>
      <c r="AF216" s="144"/>
      <c r="AG216" s="144"/>
      <c r="AH216" s="144"/>
      <c r="AI216" s="126"/>
    </row>
    <row r="218" spans="2:35" x14ac:dyDescent="0.3">
      <c r="B218" s="117"/>
      <c r="C218" s="239"/>
      <c r="D218" s="239"/>
      <c r="E218" s="240" t="s">
        <v>965</v>
      </c>
      <c r="F218" s="240"/>
      <c r="G218" s="240"/>
      <c r="H218" s="240" t="s">
        <v>966</v>
      </c>
      <c r="I218" s="240"/>
      <c r="J218" s="240"/>
      <c r="K218" s="240" t="s">
        <v>967</v>
      </c>
      <c r="L218" s="240"/>
      <c r="M218" s="240"/>
      <c r="N218" s="240" t="s">
        <v>79</v>
      </c>
      <c r="O218" s="240"/>
      <c r="P218" s="240"/>
      <c r="Q218" s="240" t="s">
        <v>80</v>
      </c>
      <c r="R218" s="240"/>
      <c r="S218" s="240"/>
      <c r="T218" s="241" t="s">
        <v>968</v>
      </c>
      <c r="Z218" s="16"/>
    </row>
    <row r="219" spans="2:35" x14ac:dyDescent="0.3">
      <c r="B219" s="76"/>
      <c r="K219" s="12">
        <v>0</v>
      </c>
      <c r="N219" s="12">
        <v>0</v>
      </c>
      <c r="T219" s="170"/>
    </row>
    <row r="220" spans="2:35" x14ac:dyDescent="0.3">
      <c r="B220" s="76" t="s">
        <v>277</v>
      </c>
      <c r="E220" s="23">
        <f>'Peer Comps'!J8</f>
        <v>20.949272405820832</v>
      </c>
      <c r="H220" s="12">
        <v>33.89</v>
      </c>
      <c r="K220" s="11">
        <f>(E220-H220)/H220</f>
        <v>-0.38184501605721949</v>
      </c>
      <c r="N220" s="21">
        <f>'Peer Comps'!W8</f>
        <v>43.934700077901681</v>
      </c>
      <c r="Q220" s="23">
        <f>'Peer Data'!O9</f>
        <v>13.139024750779646</v>
      </c>
      <c r="T220" s="242">
        <f>'Peer Data'!D28/'Peer Data'!D20</f>
        <v>8.1706990157984882E-2</v>
      </c>
    </row>
    <row r="221" spans="2:35" x14ac:dyDescent="0.3">
      <c r="B221" s="76" t="s">
        <v>278</v>
      </c>
      <c r="E221" s="23">
        <f>'Peer Comps'!J9</f>
        <v>1.2973347913368369</v>
      </c>
      <c r="H221" s="12">
        <v>11.91</v>
      </c>
      <c r="K221" s="11">
        <f t="shared" ref="K221:K225" si="144">(E221-H221)/H221</f>
        <v>-0.8910718059330951</v>
      </c>
      <c r="N221" s="21">
        <f>'Peer Comps'!W9</f>
        <v>272.32754594975631</v>
      </c>
      <c r="Q221" s="23">
        <f>'Peer Data'!O10</f>
        <v>41.445781312284481</v>
      </c>
      <c r="T221" s="242">
        <f>'Peer Data'!E28/'Peer Data'!E20</f>
        <v>4.7910074198451974E-2</v>
      </c>
      <c r="W221" s="23"/>
    </row>
    <row r="222" spans="2:35" x14ac:dyDescent="0.3">
      <c r="B222" s="76" t="s">
        <v>275</v>
      </c>
      <c r="E222" s="23">
        <f>'Peer Comps'!J10</f>
        <v>11.528364849833114</v>
      </c>
      <c r="H222" s="12">
        <v>11.78</v>
      </c>
      <c r="K222" s="11">
        <f t="shared" si="144"/>
        <v>-2.1361218180550548E-2</v>
      </c>
      <c r="N222" s="21">
        <f>'Peer Comps'!W10</f>
        <v>68.249054419143391</v>
      </c>
      <c r="Q222" s="23">
        <f>'Peer Data'!O11</f>
        <v>9.1502806616660894</v>
      </c>
      <c r="T222" s="242">
        <f>'Peer Data'!F28/'Peer Data'!F20</f>
        <v>0.1142527965856399</v>
      </c>
    </row>
    <row r="223" spans="2:35" x14ac:dyDescent="0.3">
      <c r="B223" s="76" t="s">
        <v>276</v>
      </c>
      <c r="E223" s="27">
        <v>60.47</v>
      </c>
      <c r="H223" s="12">
        <v>53.25</v>
      </c>
      <c r="K223" s="11">
        <f t="shared" si="144"/>
        <v>0.13558685446009389</v>
      </c>
      <c r="N223" s="21">
        <f>'Peer Data'!D12/'Peer Data'!G52</f>
        <v>224.63099630996311</v>
      </c>
      <c r="Q223" s="23">
        <f>'Peer Data'!O12</f>
        <v>54.547838377930525</v>
      </c>
      <c r="T223" s="242">
        <f>'Peer Data'!G28/'Peer Data'!G20</f>
        <v>9.5926277450755743E-2</v>
      </c>
    </row>
    <row r="224" spans="2:35" x14ac:dyDescent="0.3">
      <c r="B224" s="76" t="s">
        <v>279</v>
      </c>
      <c r="E224" s="27">
        <f>'Peer Data'!H52</f>
        <v>18.78</v>
      </c>
      <c r="H224" s="12">
        <v>30.18</v>
      </c>
      <c r="K224" s="11">
        <f t="shared" si="144"/>
        <v>-0.37773359840954268</v>
      </c>
      <c r="N224" s="21">
        <f>'Peer Data'!D13/'Peer Data'!H52</f>
        <v>16.022364217252395</v>
      </c>
      <c r="Q224" s="23">
        <f>'Peer Data'!O13</f>
        <v>9.1739343235965105</v>
      </c>
      <c r="T224" s="242">
        <f>'Peer Data'!H28/'Peer Data'!H20</f>
        <v>9.2199290963240685E-2</v>
      </c>
    </row>
    <row r="225" spans="2:23" x14ac:dyDescent="0.3">
      <c r="B225" s="123" t="s">
        <v>281</v>
      </c>
      <c r="C225" s="144"/>
      <c r="D225" s="144"/>
      <c r="E225" s="243">
        <f>'Peer Comps'!J11</f>
        <v>55.109402690762039</v>
      </c>
      <c r="F225" s="144"/>
      <c r="G225" s="144"/>
      <c r="H225" s="144">
        <v>59.07</v>
      </c>
      <c r="I225" s="144"/>
      <c r="J225" s="144"/>
      <c r="K225" s="244">
        <f t="shared" si="144"/>
        <v>-6.7049218033485042E-2</v>
      </c>
      <c r="L225" s="144"/>
      <c r="M225" s="144"/>
      <c r="N225" s="245">
        <f>'Peer Comps'!W11</f>
        <v>34.684643757178947</v>
      </c>
      <c r="O225" s="144"/>
      <c r="P225" s="144"/>
      <c r="Q225" s="243">
        <f>'Peer Data'!O14</f>
        <v>22.531394111351378</v>
      </c>
      <c r="R225" s="144"/>
      <c r="S225" s="144"/>
      <c r="T225" s="246">
        <f>'Peer Data'!C28/'Peer Data'!C20</f>
        <v>0.21180202500900838</v>
      </c>
    </row>
    <row r="227" spans="2:23" x14ac:dyDescent="0.3">
      <c r="B227" s="111" t="s">
        <v>976</v>
      </c>
      <c r="C227" s="239"/>
      <c r="D227" s="239"/>
      <c r="E227" s="240" t="s">
        <v>974</v>
      </c>
      <c r="F227" s="240"/>
      <c r="G227" s="240"/>
      <c r="H227" s="240" t="s">
        <v>975</v>
      </c>
      <c r="I227" s="240"/>
      <c r="J227" s="240"/>
      <c r="K227" s="241" t="s">
        <v>971</v>
      </c>
      <c r="Q227" s="111" t="s">
        <v>1025</v>
      </c>
      <c r="T227" s="241" t="s">
        <v>1026</v>
      </c>
    </row>
    <row r="228" spans="2:23" x14ac:dyDescent="0.3">
      <c r="B228" s="76" t="s">
        <v>973</v>
      </c>
      <c r="E228" s="21">
        <f>MAX('DCF Model'!I54:I58)</f>
        <v>1940.303759127373</v>
      </c>
      <c r="H228" s="21">
        <f>MIN('DCF Model'!I54:I58)</f>
        <v>1199.0916251612439</v>
      </c>
      <c r="K228" s="131">
        <f>E228-H228</f>
        <v>741.21213396612916</v>
      </c>
      <c r="Q228" s="76" t="s">
        <v>241</v>
      </c>
      <c r="T228" s="131">
        <f>'DCF Model'!I55</f>
        <v>1317.7152880162871</v>
      </c>
    </row>
    <row r="229" spans="2:23" x14ac:dyDescent="0.3">
      <c r="B229" s="76" t="s">
        <v>972</v>
      </c>
      <c r="E229" s="21">
        <f>$E$225*Q221</f>
        <v>2284.0522521719454</v>
      </c>
      <c r="H229" s="21">
        <f>$E$225*Q222</f>
        <v>504.26650171724901</v>
      </c>
      <c r="K229" s="131">
        <f>E229-H229</f>
        <v>1779.7857504546964</v>
      </c>
      <c r="Q229" s="76" t="s">
        <v>242</v>
      </c>
      <c r="T229" s="131">
        <f>'DCF Model'!I56</f>
        <v>1468.6744803755857</v>
      </c>
    </row>
    <row r="230" spans="2:23" x14ac:dyDescent="0.3">
      <c r="B230" s="76" t="s">
        <v>1014</v>
      </c>
      <c r="E230" s="21">
        <f>((MAX('Peer Comps'!X8:X10)*'Peer Comps'!F11)-'Peer Comps'!K11+'Peer Comps'!L11)/'Peer Comps'!T11</f>
        <v>3555.9455627718103</v>
      </c>
      <c r="F230" s="21"/>
      <c r="G230" s="21"/>
      <c r="H230" s="21">
        <f>((MIN('Peer Comps'!X8:X10)*'Peer Comps'!F11)-'Peer Comps'!K11+'Peer Comps'!L11)/'Peer Comps'!T11</f>
        <v>748.04029186692026</v>
      </c>
      <c r="K230" s="131">
        <f>E230-H230</f>
        <v>2807.9052709048901</v>
      </c>
      <c r="Q230" s="123" t="s">
        <v>243</v>
      </c>
      <c r="T230" s="247">
        <f>'DCF Model'!I57</f>
        <v>1667.2770540224042</v>
      </c>
    </row>
    <row r="231" spans="2:23" x14ac:dyDescent="0.3">
      <c r="B231" s="123" t="s">
        <v>970</v>
      </c>
      <c r="C231" s="144"/>
      <c r="D231" s="144"/>
      <c r="E231" s="243">
        <f>E225*N222</f>
        <v>3761.1646232483058</v>
      </c>
      <c r="F231" s="144"/>
      <c r="G231" s="144"/>
      <c r="H231" s="243">
        <f>E225*N224</f>
        <v>882.98292170661853</v>
      </c>
      <c r="I231" s="144"/>
      <c r="J231" s="144"/>
      <c r="K231" s="247">
        <f t="shared" ref="K231" si="145">E231-H231</f>
        <v>2878.1817015416873</v>
      </c>
    </row>
    <row r="233" spans="2:23" ht="27.6" x14ac:dyDescent="0.3">
      <c r="B233" s="111" t="s">
        <v>985</v>
      </c>
      <c r="C233" s="239"/>
      <c r="D233" s="239"/>
      <c r="E233" s="248" t="s">
        <v>983</v>
      </c>
      <c r="F233" s="248"/>
      <c r="G233" s="248"/>
      <c r="H233" s="248" t="s">
        <v>984</v>
      </c>
      <c r="I233" s="239"/>
      <c r="J233" s="239"/>
      <c r="K233" s="249"/>
      <c r="Q233" s="111" t="s">
        <v>1019</v>
      </c>
      <c r="R233" s="239"/>
      <c r="S233" s="239"/>
      <c r="T233" s="239"/>
      <c r="U233" s="239"/>
      <c r="V233" s="239"/>
      <c r="W233" s="249"/>
    </row>
    <row r="234" spans="2:23" x14ac:dyDescent="0.3">
      <c r="B234" s="76"/>
      <c r="E234" s="12">
        <v>-210</v>
      </c>
      <c r="H234" s="250">
        <f>_xlfn.NORM.DIST(E234,0,70.38,0)</f>
        <v>6.6097112305951893E-5</v>
      </c>
      <c r="K234" s="132"/>
      <c r="Q234" s="76" t="s">
        <v>1002</v>
      </c>
      <c r="T234" s="12" t="s">
        <v>1018</v>
      </c>
      <c r="W234" s="170" t="s">
        <v>1020</v>
      </c>
    </row>
    <row r="235" spans="2:23" x14ac:dyDescent="0.3">
      <c r="B235" s="76"/>
      <c r="E235" s="12">
        <v>-180</v>
      </c>
      <c r="H235" s="250">
        <f t="shared" ref="H235:H248" si="146">_xlfn.NORM.DIST(E235,0,70.38,0)</f>
        <v>2.1532430796309833E-4</v>
      </c>
      <c r="K235" s="132"/>
      <c r="Q235" s="76" t="s">
        <v>1021</v>
      </c>
      <c r="T235" s="21">
        <v>249.86600000000001</v>
      </c>
      <c r="U235" s="21"/>
      <c r="V235" s="21"/>
      <c r="W235" s="131"/>
    </row>
    <row r="236" spans="2:23" x14ac:dyDescent="0.3">
      <c r="B236" s="76"/>
      <c r="E236" s="12">
        <v>-150</v>
      </c>
      <c r="H236" s="250">
        <f t="shared" si="146"/>
        <v>5.8491709577471282E-4</v>
      </c>
      <c r="K236" s="170"/>
      <c r="Q236" s="76" t="s">
        <v>924</v>
      </c>
      <c r="T236" s="21">
        <v>248.86600000000001</v>
      </c>
      <c r="U236" s="21"/>
      <c r="V236" s="21"/>
      <c r="W236" s="131"/>
    </row>
    <row r="237" spans="2:23" x14ac:dyDescent="0.3">
      <c r="B237" s="76"/>
      <c r="E237" s="12">
        <v>-120</v>
      </c>
      <c r="H237" s="250">
        <f t="shared" si="146"/>
        <v>1.3249096118122525E-3</v>
      </c>
      <c r="K237" s="170"/>
      <c r="Q237" s="76" t="s">
        <v>925</v>
      </c>
      <c r="T237" s="21">
        <v>251.21600000000001</v>
      </c>
      <c r="U237" s="21"/>
      <c r="V237" s="21"/>
      <c r="W237" s="131"/>
    </row>
    <row r="238" spans="2:23" x14ac:dyDescent="0.3">
      <c r="B238" s="76"/>
      <c r="E238" s="12">
        <v>-90</v>
      </c>
      <c r="H238" s="250">
        <f t="shared" si="146"/>
        <v>2.5024699292604279E-3</v>
      </c>
      <c r="K238" s="170"/>
      <c r="Q238" s="76" t="s">
        <v>926</v>
      </c>
      <c r="T238" s="21">
        <v>253.916</v>
      </c>
      <c r="U238" s="21"/>
      <c r="V238" s="21"/>
      <c r="W238" s="131"/>
    </row>
    <row r="239" spans="2:23" x14ac:dyDescent="0.3">
      <c r="B239" s="76"/>
      <c r="E239" s="12">
        <v>-60</v>
      </c>
      <c r="H239" s="250">
        <f t="shared" si="146"/>
        <v>3.9413242476957029E-3</v>
      </c>
      <c r="K239" s="170"/>
      <c r="Q239" s="76" t="s">
        <v>927</v>
      </c>
      <c r="T239" s="21">
        <v>256.8</v>
      </c>
      <c r="U239" s="21"/>
      <c r="V239" s="21"/>
      <c r="W239" s="131"/>
    </row>
    <row r="240" spans="2:23" x14ac:dyDescent="0.3">
      <c r="B240" s="76"/>
      <c r="E240" s="12">
        <v>-30</v>
      </c>
      <c r="H240" s="250">
        <f t="shared" si="146"/>
        <v>5.1761415437617713E-3</v>
      </c>
      <c r="K240" s="170"/>
      <c r="Q240" s="76" t="s">
        <v>283</v>
      </c>
      <c r="T240" s="21">
        <v>258.11599999999999</v>
      </c>
      <c r="U240" s="21"/>
      <c r="V240" s="21"/>
      <c r="W240" s="131">
        <f>T240</f>
        <v>258.11599999999999</v>
      </c>
    </row>
    <row r="241" spans="2:23" x14ac:dyDescent="0.3">
      <c r="B241" s="76"/>
      <c r="E241" s="12">
        <v>0</v>
      </c>
      <c r="H241" s="250">
        <f t="shared" si="146"/>
        <v>5.6684040977754016E-3</v>
      </c>
      <c r="K241" s="170"/>
      <c r="Q241" s="76" t="s">
        <v>1022</v>
      </c>
      <c r="T241" s="21"/>
      <c r="U241" s="21"/>
      <c r="V241" s="21"/>
      <c r="W241" s="131">
        <v>309.5</v>
      </c>
    </row>
    <row r="242" spans="2:23" x14ac:dyDescent="0.3">
      <c r="B242" s="76"/>
      <c r="E242" s="12">
        <v>30</v>
      </c>
      <c r="H242" s="250">
        <f t="shared" si="146"/>
        <v>5.1761415437617713E-3</v>
      </c>
      <c r="K242" s="170"/>
      <c r="Q242" s="123" t="s">
        <v>1023</v>
      </c>
      <c r="R242" s="144"/>
      <c r="S242" s="144"/>
      <c r="T242" s="245"/>
      <c r="U242" s="245"/>
      <c r="V242" s="245"/>
      <c r="W242" s="247">
        <v>450</v>
      </c>
    </row>
    <row r="243" spans="2:23" x14ac:dyDescent="0.3">
      <c r="B243" s="76"/>
      <c r="E243" s="12">
        <v>60</v>
      </c>
      <c r="H243" s="250">
        <f t="shared" si="146"/>
        <v>3.9413242476957029E-3</v>
      </c>
      <c r="K243" s="170"/>
      <c r="Q243" s="141" t="s">
        <v>1024</v>
      </c>
    </row>
    <row r="244" spans="2:23" x14ac:dyDescent="0.3">
      <c r="B244" s="76"/>
      <c r="E244" s="12">
        <v>90</v>
      </c>
      <c r="H244" s="250">
        <f t="shared" si="146"/>
        <v>2.5024699292604279E-3</v>
      </c>
      <c r="K244" s="170"/>
    </row>
    <row r="245" spans="2:23" x14ac:dyDescent="0.3">
      <c r="B245" s="76"/>
      <c r="E245" s="12">
        <v>120</v>
      </c>
      <c r="H245" s="250">
        <f t="shared" si="146"/>
        <v>1.3249096118122525E-3</v>
      </c>
      <c r="K245" s="170"/>
    </row>
    <row r="246" spans="2:23" x14ac:dyDescent="0.3">
      <c r="B246" s="76"/>
      <c r="E246" s="12">
        <v>150</v>
      </c>
      <c r="H246" s="250">
        <f t="shared" si="146"/>
        <v>5.8491709577471282E-4</v>
      </c>
      <c r="K246" s="170"/>
    </row>
    <row r="247" spans="2:23" x14ac:dyDescent="0.3">
      <c r="B247" s="76"/>
      <c r="E247" s="12">
        <v>180</v>
      </c>
      <c r="H247" s="250">
        <f t="shared" si="146"/>
        <v>2.1532430796309833E-4</v>
      </c>
      <c r="K247" s="170"/>
    </row>
    <row r="248" spans="2:23" x14ac:dyDescent="0.3">
      <c r="B248" s="123"/>
      <c r="C248" s="144"/>
      <c r="D248" s="144"/>
      <c r="E248" s="144">
        <v>210</v>
      </c>
      <c r="F248" s="144"/>
      <c r="G248" s="144"/>
      <c r="H248" s="251">
        <f t="shared" si="146"/>
        <v>6.6097112305951893E-5</v>
      </c>
      <c r="I248" s="144"/>
      <c r="J248" s="144"/>
      <c r="K248" s="126"/>
    </row>
    <row r="249" spans="2:23" x14ac:dyDescent="0.3">
      <c r="H249" s="250"/>
    </row>
    <row r="250" spans="2:23" x14ac:dyDescent="0.3">
      <c r="B250" s="111" t="s">
        <v>939</v>
      </c>
      <c r="C250" s="239"/>
      <c r="D250" s="239"/>
      <c r="E250" s="249"/>
      <c r="K250" s="111" t="s">
        <v>1008</v>
      </c>
      <c r="L250" s="239"/>
      <c r="M250" s="239"/>
      <c r="N250" s="239"/>
      <c r="O250" s="239"/>
      <c r="P250" s="239"/>
      <c r="Q250" s="249"/>
    </row>
    <row r="251" spans="2:23" ht="54" customHeight="1" x14ac:dyDescent="0.3">
      <c r="B251" s="76" t="s">
        <v>935</v>
      </c>
      <c r="E251" s="130">
        <f>'Peer Data'!E14</f>
        <v>3828.9210675000004</v>
      </c>
      <c r="K251" s="76" t="s">
        <v>1011</v>
      </c>
      <c r="N251" s="16" t="s">
        <v>1009</v>
      </c>
      <c r="O251" s="16"/>
      <c r="P251" s="16"/>
      <c r="Q251" s="55" t="s">
        <v>1010</v>
      </c>
    </row>
    <row r="252" spans="2:23" x14ac:dyDescent="0.3">
      <c r="B252" s="252" t="s">
        <v>936</v>
      </c>
      <c r="E252" s="130">
        <f>'Peer Data'!G14</f>
        <v>107.8015</v>
      </c>
      <c r="K252" s="76" t="s">
        <v>127</v>
      </c>
      <c r="N252" s="40">
        <v>0.74</v>
      </c>
      <c r="Q252" s="266">
        <v>0.39900000000000002</v>
      </c>
    </row>
    <row r="253" spans="2:23" x14ac:dyDescent="0.3">
      <c r="B253" s="252" t="s">
        <v>937</v>
      </c>
      <c r="E253" s="130">
        <f>-'Peer Data'!F14</f>
        <v>-12.605400000000001</v>
      </c>
      <c r="K253" s="123" t="s">
        <v>124</v>
      </c>
      <c r="L253" s="144"/>
      <c r="M253" s="144"/>
      <c r="N253" s="267">
        <v>0.26</v>
      </c>
      <c r="O253" s="144"/>
      <c r="P253" s="144"/>
      <c r="Q253" s="268">
        <v>0.60099999999999998</v>
      </c>
    </row>
    <row r="254" spans="2:23" x14ac:dyDescent="0.3">
      <c r="B254" s="123" t="s">
        <v>938</v>
      </c>
      <c r="C254" s="144"/>
      <c r="D254" s="144"/>
      <c r="E254" s="157">
        <f>SUM(E251:E253)</f>
        <v>3924.1171675000005</v>
      </c>
    </row>
    <row r="256" spans="2:23" x14ac:dyDescent="0.3">
      <c r="B256" s="111" t="s">
        <v>940</v>
      </c>
      <c r="C256" s="239"/>
      <c r="D256" s="239"/>
      <c r="E256" s="249"/>
      <c r="K256" s="111" t="s">
        <v>1032</v>
      </c>
      <c r="N256" s="241" t="s">
        <v>1035</v>
      </c>
    </row>
    <row r="257" spans="2:23" x14ac:dyDescent="0.3">
      <c r="B257" s="76" t="s">
        <v>943</v>
      </c>
      <c r="E257" s="132">
        <f>'Revenue Segments'!Q69</f>
        <v>708.3</v>
      </c>
      <c r="K257" s="76" t="s">
        <v>1033</v>
      </c>
      <c r="N257" s="132">
        <f>'Estimate Sheet'!C8</f>
        <v>847.93139086679219</v>
      </c>
    </row>
    <row r="258" spans="2:23" x14ac:dyDescent="0.3">
      <c r="B258" s="76" t="s">
        <v>941</v>
      </c>
      <c r="E258" s="131">
        <f>T161-Q161</f>
        <v>-24.400000000000034</v>
      </c>
      <c r="K258" s="76" t="s">
        <v>1034</v>
      </c>
      <c r="N258" s="132">
        <f>'Estimate Sheet'!D8</f>
        <v>858.33330000000001</v>
      </c>
    </row>
    <row r="259" spans="2:23" x14ac:dyDescent="0.3">
      <c r="B259" s="76" t="s">
        <v>120</v>
      </c>
      <c r="E259" s="131">
        <f>T163-Q163</f>
        <v>136.60000000000002</v>
      </c>
      <c r="K259" s="123" t="s">
        <v>1031</v>
      </c>
      <c r="N259" s="253">
        <f>'Estimate Sheet'!F8</f>
        <v>822.28769999999997</v>
      </c>
    </row>
    <row r="260" spans="2:23" x14ac:dyDescent="0.3">
      <c r="B260" s="76" t="s">
        <v>942</v>
      </c>
      <c r="E260" s="131">
        <f>T165-Q165</f>
        <v>-45.000000000000007</v>
      </c>
    </row>
    <row r="261" spans="2:23" x14ac:dyDescent="0.3">
      <c r="B261" s="76" t="s">
        <v>944</v>
      </c>
      <c r="E261" s="131">
        <f>T167-Q167</f>
        <v>26.3</v>
      </c>
    </row>
    <row r="262" spans="2:23" x14ac:dyDescent="0.3">
      <c r="B262" s="76" t="s">
        <v>945</v>
      </c>
      <c r="E262" s="131">
        <f>T169-Q169</f>
        <v>20.499999999999996</v>
      </c>
    </row>
    <row r="263" spans="2:23" x14ac:dyDescent="0.3">
      <c r="B263" s="123" t="s">
        <v>946</v>
      </c>
      <c r="C263" s="144"/>
      <c r="D263" s="144"/>
      <c r="E263" s="253">
        <f>SUM(E257:E262)</f>
        <v>822.29999999999984</v>
      </c>
    </row>
    <row r="265" spans="2:23" x14ac:dyDescent="0.3">
      <c r="B265" s="111" t="s">
        <v>1003</v>
      </c>
      <c r="C265" s="239"/>
      <c r="D265" s="239"/>
      <c r="E265" s="239"/>
      <c r="F265" s="239"/>
      <c r="G265" s="239"/>
      <c r="H265" s="239"/>
      <c r="I265" s="239"/>
      <c r="J265" s="239"/>
      <c r="K265" s="239"/>
      <c r="L265" s="239"/>
      <c r="M265" s="239"/>
      <c r="N265" s="249"/>
    </row>
    <row r="266" spans="2:23" ht="69" x14ac:dyDescent="0.3">
      <c r="B266" s="76" t="s">
        <v>191</v>
      </c>
      <c r="E266" s="16" t="s">
        <v>1004</v>
      </c>
      <c r="F266" s="16"/>
      <c r="G266" s="16"/>
      <c r="H266" s="16" t="s">
        <v>1006</v>
      </c>
      <c r="K266" s="16" t="s">
        <v>1005</v>
      </c>
      <c r="N266" s="55" t="s">
        <v>1007</v>
      </c>
      <c r="T266" s="117" t="s">
        <v>191</v>
      </c>
      <c r="U266" s="239"/>
      <c r="V266" s="239"/>
      <c r="W266" s="277" t="s">
        <v>1017</v>
      </c>
    </row>
    <row r="267" spans="2:23" x14ac:dyDescent="0.3">
      <c r="B267" s="278">
        <v>46176</v>
      </c>
      <c r="E267" s="12">
        <v>1939.5</v>
      </c>
      <c r="H267" s="21">
        <f>(E267/$E$762)*100</f>
        <v>111.33115205786122</v>
      </c>
      <c r="K267" s="12">
        <v>78888.960000000006</v>
      </c>
      <c r="N267" s="131">
        <f>(K267/$K$762)*100</f>
        <v>107.00831648292979</v>
      </c>
      <c r="T267" s="278">
        <v>46177</v>
      </c>
      <c r="W267" s="170">
        <v>34.669800000000002</v>
      </c>
    </row>
    <row r="268" spans="2:23" x14ac:dyDescent="0.3">
      <c r="B268" s="278">
        <v>46175</v>
      </c>
      <c r="E268" s="12">
        <v>1870.3</v>
      </c>
      <c r="H268" s="21">
        <f t="shared" ref="H268:H331" si="147">(E268/$E$762)*100</f>
        <v>107.35893461913784</v>
      </c>
      <c r="K268" s="12">
        <v>79301.149999999994</v>
      </c>
      <c r="N268" s="131">
        <f t="shared" ref="N268:N331" si="148">(K268/$K$762)*100</f>
        <v>107.56742840392732</v>
      </c>
      <c r="T268" s="278">
        <v>46176</v>
      </c>
      <c r="W268" s="170">
        <v>35.099800000000002</v>
      </c>
    </row>
    <row r="269" spans="2:23" x14ac:dyDescent="0.3">
      <c r="B269" s="278">
        <v>46174</v>
      </c>
      <c r="E269" s="12">
        <v>1840.1</v>
      </c>
      <c r="H269" s="21">
        <f t="shared" si="147"/>
        <v>105.6253946386545</v>
      </c>
      <c r="K269" s="12">
        <v>78848.83</v>
      </c>
      <c r="N269" s="131">
        <f t="shared" si="148"/>
        <v>106.95388245641378</v>
      </c>
      <c r="T269" s="278">
        <v>46175</v>
      </c>
      <c r="W269" s="170">
        <v>33.931399999999996</v>
      </c>
    </row>
    <row r="270" spans="2:23" x14ac:dyDescent="0.3">
      <c r="B270" s="278">
        <v>46171</v>
      </c>
      <c r="E270" s="12">
        <v>1840.4</v>
      </c>
      <c r="H270" s="21">
        <f t="shared" si="147"/>
        <v>105.64261523448712</v>
      </c>
      <c r="K270" s="12">
        <v>80818.740000000005</v>
      </c>
      <c r="N270" s="131">
        <f t="shared" si="148"/>
        <v>109.62595156117683</v>
      </c>
      <c r="T270" s="278">
        <v>46174</v>
      </c>
      <c r="W270" s="170">
        <v>33.383499999999998</v>
      </c>
    </row>
    <row r="271" spans="2:23" x14ac:dyDescent="0.3">
      <c r="B271" s="278">
        <v>46169</v>
      </c>
      <c r="E271" s="12">
        <v>1947</v>
      </c>
      <c r="H271" s="21">
        <f t="shared" si="147"/>
        <v>111.7616669536766</v>
      </c>
      <c r="K271" s="12">
        <v>81647.91</v>
      </c>
      <c r="N271" s="131">
        <f t="shared" si="148"/>
        <v>110.75067276143287</v>
      </c>
      <c r="T271" s="278">
        <v>46171</v>
      </c>
      <c r="W271" s="170">
        <v>33.389000000000003</v>
      </c>
    </row>
    <row r="272" spans="2:23" x14ac:dyDescent="0.3">
      <c r="B272" s="278">
        <v>46168</v>
      </c>
      <c r="E272" s="12">
        <v>1981.2</v>
      </c>
      <c r="H272" s="21">
        <f t="shared" si="147"/>
        <v>113.7248148785948</v>
      </c>
      <c r="K272" s="12">
        <v>79107.539999999994</v>
      </c>
      <c r="N272" s="131">
        <f t="shared" si="148"/>
        <v>107.30480762461599</v>
      </c>
      <c r="T272" s="278">
        <v>46170</v>
      </c>
      <c r="W272" s="170"/>
    </row>
    <row r="273" spans="2:23" x14ac:dyDescent="0.3">
      <c r="B273" s="278">
        <v>46167</v>
      </c>
      <c r="E273" s="12">
        <v>1977.7</v>
      </c>
      <c r="H273" s="21">
        <f t="shared" si="147"/>
        <v>113.5239079272143</v>
      </c>
      <c r="K273" s="12">
        <v>78698.009999999995</v>
      </c>
      <c r="N273" s="131">
        <f t="shared" si="148"/>
        <v>106.74930383993872</v>
      </c>
      <c r="T273" s="278">
        <v>46169</v>
      </c>
      <c r="W273" s="170">
        <v>35.322899999999997</v>
      </c>
    </row>
    <row r="274" spans="2:23" x14ac:dyDescent="0.3">
      <c r="B274" s="278">
        <v>46164</v>
      </c>
      <c r="E274" s="12">
        <v>1977.6</v>
      </c>
      <c r="H274" s="21">
        <f t="shared" si="147"/>
        <v>113.51816772860342</v>
      </c>
      <c r="K274" s="12">
        <v>78316.91</v>
      </c>
      <c r="N274" s="131">
        <f t="shared" si="148"/>
        <v>106.23236370773716</v>
      </c>
      <c r="T274" s="278">
        <v>46168</v>
      </c>
      <c r="W274" s="170">
        <v>35.943399999999997</v>
      </c>
    </row>
    <row r="275" spans="2:23" x14ac:dyDescent="0.3">
      <c r="B275" s="278">
        <v>46163</v>
      </c>
      <c r="E275" s="12">
        <v>1978.4</v>
      </c>
      <c r="H275" s="21">
        <f t="shared" si="147"/>
        <v>113.5640893174904</v>
      </c>
      <c r="K275" s="12">
        <v>78274.899999999994</v>
      </c>
      <c r="N275" s="131">
        <f t="shared" si="148"/>
        <v>106.17537956983689</v>
      </c>
      <c r="T275" s="278">
        <v>46167</v>
      </c>
      <c r="W275" s="170">
        <v>35.879899999999999</v>
      </c>
    </row>
    <row r="276" spans="2:23" x14ac:dyDescent="0.3">
      <c r="B276" s="278">
        <v>46162</v>
      </c>
      <c r="E276" s="12">
        <v>1952</v>
      </c>
      <c r="H276" s="21">
        <f t="shared" si="147"/>
        <v>112.0486768842202</v>
      </c>
      <c r="K276" s="12">
        <v>77278.48</v>
      </c>
      <c r="N276" s="131">
        <f t="shared" si="148"/>
        <v>104.8237934073381</v>
      </c>
      <c r="T276" s="278">
        <v>46164</v>
      </c>
      <c r="W276" s="170">
        <v>35.878100000000003</v>
      </c>
    </row>
    <row r="277" spans="2:23" x14ac:dyDescent="0.3">
      <c r="B277" s="278">
        <v>46161</v>
      </c>
      <c r="E277" s="12">
        <v>1955.5</v>
      </c>
      <c r="H277" s="21">
        <f t="shared" si="147"/>
        <v>112.2495838356007</v>
      </c>
      <c r="K277" s="12">
        <v>76118.17</v>
      </c>
      <c r="N277" s="131">
        <f t="shared" si="148"/>
        <v>103.2498999284748</v>
      </c>
      <c r="T277" s="278">
        <v>46163</v>
      </c>
      <c r="W277" s="170">
        <v>35.892600000000002</v>
      </c>
    </row>
    <row r="278" spans="2:23" x14ac:dyDescent="0.3">
      <c r="B278" s="278">
        <v>46160</v>
      </c>
      <c r="E278" s="12">
        <v>1929.6</v>
      </c>
      <c r="H278" s="21">
        <f t="shared" si="147"/>
        <v>110.76287239538487</v>
      </c>
      <c r="K278" s="12">
        <v>76219.009999999995</v>
      </c>
      <c r="N278" s="131">
        <f t="shared" si="148"/>
        <v>103.38668356251102</v>
      </c>
      <c r="T278" s="278">
        <v>46162</v>
      </c>
      <c r="W278" s="170">
        <v>35.413600000000002</v>
      </c>
    </row>
    <row r="279" spans="2:23" x14ac:dyDescent="0.3">
      <c r="B279" s="278">
        <v>46157</v>
      </c>
      <c r="E279" s="12">
        <v>1966.5</v>
      </c>
      <c r="H279" s="21">
        <f t="shared" si="147"/>
        <v>112.88100568279663</v>
      </c>
      <c r="K279" s="12">
        <v>76826.42</v>
      </c>
      <c r="N279" s="131">
        <f t="shared" si="148"/>
        <v>104.21060013480322</v>
      </c>
      <c r="T279" s="278">
        <v>46161</v>
      </c>
      <c r="W279" s="170">
        <v>35.4771</v>
      </c>
    </row>
    <row r="280" spans="2:23" x14ac:dyDescent="0.3">
      <c r="B280" s="278">
        <v>46156</v>
      </c>
      <c r="E280" s="12">
        <v>1961.4</v>
      </c>
      <c r="H280" s="21">
        <f t="shared" si="147"/>
        <v>112.58825555364216</v>
      </c>
      <c r="K280" s="12">
        <v>77604.31</v>
      </c>
      <c r="N280" s="131">
        <f t="shared" si="148"/>
        <v>105.26576297772708</v>
      </c>
      <c r="T280" s="278">
        <v>46160</v>
      </c>
      <c r="W280" s="170">
        <v>35.007300000000001</v>
      </c>
    </row>
    <row r="281" spans="2:23" x14ac:dyDescent="0.3">
      <c r="B281" s="278">
        <v>46155</v>
      </c>
      <c r="E281" s="12">
        <v>1979.2</v>
      </c>
      <c r="H281" s="21">
        <f t="shared" si="147"/>
        <v>113.61001090637737</v>
      </c>
      <c r="K281" s="12">
        <v>77073.960000000006</v>
      </c>
      <c r="N281" s="131">
        <f t="shared" si="148"/>
        <v>104.54637384334475</v>
      </c>
      <c r="T281" s="278">
        <v>46157</v>
      </c>
      <c r="W281" s="170">
        <v>35.676699999999997</v>
      </c>
    </row>
    <row r="282" spans="2:23" x14ac:dyDescent="0.3">
      <c r="B282" s="278">
        <v>46154</v>
      </c>
      <c r="E282" s="12">
        <v>1970.4</v>
      </c>
      <c r="H282" s="21">
        <f t="shared" si="147"/>
        <v>113.10487342862064</v>
      </c>
      <c r="K282" s="12">
        <v>76216.88</v>
      </c>
      <c r="N282" s="131">
        <f t="shared" si="148"/>
        <v>103.38379434057036</v>
      </c>
      <c r="T282" s="278">
        <v>46156</v>
      </c>
      <c r="W282" s="170">
        <v>35.584200000000003</v>
      </c>
    </row>
    <row r="283" spans="2:23" x14ac:dyDescent="0.3">
      <c r="B283" s="278">
        <v>46153</v>
      </c>
      <c r="E283" s="12">
        <v>2067.6</v>
      </c>
      <c r="H283" s="21">
        <f t="shared" si="147"/>
        <v>118.68434647838815</v>
      </c>
      <c r="K283" s="12">
        <v>78453.03</v>
      </c>
      <c r="N283" s="131">
        <f t="shared" si="148"/>
        <v>106.41700262349489</v>
      </c>
      <c r="T283" s="278">
        <v>46155</v>
      </c>
      <c r="W283" s="170">
        <v>35.9071</v>
      </c>
    </row>
    <row r="284" spans="2:23" x14ac:dyDescent="0.3">
      <c r="B284" s="278">
        <v>46150</v>
      </c>
      <c r="E284" s="12">
        <v>2161.9</v>
      </c>
      <c r="H284" s="21">
        <f t="shared" si="147"/>
        <v>124.0973537684404</v>
      </c>
      <c r="K284" s="12">
        <v>80125.2</v>
      </c>
      <c r="N284" s="131">
        <f t="shared" si="148"/>
        <v>108.68520461998796</v>
      </c>
      <c r="T284" s="278">
        <v>46154</v>
      </c>
      <c r="W284" s="170">
        <v>35.747500000000002</v>
      </c>
    </row>
    <row r="285" spans="2:23" x14ac:dyDescent="0.3">
      <c r="B285" s="278">
        <v>46149</v>
      </c>
      <c r="E285" s="12">
        <v>2184.8000000000002</v>
      </c>
      <c r="H285" s="21">
        <f t="shared" si="147"/>
        <v>125.41185925033007</v>
      </c>
      <c r="K285" s="12">
        <v>80320.92</v>
      </c>
      <c r="N285" s="131">
        <f t="shared" si="148"/>
        <v>108.95068749239545</v>
      </c>
      <c r="T285" s="278">
        <v>46153</v>
      </c>
      <c r="W285" s="170">
        <v>37.510899999999999</v>
      </c>
    </row>
    <row r="286" spans="2:23" x14ac:dyDescent="0.3">
      <c r="B286" s="278">
        <v>46148</v>
      </c>
      <c r="E286" s="12">
        <v>2121.8000000000002</v>
      </c>
      <c r="H286" s="21">
        <f t="shared" si="147"/>
        <v>121.79553412548077</v>
      </c>
      <c r="K286" s="12">
        <v>78706.03</v>
      </c>
      <c r="N286" s="131">
        <f t="shared" si="148"/>
        <v>106.76018250658856</v>
      </c>
      <c r="T286" s="278">
        <v>46150</v>
      </c>
      <c r="W286" s="170">
        <v>39.221699999999998</v>
      </c>
    </row>
    <row r="287" spans="2:23" x14ac:dyDescent="0.3">
      <c r="B287" s="278">
        <v>46147</v>
      </c>
      <c r="E287" s="12">
        <v>2072.1999999999998</v>
      </c>
      <c r="H287" s="21">
        <f t="shared" si="147"/>
        <v>118.94839561448826</v>
      </c>
      <c r="K287" s="12">
        <v>78403.69</v>
      </c>
      <c r="N287" s="131">
        <f t="shared" si="148"/>
        <v>106.35007576408051</v>
      </c>
      <c r="T287" s="278">
        <v>46149</v>
      </c>
      <c r="W287" s="170">
        <v>39.6372</v>
      </c>
    </row>
    <row r="288" spans="2:23" x14ac:dyDescent="0.3">
      <c r="B288" s="278">
        <v>46146</v>
      </c>
      <c r="E288" s="12">
        <v>2077.5</v>
      </c>
      <c r="H288" s="21">
        <f t="shared" si="147"/>
        <v>119.25262614086446</v>
      </c>
      <c r="K288" s="12">
        <v>78066.179999999993</v>
      </c>
      <c r="N288" s="131">
        <f t="shared" si="148"/>
        <v>105.89226294849574</v>
      </c>
      <c r="T288" s="278">
        <v>46148</v>
      </c>
      <c r="W288" s="170">
        <v>38.494199999999999</v>
      </c>
    </row>
    <row r="289" spans="2:23" x14ac:dyDescent="0.3">
      <c r="B289" s="278">
        <v>46142</v>
      </c>
      <c r="E289" s="12">
        <v>2062.1999999999998</v>
      </c>
      <c r="H289" s="21">
        <f t="shared" si="147"/>
        <v>118.37437575340107</v>
      </c>
      <c r="K289" s="12">
        <v>77210.23</v>
      </c>
      <c r="N289" s="131">
        <f t="shared" si="148"/>
        <v>104.73121622543636</v>
      </c>
      <c r="T289" s="278">
        <v>46147</v>
      </c>
      <c r="W289" s="170">
        <v>37.594299999999997</v>
      </c>
    </row>
    <row r="290" spans="2:23" x14ac:dyDescent="0.3">
      <c r="B290" s="278">
        <v>46141</v>
      </c>
      <c r="E290" s="12">
        <v>2093.1</v>
      </c>
      <c r="H290" s="21">
        <f t="shared" si="147"/>
        <v>120.1480971241605</v>
      </c>
      <c r="K290" s="12">
        <v>77962.97</v>
      </c>
      <c r="N290" s="131">
        <f t="shared" si="148"/>
        <v>105.75226454638469</v>
      </c>
      <c r="T290" s="278">
        <v>46146</v>
      </c>
      <c r="W290" s="170">
        <v>37.6905</v>
      </c>
    </row>
    <row r="291" spans="2:23" x14ac:dyDescent="0.3">
      <c r="B291" s="278">
        <v>46140</v>
      </c>
      <c r="E291" s="12">
        <v>2172.1</v>
      </c>
      <c r="H291" s="21">
        <f t="shared" si="147"/>
        <v>124.68285402674933</v>
      </c>
      <c r="K291" s="12">
        <v>77941.87</v>
      </c>
      <c r="N291" s="131">
        <f t="shared" si="148"/>
        <v>105.72364361542313</v>
      </c>
      <c r="T291" s="278">
        <v>46143</v>
      </c>
      <c r="W291" s="170"/>
    </row>
    <row r="292" spans="2:23" x14ac:dyDescent="0.3">
      <c r="B292" s="278">
        <v>46139</v>
      </c>
      <c r="E292" s="12">
        <v>2215.5</v>
      </c>
      <c r="H292" s="21">
        <f t="shared" si="147"/>
        <v>127.17410022386775</v>
      </c>
      <c r="K292" s="12">
        <v>77608.08</v>
      </c>
      <c r="N292" s="131">
        <f t="shared" si="148"/>
        <v>105.27087676491784</v>
      </c>
      <c r="T292" s="278">
        <v>46142</v>
      </c>
      <c r="W292" s="170">
        <v>37.4129</v>
      </c>
    </row>
    <row r="293" spans="2:23" x14ac:dyDescent="0.3">
      <c r="B293" s="278">
        <v>46136</v>
      </c>
      <c r="E293" s="12">
        <v>2108.8000000000002</v>
      </c>
      <c r="H293" s="21">
        <f t="shared" si="147"/>
        <v>121.04930830606742</v>
      </c>
      <c r="K293" s="12">
        <v>77089.06</v>
      </c>
      <c r="N293" s="131">
        <f t="shared" si="148"/>
        <v>104.56685612095231</v>
      </c>
      <c r="T293" s="278">
        <v>46141</v>
      </c>
      <c r="W293" s="170">
        <v>37.973500000000001</v>
      </c>
    </row>
    <row r="294" spans="2:23" x14ac:dyDescent="0.3">
      <c r="B294" s="278">
        <v>46135</v>
      </c>
      <c r="E294" s="12">
        <v>2157.8000000000002</v>
      </c>
      <c r="H294" s="21">
        <f t="shared" si="147"/>
        <v>123.86200562539467</v>
      </c>
      <c r="K294" s="12">
        <v>77648.33</v>
      </c>
      <c r="N294" s="131">
        <f t="shared" si="148"/>
        <v>105.32547356450092</v>
      </c>
      <c r="T294" s="278">
        <v>46140</v>
      </c>
      <c r="W294" s="170">
        <v>39.406700000000001</v>
      </c>
    </row>
    <row r="295" spans="2:23" x14ac:dyDescent="0.3">
      <c r="B295" s="278">
        <v>46134</v>
      </c>
      <c r="E295" s="12">
        <v>2052.6</v>
      </c>
      <c r="H295" s="21">
        <f t="shared" si="147"/>
        <v>117.82331668675737</v>
      </c>
      <c r="K295" s="12">
        <v>77339.97</v>
      </c>
      <c r="N295" s="131">
        <f t="shared" si="148"/>
        <v>104.90720103979434</v>
      </c>
      <c r="T295" s="278">
        <v>46139</v>
      </c>
      <c r="W295" s="170">
        <v>40.194099999999999</v>
      </c>
    </row>
    <row r="296" spans="2:23" x14ac:dyDescent="0.3">
      <c r="B296" s="278">
        <v>46133</v>
      </c>
      <c r="E296" s="12">
        <v>2044.7</v>
      </c>
      <c r="H296" s="21">
        <f t="shared" si="147"/>
        <v>117.3698409964985</v>
      </c>
      <c r="K296" s="12">
        <v>76489.960000000006</v>
      </c>
      <c r="N296" s="131">
        <f t="shared" si="148"/>
        <v>103.75421158355542</v>
      </c>
      <c r="T296" s="278">
        <v>46136</v>
      </c>
      <c r="W296" s="170">
        <v>38.258299999999998</v>
      </c>
    </row>
    <row r="297" spans="2:23" x14ac:dyDescent="0.3">
      <c r="B297" s="278">
        <v>46132</v>
      </c>
      <c r="E297" s="12">
        <v>2028.3</v>
      </c>
      <c r="H297" s="21">
        <f t="shared" si="147"/>
        <v>116.42844842431548</v>
      </c>
      <c r="K297" s="12">
        <v>76533.100000000006</v>
      </c>
      <c r="N297" s="131">
        <f t="shared" si="148"/>
        <v>103.81272850117067</v>
      </c>
      <c r="T297" s="278">
        <v>46135</v>
      </c>
      <c r="W297" s="170">
        <v>39.147300000000001</v>
      </c>
    </row>
    <row r="298" spans="2:23" x14ac:dyDescent="0.3">
      <c r="B298" s="278">
        <v>46129</v>
      </c>
      <c r="E298" s="12">
        <v>2022.3</v>
      </c>
      <c r="H298" s="21">
        <f t="shared" si="147"/>
        <v>116.08403650766317</v>
      </c>
      <c r="K298" s="12">
        <v>76112.210000000006</v>
      </c>
      <c r="N298" s="131">
        <f t="shared" si="148"/>
        <v>103.24181553280982</v>
      </c>
      <c r="T298" s="278">
        <v>46134</v>
      </c>
      <c r="W298" s="170">
        <v>37.238799999999998</v>
      </c>
    </row>
    <row r="299" spans="2:23" x14ac:dyDescent="0.3">
      <c r="B299" s="278">
        <v>46128</v>
      </c>
      <c r="E299" s="12">
        <v>2050</v>
      </c>
      <c r="H299" s="21">
        <f t="shared" si="147"/>
        <v>117.6740715228747</v>
      </c>
      <c r="K299" s="12">
        <v>74479.850000000006</v>
      </c>
      <c r="N299" s="131">
        <f t="shared" si="148"/>
        <v>101.02761350132057</v>
      </c>
      <c r="T299" s="278">
        <v>46133</v>
      </c>
      <c r="W299" s="170">
        <v>37.095399999999998</v>
      </c>
    </row>
    <row r="300" spans="2:23" x14ac:dyDescent="0.3">
      <c r="B300" s="278">
        <v>46127</v>
      </c>
      <c r="E300" s="12">
        <v>2017.4</v>
      </c>
      <c r="H300" s="21">
        <f t="shared" si="147"/>
        <v>115.80276677573045</v>
      </c>
      <c r="K300" s="12">
        <v>73726.289999999994</v>
      </c>
      <c r="N300" s="131">
        <f t="shared" si="148"/>
        <v>100.00545289774716</v>
      </c>
      <c r="T300" s="278">
        <v>46132</v>
      </c>
      <c r="W300" s="170">
        <v>36.797899999999998</v>
      </c>
    </row>
    <row r="301" spans="2:23" x14ac:dyDescent="0.3">
      <c r="B301" s="278">
        <v>46125</v>
      </c>
      <c r="E301" s="12">
        <v>1931.5</v>
      </c>
      <c r="H301" s="21">
        <f t="shared" si="147"/>
        <v>110.87193616899145</v>
      </c>
      <c r="K301" s="12">
        <v>71902.8</v>
      </c>
      <c r="N301" s="131">
        <f t="shared" si="148"/>
        <v>97.531994063666232</v>
      </c>
      <c r="T301" s="278">
        <v>46129</v>
      </c>
      <c r="W301" s="170">
        <v>36.689</v>
      </c>
    </row>
    <row r="302" spans="2:23" x14ac:dyDescent="0.3">
      <c r="B302" s="278">
        <v>46122</v>
      </c>
      <c r="E302" s="12">
        <v>1911.8</v>
      </c>
      <c r="H302" s="21">
        <f t="shared" si="147"/>
        <v>109.74111704264968</v>
      </c>
      <c r="K302" s="12">
        <v>72180.77</v>
      </c>
      <c r="N302" s="131">
        <f t="shared" si="148"/>
        <v>97.909044309134813</v>
      </c>
      <c r="T302" s="278">
        <v>46128</v>
      </c>
      <c r="W302" s="170">
        <v>37.191600000000001</v>
      </c>
    </row>
    <row r="303" spans="2:23" x14ac:dyDescent="0.3">
      <c r="B303" s="278">
        <v>46121</v>
      </c>
      <c r="E303" s="12">
        <v>1863.3</v>
      </c>
      <c r="H303" s="21">
        <f t="shared" si="147"/>
        <v>106.95712071637679</v>
      </c>
      <c r="K303" s="12">
        <v>70578.509999999995</v>
      </c>
      <c r="N303" s="131">
        <f t="shared" si="148"/>
        <v>95.735671188638108</v>
      </c>
      <c r="T303" s="278">
        <v>46127</v>
      </c>
      <c r="W303" s="170">
        <v>36.600099999999998</v>
      </c>
    </row>
    <row r="304" spans="2:23" x14ac:dyDescent="0.3">
      <c r="B304" s="278">
        <v>46120</v>
      </c>
      <c r="E304" s="12">
        <v>1830.5</v>
      </c>
      <c r="H304" s="21">
        <f t="shared" si="147"/>
        <v>105.0743355720108</v>
      </c>
      <c r="K304" s="12">
        <v>69442.42</v>
      </c>
      <c r="N304" s="131">
        <f t="shared" si="148"/>
        <v>94.194630740480449</v>
      </c>
      <c r="T304" s="278">
        <v>46126</v>
      </c>
      <c r="W304" s="170"/>
    </row>
    <row r="305" spans="2:23" x14ac:dyDescent="0.3">
      <c r="B305" s="278">
        <v>46119</v>
      </c>
      <c r="E305" s="12">
        <v>1737.7</v>
      </c>
      <c r="H305" s="21">
        <f t="shared" si="147"/>
        <v>99.747431261121648</v>
      </c>
      <c r="K305" s="12">
        <v>67382.259999999995</v>
      </c>
      <c r="N305" s="131">
        <f t="shared" si="148"/>
        <v>91.40014272485098</v>
      </c>
      <c r="T305" s="278">
        <v>46125</v>
      </c>
      <c r="W305" s="170">
        <v>35.041699999999999</v>
      </c>
    </row>
    <row r="306" spans="2:23" x14ac:dyDescent="0.3">
      <c r="B306" s="278">
        <v>46118</v>
      </c>
      <c r="E306" s="12">
        <v>1717.6</v>
      </c>
      <c r="H306" s="21">
        <f t="shared" si="147"/>
        <v>98.593651340336379</v>
      </c>
      <c r="K306" s="12">
        <v>66948.899999999994</v>
      </c>
      <c r="N306" s="131">
        <f t="shared" si="148"/>
        <v>90.81231492193605</v>
      </c>
      <c r="T306" s="278">
        <v>46122</v>
      </c>
      <c r="W306" s="170">
        <v>34.6843</v>
      </c>
    </row>
    <row r="307" spans="2:23" x14ac:dyDescent="0.3">
      <c r="B307" s="278">
        <v>46114</v>
      </c>
      <c r="E307" s="12">
        <v>1748.8</v>
      </c>
      <c r="H307" s="21">
        <f t="shared" si="147"/>
        <v>100.38459330692842</v>
      </c>
      <c r="K307" s="12">
        <v>66360.28</v>
      </c>
      <c r="N307" s="131">
        <f t="shared" si="148"/>
        <v>90.013885899064135</v>
      </c>
      <c r="T307" s="278">
        <v>46121</v>
      </c>
      <c r="W307" s="170">
        <v>33.804400000000001</v>
      </c>
    </row>
    <row r="308" spans="2:23" x14ac:dyDescent="0.3">
      <c r="B308" s="278">
        <v>46113</v>
      </c>
      <c r="E308" s="12">
        <v>1728.8</v>
      </c>
      <c r="H308" s="21">
        <f t="shared" si="147"/>
        <v>99.236553584754034</v>
      </c>
      <c r="K308" s="12">
        <v>66360.149999999994</v>
      </c>
      <c r="N308" s="131">
        <f t="shared" si="148"/>
        <v>90.0137095615748</v>
      </c>
      <c r="T308" s="278">
        <v>46120</v>
      </c>
      <c r="W308" s="170">
        <v>33.209400000000002</v>
      </c>
    </row>
    <row r="309" spans="2:23" x14ac:dyDescent="0.3">
      <c r="B309" s="278">
        <v>46111</v>
      </c>
      <c r="E309" s="12">
        <v>1603.7</v>
      </c>
      <c r="H309" s="21">
        <f t="shared" si="147"/>
        <v>92.055565122553247</v>
      </c>
      <c r="K309" s="12">
        <v>64243.38</v>
      </c>
      <c r="N309" s="131">
        <f t="shared" si="148"/>
        <v>87.142433351550338</v>
      </c>
      <c r="T309" s="278">
        <v>46119</v>
      </c>
      <c r="W309" s="170">
        <v>31.5258</v>
      </c>
    </row>
    <row r="310" spans="2:23" x14ac:dyDescent="0.3">
      <c r="B310" s="278">
        <v>46108</v>
      </c>
      <c r="E310" s="12">
        <v>1672.8</v>
      </c>
      <c r="H310" s="21">
        <f t="shared" si="147"/>
        <v>96.022042362665744</v>
      </c>
      <c r="K310" s="12">
        <v>65702.59</v>
      </c>
      <c r="N310" s="131">
        <f t="shared" si="148"/>
        <v>89.121767411665417</v>
      </c>
      <c r="T310" s="278">
        <v>46118</v>
      </c>
      <c r="W310" s="170">
        <v>31.161100000000001</v>
      </c>
    </row>
    <row r="311" spans="2:23" x14ac:dyDescent="0.3">
      <c r="B311" s="278">
        <v>46106</v>
      </c>
      <c r="E311" s="12">
        <v>1714.8</v>
      </c>
      <c r="H311" s="21">
        <f t="shared" si="147"/>
        <v>98.432925779231965</v>
      </c>
      <c r="K311" s="12">
        <v>67232.94</v>
      </c>
      <c r="N311" s="131">
        <f t="shared" si="148"/>
        <v>91.197598771714439</v>
      </c>
      <c r="T311" s="278">
        <v>46115</v>
      </c>
      <c r="W311" s="170"/>
    </row>
    <row r="312" spans="2:23" x14ac:dyDescent="0.3">
      <c r="B312" s="278">
        <v>46105</v>
      </c>
      <c r="E312" s="12">
        <v>1650.1</v>
      </c>
      <c r="H312" s="21">
        <f t="shared" si="147"/>
        <v>94.719017277997821</v>
      </c>
      <c r="K312" s="12">
        <v>65886.720000000001</v>
      </c>
      <c r="N312" s="131">
        <f t="shared" si="148"/>
        <v>89.371529118677429</v>
      </c>
      <c r="T312" s="278">
        <v>46114</v>
      </c>
      <c r="W312" s="170">
        <v>31.7271</v>
      </c>
    </row>
    <row r="313" spans="2:23" x14ac:dyDescent="0.3">
      <c r="B313" s="278">
        <v>46104</v>
      </c>
      <c r="E313" s="12">
        <v>1507.7</v>
      </c>
      <c r="H313" s="21">
        <f t="shared" si="147"/>
        <v>86.544974456116179</v>
      </c>
      <c r="K313" s="12">
        <v>64657.74</v>
      </c>
      <c r="N313" s="131">
        <f t="shared" si="148"/>
        <v>87.704488752177596</v>
      </c>
      <c r="T313" s="278">
        <v>46113</v>
      </c>
      <c r="W313" s="170">
        <v>31.3643</v>
      </c>
    </row>
    <row r="314" spans="2:23" x14ac:dyDescent="0.3">
      <c r="B314" s="278">
        <v>46101</v>
      </c>
      <c r="E314" s="12">
        <v>1588.2</v>
      </c>
      <c r="H314" s="21">
        <f t="shared" si="147"/>
        <v>91.165834337868105</v>
      </c>
      <c r="K314" s="12">
        <v>67344.39</v>
      </c>
      <c r="N314" s="131">
        <f t="shared" si="148"/>
        <v>91.348774257764987</v>
      </c>
      <c r="T314" s="278">
        <v>46112</v>
      </c>
      <c r="W314" s="170"/>
    </row>
    <row r="315" spans="2:23" x14ac:dyDescent="0.3">
      <c r="B315" s="278">
        <v>46100</v>
      </c>
      <c r="E315" s="12">
        <v>1632.6</v>
      </c>
      <c r="H315" s="21">
        <f t="shared" si="147"/>
        <v>93.714482521095235</v>
      </c>
      <c r="K315" s="12">
        <v>67220.460000000006</v>
      </c>
      <c r="N315" s="131">
        <f t="shared" si="148"/>
        <v>91.18067037273812</v>
      </c>
      <c r="T315" s="278">
        <v>46111</v>
      </c>
      <c r="W315" s="170">
        <v>29.0947</v>
      </c>
    </row>
    <row r="316" spans="2:23" x14ac:dyDescent="0.3">
      <c r="B316" s="278">
        <v>46099</v>
      </c>
      <c r="E316" s="12">
        <v>1658.2</v>
      </c>
      <c r="H316" s="21">
        <f t="shared" si="147"/>
        <v>95.183973365478465</v>
      </c>
      <c r="K316" s="12">
        <v>69213.42</v>
      </c>
      <c r="N316" s="131">
        <f t="shared" si="148"/>
        <v>93.884005470802776</v>
      </c>
      <c r="T316" s="278">
        <v>46108</v>
      </c>
      <c r="W316" s="170">
        <v>28.232900000000001</v>
      </c>
    </row>
    <row r="317" spans="2:23" x14ac:dyDescent="0.3">
      <c r="B317" s="278">
        <v>46098</v>
      </c>
      <c r="E317" s="12">
        <v>1544.8</v>
      </c>
      <c r="H317" s="21">
        <f t="shared" si="147"/>
        <v>88.674588140749677</v>
      </c>
      <c r="K317" s="12">
        <v>67943.61</v>
      </c>
      <c r="N317" s="131">
        <f t="shared" si="148"/>
        <v>92.161581568228968</v>
      </c>
      <c r="T317" s="278">
        <v>46107</v>
      </c>
      <c r="W317" s="170"/>
    </row>
    <row r="318" spans="2:23" x14ac:dyDescent="0.3">
      <c r="B318" s="278">
        <v>46097</v>
      </c>
      <c r="E318" s="12">
        <v>1504.8</v>
      </c>
      <c r="H318" s="21">
        <f t="shared" si="147"/>
        <v>86.3785086964009</v>
      </c>
      <c r="K318" s="12">
        <v>67007.19</v>
      </c>
      <c r="N318" s="131">
        <f t="shared" si="148"/>
        <v>90.891381939270175</v>
      </c>
      <c r="T318" s="278">
        <v>46106</v>
      </c>
      <c r="W318" s="170">
        <v>28.941800000000001</v>
      </c>
    </row>
    <row r="319" spans="2:23" x14ac:dyDescent="0.3">
      <c r="B319" s="278">
        <v>46094</v>
      </c>
      <c r="E319" s="12">
        <v>1521.8</v>
      </c>
      <c r="H319" s="21">
        <f t="shared" si="147"/>
        <v>87.354342460249129</v>
      </c>
      <c r="K319" s="12">
        <v>67620.2</v>
      </c>
      <c r="N319" s="131">
        <f t="shared" si="148"/>
        <v>91.722894588026108</v>
      </c>
      <c r="T319" s="278">
        <v>46105</v>
      </c>
      <c r="W319" s="170">
        <v>27.849799999999998</v>
      </c>
    </row>
    <row r="320" spans="2:23" x14ac:dyDescent="0.3">
      <c r="B320" s="278">
        <v>46093</v>
      </c>
      <c r="E320" s="12">
        <v>1556.6</v>
      </c>
      <c r="H320" s="21">
        <f t="shared" si="147"/>
        <v>89.351931576832555</v>
      </c>
      <c r="K320" s="12">
        <v>69704.67</v>
      </c>
      <c r="N320" s="131">
        <f t="shared" si="148"/>
        <v>94.550357714161535</v>
      </c>
      <c r="T320" s="278">
        <v>46104</v>
      </c>
      <c r="W320" s="170">
        <v>25.446400000000001</v>
      </c>
    </row>
    <row r="321" spans="2:23" x14ac:dyDescent="0.3">
      <c r="B321" s="278">
        <v>46092</v>
      </c>
      <c r="E321" s="12">
        <v>1527.3</v>
      </c>
      <c r="H321" s="21">
        <f t="shared" si="147"/>
        <v>87.670053383847076</v>
      </c>
      <c r="K321" s="12">
        <v>69323.22</v>
      </c>
      <c r="N321" s="131">
        <f t="shared" si="148"/>
        <v>94.032942827180989</v>
      </c>
      <c r="T321" s="278">
        <v>46101</v>
      </c>
      <c r="W321" s="170">
        <v>26.805099999999999</v>
      </c>
    </row>
    <row r="322" spans="2:23" x14ac:dyDescent="0.3">
      <c r="B322" s="278">
        <v>46091</v>
      </c>
      <c r="E322" s="12">
        <v>1498.4</v>
      </c>
      <c r="H322" s="21">
        <f t="shared" si="147"/>
        <v>86.011135985305103</v>
      </c>
      <c r="K322" s="12">
        <v>70054.289999999994</v>
      </c>
      <c r="N322" s="131">
        <f t="shared" si="148"/>
        <v>95.024597045099114</v>
      </c>
      <c r="T322" s="278">
        <v>46100</v>
      </c>
      <c r="W322" s="170">
        <v>27.554400000000001</v>
      </c>
    </row>
    <row r="323" spans="2:23" x14ac:dyDescent="0.3">
      <c r="B323" s="278">
        <v>46090</v>
      </c>
      <c r="E323" s="12">
        <v>1449.6</v>
      </c>
      <c r="H323" s="21">
        <f t="shared" si="147"/>
        <v>83.209919063199592</v>
      </c>
      <c r="K323" s="12">
        <v>69098.31</v>
      </c>
      <c r="N323" s="131">
        <f t="shared" si="148"/>
        <v>93.727865406206291</v>
      </c>
      <c r="T323" s="278">
        <v>46099</v>
      </c>
      <c r="W323" s="170">
        <v>27.986499999999999</v>
      </c>
    </row>
    <row r="324" spans="2:23" x14ac:dyDescent="0.3">
      <c r="B324" s="278">
        <v>46087</v>
      </c>
      <c r="E324" s="12">
        <v>1479.2</v>
      </c>
      <c r="H324" s="21">
        <f t="shared" si="147"/>
        <v>84.909017852017683</v>
      </c>
      <c r="K324" s="12">
        <v>70618.460000000006</v>
      </c>
      <c r="N324" s="131">
        <f t="shared" si="148"/>
        <v>95.789861055553502</v>
      </c>
      <c r="T324" s="278">
        <v>46098</v>
      </c>
      <c r="W324" s="170">
        <v>26.072600000000001</v>
      </c>
    </row>
    <row r="325" spans="2:23" x14ac:dyDescent="0.3">
      <c r="B325" s="278">
        <v>46086</v>
      </c>
      <c r="E325" s="12">
        <v>1461.1</v>
      </c>
      <c r="H325" s="21">
        <f t="shared" si="147"/>
        <v>83.870041903449859</v>
      </c>
      <c r="K325" s="12">
        <v>69709.56</v>
      </c>
      <c r="N325" s="131">
        <f t="shared" si="148"/>
        <v>94.556990716645046</v>
      </c>
      <c r="T325" s="278">
        <v>46097</v>
      </c>
      <c r="W325" s="170">
        <v>25.397500000000001</v>
      </c>
    </row>
    <row r="326" spans="2:23" x14ac:dyDescent="0.3">
      <c r="B326" s="278">
        <v>46085</v>
      </c>
      <c r="E326" s="12">
        <v>1490.2</v>
      </c>
      <c r="H326" s="21">
        <f t="shared" si="147"/>
        <v>85.540439699213593</v>
      </c>
      <c r="K326" s="12">
        <v>68146.84</v>
      </c>
      <c r="N326" s="131">
        <f t="shared" si="148"/>
        <v>92.437251321751205</v>
      </c>
      <c r="T326" s="278">
        <v>46094</v>
      </c>
      <c r="W326" s="170">
        <v>25.6844</v>
      </c>
    </row>
    <row r="327" spans="2:23" x14ac:dyDescent="0.3">
      <c r="B327" s="278">
        <v>46083</v>
      </c>
      <c r="E327" s="12">
        <v>1557.8</v>
      </c>
      <c r="H327" s="21">
        <f t="shared" si="147"/>
        <v>89.420813960163031</v>
      </c>
      <c r="K327" s="12">
        <v>69993.72</v>
      </c>
      <c r="N327" s="131">
        <f t="shared" si="148"/>
        <v>94.942437339490496</v>
      </c>
      <c r="T327" s="278">
        <v>46093</v>
      </c>
      <c r="W327" s="170">
        <v>26.271699999999999</v>
      </c>
    </row>
    <row r="328" spans="2:23" x14ac:dyDescent="0.3">
      <c r="B328" s="278">
        <v>46080</v>
      </c>
      <c r="E328" s="12">
        <v>1571.2</v>
      </c>
      <c r="H328" s="21">
        <f t="shared" si="147"/>
        <v>90.190000574019862</v>
      </c>
      <c r="K328" s="12">
        <v>70454.47</v>
      </c>
      <c r="N328" s="131">
        <f t="shared" si="148"/>
        <v>95.567418094966413</v>
      </c>
      <c r="T328" s="278">
        <v>46092</v>
      </c>
      <c r="W328" s="170">
        <v>25.777200000000001</v>
      </c>
    </row>
    <row r="329" spans="2:23" x14ac:dyDescent="0.3">
      <c r="B329" s="278">
        <v>46079</v>
      </c>
      <c r="E329" s="12">
        <v>1613.3</v>
      </c>
      <c r="H329" s="21">
        <f t="shared" si="147"/>
        <v>92.60662418919695</v>
      </c>
      <c r="K329" s="12">
        <v>70804.27</v>
      </c>
      <c r="N329" s="131">
        <f t="shared" si="148"/>
        <v>96.041901585504633</v>
      </c>
      <c r="T329" s="278">
        <v>46091</v>
      </c>
      <c r="W329" s="170">
        <v>25.2895</v>
      </c>
    </row>
    <row r="330" spans="2:23" x14ac:dyDescent="0.3">
      <c r="B330" s="278">
        <v>46078</v>
      </c>
      <c r="E330" s="12">
        <v>1586.2</v>
      </c>
      <c r="H330" s="21">
        <f t="shared" si="147"/>
        <v>91.051030365650661</v>
      </c>
      <c r="K330" s="12">
        <v>70188.31</v>
      </c>
      <c r="N330" s="131">
        <f t="shared" si="148"/>
        <v>95.206387432182964</v>
      </c>
      <c r="T330" s="278">
        <v>46090</v>
      </c>
      <c r="W330" s="170">
        <v>24.465800000000002</v>
      </c>
    </row>
    <row r="331" spans="2:23" x14ac:dyDescent="0.3">
      <c r="B331" s="278">
        <v>46077</v>
      </c>
      <c r="E331" s="12">
        <v>1630.6</v>
      </c>
      <c r="H331" s="21">
        <f t="shared" si="147"/>
        <v>93.59967854887779</v>
      </c>
      <c r="K331" s="12">
        <v>69999.429999999993</v>
      </c>
      <c r="N331" s="131">
        <f t="shared" si="148"/>
        <v>94.950182624599037</v>
      </c>
      <c r="T331" s="278">
        <v>46087</v>
      </c>
      <c r="W331" s="170">
        <v>24.965399999999999</v>
      </c>
    </row>
    <row r="332" spans="2:23" x14ac:dyDescent="0.3">
      <c r="B332" s="278">
        <v>46076</v>
      </c>
      <c r="E332" s="12">
        <v>1729.5</v>
      </c>
      <c r="H332" s="21">
        <f t="shared" ref="H332:H395" si="149">(E332/$E$762)*100</f>
        <v>99.276734975030152</v>
      </c>
      <c r="K332" s="12">
        <v>69774.05</v>
      </c>
      <c r="N332" s="131">
        <f t="shared" ref="N332:N395" si="150">(K332/$K$762)*100</f>
        <v>94.644467675778301</v>
      </c>
      <c r="T332" s="278">
        <v>46086</v>
      </c>
      <c r="W332" s="170">
        <v>24.6599</v>
      </c>
    </row>
    <row r="333" spans="2:23" x14ac:dyDescent="0.3">
      <c r="B333" s="278">
        <v>46073</v>
      </c>
      <c r="E333" s="12">
        <v>1700.5</v>
      </c>
      <c r="H333" s="21">
        <f t="shared" si="149"/>
        <v>97.612077377877284</v>
      </c>
      <c r="K333" s="12">
        <v>69612.86</v>
      </c>
      <c r="N333" s="131">
        <f t="shared" si="150"/>
        <v>94.425822753423077</v>
      </c>
      <c r="T333" s="278">
        <v>46085</v>
      </c>
      <c r="W333" s="170">
        <v>25.1511</v>
      </c>
    </row>
    <row r="334" spans="2:23" x14ac:dyDescent="0.3">
      <c r="B334" s="278">
        <v>46072</v>
      </c>
      <c r="E334" s="12">
        <v>1728.4</v>
      </c>
      <c r="H334" s="21">
        <f t="shared" si="149"/>
        <v>99.213592790310557</v>
      </c>
      <c r="K334" s="12">
        <v>68578.350000000006</v>
      </c>
      <c r="N334" s="131">
        <f t="shared" si="150"/>
        <v>93.022569706548651</v>
      </c>
      <c r="T334" s="278">
        <v>46084</v>
      </c>
      <c r="W334" s="170"/>
    </row>
    <row r="335" spans="2:23" x14ac:dyDescent="0.3">
      <c r="B335" s="278">
        <v>46071</v>
      </c>
      <c r="E335" s="12">
        <v>1798.3</v>
      </c>
      <c r="H335" s="21">
        <f t="shared" si="149"/>
        <v>103.22599161931004</v>
      </c>
      <c r="K335" s="12">
        <v>70104.62</v>
      </c>
      <c r="N335" s="131">
        <f t="shared" si="150"/>
        <v>95.092866782316918</v>
      </c>
      <c r="T335" s="278">
        <v>46083</v>
      </c>
      <c r="W335" s="170">
        <v>26.292000000000002</v>
      </c>
    </row>
    <row r="336" spans="2:23" x14ac:dyDescent="0.3">
      <c r="B336" s="278">
        <v>46070</v>
      </c>
      <c r="E336" s="12">
        <v>1796.4</v>
      </c>
      <c r="H336" s="21">
        <f t="shared" si="149"/>
        <v>103.11692784570347</v>
      </c>
      <c r="K336" s="12">
        <v>69483.839999999997</v>
      </c>
      <c r="N336" s="131">
        <f t="shared" si="150"/>
        <v>94.250814577467551</v>
      </c>
      <c r="T336" s="278">
        <v>46080</v>
      </c>
      <c r="W336" s="170">
        <v>26.5181</v>
      </c>
    </row>
    <row r="337" spans="2:23" x14ac:dyDescent="0.3">
      <c r="B337" s="278">
        <v>46069</v>
      </c>
      <c r="E337" s="12">
        <v>1883.5</v>
      </c>
      <c r="H337" s="21">
        <f t="shared" si="149"/>
        <v>108.11664083577293</v>
      </c>
      <c r="K337" s="12">
        <v>68957.070000000007</v>
      </c>
      <c r="N337" s="131">
        <f t="shared" si="150"/>
        <v>93.536281506253133</v>
      </c>
      <c r="T337" s="278">
        <v>46079</v>
      </c>
      <c r="W337" s="170">
        <v>27.2287</v>
      </c>
    </row>
    <row r="338" spans="2:23" x14ac:dyDescent="0.3">
      <c r="B338" s="278">
        <v>46066</v>
      </c>
      <c r="E338" s="12">
        <v>1984.5</v>
      </c>
      <c r="H338" s="21">
        <f t="shared" si="149"/>
        <v>113.91424143275357</v>
      </c>
      <c r="K338" s="12">
        <v>68243.17</v>
      </c>
      <c r="N338" s="131">
        <f t="shared" si="150"/>
        <v>92.567917401349675</v>
      </c>
      <c r="T338" s="278">
        <v>46078</v>
      </c>
      <c r="W338" s="170">
        <v>26.7713</v>
      </c>
    </row>
    <row r="339" spans="2:23" x14ac:dyDescent="0.3">
      <c r="B339" s="278">
        <v>46065</v>
      </c>
      <c r="E339" s="12">
        <v>2046.4</v>
      </c>
      <c r="H339" s="21">
        <f t="shared" si="149"/>
        <v>117.46742437288331</v>
      </c>
      <c r="K339" s="12">
        <v>69045.33</v>
      </c>
      <c r="N339" s="131">
        <f t="shared" si="150"/>
        <v>93.656001097090467</v>
      </c>
      <c r="T339" s="278">
        <v>46077</v>
      </c>
      <c r="W339" s="170">
        <v>27.520700000000001</v>
      </c>
    </row>
    <row r="340" spans="2:23" x14ac:dyDescent="0.3">
      <c r="B340" s="278">
        <v>46064</v>
      </c>
      <c r="E340" s="12">
        <v>2081.1999999999998</v>
      </c>
      <c r="H340" s="21">
        <f t="shared" si="149"/>
        <v>119.46501348946671</v>
      </c>
      <c r="K340" s="12">
        <v>68997.95</v>
      </c>
      <c r="N340" s="131">
        <f t="shared" si="150"/>
        <v>93.59173286443837</v>
      </c>
      <c r="T340" s="278">
        <v>46076</v>
      </c>
      <c r="W340" s="170">
        <v>29.189900000000002</v>
      </c>
    </row>
    <row r="341" spans="2:23" x14ac:dyDescent="0.3">
      <c r="B341" s="278">
        <v>46063</v>
      </c>
      <c r="E341" s="12">
        <v>2115.5</v>
      </c>
      <c r="H341" s="21">
        <f t="shared" si="149"/>
        <v>121.43390161299581</v>
      </c>
      <c r="K341" s="12">
        <v>68974.98</v>
      </c>
      <c r="N341" s="131">
        <f t="shared" si="150"/>
        <v>93.560575386514813</v>
      </c>
      <c r="T341" s="278">
        <v>46073</v>
      </c>
      <c r="W341" s="170">
        <v>28.700399999999998</v>
      </c>
    </row>
    <row r="342" spans="2:23" x14ac:dyDescent="0.3">
      <c r="B342" s="278">
        <v>46062</v>
      </c>
      <c r="E342" s="12">
        <v>2019.3</v>
      </c>
      <c r="H342" s="21">
        <f t="shared" si="149"/>
        <v>115.911830549337</v>
      </c>
      <c r="K342" s="12">
        <v>69035.42</v>
      </c>
      <c r="N342" s="131">
        <f t="shared" si="150"/>
        <v>93.642558754634109</v>
      </c>
      <c r="T342" s="278">
        <v>46072</v>
      </c>
      <c r="W342" s="170">
        <v>29.171299999999999</v>
      </c>
    </row>
    <row r="343" spans="2:23" x14ac:dyDescent="0.3">
      <c r="B343" s="278">
        <v>46059</v>
      </c>
      <c r="E343" s="12">
        <v>1933.7</v>
      </c>
      <c r="H343" s="21">
        <f t="shared" si="149"/>
        <v>110.99822053843064</v>
      </c>
      <c r="K343" s="12">
        <v>67752.3</v>
      </c>
      <c r="N343" s="131">
        <f t="shared" si="150"/>
        <v>91.902080606036691</v>
      </c>
      <c r="T343" s="278">
        <v>46071</v>
      </c>
      <c r="W343" s="170">
        <v>30.351099999999999</v>
      </c>
    </row>
    <row r="344" spans="2:23" x14ac:dyDescent="0.3">
      <c r="B344" s="278">
        <v>46058</v>
      </c>
      <c r="E344" s="12">
        <v>1900.4</v>
      </c>
      <c r="H344" s="21">
        <f t="shared" si="149"/>
        <v>109.08673440101029</v>
      </c>
      <c r="K344" s="12">
        <v>67479.009999999995</v>
      </c>
      <c r="N344" s="131">
        <f t="shared" si="150"/>
        <v>91.531378510184226</v>
      </c>
      <c r="T344" s="278">
        <v>46070</v>
      </c>
      <c r="W344" s="170">
        <v>30.318999999999999</v>
      </c>
    </row>
    <row r="345" spans="2:23" x14ac:dyDescent="0.3">
      <c r="B345" s="278">
        <v>46057</v>
      </c>
      <c r="E345" s="12">
        <v>1938.2</v>
      </c>
      <c r="H345" s="21">
        <f t="shared" si="149"/>
        <v>111.25652947591989</v>
      </c>
      <c r="K345" s="12">
        <v>68205.66</v>
      </c>
      <c r="N345" s="131">
        <f t="shared" si="150"/>
        <v>92.517037253464935</v>
      </c>
      <c r="T345" s="278">
        <v>46069</v>
      </c>
      <c r="W345" s="170">
        <v>31.789000000000001</v>
      </c>
    </row>
    <row r="346" spans="2:23" x14ac:dyDescent="0.3">
      <c r="B346" s="278">
        <v>46056</v>
      </c>
      <c r="E346" s="12">
        <v>2072</v>
      </c>
      <c r="H346" s="21">
        <f t="shared" si="149"/>
        <v>118.93691521726653</v>
      </c>
      <c r="K346" s="12">
        <v>68093.03</v>
      </c>
      <c r="N346" s="131">
        <f t="shared" si="150"/>
        <v>92.364261165588076</v>
      </c>
      <c r="T346" s="278">
        <v>46066</v>
      </c>
      <c r="W346" s="170">
        <v>33.493699999999997</v>
      </c>
    </row>
    <row r="347" spans="2:23" x14ac:dyDescent="0.3">
      <c r="B347" s="278">
        <v>46055</v>
      </c>
      <c r="E347" s="12">
        <v>1776.6</v>
      </c>
      <c r="H347" s="21">
        <f t="shared" si="149"/>
        <v>101.9803685207508</v>
      </c>
      <c r="K347" s="12">
        <v>65659.56</v>
      </c>
      <c r="N347" s="131">
        <f t="shared" si="150"/>
        <v>89.063399702694994</v>
      </c>
      <c r="T347" s="278">
        <v>46065</v>
      </c>
      <c r="W347" s="170">
        <v>34.538400000000003</v>
      </c>
    </row>
    <row r="348" spans="2:23" x14ac:dyDescent="0.3">
      <c r="B348" s="278">
        <v>46054</v>
      </c>
      <c r="E348" s="12">
        <v>1757.4</v>
      </c>
      <c r="H348" s="21">
        <f t="shared" si="149"/>
        <v>100.87825038746341</v>
      </c>
      <c r="K348" s="12">
        <v>64655.41</v>
      </c>
      <c r="N348" s="131">
        <f t="shared" si="150"/>
        <v>87.701328241791799</v>
      </c>
      <c r="T348" s="278">
        <v>46064</v>
      </c>
      <c r="W348" s="170">
        <v>35.125700000000002</v>
      </c>
    </row>
    <row r="349" spans="2:23" x14ac:dyDescent="0.3">
      <c r="B349" s="278">
        <v>46052</v>
      </c>
      <c r="E349" s="12">
        <v>1771.2</v>
      </c>
      <c r="H349" s="21">
        <f t="shared" si="149"/>
        <v>101.67039779576375</v>
      </c>
      <c r="K349" s="12">
        <v>66666.73</v>
      </c>
      <c r="N349" s="131">
        <f t="shared" si="150"/>
        <v>90.429567619119695</v>
      </c>
      <c r="T349" s="278">
        <v>46063</v>
      </c>
      <c r="W349" s="170">
        <v>35.704599999999999</v>
      </c>
    </row>
    <row r="350" spans="2:23" x14ac:dyDescent="0.3">
      <c r="B350" s="278">
        <v>46051</v>
      </c>
      <c r="E350" s="12">
        <v>1731.3</v>
      </c>
      <c r="H350" s="21">
        <f t="shared" si="149"/>
        <v>99.380058550025836</v>
      </c>
      <c r="K350" s="12">
        <v>66005.56</v>
      </c>
      <c r="N350" s="131">
        <f t="shared" si="150"/>
        <v>89.532728712775651</v>
      </c>
      <c r="T350" s="278">
        <v>46062</v>
      </c>
      <c r="W350" s="170">
        <v>34.081000000000003</v>
      </c>
    </row>
    <row r="351" spans="2:23" x14ac:dyDescent="0.3">
      <c r="B351" s="278">
        <v>46050</v>
      </c>
      <c r="E351" s="12">
        <v>1781.7</v>
      </c>
      <c r="H351" s="21">
        <f t="shared" si="149"/>
        <v>102.27311864990529</v>
      </c>
      <c r="K351" s="12">
        <v>65596.27</v>
      </c>
      <c r="N351" s="131">
        <f t="shared" si="150"/>
        <v>88.977550474232544</v>
      </c>
      <c r="T351" s="278">
        <v>46059</v>
      </c>
      <c r="W351" s="170">
        <v>32.636299999999999</v>
      </c>
    </row>
    <row r="352" spans="2:23" x14ac:dyDescent="0.3">
      <c r="B352" s="278">
        <v>46049</v>
      </c>
      <c r="E352" s="12">
        <v>1731.6</v>
      </c>
      <c r="H352" s="21">
        <f t="shared" si="149"/>
        <v>99.397279145858448</v>
      </c>
      <c r="K352" s="12">
        <v>62280.26</v>
      </c>
      <c r="N352" s="131">
        <f t="shared" si="150"/>
        <v>84.479574489499569</v>
      </c>
      <c r="T352" s="278">
        <v>46058</v>
      </c>
      <c r="W352" s="170">
        <v>32.074300000000001</v>
      </c>
    </row>
    <row r="353" spans="2:23" x14ac:dyDescent="0.3">
      <c r="B353" s="278">
        <v>46045</v>
      </c>
      <c r="E353" s="12">
        <v>1820</v>
      </c>
      <c r="H353" s="21">
        <f t="shared" si="149"/>
        <v>104.47161471786926</v>
      </c>
      <c r="K353" s="12">
        <v>61781.41</v>
      </c>
      <c r="N353" s="131">
        <f t="shared" si="150"/>
        <v>83.802913285225756</v>
      </c>
      <c r="T353" s="278">
        <v>46057</v>
      </c>
      <c r="W353" s="170">
        <v>32.712200000000003</v>
      </c>
    </row>
    <row r="354" spans="2:23" x14ac:dyDescent="0.3">
      <c r="B354" s="278">
        <v>46044</v>
      </c>
      <c r="E354" s="12">
        <v>1875.3</v>
      </c>
      <c r="H354" s="21">
        <f t="shared" si="149"/>
        <v>107.64594454968142</v>
      </c>
      <c r="K354" s="12">
        <v>63102.400000000001</v>
      </c>
      <c r="N354" s="131">
        <f t="shared" si="150"/>
        <v>85.594759900909182</v>
      </c>
      <c r="T354" s="278">
        <v>46056</v>
      </c>
      <c r="W354" s="170">
        <v>34.970500000000001</v>
      </c>
    </row>
    <row r="355" spans="2:23" x14ac:dyDescent="0.3">
      <c r="B355" s="278">
        <v>46043</v>
      </c>
      <c r="E355" s="12">
        <v>1838</v>
      </c>
      <c r="H355" s="21">
        <f t="shared" si="149"/>
        <v>105.50485046782619</v>
      </c>
      <c r="K355" s="12">
        <v>61846.94</v>
      </c>
      <c r="N355" s="131">
        <f t="shared" si="150"/>
        <v>83.891800944273683</v>
      </c>
      <c r="T355" s="278">
        <v>46055</v>
      </c>
      <c r="W355" s="170">
        <v>29.9848</v>
      </c>
    </row>
    <row r="356" spans="2:23" x14ac:dyDescent="0.3">
      <c r="B356" s="278">
        <v>46042</v>
      </c>
      <c r="E356" s="12">
        <v>1969.3</v>
      </c>
      <c r="H356" s="21">
        <f t="shared" si="149"/>
        <v>113.04173124390104</v>
      </c>
      <c r="K356" s="12">
        <v>62420.06</v>
      </c>
      <c r="N356" s="131">
        <f t="shared" si="150"/>
        <v>84.669205112647774</v>
      </c>
      <c r="T356" s="278">
        <v>46054</v>
      </c>
      <c r="W356" s="170">
        <v>29.660799999999998</v>
      </c>
    </row>
    <row r="357" spans="2:23" x14ac:dyDescent="0.3">
      <c r="B357" s="278">
        <v>46041</v>
      </c>
      <c r="E357" s="12">
        <v>1986.9</v>
      </c>
      <c r="H357" s="21">
        <f t="shared" si="149"/>
        <v>114.05200619941451</v>
      </c>
      <c r="K357" s="12">
        <v>64188.99</v>
      </c>
      <c r="N357" s="131">
        <f t="shared" si="150"/>
        <v>87.068656458896328</v>
      </c>
      <c r="T357" s="278">
        <v>46052</v>
      </c>
      <c r="W357" s="170">
        <v>29.893699999999999</v>
      </c>
    </row>
    <row r="358" spans="2:23" x14ac:dyDescent="0.3">
      <c r="B358" s="278">
        <v>46038</v>
      </c>
      <c r="E358" s="12">
        <v>1972.7</v>
      </c>
      <c r="H358" s="21">
        <f t="shared" si="149"/>
        <v>113.23689799667069</v>
      </c>
      <c r="K358" s="12">
        <v>63952.45</v>
      </c>
      <c r="N358" s="131">
        <f t="shared" si="150"/>
        <v>86.747803614837139</v>
      </c>
      <c r="T358" s="278">
        <v>46051</v>
      </c>
      <c r="W358" s="170">
        <v>29.220300000000002</v>
      </c>
    </row>
    <row r="359" spans="2:23" x14ac:dyDescent="0.3">
      <c r="B359" s="278">
        <v>46036</v>
      </c>
      <c r="E359" s="12">
        <v>2001.9</v>
      </c>
      <c r="H359" s="21">
        <f t="shared" si="149"/>
        <v>114.91303599104529</v>
      </c>
      <c r="K359" s="12">
        <v>64746.36</v>
      </c>
      <c r="N359" s="131">
        <f t="shared" si="150"/>
        <v>87.824696662216169</v>
      </c>
      <c r="T359" s="278">
        <v>46050</v>
      </c>
      <c r="W359" s="170">
        <v>30.070900000000002</v>
      </c>
    </row>
    <row r="360" spans="2:23" x14ac:dyDescent="0.3">
      <c r="B360" s="278">
        <v>46035</v>
      </c>
      <c r="E360" s="12">
        <v>2056.4</v>
      </c>
      <c r="H360" s="21">
        <f t="shared" si="149"/>
        <v>118.04144423397051</v>
      </c>
      <c r="K360" s="12">
        <v>64611.74</v>
      </c>
      <c r="N360" s="131">
        <f t="shared" si="150"/>
        <v>87.64209240979693</v>
      </c>
      <c r="T360" s="278">
        <v>46049</v>
      </c>
      <c r="W360" s="170">
        <v>29.225300000000001</v>
      </c>
    </row>
    <row r="361" spans="2:23" x14ac:dyDescent="0.3">
      <c r="B361" s="278">
        <v>46034</v>
      </c>
      <c r="E361" s="12">
        <v>2120.4</v>
      </c>
      <c r="H361" s="21">
        <f t="shared" si="149"/>
        <v>121.71517134492855</v>
      </c>
      <c r="K361" s="12">
        <v>65047.92</v>
      </c>
      <c r="N361" s="131">
        <f t="shared" si="150"/>
        <v>88.233745379788218</v>
      </c>
      <c r="T361" s="278">
        <v>46048</v>
      </c>
      <c r="W361" s="170"/>
    </row>
    <row r="362" spans="2:23" x14ac:dyDescent="0.3">
      <c r="B362" s="278">
        <v>46031</v>
      </c>
      <c r="E362" s="12">
        <v>2163.6</v>
      </c>
      <c r="H362" s="21">
        <f t="shared" si="149"/>
        <v>124.19493714482522</v>
      </c>
      <c r="K362" s="12">
        <v>65582.69</v>
      </c>
      <c r="N362" s="131">
        <f t="shared" si="150"/>
        <v>88.959129988808002</v>
      </c>
      <c r="T362" s="278">
        <v>46045</v>
      </c>
      <c r="W362" s="170">
        <v>30.717300000000002</v>
      </c>
    </row>
    <row r="363" spans="2:23" x14ac:dyDescent="0.3">
      <c r="B363" s="278">
        <v>46030</v>
      </c>
      <c r="E363" s="12">
        <v>2200</v>
      </c>
      <c r="H363" s="21">
        <f t="shared" si="149"/>
        <v>126.2843694391826</v>
      </c>
      <c r="K363" s="12">
        <v>66267.649999999994</v>
      </c>
      <c r="N363" s="131">
        <f t="shared" si="150"/>
        <v>89.888238655700633</v>
      </c>
      <c r="T363" s="278">
        <v>46044</v>
      </c>
      <c r="W363" s="170">
        <v>31.650600000000001</v>
      </c>
    </row>
    <row r="364" spans="2:23" x14ac:dyDescent="0.3">
      <c r="B364" s="278">
        <v>46029</v>
      </c>
      <c r="E364" s="12">
        <v>2217.3000000000002</v>
      </c>
      <c r="H364" s="21">
        <f t="shared" si="149"/>
        <v>127.27742379886347</v>
      </c>
      <c r="K364" s="12">
        <v>67836.44</v>
      </c>
      <c r="N364" s="131">
        <f t="shared" si="150"/>
        <v>92.016211654904282</v>
      </c>
      <c r="T364" s="278">
        <v>46043</v>
      </c>
      <c r="W364" s="170">
        <v>31.021100000000001</v>
      </c>
    </row>
    <row r="365" spans="2:23" x14ac:dyDescent="0.3">
      <c r="B365" s="278">
        <v>46028</v>
      </c>
      <c r="E365" s="12">
        <v>2247.5</v>
      </c>
      <c r="H365" s="21">
        <f t="shared" si="149"/>
        <v>129.01096377934678</v>
      </c>
      <c r="K365" s="12">
        <v>67556.710000000006</v>
      </c>
      <c r="N365" s="131">
        <f t="shared" si="150"/>
        <v>91.636774071118538</v>
      </c>
      <c r="T365" s="278">
        <v>46042</v>
      </c>
      <c r="W365" s="170">
        <v>33.237099999999998</v>
      </c>
    </row>
    <row r="366" spans="2:23" x14ac:dyDescent="0.3">
      <c r="B366" s="278">
        <v>46027</v>
      </c>
      <c r="E366" s="12">
        <v>2249.5</v>
      </c>
      <c r="H366" s="21">
        <f t="shared" si="149"/>
        <v>129.12576775156421</v>
      </c>
      <c r="K366" s="12">
        <v>67987.759999999995</v>
      </c>
      <c r="N366" s="131">
        <f t="shared" si="150"/>
        <v>92.221468492492136</v>
      </c>
      <c r="T366" s="278">
        <v>46041</v>
      </c>
      <c r="W366" s="170">
        <v>33.534199999999998</v>
      </c>
    </row>
    <row r="367" spans="2:23" x14ac:dyDescent="0.3">
      <c r="B367" s="278">
        <v>46024</v>
      </c>
      <c r="E367" s="12">
        <v>2256.4</v>
      </c>
      <c r="H367" s="21">
        <f t="shared" si="149"/>
        <v>129.52184145571437</v>
      </c>
      <c r="K367" s="12">
        <v>67872.72</v>
      </c>
      <c r="N367" s="131">
        <f t="shared" si="150"/>
        <v>92.065423378851463</v>
      </c>
      <c r="T367" s="278">
        <v>46038</v>
      </c>
      <c r="W367" s="170">
        <v>33.294499999999999</v>
      </c>
    </row>
    <row r="368" spans="2:23" x14ac:dyDescent="0.3">
      <c r="B368" s="278">
        <v>46023</v>
      </c>
      <c r="E368" s="12">
        <v>2231.8000000000002</v>
      </c>
      <c r="H368" s="21">
        <f t="shared" si="149"/>
        <v>128.10975259743989</v>
      </c>
      <c r="K368" s="12">
        <v>67259.78</v>
      </c>
      <c r="N368" s="131">
        <f t="shared" si="150"/>
        <v>91.234005681051329</v>
      </c>
      <c r="T368" s="278">
        <v>46037</v>
      </c>
      <c r="W368" s="170"/>
    </row>
    <row r="369" spans="2:23" x14ac:dyDescent="0.3">
      <c r="B369" s="278">
        <v>46022</v>
      </c>
      <c r="E369" s="12">
        <v>2243.1</v>
      </c>
      <c r="H369" s="21">
        <f t="shared" si="149"/>
        <v>128.7583950404684</v>
      </c>
      <c r="K369" s="12">
        <v>67112</v>
      </c>
      <c r="N369" s="131">
        <f t="shared" si="150"/>
        <v>91.03355064894231</v>
      </c>
      <c r="T369" s="278">
        <v>46036</v>
      </c>
      <c r="W369" s="170">
        <v>33.787300000000002</v>
      </c>
    </row>
    <row r="370" spans="2:23" x14ac:dyDescent="0.3">
      <c r="B370" s="278">
        <v>46021</v>
      </c>
      <c r="E370" s="12">
        <v>2227.9</v>
      </c>
      <c r="H370" s="21">
        <f t="shared" si="149"/>
        <v>127.88588485161587</v>
      </c>
      <c r="K370" s="12">
        <v>66366.28</v>
      </c>
      <c r="N370" s="131">
        <f t="shared" si="150"/>
        <v>90.022024552418145</v>
      </c>
      <c r="T370" s="278">
        <v>46035</v>
      </c>
      <c r="W370" s="170">
        <v>34.7072</v>
      </c>
    </row>
    <row r="371" spans="2:23" x14ac:dyDescent="0.3">
      <c r="B371" s="278">
        <v>46020</v>
      </c>
      <c r="E371" s="12">
        <v>2246.6</v>
      </c>
      <c r="H371" s="21">
        <f t="shared" si="149"/>
        <v>128.95930199184892</v>
      </c>
      <c r="K371" s="12">
        <v>66665.39</v>
      </c>
      <c r="N371" s="131">
        <f t="shared" si="150"/>
        <v>90.427749986537307</v>
      </c>
      <c r="T371" s="278">
        <v>46034</v>
      </c>
      <c r="W371" s="170">
        <v>35.787300000000002</v>
      </c>
    </row>
    <row r="372" spans="2:23" x14ac:dyDescent="0.3">
      <c r="B372" s="278">
        <v>46017</v>
      </c>
      <c r="E372" s="12">
        <v>2223.9</v>
      </c>
      <c r="H372" s="21">
        <f t="shared" si="149"/>
        <v>127.656276907181</v>
      </c>
      <c r="K372" s="12">
        <v>67141.56</v>
      </c>
      <c r="N372" s="131">
        <f t="shared" si="150"/>
        <v>91.073647081133004</v>
      </c>
      <c r="T372" s="278">
        <v>46031</v>
      </c>
      <c r="W372" s="170">
        <v>36.516500000000001</v>
      </c>
    </row>
    <row r="373" spans="2:23" x14ac:dyDescent="0.3">
      <c r="B373" s="278">
        <v>46015</v>
      </c>
      <c r="E373" s="12">
        <v>2213.8000000000002</v>
      </c>
      <c r="H373" s="21">
        <f t="shared" si="149"/>
        <v>127.07651684748294</v>
      </c>
      <c r="K373" s="12">
        <v>67503.789999999994</v>
      </c>
      <c r="N373" s="131">
        <f t="shared" si="150"/>
        <v>91.564991148536251</v>
      </c>
      <c r="T373" s="278">
        <v>46030</v>
      </c>
      <c r="W373" s="170">
        <v>37.130800000000001</v>
      </c>
    </row>
    <row r="374" spans="2:23" x14ac:dyDescent="0.3">
      <c r="B374" s="278">
        <v>46014</v>
      </c>
      <c r="E374" s="12">
        <v>2205.1</v>
      </c>
      <c r="H374" s="21">
        <f t="shared" si="149"/>
        <v>126.57711956833705</v>
      </c>
      <c r="K374" s="12">
        <v>67644.25</v>
      </c>
      <c r="N374" s="131">
        <f t="shared" si="150"/>
        <v>91.755517023553395</v>
      </c>
      <c r="T374" s="278">
        <v>46029</v>
      </c>
      <c r="W374" s="170">
        <v>37.422800000000002</v>
      </c>
    </row>
    <row r="375" spans="2:23" x14ac:dyDescent="0.3">
      <c r="B375" s="278">
        <v>46013</v>
      </c>
      <c r="E375" s="12">
        <v>2214.8000000000002</v>
      </c>
      <c r="H375" s="21">
        <f t="shared" si="149"/>
        <v>127.13391883359166</v>
      </c>
      <c r="K375" s="12">
        <v>67631.679999999993</v>
      </c>
      <c r="N375" s="131">
        <f t="shared" si="150"/>
        <v>91.738466544776756</v>
      </c>
      <c r="T375" s="278">
        <v>46028</v>
      </c>
      <c r="W375" s="170">
        <v>37.932499999999997</v>
      </c>
    </row>
    <row r="376" spans="2:23" x14ac:dyDescent="0.3">
      <c r="B376" s="278">
        <v>46010</v>
      </c>
      <c r="E376" s="12">
        <v>2176.5</v>
      </c>
      <c r="H376" s="21">
        <f t="shared" si="149"/>
        <v>124.93542276562771</v>
      </c>
      <c r="K376" s="12">
        <v>66534.02</v>
      </c>
      <c r="N376" s="131">
        <f t="shared" si="150"/>
        <v>90.249554171351477</v>
      </c>
      <c r="T376" s="278">
        <v>46027</v>
      </c>
      <c r="W376" s="170">
        <v>37.966200000000001</v>
      </c>
    </row>
    <row r="377" spans="2:23" x14ac:dyDescent="0.3">
      <c r="B377" s="278">
        <v>46009</v>
      </c>
      <c r="E377" s="12">
        <v>2154.1</v>
      </c>
      <c r="H377" s="21">
        <f t="shared" si="149"/>
        <v>123.64961827679237</v>
      </c>
      <c r="K377" s="12">
        <v>65452.28</v>
      </c>
      <c r="N377" s="131">
        <f t="shared" si="150"/>
        <v>88.782236358158798</v>
      </c>
      <c r="T377" s="278">
        <v>46024</v>
      </c>
      <c r="W377" s="170">
        <v>38.082700000000003</v>
      </c>
    </row>
    <row r="378" spans="2:23" x14ac:dyDescent="0.3">
      <c r="B378" s="278">
        <v>46008</v>
      </c>
      <c r="E378" s="12">
        <v>2176.4</v>
      </c>
      <c r="H378" s="21">
        <f t="shared" si="149"/>
        <v>124.92968256701683</v>
      </c>
      <c r="K378" s="12">
        <v>65981.820000000007</v>
      </c>
      <c r="N378" s="131">
        <f t="shared" si="150"/>
        <v>89.50052677433834</v>
      </c>
      <c r="T378" s="278">
        <v>46023</v>
      </c>
      <c r="W378" s="170">
        <v>37.667499999999997</v>
      </c>
    </row>
    <row r="379" spans="2:23" x14ac:dyDescent="0.3">
      <c r="B379" s="278">
        <v>46007</v>
      </c>
      <c r="E379" s="12">
        <v>2202.4</v>
      </c>
      <c r="H379" s="21">
        <f t="shared" si="149"/>
        <v>126.42213420584353</v>
      </c>
      <c r="K379" s="12">
        <v>66618.399999999994</v>
      </c>
      <c r="N379" s="131">
        <f t="shared" si="150"/>
        <v>90.364010766353218</v>
      </c>
      <c r="T379" s="278">
        <v>46022</v>
      </c>
      <c r="W379" s="170">
        <v>37.858199999999997</v>
      </c>
    </row>
    <row r="380" spans="2:23" x14ac:dyDescent="0.3">
      <c r="B380" s="278">
        <v>46006</v>
      </c>
      <c r="E380" s="12">
        <v>2277.3000000000002</v>
      </c>
      <c r="H380" s="21">
        <f t="shared" si="149"/>
        <v>130.72154296538662</v>
      </c>
      <c r="K380" s="12">
        <v>66959.27</v>
      </c>
      <c r="N380" s="131">
        <f t="shared" si="150"/>
        <v>90.826381227816228</v>
      </c>
      <c r="T380" s="278">
        <v>46021</v>
      </c>
      <c r="W380" s="170">
        <v>37.601700000000001</v>
      </c>
    </row>
    <row r="381" spans="2:23" x14ac:dyDescent="0.3">
      <c r="B381" s="278">
        <v>46003</v>
      </c>
      <c r="E381" s="12">
        <v>2218.6</v>
      </c>
      <c r="H381" s="21">
        <f t="shared" si="149"/>
        <v>127.35204638080478</v>
      </c>
      <c r="K381" s="12">
        <v>66781.850000000006</v>
      </c>
      <c r="N381" s="131">
        <f t="shared" si="150"/>
        <v>90.585721248138455</v>
      </c>
      <c r="T381" s="278">
        <v>46020</v>
      </c>
      <c r="W381" s="170">
        <v>37.917299999999997</v>
      </c>
    </row>
    <row r="382" spans="2:23" x14ac:dyDescent="0.3">
      <c r="B382" s="278">
        <v>46002</v>
      </c>
      <c r="E382" s="12">
        <v>2220.4</v>
      </c>
      <c r="H382" s="21">
        <f t="shared" si="149"/>
        <v>127.45536995580049</v>
      </c>
      <c r="K382" s="12">
        <v>66273.78</v>
      </c>
      <c r="N382" s="131">
        <f t="shared" si="150"/>
        <v>89.896553646543978</v>
      </c>
      <c r="T382" s="278">
        <v>46017</v>
      </c>
      <c r="W382" s="170">
        <v>37.534199999999998</v>
      </c>
    </row>
    <row r="383" spans="2:23" x14ac:dyDescent="0.3">
      <c r="B383" s="278">
        <v>46001</v>
      </c>
      <c r="E383" s="12">
        <v>2200.6999999999998</v>
      </c>
      <c r="H383" s="21">
        <f t="shared" si="149"/>
        <v>126.3245508294587</v>
      </c>
      <c r="K383" s="12">
        <v>65909.02</v>
      </c>
      <c r="N383" s="131">
        <f t="shared" si="150"/>
        <v>89.4017777803098</v>
      </c>
      <c r="T383" s="278">
        <v>46016</v>
      </c>
      <c r="W383" s="170"/>
    </row>
    <row r="384" spans="2:23" x14ac:dyDescent="0.3">
      <c r="B384" s="278">
        <v>46000</v>
      </c>
      <c r="E384" s="12">
        <v>2218.4</v>
      </c>
      <c r="H384" s="21">
        <f t="shared" si="149"/>
        <v>127.34056598358305</v>
      </c>
      <c r="K384" s="12">
        <v>66564.929999999993</v>
      </c>
      <c r="N384" s="131">
        <f t="shared" si="150"/>
        <v>90.291481800546819</v>
      </c>
      <c r="T384" s="278">
        <v>46015</v>
      </c>
      <c r="W384" s="170">
        <v>37.363700000000001</v>
      </c>
    </row>
    <row r="385" spans="2:23" x14ac:dyDescent="0.3">
      <c r="B385" s="278">
        <v>45999</v>
      </c>
      <c r="E385" s="12">
        <v>2248.4</v>
      </c>
      <c r="H385" s="21">
        <f t="shared" si="149"/>
        <v>129.06262556684462</v>
      </c>
      <c r="K385" s="12">
        <v>65733.039999999994</v>
      </c>
      <c r="N385" s="131">
        <f t="shared" si="150"/>
        <v>89.163071077436967</v>
      </c>
      <c r="T385" s="278">
        <v>46014</v>
      </c>
      <c r="W385" s="170">
        <v>37.216900000000003</v>
      </c>
    </row>
    <row r="386" spans="2:23" x14ac:dyDescent="0.3">
      <c r="B386" s="278">
        <v>45996</v>
      </c>
      <c r="E386" s="12">
        <v>2184.4</v>
      </c>
      <c r="H386" s="21">
        <f t="shared" si="149"/>
        <v>125.38889845588659</v>
      </c>
      <c r="K386" s="12">
        <v>67647.37</v>
      </c>
      <c r="N386" s="131">
        <f t="shared" si="150"/>
        <v>91.759749123297468</v>
      </c>
      <c r="T386" s="278">
        <v>46013</v>
      </c>
      <c r="W386" s="170">
        <v>37.380600000000001</v>
      </c>
    </row>
    <row r="387" spans="2:23" x14ac:dyDescent="0.3">
      <c r="B387" s="278">
        <v>45995</v>
      </c>
      <c r="E387" s="12">
        <v>2211.6999999999998</v>
      </c>
      <c r="H387" s="21">
        <f t="shared" si="149"/>
        <v>126.95597267665461</v>
      </c>
      <c r="K387" s="12">
        <v>67933.240000000005</v>
      </c>
      <c r="N387" s="131">
        <f t="shared" si="150"/>
        <v>92.147515262348804</v>
      </c>
      <c r="T387" s="278">
        <v>46010</v>
      </c>
      <c r="W387" s="170">
        <v>36.734200000000001</v>
      </c>
    </row>
    <row r="388" spans="2:23" x14ac:dyDescent="0.3">
      <c r="B388" s="278">
        <v>45994</v>
      </c>
      <c r="E388" s="12">
        <v>2184.8000000000002</v>
      </c>
      <c r="H388" s="21">
        <f t="shared" si="149"/>
        <v>125.41185925033007</v>
      </c>
      <c r="K388" s="12">
        <v>68074.460000000006</v>
      </c>
      <c r="N388" s="131">
        <f t="shared" si="150"/>
        <v>92.33907203345747</v>
      </c>
      <c r="T388" s="278">
        <v>46009</v>
      </c>
      <c r="W388" s="170">
        <v>36.356099999999998</v>
      </c>
    </row>
    <row r="389" spans="2:23" x14ac:dyDescent="0.3">
      <c r="B389" s="278">
        <v>45993</v>
      </c>
      <c r="E389" s="12">
        <v>2230.6</v>
      </c>
      <c r="H389" s="21">
        <f t="shared" si="149"/>
        <v>128.04087021410942</v>
      </c>
      <c r="K389" s="12">
        <v>68980.36</v>
      </c>
      <c r="N389" s="131">
        <f t="shared" si="150"/>
        <v>93.567873045688899</v>
      </c>
      <c r="T389" s="278">
        <v>46008</v>
      </c>
      <c r="W389" s="170">
        <v>36.732500000000002</v>
      </c>
    </row>
    <row r="390" spans="2:23" x14ac:dyDescent="0.3">
      <c r="B390" s="278">
        <v>45992</v>
      </c>
      <c r="E390" s="12">
        <v>2257.4</v>
      </c>
      <c r="H390" s="21">
        <f t="shared" si="149"/>
        <v>129.57924344182311</v>
      </c>
      <c r="K390" s="12">
        <v>69237.14</v>
      </c>
      <c r="N390" s="131">
        <f t="shared" si="150"/>
        <v>93.916180280395594</v>
      </c>
      <c r="T390" s="278">
        <v>46007</v>
      </c>
      <c r="W390" s="170">
        <v>37.171300000000002</v>
      </c>
    </row>
    <row r="391" spans="2:23" x14ac:dyDescent="0.3">
      <c r="B391" s="278">
        <v>45989</v>
      </c>
      <c r="E391" s="12">
        <v>2259.8000000000002</v>
      </c>
      <c r="H391" s="21">
        <f t="shared" si="149"/>
        <v>129.71700820848403</v>
      </c>
      <c r="K391" s="12">
        <v>69208.59</v>
      </c>
      <c r="N391" s="131">
        <f t="shared" si="150"/>
        <v>93.877453854852803</v>
      </c>
      <c r="T391" s="278">
        <v>46006</v>
      </c>
      <c r="W391" s="170">
        <v>38.435400000000001</v>
      </c>
    </row>
    <row r="392" spans="2:23" x14ac:dyDescent="0.3">
      <c r="B392" s="278">
        <v>45988</v>
      </c>
      <c r="E392" s="12">
        <v>2279.4</v>
      </c>
      <c r="H392" s="21">
        <f t="shared" si="149"/>
        <v>130.84208713621493</v>
      </c>
      <c r="K392" s="12">
        <v>69354.45</v>
      </c>
      <c r="N392" s="131">
        <f t="shared" si="150"/>
        <v>94.075304517888554</v>
      </c>
      <c r="T392" s="278">
        <v>46003</v>
      </c>
      <c r="W392" s="170">
        <v>37.444699999999997</v>
      </c>
    </row>
    <row r="393" spans="2:23" x14ac:dyDescent="0.3">
      <c r="B393" s="278">
        <v>45987</v>
      </c>
      <c r="E393" s="12">
        <v>2308.9</v>
      </c>
      <c r="H393" s="21">
        <f t="shared" si="149"/>
        <v>132.53544572642215</v>
      </c>
      <c r="K393" s="12">
        <v>69691.3</v>
      </c>
      <c r="N393" s="131">
        <f t="shared" si="150"/>
        <v>94.532222081604374</v>
      </c>
      <c r="T393" s="278">
        <v>46002</v>
      </c>
      <c r="W393" s="170">
        <v>37.475099999999998</v>
      </c>
    </row>
    <row r="394" spans="2:23" x14ac:dyDescent="0.3">
      <c r="B394" s="278">
        <v>45986</v>
      </c>
      <c r="E394" s="12">
        <v>2272.1999999999998</v>
      </c>
      <c r="H394" s="21">
        <f t="shared" si="149"/>
        <v>130.42879283623213</v>
      </c>
      <c r="K394" s="12">
        <v>68562.399999999994</v>
      </c>
      <c r="N394" s="131">
        <f t="shared" si="150"/>
        <v>93.00093445304924</v>
      </c>
      <c r="T394" s="278">
        <v>46001</v>
      </c>
      <c r="W394" s="170">
        <v>37.142600000000002</v>
      </c>
    </row>
    <row r="395" spans="2:23" x14ac:dyDescent="0.3">
      <c r="B395" s="278">
        <v>45985</v>
      </c>
      <c r="E395" s="12">
        <v>2268.6999999999998</v>
      </c>
      <c r="H395" s="21">
        <f t="shared" si="149"/>
        <v>130.22788588485162</v>
      </c>
      <c r="K395" s="12">
        <v>68434.67</v>
      </c>
      <c r="N395" s="131">
        <f t="shared" si="150"/>
        <v>92.827676087564853</v>
      </c>
      <c r="T395" s="278">
        <v>46000</v>
      </c>
      <c r="W395" s="170">
        <v>37.441299999999998</v>
      </c>
    </row>
    <row r="396" spans="2:23" x14ac:dyDescent="0.3">
      <c r="B396" s="278">
        <v>45982</v>
      </c>
      <c r="E396" s="12">
        <v>2313.1</v>
      </c>
      <c r="H396" s="21">
        <f t="shared" ref="H396:H459" si="151">(E396/$E$762)*100</f>
        <v>132.77653406807877</v>
      </c>
      <c r="K396" s="12">
        <v>69364.009999999995</v>
      </c>
      <c r="N396" s="131">
        <f t="shared" ref="N396:N459" si="152">(K396/$K$762)*100</f>
        <v>94.08827210556592</v>
      </c>
      <c r="T396" s="278">
        <v>45999</v>
      </c>
      <c r="W396" s="170">
        <v>37.947699999999998</v>
      </c>
    </row>
    <row r="397" spans="2:23" x14ac:dyDescent="0.3">
      <c r="B397" s="278">
        <v>45981</v>
      </c>
      <c r="E397" s="12">
        <v>2402.8000000000002</v>
      </c>
      <c r="H397" s="21">
        <f t="shared" si="151"/>
        <v>137.9254922220309</v>
      </c>
      <c r="K397" s="12">
        <v>70628.67</v>
      </c>
      <c r="N397" s="131">
        <f t="shared" si="152"/>
        <v>95.803710330677546</v>
      </c>
      <c r="T397" s="278">
        <v>45996</v>
      </c>
      <c r="W397" s="170">
        <v>36.8675</v>
      </c>
    </row>
    <row r="398" spans="2:23" x14ac:dyDescent="0.3">
      <c r="B398" s="278">
        <v>45980</v>
      </c>
      <c r="E398" s="12">
        <v>2397.1</v>
      </c>
      <c r="H398" s="21">
        <f t="shared" si="151"/>
        <v>137.59830090121119</v>
      </c>
      <c r="K398" s="12">
        <v>70389.52</v>
      </c>
      <c r="N398" s="131">
        <f t="shared" si="152"/>
        <v>95.479317172409367</v>
      </c>
      <c r="T398" s="278">
        <v>45995</v>
      </c>
      <c r="W398" s="170">
        <v>37.328299999999999</v>
      </c>
    </row>
    <row r="399" spans="2:23" x14ac:dyDescent="0.3">
      <c r="B399" s="278">
        <v>45979</v>
      </c>
      <c r="E399" s="12">
        <v>2435.1999999999998</v>
      </c>
      <c r="H399" s="21">
        <f t="shared" si="151"/>
        <v>139.78531657195339</v>
      </c>
      <c r="K399" s="12">
        <v>70530.080000000002</v>
      </c>
      <c r="N399" s="131">
        <f t="shared" si="152"/>
        <v>95.669978691649078</v>
      </c>
      <c r="T399" s="278">
        <v>45994</v>
      </c>
      <c r="W399" s="170">
        <v>36.874299999999998</v>
      </c>
    </row>
    <row r="400" spans="2:23" x14ac:dyDescent="0.3">
      <c r="B400" s="278">
        <v>45978</v>
      </c>
      <c r="E400" s="12">
        <v>2447.1</v>
      </c>
      <c r="H400" s="21">
        <f t="shared" si="151"/>
        <v>140.46840020664715</v>
      </c>
      <c r="K400" s="12">
        <v>71201.710000000006</v>
      </c>
      <c r="N400" s="131">
        <f t="shared" si="152"/>
        <v>96.581005983673592</v>
      </c>
      <c r="T400" s="278">
        <v>45993</v>
      </c>
      <c r="W400" s="170">
        <v>37.647300000000001</v>
      </c>
    </row>
    <row r="401" spans="2:23" x14ac:dyDescent="0.3">
      <c r="B401" s="278">
        <v>45975</v>
      </c>
      <c r="E401" s="12">
        <v>2449.9</v>
      </c>
      <c r="H401" s="21">
        <f t="shared" si="151"/>
        <v>140.62912576775156</v>
      </c>
      <c r="K401" s="12">
        <v>70775.41</v>
      </c>
      <c r="N401" s="131">
        <f t="shared" si="152"/>
        <v>96.00275466287188</v>
      </c>
      <c r="T401" s="278">
        <v>45992</v>
      </c>
      <c r="W401" s="170">
        <v>38.099600000000002</v>
      </c>
    </row>
    <row r="402" spans="2:23" x14ac:dyDescent="0.3">
      <c r="B402" s="278">
        <v>45974</v>
      </c>
      <c r="E402" s="12">
        <v>2447.3000000000002</v>
      </c>
      <c r="H402" s="21">
        <f t="shared" si="151"/>
        <v>140.47988060386891</v>
      </c>
      <c r="K402" s="12">
        <v>70665.820000000007</v>
      </c>
      <c r="N402" s="131">
        <f t="shared" si="152"/>
        <v>95.854102159361076</v>
      </c>
      <c r="T402" s="278">
        <v>45989</v>
      </c>
      <c r="W402" s="170">
        <v>38.140099999999997</v>
      </c>
    </row>
    <row r="403" spans="2:23" x14ac:dyDescent="0.3">
      <c r="B403" s="278">
        <v>45973</v>
      </c>
      <c r="E403" s="12">
        <v>2417.5</v>
      </c>
      <c r="H403" s="21">
        <f t="shared" si="151"/>
        <v>138.76930141782907</v>
      </c>
      <c r="K403" s="12">
        <v>71167.22</v>
      </c>
      <c r="N403" s="131">
        <f t="shared" si="152"/>
        <v>96.534222291310343</v>
      </c>
      <c r="T403" s="278">
        <v>45988</v>
      </c>
      <c r="W403" s="170">
        <v>38.4709</v>
      </c>
    </row>
    <row r="404" spans="2:23" x14ac:dyDescent="0.3">
      <c r="B404" s="278">
        <v>45972</v>
      </c>
      <c r="E404" s="12">
        <v>2402.6</v>
      </c>
      <c r="H404" s="21">
        <f t="shared" si="151"/>
        <v>137.91401182480914</v>
      </c>
      <c r="K404" s="12">
        <v>71061.62</v>
      </c>
      <c r="N404" s="131">
        <f t="shared" si="152"/>
        <v>96.390981992279933</v>
      </c>
      <c r="T404" s="278">
        <v>45987</v>
      </c>
      <c r="W404" s="170">
        <v>38.968800000000002</v>
      </c>
    </row>
    <row r="405" spans="2:23" x14ac:dyDescent="0.3">
      <c r="B405" s="278">
        <v>45971</v>
      </c>
      <c r="E405" s="12">
        <v>2397.6999999999998</v>
      </c>
      <c r="H405" s="21">
        <f t="shared" si="151"/>
        <v>137.63274209287641</v>
      </c>
      <c r="K405" s="12">
        <v>70225.64</v>
      </c>
      <c r="N405" s="131">
        <f t="shared" si="152"/>
        <v>95.257023420467107</v>
      </c>
      <c r="T405" s="278">
        <v>45986</v>
      </c>
      <c r="W405" s="170">
        <v>38.349400000000003</v>
      </c>
    </row>
    <row r="406" spans="2:23" x14ac:dyDescent="0.3">
      <c r="B406" s="278">
        <v>45968</v>
      </c>
      <c r="E406" s="12">
        <v>2313</v>
      </c>
      <c r="H406" s="21">
        <f t="shared" si="151"/>
        <v>132.77079386946789</v>
      </c>
      <c r="K406" s="12">
        <v>69366.039999999994</v>
      </c>
      <c r="N406" s="131">
        <f t="shared" si="152"/>
        <v>94.09102568328403</v>
      </c>
      <c r="T406" s="278">
        <v>45985</v>
      </c>
      <c r="W406" s="170">
        <v>38.290300000000002</v>
      </c>
    </row>
    <row r="407" spans="2:23" x14ac:dyDescent="0.3">
      <c r="B407" s="278">
        <v>45967</v>
      </c>
      <c r="E407" s="12">
        <v>2293.9</v>
      </c>
      <c r="H407" s="21">
        <f t="shared" si="151"/>
        <v>131.67441593479137</v>
      </c>
      <c r="K407" s="12">
        <v>69508.070000000007</v>
      </c>
      <c r="N407" s="131">
        <f t="shared" si="152"/>
        <v>94.283681172595479</v>
      </c>
      <c r="T407" s="278">
        <v>45982</v>
      </c>
      <c r="W407" s="170">
        <v>39.039700000000003</v>
      </c>
    </row>
    <row r="408" spans="2:23" x14ac:dyDescent="0.3">
      <c r="B408" s="278">
        <v>45965</v>
      </c>
      <c r="E408" s="12">
        <v>2328.3000000000002</v>
      </c>
      <c r="H408" s="21">
        <f t="shared" si="151"/>
        <v>133.64904425693132</v>
      </c>
      <c r="K408" s="12">
        <v>70385.539999999994</v>
      </c>
      <c r="N408" s="131">
        <f t="shared" si="152"/>
        <v>95.473918532351192</v>
      </c>
      <c r="T408" s="278">
        <v>45981</v>
      </c>
      <c r="W408" s="170">
        <v>40.553600000000003</v>
      </c>
    </row>
    <row r="409" spans="2:23" x14ac:dyDescent="0.3">
      <c r="B409" s="278">
        <v>45964</v>
      </c>
      <c r="E409" s="12">
        <v>2359.4</v>
      </c>
      <c r="H409" s="21">
        <f t="shared" si="151"/>
        <v>135.43424602491248</v>
      </c>
      <c r="K409" s="12">
        <v>70525.600000000006</v>
      </c>
      <c r="N409" s="131">
        <f t="shared" si="152"/>
        <v>95.663901830478096</v>
      </c>
      <c r="T409" s="278">
        <v>45980</v>
      </c>
      <c r="W409" s="170">
        <v>40.4574</v>
      </c>
    </row>
    <row r="410" spans="2:23" x14ac:dyDescent="0.3">
      <c r="B410" s="278">
        <v>45961</v>
      </c>
      <c r="E410" s="12">
        <v>2307.1999999999998</v>
      </c>
      <c r="H410" s="21">
        <f t="shared" si="151"/>
        <v>132.43786235003731</v>
      </c>
      <c r="K410" s="12">
        <v>70404.39</v>
      </c>
      <c r="N410" s="131">
        <f t="shared" si="152"/>
        <v>95.49948746830502</v>
      </c>
      <c r="T410" s="278">
        <v>45979</v>
      </c>
      <c r="W410" s="170">
        <v>41.1004</v>
      </c>
    </row>
    <row r="411" spans="2:23" x14ac:dyDescent="0.3">
      <c r="B411" s="278">
        <v>45960</v>
      </c>
      <c r="E411" s="12">
        <v>2341.6999999999998</v>
      </c>
      <c r="H411" s="21">
        <f t="shared" si="151"/>
        <v>134.41823087078814</v>
      </c>
      <c r="K411" s="12">
        <v>70119.5</v>
      </c>
      <c r="N411" s="131">
        <f t="shared" si="152"/>
        <v>95.113050642634846</v>
      </c>
      <c r="T411" s="278">
        <v>45978</v>
      </c>
      <c r="W411" s="170">
        <v>41.301299999999998</v>
      </c>
    </row>
    <row r="412" spans="2:23" x14ac:dyDescent="0.3">
      <c r="B412" s="278">
        <v>45959</v>
      </c>
      <c r="E412" s="12">
        <v>2303.1</v>
      </c>
      <c r="H412" s="21">
        <f t="shared" si="151"/>
        <v>132.20251420699157</v>
      </c>
      <c r="K412" s="12">
        <v>70021.69</v>
      </c>
      <c r="N412" s="131">
        <f t="shared" si="152"/>
        <v>94.980377028542392</v>
      </c>
      <c r="T412" s="278">
        <v>45975</v>
      </c>
      <c r="W412" s="170">
        <v>41.348500000000001</v>
      </c>
    </row>
    <row r="413" spans="2:23" x14ac:dyDescent="0.3">
      <c r="B413" s="278">
        <v>45958</v>
      </c>
      <c r="E413" s="12">
        <v>2299.8000000000002</v>
      </c>
      <c r="H413" s="21">
        <f t="shared" si="151"/>
        <v>132.01308765283278</v>
      </c>
      <c r="K413" s="12">
        <v>69321.56</v>
      </c>
      <c r="N413" s="131">
        <f t="shared" si="152"/>
        <v>94.030691133086378</v>
      </c>
      <c r="T413" s="278">
        <v>45974</v>
      </c>
      <c r="W413" s="170">
        <v>41.304600000000001</v>
      </c>
    </row>
    <row r="414" spans="2:23" x14ac:dyDescent="0.3">
      <c r="B414" s="278">
        <v>45957</v>
      </c>
      <c r="E414" s="12">
        <v>2298.3000000000002</v>
      </c>
      <c r="H414" s="21">
        <f t="shared" si="151"/>
        <v>131.92698467366972</v>
      </c>
      <c r="K414" s="12">
        <v>69419.02</v>
      </c>
      <c r="N414" s="131">
        <f t="shared" si="152"/>
        <v>94.162889992399855</v>
      </c>
      <c r="T414" s="278">
        <v>45973</v>
      </c>
      <c r="W414" s="170">
        <v>40.801699999999997</v>
      </c>
    </row>
    <row r="415" spans="2:23" x14ac:dyDescent="0.3">
      <c r="B415" s="278">
        <v>45954</v>
      </c>
      <c r="E415" s="12">
        <v>2316.3000000000002</v>
      </c>
      <c r="H415" s="21">
        <f t="shared" si="151"/>
        <v>132.96022042362668</v>
      </c>
      <c r="K415" s="12">
        <v>69322.240000000005</v>
      </c>
      <c r="N415" s="131">
        <f t="shared" si="152"/>
        <v>94.03161351379984</v>
      </c>
      <c r="T415" s="278">
        <v>45972</v>
      </c>
      <c r="W415" s="170">
        <v>40.550199999999997</v>
      </c>
    </row>
    <row r="416" spans="2:23" x14ac:dyDescent="0.3">
      <c r="B416" s="278">
        <v>45953</v>
      </c>
      <c r="E416" s="12">
        <v>2333.5</v>
      </c>
      <c r="H416" s="21">
        <f t="shared" si="151"/>
        <v>133.94753458469663</v>
      </c>
      <c r="K416" s="12">
        <v>69255.19</v>
      </c>
      <c r="N416" s="131">
        <f t="shared" si="152"/>
        <v>93.940664062568885</v>
      </c>
      <c r="T416" s="278">
        <v>45971</v>
      </c>
      <c r="W416" s="170">
        <v>40.467500000000001</v>
      </c>
    </row>
    <row r="417" spans="2:23" x14ac:dyDescent="0.3">
      <c r="B417" s="278">
        <v>45951</v>
      </c>
      <c r="E417" s="12">
        <v>2320.8000000000002</v>
      </c>
      <c r="H417" s="21">
        <f t="shared" si="151"/>
        <v>133.21852936111591</v>
      </c>
      <c r="K417" s="12">
        <v>69450.41</v>
      </c>
      <c r="N417" s="131">
        <f t="shared" si="152"/>
        <v>94.205468713863524</v>
      </c>
      <c r="T417" s="278">
        <v>45968</v>
      </c>
      <c r="W417" s="170">
        <v>39.037999999999997</v>
      </c>
    </row>
    <row r="418" spans="2:23" x14ac:dyDescent="0.3">
      <c r="B418" s="278">
        <v>45950</v>
      </c>
      <c r="E418" s="12">
        <v>2344.4</v>
      </c>
      <c r="H418" s="21">
        <f t="shared" si="151"/>
        <v>134.5732162332817</v>
      </c>
      <c r="K418" s="12">
        <v>69173.98</v>
      </c>
      <c r="N418" s="131">
        <f t="shared" si="152"/>
        <v>93.830507389422479</v>
      </c>
      <c r="T418" s="278">
        <v>45967</v>
      </c>
      <c r="W418" s="170">
        <v>38.715600000000002</v>
      </c>
    </row>
    <row r="419" spans="2:23" x14ac:dyDescent="0.3">
      <c r="B419" s="278">
        <v>45947</v>
      </c>
      <c r="E419" s="12">
        <v>2384.5</v>
      </c>
      <c r="H419" s="21">
        <f t="shared" si="151"/>
        <v>136.87503587624133</v>
      </c>
      <c r="K419" s="12">
        <v>69061.86</v>
      </c>
      <c r="N419" s="131">
        <f t="shared" si="152"/>
        <v>93.678423087080745</v>
      </c>
      <c r="T419" s="278">
        <v>45966</v>
      </c>
      <c r="W419" s="170"/>
    </row>
    <row r="420" spans="2:23" x14ac:dyDescent="0.3">
      <c r="B420" s="278">
        <v>45946</v>
      </c>
      <c r="E420" s="12">
        <v>2383.5</v>
      </c>
      <c r="H420" s="21">
        <f t="shared" si="151"/>
        <v>136.81763389013258</v>
      </c>
      <c r="K420" s="12">
        <v>69238.22</v>
      </c>
      <c r="N420" s="131">
        <f t="shared" si="152"/>
        <v>93.917645237999309</v>
      </c>
      <c r="T420" s="278">
        <v>45965</v>
      </c>
      <c r="W420" s="170">
        <v>39.296199999999999</v>
      </c>
    </row>
    <row r="421" spans="2:23" x14ac:dyDescent="0.3">
      <c r="B421" s="278">
        <v>45945</v>
      </c>
      <c r="E421" s="12">
        <v>2332.9</v>
      </c>
      <c r="H421" s="21">
        <f t="shared" si="151"/>
        <v>133.9130933930314</v>
      </c>
      <c r="K421" s="12">
        <v>69086.679999999993</v>
      </c>
      <c r="N421" s="131">
        <f t="shared" si="152"/>
        <v>93.712089983121771</v>
      </c>
      <c r="T421" s="278">
        <v>45964</v>
      </c>
      <c r="W421" s="170">
        <v>39.821100000000001</v>
      </c>
    </row>
    <row r="422" spans="2:23" x14ac:dyDescent="0.3">
      <c r="B422" s="278">
        <v>45944</v>
      </c>
      <c r="E422" s="12">
        <v>2310.5</v>
      </c>
      <c r="H422" s="21">
        <f t="shared" si="151"/>
        <v>132.62728890419609</v>
      </c>
      <c r="K422" s="12">
        <v>68488.7</v>
      </c>
      <c r="N422" s="131">
        <f t="shared" si="152"/>
        <v>92.900964661017611</v>
      </c>
      <c r="T422" s="278">
        <v>45961</v>
      </c>
      <c r="W422" s="170">
        <v>38.940100000000001</v>
      </c>
    </row>
    <row r="423" spans="2:23" x14ac:dyDescent="0.3">
      <c r="B423" s="278">
        <v>45943</v>
      </c>
      <c r="E423" s="12">
        <v>2349.3000000000002</v>
      </c>
      <c r="H423" s="21">
        <f t="shared" si="151"/>
        <v>134.85448596521442</v>
      </c>
      <c r="K423" s="12">
        <v>68963.199999999997</v>
      </c>
      <c r="N423" s="131">
        <f t="shared" si="152"/>
        <v>93.54459649709645</v>
      </c>
      <c r="T423" s="278">
        <v>45960</v>
      </c>
      <c r="W423" s="170">
        <v>39.522399999999998</v>
      </c>
    </row>
    <row r="424" spans="2:23" x14ac:dyDescent="0.3">
      <c r="B424" s="278">
        <v>45940</v>
      </c>
      <c r="E424" s="12">
        <v>2398.3000000000002</v>
      </c>
      <c r="H424" s="21">
        <f t="shared" si="151"/>
        <v>137.66718328454166</v>
      </c>
      <c r="K424" s="12">
        <v>69552.59</v>
      </c>
      <c r="N424" s="131">
        <f t="shared" si="152"/>
        <v>94.344069980482146</v>
      </c>
      <c r="T424" s="278">
        <v>45959</v>
      </c>
      <c r="W424" s="170">
        <v>38.870899999999999</v>
      </c>
    </row>
    <row r="425" spans="2:23" x14ac:dyDescent="0.3">
      <c r="B425" s="278">
        <v>45939</v>
      </c>
      <c r="E425" s="12">
        <v>2394.4</v>
      </c>
      <c r="H425" s="21">
        <f t="shared" si="151"/>
        <v>137.44331553871766</v>
      </c>
      <c r="K425" s="12">
        <v>69224.75</v>
      </c>
      <c r="N425" s="131">
        <f t="shared" si="152"/>
        <v>93.899373961219581</v>
      </c>
      <c r="T425" s="278">
        <v>45958</v>
      </c>
      <c r="W425" s="170">
        <v>38.815199999999997</v>
      </c>
    </row>
    <row r="426" spans="2:23" x14ac:dyDescent="0.3">
      <c r="B426" s="278">
        <v>45938</v>
      </c>
      <c r="E426" s="12">
        <v>2382.5</v>
      </c>
      <c r="H426" s="21">
        <f t="shared" si="151"/>
        <v>136.7602319040239</v>
      </c>
      <c r="K426" s="12">
        <v>68690.2</v>
      </c>
      <c r="N426" s="131">
        <f t="shared" si="152"/>
        <v>93.174287769489453</v>
      </c>
      <c r="T426" s="278">
        <v>45957</v>
      </c>
      <c r="W426" s="170">
        <v>38.789900000000003</v>
      </c>
    </row>
    <row r="427" spans="2:23" x14ac:dyDescent="0.3">
      <c r="B427" s="278">
        <v>45937</v>
      </c>
      <c r="E427" s="12">
        <v>2480.8000000000002</v>
      </c>
      <c r="H427" s="21">
        <f t="shared" si="151"/>
        <v>142.40284713851102</v>
      </c>
      <c r="K427" s="12">
        <v>69521.5</v>
      </c>
      <c r="N427" s="131">
        <f t="shared" si="152"/>
        <v>94.301898191686178</v>
      </c>
      <c r="T427" s="278">
        <v>45954</v>
      </c>
      <c r="W427" s="170">
        <v>39.093699999999998</v>
      </c>
    </row>
    <row r="428" spans="2:23" x14ac:dyDescent="0.3">
      <c r="B428" s="278">
        <v>45936</v>
      </c>
      <c r="E428" s="12">
        <v>2492.5</v>
      </c>
      <c r="H428" s="21">
        <f t="shared" si="151"/>
        <v>143.07445037598302</v>
      </c>
      <c r="K428" s="12">
        <v>69564.12</v>
      </c>
      <c r="N428" s="131">
        <f t="shared" si="152"/>
        <v>94.359709759344085</v>
      </c>
      <c r="T428" s="278">
        <v>45953</v>
      </c>
      <c r="W428" s="170">
        <v>39.384</v>
      </c>
    </row>
    <row r="429" spans="2:23" x14ac:dyDescent="0.3">
      <c r="B429" s="278">
        <v>45933</v>
      </c>
      <c r="E429" s="12">
        <v>2325.3000000000002</v>
      </c>
      <c r="H429" s="21">
        <f t="shared" si="151"/>
        <v>133.47683829860514</v>
      </c>
      <c r="K429" s="12">
        <v>69458.210000000006</v>
      </c>
      <c r="N429" s="131">
        <f t="shared" si="152"/>
        <v>94.216048963223727</v>
      </c>
      <c r="T429" s="278">
        <v>45952</v>
      </c>
      <c r="W429" s="170"/>
    </row>
    <row r="430" spans="2:23" x14ac:dyDescent="0.3">
      <c r="B430" s="278">
        <v>45931</v>
      </c>
      <c r="E430" s="12">
        <v>2323.1999999999998</v>
      </c>
      <c r="H430" s="21">
        <f t="shared" si="151"/>
        <v>133.35629412777681</v>
      </c>
      <c r="K430" s="12">
        <v>68758.5</v>
      </c>
      <c r="N430" s="131">
        <f t="shared" si="152"/>
        <v>93.266932773502504</v>
      </c>
      <c r="T430" s="278">
        <v>45951</v>
      </c>
      <c r="W430" s="170">
        <v>39.169600000000003</v>
      </c>
    </row>
    <row r="431" spans="2:23" x14ac:dyDescent="0.3">
      <c r="B431" s="278">
        <v>45930</v>
      </c>
      <c r="E431" s="12">
        <v>2347.1</v>
      </c>
      <c r="H431" s="21">
        <f t="shared" si="151"/>
        <v>134.7282015957752</v>
      </c>
      <c r="K431" s="12">
        <v>68289.990000000005</v>
      </c>
      <c r="N431" s="131">
        <f t="shared" si="152"/>
        <v>92.631426026355399</v>
      </c>
      <c r="T431" s="278">
        <v>45950</v>
      </c>
      <c r="W431" s="170">
        <v>39.567900000000002</v>
      </c>
    </row>
    <row r="432" spans="2:23" x14ac:dyDescent="0.3">
      <c r="B432" s="278">
        <v>45929</v>
      </c>
      <c r="E432" s="12">
        <v>2303.6</v>
      </c>
      <c r="H432" s="21">
        <f t="shared" si="151"/>
        <v>132.23121520004594</v>
      </c>
      <c r="K432" s="12">
        <v>68283.11</v>
      </c>
      <c r="N432" s="131">
        <f t="shared" si="152"/>
        <v>92.622093703842808</v>
      </c>
      <c r="T432" s="278">
        <v>45947</v>
      </c>
      <c r="W432" s="170">
        <v>40.244700000000002</v>
      </c>
    </row>
    <row r="433" spans="2:23" x14ac:dyDescent="0.3">
      <c r="B433" s="278">
        <v>45926</v>
      </c>
      <c r="E433" s="12">
        <v>2292.6999999999998</v>
      </c>
      <c r="H433" s="21">
        <f t="shared" si="151"/>
        <v>131.60553355146087</v>
      </c>
      <c r="K433" s="12">
        <v>68345.94</v>
      </c>
      <c r="N433" s="131">
        <f t="shared" si="152"/>
        <v>92.707318968881452</v>
      </c>
      <c r="T433" s="278">
        <v>45946</v>
      </c>
      <c r="W433" s="170">
        <v>40.227800000000002</v>
      </c>
    </row>
    <row r="434" spans="2:23" x14ac:dyDescent="0.3">
      <c r="B434" s="278">
        <v>45925</v>
      </c>
      <c r="E434" s="12">
        <v>2364.4</v>
      </c>
      <c r="H434" s="21">
        <f t="shared" si="151"/>
        <v>135.72125595545609</v>
      </c>
      <c r="K434" s="12">
        <v>69582.38</v>
      </c>
      <c r="N434" s="131">
        <f t="shared" si="152"/>
        <v>94.384478394384757</v>
      </c>
      <c r="T434" s="278">
        <v>45945</v>
      </c>
      <c r="W434" s="170">
        <v>39.373800000000003</v>
      </c>
    </row>
    <row r="435" spans="2:23" x14ac:dyDescent="0.3">
      <c r="B435" s="278">
        <v>45924</v>
      </c>
      <c r="E435" s="12">
        <v>2412.8000000000002</v>
      </c>
      <c r="H435" s="21">
        <f t="shared" si="151"/>
        <v>138.49951208311811</v>
      </c>
      <c r="K435" s="12">
        <v>69646.5</v>
      </c>
      <c r="N435" s="131">
        <f t="shared" si="152"/>
        <v>94.471453469894513</v>
      </c>
      <c r="T435" s="278">
        <v>45944</v>
      </c>
      <c r="W435" s="170">
        <v>38.995800000000003</v>
      </c>
    </row>
    <row r="436" spans="2:23" x14ac:dyDescent="0.3">
      <c r="B436" s="278">
        <v>45923</v>
      </c>
      <c r="E436" s="12">
        <v>2446.6</v>
      </c>
      <c r="H436" s="21">
        <f t="shared" si="151"/>
        <v>140.43969921359277</v>
      </c>
      <c r="K436" s="12">
        <v>70417.119999999995</v>
      </c>
      <c r="N436" s="131">
        <f t="shared" si="152"/>
        <v>95.516754977837763</v>
      </c>
      <c r="T436" s="278">
        <v>45943</v>
      </c>
      <c r="W436" s="170">
        <v>39.650599999999997</v>
      </c>
    </row>
    <row r="437" spans="2:23" x14ac:dyDescent="0.3">
      <c r="B437" s="278">
        <v>45922</v>
      </c>
      <c r="E437" s="12">
        <v>2493.5</v>
      </c>
      <c r="H437" s="21">
        <f t="shared" si="151"/>
        <v>143.13185236209173</v>
      </c>
      <c r="K437" s="12">
        <v>70686.14</v>
      </c>
      <c r="N437" s="131">
        <f t="shared" si="152"/>
        <v>95.881665065386613</v>
      </c>
      <c r="T437" s="278">
        <v>45940</v>
      </c>
      <c r="W437" s="170">
        <v>40.477600000000002</v>
      </c>
    </row>
    <row r="438" spans="2:23" x14ac:dyDescent="0.3">
      <c r="B438" s="278">
        <v>45919</v>
      </c>
      <c r="E438" s="12">
        <v>2536.6999999999998</v>
      </c>
      <c r="H438" s="21">
        <f t="shared" si="151"/>
        <v>145.61161816198839</v>
      </c>
      <c r="K438" s="12">
        <v>71231.16</v>
      </c>
      <c r="N438" s="131">
        <f t="shared" si="152"/>
        <v>96.620953207219472</v>
      </c>
      <c r="T438" s="278">
        <v>45939</v>
      </c>
      <c r="W438" s="170">
        <v>40.411799999999999</v>
      </c>
    </row>
    <row r="439" spans="2:23" x14ac:dyDescent="0.3">
      <c r="B439" s="278">
        <v>45918</v>
      </c>
      <c r="E439" s="12">
        <v>2278.6</v>
      </c>
      <c r="H439" s="21">
        <f t="shared" si="151"/>
        <v>130.79616554732794</v>
      </c>
      <c r="K439" s="12">
        <v>71179.98</v>
      </c>
      <c r="N439" s="131">
        <f t="shared" si="152"/>
        <v>96.551530494109841</v>
      </c>
      <c r="T439" s="278">
        <v>45938</v>
      </c>
      <c r="W439" s="170">
        <v>40.210999999999999</v>
      </c>
    </row>
    <row r="440" spans="2:23" x14ac:dyDescent="0.3">
      <c r="B440" s="278">
        <v>45917</v>
      </c>
      <c r="E440" s="12">
        <v>2310.6</v>
      </c>
      <c r="H440" s="21">
        <f t="shared" si="151"/>
        <v>132.63302910280697</v>
      </c>
      <c r="K440" s="12">
        <v>71414.69</v>
      </c>
      <c r="N440" s="131">
        <f t="shared" si="152"/>
        <v>96.869901048896082</v>
      </c>
      <c r="T440" s="278">
        <v>45937</v>
      </c>
      <c r="W440" s="170">
        <v>41.87</v>
      </c>
    </row>
    <row r="441" spans="2:23" x14ac:dyDescent="0.3">
      <c r="B441" s="278">
        <v>45916</v>
      </c>
      <c r="E441" s="12">
        <v>2312.8000000000002</v>
      </c>
      <c r="H441" s="21">
        <f t="shared" si="151"/>
        <v>132.75931347224616</v>
      </c>
      <c r="K441" s="12">
        <v>70738.19</v>
      </c>
      <c r="N441" s="131">
        <f t="shared" si="152"/>
        <v>95.952267883232565</v>
      </c>
      <c r="T441" s="278">
        <v>45936</v>
      </c>
      <c r="W441" s="170">
        <v>42.067500000000003</v>
      </c>
    </row>
    <row r="442" spans="2:23" x14ac:dyDescent="0.3">
      <c r="B442" s="278">
        <v>45915</v>
      </c>
      <c r="E442" s="12">
        <v>2299.1</v>
      </c>
      <c r="H442" s="21">
        <f t="shared" si="151"/>
        <v>131.97290626255668</v>
      </c>
      <c r="K442" s="12">
        <v>70115.39</v>
      </c>
      <c r="N442" s="131">
        <f t="shared" si="152"/>
        <v>95.107475665087364</v>
      </c>
      <c r="T442" s="278">
        <v>45933</v>
      </c>
      <c r="W442" s="170">
        <v>39.245600000000003</v>
      </c>
    </row>
    <row r="443" spans="2:23" x14ac:dyDescent="0.3">
      <c r="B443" s="278">
        <v>45912</v>
      </c>
      <c r="E443" s="12">
        <v>2275.1999999999998</v>
      </c>
      <c r="H443" s="21">
        <f t="shared" si="151"/>
        <v>130.60099879455828</v>
      </c>
      <c r="K443" s="12">
        <v>69691.789999999994</v>
      </c>
      <c r="N443" s="131">
        <f t="shared" si="152"/>
        <v>94.532886738294934</v>
      </c>
      <c r="T443" s="278">
        <v>45932</v>
      </c>
      <c r="W443" s="170"/>
    </row>
    <row r="444" spans="2:23" x14ac:dyDescent="0.3">
      <c r="B444" s="278">
        <v>45911</v>
      </c>
      <c r="E444" s="12">
        <v>2288.5</v>
      </c>
      <c r="H444" s="21">
        <f t="shared" si="151"/>
        <v>131.36444520980427</v>
      </c>
      <c r="K444" s="12">
        <v>68487.66</v>
      </c>
      <c r="N444" s="131">
        <f t="shared" si="152"/>
        <v>92.899553961102939</v>
      </c>
      <c r="T444" s="278">
        <v>45931</v>
      </c>
      <c r="W444" s="170">
        <v>39.210099999999997</v>
      </c>
    </row>
    <row r="445" spans="2:23" x14ac:dyDescent="0.3">
      <c r="B445" s="278">
        <v>45910</v>
      </c>
      <c r="E445" s="12">
        <v>2292.5</v>
      </c>
      <c r="H445" s="21">
        <f t="shared" si="151"/>
        <v>131.59405315423916</v>
      </c>
      <c r="K445" s="12">
        <v>68366.25</v>
      </c>
      <c r="N445" s="131">
        <f t="shared" si="152"/>
        <v>92.734868310484742</v>
      </c>
      <c r="T445" s="278">
        <v>45930</v>
      </c>
      <c r="W445" s="170">
        <v>39.613500000000002</v>
      </c>
    </row>
    <row r="446" spans="2:23" x14ac:dyDescent="0.3">
      <c r="B446" s="278">
        <v>45909</v>
      </c>
      <c r="E446" s="12">
        <v>2245.1</v>
      </c>
      <c r="H446" s="21">
        <f t="shared" si="151"/>
        <v>128.87319901268583</v>
      </c>
      <c r="K446" s="12">
        <v>67104.56</v>
      </c>
      <c r="N446" s="131">
        <f t="shared" si="152"/>
        <v>91.023458718783331</v>
      </c>
      <c r="T446" s="278">
        <v>45929</v>
      </c>
      <c r="W446" s="170">
        <v>38.879300000000001</v>
      </c>
    </row>
    <row r="447" spans="2:23" x14ac:dyDescent="0.3">
      <c r="B447" s="278">
        <v>45908</v>
      </c>
      <c r="E447" s="12">
        <v>2264.1999999999998</v>
      </c>
      <c r="H447" s="21">
        <f t="shared" si="151"/>
        <v>129.96957694736238</v>
      </c>
      <c r="K447" s="12">
        <v>67101.3</v>
      </c>
      <c r="N447" s="131">
        <f t="shared" si="152"/>
        <v>91.019036717127676</v>
      </c>
      <c r="T447" s="278">
        <v>45926</v>
      </c>
      <c r="W447" s="170">
        <v>38.695399999999999</v>
      </c>
    </row>
    <row r="448" spans="2:23" x14ac:dyDescent="0.3">
      <c r="B448" s="278">
        <v>45905</v>
      </c>
      <c r="E448" s="12">
        <v>2261.3000000000002</v>
      </c>
      <c r="H448" s="21">
        <f t="shared" si="151"/>
        <v>129.80311118764712</v>
      </c>
      <c r="K448" s="12">
        <v>66852.58</v>
      </c>
      <c r="N448" s="131">
        <f t="shared" si="152"/>
        <v>90.681662406759855</v>
      </c>
      <c r="T448" s="278">
        <v>45925</v>
      </c>
      <c r="W448" s="170">
        <v>39.905500000000004</v>
      </c>
    </row>
    <row r="449" spans="2:23" x14ac:dyDescent="0.3">
      <c r="B449" s="278">
        <v>45904</v>
      </c>
      <c r="E449" s="12">
        <v>2325.6999999999998</v>
      </c>
      <c r="H449" s="21">
        <f t="shared" si="151"/>
        <v>133.49979909304861</v>
      </c>
      <c r="K449" s="12">
        <v>67021.45</v>
      </c>
      <c r="N449" s="131">
        <f t="shared" si="152"/>
        <v>90.910724805408179</v>
      </c>
      <c r="T449" s="278">
        <v>45924</v>
      </c>
      <c r="W449" s="170">
        <v>40.7224</v>
      </c>
    </row>
    <row r="450" spans="2:23" x14ac:dyDescent="0.3">
      <c r="B450" s="278">
        <v>45903</v>
      </c>
      <c r="E450" s="12">
        <v>2317.5</v>
      </c>
      <c r="H450" s="21">
        <f t="shared" si="151"/>
        <v>133.02910280695713</v>
      </c>
      <c r="K450" s="12">
        <v>67412.13</v>
      </c>
      <c r="N450" s="131">
        <f t="shared" si="152"/>
        <v>91.44065965413165</v>
      </c>
      <c r="T450" s="278">
        <v>45923</v>
      </c>
      <c r="W450" s="170">
        <v>41.2928</v>
      </c>
    </row>
    <row r="451" spans="2:23" x14ac:dyDescent="0.3">
      <c r="B451" s="278">
        <v>45902</v>
      </c>
      <c r="E451" s="12">
        <v>2310.6</v>
      </c>
      <c r="H451" s="21">
        <f t="shared" si="151"/>
        <v>132.63302910280697</v>
      </c>
      <c r="K451" s="12">
        <v>67209.649999999994</v>
      </c>
      <c r="N451" s="131">
        <f t="shared" si="152"/>
        <v>91.166007232278645</v>
      </c>
      <c r="T451" s="278">
        <v>45922</v>
      </c>
      <c r="W451" s="170">
        <v>42.084400000000002</v>
      </c>
    </row>
    <row r="452" spans="2:23" x14ac:dyDescent="0.3">
      <c r="B452" s="278">
        <v>45901</v>
      </c>
      <c r="E452" s="12">
        <v>2248.6999999999998</v>
      </c>
      <c r="H452" s="21">
        <f t="shared" si="151"/>
        <v>129.07984616267723</v>
      </c>
      <c r="K452" s="12">
        <v>66677.09</v>
      </c>
      <c r="N452" s="131">
        <f t="shared" si="152"/>
        <v>90.443620360577597</v>
      </c>
      <c r="T452" s="278">
        <v>45919</v>
      </c>
      <c r="W452" s="170">
        <v>42.813499999999998</v>
      </c>
    </row>
    <row r="453" spans="2:23" x14ac:dyDescent="0.3">
      <c r="B453" s="278">
        <v>45898</v>
      </c>
      <c r="E453" s="12">
        <v>2214.6999999999998</v>
      </c>
      <c r="H453" s="21">
        <f t="shared" si="151"/>
        <v>127.12817863498076</v>
      </c>
      <c r="K453" s="12">
        <v>65417.08</v>
      </c>
      <c r="N453" s="131">
        <f t="shared" si="152"/>
        <v>88.734489591815333</v>
      </c>
      <c r="T453" s="278">
        <v>45918</v>
      </c>
      <c r="W453" s="170">
        <v>38.4574</v>
      </c>
    </row>
    <row r="454" spans="2:23" x14ac:dyDescent="0.3">
      <c r="B454" s="278">
        <v>45897</v>
      </c>
      <c r="E454" s="12">
        <v>2239.1999999999998</v>
      </c>
      <c r="H454" s="21">
        <f t="shared" si="151"/>
        <v>128.53452729464439</v>
      </c>
      <c r="K454" s="12">
        <v>65274.23</v>
      </c>
      <c r="N454" s="131">
        <f t="shared" si="152"/>
        <v>88.540721819878854</v>
      </c>
      <c r="T454" s="278">
        <v>45917</v>
      </c>
      <c r="W454" s="170">
        <v>38.997500000000002</v>
      </c>
    </row>
    <row r="455" spans="2:23" x14ac:dyDescent="0.3">
      <c r="B455" s="278">
        <v>45895</v>
      </c>
      <c r="E455" s="12">
        <v>2236.4</v>
      </c>
      <c r="H455" s="21">
        <f t="shared" si="151"/>
        <v>128.37380173353998</v>
      </c>
      <c r="K455" s="12">
        <v>65879.320000000007</v>
      </c>
      <c r="N455" s="131">
        <f t="shared" si="152"/>
        <v>89.361491446207509</v>
      </c>
      <c r="T455" s="278">
        <v>45916</v>
      </c>
      <c r="W455" s="170">
        <v>39.034599999999998</v>
      </c>
    </row>
    <row r="456" spans="2:23" x14ac:dyDescent="0.3">
      <c r="B456" s="278">
        <v>45894</v>
      </c>
      <c r="E456" s="12">
        <v>2283</v>
      </c>
      <c r="H456" s="21">
        <f t="shared" si="151"/>
        <v>131.04873428620633</v>
      </c>
      <c r="K456" s="12">
        <v>66871.05</v>
      </c>
      <c r="N456" s="131">
        <f t="shared" si="152"/>
        <v>90.706715894667923</v>
      </c>
      <c r="T456" s="278">
        <v>45915</v>
      </c>
      <c r="W456" s="170">
        <v>38.803400000000003</v>
      </c>
    </row>
    <row r="457" spans="2:23" x14ac:dyDescent="0.3">
      <c r="B457" s="278">
        <v>45891</v>
      </c>
      <c r="E457" s="12">
        <v>2287</v>
      </c>
      <c r="H457" s="21">
        <f t="shared" si="151"/>
        <v>131.27834223064119</v>
      </c>
      <c r="K457" s="12">
        <v>67151.02</v>
      </c>
      <c r="N457" s="131">
        <f t="shared" si="152"/>
        <v>91.086479024587817</v>
      </c>
      <c r="T457" s="278">
        <v>45912</v>
      </c>
      <c r="W457" s="170">
        <v>38.4</v>
      </c>
    </row>
    <row r="458" spans="2:23" x14ac:dyDescent="0.3">
      <c r="B458" s="278">
        <v>45890</v>
      </c>
      <c r="E458" s="12">
        <v>2309.3000000000002</v>
      </c>
      <c r="H458" s="21">
        <f t="shared" si="151"/>
        <v>132.55840652086565</v>
      </c>
      <c r="K458" s="12">
        <v>67096.53</v>
      </c>
      <c r="N458" s="131">
        <f t="shared" si="152"/>
        <v>91.01256648771124</v>
      </c>
      <c r="T458" s="278">
        <v>45911</v>
      </c>
      <c r="W458" s="170">
        <v>38.624499999999998</v>
      </c>
    </row>
    <row r="459" spans="2:23" x14ac:dyDescent="0.3">
      <c r="B459" s="278">
        <v>45889</v>
      </c>
      <c r="E459" s="12">
        <v>2326.8000000000002</v>
      </c>
      <c r="H459" s="21">
        <f t="shared" si="151"/>
        <v>133.56294127776823</v>
      </c>
      <c r="K459" s="12">
        <v>67127.009999999995</v>
      </c>
      <c r="N459" s="131">
        <f t="shared" si="152"/>
        <v>91.053910846749559</v>
      </c>
      <c r="T459" s="278">
        <v>45910</v>
      </c>
      <c r="W459" s="170">
        <v>38.692</v>
      </c>
    </row>
    <row r="460" spans="2:23" x14ac:dyDescent="0.3">
      <c r="B460" s="278">
        <v>45888</v>
      </c>
      <c r="E460" s="12">
        <v>2305.4</v>
      </c>
      <c r="H460" s="21">
        <f t="shared" ref="H460:H523" si="153">(E460/$E$762)*100</f>
        <v>132.33453877504161</v>
      </c>
      <c r="K460" s="12">
        <v>67038.83</v>
      </c>
      <c r="N460" s="131">
        <f t="shared" ref="N460:N523" si="154">(K460/$K$762)*100</f>
        <v>90.93429977129027</v>
      </c>
      <c r="T460" s="278">
        <v>45909</v>
      </c>
      <c r="W460" s="170">
        <v>37.892000000000003</v>
      </c>
    </row>
    <row r="461" spans="2:23" x14ac:dyDescent="0.3">
      <c r="B461" s="278">
        <v>45887</v>
      </c>
      <c r="E461" s="12">
        <v>2348.8000000000002</v>
      </c>
      <c r="H461" s="21">
        <f t="shared" si="153"/>
        <v>134.82578497216005</v>
      </c>
      <c r="K461" s="12">
        <v>66773.05</v>
      </c>
      <c r="N461" s="131">
        <f t="shared" si="154"/>
        <v>90.573784556552582</v>
      </c>
      <c r="T461" s="278">
        <v>45908</v>
      </c>
      <c r="W461" s="170">
        <v>38.214300000000001</v>
      </c>
    </row>
    <row r="462" spans="2:23" x14ac:dyDescent="0.3">
      <c r="B462" s="278">
        <v>45883</v>
      </c>
      <c r="E462" s="12">
        <v>2219.8000000000002</v>
      </c>
      <c r="H462" s="21">
        <f t="shared" si="153"/>
        <v>127.42092876413527</v>
      </c>
      <c r="K462" s="12">
        <v>66761.320000000007</v>
      </c>
      <c r="N462" s="131">
        <f t="shared" si="154"/>
        <v>90.557873489245523</v>
      </c>
      <c r="T462" s="278">
        <v>45905</v>
      </c>
      <c r="W462" s="170">
        <v>38.165399999999998</v>
      </c>
    </row>
    <row r="463" spans="2:23" x14ac:dyDescent="0.3">
      <c r="B463" s="278">
        <v>45882</v>
      </c>
      <c r="E463" s="12">
        <v>2250.1</v>
      </c>
      <c r="H463" s="21">
        <f t="shared" si="153"/>
        <v>129.16020894322943</v>
      </c>
      <c r="K463" s="12">
        <v>67133.03</v>
      </c>
      <c r="N463" s="131">
        <f t="shared" si="154"/>
        <v>91.062076628948077</v>
      </c>
      <c r="T463" s="278">
        <v>45904</v>
      </c>
      <c r="W463" s="170">
        <v>39.252299999999998</v>
      </c>
    </row>
    <row r="464" spans="2:23" x14ac:dyDescent="0.3">
      <c r="B464" s="278">
        <v>45881</v>
      </c>
      <c r="E464" s="12">
        <v>2246.8000000000002</v>
      </c>
      <c r="H464" s="21">
        <f t="shared" si="153"/>
        <v>128.97078238907068</v>
      </c>
      <c r="K464" s="12">
        <v>66460.66</v>
      </c>
      <c r="N464" s="131">
        <f t="shared" si="154"/>
        <v>90.150045569676578</v>
      </c>
      <c r="T464" s="278">
        <v>45903</v>
      </c>
      <c r="W464" s="170">
        <v>39.113900000000001</v>
      </c>
    </row>
    <row r="465" spans="2:23" x14ac:dyDescent="0.3">
      <c r="B465" s="278">
        <v>45880</v>
      </c>
      <c r="E465" s="12">
        <v>2322.9</v>
      </c>
      <c r="H465" s="21">
        <f t="shared" si="153"/>
        <v>133.33907353194419</v>
      </c>
      <c r="K465" s="12">
        <v>66966.61</v>
      </c>
      <c r="N465" s="131">
        <f t="shared" si="154"/>
        <v>90.836337513752625</v>
      </c>
      <c r="T465" s="278">
        <v>45902</v>
      </c>
      <c r="W465" s="170">
        <v>38.997500000000002</v>
      </c>
    </row>
    <row r="466" spans="2:23" x14ac:dyDescent="0.3">
      <c r="B466" s="278">
        <v>45877</v>
      </c>
      <c r="E466" s="12">
        <v>2310.1999999999998</v>
      </c>
      <c r="H466" s="21">
        <f t="shared" si="153"/>
        <v>132.61006830836345</v>
      </c>
      <c r="K466" s="12">
        <v>66751.259999999995</v>
      </c>
      <c r="N466" s="131">
        <f t="shared" si="154"/>
        <v>90.544227680455293</v>
      </c>
      <c r="T466" s="278">
        <v>45901</v>
      </c>
      <c r="W466" s="170">
        <v>37.9527</v>
      </c>
    </row>
    <row r="467" spans="2:23" x14ac:dyDescent="0.3">
      <c r="B467" s="278">
        <v>45876</v>
      </c>
      <c r="E467" s="12">
        <v>2354.8000000000002</v>
      </c>
      <c r="H467" s="21">
        <f t="shared" si="153"/>
        <v>135.17019688881237</v>
      </c>
      <c r="K467" s="12">
        <v>67848.759999999995</v>
      </c>
      <c r="N467" s="131">
        <f t="shared" si="154"/>
        <v>92.032923023124482</v>
      </c>
      <c r="T467" s="278">
        <v>45898</v>
      </c>
      <c r="W467" s="170">
        <v>37.378900000000002</v>
      </c>
    </row>
    <row r="468" spans="2:23" x14ac:dyDescent="0.3">
      <c r="B468" s="278">
        <v>45875</v>
      </c>
      <c r="E468" s="12">
        <v>2452.4</v>
      </c>
      <c r="H468" s="21">
        <f t="shared" si="153"/>
        <v>140.77263073302336</v>
      </c>
      <c r="K468" s="12">
        <v>68131.45</v>
      </c>
      <c r="N468" s="131">
        <f t="shared" si="154"/>
        <v>92.416375675898195</v>
      </c>
      <c r="T468" s="278">
        <v>45897</v>
      </c>
      <c r="W468" s="170">
        <v>37.792400000000001</v>
      </c>
    </row>
    <row r="469" spans="2:23" x14ac:dyDescent="0.3">
      <c r="B469" s="278">
        <v>45874</v>
      </c>
      <c r="E469" s="12">
        <v>2618.8000000000002</v>
      </c>
      <c r="H469" s="21">
        <f t="shared" si="153"/>
        <v>150.32432122151428</v>
      </c>
      <c r="K469" s="12">
        <v>68700.820000000007</v>
      </c>
      <c r="N469" s="131">
        <f t="shared" si="154"/>
        <v>93.188693185926056</v>
      </c>
      <c r="T469" s="278">
        <v>45896</v>
      </c>
      <c r="W469" s="170"/>
    </row>
    <row r="470" spans="2:23" x14ac:dyDescent="0.3">
      <c r="B470" s="278">
        <v>45873</v>
      </c>
      <c r="E470" s="12">
        <v>2663.2</v>
      </c>
      <c r="H470" s="21">
        <f t="shared" si="153"/>
        <v>152.87296940474141</v>
      </c>
      <c r="K470" s="12">
        <v>68505.5</v>
      </c>
      <c r="N470" s="131">
        <f t="shared" si="154"/>
        <v>92.923752890408821</v>
      </c>
      <c r="T470" s="278">
        <v>45895</v>
      </c>
      <c r="W470" s="170">
        <v>37.745100000000001</v>
      </c>
    </row>
    <row r="471" spans="2:23" x14ac:dyDescent="0.3">
      <c r="B471" s="278">
        <v>45870</v>
      </c>
      <c r="E471" s="12">
        <v>2609.9</v>
      </c>
      <c r="H471" s="21">
        <f t="shared" si="153"/>
        <v>149.81344354514667</v>
      </c>
      <c r="K471" s="12">
        <v>67850.22</v>
      </c>
      <c r="N471" s="131">
        <f t="shared" si="154"/>
        <v>92.034903428773958</v>
      </c>
      <c r="T471" s="278">
        <v>45894</v>
      </c>
      <c r="W471" s="170">
        <v>38.531599999999997</v>
      </c>
    </row>
    <row r="472" spans="2:23" x14ac:dyDescent="0.3">
      <c r="B472" s="278">
        <v>45869</v>
      </c>
      <c r="E472" s="12">
        <v>2645.3</v>
      </c>
      <c r="H472" s="21">
        <f t="shared" si="153"/>
        <v>151.84547385339536</v>
      </c>
      <c r="K472" s="12">
        <v>68236.66</v>
      </c>
      <c r="N472" s="131">
        <f t="shared" si="154"/>
        <v>92.559086962460597</v>
      </c>
      <c r="T472" s="278">
        <v>45891</v>
      </c>
      <c r="W472" s="170">
        <v>38.599200000000003</v>
      </c>
    </row>
    <row r="473" spans="2:23" x14ac:dyDescent="0.3">
      <c r="B473" s="278">
        <v>45868</v>
      </c>
      <c r="E473" s="12">
        <v>2695.8</v>
      </c>
      <c r="H473" s="21">
        <f t="shared" si="153"/>
        <v>154.74427415188566</v>
      </c>
      <c r="K473" s="12">
        <v>68692.77</v>
      </c>
      <c r="N473" s="131">
        <f t="shared" si="154"/>
        <v>93.177773826009428</v>
      </c>
      <c r="T473" s="278">
        <v>45890</v>
      </c>
      <c r="W473" s="170">
        <v>38.975499999999997</v>
      </c>
    </row>
    <row r="474" spans="2:23" x14ac:dyDescent="0.3">
      <c r="B474" s="278">
        <v>45867</v>
      </c>
      <c r="E474" s="12">
        <v>2692.9</v>
      </c>
      <c r="H474" s="21">
        <f t="shared" si="153"/>
        <v>154.5778083921704</v>
      </c>
      <c r="K474" s="12">
        <v>68509.5</v>
      </c>
      <c r="N474" s="131">
        <f t="shared" si="154"/>
        <v>92.929178659311489</v>
      </c>
      <c r="T474" s="278">
        <v>45889</v>
      </c>
      <c r="W474" s="170">
        <v>39.270899999999997</v>
      </c>
    </row>
    <row r="475" spans="2:23" x14ac:dyDescent="0.3">
      <c r="B475" s="278">
        <v>45866</v>
      </c>
      <c r="E475" s="12">
        <v>2564.1999999999998</v>
      </c>
      <c r="H475" s="21">
        <f t="shared" si="153"/>
        <v>147.19017277997818</v>
      </c>
      <c r="K475" s="12">
        <v>68106.02</v>
      </c>
      <c r="N475" s="131">
        <f t="shared" si="154"/>
        <v>92.381881350099505</v>
      </c>
      <c r="T475" s="278">
        <v>45888</v>
      </c>
      <c r="W475" s="170">
        <v>38.909700000000001</v>
      </c>
    </row>
    <row r="476" spans="2:23" x14ac:dyDescent="0.3">
      <c r="B476" s="278">
        <v>45863</v>
      </c>
      <c r="E476" s="12">
        <v>2650</v>
      </c>
      <c r="H476" s="21">
        <f t="shared" si="153"/>
        <v>152.1152631881063</v>
      </c>
      <c r="K476" s="12">
        <v>69136.11</v>
      </c>
      <c r="N476" s="131">
        <f t="shared" si="154"/>
        <v>93.779138922336486</v>
      </c>
      <c r="T476" s="278">
        <v>45887</v>
      </c>
      <c r="W476" s="170">
        <v>39.642200000000003</v>
      </c>
    </row>
    <row r="477" spans="2:23" x14ac:dyDescent="0.3">
      <c r="B477" s="278">
        <v>45862</v>
      </c>
      <c r="E477" s="12">
        <v>2712.1</v>
      </c>
      <c r="H477" s="21">
        <f t="shared" si="153"/>
        <v>155.6799265254578</v>
      </c>
      <c r="K477" s="12">
        <v>70428.289999999994</v>
      </c>
      <c r="N477" s="131">
        <f t="shared" si="154"/>
        <v>95.531906437498449</v>
      </c>
      <c r="T477" s="278">
        <v>45884</v>
      </c>
      <c r="W477" s="170"/>
    </row>
    <row r="478" spans="2:23" x14ac:dyDescent="0.3">
      <c r="B478" s="278">
        <v>45861</v>
      </c>
      <c r="E478" s="12">
        <v>2745.3</v>
      </c>
      <c r="H478" s="21">
        <f t="shared" si="153"/>
        <v>157.5856724642673</v>
      </c>
      <c r="K478" s="12">
        <v>70773.22</v>
      </c>
      <c r="N478" s="131">
        <f t="shared" si="154"/>
        <v>95.999784054397679</v>
      </c>
      <c r="T478" s="278">
        <v>45883</v>
      </c>
      <c r="W478" s="170">
        <v>37.465000000000003</v>
      </c>
    </row>
    <row r="479" spans="2:23" x14ac:dyDescent="0.3">
      <c r="B479" s="278">
        <v>45860</v>
      </c>
      <c r="E479" s="12">
        <v>2720.3</v>
      </c>
      <c r="H479" s="21">
        <f t="shared" si="153"/>
        <v>156.15062281154931</v>
      </c>
      <c r="K479" s="12">
        <v>70990.36</v>
      </c>
      <c r="N479" s="131">
        <f t="shared" si="154"/>
        <v>96.294321919278929</v>
      </c>
      <c r="T479" s="278">
        <v>45882</v>
      </c>
      <c r="W479" s="170">
        <v>37.976399999999998</v>
      </c>
    </row>
    <row r="480" spans="2:23" x14ac:dyDescent="0.3">
      <c r="B480" s="278">
        <v>45859</v>
      </c>
      <c r="E480" s="12">
        <v>2787.6</v>
      </c>
      <c r="H480" s="21">
        <f t="shared" si="153"/>
        <v>160.0137764766661</v>
      </c>
      <c r="K480" s="12">
        <v>71135.53</v>
      </c>
      <c r="N480" s="131">
        <f t="shared" si="154"/>
        <v>96.491236637178972</v>
      </c>
      <c r="T480" s="278">
        <v>45881</v>
      </c>
      <c r="W480" s="170">
        <v>37.920699999999997</v>
      </c>
    </row>
    <row r="481" spans="2:23" x14ac:dyDescent="0.3">
      <c r="B481" s="278">
        <v>45856</v>
      </c>
      <c r="E481" s="12">
        <v>2814.7</v>
      </c>
      <c r="H481" s="21">
        <f t="shared" si="153"/>
        <v>161.5693703002124</v>
      </c>
      <c r="K481" s="12">
        <v>70200.61</v>
      </c>
      <c r="N481" s="131">
        <f t="shared" si="154"/>
        <v>95.223071671558671</v>
      </c>
      <c r="T481" s="278">
        <v>45880</v>
      </c>
      <c r="W481" s="170">
        <v>39.205100000000002</v>
      </c>
    </row>
    <row r="482" spans="2:23" x14ac:dyDescent="0.3">
      <c r="B482" s="278">
        <v>45855</v>
      </c>
      <c r="E482" s="12">
        <v>2870.6</v>
      </c>
      <c r="H482" s="21">
        <f t="shared" si="153"/>
        <v>164.77814132368979</v>
      </c>
      <c r="K482" s="12">
        <v>71271.41</v>
      </c>
      <c r="N482" s="131">
        <f t="shared" si="154"/>
        <v>96.675550006802553</v>
      </c>
      <c r="T482" s="278">
        <v>45877</v>
      </c>
      <c r="W482" s="170">
        <v>38.990699999999997</v>
      </c>
    </row>
    <row r="483" spans="2:23" x14ac:dyDescent="0.3">
      <c r="B483" s="278">
        <v>45854</v>
      </c>
      <c r="E483" s="12">
        <v>2845.9</v>
      </c>
      <c r="H483" s="21">
        <f t="shared" si="153"/>
        <v>163.36031226680444</v>
      </c>
      <c r="K483" s="12">
        <v>71236.84</v>
      </c>
      <c r="N483" s="131">
        <f t="shared" si="154"/>
        <v>96.628657799061244</v>
      </c>
      <c r="T483" s="278">
        <v>45876</v>
      </c>
      <c r="W483" s="170">
        <v>39.743499999999997</v>
      </c>
    </row>
    <row r="484" spans="2:23" x14ac:dyDescent="0.3">
      <c r="B484" s="278">
        <v>45853</v>
      </c>
      <c r="E484" s="12">
        <v>2911.9</v>
      </c>
      <c r="H484" s="21">
        <f t="shared" si="153"/>
        <v>167.14884334997993</v>
      </c>
      <c r="K484" s="12">
        <v>71408.929999999993</v>
      </c>
      <c r="N484" s="131">
        <f t="shared" si="154"/>
        <v>96.862087941676222</v>
      </c>
      <c r="T484" s="278">
        <v>45875</v>
      </c>
      <c r="W484" s="170">
        <v>41.390700000000002</v>
      </c>
    </row>
    <row r="485" spans="2:23" x14ac:dyDescent="0.3">
      <c r="B485" s="278">
        <v>45852</v>
      </c>
      <c r="E485" s="12">
        <v>2872.2</v>
      </c>
      <c r="H485" s="21">
        <f t="shared" si="153"/>
        <v>164.86998450146376</v>
      </c>
      <c r="K485" s="12">
        <v>70916.100000000006</v>
      </c>
      <c r="N485" s="131">
        <f t="shared" si="154"/>
        <v>96.193592519600941</v>
      </c>
      <c r="T485" s="278">
        <v>45874</v>
      </c>
      <c r="W485" s="170">
        <v>44.199199999999998</v>
      </c>
    </row>
    <row r="486" spans="2:23" x14ac:dyDescent="0.3">
      <c r="B486" s="278">
        <v>45849</v>
      </c>
      <c r="E486" s="12">
        <v>2849.4</v>
      </c>
      <c r="H486" s="21">
        <f t="shared" si="153"/>
        <v>163.56121921818496</v>
      </c>
      <c r="K486" s="12">
        <v>70967.039999999994</v>
      </c>
      <c r="N486" s="131">
        <f t="shared" si="154"/>
        <v>96.26268968657638</v>
      </c>
      <c r="T486" s="278">
        <v>45873</v>
      </c>
      <c r="W486" s="170">
        <v>44.948500000000003</v>
      </c>
    </row>
    <row r="487" spans="2:23" x14ac:dyDescent="0.3">
      <c r="B487" s="278">
        <v>45848</v>
      </c>
      <c r="E487" s="12">
        <v>2868.5</v>
      </c>
      <c r="H487" s="21">
        <f t="shared" si="153"/>
        <v>164.65759715286151</v>
      </c>
      <c r="K487" s="12">
        <v>71835.520000000004</v>
      </c>
      <c r="N487" s="131">
        <f t="shared" si="154"/>
        <v>97.440732630723389</v>
      </c>
      <c r="T487" s="278">
        <v>45870</v>
      </c>
      <c r="W487" s="170">
        <v>44.048900000000003</v>
      </c>
    </row>
    <row r="488" spans="2:23" x14ac:dyDescent="0.3">
      <c r="B488" s="278">
        <v>45847</v>
      </c>
      <c r="E488" s="12">
        <v>2897.7</v>
      </c>
      <c r="H488" s="21">
        <f t="shared" si="153"/>
        <v>166.3337351472361</v>
      </c>
      <c r="K488" s="12">
        <v>72147.97</v>
      </c>
      <c r="N488" s="131">
        <f t="shared" si="154"/>
        <v>97.864553004132944</v>
      </c>
      <c r="T488" s="278">
        <v>45869</v>
      </c>
      <c r="W488" s="170">
        <v>44.6464</v>
      </c>
    </row>
    <row r="489" spans="2:23" x14ac:dyDescent="0.3">
      <c r="B489" s="278">
        <v>45846</v>
      </c>
      <c r="E489" s="12">
        <v>2851.9</v>
      </c>
      <c r="H489" s="21">
        <f t="shared" si="153"/>
        <v>163.70472418345676</v>
      </c>
      <c r="K489" s="12">
        <v>72153.56</v>
      </c>
      <c r="N489" s="131">
        <f t="shared" si="154"/>
        <v>97.87213551617441</v>
      </c>
      <c r="T489" s="278">
        <v>45868</v>
      </c>
      <c r="W489" s="170">
        <v>45.498699999999999</v>
      </c>
    </row>
    <row r="490" spans="2:23" x14ac:dyDescent="0.3">
      <c r="B490" s="278">
        <v>45845</v>
      </c>
      <c r="E490" s="12">
        <v>2795</v>
      </c>
      <c r="H490" s="21">
        <f t="shared" si="153"/>
        <v>160.43855117387062</v>
      </c>
      <c r="K490" s="12">
        <v>72000.88</v>
      </c>
      <c r="N490" s="131">
        <f t="shared" si="154"/>
        <v>97.665033917159633</v>
      </c>
      <c r="T490" s="278">
        <v>45867</v>
      </c>
      <c r="W490" s="170">
        <v>45.449800000000003</v>
      </c>
    </row>
    <row r="491" spans="2:23" x14ac:dyDescent="0.3">
      <c r="B491" s="278">
        <v>45842</v>
      </c>
      <c r="E491" s="12">
        <v>2760.4</v>
      </c>
      <c r="H491" s="21">
        <f t="shared" si="153"/>
        <v>158.45244245450894</v>
      </c>
      <c r="K491" s="12">
        <v>72322.41</v>
      </c>
      <c r="N491" s="131">
        <f t="shared" si="154"/>
        <v>98.10117078597824</v>
      </c>
      <c r="T491" s="278">
        <v>45866</v>
      </c>
      <c r="W491" s="170">
        <v>43.2776</v>
      </c>
    </row>
    <row r="492" spans="2:23" x14ac:dyDescent="0.3">
      <c r="B492" s="278">
        <v>45841</v>
      </c>
      <c r="E492" s="12">
        <v>2780.9</v>
      </c>
      <c r="H492" s="21">
        <f t="shared" si="153"/>
        <v>159.6291831697377</v>
      </c>
      <c r="K492" s="12">
        <v>72127.75</v>
      </c>
      <c r="N492" s="131">
        <f t="shared" si="154"/>
        <v>97.83712574232996</v>
      </c>
      <c r="T492" s="278">
        <v>45863</v>
      </c>
      <c r="W492" s="170">
        <v>44.725700000000003</v>
      </c>
    </row>
    <row r="493" spans="2:23" x14ac:dyDescent="0.3">
      <c r="B493" s="278">
        <v>45840</v>
      </c>
      <c r="E493" s="12">
        <v>2763.6</v>
      </c>
      <c r="H493" s="21">
        <f t="shared" si="153"/>
        <v>158.63612881005682</v>
      </c>
      <c r="K493" s="12">
        <v>72033.14</v>
      </c>
      <c r="N493" s="131">
        <f t="shared" si="154"/>
        <v>97.708792743359624</v>
      </c>
      <c r="T493" s="278">
        <v>45862</v>
      </c>
      <c r="W493" s="170">
        <v>45.773800000000001</v>
      </c>
    </row>
    <row r="494" spans="2:23" x14ac:dyDescent="0.3">
      <c r="B494" s="278">
        <v>45839</v>
      </c>
      <c r="E494" s="12">
        <v>2749.5</v>
      </c>
      <c r="H494" s="21">
        <f t="shared" si="153"/>
        <v>157.82676080592387</v>
      </c>
      <c r="K494" s="12">
        <v>72533.47</v>
      </c>
      <c r="N494" s="131">
        <f t="shared" si="154"/>
        <v>98.387461482127449</v>
      </c>
      <c r="T494" s="278">
        <v>45861</v>
      </c>
      <c r="W494" s="170">
        <v>46.334200000000003</v>
      </c>
    </row>
    <row r="495" spans="2:23" x14ac:dyDescent="0.3">
      <c r="B495" s="278">
        <v>45838</v>
      </c>
      <c r="E495" s="12">
        <v>2769.1</v>
      </c>
      <c r="H495" s="21">
        <f t="shared" si="153"/>
        <v>158.95183973365479</v>
      </c>
      <c r="K495" s="12">
        <v>72332.77</v>
      </c>
      <c r="N495" s="131">
        <f t="shared" si="154"/>
        <v>98.115223527436143</v>
      </c>
      <c r="T495" s="278">
        <v>45860</v>
      </c>
      <c r="W495" s="170">
        <v>45.912199999999999</v>
      </c>
    </row>
    <row r="496" spans="2:23" x14ac:dyDescent="0.3">
      <c r="B496" s="278">
        <v>45835</v>
      </c>
      <c r="E496" s="12">
        <v>2709.4</v>
      </c>
      <c r="H496" s="21">
        <f t="shared" si="153"/>
        <v>155.52494116296424</v>
      </c>
      <c r="K496" s="12">
        <v>71548.78</v>
      </c>
      <c r="N496" s="131">
        <f t="shared" si="154"/>
        <v>97.051786386935717</v>
      </c>
      <c r="T496" s="278">
        <v>45859</v>
      </c>
      <c r="W496" s="170">
        <v>47.048099999999998</v>
      </c>
    </row>
    <row r="497" spans="2:23" x14ac:dyDescent="0.3">
      <c r="B497" s="278">
        <v>45834</v>
      </c>
      <c r="E497" s="12">
        <v>2615.4</v>
      </c>
      <c r="H497" s="21">
        <f t="shared" si="153"/>
        <v>150.12915446874464</v>
      </c>
      <c r="K497" s="12">
        <v>70957.2</v>
      </c>
      <c r="N497" s="131">
        <f t="shared" si="154"/>
        <v>96.24934229507582</v>
      </c>
      <c r="T497" s="278">
        <v>45856</v>
      </c>
      <c r="W497" s="170">
        <v>47.505499999999998</v>
      </c>
    </row>
    <row r="498" spans="2:23" x14ac:dyDescent="0.3">
      <c r="B498" s="278">
        <v>45833</v>
      </c>
      <c r="E498" s="12">
        <v>2667.7</v>
      </c>
      <c r="H498" s="21">
        <f t="shared" si="153"/>
        <v>153.13127834223064</v>
      </c>
      <c r="K498" s="12">
        <v>70703.12</v>
      </c>
      <c r="N498" s="131">
        <f t="shared" si="154"/>
        <v>95.904697454378436</v>
      </c>
      <c r="T498" s="278">
        <v>45855</v>
      </c>
      <c r="W498" s="170">
        <v>48.448900000000002</v>
      </c>
    </row>
    <row r="499" spans="2:23" x14ac:dyDescent="0.3">
      <c r="B499" s="278">
        <v>45832</v>
      </c>
      <c r="E499" s="12">
        <v>2586.5</v>
      </c>
      <c r="H499" s="21">
        <f t="shared" si="153"/>
        <v>148.47023707020264</v>
      </c>
      <c r="K499" s="12">
        <v>71087.25</v>
      </c>
      <c r="N499" s="131">
        <f t="shared" si="154"/>
        <v>96.425747606523785</v>
      </c>
      <c r="T499" s="278">
        <v>45854</v>
      </c>
      <c r="W499" s="170">
        <v>48.0321</v>
      </c>
    </row>
    <row r="500" spans="2:23" x14ac:dyDescent="0.3">
      <c r="B500" s="278">
        <v>45831</v>
      </c>
      <c r="E500" s="12">
        <v>2583.6</v>
      </c>
      <c r="H500" s="21">
        <f t="shared" si="153"/>
        <v>148.30377131048735</v>
      </c>
      <c r="K500" s="12">
        <v>70903.38</v>
      </c>
      <c r="N500" s="131">
        <f t="shared" si="154"/>
        <v>96.176338574490444</v>
      </c>
      <c r="T500" s="278">
        <v>45853</v>
      </c>
      <c r="W500" s="170">
        <v>49.146000000000001</v>
      </c>
    </row>
    <row r="501" spans="2:23" x14ac:dyDescent="0.3">
      <c r="B501" s="278">
        <v>45828</v>
      </c>
      <c r="E501" s="12">
        <v>2589.6</v>
      </c>
      <c r="H501" s="21">
        <f t="shared" si="153"/>
        <v>148.64818322713967</v>
      </c>
      <c r="K501" s="12">
        <v>70243.360000000001</v>
      </c>
      <c r="N501" s="131">
        <f t="shared" si="154"/>
        <v>95.281059576705914</v>
      </c>
      <c r="T501" s="278">
        <v>45852</v>
      </c>
      <c r="W501" s="170">
        <v>48.475900000000003</v>
      </c>
    </row>
    <row r="502" spans="2:23" x14ac:dyDescent="0.3">
      <c r="B502" s="278">
        <v>45827</v>
      </c>
      <c r="E502" s="12">
        <v>2599.6999999999998</v>
      </c>
      <c r="H502" s="21">
        <f t="shared" si="153"/>
        <v>149.22794328683773</v>
      </c>
      <c r="K502" s="12">
        <v>69446.7</v>
      </c>
      <c r="N502" s="131">
        <f t="shared" si="154"/>
        <v>94.200436313206311</v>
      </c>
      <c r="T502" s="278">
        <v>45849</v>
      </c>
      <c r="W502" s="170">
        <v>48.091099999999997</v>
      </c>
    </row>
    <row r="503" spans="2:23" x14ac:dyDescent="0.3">
      <c r="B503" s="278">
        <v>45826</v>
      </c>
      <c r="E503" s="12">
        <v>2645.2</v>
      </c>
      <c r="H503" s="21">
        <f t="shared" si="153"/>
        <v>151.83973365478445</v>
      </c>
      <c r="K503" s="12">
        <v>69846.720000000001</v>
      </c>
      <c r="N503" s="131">
        <f t="shared" si="154"/>
        <v>94.743040332317491</v>
      </c>
      <c r="T503" s="278">
        <v>45848</v>
      </c>
      <c r="W503" s="170">
        <v>48.413499999999999</v>
      </c>
    </row>
    <row r="504" spans="2:23" x14ac:dyDescent="0.3">
      <c r="B504" s="278">
        <v>45825</v>
      </c>
      <c r="E504" s="12">
        <v>2667</v>
      </c>
      <c r="H504" s="21">
        <f t="shared" si="153"/>
        <v>153.09109695195454</v>
      </c>
      <c r="K504" s="12">
        <v>70180.69</v>
      </c>
      <c r="N504" s="131">
        <f t="shared" si="154"/>
        <v>95.196051342423388</v>
      </c>
      <c r="T504" s="278">
        <v>45847</v>
      </c>
      <c r="W504" s="170">
        <v>48.906300000000002</v>
      </c>
    </row>
    <row r="505" spans="2:23" x14ac:dyDescent="0.3">
      <c r="B505" s="278">
        <v>45824</v>
      </c>
      <c r="E505" s="12">
        <v>2721.3</v>
      </c>
      <c r="H505" s="21">
        <f t="shared" si="153"/>
        <v>156.208024797658</v>
      </c>
      <c r="K505" s="12">
        <v>70336.95</v>
      </c>
      <c r="N505" s="131">
        <f t="shared" si="154"/>
        <v>95.408009004606072</v>
      </c>
      <c r="T505" s="278">
        <v>45846</v>
      </c>
      <c r="W505" s="170">
        <v>48.133299999999998</v>
      </c>
    </row>
    <row r="506" spans="2:23" x14ac:dyDescent="0.3">
      <c r="B506" s="278">
        <v>45821</v>
      </c>
      <c r="E506" s="12">
        <v>2735</v>
      </c>
      <c r="H506" s="21">
        <f t="shared" si="153"/>
        <v>156.99443200734746</v>
      </c>
      <c r="K506" s="12">
        <v>69767.45</v>
      </c>
      <c r="N506" s="131">
        <f t="shared" si="154"/>
        <v>94.635515157088889</v>
      </c>
      <c r="T506" s="278">
        <v>45845</v>
      </c>
      <c r="W506" s="170">
        <v>47.173000000000002</v>
      </c>
    </row>
    <row r="507" spans="2:23" x14ac:dyDescent="0.3">
      <c r="B507" s="278">
        <v>45820</v>
      </c>
      <c r="E507" s="12">
        <v>2721.2</v>
      </c>
      <c r="H507" s="21">
        <f t="shared" si="153"/>
        <v>156.20228459904712</v>
      </c>
      <c r="K507" s="12">
        <v>69774.570000000007</v>
      </c>
      <c r="N507" s="131">
        <f t="shared" si="154"/>
        <v>94.645173025735659</v>
      </c>
      <c r="T507" s="278">
        <v>45842</v>
      </c>
      <c r="W507" s="170">
        <v>46.588999999999999</v>
      </c>
    </row>
    <row r="508" spans="2:23" x14ac:dyDescent="0.3">
      <c r="B508" s="278">
        <v>45819</v>
      </c>
      <c r="E508" s="12">
        <v>2760.4</v>
      </c>
      <c r="H508" s="21">
        <f t="shared" si="153"/>
        <v>158.45244245450894</v>
      </c>
      <c r="K508" s="12">
        <v>71160.97</v>
      </c>
      <c r="N508" s="131">
        <f t="shared" si="154"/>
        <v>96.525744527399922</v>
      </c>
      <c r="T508" s="278">
        <v>45841</v>
      </c>
      <c r="W508" s="170">
        <v>46.935000000000002</v>
      </c>
    </row>
    <row r="509" spans="2:23" x14ac:dyDescent="0.3">
      <c r="B509" s="278">
        <v>45818</v>
      </c>
      <c r="E509" s="12">
        <v>2772.3</v>
      </c>
      <c r="H509" s="21">
        <f t="shared" si="153"/>
        <v>159.1355260892027</v>
      </c>
      <c r="K509" s="12">
        <v>71464.12</v>
      </c>
      <c r="N509" s="131">
        <f t="shared" si="154"/>
        <v>96.936949988110783</v>
      </c>
      <c r="T509" s="278">
        <v>45840</v>
      </c>
      <c r="W509" s="170">
        <v>46.643000000000001</v>
      </c>
    </row>
    <row r="510" spans="2:23" x14ac:dyDescent="0.3">
      <c r="B510" s="278">
        <v>45817</v>
      </c>
      <c r="E510" s="12">
        <v>2798.4</v>
      </c>
      <c r="H510" s="21">
        <f t="shared" si="153"/>
        <v>160.63371792664029</v>
      </c>
      <c r="K510" s="12">
        <v>71316.58</v>
      </c>
      <c r="N510" s="131">
        <f t="shared" si="154"/>
        <v>96.736820502135927</v>
      </c>
      <c r="T510" s="278">
        <v>45839</v>
      </c>
      <c r="W510" s="170">
        <v>46.405099999999997</v>
      </c>
    </row>
    <row r="511" spans="2:23" x14ac:dyDescent="0.3">
      <c r="B511" s="278">
        <v>45814</v>
      </c>
      <c r="E511" s="12">
        <v>2796.4</v>
      </c>
      <c r="H511" s="21">
        <f t="shared" si="153"/>
        <v>160.51891395442283</v>
      </c>
      <c r="K511" s="12">
        <v>70797.7</v>
      </c>
      <c r="N511" s="131">
        <f t="shared" si="154"/>
        <v>96.032989760081989</v>
      </c>
      <c r="T511" s="278">
        <v>45838</v>
      </c>
      <c r="W511" s="170">
        <v>46.735900000000001</v>
      </c>
    </row>
    <row r="512" spans="2:23" x14ac:dyDescent="0.3">
      <c r="B512" s="278">
        <v>45813</v>
      </c>
      <c r="E512" s="12">
        <v>2805.7</v>
      </c>
      <c r="H512" s="21">
        <f t="shared" si="153"/>
        <v>161.0527524252339</v>
      </c>
      <c r="K512" s="12">
        <v>71008.42</v>
      </c>
      <c r="N512" s="131">
        <f t="shared" si="154"/>
        <v>96.318819265874467</v>
      </c>
      <c r="T512" s="278">
        <v>45835</v>
      </c>
      <c r="W512" s="170">
        <v>45.728299999999997</v>
      </c>
    </row>
    <row r="513" spans="2:23" x14ac:dyDescent="0.3">
      <c r="B513" s="278">
        <v>45812</v>
      </c>
      <c r="E513" s="12">
        <v>2780.4</v>
      </c>
      <c r="H513" s="21">
        <f t="shared" si="153"/>
        <v>159.60048217668333</v>
      </c>
      <c r="K513" s="12">
        <v>70713.45</v>
      </c>
      <c r="N513" s="131">
        <f t="shared" si="154"/>
        <v>95.91870950256957</v>
      </c>
      <c r="T513" s="278">
        <v>45834</v>
      </c>
      <c r="W513" s="170">
        <v>44.141800000000003</v>
      </c>
    </row>
    <row r="514" spans="2:23" x14ac:dyDescent="0.3">
      <c r="B514" s="278">
        <v>45811</v>
      </c>
      <c r="E514" s="12">
        <v>2795.4</v>
      </c>
      <c r="H514" s="21">
        <f t="shared" si="153"/>
        <v>160.46151196831411</v>
      </c>
      <c r="K514" s="12">
        <v>70588.399999999994</v>
      </c>
      <c r="N514" s="131">
        <f t="shared" si="154"/>
        <v>95.749086402249944</v>
      </c>
      <c r="T514" s="278">
        <v>45833</v>
      </c>
      <c r="W514" s="170">
        <v>45.024500000000003</v>
      </c>
    </row>
    <row r="515" spans="2:23" x14ac:dyDescent="0.3">
      <c r="B515" s="278">
        <v>45810</v>
      </c>
      <c r="E515" s="12">
        <v>2731.4</v>
      </c>
      <c r="H515" s="21">
        <f t="shared" si="153"/>
        <v>156.78778485735606</v>
      </c>
      <c r="K515" s="12">
        <v>71210.899999999994</v>
      </c>
      <c r="N515" s="131">
        <f t="shared" si="154"/>
        <v>96.593471687727444</v>
      </c>
      <c r="T515" s="278">
        <v>45832</v>
      </c>
      <c r="W515" s="170">
        <v>43.654000000000003</v>
      </c>
    </row>
    <row r="516" spans="2:23" x14ac:dyDescent="0.3">
      <c r="B516" s="278">
        <v>45807</v>
      </c>
      <c r="E516" s="12">
        <v>2778.2</v>
      </c>
      <c r="H516" s="21">
        <f t="shared" si="153"/>
        <v>159.47419780724411</v>
      </c>
      <c r="K516" s="12">
        <v>71089.64</v>
      </c>
      <c r="N516" s="131">
        <f t="shared" si="154"/>
        <v>96.42898950344312</v>
      </c>
      <c r="T516" s="278">
        <v>45831</v>
      </c>
      <c r="W516" s="170">
        <v>43.6051</v>
      </c>
    </row>
    <row r="517" spans="2:23" x14ac:dyDescent="0.3">
      <c r="B517" s="278">
        <v>45806</v>
      </c>
      <c r="E517" s="12">
        <v>2796.4</v>
      </c>
      <c r="H517" s="21">
        <f t="shared" si="153"/>
        <v>160.51891395442283</v>
      </c>
      <c r="K517" s="12">
        <v>70650.149999999994</v>
      </c>
      <c r="N517" s="131">
        <f t="shared" si="154"/>
        <v>95.832846709684858</v>
      </c>
      <c r="T517" s="278">
        <v>45828</v>
      </c>
      <c r="W517" s="170">
        <v>43.706299999999999</v>
      </c>
    </row>
    <row r="518" spans="2:23" x14ac:dyDescent="0.3">
      <c r="B518" s="278">
        <v>45805</v>
      </c>
      <c r="E518" s="12">
        <v>2815.1</v>
      </c>
      <c r="H518" s="21">
        <f t="shared" si="153"/>
        <v>161.59233109465586</v>
      </c>
      <c r="K518" s="12">
        <v>70430.91</v>
      </c>
      <c r="N518" s="131">
        <f t="shared" si="154"/>
        <v>95.535460316129715</v>
      </c>
      <c r="T518" s="278">
        <v>45827</v>
      </c>
      <c r="W518" s="170">
        <v>43.876800000000003</v>
      </c>
    </row>
    <row r="519" spans="2:23" x14ac:dyDescent="0.3">
      <c r="B519" s="278">
        <v>45804</v>
      </c>
      <c r="E519" s="12">
        <v>2824</v>
      </c>
      <c r="H519" s="21">
        <f t="shared" si="153"/>
        <v>162.10320877102347</v>
      </c>
      <c r="K519" s="12">
        <v>70168.149999999994</v>
      </c>
      <c r="N519" s="131">
        <f t="shared" si="154"/>
        <v>95.179041556913518</v>
      </c>
      <c r="T519" s="278">
        <v>45826</v>
      </c>
      <c r="W519" s="170">
        <v>44.6447</v>
      </c>
    </row>
    <row r="520" spans="2:23" x14ac:dyDescent="0.3">
      <c r="B520" s="278">
        <v>45803</v>
      </c>
      <c r="E520" s="12">
        <v>2801.5</v>
      </c>
      <c r="H520" s="21">
        <f t="shared" si="153"/>
        <v>160.81166408357731</v>
      </c>
      <c r="K520" s="12">
        <v>69874.850000000006</v>
      </c>
      <c r="N520" s="131">
        <f t="shared" si="154"/>
        <v>94.781197052125492</v>
      </c>
      <c r="T520" s="278">
        <v>45825</v>
      </c>
      <c r="W520" s="170">
        <v>45.012700000000002</v>
      </c>
    </row>
    <row r="521" spans="2:23" x14ac:dyDescent="0.3">
      <c r="B521" s="278">
        <v>45800</v>
      </c>
      <c r="E521" s="12">
        <v>2782.2</v>
      </c>
      <c r="H521" s="21">
        <f t="shared" si="153"/>
        <v>159.703805751679</v>
      </c>
      <c r="K521" s="12">
        <v>69246.03</v>
      </c>
      <c r="N521" s="131">
        <f t="shared" si="154"/>
        <v>93.928239051781773</v>
      </c>
      <c r="T521" s="278">
        <v>45824</v>
      </c>
      <c r="W521" s="170">
        <v>45.929099999999998</v>
      </c>
    </row>
    <row r="522" spans="2:23" x14ac:dyDescent="0.3">
      <c r="B522" s="278">
        <v>45799</v>
      </c>
      <c r="E522" s="12">
        <v>2808</v>
      </c>
      <c r="H522" s="21">
        <f t="shared" si="153"/>
        <v>161.18477699328398</v>
      </c>
      <c r="K522" s="12">
        <v>68952.2</v>
      </c>
      <c r="N522" s="131">
        <f t="shared" si="154"/>
        <v>93.529675632614129</v>
      </c>
      <c r="T522" s="278">
        <v>45821</v>
      </c>
      <c r="W522" s="170">
        <v>46.160299999999999</v>
      </c>
    </row>
    <row r="523" spans="2:23" x14ac:dyDescent="0.3">
      <c r="B523" s="278">
        <v>45798</v>
      </c>
      <c r="E523" s="12">
        <v>2847.7</v>
      </c>
      <c r="H523" s="21">
        <f t="shared" si="153"/>
        <v>163.46363584180011</v>
      </c>
      <c r="K523" s="12">
        <v>69097.16</v>
      </c>
      <c r="N523" s="131">
        <f t="shared" si="154"/>
        <v>93.726305497646777</v>
      </c>
      <c r="T523" s="278">
        <v>45820</v>
      </c>
      <c r="W523" s="170">
        <v>45.927399999999999</v>
      </c>
    </row>
    <row r="524" spans="2:23" x14ac:dyDescent="0.3">
      <c r="B524" s="278">
        <v>45797</v>
      </c>
      <c r="E524" s="12">
        <v>2865.1</v>
      </c>
      <c r="H524" s="21">
        <f t="shared" ref="H524:H587" si="155">(E524/$E$762)*100</f>
        <v>164.46243040009185</v>
      </c>
      <c r="K524" s="12">
        <v>67978.240000000005</v>
      </c>
      <c r="N524" s="131">
        <f t="shared" ref="N524:N587" si="156">(K524/$K$762)*100</f>
        <v>92.208555162503814</v>
      </c>
      <c r="T524" s="278">
        <v>45819</v>
      </c>
      <c r="W524" s="170">
        <v>46.588999999999999</v>
      </c>
    </row>
    <row r="525" spans="2:23" x14ac:dyDescent="0.3">
      <c r="B525" s="278">
        <v>45796</v>
      </c>
      <c r="E525" s="12">
        <v>2934.8</v>
      </c>
      <c r="H525" s="21">
        <f t="shared" si="155"/>
        <v>168.46334883186961</v>
      </c>
      <c r="K525" s="12">
        <v>68800.350000000006</v>
      </c>
      <c r="N525" s="131">
        <f t="shared" si="156"/>
        <v>93.323699880646643</v>
      </c>
      <c r="T525" s="278">
        <v>45818</v>
      </c>
      <c r="W525" s="170">
        <v>46.789900000000003</v>
      </c>
    </row>
    <row r="526" spans="2:23" x14ac:dyDescent="0.3">
      <c r="B526" s="278">
        <v>45793</v>
      </c>
      <c r="E526" s="12">
        <v>2991.2</v>
      </c>
      <c r="H526" s="21">
        <f t="shared" si="155"/>
        <v>171.70082084840135</v>
      </c>
      <c r="K526" s="12">
        <v>68909.14</v>
      </c>
      <c r="N526" s="131">
        <f t="shared" si="156"/>
        <v>93.471267230376924</v>
      </c>
      <c r="T526" s="278">
        <v>45817</v>
      </c>
      <c r="W526" s="170">
        <v>47.230400000000003</v>
      </c>
    </row>
    <row r="527" spans="2:23" x14ac:dyDescent="0.3">
      <c r="B527" s="278">
        <v>45792</v>
      </c>
      <c r="E527" s="12">
        <v>2979.8</v>
      </c>
      <c r="H527" s="21">
        <f t="shared" si="155"/>
        <v>171.04643820676196</v>
      </c>
      <c r="K527" s="12">
        <v>67802.23</v>
      </c>
      <c r="N527" s="131">
        <f t="shared" si="156"/>
        <v>91.969807766364212</v>
      </c>
      <c r="T527" s="278">
        <v>45814</v>
      </c>
      <c r="W527" s="170">
        <v>47.196599999999997</v>
      </c>
    </row>
    <row r="528" spans="2:23" x14ac:dyDescent="0.3">
      <c r="B528" s="278">
        <v>45791</v>
      </c>
      <c r="E528" s="12">
        <v>2993.8</v>
      </c>
      <c r="H528" s="21">
        <f t="shared" si="155"/>
        <v>171.85006601228406</v>
      </c>
      <c r="K528" s="12">
        <v>66938.23</v>
      </c>
      <c r="N528" s="131">
        <f t="shared" si="156"/>
        <v>90.797841683388199</v>
      </c>
      <c r="T528" s="278">
        <v>45813</v>
      </c>
      <c r="W528" s="170">
        <v>47.3536</v>
      </c>
    </row>
    <row r="529" spans="2:23" x14ac:dyDescent="0.3">
      <c r="B529" s="278">
        <v>45790</v>
      </c>
      <c r="E529" s="12">
        <v>3025.2</v>
      </c>
      <c r="H529" s="21">
        <f t="shared" si="155"/>
        <v>173.65248837609781</v>
      </c>
      <c r="K529" s="12">
        <v>65952.78</v>
      </c>
      <c r="N529" s="131">
        <f t="shared" si="156"/>
        <v>89.461135692104975</v>
      </c>
      <c r="T529" s="278">
        <v>45812</v>
      </c>
      <c r="W529" s="170">
        <v>46.926600000000001</v>
      </c>
    </row>
    <row r="530" spans="2:23" x14ac:dyDescent="0.3">
      <c r="B530" s="278">
        <v>45789</v>
      </c>
      <c r="E530" s="12">
        <v>3301.8</v>
      </c>
      <c r="H530" s="21">
        <f t="shared" si="155"/>
        <v>189.52987773376961</v>
      </c>
      <c r="K530" s="12">
        <v>65274.44</v>
      </c>
      <c r="N530" s="131">
        <f t="shared" si="156"/>
        <v>88.541006672746235</v>
      </c>
      <c r="T530" s="278">
        <v>45811</v>
      </c>
      <c r="W530" s="170">
        <v>47.179699999999997</v>
      </c>
    </row>
    <row r="531" spans="2:23" x14ac:dyDescent="0.3">
      <c r="B531" s="278">
        <v>45786</v>
      </c>
      <c r="E531" s="12">
        <v>3158</v>
      </c>
      <c r="H531" s="21">
        <f t="shared" si="155"/>
        <v>181.27547213133573</v>
      </c>
      <c r="K531" s="12">
        <v>62852.21</v>
      </c>
      <c r="N531" s="131">
        <f t="shared" si="156"/>
        <v>85.255391620469638</v>
      </c>
      <c r="T531" s="278">
        <v>45810</v>
      </c>
      <c r="W531" s="170">
        <v>46.099600000000002</v>
      </c>
    </row>
    <row r="532" spans="2:23" x14ac:dyDescent="0.3">
      <c r="B532" s="278">
        <v>45785</v>
      </c>
      <c r="E532" s="12">
        <v>3093.6</v>
      </c>
      <c r="H532" s="21">
        <f t="shared" si="155"/>
        <v>177.57878422593421</v>
      </c>
      <c r="K532" s="12">
        <v>61820.63</v>
      </c>
      <c r="N532" s="131">
        <f t="shared" si="156"/>
        <v>83.856112949316397</v>
      </c>
      <c r="T532" s="278">
        <v>45807</v>
      </c>
      <c r="W532" s="170">
        <v>46.889499999999998</v>
      </c>
    </row>
    <row r="533" spans="2:23" x14ac:dyDescent="0.3">
      <c r="B533" s="278">
        <v>45784</v>
      </c>
      <c r="E533" s="12">
        <v>3119.5</v>
      </c>
      <c r="H533" s="21">
        <f t="shared" si="155"/>
        <v>179.06549566615007</v>
      </c>
      <c r="K533" s="12">
        <v>62384</v>
      </c>
      <c r="N533" s="131">
        <f t="shared" si="156"/>
        <v>84.620291805990234</v>
      </c>
      <c r="T533" s="278">
        <v>45806</v>
      </c>
      <c r="W533" s="170">
        <v>47.196599999999997</v>
      </c>
    </row>
    <row r="534" spans="2:23" x14ac:dyDescent="0.3">
      <c r="B534" s="278">
        <v>45783</v>
      </c>
      <c r="E534" s="12">
        <v>3041.4</v>
      </c>
      <c r="H534" s="21">
        <f t="shared" si="155"/>
        <v>174.5824005510591</v>
      </c>
      <c r="K534" s="12">
        <v>62117.06</v>
      </c>
      <c r="N534" s="131">
        <f t="shared" si="156"/>
        <v>84.258203118270771</v>
      </c>
      <c r="T534" s="278">
        <v>45805</v>
      </c>
      <c r="W534" s="170">
        <v>47.5122</v>
      </c>
    </row>
    <row r="535" spans="2:23" x14ac:dyDescent="0.3">
      <c r="B535" s="278">
        <v>45782</v>
      </c>
      <c r="E535" s="12">
        <v>3115.8</v>
      </c>
      <c r="H535" s="21">
        <f t="shared" si="155"/>
        <v>178.85310831754782</v>
      </c>
      <c r="K535" s="12">
        <v>63200.61</v>
      </c>
      <c r="N535" s="131">
        <f t="shared" si="156"/>
        <v>85.727976091891904</v>
      </c>
      <c r="T535" s="278">
        <v>45804</v>
      </c>
      <c r="W535" s="170">
        <v>47.662399999999998</v>
      </c>
    </row>
    <row r="536" spans="2:23" x14ac:dyDescent="0.3">
      <c r="B536" s="278">
        <v>45779</v>
      </c>
      <c r="E536" s="12">
        <v>2914.1</v>
      </c>
      <c r="H536" s="21">
        <f t="shared" si="155"/>
        <v>167.27512771941912</v>
      </c>
      <c r="K536" s="12">
        <v>62668.31</v>
      </c>
      <c r="N536" s="131">
        <f t="shared" si="156"/>
        <v>85.005941895169528</v>
      </c>
      <c r="T536" s="278">
        <v>45803</v>
      </c>
      <c r="W536" s="170">
        <v>47.282699999999998</v>
      </c>
    </row>
    <row r="537" spans="2:23" x14ac:dyDescent="0.3">
      <c r="B537" s="278">
        <v>45777</v>
      </c>
      <c r="E537" s="12">
        <v>2989.4</v>
      </c>
      <c r="H537" s="21">
        <f t="shared" si="155"/>
        <v>171.59749727340568</v>
      </c>
      <c r="K537" s="12">
        <v>62780.39</v>
      </c>
      <c r="N537" s="131">
        <f t="shared" si="156"/>
        <v>85.157971939822247</v>
      </c>
      <c r="T537" s="278">
        <v>45800</v>
      </c>
      <c r="W537" s="170">
        <v>46.957000000000001</v>
      </c>
    </row>
    <row r="538" spans="2:23" x14ac:dyDescent="0.3">
      <c r="B538" s="278">
        <v>45776</v>
      </c>
      <c r="E538" s="12">
        <v>3089.4</v>
      </c>
      <c r="H538" s="21">
        <f t="shared" si="155"/>
        <v>177.33769588427762</v>
      </c>
      <c r="K538" s="12">
        <v>63289.87</v>
      </c>
      <c r="N538" s="131">
        <f t="shared" si="156"/>
        <v>85.849052124954923</v>
      </c>
      <c r="T538" s="278">
        <v>45799</v>
      </c>
      <c r="W538" s="170">
        <v>47.392400000000002</v>
      </c>
    </row>
    <row r="539" spans="2:23" x14ac:dyDescent="0.3">
      <c r="B539" s="278">
        <v>45775</v>
      </c>
      <c r="E539" s="12">
        <v>3018</v>
      </c>
      <c r="H539" s="21">
        <f t="shared" si="155"/>
        <v>173.23919407611504</v>
      </c>
      <c r="K539" s="12">
        <v>62698.43</v>
      </c>
      <c r="N539" s="131">
        <f t="shared" si="156"/>
        <v>85.046797935006609</v>
      </c>
      <c r="T539" s="278">
        <v>45798</v>
      </c>
      <c r="W539" s="170">
        <v>48.062399999999997</v>
      </c>
    </row>
    <row r="540" spans="2:23" x14ac:dyDescent="0.3">
      <c r="B540" s="278">
        <v>45772</v>
      </c>
      <c r="E540" s="12">
        <v>3035.3</v>
      </c>
      <c r="H540" s="21">
        <f t="shared" si="155"/>
        <v>174.2322484357959</v>
      </c>
      <c r="K540" s="12">
        <v>61508.959999999999</v>
      </c>
      <c r="N540" s="131">
        <f t="shared" si="156"/>
        <v>83.433350600842857</v>
      </c>
      <c r="T540" s="278">
        <v>45797</v>
      </c>
      <c r="W540" s="170">
        <v>48.356099999999998</v>
      </c>
    </row>
    <row r="541" spans="2:23" x14ac:dyDescent="0.3">
      <c r="B541" s="278">
        <v>45771</v>
      </c>
      <c r="E541" s="12">
        <v>3082.7</v>
      </c>
      <c r="H541" s="21">
        <f t="shared" si="155"/>
        <v>176.95310257734917</v>
      </c>
      <c r="K541" s="12">
        <v>62802.62</v>
      </c>
      <c r="N541" s="131">
        <f t="shared" si="156"/>
        <v>85.188125650498819</v>
      </c>
      <c r="T541" s="278">
        <v>45796</v>
      </c>
      <c r="W541" s="170">
        <v>49.532499999999999</v>
      </c>
    </row>
    <row r="542" spans="2:23" x14ac:dyDescent="0.3">
      <c r="B542" s="278">
        <v>45770</v>
      </c>
      <c r="E542" s="12">
        <v>3158.7</v>
      </c>
      <c r="H542" s="21">
        <f t="shared" si="155"/>
        <v>181.31565352161186</v>
      </c>
      <c r="K542" s="12">
        <v>62829.74</v>
      </c>
      <c r="N542" s="131">
        <f t="shared" si="156"/>
        <v>85.224912363658902</v>
      </c>
      <c r="T542" s="278">
        <v>45793</v>
      </c>
      <c r="W542" s="170">
        <v>50.484400000000001</v>
      </c>
    </row>
    <row r="543" spans="2:23" x14ac:dyDescent="0.3">
      <c r="B543" s="278">
        <v>45769</v>
      </c>
      <c r="E543" s="12">
        <v>3231.1</v>
      </c>
      <c r="H543" s="21">
        <f t="shared" si="155"/>
        <v>185.47155731588313</v>
      </c>
      <c r="K543" s="12">
        <v>62189.75</v>
      </c>
      <c r="N543" s="131">
        <f t="shared" si="156"/>
        <v>84.356802903654483</v>
      </c>
      <c r="T543" s="278">
        <v>45792</v>
      </c>
      <c r="W543" s="170">
        <v>50.292000000000002</v>
      </c>
    </row>
    <row r="544" spans="2:23" x14ac:dyDescent="0.3">
      <c r="B544" s="278">
        <v>45768</v>
      </c>
      <c r="E544" s="12">
        <v>3327.9</v>
      </c>
      <c r="H544" s="21">
        <f t="shared" si="155"/>
        <v>191.02806957120717</v>
      </c>
      <c r="K544" s="12">
        <v>62275.41</v>
      </c>
      <c r="N544" s="131">
        <f t="shared" si="156"/>
        <v>84.472995744705088</v>
      </c>
      <c r="T544" s="278">
        <v>45791</v>
      </c>
      <c r="W544" s="170">
        <v>50.528300000000002</v>
      </c>
    </row>
    <row r="545" spans="2:23" x14ac:dyDescent="0.3">
      <c r="B545" s="278">
        <v>45764</v>
      </c>
      <c r="E545" s="12">
        <v>3167.1</v>
      </c>
      <c r="H545" s="21">
        <f t="shared" si="155"/>
        <v>181.79783020492511</v>
      </c>
      <c r="K545" s="12">
        <v>61111.69</v>
      </c>
      <c r="N545" s="131">
        <f t="shared" si="156"/>
        <v>82.894476797852263</v>
      </c>
      <c r="T545" s="278">
        <v>45790</v>
      </c>
      <c r="W545" s="170">
        <v>51.058199999999999</v>
      </c>
    </row>
    <row r="546" spans="2:23" x14ac:dyDescent="0.3">
      <c r="B546" s="278">
        <v>45763</v>
      </c>
      <c r="E546" s="12">
        <v>3153</v>
      </c>
      <c r="H546" s="21">
        <f t="shared" si="155"/>
        <v>180.98846220079216</v>
      </c>
      <c r="K546" s="12">
        <v>60654.34</v>
      </c>
      <c r="N546" s="131">
        <f t="shared" si="156"/>
        <v>82.274107945943598</v>
      </c>
      <c r="T546" s="278">
        <v>45789</v>
      </c>
      <c r="W546" s="170">
        <v>55.726599999999998</v>
      </c>
    </row>
    <row r="547" spans="2:23" x14ac:dyDescent="0.3">
      <c r="B547" s="278">
        <v>45762</v>
      </c>
      <c r="E547" s="12">
        <v>3190.6</v>
      </c>
      <c r="H547" s="21">
        <f t="shared" si="155"/>
        <v>183.14677687848001</v>
      </c>
      <c r="K547" s="12">
        <v>60696.06</v>
      </c>
      <c r="N547" s="131">
        <f t="shared" si="156"/>
        <v>82.330698715598416</v>
      </c>
      <c r="T547" s="278">
        <v>45786</v>
      </c>
      <c r="W547" s="170">
        <v>53.299599999999998</v>
      </c>
    </row>
    <row r="548" spans="2:23" x14ac:dyDescent="0.3">
      <c r="B548" s="278">
        <v>45758</v>
      </c>
      <c r="E548" s="12">
        <v>3064.45</v>
      </c>
      <c r="H548" s="21">
        <f t="shared" si="155"/>
        <v>175.90551633086505</v>
      </c>
      <c r="K548" s="12">
        <v>58545.93</v>
      </c>
      <c r="N548" s="131">
        <f t="shared" si="156"/>
        <v>79.414171592925726</v>
      </c>
      <c r="T548" s="278">
        <v>45785</v>
      </c>
      <c r="W548" s="170">
        <v>52.212699999999998</v>
      </c>
    </row>
    <row r="549" spans="2:23" x14ac:dyDescent="0.3">
      <c r="B549" s="278">
        <v>45756</v>
      </c>
      <c r="E549" s="12">
        <v>2908</v>
      </c>
      <c r="H549" s="21">
        <f t="shared" si="155"/>
        <v>166.92497560415592</v>
      </c>
      <c r="K549" s="12">
        <v>57314.96</v>
      </c>
      <c r="N549" s="131">
        <f t="shared" si="156"/>
        <v>77.744431906396798</v>
      </c>
      <c r="T549" s="278">
        <v>45784</v>
      </c>
      <c r="W549" s="170">
        <v>52.649799999999999</v>
      </c>
    </row>
    <row r="550" spans="2:23" x14ac:dyDescent="0.3">
      <c r="B550" s="278">
        <v>45755</v>
      </c>
      <c r="E550" s="12">
        <v>3050.5</v>
      </c>
      <c r="H550" s="21">
        <f t="shared" si="155"/>
        <v>175.10475862464844</v>
      </c>
      <c r="K550" s="12">
        <v>58275.98</v>
      </c>
      <c r="N550" s="131">
        <f t="shared" si="156"/>
        <v>79.048000014107004</v>
      </c>
      <c r="T550" s="278">
        <v>45783</v>
      </c>
      <c r="W550" s="170">
        <v>51.331600000000002</v>
      </c>
    </row>
    <row r="551" spans="2:23" x14ac:dyDescent="0.3">
      <c r="B551" s="278">
        <v>45754</v>
      </c>
      <c r="E551" s="12">
        <v>2985.05</v>
      </c>
      <c r="H551" s="21">
        <f t="shared" si="155"/>
        <v>171.34779863383275</v>
      </c>
      <c r="K551" s="12">
        <v>57055.91</v>
      </c>
      <c r="N551" s="131">
        <f t="shared" si="156"/>
        <v>77.393045547837843</v>
      </c>
      <c r="T551" s="278">
        <v>45782</v>
      </c>
      <c r="W551" s="170">
        <v>52.587299999999999</v>
      </c>
    </row>
    <row r="552" spans="2:23" x14ac:dyDescent="0.3">
      <c r="B552" s="278">
        <v>45751</v>
      </c>
      <c r="E552" s="12">
        <v>3178</v>
      </c>
      <c r="H552" s="21">
        <f t="shared" si="155"/>
        <v>182.42351185351012</v>
      </c>
      <c r="K552" s="12">
        <v>59643.57</v>
      </c>
      <c r="N552" s="131">
        <f t="shared" si="156"/>
        <v>80.903056837506497</v>
      </c>
      <c r="T552" s="278">
        <v>45779</v>
      </c>
      <c r="W552" s="170">
        <v>49.183100000000003</v>
      </c>
    </row>
    <row r="553" spans="2:23" x14ac:dyDescent="0.3">
      <c r="B553" s="278">
        <v>45750</v>
      </c>
      <c r="E553" s="12">
        <v>3420.85</v>
      </c>
      <c r="H553" s="21">
        <f t="shared" si="155"/>
        <v>196.36358418001262</v>
      </c>
      <c r="K553" s="12">
        <v>62121.120000000003</v>
      </c>
      <c r="N553" s="131">
        <f t="shared" si="156"/>
        <v>84.263710273706977</v>
      </c>
      <c r="T553" s="278">
        <v>45778</v>
      </c>
      <c r="W553" s="170"/>
    </row>
    <row r="554" spans="2:23" x14ac:dyDescent="0.3">
      <c r="B554" s="278">
        <v>45749</v>
      </c>
      <c r="E554" s="12">
        <v>3390.6</v>
      </c>
      <c r="H554" s="21">
        <f t="shared" si="155"/>
        <v>194.62717410022387</v>
      </c>
      <c r="K554" s="12">
        <v>61893.919999999998</v>
      </c>
      <c r="N554" s="131">
        <f t="shared" si="156"/>
        <v>83.955526600035498</v>
      </c>
      <c r="T554" s="278">
        <v>45777</v>
      </c>
      <c r="W554" s="170">
        <v>50.454000000000001</v>
      </c>
    </row>
    <row r="555" spans="2:23" x14ac:dyDescent="0.3">
      <c r="B555" s="278">
        <v>45748</v>
      </c>
      <c r="E555" s="12">
        <v>3393.05</v>
      </c>
      <c r="H555" s="21">
        <f t="shared" si="155"/>
        <v>194.76780896619027</v>
      </c>
      <c r="K555" s="12">
        <v>61802.95</v>
      </c>
      <c r="N555" s="131">
        <f t="shared" si="156"/>
        <v>83.832131050766606</v>
      </c>
      <c r="T555" s="278">
        <v>45776</v>
      </c>
      <c r="W555" s="170">
        <v>52.141800000000003</v>
      </c>
    </row>
    <row r="556" spans="2:23" x14ac:dyDescent="0.3">
      <c r="B556" s="278">
        <v>45744</v>
      </c>
      <c r="E556" s="12">
        <v>3475.5</v>
      </c>
      <c r="H556" s="21">
        <f t="shared" si="155"/>
        <v>199.50060272085415</v>
      </c>
      <c r="K556" s="12">
        <v>62724.28</v>
      </c>
      <c r="N556" s="131">
        <f t="shared" si="156"/>
        <v>85.081861966540089</v>
      </c>
      <c r="T556" s="278">
        <v>45775</v>
      </c>
      <c r="W556" s="170">
        <v>50.936700000000002</v>
      </c>
    </row>
    <row r="557" spans="2:23" x14ac:dyDescent="0.3">
      <c r="B557" s="278">
        <v>45743</v>
      </c>
      <c r="E557" s="12">
        <v>3546.6</v>
      </c>
      <c r="H557" s="21">
        <f t="shared" si="155"/>
        <v>203.58188393318409</v>
      </c>
      <c r="K557" s="12">
        <v>62817.33</v>
      </c>
      <c r="N557" s="131">
        <f t="shared" si="156"/>
        <v>85.208078915638367</v>
      </c>
      <c r="T557" s="278">
        <v>45772</v>
      </c>
      <c r="W557" s="170">
        <v>51.228700000000003</v>
      </c>
    </row>
    <row r="558" spans="2:23" x14ac:dyDescent="0.3">
      <c r="B558" s="278">
        <v>45742</v>
      </c>
      <c r="E558" s="12">
        <v>3363.9</v>
      </c>
      <c r="H558" s="21">
        <f t="shared" si="155"/>
        <v>193.09454107112109</v>
      </c>
      <c r="K558" s="12">
        <v>62499.96</v>
      </c>
      <c r="N558" s="131">
        <f t="shared" si="156"/>
        <v>84.777584846478533</v>
      </c>
      <c r="T558" s="278">
        <v>45771</v>
      </c>
      <c r="W558" s="170">
        <v>52.028700000000001</v>
      </c>
    </row>
    <row r="559" spans="2:23" x14ac:dyDescent="0.3">
      <c r="B559" s="278">
        <v>45741</v>
      </c>
      <c r="E559" s="12">
        <v>3290.65</v>
      </c>
      <c r="H559" s="21">
        <f t="shared" si="155"/>
        <v>188.88984558865738</v>
      </c>
      <c r="K559" s="12">
        <v>62468.01</v>
      </c>
      <c r="N559" s="131">
        <f t="shared" si="156"/>
        <v>84.73424651736849</v>
      </c>
      <c r="T559" s="278">
        <v>45770</v>
      </c>
      <c r="W559" s="170">
        <v>53.311399999999999</v>
      </c>
    </row>
    <row r="560" spans="2:23" x14ac:dyDescent="0.3">
      <c r="B560" s="278">
        <v>45740</v>
      </c>
      <c r="E560" s="12">
        <v>3371.1</v>
      </c>
      <c r="H560" s="21">
        <f t="shared" si="155"/>
        <v>193.50783537110385</v>
      </c>
      <c r="K560" s="12">
        <v>63106.78</v>
      </c>
      <c r="N560" s="131">
        <f t="shared" si="156"/>
        <v>85.600701117857597</v>
      </c>
      <c r="T560" s="278">
        <v>45769</v>
      </c>
      <c r="W560" s="170">
        <v>54.533299999999997</v>
      </c>
    </row>
    <row r="561" spans="2:23" x14ac:dyDescent="0.3">
      <c r="B561" s="278">
        <v>45737</v>
      </c>
      <c r="E561" s="12">
        <v>3266.55</v>
      </c>
      <c r="H561" s="21">
        <f t="shared" si="155"/>
        <v>187.50645772343725</v>
      </c>
      <c r="K561" s="12">
        <v>61901.78</v>
      </c>
      <c r="N561" s="131">
        <f t="shared" si="156"/>
        <v>83.966188235929252</v>
      </c>
      <c r="T561" s="278">
        <v>45768</v>
      </c>
      <c r="W561" s="170">
        <v>56.167099999999998</v>
      </c>
    </row>
    <row r="562" spans="2:23" x14ac:dyDescent="0.3">
      <c r="B562" s="278">
        <v>45736</v>
      </c>
      <c r="E562" s="12">
        <v>3135.7</v>
      </c>
      <c r="H562" s="21">
        <f t="shared" si="155"/>
        <v>179.9954078411113</v>
      </c>
      <c r="K562" s="12">
        <v>61290.7</v>
      </c>
      <c r="N562" s="131">
        <f t="shared" si="156"/>
        <v>83.137293520668848</v>
      </c>
      <c r="T562" s="278">
        <v>45765</v>
      </c>
      <c r="W562" s="170"/>
    </row>
    <row r="563" spans="2:23" x14ac:dyDescent="0.3">
      <c r="B563" s="278">
        <v>45735</v>
      </c>
      <c r="E563" s="12">
        <v>3172.85</v>
      </c>
      <c r="H563" s="21">
        <f t="shared" si="155"/>
        <v>182.12789162505024</v>
      </c>
      <c r="K563" s="12">
        <v>60768.04</v>
      </c>
      <c r="N563" s="131">
        <f t="shared" si="156"/>
        <v>82.428335427001912</v>
      </c>
      <c r="T563" s="278">
        <v>45764</v>
      </c>
      <c r="W563" s="170">
        <v>53.453200000000002</v>
      </c>
    </row>
    <row r="564" spans="2:23" x14ac:dyDescent="0.3">
      <c r="B564" s="278">
        <v>45734</v>
      </c>
      <c r="E564" s="12">
        <v>3167.95</v>
      </c>
      <c r="H564" s="21">
        <f t="shared" si="155"/>
        <v>181.84662189311751</v>
      </c>
      <c r="K564" s="12">
        <v>59437.56</v>
      </c>
      <c r="N564" s="131">
        <f t="shared" si="156"/>
        <v>80.62361617459689</v>
      </c>
      <c r="T564" s="278">
        <v>45763</v>
      </c>
      <c r="W564" s="170">
        <v>53.215200000000003</v>
      </c>
    </row>
    <row r="565" spans="2:23" x14ac:dyDescent="0.3">
      <c r="B565" s="278">
        <v>45733</v>
      </c>
      <c r="E565" s="12">
        <v>3075.2</v>
      </c>
      <c r="H565" s="21">
        <f t="shared" si="155"/>
        <v>176.52258768153376</v>
      </c>
      <c r="K565" s="12">
        <v>58020.05</v>
      </c>
      <c r="N565" s="131">
        <f t="shared" si="156"/>
        <v>78.700845755292121</v>
      </c>
      <c r="T565" s="278">
        <v>45762</v>
      </c>
      <c r="W565" s="170">
        <v>53.849800000000002</v>
      </c>
    </row>
    <row r="566" spans="2:23" x14ac:dyDescent="0.3">
      <c r="B566" s="278">
        <v>45729</v>
      </c>
      <c r="E566" s="12">
        <v>2886.4</v>
      </c>
      <c r="H566" s="21">
        <f t="shared" si="155"/>
        <v>165.68509270420756</v>
      </c>
      <c r="K566" s="12">
        <v>57756.79</v>
      </c>
      <c r="N566" s="131">
        <f t="shared" si="156"/>
        <v>78.343748774963103</v>
      </c>
      <c r="T566" s="278">
        <v>45761</v>
      </c>
      <c r="W566" s="170"/>
    </row>
    <row r="567" spans="2:23" x14ac:dyDescent="0.3">
      <c r="B567" s="278">
        <v>45728</v>
      </c>
      <c r="E567" s="12">
        <v>2976.45</v>
      </c>
      <c r="H567" s="21">
        <f t="shared" si="155"/>
        <v>170.85414155329775</v>
      </c>
      <c r="K567" s="12">
        <v>57791.87</v>
      </c>
      <c r="N567" s="131">
        <f t="shared" si="156"/>
        <v>78.391332768239494</v>
      </c>
      <c r="T567" s="278">
        <v>45758</v>
      </c>
      <c r="W567" s="170">
        <v>51.720700000000001</v>
      </c>
    </row>
    <row r="568" spans="2:23" x14ac:dyDescent="0.3">
      <c r="B568" s="278">
        <v>45727</v>
      </c>
      <c r="E568" s="12">
        <v>3012.7</v>
      </c>
      <c r="H568" s="21">
        <f t="shared" si="155"/>
        <v>172.93496354973882</v>
      </c>
      <c r="K568" s="12">
        <v>57968.72</v>
      </c>
      <c r="N568" s="131">
        <f t="shared" si="156"/>
        <v>78.631219575848661</v>
      </c>
      <c r="T568" s="278">
        <v>45757</v>
      </c>
      <c r="W568" s="170"/>
    </row>
    <row r="569" spans="2:23" x14ac:dyDescent="0.3">
      <c r="B569" s="278">
        <v>45726</v>
      </c>
      <c r="E569" s="12">
        <v>3014.25</v>
      </c>
      <c r="H569" s="21">
        <f t="shared" si="155"/>
        <v>173.02393662820734</v>
      </c>
      <c r="K569" s="12">
        <v>57697.55</v>
      </c>
      <c r="N569" s="131">
        <f t="shared" si="156"/>
        <v>78.263393137514626</v>
      </c>
      <c r="T569" s="278">
        <v>45756</v>
      </c>
      <c r="W569" s="170">
        <v>49.080199999999998</v>
      </c>
    </row>
    <row r="570" spans="2:23" x14ac:dyDescent="0.3">
      <c r="B570" s="278">
        <v>45723</v>
      </c>
      <c r="E570" s="12">
        <v>3057.95</v>
      </c>
      <c r="H570" s="21">
        <f t="shared" si="155"/>
        <v>175.53240342115836</v>
      </c>
      <c r="K570" s="12">
        <v>58911.86</v>
      </c>
      <c r="N570" s="131">
        <f t="shared" si="156"/>
        <v>79.910534496563926</v>
      </c>
      <c r="T570" s="278">
        <v>45755</v>
      </c>
      <c r="W570" s="170">
        <v>51.485199999999999</v>
      </c>
    </row>
    <row r="571" spans="2:23" x14ac:dyDescent="0.3">
      <c r="B571" s="278">
        <v>45722</v>
      </c>
      <c r="E571" s="12">
        <v>3069.45</v>
      </c>
      <c r="H571" s="21">
        <f t="shared" si="155"/>
        <v>176.19252626140863</v>
      </c>
      <c r="K571" s="12">
        <v>58634.879999999997</v>
      </c>
      <c r="N571" s="131">
        <f t="shared" si="156"/>
        <v>79.534827128898769</v>
      </c>
      <c r="T571" s="278">
        <v>45754</v>
      </c>
      <c r="W571" s="170">
        <v>50.380600000000001</v>
      </c>
    </row>
    <row r="572" spans="2:23" x14ac:dyDescent="0.3">
      <c r="B572" s="278">
        <v>45721</v>
      </c>
      <c r="E572" s="12">
        <v>2841.35</v>
      </c>
      <c r="H572" s="21">
        <f t="shared" si="155"/>
        <v>163.09913323000976</v>
      </c>
      <c r="K572" s="12">
        <v>58160.24</v>
      </c>
      <c r="N572" s="131">
        <f t="shared" si="156"/>
        <v>78.891005390908333</v>
      </c>
      <c r="T572" s="278">
        <v>45751</v>
      </c>
      <c r="W572" s="170">
        <v>53.637099999999997</v>
      </c>
    </row>
    <row r="573" spans="2:23" x14ac:dyDescent="0.3">
      <c r="B573" s="278">
        <v>45720</v>
      </c>
      <c r="E573" s="12">
        <v>2751.65</v>
      </c>
      <c r="H573" s="21">
        <f t="shared" si="155"/>
        <v>157.95017507605763</v>
      </c>
      <c r="K573" s="12">
        <v>56876.17</v>
      </c>
      <c r="N573" s="131">
        <f t="shared" si="156"/>
        <v>77.149238622196521</v>
      </c>
      <c r="T573" s="278">
        <v>45750</v>
      </c>
      <c r="W573" s="170">
        <v>57.735900000000001</v>
      </c>
    </row>
    <row r="574" spans="2:23" x14ac:dyDescent="0.3">
      <c r="B574" s="278">
        <v>45719</v>
      </c>
      <c r="E574" s="12">
        <v>2742.4</v>
      </c>
      <c r="H574" s="21">
        <f t="shared" si="155"/>
        <v>157.41920670455198</v>
      </c>
      <c r="K574" s="12">
        <v>56083.57</v>
      </c>
      <c r="N574" s="131">
        <f t="shared" si="156"/>
        <v>76.074122514133109</v>
      </c>
      <c r="T574" s="278">
        <v>45749</v>
      </c>
      <c r="W574" s="170">
        <v>57.225299999999997</v>
      </c>
    </row>
    <row r="575" spans="2:23" x14ac:dyDescent="0.3">
      <c r="B575" s="278">
        <v>45716</v>
      </c>
      <c r="E575" s="12">
        <v>2798.15</v>
      </c>
      <c r="H575" s="21">
        <f t="shared" si="155"/>
        <v>160.6193674301131</v>
      </c>
      <c r="K575" s="12">
        <v>55241.120000000003</v>
      </c>
      <c r="N575" s="131">
        <f t="shared" si="156"/>
        <v>74.93138776112022</v>
      </c>
      <c r="T575" s="278">
        <v>45748</v>
      </c>
      <c r="W575" s="170">
        <v>57.2667</v>
      </c>
    </row>
    <row r="576" spans="2:23" x14ac:dyDescent="0.3">
      <c r="B576" s="278">
        <v>45715</v>
      </c>
      <c r="E576" s="12">
        <v>2915.25</v>
      </c>
      <c r="H576" s="21">
        <f t="shared" si="155"/>
        <v>167.34114000344414</v>
      </c>
      <c r="K576" s="12">
        <v>56493.23</v>
      </c>
      <c r="N576" s="131">
        <f t="shared" si="156"/>
        <v>76.629802636299729</v>
      </c>
      <c r="T576" s="278">
        <v>45747</v>
      </c>
      <c r="W576" s="170"/>
    </row>
    <row r="577" spans="2:23" x14ac:dyDescent="0.3">
      <c r="B577" s="278">
        <v>45713</v>
      </c>
      <c r="E577" s="12">
        <v>3046.5</v>
      </c>
      <c r="H577" s="21">
        <f t="shared" si="155"/>
        <v>174.87515068021355</v>
      </c>
      <c r="K577" s="12">
        <v>57399.519999999997</v>
      </c>
      <c r="N577" s="131">
        <f t="shared" si="156"/>
        <v>77.85913266099918</v>
      </c>
      <c r="T577" s="278">
        <v>45744</v>
      </c>
      <c r="W577" s="170">
        <v>58.658200000000001</v>
      </c>
    </row>
    <row r="578" spans="2:23" x14ac:dyDescent="0.3">
      <c r="B578" s="278">
        <v>45712</v>
      </c>
      <c r="E578" s="12">
        <v>3215.9</v>
      </c>
      <c r="H578" s="21">
        <f t="shared" si="155"/>
        <v>184.59904712703062</v>
      </c>
      <c r="K578" s="12">
        <v>57758.47</v>
      </c>
      <c r="N578" s="131">
        <f t="shared" si="156"/>
        <v>78.346027597902236</v>
      </c>
      <c r="T578" s="278">
        <v>45743</v>
      </c>
      <c r="W578" s="170">
        <v>136.38149999999999</v>
      </c>
    </row>
    <row r="579" spans="2:23" x14ac:dyDescent="0.3">
      <c r="B579" s="278">
        <v>45709</v>
      </c>
      <c r="E579" s="12">
        <v>3179.85</v>
      </c>
      <c r="H579" s="21">
        <f t="shared" si="155"/>
        <v>182.52970552781127</v>
      </c>
      <c r="K579" s="12">
        <v>58398.81</v>
      </c>
      <c r="N579" s="131">
        <f t="shared" si="156"/>
        <v>79.214611812685632</v>
      </c>
      <c r="T579" s="278">
        <v>45742</v>
      </c>
      <c r="W579" s="170">
        <v>129.35589999999999</v>
      </c>
    </row>
    <row r="580" spans="2:23" x14ac:dyDescent="0.3">
      <c r="B580" s="278">
        <v>45708</v>
      </c>
      <c r="E580" s="12">
        <v>3106.45</v>
      </c>
      <c r="H580" s="21">
        <f t="shared" si="155"/>
        <v>178.31639974743126</v>
      </c>
      <c r="K580" s="12">
        <v>58435.58</v>
      </c>
      <c r="N580" s="131">
        <f t="shared" si="156"/>
        <v>79.264488193323402</v>
      </c>
      <c r="T580" s="278">
        <v>45741</v>
      </c>
      <c r="W580" s="170">
        <v>126.5391</v>
      </c>
    </row>
    <row r="581" spans="2:23" x14ac:dyDescent="0.3">
      <c r="B581" s="278">
        <v>45707</v>
      </c>
      <c r="E581" s="12">
        <v>3087.65</v>
      </c>
      <c r="H581" s="21">
        <f t="shared" si="155"/>
        <v>177.23724240858735</v>
      </c>
      <c r="K581" s="12">
        <v>57780.05</v>
      </c>
      <c r="N581" s="131">
        <f t="shared" si="156"/>
        <v>78.375299621132115</v>
      </c>
      <c r="T581" s="278">
        <v>45740</v>
      </c>
      <c r="W581" s="170">
        <v>129.6328</v>
      </c>
    </row>
    <row r="582" spans="2:23" x14ac:dyDescent="0.3">
      <c r="B582" s="278">
        <v>45706</v>
      </c>
      <c r="E582" s="12">
        <v>2845.25</v>
      </c>
      <c r="H582" s="21">
        <f t="shared" si="155"/>
        <v>163.32300097583376</v>
      </c>
      <c r="K582" s="12">
        <v>56543.09</v>
      </c>
      <c r="N582" s="131">
        <f t="shared" si="156"/>
        <v>76.697434845671452</v>
      </c>
      <c r="T582" s="278">
        <v>45737</v>
      </c>
      <c r="W582" s="170">
        <v>125.61239999999999</v>
      </c>
    </row>
    <row r="583" spans="2:23" x14ac:dyDescent="0.3">
      <c r="B583" s="278">
        <v>45705</v>
      </c>
      <c r="E583" s="12">
        <v>2843.4</v>
      </c>
      <c r="H583" s="21">
        <f t="shared" si="155"/>
        <v>163.21680730153264</v>
      </c>
      <c r="K583" s="12">
        <v>57063.92</v>
      </c>
      <c r="N583" s="131">
        <f t="shared" si="156"/>
        <v>77.403910650065427</v>
      </c>
      <c r="T583" s="278">
        <v>45736</v>
      </c>
      <c r="W583" s="170">
        <v>120.58069999999999</v>
      </c>
    </row>
    <row r="584" spans="2:23" x14ac:dyDescent="0.3">
      <c r="B584" s="278">
        <v>45702</v>
      </c>
      <c r="E584" s="12">
        <v>2732.1</v>
      </c>
      <c r="H584" s="21">
        <f t="shared" si="155"/>
        <v>156.82796624763219</v>
      </c>
      <c r="K584" s="12">
        <v>57349.1</v>
      </c>
      <c r="N584" s="131">
        <f t="shared" si="156"/>
        <v>77.790740843981055</v>
      </c>
      <c r="T584" s="278">
        <v>45735</v>
      </c>
      <c r="W584" s="170">
        <v>122.00920000000001</v>
      </c>
    </row>
    <row r="585" spans="2:23" x14ac:dyDescent="0.3">
      <c r="B585" s="278">
        <v>45701</v>
      </c>
      <c r="E585" s="12">
        <v>2812.25</v>
      </c>
      <c r="H585" s="21">
        <f t="shared" si="155"/>
        <v>161.42873543424602</v>
      </c>
      <c r="K585" s="12">
        <v>58979.79</v>
      </c>
      <c r="N585" s="131">
        <f t="shared" si="156"/>
        <v>80.002677616953463</v>
      </c>
      <c r="T585" s="278">
        <v>45734</v>
      </c>
      <c r="W585" s="170">
        <v>121.82080000000001</v>
      </c>
    </row>
    <row r="586" spans="2:23" x14ac:dyDescent="0.3">
      <c r="B586" s="278">
        <v>45700</v>
      </c>
      <c r="E586" s="12">
        <v>2669.95</v>
      </c>
      <c r="H586" s="21">
        <f t="shared" si="155"/>
        <v>153.26043281097526</v>
      </c>
      <c r="K586" s="12">
        <v>58923.77</v>
      </c>
      <c r="N586" s="131">
        <f t="shared" si="156"/>
        <v>79.926689723471611</v>
      </c>
      <c r="T586" s="278">
        <v>45733</v>
      </c>
      <c r="W586" s="170">
        <v>118.2542</v>
      </c>
    </row>
    <row r="587" spans="2:23" x14ac:dyDescent="0.3">
      <c r="B587" s="278">
        <v>45699</v>
      </c>
      <c r="E587" s="12">
        <v>2688</v>
      </c>
      <c r="H587" s="21">
        <f t="shared" si="155"/>
        <v>154.29653866023764</v>
      </c>
      <c r="K587" s="12">
        <v>58827.26</v>
      </c>
      <c r="N587" s="131">
        <f t="shared" si="156"/>
        <v>79.795779484272515</v>
      </c>
      <c r="T587" s="278">
        <v>45730</v>
      </c>
      <c r="W587" s="170"/>
    </row>
    <row r="588" spans="2:23" x14ac:dyDescent="0.3">
      <c r="B588" s="278">
        <v>45698</v>
      </c>
      <c r="E588" s="12">
        <v>2820.95</v>
      </c>
      <c r="H588" s="21">
        <f t="shared" ref="H588:H651" si="157">(E588/$E$762)*100</f>
        <v>161.92813271339188</v>
      </c>
      <c r="K588" s="12">
        <v>60391.27</v>
      </c>
      <c r="N588" s="131">
        <f t="shared" ref="N588:N651" si="158">(K588/$K$762)*100</f>
        <v>81.917268689637467</v>
      </c>
      <c r="T588" s="278">
        <v>45729</v>
      </c>
      <c r="W588" s="170">
        <v>110.994</v>
      </c>
    </row>
    <row r="589" spans="2:23" x14ac:dyDescent="0.3">
      <c r="B589" s="278">
        <v>45695</v>
      </c>
      <c r="E589" s="12">
        <v>2798.7</v>
      </c>
      <c r="H589" s="21">
        <f t="shared" si="157"/>
        <v>160.65093852247287</v>
      </c>
      <c r="K589" s="12">
        <v>61074.9</v>
      </c>
      <c r="N589" s="131">
        <f t="shared" si="158"/>
        <v>82.844573288369986</v>
      </c>
      <c r="T589" s="278">
        <v>45728</v>
      </c>
      <c r="W589" s="170">
        <v>114.4568</v>
      </c>
    </row>
    <row r="590" spans="2:23" x14ac:dyDescent="0.3">
      <c r="B590" s="278">
        <v>45694</v>
      </c>
      <c r="E590" s="12">
        <v>2815.65</v>
      </c>
      <c r="H590" s="21">
        <f t="shared" si="157"/>
        <v>161.62390218701569</v>
      </c>
      <c r="K590" s="12">
        <v>61525.05</v>
      </c>
      <c r="N590" s="131">
        <f t="shared" si="158"/>
        <v>83.455175756253837</v>
      </c>
      <c r="T590" s="278">
        <v>45727</v>
      </c>
      <c r="W590" s="170">
        <v>115.85080000000001</v>
      </c>
    </row>
    <row r="591" spans="2:23" x14ac:dyDescent="0.3">
      <c r="B591" s="278">
        <v>45693</v>
      </c>
      <c r="E591" s="12">
        <v>2832.15</v>
      </c>
      <c r="H591" s="21">
        <f t="shared" si="157"/>
        <v>162.57103495780956</v>
      </c>
      <c r="K591" s="12">
        <v>62048.08</v>
      </c>
      <c r="N591" s="131">
        <f t="shared" si="158"/>
        <v>84.164635733544273</v>
      </c>
      <c r="T591" s="278">
        <v>45726</v>
      </c>
      <c r="W591" s="170">
        <v>115.9104</v>
      </c>
    </row>
    <row r="592" spans="2:23" x14ac:dyDescent="0.3">
      <c r="B592" s="278">
        <v>45692</v>
      </c>
      <c r="E592" s="12">
        <v>2835.3</v>
      </c>
      <c r="H592" s="21">
        <f t="shared" si="157"/>
        <v>162.75185121405201</v>
      </c>
      <c r="K592" s="12">
        <v>61947.54</v>
      </c>
      <c r="N592" s="131">
        <f t="shared" si="158"/>
        <v>84.028259032175754</v>
      </c>
      <c r="T592" s="278">
        <v>45723</v>
      </c>
      <c r="W592" s="170">
        <v>117.5909</v>
      </c>
    </row>
    <row r="593" spans="2:23" x14ac:dyDescent="0.3">
      <c r="B593" s="278">
        <v>45691</v>
      </c>
      <c r="E593" s="12">
        <v>2938.2</v>
      </c>
      <c r="H593" s="21">
        <f t="shared" si="157"/>
        <v>168.65851558463922</v>
      </c>
      <c r="K593" s="12">
        <v>59898.65</v>
      </c>
      <c r="N593" s="131">
        <f t="shared" si="158"/>
        <v>81.249058120429552</v>
      </c>
      <c r="T593" s="278">
        <v>45722</v>
      </c>
      <c r="W593" s="170">
        <v>118.0331</v>
      </c>
    </row>
    <row r="594" spans="2:23" x14ac:dyDescent="0.3">
      <c r="B594" s="278">
        <v>45689</v>
      </c>
      <c r="E594" s="12">
        <v>3027.8</v>
      </c>
      <c r="H594" s="21">
        <f t="shared" si="157"/>
        <v>173.80173353998049</v>
      </c>
      <c r="K594" s="12">
        <v>62581.73</v>
      </c>
      <c r="N594" s="131">
        <f t="shared" si="158"/>
        <v>84.888501127271311</v>
      </c>
      <c r="T594" s="278">
        <v>45721</v>
      </c>
      <c r="W594" s="170">
        <v>109.2617</v>
      </c>
    </row>
    <row r="595" spans="2:23" x14ac:dyDescent="0.3">
      <c r="B595" s="278">
        <v>45688</v>
      </c>
      <c r="E595" s="12">
        <v>2824.6</v>
      </c>
      <c r="H595" s="21">
        <f t="shared" si="157"/>
        <v>162.13764996268873</v>
      </c>
      <c r="K595" s="12">
        <v>64529.77</v>
      </c>
      <c r="N595" s="131">
        <f t="shared" si="158"/>
        <v>87.530904840559018</v>
      </c>
      <c r="T595" s="278">
        <v>45720</v>
      </c>
      <c r="W595" s="170">
        <v>105.81229999999999</v>
      </c>
    </row>
    <row r="596" spans="2:23" x14ac:dyDescent="0.3">
      <c r="B596" s="278">
        <v>45687</v>
      </c>
      <c r="E596" s="12">
        <v>2994.3</v>
      </c>
      <c r="H596" s="21">
        <f t="shared" si="157"/>
        <v>171.8787670053384</v>
      </c>
      <c r="K596" s="12">
        <v>62112.3</v>
      </c>
      <c r="N596" s="131">
        <f t="shared" si="158"/>
        <v>84.251746453276596</v>
      </c>
      <c r="T596" s="278">
        <v>45719</v>
      </c>
      <c r="W596" s="170">
        <v>105.45659999999999</v>
      </c>
    </row>
    <row r="597" spans="2:23" x14ac:dyDescent="0.3">
      <c r="B597" s="278">
        <v>45686</v>
      </c>
      <c r="E597" s="12">
        <v>3063.95</v>
      </c>
      <c r="H597" s="21">
        <f t="shared" si="157"/>
        <v>175.87681533781068</v>
      </c>
      <c r="K597" s="12">
        <v>61759.35</v>
      </c>
      <c r="N597" s="131">
        <f t="shared" si="158"/>
        <v>83.772990169727535</v>
      </c>
      <c r="T597" s="278">
        <v>45716</v>
      </c>
      <c r="W597" s="170">
        <v>107.6005</v>
      </c>
    </row>
    <row r="598" spans="2:23" x14ac:dyDescent="0.3">
      <c r="B598" s="278">
        <v>45685</v>
      </c>
      <c r="E598" s="12">
        <v>2961.2</v>
      </c>
      <c r="H598" s="21">
        <f t="shared" si="157"/>
        <v>169.97876126513978</v>
      </c>
      <c r="K598" s="12">
        <v>60136.27</v>
      </c>
      <c r="N598" s="131">
        <f t="shared" si="158"/>
        <v>81.571375922092457</v>
      </c>
      <c r="T598" s="278">
        <v>45715</v>
      </c>
      <c r="W598" s="170">
        <v>112.10339999999999</v>
      </c>
    </row>
    <row r="599" spans="2:23" x14ac:dyDescent="0.3">
      <c r="B599" s="278">
        <v>45684</v>
      </c>
      <c r="E599" s="12">
        <v>2838.35</v>
      </c>
      <c r="H599" s="21">
        <f t="shared" si="157"/>
        <v>162.92692727168361</v>
      </c>
      <c r="K599" s="12">
        <v>61101.85</v>
      </c>
      <c r="N599" s="131">
        <f t="shared" si="158"/>
        <v>82.88112940635169</v>
      </c>
      <c r="T599" s="278">
        <v>45714</v>
      </c>
      <c r="W599" s="170"/>
    </row>
    <row r="600" spans="2:23" x14ac:dyDescent="0.3">
      <c r="B600" s="278">
        <v>45681</v>
      </c>
      <c r="E600" s="12">
        <v>2950.9</v>
      </c>
      <c r="H600" s="21">
        <f t="shared" si="157"/>
        <v>169.38752080821996</v>
      </c>
      <c r="K600" s="12">
        <v>62231.16</v>
      </c>
      <c r="N600" s="131">
        <f t="shared" si="158"/>
        <v>84.412973176219339</v>
      </c>
      <c r="T600" s="278">
        <v>45713</v>
      </c>
      <c r="W600" s="170">
        <v>117.1506</v>
      </c>
    </row>
    <row r="601" spans="2:23" x14ac:dyDescent="0.3">
      <c r="B601" s="278">
        <v>45680</v>
      </c>
      <c r="E601" s="12">
        <v>3073.5</v>
      </c>
      <c r="H601" s="21">
        <f t="shared" si="157"/>
        <v>176.42500430514895</v>
      </c>
      <c r="K601" s="12">
        <v>63429.75</v>
      </c>
      <c r="N601" s="131">
        <f t="shared" si="158"/>
        <v>86.038791263481158</v>
      </c>
      <c r="T601" s="278">
        <v>45712</v>
      </c>
      <c r="W601" s="170">
        <v>123.6647</v>
      </c>
    </row>
    <row r="602" spans="2:23" x14ac:dyDescent="0.3">
      <c r="B602" s="278">
        <v>45679</v>
      </c>
      <c r="E602" s="12">
        <v>3027.1</v>
      </c>
      <c r="H602" s="21">
        <f t="shared" si="157"/>
        <v>173.76155214970439</v>
      </c>
      <c r="K602" s="12">
        <v>63215.31</v>
      </c>
      <c r="N602" s="131">
        <f t="shared" si="158"/>
        <v>85.747915792609191</v>
      </c>
      <c r="T602" s="278">
        <v>45709</v>
      </c>
      <c r="W602" s="170">
        <v>122.2784</v>
      </c>
    </row>
    <row r="603" spans="2:23" x14ac:dyDescent="0.3">
      <c r="B603" s="278">
        <v>45678</v>
      </c>
      <c r="E603" s="12">
        <v>3024.45</v>
      </c>
      <c r="H603" s="21">
        <f t="shared" si="157"/>
        <v>173.60943688651628</v>
      </c>
      <c r="K603" s="12">
        <v>64384.37</v>
      </c>
      <c r="N603" s="131">
        <f t="shared" si="158"/>
        <v>87.3336781409471</v>
      </c>
      <c r="T603" s="278">
        <v>45708</v>
      </c>
      <c r="W603" s="170">
        <v>119.4559</v>
      </c>
    </row>
    <row r="604" spans="2:23" x14ac:dyDescent="0.3">
      <c r="B604" s="278">
        <v>45677</v>
      </c>
      <c r="E604" s="12">
        <v>3114</v>
      </c>
      <c r="H604" s="21">
        <f t="shared" si="157"/>
        <v>178.74978474255209</v>
      </c>
      <c r="K604" s="12">
        <v>65807.600000000006</v>
      </c>
      <c r="N604" s="131">
        <f t="shared" si="158"/>
        <v>89.264207409782699</v>
      </c>
      <c r="T604" s="278">
        <v>45707</v>
      </c>
      <c r="W604" s="170">
        <v>118.7329</v>
      </c>
    </row>
    <row r="605" spans="2:23" x14ac:dyDescent="0.3">
      <c r="B605" s="278">
        <v>45674</v>
      </c>
      <c r="E605" s="12">
        <v>3100.4</v>
      </c>
      <c r="H605" s="21">
        <f t="shared" si="157"/>
        <v>177.96911773147352</v>
      </c>
      <c r="K605" s="12">
        <v>65179.63</v>
      </c>
      <c r="N605" s="131">
        <f t="shared" si="158"/>
        <v>88.412402385330779</v>
      </c>
      <c r="T605" s="278">
        <v>45706</v>
      </c>
      <c r="W605" s="170">
        <v>109.4117</v>
      </c>
    </row>
    <row r="606" spans="2:23" x14ac:dyDescent="0.3">
      <c r="B606" s="278">
        <v>45673</v>
      </c>
      <c r="E606" s="12">
        <v>3097.55</v>
      </c>
      <c r="H606" s="21">
        <f t="shared" si="157"/>
        <v>177.80552207106368</v>
      </c>
      <c r="K606" s="12">
        <v>64158.49</v>
      </c>
      <c r="N606" s="131">
        <f t="shared" si="158"/>
        <v>87.027284971013501</v>
      </c>
      <c r="T606" s="278">
        <v>45705</v>
      </c>
      <c r="W606" s="170">
        <v>109.34050000000001</v>
      </c>
    </row>
    <row r="607" spans="2:23" x14ac:dyDescent="0.3">
      <c r="B607" s="278">
        <v>45672</v>
      </c>
      <c r="E607" s="12">
        <v>3044.4</v>
      </c>
      <c r="H607" s="21">
        <f t="shared" si="157"/>
        <v>174.75460650938524</v>
      </c>
      <c r="K607" s="12">
        <v>63175.87</v>
      </c>
      <c r="N607" s="131">
        <f t="shared" si="158"/>
        <v>85.694417711228908</v>
      </c>
      <c r="T607" s="278">
        <v>45702</v>
      </c>
      <c r="W607" s="170">
        <v>105.06059999999999</v>
      </c>
    </row>
    <row r="608" spans="2:23" x14ac:dyDescent="0.3">
      <c r="B608" s="278">
        <v>45671</v>
      </c>
      <c r="E608" s="12">
        <v>3118.75</v>
      </c>
      <c r="H608" s="21">
        <f t="shared" si="157"/>
        <v>179.02244417656851</v>
      </c>
      <c r="K608" s="12">
        <v>62951.74</v>
      </c>
      <c r="N608" s="131">
        <f t="shared" si="158"/>
        <v>85.390398315190225</v>
      </c>
      <c r="T608" s="278">
        <v>45701</v>
      </c>
      <c r="W608" s="170">
        <v>108.1427</v>
      </c>
    </row>
    <row r="609" spans="2:23" x14ac:dyDescent="0.3">
      <c r="B609" s="278">
        <v>45670</v>
      </c>
      <c r="E609" s="12">
        <v>2892.2</v>
      </c>
      <c r="H609" s="21">
        <f t="shared" si="157"/>
        <v>166.01802422363815</v>
      </c>
      <c r="K609" s="12">
        <v>61931.11</v>
      </c>
      <c r="N609" s="131">
        <f t="shared" si="158"/>
        <v>84.005972686408043</v>
      </c>
      <c r="T609" s="278">
        <v>45700</v>
      </c>
      <c r="W609" s="170">
        <v>102.67059999999999</v>
      </c>
    </row>
    <row r="610" spans="2:23" x14ac:dyDescent="0.3">
      <c r="B610" s="278">
        <v>45667</v>
      </c>
      <c r="E610" s="12">
        <v>3092.7</v>
      </c>
      <c r="H610" s="21">
        <f t="shared" si="157"/>
        <v>177.52712243843635</v>
      </c>
      <c r="K610" s="12">
        <v>64232.65</v>
      </c>
      <c r="N610" s="131">
        <f t="shared" si="158"/>
        <v>87.12787872646895</v>
      </c>
      <c r="T610" s="278">
        <v>45699</v>
      </c>
      <c r="W610" s="170">
        <v>103.3647</v>
      </c>
    </row>
    <row r="611" spans="2:23" x14ac:dyDescent="0.3">
      <c r="B611" s="278">
        <v>45666</v>
      </c>
      <c r="E611" s="12">
        <v>3293.65</v>
      </c>
      <c r="H611" s="21">
        <f t="shared" si="157"/>
        <v>189.06205154698355</v>
      </c>
      <c r="K611" s="12">
        <v>65355.69</v>
      </c>
      <c r="N611" s="131">
        <f t="shared" si="158"/>
        <v>88.651217603581657</v>
      </c>
      <c r="T611" s="278">
        <v>45698</v>
      </c>
      <c r="W611" s="170">
        <v>108.4772</v>
      </c>
    </row>
    <row r="612" spans="2:23" x14ac:dyDescent="0.3">
      <c r="B612" s="278">
        <v>45665</v>
      </c>
      <c r="E612" s="12">
        <v>3426.65</v>
      </c>
      <c r="H612" s="21">
        <f t="shared" si="157"/>
        <v>196.69651569944321</v>
      </c>
      <c r="K612" s="12">
        <v>66375.31</v>
      </c>
      <c r="N612" s="131">
        <f t="shared" si="158"/>
        <v>90.034273225715907</v>
      </c>
      <c r="T612" s="278">
        <v>45695</v>
      </c>
      <c r="W612" s="170">
        <v>107.6216</v>
      </c>
    </row>
    <row r="613" spans="2:23" x14ac:dyDescent="0.3">
      <c r="B613" s="278">
        <v>45664</v>
      </c>
      <c r="E613" s="12">
        <v>3492.85</v>
      </c>
      <c r="H613" s="21">
        <f t="shared" si="157"/>
        <v>200.4965271798404</v>
      </c>
      <c r="K613" s="12">
        <v>67277.509999999995</v>
      </c>
      <c r="N613" s="131">
        <f t="shared" si="158"/>
        <v>91.258055401712397</v>
      </c>
      <c r="T613" s="278">
        <v>45694</v>
      </c>
      <c r="W613" s="170">
        <v>108.2734</v>
      </c>
    </row>
    <row r="614" spans="2:23" x14ac:dyDescent="0.3">
      <c r="B614" s="278">
        <v>45663</v>
      </c>
      <c r="E614" s="12">
        <v>3435.85</v>
      </c>
      <c r="H614" s="21">
        <f t="shared" si="157"/>
        <v>197.22461397164341</v>
      </c>
      <c r="K614" s="12">
        <v>66521.960000000006</v>
      </c>
      <c r="N614" s="131">
        <f t="shared" si="158"/>
        <v>90.233195478109934</v>
      </c>
      <c r="T614" s="278">
        <v>45693</v>
      </c>
      <c r="W614" s="170">
        <v>108.9079</v>
      </c>
    </row>
    <row r="615" spans="2:23" x14ac:dyDescent="0.3">
      <c r="B615" s="278">
        <v>45660</v>
      </c>
      <c r="E615" s="12">
        <v>3516.25</v>
      </c>
      <c r="H615" s="21">
        <f t="shared" si="157"/>
        <v>201.83973365478445</v>
      </c>
      <c r="K615" s="12">
        <v>68211.210000000006</v>
      </c>
      <c r="N615" s="131">
        <f t="shared" si="158"/>
        <v>92.524565507817385</v>
      </c>
      <c r="T615" s="278">
        <v>45692</v>
      </c>
      <c r="W615" s="170">
        <v>109.029</v>
      </c>
    </row>
    <row r="616" spans="2:23" x14ac:dyDescent="0.3">
      <c r="B616" s="278">
        <v>45659</v>
      </c>
      <c r="E616" s="12">
        <v>3542.8</v>
      </c>
      <c r="H616" s="21">
        <f t="shared" si="157"/>
        <v>203.36375638597099</v>
      </c>
      <c r="K616" s="12">
        <v>68938.92</v>
      </c>
      <c r="N616" s="131">
        <f t="shared" si="158"/>
        <v>93.511662079857274</v>
      </c>
      <c r="T616" s="278">
        <v>45691</v>
      </c>
      <c r="W616" s="170">
        <v>112.986</v>
      </c>
    </row>
    <row r="617" spans="2:23" x14ac:dyDescent="0.3">
      <c r="B617" s="278">
        <v>45658</v>
      </c>
      <c r="E617" s="12">
        <v>3491.75</v>
      </c>
      <c r="H617" s="21">
        <f t="shared" si="157"/>
        <v>200.43338499512083</v>
      </c>
      <c r="K617" s="12">
        <v>68604.11</v>
      </c>
      <c r="N617" s="131">
        <f t="shared" si="158"/>
        <v>93.057511658281811</v>
      </c>
      <c r="T617" s="278">
        <v>45689</v>
      </c>
      <c r="W617" s="170">
        <v>116.4315</v>
      </c>
    </row>
    <row r="618" spans="2:23" x14ac:dyDescent="0.3">
      <c r="B618" s="278">
        <v>45657</v>
      </c>
      <c r="E618" s="12">
        <v>3498.65</v>
      </c>
      <c r="H618" s="21">
        <f t="shared" si="157"/>
        <v>200.82945869927102</v>
      </c>
      <c r="K618" s="12">
        <v>67779.5</v>
      </c>
      <c r="N618" s="131">
        <f t="shared" si="158"/>
        <v>91.938975834574805</v>
      </c>
      <c r="T618" s="278">
        <v>45688</v>
      </c>
      <c r="W618" s="170">
        <v>108.6176</v>
      </c>
    </row>
    <row r="619" spans="2:23" x14ac:dyDescent="0.3">
      <c r="B619" s="278">
        <v>45656</v>
      </c>
      <c r="E619" s="12">
        <v>3473.55</v>
      </c>
      <c r="H619" s="21">
        <f t="shared" si="157"/>
        <v>199.38866884794214</v>
      </c>
      <c r="K619" s="12">
        <v>66904.27</v>
      </c>
      <c r="N619" s="131">
        <f t="shared" si="158"/>
        <v>90.751776905404569</v>
      </c>
      <c r="T619" s="278">
        <v>45687</v>
      </c>
      <c r="W619" s="170">
        <v>115.14319999999999</v>
      </c>
    </row>
    <row r="620" spans="2:23" x14ac:dyDescent="0.3">
      <c r="B620" s="278">
        <v>45653</v>
      </c>
      <c r="E620" s="12">
        <v>3442.6</v>
      </c>
      <c r="H620" s="21">
        <f t="shared" si="157"/>
        <v>197.61207737787728</v>
      </c>
      <c r="K620" s="12">
        <v>68160.149999999994</v>
      </c>
      <c r="N620" s="131">
        <f t="shared" si="158"/>
        <v>92.455305567774829</v>
      </c>
      <c r="T620" s="278">
        <v>45686</v>
      </c>
      <c r="W620" s="170">
        <v>117.8216</v>
      </c>
    </row>
    <row r="621" spans="2:23" x14ac:dyDescent="0.3">
      <c r="B621" s="278">
        <v>45652</v>
      </c>
      <c r="E621" s="12">
        <v>3499.65</v>
      </c>
      <c r="H621" s="21">
        <f t="shared" si="157"/>
        <v>200.8868606853797</v>
      </c>
      <c r="K621" s="12">
        <v>68576.740000000005</v>
      </c>
      <c r="N621" s="131">
        <f t="shared" si="158"/>
        <v>93.020385834565317</v>
      </c>
      <c r="T621" s="278">
        <v>45685</v>
      </c>
      <c r="W621" s="170">
        <v>113.8704</v>
      </c>
    </row>
    <row r="622" spans="2:23" x14ac:dyDescent="0.3">
      <c r="B622" s="278">
        <v>45650</v>
      </c>
      <c r="E622" s="12">
        <v>3381.95</v>
      </c>
      <c r="H622" s="21">
        <f t="shared" si="157"/>
        <v>194.13064692038344</v>
      </c>
      <c r="K622" s="12">
        <v>68551.06</v>
      </c>
      <c r="N622" s="131">
        <f t="shared" si="158"/>
        <v>92.985552398210189</v>
      </c>
      <c r="T622" s="278">
        <v>45684</v>
      </c>
      <c r="W622" s="170">
        <v>109.1463</v>
      </c>
    </row>
    <row r="623" spans="2:23" x14ac:dyDescent="0.3">
      <c r="B623" s="278">
        <v>45649</v>
      </c>
      <c r="E623" s="12">
        <v>3427.25</v>
      </c>
      <c r="H623" s="21">
        <f t="shared" si="157"/>
        <v>196.73095689110843</v>
      </c>
      <c r="K623" s="12">
        <v>68616.42</v>
      </c>
      <c r="N623" s="131">
        <f t="shared" si="158"/>
        <v>93.074209462079764</v>
      </c>
      <c r="T623" s="278">
        <v>45681</v>
      </c>
      <c r="W623" s="170">
        <v>113.4743</v>
      </c>
    </row>
    <row r="624" spans="2:23" x14ac:dyDescent="0.3">
      <c r="B624" s="278">
        <v>45646</v>
      </c>
      <c r="E624" s="12">
        <v>3421.45</v>
      </c>
      <c r="H624" s="21">
        <f t="shared" si="157"/>
        <v>196.39802537167785</v>
      </c>
      <c r="K624" s="12">
        <v>68557.399999999994</v>
      </c>
      <c r="N624" s="131">
        <f t="shared" si="158"/>
        <v>92.994152241920915</v>
      </c>
      <c r="T624" s="278">
        <v>45680</v>
      </c>
      <c r="W624" s="170">
        <v>118.1888</v>
      </c>
    </row>
    <row r="625" spans="2:23" x14ac:dyDescent="0.3">
      <c r="B625" s="278">
        <v>45645</v>
      </c>
      <c r="E625" s="12">
        <v>3445.3</v>
      </c>
      <c r="H625" s="21">
        <f t="shared" si="157"/>
        <v>197.76706274037085</v>
      </c>
      <c r="K625" s="12">
        <v>70695.45</v>
      </c>
      <c r="N625" s="131">
        <f t="shared" si="158"/>
        <v>95.894293542507569</v>
      </c>
      <c r="T625" s="278">
        <v>45679</v>
      </c>
      <c r="W625" s="170">
        <v>116.4045</v>
      </c>
    </row>
    <row r="626" spans="2:23" x14ac:dyDescent="0.3">
      <c r="B626" s="278">
        <v>45644</v>
      </c>
      <c r="E626" s="12">
        <v>3397.9</v>
      </c>
      <c r="H626" s="21">
        <f t="shared" si="157"/>
        <v>195.04620859881754</v>
      </c>
      <c r="K626" s="12">
        <v>71462.080000000002</v>
      </c>
      <c r="N626" s="131">
        <f t="shared" si="158"/>
        <v>96.934182845970412</v>
      </c>
      <c r="T626" s="278">
        <v>45678</v>
      </c>
      <c r="W626" s="170">
        <v>116.3026</v>
      </c>
    </row>
    <row r="627" spans="2:23" x14ac:dyDescent="0.3">
      <c r="B627" s="278">
        <v>45643</v>
      </c>
      <c r="E627" s="12">
        <v>3615.1</v>
      </c>
      <c r="H627" s="21">
        <f t="shared" si="157"/>
        <v>207.51391998163137</v>
      </c>
      <c r="K627" s="12">
        <v>72597.2</v>
      </c>
      <c r="N627" s="131">
        <f t="shared" si="158"/>
        <v>98.473907545169183</v>
      </c>
      <c r="T627" s="278">
        <v>45677</v>
      </c>
      <c r="W627" s="170">
        <v>119.7462</v>
      </c>
    </row>
    <row r="628" spans="2:23" x14ac:dyDescent="0.3">
      <c r="B628" s="278">
        <v>45642</v>
      </c>
      <c r="E628" s="12">
        <v>3679.6</v>
      </c>
      <c r="H628" s="21">
        <f t="shared" si="157"/>
        <v>211.21634808564374</v>
      </c>
      <c r="K628" s="12">
        <v>73345.09</v>
      </c>
      <c r="N628" s="131">
        <f t="shared" si="158"/>
        <v>99.48837712132304</v>
      </c>
      <c r="T628" s="278">
        <v>45674</v>
      </c>
      <c r="W628" s="170">
        <v>119.22320000000001</v>
      </c>
    </row>
    <row r="629" spans="2:23" x14ac:dyDescent="0.3">
      <c r="B629" s="278">
        <v>45639</v>
      </c>
      <c r="E629" s="12">
        <v>3730.55</v>
      </c>
      <c r="H629" s="21">
        <f t="shared" si="157"/>
        <v>214.14097927788305</v>
      </c>
      <c r="K629" s="12">
        <v>73065.89</v>
      </c>
      <c r="N629" s="131">
        <f t="shared" si="158"/>
        <v>99.1096584519169</v>
      </c>
      <c r="T629" s="278">
        <v>45673</v>
      </c>
      <c r="W629" s="170">
        <v>119.11360000000001</v>
      </c>
    </row>
    <row r="630" spans="2:23" x14ac:dyDescent="0.3">
      <c r="B630" s="278">
        <v>45638</v>
      </c>
      <c r="E630" s="12">
        <v>3741.75</v>
      </c>
      <c r="H630" s="21">
        <f t="shared" si="157"/>
        <v>214.7838815223007</v>
      </c>
      <c r="K630" s="12">
        <v>72932.679999999993</v>
      </c>
      <c r="N630" s="131">
        <f t="shared" si="158"/>
        <v>98.928966783035833</v>
      </c>
      <c r="T630" s="278">
        <v>45672</v>
      </c>
      <c r="W630" s="170">
        <v>117.0698</v>
      </c>
    </row>
    <row r="631" spans="2:23" x14ac:dyDescent="0.3">
      <c r="B631" s="278">
        <v>45637</v>
      </c>
      <c r="E631" s="12">
        <v>3628.6</v>
      </c>
      <c r="H631" s="21">
        <f t="shared" si="157"/>
        <v>208.2888467940991</v>
      </c>
      <c r="K631" s="12">
        <v>73519.41</v>
      </c>
      <c r="N631" s="131">
        <f t="shared" si="158"/>
        <v>99.724832130101262</v>
      </c>
      <c r="T631" s="278">
        <v>45671</v>
      </c>
      <c r="W631" s="170">
        <v>119.9289</v>
      </c>
    </row>
    <row r="632" spans="2:23" x14ac:dyDescent="0.3">
      <c r="B632" s="278">
        <v>45636</v>
      </c>
      <c r="E632" s="12">
        <v>3576.05</v>
      </c>
      <c r="H632" s="21">
        <f t="shared" si="157"/>
        <v>205.27237242408592</v>
      </c>
      <c r="K632" s="12">
        <v>73346.25</v>
      </c>
      <c r="N632" s="131">
        <f t="shared" si="158"/>
        <v>99.489950594304815</v>
      </c>
      <c r="T632" s="278">
        <v>45670</v>
      </c>
      <c r="W632" s="170">
        <v>111.2171</v>
      </c>
    </row>
    <row r="633" spans="2:23" x14ac:dyDescent="0.3">
      <c r="B633" s="278">
        <v>45635</v>
      </c>
      <c r="E633" s="12">
        <v>3686.9</v>
      </c>
      <c r="H633" s="21">
        <f t="shared" si="157"/>
        <v>211.63538258423742</v>
      </c>
      <c r="K633" s="12">
        <v>73601.8</v>
      </c>
      <c r="N633" s="131">
        <f t="shared" si="158"/>
        <v>99.836589405073937</v>
      </c>
      <c r="T633" s="278">
        <v>45667</v>
      </c>
      <c r="W633" s="170">
        <v>118.9271</v>
      </c>
    </row>
    <row r="634" spans="2:23" x14ac:dyDescent="0.3">
      <c r="B634" s="278">
        <v>45632</v>
      </c>
      <c r="E634" s="12">
        <v>3597.6</v>
      </c>
      <c r="H634" s="21">
        <f t="shared" si="157"/>
        <v>206.50938522472879</v>
      </c>
      <c r="K634" s="12">
        <v>72814.679999999993</v>
      </c>
      <c r="N634" s="131">
        <f t="shared" si="158"/>
        <v>98.768906600407163</v>
      </c>
      <c r="T634" s="278">
        <v>45666</v>
      </c>
      <c r="W634" s="170">
        <v>126.6545</v>
      </c>
    </row>
    <row r="635" spans="2:23" x14ac:dyDescent="0.3">
      <c r="B635" s="278">
        <v>45631</v>
      </c>
      <c r="E635" s="12">
        <v>3634.9</v>
      </c>
      <c r="H635" s="21">
        <f t="shared" si="157"/>
        <v>208.65047930658403</v>
      </c>
      <c r="K635" s="12">
        <v>72612.92</v>
      </c>
      <c r="N635" s="131">
        <f t="shared" si="158"/>
        <v>98.495230816956663</v>
      </c>
      <c r="T635" s="278">
        <v>45665</v>
      </c>
      <c r="W635" s="170">
        <v>131.7689</v>
      </c>
    </row>
    <row r="636" spans="2:23" x14ac:dyDescent="0.3">
      <c r="B636" s="278">
        <v>45630</v>
      </c>
      <c r="E636" s="12">
        <v>3702.55</v>
      </c>
      <c r="H636" s="21">
        <f t="shared" si="157"/>
        <v>212.53372366683888</v>
      </c>
      <c r="K636" s="12">
        <v>72231.45</v>
      </c>
      <c r="N636" s="131">
        <f t="shared" si="158"/>
        <v>97.977788801131595</v>
      </c>
      <c r="T636" s="278">
        <v>45664</v>
      </c>
      <c r="W636" s="170">
        <v>134.31460000000001</v>
      </c>
    </row>
    <row r="637" spans="2:23" x14ac:dyDescent="0.3">
      <c r="B637" s="278">
        <v>45629</v>
      </c>
      <c r="E637" s="12">
        <v>3562.7</v>
      </c>
      <c r="H637" s="21">
        <f t="shared" si="157"/>
        <v>204.50605590953447</v>
      </c>
      <c r="K637" s="12">
        <v>71834.69</v>
      </c>
      <c r="N637" s="131">
        <f t="shared" si="158"/>
        <v>97.439606783676084</v>
      </c>
      <c r="T637" s="278">
        <v>45663</v>
      </c>
      <c r="W637" s="170">
        <v>132.12270000000001</v>
      </c>
    </row>
    <row r="638" spans="2:23" x14ac:dyDescent="0.3">
      <c r="B638" s="278">
        <v>45628</v>
      </c>
      <c r="E638" s="12">
        <v>3595.2</v>
      </c>
      <c r="H638" s="21">
        <f t="shared" si="157"/>
        <v>206.37162045806784</v>
      </c>
      <c r="K638" s="12">
        <v>70962.899999999994</v>
      </c>
      <c r="N638" s="131">
        <f t="shared" si="158"/>
        <v>96.257074015762115</v>
      </c>
      <c r="T638" s="278">
        <v>45660</v>
      </c>
      <c r="W638" s="170">
        <v>135.21440000000001</v>
      </c>
    </row>
    <row r="639" spans="2:23" x14ac:dyDescent="0.3">
      <c r="B639" s="278">
        <v>45625</v>
      </c>
      <c r="E639" s="12">
        <v>3655.15</v>
      </c>
      <c r="H639" s="21">
        <f t="shared" si="157"/>
        <v>209.81286952528558</v>
      </c>
      <c r="K639" s="12">
        <v>70700.259999999995</v>
      </c>
      <c r="N639" s="131">
        <f t="shared" si="158"/>
        <v>95.900818029613021</v>
      </c>
      <c r="T639" s="278">
        <v>45659</v>
      </c>
      <c r="W639" s="170">
        <v>136.2353</v>
      </c>
    </row>
    <row r="640" spans="2:23" x14ac:dyDescent="0.3">
      <c r="B640" s="278">
        <v>45624</v>
      </c>
      <c r="E640" s="12">
        <v>3480.4</v>
      </c>
      <c r="H640" s="21">
        <f t="shared" si="157"/>
        <v>199.7818724527869</v>
      </c>
      <c r="K640" s="12">
        <v>70167.37</v>
      </c>
      <c r="N640" s="131">
        <f t="shared" si="158"/>
        <v>95.177983531977503</v>
      </c>
      <c r="T640" s="278">
        <v>45658</v>
      </c>
      <c r="W640" s="170">
        <v>134.2723</v>
      </c>
    </row>
    <row r="641" spans="2:23" x14ac:dyDescent="0.3">
      <c r="B641" s="278">
        <v>45623</v>
      </c>
      <c r="E641" s="12">
        <v>3470.75</v>
      </c>
      <c r="H641" s="21">
        <f t="shared" si="157"/>
        <v>199.22794328683773</v>
      </c>
      <c r="K641" s="12">
        <v>70332.460000000006</v>
      </c>
      <c r="N641" s="131">
        <f t="shared" si="158"/>
        <v>95.401918579012829</v>
      </c>
      <c r="T641" s="278">
        <v>45657</v>
      </c>
      <c r="W641" s="170">
        <v>134.5376</v>
      </c>
    </row>
    <row r="642" spans="2:23" x14ac:dyDescent="0.3">
      <c r="B642" s="278">
        <v>45622</v>
      </c>
      <c r="E642" s="12">
        <v>3578.3</v>
      </c>
      <c r="H642" s="21">
        <f t="shared" si="157"/>
        <v>205.4015268928305</v>
      </c>
      <c r="K642" s="12">
        <v>69547.61</v>
      </c>
      <c r="N642" s="131">
        <f t="shared" si="158"/>
        <v>94.337314898198329</v>
      </c>
      <c r="T642" s="278">
        <v>45656</v>
      </c>
      <c r="W642" s="170">
        <v>133.57239999999999</v>
      </c>
    </row>
    <row r="643" spans="2:23" x14ac:dyDescent="0.3">
      <c r="B643" s="278">
        <v>45621</v>
      </c>
      <c r="E643" s="12">
        <v>3679.45</v>
      </c>
      <c r="H643" s="21">
        <f t="shared" si="157"/>
        <v>211.20773778772747</v>
      </c>
      <c r="K643" s="12">
        <v>69622.05</v>
      </c>
      <c r="N643" s="131">
        <f t="shared" si="158"/>
        <v>94.438288457476958</v>
      </c>
      <c r="T643" s="278">
        <v>45653</v>
      </c>
      <c r="W643" s="170">
        <v>132.38220000000001</v>
      </c>
    </row>
    <row r="644" spans="2:23" x14ac:dyDescent="0.3">
      <c r="B644" s="278">
        <v>45618</v>
      </c>
      <c r="E644" s="12">
        <v>3434.25</v>
      </c>
      <c r="H644" s="21">
        <f t="shared" si="157"/>
        <v>197.1327707938695</v>
      </c>
      <c r="K644" s="12">
        <v>67417.279999999999</v>
      </c>
      <c r="N644" s="131">
        <f t="shared" si="158"/>
        <v>91.447645331593833</v>
      </c>
      <c r="T644" s="278">
        <v>45652</v>
      </c>
      <c r="W644" s="170">
        <v>134.57599999999999</v>
      </c>
    </row>
    <row r="645" spans="2:23" x14ac:dyDescent="0.3">
      <c r="B645" s="278">
        <v>45617</v>
      </c>
      <c r="E645" s="12">
        <v>3488.35</v>
      </c>
      <c r="H645" s="21">
        <f t="shared" si="157"/>
        <v>200.23821824235117</v>
      </c>
      <c r="K645" s="12">
        <v>65862.63</v>
      </c>
      <c r="N645" s="131">
        <f t="shared" si="158"/>
        <v>89.338852425461127</v>
      </c>
      <c r="T645" s="278">
        <v>45651</v>
      </c>
      <c r="W645" s="170"/>
    </row>
    <row r="646" spans="2:23" x14ac:dyDescent="0.3">
      <c r="B646" s="278">
        <v>45615</v>
      </c>
      <c r="E646" s="12">
        <v>3413.85</v>
      </c>
      <c r="H646" s="21">
        <f t="shared" si="157"/>
        <v>195.96177027725159</v>
      </c>
      <c r="K646" s="12">
        <v>66327.899999999994</v>
      </c>
      <c r="N646" s="131">
        <f t="shared" si="158"/>
        <v>89.969964299797041</v>
      </c>
      <c r="T646" s="278">
        <v>45650</v>
      </c>
      <c r="W646" s="170">
        <v>130.05000000000001</v>
      </c>
    </row>
    <row r="647" spans="2:23" x14ac:dyDescent="0.3">
      <c r="B647" s="278">
        <v>45614</v>
      </c>
      <c r="E647" s="12">
        <v>3270.8</v>
      </c>
      <c r="H647" s="21">
        <f t="shared" si="157"/>
        <v>187.75041616439933</v>
      </c>
      <c r="K647" s="12">
        <v>66067.539999999994</v>
      </c>
      <c r="N647" s="131">
        <f t="shared" si="158"/>
        <v>89.616801001922468</v>
      </c>
      <c r="T647" s="278">
        <v>45649</v>
      </c>
      <c r="W647" s="170">
        <v>131.792</v>
      </c>
    </row>
    <row r="648" spans="2:23" x14ac:dyDescent="0.3">
      <c r="B648" s="278">
        <v>45610</v>
      </c>
      <c r="E648" s="12">
        <v>3534.35</v>
      </c>
      <c r="H648" s="21">
        <f t="shared" si="157"/>
        <v>202.87870960335229</v>
      </c>
      <c r="K648" s="12">
        <v>66026.23</v>
      </c>
      <c r="N648" s="131">
        <f t="shared" si="158"/>
        <v>89.560766373580179</v>
      </c>
      <c r="T648" s="278">
        <v>45646</v>
      </c>
      <c r="W648" s="170">
        <v>131.56890000000001</v>
      </c>
    </row>
    <row r="649" spans="2:23" x14ac:dyDescent="0.3">
      <c r="B649" s="278">
        <v>45609</v>
      </c>
      <c r="E649" s="12">
        <v>3243.85</v>
      </c>
      <c r="H649" s="21">
        <f t="shared" si="157"/>
        <v>186.2034326387693</v>
      </c>
      <c r="K649" s="12">
        <v>65927.520000000004</v>
      </c>
      <c r="N649" s="131">
        <f t="shared" si="158"/>
        <v>89.426871961484636</v>
      </c>
      <c r="T649" s="278">
        <v>45645</v>
      </c>
      <c r="W649" s="170">
        <v>132.48609999999999</v>
      </c>
    </row>
    <row r="650" spans="2:23" x14ac:dyDescent="0.3">
      <c r="B650" s="278">
        <v>45608</v>
      </c>
      <c r="E650" s="12">
        <v>3500.05</v>
      </c>
      <c r="H650" s="21">
        <f t="shared" si="157"/>
        <v>200.90982147982322</v>
      </c>
      <c r="K650" s="12">
        <v>67767.53</v>
      </c>
      <c r="N650" s="131">
        <f t="shared" si="158"/>
        <v>91.922739221133583</v>
      </c>
      <c r="T650" s="278">
        <v>45644</v>
      </c>
      <c r="W650" s="170">
        <v>130.66329999999999</v>
      </c>
    </row>
    <row r="651" spans="2:23" x14ac:dyDescent="0.3">
      <c r="B651" s="278">
        <v>45607</v>
      </c>
      <c r="E651" s="12">
        <v>3394.55</v>
      </c>
      <c r="H651" s="21">
        <f t="shared" si="157"/>
        <v>194.85391194535333</v>
      </c>
      <c r="K651" s="12">
        <v>69247.600000000006</v>
      </c>
      <c r="N651" s="131">
        <f t="shared" si="158"/>
        <v>93.930368666076063</v>
      </c>
      <c r="T651" s="278">
        <v>45643</v>
      </c>
      <c r="W651" s="170">
        <v>139.01560000000001</v>
      </c>
    </row>
    <row r="652" spans="2:23" x14ac:dyDescent="0.3">
      <c r="B652" s="278">
        <v>45604</v>
      </c>
      <c r="E652" s="12">
        <v>3561.95</v>
      </c>
      <c r="H652" s="21">
        <f t="shared" ref="H652:H715" si="159">(E652/$E$762)*100</f>
        <v>204.46300441995291</v>
      </c>
      <c r="K652" s="12">
        <v>69479.429999999993</v>
      </c>
      <c r="N652" s="131">
        <f t="shared" ref="N652:N673" si="160">(K652/$K$762)*100</f>
        <v>94.244832667252368</v>
      </c>
      <c r="T652" s="278">
        <v>45642</v>
      </c>
      <c r="W652" s="170">
        <v>141.49590000000001</v>
      </c>
    </row>
    <row r="653" spans="2:23" x14ac:dyDescent="0.3">
      <c r="B653" s="278">
        <v>45603</v>
      </c>
      <c r="E653" s="12">
        <v>3519.7</v>
      </c>
      <c r="H653" s="21">
        <f t="shared" si="159"/>
        <v>202.03777050685954</v>
      </c>
      <c r="K653" s="12">
        <v>70113.61</v>
      </c>
      <c r="N653" s="131">
        <f t="shared" si="160"/>
        <v>95.105061197925664</v>
      </c>
      <c r="T653" s="278">
        <v>45639</v>
      </c>
      <c r="W653" s="170">
        <v>143.45509999999999</v>
      </c>
    </row>
    <row r="654" spans="2:23" x14ac:dyDescent="0.3">
      <c r="B654" s="278">
        <v>45602</v>
      </c>
      <c r="E654" s="12">
        <v>3558.65</v>
      </c>
      <c r="H654" s="21">
        <f t="shared" si="159"/>
        <v>204.27357786579415</v>
      </c>
      <c r="K654" s="12">
        <v>70472.210000000006</v>
      </c>
      <c r="N654" s="131">
        <f t="shared" si="160"/>
        <v>95.591481380049743</v>
      </c>
      <c r="T654" s="278">
        <v>45638</v>
      </c>
      <c r="W654" s="170">
        <v>143.88579999999999</v>
      </c>
    </row>
    <row r="655" spans="2:23" x14ac:dyDescent="0.3">
      <c r="B655" s="278">
        <v>45601</v>
      </c>
      <c r="E655" s="12">
        <v>3273.35</v>
      </c>
      <c r="H655" s="21">
        <f t="shared" si="159"/>
        <v>187.89679122897653</v>
      </c>
      <c r="K655" s="12">
        <v>68635.28</v>
      </c>
      <c r="N655" s="131">
        <f t="shared" si="160"/>
        <v>93.099791962455853</v>
      </c>
      <c r="T655" s="278">
        <v>45637</v>
      </c>
      <c r="W655" s="170">
        <v>139.53469999999999</v>
      </c>
    </row>
    <row r="656" spans="2:23" x14ac:dyDescent="0.3">
      <c r="B656" s="278">
        <v>45600</v>
      </c>
      <c r="E656" s="12">
        <v>3309.55</v>
      </c>
      <c r="H656" s="21">
        <f t="shared" si="159"/>
        <v>189.97474312611217</v>
      </c>
      <c r="K656" s="12">
        <v>68523.98</v>
      </c>
      <c r="N656" s="131">
        <f t="shared" si="160"/>
        <v>92.948819942739135</v>
      </c>
      <c r="T656" s="278">
        <v>45636</v>
      </c>
      <c r="W656" s="170">
        <v>137.51390000000001</v>
      </c>
    </row>
    <row r="657" spans="2:23" x14ac:dyDescent="0.3">
      <c r="B657" s="278">
        <v>45597</v>
      </c>
      <c r="E657" s="12">
        <v>3603.3</v>
      </c>
      <c r="H657" s="21">
        <f t="shared" si="159"/>
        <v>206.83657654554847</v>
      </c>
      <c r="K657" s="12">
        <v>69577.84</v>
      </c>
      <c r="N657" s="131">
        <f t="shared" si="160"/>
        <v>94.378320146680224</v>
      </c>
      <c r="T657" s="278">
        <v>45635</v>
      </c>
      <c r="W657" s="170">
        <v>141.7766</v>
      </c>
    </row>
    <row r="658" spans="2:23" x14ac:dyDescent="0.3">
      <c r="B658" s="278">
        <v>45596</v>
      </c>
      <c r="E658" s="12">
        <v>3481.6</v>
      </c>
      <c r="H658" s="21">
        <f t="shared" si="159"/>
        <v>199.85075483611735</v>
      </c>
      <c r="K658" s="12">
        <v>69105.8</v>
      </c>
      <c r="N658" s="131">
        <f t="shared" si="160"/>
        <v>93.738025158476532</v>
      </c>
      <c r="T658" s="278">
        <v>45632</v>
      </c>
      <c r="W658" s="170">
        <v>138.3426</v>
      </c>
    </row>
    <row r="659" spans="2:23" x14ac:dyDescent="0.3">
      <c r="B659" s="278">
        <v>45595</v>
      </c>
      <c r="E659" s="12">
        <v>3110.6</v>
      </c>
      <c r="H659" s="21">
        <f t="shared" si="159"/>
        <v>178.55461798978246</v>
      </c>
      <c r="K659" s="12">
        <v>67659.63</v>
      </c>
      <c r="N659" s="131">
        <f t="shared" si="160"/>
        <v>91.776379104984159</v>
      </c>
      <c r="T659" s="278">
        <v>45631</v>
      </c>
      <c r="W659" s="170">
        <v>139.77699999999999</v>
      </c>
    </row>
    <row r="660" spans="2:23" x14ac:dyDescent="0.3">
      <c r="B660" s="278">
        <v>45594</v>
      </c>
      <c r="E660" s="12">
        <v>3148.85</v>
      </c>
      <c r="H660" s="21">
        <f t="shared" si="159"/>
        <v>180.75024395844096</v>
      </c>
      <c r="K660" s="12">
        <v>67271.8</v>
      </c>
      <c r="N660" s="131">
        <f t="shared" si="160"/>
        <v>91.250310116603842</v>
      </c>
      <c r="T660" s="278">
        <v>45630</v>
      </c>
      <c r="W660" s="170">
        <v>142.3784</v>
      </c>
    </row>
    <row r="661" spans="2:23" x14ac:dyDescent="0.3">
      <c r="B661" s="278">
        <v>45593</v>
      </c>
      <c r="E661" s="12">
        <v>2740.55</v>
      </c>
      <c r="H661" s="21">
        <f t="shared" si="159"/>
        <v>157.31301303025086</v>
      </c>
      <c r="K661" s="12">
        <v>66422.59</v>
      </c>
      <c r="N661" s="131">
        <f t="shared" si="160"/>
        <v>90.098405814145437</v>
      </c>
      <c r="T661" s="278">
        <v>45629</v>
      </c>
      <c r="W661" s="170">
        <v>137.00059999999999</v>
      </c>
    </row>
    <row r="662" spans="2:23" x14ac:dyDescent="0.3">
      <c r="B662" s="278">
        <v>45590</v>
      </c>
      <c r="E662" s="12">
        <v>2743.05</v>
      </c>
      <c r="H662" s="21">
        <f t="shared" si="159"/>
        <v>157.45651799552266</v>
      </c>
      <c r="K662" s="12">
        <v>66429.399999999994</v>
      </c>
      <c r="N662" s="131">
        <f t="shared" si="160"/>
        <v>90.107643185702216</v>
      </c>
      <c r="T662" s="278">
        <v>45628</v>
      </c>
      <c r="W662" s="170">
        <v>138.25030000000001</v>
      </c>
    </row>
    <row r="663" spans="2:23" x14ac:dyDescent="0.3">
      <c r="B663" s="278">
        <v>45589</v>
      </c>
      <c r="E663" s="12">
        <v>2746.65</v>
      </c>
      <c r="H663" s="21">
        <f t="shared" si="159"/>
        <v>157.66316514551403</v>
      </c>
      <c r="K663" s="12">
        <v>67941.69</v>
      </c>
      <c r="N663" s="131">
        <f t="shared" si="160"/>
        <v>92.158977199155686</v>
      </c>
      <c r="T663" s="278">
        <v>45625</v>
      </c>
      <c r="W663" s="170">
        <v>140.5557</v>
      </c>
    </row>
    <row r="664" spans="2:23" x14ac:dyDescent="0.3">
      <c r="B664" s="278">
        <v>45588</v>
      </c>
      <c r="E664" s="12">
        <v>2744.3</v>
      </c>
      <c r="H664" s="21">
        <f t="shared" si="159"/>
        <v>157.52827047815856</v>
      </c>
      <c r="K664" s="12">
        <v>67908.97</v>
      </c>
      <c r="N664" s="131">
        <f t="shared" si="160"/>
        <v>92.114594409531875</v>
      </c>
      <c r="T664" s="278">
        <v>45624</v>
      </c>
      <c r="W664" s="170">
        <v>133.83580000000001</v>
      </c>
    </row>
    <row r="665" spans="2:23" x14ac:dyDescent="0.3">
      <c r="B665" s="278">
        <v>45587</v>
      </c>
      <c r="E665" s="12">
        <v>2773.45</v>
      </c>
      <c r="H665" s="21">
        <f t="shared" si="159"/>
        <v>159.20153837322769</v>
      </c>
      <c r="K665" s="12">
        <v>68715.520000000004</v>
      </c>
      <c r="N665" s="131">
        <f t="shared" si="160"/>
        <v>93.208632886643343</v>
      </c>
      <c r="T665" s="278">
        <v>45623</v>
      </c>
      <c r="W665" s="170">
        <v>133.46469999999999</v>
      </c>
    </row>
    <row r="666" spans="2:23" x14ac:dyDescent="0.3">
      <c r="B666" s="278">
        <v>45586</v>
      </c>
      <c r="E666" s="12">
        <v>2808.35</v>
      </c>
      <c r="H666" s="21">
        <f t="shared" si="159"/>
        <v>161.20486768842201</v>
      </c>
      <c r="K666" s="12">
        <v>70806.559999999998</v>
      </c>
      <c r="N666" s="131">
        <f t="shared" si="160"/>
        <v>96.045007838201386</v>
      </c>
      <c r="T666" s="278">
        <v>45622</v>
      </c>
      <c r="W666" s="170">
        <v>137.60050000000001</v>
      </c>
    </row>
    <row r="667" spans="2:23" x14ac:dyDescent="0.3">
      <c r="B667" s="278">
        <v>45583</v>
      </c>
      <c r="E667" s="12">
        <v>2699.15</v>
      </c>
      <c r="H667" s="21">
        <f t="shared" si="159"/>
        <v>154.93657080534987</v>
      </c>
      <c r="K667" s="12">
        <v>71821.009999999995</v>
      </c>
      <c r="N667" s="131">
        <f t="shared" si="160"/>
        <v>97.421050654028946</v>
      </c>
      <c r="T667" s="278">
        <v>45621</v>
      </c>
      <c r="W667" s="170">
        <v>141.49010000000001</v>
      </c>
    </row>
    <row r="668" spans="2:23" x14ac:dyDescent="0.3">
      <c r="B668" s="278">
        <v>45582</v>
      </c>
      <c r="E668" s="12">
        <v>2718.5</v>
      </c>
      <c r="H668" s="21">
        <f t="shared" si="159"/>
        <v>156.04729923655358</v>
      </c>
      <c r="K668" s="12">
        <v>71818.259999999995</v>
      </c>
      <c r="N668" s="131">
        <f t="shared" si="160"/>
        <v>97.417320437908373</v>
      </c>
      <c r="T668" s="278">
        <v>45618</v>
      </c>
      <c r="W668" s="170">
        <v>132.06110000000001</v>
      </c>
    </row>
    <row r="669" spans="2:23" x14ac:dyDescent="0.3">
      <c r="B669" s="278">
        <v>45581</v>
      </c>
      <c r="E669" s="12">
        <v>2734.75</v>
      </c>
      <c r="H669" s="21">
        <f t="shared" si="159"/>
        <v>156.98008151082027</v>
      </c>
      <c r="K669" s="12">
        <v>72350.42</v>
      </c>
      <c r="N669" s="131">
        <f t="shared" si="160"/>
        <v>98.139164732719152</v>
      </c>
      <c r="T669" s="278">
        <v>45617</v>
      </c>
      <c r="W669" s="170">
        <v>134.14150000000001</v>
      </c>
    </row>
    <row r="670" spans="2:23" x14ac:dyDescent="0.3">
      <c r="B670" s="278">
        <v>45580</v>
      </c>
      <c r="E670" s="12">
        <v>2685.1</v>
      </c>
      <c r="H670" s="21">
        <f t="shared" si="159"/>
        <v>154.13007290052235</v>
      </c>
      <c r="K670" s="12">
        <v>72355.75</v>
      </c>
      <c r="N670" s="131">
        <f t="shared" si="160"/>
        <v>98.146394569781961</v>
      </c>
      <c r="T670" s="278">
        <v>45616</v>
      </c>
      <c r="W670" s="170"/>
    </row>
    <row r="671" spans="2:23" x14ac:dyDescent="0.3">
      <c r="B671" s="278">
        <v>45579</v>
      </c>
      <c r="E671" s="12">
        <v>2733.9</v>
      </c>
      <c r="H671" s="21">
        <f t="shared" si="159"/>
        <v>156.93128982262786</v>
      </c>
      <c r="K671" s="12">
        <v>72061.17</v>
      </c>
      <c r="N671" s="131">
        <f t="shared" si="160"/>
        <v>97.746813818945071</v>
      </c>
      <c r="T671" s="278">
        <v>45615</v>
      </c>
      <c r="W671" s="170">
        <v>131.27670000000001</v>
      </c>
    </row>
    <row r="672" spans="2:23" x14ac:dyDescent="0.3">
      <c r="B672" s="278">
        <v>45576</v>
      </c>
      <c r="E672" s="12">
        <v>2735.15</v>
      </c>
      <c r="H672" s="21">
        <f t="shared" si="159"/>
        <v>157.00304230526379</v>
      </c>
      <c r="K672" s="12">
        <v>71579.87</v>
      </c>
      <c r="N672" s="131">
        <f t="shared" si="160"/>
        <v>97.093958175731686</v>
      </c>
      <c r="T672" s="278">
        <v>45614</v>
      </c>
      <c r="W672" s="170">
        <v>125.7758</v>
      </c>
    </row>
    <row r="673" spans="2:23" x14ac:dyDescent="0.3">
      <c r="B673" s="278">
        <v>45575</v>
      </c>
      <c r="E673" s="12">
        <v>2738.1</v>
      </c>
      <c r="H673" s="21">
        <f t="shared" si="159"/>
        <v>157.17237816428448</v>
      </c>
      <c r="K673" s="12">
        <v>71507.19</v>
      </c>
      <c r="N673" s="131">
        <f t="shared" si="160"/>
        <v>96.995371954770249</v>
      </c>
      <c r="T673" s="278">
        <v>45611</v>
      </c>
      <c r="W673" s="170"/>
    </row>
    <row r="674" spans="2:23" x14ac:dyDescent="0.3">
      <c r="B674" s="278">
        <v>45574</v>
      </c>
      <c r="E674" s="12">
        <v>2752.2</v>
      </c>
      <c r="H674" s="21">
        <f t="shared" si="159"/>
        <v>157.98174616841743</v>
      </c>
      <c r="K674" s="12">
        <v>71238.45</v>
      </c>
      <c r="N674" s="131">
        <f>(K674/$K$762)*100</f>
        <v>96.630841671044578</v>
      </c>
      <c r="T674" s="278">
        <v>45610</v>
      </c>
      <c r="W674" s="170">
        <v>135.91040000000001</v>
      </c>
    </row>
    <row r="675" spans="2:23" x14ac:dyDescent="0.3">
      <c r="B675" s="278">
        <v>45573</v>
      </c>
      <c r="E675" s="12">
        <v>2808.1</v>
      </c>
      <c r="H675" s="21">
        <f t="shared" si="159"/>
        <v>161.19051719189483</v>
      </c>
      <c r="K675" s="12">
        <v>70731.14</v>
      </c>
      <c r="N675" s="131">
        <f t="shared" ref="N675:N738" si="161">(K675/$K$762)*100</f>
        <v>95.942704965541608</v>
      </c>
      <c r="T675" s="278">
        <v>45609</v>
      </c>
      <c r="W675" s="170">
        <v>124.73950000000001</v>
      </c>
    </row>
    <row r="676" spans="2:23" x14ac:dyDescent="0.3">
      <c r="B676" s="278">
        <v>45572</v>
      </c>
      <c r="E676" s="12">
        <v>2743.9</v>
      </c>
      <c r="H676" s="21">
        <f t="shared" si="159"/>
        <v>157.50530968371507</v>
      </c>
      <c r="K676" s="12">
        <v>68792.240000000005</v>
      </c>
      <c r="N676" s="131">
        <f t="shared" si="161"/>
        <v>93.312699134196492</v>
      </c>
      <c r="T676" s="278">
        <v>45608</v>
      </c>
      <c r="W676" s="170">
        <v>134.59139999999999</v>
      </c>
    </row>
    <row r="677" spans="2:23" x14ac:dyDescent="0.3">
      <c r="B677" s="278">
        <v>45569</v>
      </c>
      <c r="E677" s="12">
        <v>2653.25</v>
      </c>
      <c r="H677" s="21">
        <f t="shared" si="159"/>
        <v>152.30181964295966</v>
      </c>
      <c r="K677" s="12">
        <v>70301.100000000006</v>
      </c>
      <c r="N677" s="131">
        <f t="shared" si="161"/>
        <v>95.359380550815914</v>
      </c>
      <c r="T677" s="278">
        <v>45607</v>
      </c>
      <c r="W677" s="170">
        <v>130.53450000000001</v>
      </c>
    </row>
    <row r="678" spans="2:23" x14ac:dyDescent="0.3">
      <c r="B678" s="278">
        <v>45568</v>
      </c>
      <c r="E678" s="12">
        <v>2607.35</v>
      </c>
      <c r="H678" s="21">
        <f t="shared" si="159"/>
        <v>149.66706848056944</v>
      </c>
      <c r="K678" s="12">
        <v>70751.67</v>
      </c>
      <c r="N678" s="131">
        <f t="shared" si="161"/>
        <v>95.970552724434555</v>
      </c>
      <c r="T678" s="278">
        <v>45604</v>
      </c>
      <c r="W678" s="170">
        <v>136.9717</v>
      </c>
    </row>
    <row r="679" spans="2:23" x14ac:dyDescent="0.3">
      <c r="B679" s="278">
        <v>45566</v>
      </c>
      <c r="E679" s="12">
        <v>2329.25</v>
      </c>
      <c r="H679" s="21">
        <f t="shared" si="159"/>
        <v>133.70357614373458</v>
      </c>
      <c r="K679" s="12">
        <v>73078.03</v>
      </c>
      <c r="N679" s="131">
        <f t="shared" si="161"/>
        <v>99.126125660536488</v>
      </c>
      <c r="T679" s="278">
        <v>45603</v>
      </c>
      <c r="W679" s="170">
        <v>135.34700000000001</v>
      </c>
    </row>
    <row r="680" spans="2:23" x14ac:dyDescent="0.3">
      <c r="B680" s="278">
        <v>45565</v>
      </c>
      <c r="E680" s="12">
        <v>2323.25</v>
      </c>
      <c r="H680" s="21">
        <f t="shared" si="159"/>
        <v>133.35916422708226</v>
      </c>
      <c r="K680" s="12">
        <v>73107</v>
      </c>
      <c r="N680" s="131">
        <f t="shared" si="161"/>
        <v>99.165421791814055</v>
      </c>
      <c r="T680" s="278">
        <v>45602</v>
      </c>
      <c r="W680" s="170">
        <v>136.84479999999999</v>
      </c>
    </row>
    <row r="681" spans="2:23" x14ac:dyDescent="0.3">
      <c r="B681" s="278">
        <v>45562</v>
      </c>
      <c r="E681" s="12">
        <v>2220.4499999999998</v>
      </c>
      <c r="H681" s="21">
        <f t="shared" si="159"/>
        <v>127.4582400551059</v>
      </c>
      <c r="K681" s="12">
        <v>73704.11</v>
      </c>
      <c r="N681" s="131">
        <f t="shared" si="161"/>
        <v>99.975367009181895</v>
      </c>
      <c r="T681" s="278">
        <v>45601</v>
      </c>
      <c r="W681" s="170">
        <v>125.87390000000001</v>
      </c>
    </row>
    <row r="682" spans="2:23" x14ac:dyDescent="0.3">
      <c r="B682" s="278">
        <v>45561</v>
      </c>
      <c r="E682" s="12">
        <v>2238.8000000000002</v>
      </c>
      <c r="H682" s="21">
        <f t="shared" si="159"/>
        <v>128.51156650020093</v>
      </c>
      <c r="K682" s="12">
        <v>73584.88</v>
      </c>
      <c r="N682" s="131">
        <f t="shared" si="161"/>
        <v>99.813638402615652</v>
      </c>
      <c r="T682" s="278">
        <v>45600</v>
      </c>
      <c r="W682" s="170">
        <v>127.2659</v>
      </c>
    </row>
    <row r="683" spans="2:23" x14ac:dyDescent="0.3">
      <c r="B683" s="278">
        <v>45560</v>
      </c>
      <c r="E683" s="12">
        <v>2180.1999999999998</v>
      </c>
      <c r="H683" s="21">
        <f t="shared" si="159"/>
        <v>125.14781011422996</v>
      </c>
      <c r="K683" s="12">
        <v>74066.2</v>
      </c>
      <c r="N683" s="131">
        <f t="shared" si="161"/>
        <v>100.46652117467355</v>
      </c>
      <c r="T683" s="278">
        <v>45597</v>
      </c>
      <c r="W683" s="170">
        <v>138.56180000000001</v>
      </c>
    </row>
    <row r="684" spans="2:23" x14ac:dyDescent="0.3">
      <c r="B684" s="278">
        <v>45559</v>
      </c>
      <c r="E684" s="12">
        <v>2204.8000000000002</v>
      </c>
      <c r="H684" s="21">
        <f t="shared" si="159"/>
        <v>126.55989897250446</v>
      </c>
      <c r="K684" s="12">
        <v>74265.69</v>
      </c>
      <c r="N684" s="131">
        <f t="shared" si="161"/>
        <v>100.7371178342718</v>
      </c>
      <c r="T684" s="278">
        <v>45596</v>
      </c>
      <c r="W684" s="170">
        <v>133.8819</v>
      </c>
    </row>
    <row r="685" spans="2:23" x14ac:dyDescent="0.3">
      <c r="B685" s="278">
        <v>45558</v>
      </c>
      <c r="E685" s="12">
        <v>2254.5</v>
      </c>
      <c r="H685" s="21">
        <f t="shared" si="159"/>
        <v>129.41277768210782</v>
      </c>
      <c r="K685" s="12">
        <v>73907.839999999997</v>
      </c>
      <c r="N685" s="131">
        <f t="shared" si="161"/>
        <v>100.25171498381695</v>
      </c>
      <c r="T685" s="278">
        <v>45595</v>
      </c>
      <c r="W685" s="170">
        <v>119.6155</v>
      </c>
    </row>
    <row r="686" spans="2:23" x14ac:dyDescent="0.3">
      <c r="B686" s="278">
        <v>45555</v>
      </c>
      <c r="E686" s="12">
        <v>2226.75</v>
      </c>
      <c r="H686" s="21">
        <f t="shared" si="159"/>
        <v>127.81987256759083</v>
      </c>
      <c r="K686" s="12">
        <v>73373.89</v>
      </c>
      <c r="N686" s="131">
        <f t="shared" si="161"/>
        <v>99.527442657422242</v>
      </c>
      <c r="T686" s="278">
        <v>45594</v>
      </c>
      <c r="W686" s="170">
        <v>121.08629999999999</v>
      </c>
    </row>
    <row r="687" spans="2:23" x14ac:dyDescent="0.3">
      <c r="B687" s="278">
        <v>45554</v>
      </c>
      <c r="E687" s="12">
        <v>2152.9499999999998</v>
      </c>
      <c r="H687" s="21">
        <f t="shared" si="159"/>
        <v>123.58360599276735</v>
      </c>
      <c r="K687" s="12">
        <v>71712.98</v>
      </c>
      <c r="N687" s="131">
        <f t="shared" si="161"/>
        <v>97.274514200390186</v>
      </c>
      <c r="T687" s="278">
        <v>45593</v>
      </c>
      <c r="W687" s="170">
        <v>105.38549999999999</v>
      </c>
    </row>
    <row r="688" spans="2:23" x14ac:dyDescent="0.3">
      <c r="B688" s="278">
        <v>45553</v>
      </c>
      <c r="E688" s="12">
        <v>2213.4499999999998</v>
      </c>
      <c r="H688" s="21">
        <f t="shared" si="159"/>
        <v>127.05642615234487</v>
      </c>
      <c r="K688" s="12">
        <v>72778.83</v>
      </c>
      <c r="N688" s="131">
        <f t="shared" si="161"/>
        <v>98.720278146617019</v>
      </c>
      <c r="T688" s="278">
        <v>45590</v>
      </c>
      <c r="W688" s="170">
        <v>105.4816</v>
      </c>
    </row>
    <row r="689" spans="2:23" x14ac:dyDescent="0.3">
      <c r="B689" s="278">
        <v>45552</v>
      </c>
      <c r="E689" s="12">
        <v>2255.9</v>
      </c>
      <c r="H689" s="21">
        <f t="shared" si="159"/>
        <v>129.49314046266002</v>
      </c>
      <c r="K689" s="12">
        <v>72921.119999999995</v>
      </c>
      <c r="N689" s="131">
        <f t="shared" si="161"/>
        <v>98.913286310907125</v>
      </c>
      <c r="T689" s="278">
        <v>45589</v>
      </c>
      <c r="W689" s="170">
        <v>105.62009999999999</v>
      </c>
    </row>
    <row r="690" spans="2:23" x14ac:dyDescent="0.3">
      <c r="B690" s="278">
        <v>45551</v>
      </c>
      <c r="E690" s="12">
        <v>2229.25</v>
      </c>
      <c r="H690" s="21">
        <f t="shared" si="159"/>
        <v>127.96337753286264</v>
      </c>
      <c r="K690" s="12">
        <v>73057.77</v>
      </c>
      <c r="N690" s="131">
        <f t="shared" si="161"/>
        <v>99.098644141044488</v>
      </c>
      <c r="T690" s="278">
        <v>45588</v>
      </c>
      <c r="W690" s="170">
        <v>105.52970000000001</v>
      </c>
    </row>
    <row r="691" spans="2:23" x14ac:dyDescent="0.3">
      <c r="B691" s="278">
        <v>45548</v>
      </c>
      <c r="E691" s="12">
        <v>2262.1999999999998</v>
      </c>
      <c r="H691" s="21">
        <f t="shared" si="159"/>
        <v>129.85477297514493</v>
      </c>
      <c r="K691" s="12">
        <v>72654.009999999995</v>
      </c>
      <c r="N691" s="131">
        <f t="shared" si="161"/>
        <v>98.550967028009296</v>
      </c>
      <c r="T691" s="278">
        <v>45587</v>
      </c>
      <c r="W691" s="170">
        <v>106.6506</v>
      </c>
    </row>
    <row r="692" spans="2:23" x14ac:dyDescent="0.3">
      <c r="B692" s="278">
        <v>45547</v>
      </c>
      <c r="E692" s="12">
        <v>2224.65</v>
      </c>
      <c r="H692" s="21">
        <f t="shared" si="159"/>
        <v>127.69932839676255</v>
      </c>
      <c r="K692" s="12">
        <v>72606.759999999995</v>
      </c>
      <c r="N692" s="131">
        <f t="shared" si="161"/>
        <v>98.486875132846549</v>
      </c>
      <c r="T692" s="278">
        <v>45586</v>
      </c>
      <c r="W692" s="170">
        <v>107.9927</v>
      </c>
    </row>
    <row r="693" spans="2:23" x14ac:dyDescent="0.3">
      <c r="B693" s="278">
        <v>45546</v>
      </c>
      <c r="E693" s="12">
        <v>2279.25</v>
      </c>
      <c r="H693" s="21">
        <f t="shared" si="159"/>
        <v>130.83347683829859</v>
      </c>
      <c r="K693" s="12">
        <v>71434.47</v>
      </c>
      <c r="N693" s="131">
        <f t="shared" si="161"/>
        <v>96.896731476119768</v>
      </c>
      <c r="T693" s="278">
        <v>45583</v>
      </c>
      <c r="W693" s="170">
        <v>103.79349999999999</v>
      </c>
    </row>
    <row r="694" spans="2:23" x14ac:dyDescent="0.3">
      <c r="B694" s="278">
        <v>45545</v>
      </c>
      <c r="E694" s="12">
        <v>2283.6999999999998</v>
      </c>
      <c r="H694" s="21">
        <f t="shared" si="159"/>
        <v>131.0889156764824</v>
      </c>
      <c r="K694" s="12">
        <v>71558.05</v>
      </c>
      <c r="N694" s="131">
        <f t="shared" si="161"/>
        <v>97.064360606367643</v>
      </c>
      <c r="T694" s="278">
        <v>45582</v>
      </c>
      <c r="W694" s="170">
        <v>104.5376</v>
      </c>
    </row>
    <row r="695" spans="2:23" x14ac:dyDescent="0.3">
      <c r="B695" s="278">
        <v>45544</v>
      </c>
      <c r="E695" s="12">
        <v>2241.15</v>
      </c>
      <c r="H695" s="21">
        <f t="shared" si="159"/>
        <v>128.6464611675564</v>
      </c>
      <c r="K695" s="12">
        <v>70797.440000000002</v>
      </c>
      <c r="N695" s="131">
        <f t="shared" si="161"/>
        <v>96.032637085103318</v>
      </c>
      <c r="T695" s="278">
        <v>45581</v>
      </c>
      <c r="W695" s="170">
        <v>105.16249999999999</v>
      </c>
    </row>
    <row r="696" spans="2:23" x14ac:dyDescent="0.3">
      <c r="B696" s="278">
        <v>45541</v>
      </c>
      <c r="E696" s="12">
        <v>2274</v>
      </c>
      <c r="H696" s="21">
        <f t="shared" si="159"/>
        <v>130.53211641122783</v>
      </c>
      <c r="K696" s="12">
        <v>71143.399999999994</v>
      </c>
      <c r="N696" s="131">
        <f t="shared" si="161"/>
        <v>96.501911837494958</v>
      </c>
      <c r="T696" s="278">
        <v>45580</v>
      </c>
      <c r="W696" s="170">
        <v>103.25320000000001</v>
      </c>
    </row>
    <row r="697" spans="2:23" x14ac:dyDescent="0.3">
      <c r="B697" s="278">
        <v>45540</v>
      </c>
      <c r="E697" s="12">
        <v>2326.1999999999998</v>
      </c>
      <c r="H697" s="21">
        <f t="shared" si="159"/>
        <v>133.52850008610298</v>
      </c>
      <c r="K697" s="12">
        <v>72375.509999999995</v>
      </c>
      <c r="N697" s="131">
        <f t="shared" si="161"/>
        <v>98.173197868161139</v>
      </c>
      <c r="T697" s="278">
        <v>45579</v>
      </c>
      <c r="W697" s="170">
        <v>105.1298</v>
      </c>
    </row>
    <row r="698" spans="2:23" x14ac:dyDescent="0.3">
      <c r="B698" s="278">
        <v>45539</v>
      </c>
      <c r="E698" s="12">
        <v>2289.35</v>
      </c>
      <c r="H698" s="21">
        <f t="shared" si="159"/>
        <v>131.41323689799665</v>
      </c>
      <c r="K698" s="12">
        <v>72820.210000000006</v>
      </c>
      <c r="N698" s="131">
        <f t="shared" si="161"/>
        <v>98.776407725915121</v>
      </c>
      <c r="T698" s="278">
        <v>45576</v>
      </c>
      <c r="W698" s="170">
        <v>105.1778</v>
      </c>
    </row>
    <row r="699" spans="2:23" x14ac:dyDescent="0.3">
      <c r="B699" s="278">
        <v>45538</v>
      </c>
      <c r="E699" s="12">
        <v>2238.9499999999998</v>
      </c>
      <c r="H699" s="21">
        <f t="shared" si="159"/>
        <v>128.52017679811721</v>
      </c>
      <c r="K699" s="12">
        <v>73026.95</v>
      </c>
      <c r="N699" s="131">
        <f t="shared" si="161"/>
        <v>99.056838591649438</v>
      </c>
      <c r="T699" s="278">
        <v>45575</v>
      </c>
      <c r="W699" s="170">
        <v>105.29130000000001</v>
      </c>
    </row>
    <row r="700" spans="2:23" x14ac:dyDescent="0.3">
      <c r="B700" s="278">
        <v>45537</v>
      </c>
      <c r="E700" s="12">
        <v>2224.4</v>
      </c>
      <c r="H700" s="21">
        <f t="shared" si="159"/>
        <v>127.68497790023537</v>
      </c>
      <c r="K700" s="12">
        <v>72574.09</v>
      </c>
      <c r="N700" s="131">
        <f t="shared" si="161"/>
        <v>98.442560165334015</v>
      </c>
      <c r="T700" s="278">
        <v>45574</v>
      </c>
      <c r="W700" s="170">
        <v>105.8335</v>
      </c>
    </row>
    <row r="701" spans="2:23" x14ac:dyDescent="0.3">
      <c r="B701" s="278">
        <v>45534</v>
      </c>
      <c r="E701" s="12">
        <v>2209.4499999999998</v>
      </c>
      <c r="H701" s="21">
        <f t="shared" si="159"/>
        <v>126.82681820790999</v>
      </c>
      <c r="K701" s="12">
        <v>73169.37</v>
      </c>
      <c r="N701" s="131">
        <f t="shared" si="161"/>
        <v>99.250023093428879</v>
      </c>
      <c r="T701" s="278">
        <v>45573</v>
      </c>
      <c r="W701" s="170">
        <v>107.98309999999999</v>
      </c>
    </row>
    <row r="702" spans="2:23" x14ac:dyDescent="0.3">
      <c r="B702" s="278">
        <v>45533</v>
      </c>
      <c r="E702" s="12">
        <v>2212.65</v>
      </c>
      <c r="H702" s="21">
        <f t="shared" si="159"/>
        <v>127.0105045634579</v>
      </c>
      <c r="K702" s="12">
        <v>72788.649999999994</v>
      </c>
      <c r="N702" s="131">
        <f t="shared" si="161"/>
        <v>98.733598409273057</v>
      </c>
      <c r="T702" s="278">
        <v>45572</v>
      </c>
      <c r="W702" s="170">
        <v>105.51430000000001</v>
      </c>
    </row>
    <row r="703" spans="2:23" x14ac:dyDescent="0.3">
      <c r="B703" s="278">
        <v>45532</v>
      </c>
      <c r="E703" s="12">
        <v>2204.1</v>
      </c>
      <c r="H703" s="21">
        <f t="shared" si="159"/>
        <v>126.51971758222835</v>
      </c>
      <c r="K703" s="12">
        <v>73440.63</v>
      </c>
      <c r="N703" s="131">
        <f t="shared" si="161"/>
        <v>99.617971611563235</v>
      </c>
      <c r="T703" s="278">
        <v>45569</v>
      </c>
      <c r="W703" s="170">
        <v>102.02849999999999</v>
      </c>
    </row>
    <row r="704" spans="2:23" x14ac:dyDescent="0.3">
      <c r="B704" s="278">
        <v>45531</v>
      </c>
      <c r="E704" s="12">
        <v>2222.0500000000002</v>
      </c>
      <c r="H704" s="21">
        <f t="shared" si="159"/>
        <v>127.55008323287989</v>
      </c>
      <c r="K704" s="12">
        <v>73668.42</v>
      </c>
      <c r="N704" s="131">
        <f t="shared" si="161"/>
        <v>99.926955586147841</v>
      </c>
      <c r="T704" s="278">
        <v>45568</v>
      </c>
      <c r="W704" s="170">
        <v>100.2634</v>
      </c>
    </row>
    <row r="705" spans="2:23" x14ac:dyDescent="0.3">
      <c r="B705" s="278">
        <v>45530</v>
      </c>
      <c r="E705" s="12">
        <v>2012.7</v>
      </c>
      <c r="H705" s="21">
        <f t="shared" si="159"/>
        <v>115.53297744101947</v>
      </c>
      <c r="K705" s="12">
        <v>73474.33</v>
      </c>
      <c r="N705" s="131">
        <f t="shared" si="161"/>
        <v>99.663683714568194</v>
      </c>
      <c r="T705" s="278">
        <v>45567</v>
      </c>
      <c r="W705" s="170"/>
    </row>
    <row r="706" spans="2:23" x14ac:dyDescent="0.3">
      <c r="B706" s="278">
        <v>45527</v>
      </c>
      <c r="E706" s="12">
        <v>2009</v>
      </c>
      <c r="H706" s="21">
        <f t="shared" si="159"/>
        <v>115.32059009241719</v>
      </c>
      <c r="K706" s="12">
        <v>73356.7</v>
      </c>
      <c r="N706" s="131">
        <f t="shared" si="161"/>
        <v>99.504125415563024</v>
      </c>
      <c r="T706" s="278">
        <v>45566</v>
      </c>
      <c r="W706" s="170">
        <v>89.569299999999998</v>
      </c>
    </row>
    <row r="707" spans="2:23" x14ac:dyDescent="0.3">
      <c r="B707" s="278">
        <v>45526</v>
      </c>
      <c r="E707" s="12">
        <v>1984.35</v>
      </c>
      <c r="H707" s="21">
        <f t="shared" si="159"/>
        <v>113.90563113483726</v>
      </c>
      <c r="K707" s="12">
        <v>73185.320000000007</v>
      </c>
      <c r="N707" s="131">
        <f t="shared" si="161"/>
        <v>99.271658346928277</v>
      </c>
      <c r="T707" s="278">
        <v>45565</v>
      </c>
      <c r="W707" s="170">
        <v>89.3386</v>
      </c>
    </row>
    <row r="708" spans="2:23" x14ac:dyDescent="0.3">
      <c r="B708" s="278">
        <v>45525</v>
      </c>
      <c r="E708" s="12">
        <v>1975.65</v>
      </c>
      <c r="H708" s="21">
        <f t="shared" si="159"/>
        <v>113.40623385569143</v>
      </c>
      <c r="K708" s="12">
        <v>73121.119999999995</v>
      </c>
      <c r="N708" s="131">
        <f t="shared" si="161"/>
        <v>99.184574756040462</v>
      </c>
      <c r="T708" s="278">
        <v>45562</v>
      </c>
      <c r="W708" s="170">
        <v>85.385499999999993</v>
      </c>
    </row>
    <row r="709" spans="2:23" x14ac:dyDescent="0.3">
      <c r="B709" s="278">
        <v>45524</v>
      </c>
      <c r="E709" s="12">
        <v>1945.55</v>
      </c>
      <c r="H709" s="21">
        <f t="shared" si="159"/>
        <v>111.67843407381896</v>
      </c>
      <c r="K709" s="12">
        <v>72804.05</v>
      </c>
      <c r="N709" s="131">
        <f t="shared" si="161"/>
        <v>98.754487619548343</v>
      </c>
      <c r="T709" s="278">
        <v>45561</v>
      </c>
      <c r="W709" s="170">
        <v>86.091099999999997</v>
      </c>
    </row>
    <row r="710" spans="2:23" x14ac:dyDescent="0.3">
      <c r="B710" s="278">
        <v>45523</v>
      </c>
      <c r="E710" s="12">
        <v>1936.05</v>
      </c>
      <c r="H710" s="21">
        <f t="shared" si="159"/>
        <v>111.13311520578613</v>
      </c>
      <c r="K710" s="12">
        <v>72813.23</v>
      </c>
      <c r="N710" s="131">
        <f t="shared" si="161"/>
        <v>98.766939759179948</v>
      </c>
      <c r="T710" s="278">
        <v>45560</v>
      </c>
      <c r="W710" s="170">
        <v>83.837699999999998</v>
      </c>
    </row>
    <row r="711" spans="2:23" x14ac:dyDescent="0.3">
      <c r="B711" s="278">
        <v>45520</v>
      </c>
      <c r="E711" s="12">
        <v>1896.15</v>
      </c>
      <c r="H711" s="21">
        <f t="shared" si="159"/>
        <v>108.84277596004823</v>
      </c>
      <c r="K711" s="12">
        <v>72847.570000000007</v>
      </c>
      <c r="N711" s="131">
        <f t="shared" si="161"/>
        <v>98.813519985209354</v>
      </c>
      <c r="T711" s="278">
        <v>45559</v>
      </c>
      <c r="W711" s="170">
        <v>84.783699999999996</v>
      </c>
    </row>
    <row r="712" spans="2:23" x14ac:dyDescent="0.3">
      <c r="B712" s="278">
        <v>45518</v>
      </c>
      <c r="E712" s="12">
        <v>1903.4</v>
      </c>
      <c r="H712" s="21">
        <f t="shared" si="159"/>
        <v>109.25894035933645</v>
      </c>
      <c r="K712" s="12">
        <v>71539.53</v>
      </c>
      <c r="N712" s="131">
        <f t="shared" si="161"/>
        <v>97.039239296348299</v>
      </c>
      <c r="T712" s="278">
        <v>45558</v>
      </c>
      <c r="W712" s="170">
        <v>86.694900000000004</v>
      </c>
    </row>
    <row r="713" spans="2:23" x14ac:dyDescent="0.3">
      <c r="B713" s="278">
        <v>45517</v>
      </c>
      <c r="E713" s="12">
        <v>1889.45</v>
      </c>
      <c r="H713" s="21">
        <f t="shared" si="159"/>
        <v>108.45818265311982</v>
      </c>
      <c r="K713" s="12">
        <v>71952.039999999994</v>
      </c>
      <c r="N713" s="131">
        <f t="shared" si="161"/>
        <v>97.59878527885806</v>
      </c>
      <c r="T713" s="278">
        <v>45555</v>
      </c>
      <c r="W713" s="170">
        <v>85.627799999999993</v>
      </c>
    </row>
    <row r="714" spans="2:23" x14ac:dyDescent="0.3">
      <c r="B714" s="278">
        <v>45516</v>
      </c>
      <c r="E714" s="12">
        <v>1855.8</v>
      </c>
      <c r="H714" s="21">
        <f t="shared" si="159"/>
        <v>106.5266058205614</v>
      </c>
      <c r="K714" s="12">
        <v>72564.23</v>
      </c>
      <c r="N714" s="131">
        <f t="shared" si="161"/>
        <v>98.429185644988948</v>
      </c>
      <c r="T714" s="278">
        <v>45554</v>
      </c>
      <c r="W714" s="170">
        <v>82.7898</v>
      </c>
    </row>
    <row r="715" spans="2:23" x14ac:dyDescent="0.3">
      <c r="B715" s="278">
        <v>45513</v>
      </c>
      <c r="E715" s="12">
        <v>1804.15</v>
      </c>
      <c r="H715" s="21">
        <f t="shared" si="159"/>
        <v>103.56179323804604</v>
      </c>
      <c r="K715" s="12">
        <v>72526.33</v>
      </c>
      <c r="N715" s="131">
        <f t="shared" si="161"/>
        <v>98.377776484636186</v>
      </c>
      <c r="T715" s="278">
        <v>45553</v>
      </c>
      <c r="W715" s="170">
        <v>85.116299999999995</v>
      </c>
    </row>
    <row r="716" spans="2:23" x14ac:dyDescent="0.3">
      <c r="B716" s="278">
        <v>45512</v>
      </c>
      <c r="E716" s="12">
        <v>1744.05</v>
      </c>
      <c r="H716" s="21">
        <f t="shared" ref="H716:H762" si="162">(E716/$E$762)*100</f>
        <v>100.11193387291199</v>
      </c>
      <c r="K716" s="12">
        <v>71548.05</v>
      </c>
      <c r="N716" s="131">
        <f t="shared" si="161"/>
        <v>97.050796184110993</v>
      </c>
      <c r="T716" s="278">
        <v>45552</v>
      </c>
      <c r="W716" s="170">
        <v>86.748699999999999</v>
      </c>
    </row>
    <row r="717" spans="2:23" x14ac:dyDescent="0.3">
      <c r="B717" s="278">
        <v>45511</v>
      </c>
      <c r="E717" s="12">
        <v>1711.55</v>
      </c>
      <c r="H717" s="21">
        <f t="shared" si="162"/>
        <v>98.24636932437862</v>
      </c>
      <c r="K717" s="12">
        <v>72188.42</v>
      </c>
      <c r="N717" s="131">
        <f t="shared" si="161"/>
        <v>97.919421092161159</v>
      </c>
      <c r="T717" s="278">
        <v>45551</v>
      </c>
      <c r="W717" s="170">
        <v>85.7239</v>
      </c>
    </row>
    <row r="718" spans="2:23" x14ac:dyDescent="0.3">
      <c r="B718" s="278">
        <v>45510</v>
      </c>
      <c r="E718" s="12">
        <v>1692</v>
      </c>
      <c r="H718" s="21">
        <f t="shared" si="162"/>
        <v>97.124160495953163</v>
      </c>
      <c r="K718" s="12">
        <v>70161.39</v>
      </c>
      <c r="N718" s="131">
        <f t="shared" si="161"/>
        <v>95.16987200746803</v>
      </c>
      <c r="T718" s="278">
        <v>45548</v>
      </c>
      <c r="W718" s="170">
        <v>86.991</v>
      </c>
    </row>
    <row r="719" spans="2:23" x14ac:dyDescent="0.3">
      <c r="B719" s="278">
        <v>45509</v>
      </c>
      <c r="E719" s="12">
        <v>1695.95</v>
      </c>
      <c r="H719" s="21">
        <f t="shared" si="162"/>
        <v>97.350898341082612</v>
      </c>
      <c r="K719" s="12">
        <v>70443.47</v>
      </c>
      <c r="N719" s="131">
        <f t="shared" si="161"/>
        <v>95.552497230484079</v>
      </c>
      <c r="T719" s="278">
        <v>45547</v>
      </c>
      <c r="W719" s="170">
        <v>85.546999999999997</v>
      </c>
    </row>
    <row r="720" spans="2:23" x14ac:dyDescent="0.3">
      <c r="B720" s="278">
        <v>45506</v>
      </c>
      <c r="E720" s="12">
        <v>1792.85</v>
      </c>
      <c r="H720" s="21">
        <f t="shared" si="162"/>
        <v>102.9131507950175</v>
      </c>
      <c r="K720" s="12">
        <v>73478.11</v>
      </c>
      <c r="N720" s="131">
        <f t="shared" si="161"/>
        <v>99.66881106618122</v>
      </c>
      <c r="T720" s="278">
        <v>45546</v>
      </c>
      <c r="W720" s="170">
        <v>87.646600000000007</v>
      </c>
    </row>
    <row r="721" spans="2:23" x14ac:dyDescent="0.3">
      <c r="B721" s="278">
        <v>45505</v>
      </c>
      <c r="E721" s="12">
        <v>1789.35</v>
      </c>
      <c r="H721" s="21">
        <f t="shared" si="162"/>
        <v>102.712243843637</v>
      </c>
      <c r="K721" s="12">
        <v>74751.149999999994</v>
      </c>
      <c r="N721" s="131">
        <f t="shared" si="161"/>
        <v>101.39561627714393</v>
      </c>
      <c r="T721" s="278">
        <v>45545</v>
      </c>
      <c r="W721" s="170">
        <v>87.817700000000002</v>
      </c>
    </row>
    <row r="722" spans="2:23" x14ac:dyDescent="0.3">
      <c r="B722" s="278">
        <v>45504</v>
      </c>
      <c r="E722" s="12">
        <v>1789.7</v>
      </c>
      <c r="H722" s="21">
        <f t="shared" si="162"/>
        <v>102.73233453877504</v>
      </c>
      <c r="K722" s="12">
        <v>75640.12</v>
      </c>
      <c r="N722" s="131">
        <f t="shared" si="161"/>
        <v>102.60145272249484</v>
      </c>
      <c r="T722" s="278">
        <v>45544</v>
      </c>
      <c r="W722" s="170">
        <v>86.1815</v>
      </c>
    </row>
    <row r="723" spans="2:23" x14ac:dyDescent="0.3">
      <c r="B723" s="278">
        <v>45503</v>
      </c>
      <c r="E723" s="12">
        <v>1812.6</v>
      </c>
      <c r="H723" s="21">
        <f t="shared" si="162"/>
        <v>104.04684002066472</v>
      </c>
      <c r="K723" s="12">
        <v>75488.44</v>
      </c>
      <c r="N723" s="131">
        <f t="shared" si="161"/>
        <v>102.39570756570573</v>
      </c>
      <c r="T723" s="278">
        <v>45541</v>
      </c>
      <c r="W723" s="170">
        <v>87.444699999999997</v>
      </c>
    </row>
    <row r="724" spans="2:23" x14ac:dyDescent="0.3">
      <c r="B724" s="278">
        <v>45502</v>
      </c>
      <c r="E724" s="12">
        <v>1795.95</v>
      </c>
      <c r="H724" s="21">
        <f t="shared" si="162"/>
        <v>103.09109695195455</v>
      </c>
      <c r="K724" s="12">
        <v>75403.360000000001</v>
      </c>
      <c r="N724" s="131">
        <f t="shared" si="161"/>
        <v>102.280301461146</v>
      </c>
      <c r="T724" s="278">
        <v>45540</v>
      </c>
      <c r="W724" s="170">
        <v>89.451999999999998</v>
      </c>
    </row>
    <row r="725" spans="2:23" x14ac:dyDescent="0.3">
      <c r="B725" s="278">
        <v>45499</v>
      </c>
      <c r="E725" s="12">
        <v>1803.1</v>
      </c>
      <c r="H725" s="21">
        <f t="shared" si="162"/>
        <v>103.5015211526319</v>
      </c>
      <c r="K725" s="12">
        <v>73396.259999999995</v>
      </c>
      <c r="N725" s="131">
        <f t="shared" si="161"/>
        <v>99.557786270010396</v>
      </c>
      <c r="T725" s="278">
        <v>45539</v>
      </c>
      <c r="W725" s="170">
        <v>88.034999999999997</v>
      </c>
    </row>
    <row r="726" spans="2:23" x14ac:dyDescent="0.3">
      <c r="B726" s="278">
        <v>45498</v>
      </c>
      <c r="E726" s="12">
        <v>1809.35</v>
      </c>
      <c r="H726" s="21">
        <f t="shared" si="162"/>
        <v>103.86028356581139</v>
      </c>
      <c r="K726" s="12">
        <v>72305.61</v>
      </c>
      <c r="N726" s="131">
        <f t="shared" si="161"/>
        <v>98.07838255658703</v>
      </c>
      <c r="T726" s="278">
        <v>45538</v>
      </c>
      <c r="W726" s="170">
        <v>86.096900000000005</v>
      </c>
    </row>
    <row r="727" spans="2:23" x14ac:dyDescent="0.3">
      <c r="B727" s="278">
        <v>45497</v>
      </c>
      <c r="E727" s="12">
        <v>1818.8</v>
      </c>
      <c r="H727" s="21">
        <f t="shared" si="162"/>
        <v>104.40273233453878</v>
      </c>
      <c r="K727" s="12">
        <v>71559.42</v>
      </c>
      <c r="N727" s="131">
        <f t="shared" si="161"/>
        <v>97.066218932216813</v>
      </c>
      <c r="T727" s="278">
        <v>45537</v>
      </c>
      <c r="W727" s="170">
        <v>85.537400000000005</v>
      </c>
    </row>
    <row r="728" spans="2:23" x14ac:dyDescent="0.3">
      <c r="B728" s="278">
        <v>45496</v>
      </c>
      <c r="E728" s="12">
        <v>1762.05</v>
      </c>
      <c r="H728" s="21">
        <f t="shared" si="162"/>
        <v>101.14516962286895</v>
      </c>
      <c r="K728" s="12">
        <v>71199.03</v>
      </c>
      <c r="N728" s="131">
        <f t="shared" si="161"/>
        <v>96.577370718508789</v>
      </c>
      <c r="T728" s="278">
        <v>45534</v>
      </c>
      <c r="W728" s="170">
        <v>84.962500000000006</v>
      </c>
    </row>
    <row r="729" spans="2:23" x14ac:dyDescent="0.3">
      <c r="B729" s="278">
        <v>45495</v>
      </c>
      <c r="E729" s="12">
        <v>1764.55</v>
      </c>
      <c r="H729" s="21">
        <f t="shared" si="162"/>
        <v>101.28867458814075</v>
      </c>
      <c r="K729" s="12">
        <v>72677.78</v>
      </c>
      <c r="N729" s="131">
        <f t="shared" si="161"/>
        <v>98.583209659713404</v>
      </c>
      <c r="T729" s="278">
        <v>45533</v>
      </c>
      <c r="W729" s="170">
        <v>85.085599999999999</v>
      </c>
    </row>
    <row r="730" spans="2:23" x14ac:dyDescent="0.3">
      <c r="B730" s="278">
        <v>45492</v>
      </c>
      <c r="E730" s="12">
        <v>1775.75</v>
      </c>
      <c r="H730" s="21">
        <f t="shared" si="162"/>
        <v>101.93157683255841</v>
      </c>
      <c r="K730" s="12">
        <v>71599.17</v>
      </c>
      <c r="N730" s="131">
        <f t="shared" si="161"/>
        <v>97.120137510687073</v>
      </c>
      <c r="T730" s="278">
        <v>45532</v>
      </c>
      <c r="W730" s="170">
        <v>84.756799999999998</v>
      </c>
    </row>
    <row r="731" spans="2:23" x14ac:dyDescent="0.3">
      <c r="B731" s="278">
        <v>45491</v>
      </c>
      <c r="E731" s="12">
        <v>1813.8</v>
      </c>
      <c r="H731" s="21">
        <f t="shared" si="162"/>
        <v>104.11572240399518</v>
      </c>
      <c r="K731" s="12">
        <v>72945.66</v>
      </c>
      <c r="N731" s="131">
        <f t="shared" si="161"/>
        <v>98.946573403124987</v>
      </c>
      <c r="T731" s="278">
        <v>45531</v>
      </c>
      <c r="W731" s="170">
        <v>85.447000000000003</v>
      </c>
    </row>
    <row r="732" spans="2:23" x14ac:dyDescent="0.3">
      <c r="B732" s="278">
        <v>45489</v>
      </c>
      <c r="E732" s="12">
        <v>1831.65</v>
      </c>
      <c r="H732" s="21">
        <f t="shared" si="162"/>
        <v>105.14034785603583</v>
      </c>
      <c r="K732" s="12">
        <v>74460.06</v>
      </c>
      <c r="N732" s="131">
        <f t="shared" si="161"/>
        <v>101.0007695096746</v>
      </c>
      <c r="T732" s="278">
        <v>45530</v>
      </c>
      <c r="W732" s="170">
        <v>77.396699999999996</v>
      </c>
    </row>
    <row r="733" spans="2:23" x14ac:dyDescent="0.3">
      <c r="B733" s="278">
        <v>45488</v>
      </c>
      <c r="E733" s="12">
        <v>1807.9</v>
      </c>
      <c r="H733" s="21">
        <f t="shared" si="162"/>
        <v>103.77705068595375</v>
      </c>
      <c r="K733" s="12">
        <v>74859.8</v>
      </c>
      <c r="N733" s="131">
        <f t="shared" si="161"/>
        <v>101.54299372496263</v>
      </c>
      <c r="T733" s="278">
        <v>45527</v>
      </c>
      <c r="W733" s="170">
        <v>77.254400000000004</v>
      </c>
    </row>
    <row r="734" spans="2:23" x14ac:dyDescent="0.3">
      <c r="B734" s="278">
        <v>45485</v>
      </c>
      <c r="E734" s="12">
        <v>1789.2</v>
      </c>
      <c r="H734" s="21">
        <f t="shared" si="162"/>
        <v>102.70363354572069</v>
      </c>
      <c r="K734" s="12">
        <v>74950.899999999994</v>
      </c>
      <c r="N734" s="131">
        <f t="shared" si="161"/>
        <v>101.66656561172086</v>
      </c>
      <c r="T734" s="278">
        <v>45526</v>
      </c>
      <c r="W734" s="170">
        <v>76.3065</v>
      </c>
    </row>
    <row r="735" spans="2:23" x14ac:dyDescent="0.3">
      <c r="B735" s="278">
        <v>45484</v>
      </c>
      <c r="E735" s="12">
        <v>1778.2</v>
      </c>
      <c r="H735" s="21">
        <f t="shared" si="162"/>
        <v>102.07221169852478</v>
      </c>
      <c r="K735" s="12">
        <v>75381.58</v>
      </c>
      <c r="N735" s="131">
        <f t="shared" si="161"/>
        <v>102.25075814947098</v>
      </c>
      <c r="T735" s="278">
        <v>45525</v>
      </c>
      <c r="W735" s="170">
        <v>75.971900000000005</v>
      </c>
    </row>
    <row r="736" spans="2:23" x14ac:dyDescent="0.3">
      <c r="B736" s="278">
        <v>45483</v>
      </c>
      <c r="E736" s="12">
        <v>1775.15</v>
      </c>
      <c r="H736" s="21">
        <f t="shared" si="162"/>
        <v>101.89713564089318</v>
      </c>
      <c r="K736" s="12">
        <v>75207.69</v>
      </c>
      <c r="N736" s="131">
        <f t="shared" si="161"/>
        <v>102.0148864108498</v>
      </c>
      <c r="T736" s="278">
        <v>45524</v>
      </c>
      <c r="W736" s="170">
        <v>74.814499999999995</v>
      </c>
    </row>
    <row r="737" spans="2:23" x14ac:dyDescent="0.3">
      <c r="B737" s="278">
        <v>45482</v>
      </c>
      <c r="E737" s="12">
        <v>1800.35</v>
      </c>
      <c r="H737" s="21">
        <f t="shared" si="162"/>
        <v>103.34366569083291</v>
      </c>
      <c r="K737" s="12">
        <v>75536.570000000007</v>
      </c>
      <c r="N737" s="131">
        <f t="shared" si="161"/>
        <v>102.46099313002705</v>
      </c>
      <c r="T737" s="278">
        <v>45523</v>
      </c>
      <c r="W737" s="170">
        <v>74.449100000000001</v>
      </c>
    </row>
    <row r="738" spans="2:23" x14ac:dyDescent="0.3">
      <c r="B738" s="278">
        <v>45481</v>
      </c>
      <c r="E738" s="12">
        <v>1769.55</v>
      </c>
      <c r="H738" s="21">
        <f t="shared" si="162"/>
        <v>101.57568451868435</v>
      </c>
      <c r="K738" s="12">
        <v>75620.11</v>
      </c>
      <c r="N738" s="131">
        <f t="shared" si="161"/>
        <v>102.57431031355925</v>
      </c>
      <c r="T738" s="278">
        <v>45520</v>
      </c>
      <c r="W738" s="170">
        <v>72.9148</v>
      </c>
    </row>
    <row r="739" spans="2:23" x14ac:dyDescent="0.3">
      <c r="B739" s="278">
        <v>45478</v>
      </c>
      <c r="E739" s="12">
        <v>1804.9</v>
      </c>
      <c r="H739" s="21">
        <f t="shared" si="162"/>
        <v>103.60484472762759</v>
      </c>
      <c r="K739" s="12">
        <v>75131.429999999993</v>
      </c>
      <c r="N739" s="131">
        <f t="shared" ref="N739:N762" si="163">(K739/$K$762)*100</f>
        <v>101.91144412672044</v>
      </c>
      <c r="T739" s="278">
        <v>45519</v>
      </c>
      <c r="W739" s="170"/>
    </row>
    <row r="740" spans="2:23" x14ac:dyDescent="0.3">
      <c r="B740" s="278">
        <v>45477</v>
      </c>
      <c r="E740" s="12">
        <v>1799</v>
      </c>
      <c r="H740" s="21">
        <f t="shared" si="162"/>
        <v>103.26617300958614</v>
      </c>
      <c r="K740" s="12">
        <v>73985.289999999994</v>
      </c>
      <c r="N740" s="131">
        <f t="shared" si="163"/>
        <v>100.35677143419484</v>
      </c>
      <c r="T740" s="278">
        <v>45518</v>
      </c>
      <c r="W740" s="170">
        <v>73.193600000000004</v>
      </c>
    </row>
    <row r="741" spans="2:23" x14ac:dyDescent="0.3">
      <c r="B741" s="278">
        <v>45476</v>
      </c>
      <c r="E741" s="12">
        <v>1818.3</v>
      </c>
      <c r="H741" s="21">
        <f t="shared" si="162"/>
        <v>104.37403134148443</v>
      </c>
      <c r="K741" s="12">
        <v>73757.67</v>
      </c>
      <c r="N741" s="131">
        <f t="shared" si="163"/>
        <v>100.0480180547886</v>
      </c>
      <c r="T741" s="278">
        <v>45517</v>
      </c>
      <c r="W741" s="170">
        <v>72.657200000000003</v>
      </c>
    </row>
    <row r="742" spans="2:23" x14ac:dyDescent="0.3">
      <c r="B742" s="278">
        <v>45475</v>
      </c>
      <c r="E742" s="12">
        <v>1814.05</v>
      </c>
      <c r="H742" s="21">
        <f t="shared" si="162"/>
        <v>104.13007290052236</v>
      </c>
      <c r="K742" s="12">
        <v>73044.87</v>
      </c>
      <c r="N742" s="131">
        <f t="shared" si="163"/>
        <v>99.081146036333379</v>
      </c>
      <c r="T742" s="278">
        <v>45516</v>
      </c>
      <c r="W742" s="170">
        <v>71.363200000000006</v>
      </c>
    </row>
    <row r="743" spans="2:23" x14ac:dyDescent="0.3">
      <c r="B743" s="278">
        <v>45474</v>
      </c>
      <c r="E743" s="12">
        <v>1819.2</v>
      </c>
      <c r="H743" s="21">
        <f t="shared" si="162"/>
        <v>104.42569312898226</v>
      </c>
      <c r="K743" s="12">
        <v>72726.600000000006</v>
      </c>
      <c r="N743" s="131">
        <f t="shared" si="163"/>
        <v>98.649431169170455</v>
      </c>
      <c r="T743" s="278">
        <v>45513</v>
      </c>
      <c r="W743" s="170">
        <v>69.376999999999995</v>
      </c>
    </row>
    <row r="744" spans="2:23" x14ac:dyDescent="0.3">
      <c r="B744" s="278">
        <v>45471</v>
      </c>
      <c r="E744" s="12">
        <v>1819.55</v>
      </c>
      <c r="H744" s="21">
        <f t="shared" si="162"/>
        <v>104.44578382412031</v>
      </c>
      <c r="K744" s="12">
        <v>72324.41</v>
      </c>
      <c r="N744" s="131">
        <f t="shared" si="163"/>
        <v>98.103883670429568</v>
      </c>
      <c r="T744" s="278">
        <v>45512</v>
      </c>
      <c r="W744" s="170">
        <v>67.065899999999999</v>
      </c>
    </row>
    <row r="745" spans="2:23" x14ac:dyDescent="0.3">
      <c r="B745" s="278">
        <v>45470</v>
      </c>
      <c r="E745" s="12">
        <v>1783.45</v>
      </c>
      <c r="H745" s="21">
        <f t="shared" si="162"/>
        <v>102.37357212559554</v>
      </c>
      <c r="K745" s="12">
        <v>72628.78</v>
      </c>
      <c r="N745" s="131">
        <f t="shared" si="163"/>
        <v>98.516743990655726</v>
      </c>
      <c r="T745" s="278">
        <v>45511</v>
      </c>
      <c r="W745" s="170">
        <v>65.816199999999995</v>
      </c>
    </row>
    <row r="746" spans="2:23" x14ac:dyDescent="0.3">
      <c r="B746" s="278">
        <v>45469</v>
      </c>
      <c r="E746" s="12">
        <v>1803</v>
      </c>
      <c r="H746" s="21">
        <f t="shared" si="162"/>
        <v>103.49578095402101</v>
      </c>
      <c r="K746" s="12">
        <v>72683.19</v>
      </c>
      <c r="N746" s="131">
        <f t="shared" si="163"/>
        <v>98.590548012154272</v>
      </c>
      <c r="T746" s="278">
        <v>45510</v>
      </c>
      <c r="W746" s="170">
        <v>65.064400000000006</v>
      </c>
    </row>
    <row r="747" spans="2:23" x14ac:dyDescent="0.3">
      <c r="B747" s="278">
        <v>45468</v>
      </c>
      <c r="E747" s="12">
        <v>1906.5</v>
      </c>
      <c r="H747" s="21">
        <f t="shared" si="162"/>
        <v>109.43688651627347</v>
      </c>
      <c r="K747" s="12">
        <v>72694.070000000007</v>
      </c>
      <c r="N747" s="131">
        <f t="shared" si="163"/>
        <v>98.605306103569518</v>
      </c>
      <c r="T747" s="278">
        <v>45509</v>
      </c>
      <c r="W747" s="170">
        <v>65.216300000000004</v>
      </c>
    </row>
    <row r="748" spans="2:23" x14ac:dyDescent="0.3">
      <c r="B748" s="278">
        <v>45467</v>
      </c>
      <c r="E748" s="12">
        <v>1929.15</v>
      </c>
      <c r="H748" s="21">
        <f t="shared" si="162"/>
        <v>110.73704150163597</v>
      </c>
      <c r="K748" s="12">
        <v>72489.210000000006</v>
      </c>
      <c r="N748" s="131">
        <f t="shared" si="163"/>
        <v>98.327425349219439</v>
      </c>
      <c r="T748" s="278">
        <v>45506</v>
      </c>
      <c r="W748" s="170">
        <v>68.942499999999995</v>
      </c>
    </row>
    <row r="749" spans="2:23" x14ac:dyDescent="0.3">
      <c r="B749" s="278">
        <v>45464</v>
      </c>
      <c r="E749" s="12">
        <v>1910.05</v>
      </c>
      <c r="H749" s="21">
        <f t="shared" si="162"/>
        <v>109.64066356695943</v>
      </c>
      <c r="K749" s="12">
        <v>71779.22</v>
      </c>
      <c r="N749" s="131">
        <f t="shared" si="163"/>
        <v>97.364364933418344</v>
      </c>
      <c r="T749" s="278">
        <v>45505</v>
      </c>
      <c r="W749" s="170">
        <v>68.807900000000004</v>
      </c>
    </row>
    <row r="750" spans="2:23" x14ac:dyDescent="0.3">
      <c r="B750" s="278">
        <v>45463</v>
      </c>
      <c r="E750" s="12">
        <v>1930.05</v>
      </c>
      <c r="H750" s="21">
        <f t="shared" si="162"/>
        <v>110.78870328913382</v>
      </c>
      <c r="K750" s="12">
        <v>72473.56</v>
      </c>
      <c r="N750" s="131">
        <f t="shared" si="163"/>
        <v>98.306197028387757</v>
      </c>
      <c r="T750" s="278">
        <v>45504</v>
      </c>
      <c r="W750" s="170">
        <v>68.821399999999997</v>
      </c>
    </row>
    <row r="751" spans="2:23" x14ac:dyDescent="0.3">
      <c r="B751" s="278">
        <v>45462</v>
      </c>
      <c r="E751" s="12">
        <v>1946.9</v>
      </c>
      <c r="H751" s="21">
        <f t="shared" si="162"/>
        <v>111.75592675506574</v>
      </c>
      <c r="K751" s="12">
        <v>72206.83</v>
      </c>
      <c r="N751" s="131">
        <f t="shared" si="163"/>
        <v>97.944393193535689</v>
      </c>
      <c r="T751" s="278">
        <v>45503</v>
      </c>
      <c r="W751" s="170">
        <v>69.701999999999998</v>
      </c>
    </row>
    <row r="752" spans="2:23" x14ac:dyDescent="0.3">
      <c r="B752" s="278">
        <v>45461</v>
      </c>
      <c r="E752" s="12">
        <v>1977.95</v>
      </c>
      <c r="H752" s="21">
        <f t="shared" si="162"/>
        <v>113.53825842374148</v>
      </c>
      <c r="K752" s="12">
        <v>73790.16</v>
      </c>
      <c r="N752" s="131">
        <f t="shared" si="163"/>
        <v>100.09208886270051</v>
      </c>
      <c r="T752" s="278">
        <v>45502</v>
      </c>
      <c r="W752" s="170">
        <v>69.061700000000002</v>
      </c>
    </row>
    <row r="753" spans="2:23" x14ac:dyDescent="0.3">
      <c r="B753" s="278">
        <v>45457</v>
      </c>
      <c r="E753" s="12">
        <v>1787.9</v>
      </c>
      <c r="H753" s="21">
        <f t="shared" si="162"/>
        <v>102.62901096377936</v>
      </c>
      <c r="K753" s="12">
        <v>73255.72</v>
      </c>
      <c r="N753" s="131">
        <f t="shared" si="163"/>
        <v>99.367151879615207</v>
      </c>
      <c r="T753" s="278">
        <v>45499</v>
      </c>
      <c r="W753" s="170">
        <v>69.336699999999993</v>
      </c>
    </row>
    <row r="754" spans="2:23" x14ac:dyDescent="0.3">
      <c r="B754" s="278">
        <v>45456</v>
      </c>
      <c r="E754" s="12">
        <v>1808.35</v>
      </c>
      <c r="H754" s="21">
        <f t="shared" si="162"/>
        <v>103.80288157970266</v>
      </c>
      <c r="K754" s="12">
        <v>72088.2</v>
      </c>
      <c r="N754" s="131">
        <f t="shared" si="163"/>
        <v>97.783478452304834</v>
      </c>
      <c r="T754" s="278">
        <v>45498</v>
      </c>
      <c r="W754" s="170">
        <v>69.576999999999998</v>
      </c>
    </row>
    <row r="755" spans="2:23" x14ac:dyDescent="0.3">
      <c r="B755" s="278">
        <v>45455</v>
      </c>
      <c r="E755" s="12">
        <v>1793.65</v>
      </c>
      <c r="H755" s="21">
        <f t="shared" si="162"/>
        <v>102.9590723839045</v>
      </c>
      <c r="K755" s="12">
        <v>70639.289999999994</v>
      </c>
      <c r="N755" s="131">
        <f t="shared" si="163"/>
        <v>95.81811574711412</v>
      </c>
      <c r="T755" s="278">
        <v>45497</v>
      </c>
      <c r="W755" s="170">
        <v>69.940399999999997</v>
      </c>
    </row>
    <row r="756" spans="2:23" x14ac:dyDescent="0.3">
      <c r="B756" s="278">
        <v>45454</v>
      </c>
      <c r="E756" s="12">
        <v>1792.05</v>
      </c>
      <c r="H756" s="21">
        <f t="shared" si="162"/>
        <v>102.86722920613055</v>
      </c>
      <c r="K756" s="12">
        <v>69810.960000000006</v>
      </c>
      <c r="N756" s="131">
        <f t="shared" si="163"/>
        <v>94.694533958327654</v>
      </c>
      <c r="T756" s="278">
        <v>45496</v>
      </c>
      <c r="W756" s="170">
        <v>67.758099999999999</v>
      </c>
    </row>
    <row r="757" spans="2:23" x14ac:dyDescent="0.3">
      <c r="B757" s="278">
        <v>45453</v>
      </c>
      <c r="E757" s="12">
        <v>1791.55</v>
      </c>
      <c r="H757" s="21">
        <f t="shared" si="162"/>
        <v>102.83852821307617</v>
      </c>
      <c r="K757" s="12">
        <v>68853.119999999995</v>
      </c>
      <c r="N757" s="131">
        <f t="shared" si="163"/>
        <v>93.395279336895072</v>
      </c>
      <c r="T757" s="278">
        <v>45495</v>
      </c>
      <c r="W757" s="170">
        <v>67.854299999999995</v>
      </c>
    </row>
    <row r="758" spans="2:23" x14ac:dyDescent="0.3">
      <c r="B758" s="278">
        <v>45450</v>
      </c>
      <c r="E758" s="12">
        <v>1763.65</v>
      </c>
      <c r="H758" s="21">
        <f t="shared" si="162"/>
        <v>101.23701280064293</v>
      </c>
      <c r="K758" s="12">
        <v>68852.259999999995</v>
      </c>
      <c r="N758" s="131">
        <f t="shared" si="163"/>
        <v>93.394112796580998</v>
      </c>
      <c r="T758" s="278">
        <v>45492</v>
      </c>
      <c r="W758" s="170">
        <v>68.284899999999993</v>
      </c>
    </row>
    <row r="759" spans="2:23" x14ac:dyDescent="0.3">
      <c r="B759" s="278">
        <v>45449</v>
      </c>
      <c r="E759" s="12">
        <v>1789.75</v>
      </c>
      <c r="H759" s="21">
        <f t="shared" si="162"/>
        <v>102.73520463808048</v>
      </c>
      <c r="K759" s="12">
        <v>67886.67</v>
      </c>
      <c r="N759" s="131">
        <f t="shared" si="163"/>
        <v>92.084345747899505</v>
      </c>
      <c r="T759" s="278">
        <v>45491</v>
      </c>
      <c r="W759" s="170">
        <v>69.748099999999994</v>
      </c>
    </row>
    <row r="760" spans="2:23" x14ac:dyDescent="0.3">
      <c r="B760" s="278">
        <v>45448</v>
      </c>
      <c r="E760" s="12">
        <v>1748.75</v>
      </c>
      <c r="H760" s="21">
        <f t="shared" si="162"/>
        <v>100.381723207623</v>
      </c>
      <c r="K760" s="12">
        <v>65643.28</v>
      </c>
      <c r="N760" s="131">
        <f t="shared" si="163"/>
        <v>89.041316823261127</v>
      </c>
      <c r="T760" s="278">
        <v>45490</v>
      </c>
      <c r="W760" s="170"/>
    </row>
    <row r="761" spans="2:23" x14ac:dyDescent="0.3">
      <c r="B761" s="278">
        <v>45447</v>
      </c>
      <c r="E761" s="12">
        <v>1609.3</v>
      </c>
      <c r="H761" s="21">
        <f t="shared" si="162"/>
        <v>92.377016244762061</v>
      </c>
      <c r="K761" s="12">
        <v>64829.31</v>
      </c>
      <c r="N761" s="131">
        <f t="shared" si="163"/>
        <v>87.937213544835231</v>
      </c>
      <c r="T761" s="278">
        <v>45489</v>
      </c>
      <c r="W761" s="170">
        <v>70.4345</v>
      </c>
    </row>
    <row r="762" spans="2:23" x14ac:dyDescent="0.3">
      <c r="B762" s="279">
        <v>45446</v>
      </c>
      <c r="C762" s="144"/>
      <c r="D762" s="144"/>
      <c r="E762" s="144">
        <v>1742.1</v>
      </c>
      <c r="F762" s="144"/>
      <c r="G762" s="144"/>
      <c r="H762" s="245">
        <f t="shared" si="162"/>
        <v>100</v>
      </c>
      <c r="I762" s="144"/>
      <c r="J762" s="144"/>
      <c r="K762" s="144">
        <v>73722.27</v>
      </c>
      <c r="L762" s="144"/>
      <c r="M762" s="144"/>
      <c r="N762" s="247">
        <f t="shared" si="163"/>
        <v>100</v>
      </c>
      <c r="T762" s="278">
        <v>45488</v>
      </c>
      <c r="W762" s="170">
        <v>69.521199999999993</v>
      </c>
    </row>
    <row r="763" spans="2:23" x14ac:dyDescent="0.3">
      <c r="T763" s="278">
        <v>45485</v>
      </c>
      <c r="W763" s="170">
        <v>68.802199999999999</v>
      </c>
    </row>
    <row r="764" spans="2:23" x14ac:dyDescent="0.3">
      <c r="T764" s="278">
        <v>45484</v>
      </c>
      <c r="W764" s="170">
        <v>68.379199999999997</v>
      </c>
    </row>
    <row r="765" spans="2:23" x14ac:dyDescent="0.3">
      <c r="T765" s="278">
        <v>45483</v>
      </c>
      <c r="W765" s="170">
        <v>68.261899999999997</v>
      </c>
    </row>
    <row r="766" spans="2:23" x14ac:dyDescent="0.3">
      <c r="T766" s="278">
        <v>45482</v>
      </c>
      <c r="W766" s="170">
        <v>69.230900000000005</v>
      </c>
    </row>
    <row r="767" spans="2:23" x14ac:dyDescent="0.3">
      <c r="T767" s="278">
        <v>45481</v>
      </c>
      <c r="W767" s="170">
        <v>68.046499999999995</v>
      </c>
    </row>
    <row r="768" spans="2:23" x14ac:dyDescent="0.3">
      <c r="T768" s="278">
        <v>45478</v>
      </c>
      <c r="W768" s="170">
        <v>69.405900000000003</v>
      </c>
    </row>
    <row r="769" spans="20:23" x14ac:dyDescent="0.3">
      <c r="T769" s="278">
        <v>45477</v>
      </c>
      <c r="W769" s="170">
        <v>69.179000000000002</v>
      </c>
    </row>
    <row r="770" spans="20:23" x14ac:dyDescent="0.3">
      <c r="T770" s="278">
        <v>45476</v>
      </c>
      <c r="W770" s="170">
        <v>69.921199999999999</v>
      </c>
    </row>
    <row r="771" spans="20:23" x14ac:dyDescent="0.3">
      <c r="T771" s="278">
        <v>45475</v>
      </c>
      <c r="W771" s="170">
        <v>69.7577</v>
      </c>
    </row>
    <row r="772" spans="20:23" x14ac:dyDescent="0.3">
      <c r="T772" s="278">
        <v>45474</v>
      </c>
      <c r="W772" s="170">
        <v>69.955799999999996</v>
      </c>
    </row>
    <row r="773" spans="20:23" x14ac:dyDescent="0.3">
      <c r="T773" s="278">
        <v>45471</v>
      </c>
      <c r="W773" s="170">
        <v>69.969200000000001</v>
      </c>
    </row>
    <row r="774" spans="20:23" x14ac:dyDescent="0.3">
      <c r="T774" s="278">
        <v>45470</v>
      </c>
      <c r="W774" s="170">
        <v>68.581000000000003</v>
      </c>
    </row>
    <row r="775" spans="20:23" x14ac:dyDescent="0.3">
      <c r="T775" s="278">
        <v>45469</v>
      </c>
      <c r="W775" s="170">
        <v>69.332800000000006</v>
      </c>
    </row>
    <row r="776" spans="20:23" x14ac:dyDescent="0.3">
      <c r="T776" s="278">
        <v>45468</v>
      </c>
      <c r="W776" s="170">
        <v>73.312799999999996</v>
      </c>
    </row>
    <row r="777" spans="20:23" x14ac:dyDescent="0.3">
      <c r="T777" s="278">
        <v>45467</v>
      </c>
      <c r="W777" s="170">
        <v>74.183800000000005</v>
      </c>
    </row>
    <row r="778" spans="20:23" x14ac:dyDescent="0.3">
      <c r="T778" s="278">
        <v>45464</v>
      </c>
      <c r="W778" s="170">
        <v>73.449299999999994</v>
      </c>
    </row>
    <row r="779" spans="20:23" x14ac:dyDescent="0.3">
      <c r="T779" s="278">
        <v>45463</v>
      </c>
      <c r="W779" s="170">
        <v>74.218400000000003</v>
      </c>
    </row>
    <row r="780" spans="20:23" x14ac:dyDescent="0.3">
      <c r="T780" s="278">
        <v>45462</v>
      </c>
      <c r="W780" s="170">
        <v>74.866399999999999</v>
      </c>
    </row>
    <row r="781" spans="20:23" x14ac:dyDescent="0.3">
      <c r="T781" s="278">
        <v>45461</v>
      </c>
      <c r="W781" s="170">
        <v>76.060400000000001</v>
      </c>
    </row>
    <row r="782" spans="20:23" x14ac:dyDescent="0.3">
      <c r="T782" s="278">
        <v>45460</v>
      </c>
      <c r="W782" s="170"/>
    </row>
    <row r="783" spans="20:23" x14ac:dyDescent="0.3">
      <c r="T783" s="278">
        <v>45457</v>
      </c>
      <c r="W783" s="170">
        <v>68.752200000000002</v>
      </c>
    </row>
    <row r="784" spans="20:23" x14ac:dyDescent="0.3">
      <c r="T784" s="278">
        <v>45456</v>
      </c>
      <c r="W784" s="170">
        <v>69.538600000000002</v>
      </c>
    </row>
    <row r="785" spans="20:23" x14ac:dyDescent="0.3">
      <c r="T785" s="278">
        <v>45455</v>
      </c>
      <c r="W785" s="170">
        <v>68.973299999999995</v>
      </c>
    </row>
    <row r="786" spans="20:23" x14ac:dyDescent="0.3">
      <c r="T786" s="278">
        <v>45454</v>
      </c>
      <c r="W786" s="170">
        <v>68.911799999999999</v>
      </c>
    </row>
    <row r="787" spans="20:23" x14ac:dyDescent="0.3">
      <c r="T787" s="278">
        <v>45453</v>
      </c>
      <c r="W787" s="170">
        <v>68.892499999999998</v>
      </c>
    </row>
    <row r="788" spans="20:23" x14ac:dyDescent="0.3">
      <c r="T788" s="278">
        <v>45450</v>
      </c>
      <c r="W788" s="170">
        <v>67.819599999999994</v>
      </c>
    </row>
    <row r="789" spans="20:23" x14ac:dyDescent="0.3">
      <c r="T789" s="278">
        <v>45449</v>
      </c>
      <c r="W789" s="170">
        <v>68.823300000000003</v>
      </c>
    </row>
    <row r="790" spans="20:23" x14ac:dyDescent="0.3">
      <c r="T790" s="278">
        <v>45448</v>
      </c>
      <c r="W790" s="170">
        <v>67.246700000000004</v>
      </c>
    </row>
    <row r="791" spans="20:23" x14ac:dyDescent="0.3">
      <c r="T791" s="278">
        <v>45447</v>
      </c>
      <c r="W791" s="170">
        <v>61.884300000000003</v>
      </c>
    </row>
    <row r="792" spans="20:23" x14ac:dyDescent="0.3">
      <c r="T792" s="278">
        <v>45446</v>
      </c>
      <c r="W792" s="170">
        <v>66.991</v>
      </c>
    </row>
    <row r="793" spans="20:23" x14ac:dyDescent="0.3">
      <c r="T793" s="278">
        <v>45443</v>
      </c>
      <c r="W793" s="170">
        <v>66.412199999999999</v>
      </c>
    </row>
    <row r="794" spans="20:23" x14ac:dyDescent="0.3">
      <c r="T794" s="278">
        <v>45442</v>
      </c>
      <c r="W794" s="170">
        <v>65.575900000000004</v>
      </c>
    </row>
    <row r="795" spans="20:23" x14ac:dyDescent="0.3">
      <c r="T795" s="278">
        <v>45441</v>
      </c>
      <c r="W795" s="170">
        <v>66.312200000000004</v>
      </c>
    </row>
    <row r="796" spans="20:23" x14ac:dyDescent="0.3">
      <c r="T796" s="278">
        <v>45440</v>
      </c>
      <c r="W796" s="170">
        <v>65.516300000000001</v>
      </c>
    </row>
    <row r="797" spans="20:23" x14ac:dyDescent="0.3">
      <c r="T797" s="278">
        <v>45439</v>
      </c>
      <c r="W797" s="170">
        <v>66.771799999999999</v>
      </c>
    </row>
    <row r="798" spans="20:23" x14ac:dyDescent="0.3">
      <c r="T798" s="278">
        <v>45436</v>
      </c>
      <c r="W798" s="170">
        <v>67.702399999999997</v>
      </c>
    </row>
    <row r="799" spans="20:23" x14ac:dyDescent="0.3">
      <c r="T799" s="278">
        <v>45435</v>
      </c>
      <c r="W799" s="170">
        <v>68.1965</v>
      </c>
    </row>
    <row r="800" spans="20:23" x14ac:dyDescent="0.3">
      <c r="T800" s="278">
        <v>45434</v>
      </c>
      <c r="W800" s="170">
        <v>68.865600000000001</v>
      </c>
    </row>
    <row r="801" spans="20:23" x14ac:dyDescent="0.3">
      <c r="T801" s="278">
        <v>45433</v>
      </c>
      <c r="W801" s="170">
        <v>70.053799999999995</v>
      </c>
    </row>
    <row r="802" spans="20:23" x14ac:dyDescent="0.3">
      <c r="T802" s="278">
        <v>45432</v>
      </c>
      <c r="W802" s="170"/>
    </row>
    <row r="803" spans="20:23" x14ac:dyDescent="0.3">
      <c r="T803" s="278">
        <v>45430</v>
      </c>
      <c r="W803" s="170">
        <v>71.447800000000001</v>
      </c>
    </row>
    <row r="804" spans="20:23" x14ac:dyDescent="0.3">
      <c r="T804" s="278">
        <v>45429</v>
      </c>
      <c r="W804" s="170">
        <v>71.528499999999994</v>
      </c>
    </row>
    <row r="805" spans="20:23" x14ac:dyDescent="0.3">
      <c r="T805" s="278">
        <v>45428</v>
      </c>
      <c r="W805" s="170">
        <v>69.525099999999995</v>
      </c>
    </row>
    <row r="806" spans="20:23" x14ac:dyDescent="0.3">
      <c r="T806" s="278">
        <v>45427</v>
      </c>
      <c r="W806" s="170">
        <v>69.871200000000002</v>
      </c>
    </row>
    <row r="807" spans="20:23" x14ac:dyDescent="0.3">
      <c r="T807" s="278">
        <v>45426</v>
      </c>
      <c r="W807" s="170">
        <v>69.980800000000002</v>
      </c>
    </row>
    <row r="808" spans="20:23" x14ac:dyDescent="0.3">
      <c r="T808" s="278">
        <v>45425</v>
      </c>
      <c r="W808" s="170">
        <v>68.375299999999996</v>
      </c>
    </row>
    <row r="809" spans="20:23" x14ac:dyDescent="0.3">
      <c r="T809" s="278">
        <v>45422</v>
      </c>
      <c r="W809" s="170">
        <v>69.807699999999997</v>
      </c>
    </row>
    <row r="810" spans="20:23" x14ac:dyDescent="0.3">
      <c r="T810" s="278">
        <v>45421</v>
      </c>
      <c r="W810" s="170">
        <v>72.651399999999995</v>
      </c>
    </row>
    <row r="811" spans="20:23" x14ac:dyDescent="0.3">
      <c r="T811" s="278">
        <v>45420</v>
      </c>
      <c r="W811" s="170">
        <v>75.670100000000005</v>
      </c>
    </row>
    <row r="812" spans="20:23" x14ac:dyDescent="0.3">
      <c r="T812" s="278">
        <v>45419</v>
      </c>
      <c r="W812" s="170">
        <v>74.956699999999998</v>
      </c>
    </row>
    <row r="813" spans="20:23" x14ac:dyDescent="0.3">
      <c r="T813" s="278">
        <v>45418</v>
      </c>
      <c r="W813" s="170">
        <v>79.357799999999997</v>
      </c>
    </row>
    <row r="814" spans="20:23" x14ac:dyDescent="0.3">
      <c r="T814" s="278">
        <v>45415</v>
      </c>
      <c r="W814" s="170">
        <v>70.613299999999995</v>
      </c>
    </row>
    <row r="815" spans="20:23" x14ac:dyDescent="0.3">
      <c r="T815" s="278">
        <v>45414</v>
      </c>
      <c r="W815" s="170">
        <v>69.5578</v>
      </c>
    </row>
    <row r="816" spans="20:23" x14ac:dyDescent="0.3">
      <c r="T816" s="278">
        <v>45413</v>
      </c>
      <c r="W816" s="170"/>
    </row>
    <row r="817" spans="20:23" x14ac:dyDescent="0.3">
      <c r="T817" s="278">
        <v>45412</v>
      </c>
      <c r="W817" s="170">
        <v>68.531099999999995</v>
      </c>
    </row>
    <row r="818" spans="20:23" x14ac:dyDescent="0.3">
      <c r="T818" s="278">
        <v>45411</v>
      </c>
      <c r="W818" s="170">
        <v>68.346500000000006</v>
      </c>
    </row>
    <row r="819" spans="20:23" x14ac:dyDescent="0.3">
      <c r="T819" s="278">
        <v>45408</v>
      </c>
      <c r="W819" s="170">
        <v>68.788700000000006</v>
      </c>
    </row>
    <row r="820" spans="20:23" x14ac:dyDescent="0.3">
      <c r="T820" s="278">
        <v>45407</v>
      </c>
      <c r="W820" s="170">
        <v>69.842299999999994</v>
      </c>
    </row>
    <row r="821" spans="20:23" x14ac:dyDescent="0.3">
      <c r="T821" s="278">
        <v>45406</v>
      </c>
      <c r="W821" s="170">
        <v>67.452399999999997</v>
      </c>
    </row>
    <row r="822" spans="20:23" x14ac:dyDescent="0.3">
      <c r="T822" s="278">
        <v>45405</v>
      </c>
      <c r="W822" s="170">
        <v>70.265299999999996</v>
      </c>
    </row>
    <row r="823" spans="20:23" x14ac:dyDescent="0.3">
      <c r="T823" s="278">
        <v>45404</v>
      </c>
      <c r="W823" s="170">
        <v>69.148200000000003</v>
      </c>
    </row>
    <row r="824" spans="20:23" x14ac:dyDescent="0.3">
      <c r="T824" s="278">
        <v>45401</v>
      </c>
      <c r="W824" s="170">
        <v>64.018500000000003</v>
      </c>
    </row>
    <row r="825" spans="20:23" x14ac:dyDescent="0.3">
      <c r="T825" s="278">
        <v>45400</v>
      </c>
      <c r="W825" s="170">
        <v>64.581800000000001</v>
      </c>
    </row>
    <row r="826" spans="20:23" x14ac:dyDescent="0.3">
      <c r="T826" s="278">
        <v>45399</v>
      </c>
      <c r="W826" s="170"/>
    </row>
    <row r="827" spans="20:23" x14ac:dyDescent="0.3">
      <c r="T827" s="278">
        <v>45398</v>
      </c>
      <c r="W827" s="170">
        <v>64.144400000000005</v>
      </c>
    </row>
    <row r="828" spans="20:23" x14ac:dyDescent="0.3">
      <c r="T828" s="278">
        <v>45397</v>
      </c>
      <c r="W828" s="170">
        <v>64.304000000000002</v>
      </c>
    </row>
    <row r="829" spans="20:23" x14ac:dyDescent="0.3">
      <c r="T829" s="278">
        <v>45394</v>
      </c>
      <c r="W829" s="170">
        <v>64.826999999999998</v>
      </c>
    </row>
    <row r="830" spans="20:23" x14ac:dyDescent="0.3">
      <c r="T830" s="278">
        <v>45393</v>
      </c>
      <c r="W830" s="170"/>
    </row>
    <row r="831" spans="20:23" x14ac:dyDescent="0.3">
      <c r="T831" s="278">
        <v>45392</v>
      </c>
      <c r="W831" s="170">
        <v>64.862499999999997</v>
      </c>
    </row>
    <row r="832" spans="20:23" x14ac:dyDescent="0.3">
      <c r="T832" s="278">
        <v>45391</v>
      </c>
      <c r="W832" s="170">
        <v>64.972099999999998</v>
      </c>
    </row>
    <row r="833" spans="20:23" x14ac:dyDescent="0.3">
      <c r="T833" s="278">
        <v>45390</v>
      </c>
      <c r="W833" s="170">
        <v>65.164400000000001</v>
      </c>
    </row>
    <row r="834" spans="20:23" x14ac:dyDescent="0.3">
      <c r="T834" s="278">
        <v>45387</v>
      </c>
      <c r="W834" s="170">
        <v>64.975999999999999</v>
      </c>
    </row>
    <row r="835" spans="20:23" x14ac:dyDescent="0.3">
      <c r="T835" s="278">
        <v>45386</v>
      </c>
      <c r="W835" s="170">
        <v>65.9114</v>
      </c>
    </row>
    <row r="836" spans="20:23" x14ac:dyDescent="0.3">
      <c r="T836" s="278">
        <v>45385</v>
      </c>
      <c r="W836" s="170">
        <v>61.934199999999997</v>
      </c>
    </row>
    <row r="837" spans="20:23" x14ac:dyDescent="0.3">
      <c r="T837" s="278">
        <v>45384</v>
      </c>
      <c r="W837" s="170">
        <v>60.513399999999997</v>
      </c>
    </row>
    <row r="838" spans="20:23" x14ac:dyDescent="0.3">
      <c r="T838" s="278">
        <v>45383</v>
      </c>
      <c r="W838" s="170">
        <v>60.759500000000003</v>
      </c>
    </row>
    <row r="839" spans="20:23" x14ac:dyDescent="0.3">
      <c r="T839" s="278">
        <v>45380</v>
      </c>
      <c r="W839" s="170"/>
    </row>
    <row r="840" spans="20:23" x14ac:dyDescent="0.3">
      <c r="T840" s="278">
        <v>45379</v>
      </c>
      <c r="W840" s="170">
        <v>60.729700000000001</v>
      </c>
    </row>
    <row r="841" spans="20:23" x14ac:dyDescent="0.3">
      <c r="T841" s="278">
        <v>45378</v>
      </c>
      <c r="W841" s="170">
        <v>61.032499999999999</v>
      </c>
    </row>
    <row r="842" spans="20:23" x14ac:dyDescent="0.3">
      <c r="T842" s="278">
        <v>45377</v>
      </c>
      <c r="W842" s="170">
        <v>61.430500000000002</v>
      </c>
    </row>
    <row r="843" spans="20:23" x14ac:dyDescent="0.3">
      <c r="T843" s="278">
        <v>45376</v>
      </c>
      <c r="W843" s="170"/>
    </row>
    <row r="844" spans="20:23" x14ac:dyDescent="0.3">
      <c r="T844" s="278">
        <v>45373</v>
      </c>
      <c r="W844" s="170">
        <v>61.196899999999999</v>
      </c>
    </row>
    <row r="845" spans="20:23" x14ac:dyDescent="0.3">
      <c r="T845" s="278">
        <v>45372</v>
      </c>
      <c r="W845" s="170">
        <v>60.411499999999997</v>
      </c>
    </row>
    <row r="846" spans="20:23" x14ac:dyDescent="0.3">
      <c r="T846" s="278">
        <v>45371</v>
      </c>
      <c r="W846" s="170">
        <v>58.4955</v>
      </c>
    </row>
    <row r="847" spans="20:23" x14ac:dyDescent="0.3">
      <c r="T847" s="278">
        <v>45370</v>
      </c>
      <c r="W847" s="170">
        <v>62.9148</v>
      </c>
    </row>
    <row r="848" spans="20:23" x14ac:dyDescent="0.3">
      <c r="T848" s="278">
        <v>45369</v>
      </c>
      <c r="W848" s="170">
        <v>59.891399999999997</v>
      </c>
    </row>
    <row r="849" spans="20:23" x14ac:dyDescent="0.3">
      <c r="T849" s="278">
        <v>45366</v>
      </c>
      <c r="W849" s="170">
        <v>52.187100000000001</v>
      </c>
    </row>
    <row r="850" spans="20:23" x14ac:dyDescent="0.3">
      <c r="T850" s="278">
        <v>45365</v>
      </c>
      <c r="W850" s="170">
        <v>49.558700000000002</v>
      </c>
    </row>
    <row r="851" spans="20:23" x14ac:dyDescent="0.3">
      <c r="T851" s="278">
        <v>45364</v>
      </c>
      <c r="W851" s="170">
        <v>49.470300000000002</v>
      </c>
    </row>
    <row r="852" spans="20:23" x14ac:dyDescent="0.3">
      <c r="T852" s="278">
        <v>45363</v>
      </c>
      <c r="W852" s="170">
        <v>52.314</v>
      </c>
    </row>
    <row r="853" spans="20:23" x14ac:dyDescent="0.3">
      <c r="T853" s="278">
        <v>45362</v>
      </c>
      <c r="W853" s="170">
        <v>52.848500000000001</v>
      </c>
    </row>
    <row r="854" spans="20:23" x14ac:dyDescent="0.3">
      <c r="T854" s="278">
        <v>45359</v>
      </c>
      <c r="W854" s="170"/>
    </row>
    <row r="855" spans="20:23" x14ac:dyDescent="0.3">
      <c r="T855" s="278">
        <v>45358</v>
      </c>
      <c r="W855" s="170">
        <v>54.103099999999998</v>
      </c>
    </row>
    <row r="856" spans="20:23" x14ac:dyDescent="0.3">
      <c r="T856" s="278">
        <v>45357</v>
      </c>
      <c r="W856" s="170">
        <v>52.628300000000003</v>
      </c>
    </row>
    <row r="857" spans="20:23" x14ac:dyDescent="0.3">
      <c r="T857" s="278">
        <v>45356</v>
      </c>
      <c r="W857" s="170">
        <v>53.991500000000002</v>
      </c>
    </row>
    <row r="858" spans="20:23" x14ac:dyDescent="0.3">
      <c r="T858" s="278">
        <v>45355</v>
      </c>
      <c r="W858" s="170">
        <v>53.088799999999999</v>
      </c>
    </row>
    <row r="859" spans="20:23" x14ac:dyDescent="0.3">
      <c r="T859" s="278">
        <v>45353</v>
      </c>
      <c r="W859" s="170">
        <v>53.436799999999998</v>
      </c>
    </row>
    <row r="860" spans="20:23" x14ac:dyDescent="0.3">
      <c r="T860" s="278">
        <v>45352</v>
      </c>
      <c r="W860" s="170">
        <v>53.433999999999997</v>
      </c>
    </row>
    <row r="861" spans="20:23" x14ac:dyDescent="0.3">
      <c r="T861" s="278">
        <v>45351</v>
      </c>
      <c r="W861" s="170">
        <v>54.115600000000001</v>
      </c>
    </row>
    <row r="862" spans="20:23" x14ac:dyDescent="0.3">
      <c r="T862" s="278">
        <v>45350</v>
      </c>
      <c r="W862" s="170">
        <v>53.803100000000001</v>
      </c>
    </row>
    <row r="863" spans="20:23" x14ac:dyDescent="0.3">
      <c r="T863" s="278">
        <v>45349</v>
      </c>
      <c r="W863" s="170">
        <v>53.571399999999997</v>
      </c>
    </row>
    <row r="864" spans="20:23" x14ac:dyDescent="0.3">
      <c r="T864" s="278">
        <v>45348</v>
      </c>
      <c r="W864" s="170">
        <v>53.5839</v>
      </c>
    </row>
    <row r="865" spans="20:23" x14ac:dyDescent="0.3">
      <c r="T865" s="278">
        <v>45345</v>
      </c>
      <c r="W865" s="170">
        <v>53.994399999999999</v>
      </c>
    </row>
    <row r="866" spans="20:23" x14ac:dyDescent="0.3">
      <c r="T866" s="278">
        <v>45344</v>
      </c>
      <c r="W866" s="170">
        <v>53.8127</v>
      </c>
    </row>
    <row r="867" spans="20:23" x14ac:dyDescent="0.3">
      <c r="T867" s="278">
        <v>45343</v>
      </c>
      <c r="W867" s="170">
        <v>54.258800000000001</v>
      </c>
    </row>
    <row r="868" spans="20:23" x14ac:dyDescent="0.3">
      <c r="T868" s="278">
        <v>45342</v>
      </c>
      <c r="W868" s="170">
        <v>54.053100000000001</v>
      </c>
    </row>
    <row r="869" spans="20:23" x14ac:dyDescent="0.3">
      <c r="T869" s="278">
        <v>45341</v>
      </c>
      <c r="W869" s="170">
        <v>54.934600000000003</v>
      </c>
    </row>
    <row r="870" spans="20:23" x14ac:dyDescent="0.3">
      <c r="T870" s="278">
        <v>45338</v>
      </c>
      <c r="W870" s="170">
        <v>56.12</v>
      </c>
    </row>
    <row r="871" spans="20:23" x14ac:dyDescent="0.3">
      <c r="T871" s="278">
        <v>45337</v>
      </c>
      <c r="W871" s="170">
        <v>52.689900000000002</v>
      </c>
    </row>
    <row r="872" spans="20:23" x14ac:dyDescent="0.3">
      <c r="T872" s="278">
        <v>45336</v>
      </c>
      <c r="W872" s="170">
        <v>51.688099999999999</v>
      </c>
    </row>
    <row r="873" spans="20:23" x14ac:dyDescent="0.3">
      <c r="T873" s="278">
        <v>45335</v>
      </c>
      <c r="W873" s="170">
        <v>50.933500000000002</v>
      </c>
    </row>
    <row r="874" spans="20:23" x14ac:dyDescent="0.3">
      <c r="T874" s="278">
        <v>45334</v>
      </c>
      <c r="W874" s="170">
        <v>51.831400000000002</v>
      </c>
    </row>
    <row r="875" spans="20:23" x14ac:dyDescent="0.3">
      <c r="T875" s="278">
        <v>45331</v>
      </c>
      <c r="W875" s="170">
        <v>59.500100000000003</v>
      </c>
    </row>
    <row r="876" spans="20:23" x14ac:dyDescent="0.3">
      <c r="T876" s="278">
        <v>45330</v>
      </c>
      <c r="W876" s="170">
        <v>59.734699999999997</v>
      </c>
    </row>
    <row r="877" spans="20:23" x14ac:dyDescent="0.3">
      <c r="T877" s="278">
        <v>45329</v>
      </c>
      <c r="W877" s="170">
        <v>57.703299999999999</v>
      </c>
    </row>
    <row r="878" spans="20:23" x14ac:dyDescent="0.3">
      <c r="T878" s="278">
        <v>45328</v>
      </c>
      <c r="W878" s="170">
        <v>57.3063</v>
      </c>
    </row>
    <row r="879" spans="20:23" x14ac:dyDescent="0.3">
      <c r="T879" s="278">
        <v>45327</v>
      </c>
      <c r="W879" s="170">
        <v>56.400700000000001</v>
      </c>
    </row>
    <row r="880" spans="20:23" x14ac:dyDescent="0.3">
      <c r="T880" s="278">
        <v>45324</v>
      </c>
      <c r="W880" s="170">
        <v>57.9696</v>
      </c>
    </row>
    <row r="881" spans="20:23" x14ac:dyDescent="0.3">
      <c r="T881" s="278">
        <v>45323</v>
      </c>
      <c r="W881" s="170">
        <v>56.618000000000002</v>
      </c>
    </row>
    <row r="882" spans="20:23" x14ac:dyDescent="0.3">
      <c r="T882" s="278">
        <v>45322</v>
      </c>
      <c r="W882" s="170">
        <v>56.579500000000003</v>
      </c>
    </row>
    <row r="883" spans="20:23" x14ac:dyDescent="0.3">
      <c r="T883" s="278">
        <v>45321</v>
      </c>
      <c r="W883" s="170">
        <v>56.433399999999999</v>
      </c>
    </row>
    <row r="884" spans="20:23" x14ac:dyDescent="0.3">
      <c r="T884" s="278">
        <v>45320</v>
      </c>
      <c r="W884" s="170">
        <v>56.364199999999997</v>
      </c>
    </row>
    <row r="885" spans="20:23" x14ac:dyDescent="0.3">
      <c r="T885" s="278">
        <v>45317</v>
      </c>
      <c r="W885" s="170"/>
    </row>
    <row r="886" spans="20:23" x14ac:dyDescent="0.3">
      <c r="T886" s="278">
        <v>45316</v>
      </c>
      <c r="W886" s="170">
        <v>57.109200000000001</v>
      </c>
    </row>
    <row r="887" spans="20:23" x14ac:dyDescent="0.3">
      <c r="T887" s="278">
        <v>45315</v>
      </c>
      <c r="W887" s="170">
        <v>57.671599999999998</v>
      </c>
    </row>
    <row r="888" spans="20:23" x14ac:dyDescent="0.3">
      <c r="T888" s="278">
        <v>45314</v>
      </c>
      <c r="W888" s="170">
        <v>57.363999999999997</v>
      </c>
    </row>
    <row r="889" spans="20:23" x14ac:dyDescent="0.3">
      <c r="T889" s="278">
        <v>45313</v>
      </c>
      <c r="W889" s="170"/>
    </row>
    <row r="890" spans="20:23" x14ac:dyDescent="0.3">
      <c r="T890" s="278">
        <v>45311</v>
      </c>
      <c r="W890" s="170">
        <v>57.651400000000002</v>
      </c>
    </row>
    <row r="891" spans="20:23" x14ac:dyDescent="0.3">
      <c r="T891" s="278">
        <v>45310</v>
      </c>
      <c r="W891" s="170">
        <v>57.531199999999998</v>
      </c>
    </row>
    <row r="892" spans="20:23" x14ac:dyDescent="0.3">
      <c r="T892" s="278">
        <v>45309</v>
      </c>
      <c r="W892" s="170">
        <v>54.997100000000003</v>
      </c>
    </row>
    <row r="893" spans="20:23" x14ac:dyDescent="0.3">
      <c r="T893" s="278">
        <v>45308</v>
      </c>
      <c r="W893" s="170">
        <v>54.335700000000003</v>
      </c>
    </row>
    <row r="894" spans="20:23" x14ac:dyDescent="0.3">
      <c r="T894" s="278">
        <v>45307</v>
      </c>
      <c r="W894" s="170">
        <v>53.268599999999999</v>
      </c>
    </row>
    <row r="895" spans="20:23" x14ac:dyDescent="0.3">
      <c r="T895" s="278">
        <v>45306</v>
      </c>
      <c r="W895" s="170">
        <v>54.162700000000001</v>
      </c>
    </row>
    <row r="896" spans="20:23" x14ac:dyDescent="0.3">
      <c r="T896" s="278">
        <v>45303</v>
      </c>
      <c r="W896" s="170">
        <v>54.933700000000002</v>
      </c>
    </row>
    <row r="897" spans="20:23" x14ac:dyDescent="0.3">
      <c r="T897" s="278">
        <v>45302</v>
      </c>
      <c r="W897" s="170">
        <v>56.494900000000001</v>
      </c>
    </row>
    <row r="898" spans="20:23" x14ac:dyDescent="0.3">
      <c r="T898" s="278">
        <v>45301</v>
      </c>
      <c r="W898" s="170">
        <v>55.819099999999999</v>
      </c>
    </row>
    <row r="899" spans="20:23" x14ac:dyDescent="0.3">
      <c r="T899" s="278">
        <v>45300</v>
      </c>
      <c r="W899" s="170">
        <v>55.135599999999997</v>
      </c>
    </row>
    <row r="900" spans="20:23" x14ac:dyDescent="0.3">
      <c r="T900" s="278">
        <v>45299</v>
      </c>
      <c r="W900" s="170">
        <v>54.749099999999999</v>
      </c>
    </row>
    <row r="901" spans="20:23" x14ac:dyDescent="0.3">
      <c r="T901" s="278">
        <v>45296</v>
      </c>
      <c r="W901" s="170">
        <v>52.075600000000001</v>
      </c>
    </row>
    <row r="902" spans="20:23" x14ac:dyDescent="0.3">
      <c r="T902" s="278">
        <v>45295</v>
      </c>
      <c r="W902" s="170">
        <v>52.0929</v>
      </c>
    </row>
    <row r="903" spans="20:23" x14ac:dyDescent="0.3">
      <c r="T903" s="278">
        <v>45294</v>
      </c>
      <c r="W903" s="170">
        <v>52.082299999999996</v>
      </c>
    </row>
    <row r="904" spans="20:23" x14ac:dyDescent="0.3">
      <c r="T904" s="278">
        <v>45293</v>
      </c>
      <c r="W904" s="170">
        <v>51.292099999999998</v>
      </c>
    </row>
    <row r="905" spans="20:23" x14ac:dyDescent="0.3">
      <c r="T905" s="278">
        <v>45292</v>
      </c>
      <c r="W905" s="170">
        <v>51.898699999999998</v>
      </c>
    </row>
    <row r="906" spans="20:23" x14ac:dyDescent="0.3">
      <c r="T906" s="278">
        <v>45289</v>
      </c>
      <c r="W906" s="170">
        <v>52.299599999999998</v>
      </c>
    </row>
    <row r="907" spans="20:23" x14ac:dyDescent="0.3">
      <c r="T907" s="278">
        <v>45288</v>
      </c>
      <c r="W907" s="170">
        <v>53.161900000000003</v>
      </c>
    </row>
    <row r="908" spans="20:23" x14ac:dyDescent="0.3">
      <c r="T908" s="278">
        <v>45287</v>
      </c>
      <c r="W908" s="170">
        <v>52.498600000000003</v>
      </c>
    </row>
    <row r="909" spans="20:23" x14ac:dyDescent="0.3">
      <c r="T909" s="278">
        <v>45286</v>
      </c>
      <c r="W909" s="170">
        <v>52.528399999999998</v>
      </c>
    </row>
    <row r="910" spans="20:23" x14ac:dyDescent="0.3">
      <c r="T910" s="278">
        <v>45285</v>
      </c>
      <c r="W910" s="170"/>
    </row>
    <row r="911" spans="20:23" x14ac:dyDescent="0.3">
      <c r="T911" s="278">
        <v>45282</v>
      </c>
      <c r="W911" s="170">
        <v>50.720999999999997</v>
      </c>
    </row>
    <row r="912" spans="20:23" x14ac:dyDescent="0.3">
      <c r="T912" s="278">
        <v>45281</v>
      </c>
      <c r="W912" s="170">
        <v>50.208599999999997</v>
      </c>
    </row>
    <row r="913" spans="20:23" x14ac:dyDescent="0.3">
      <c r="T913" s="278">
        <v>45280</v>
      </c>
      <c r="W913" s="170">
        <v>50.932499999999997</v>
      </c>
    </row>
    <row r="914" spans="20:23" x14ac:dyDescent="0.3">
      <c r="T914" s="278">
        <v>45279</v>
      </c>
      <c r="W914" s="170">
        <v>51.648699999999998</v>
      </c>
    </row>
    <row r="915" spans="20:23" x14ac:dyDescent="0.3">
      <c r="T915" s="278">
        <v>45278</v>
      </c>
      <c r="W915" s="170">
        <v>52.681199999999997</v>
      </c>
    </row>
    <row r="916" spans="20:23" x14ac:dyDescent="0.3">
      <c r="T916" s="278">
        <v>45275</v>
      </c>
      <c r="W916" s="170">
        <v>52.385100000000001</v>
      </c>
    </row>
    <row r="917" spans="20:23" x14ac:dyDescent="0.3">
      <c r="T917" s="278">
        <v>45274</v>
      </c>
      <c r="W917" s="170">
        <v>52.752400000000002</v>
      </c>
    </row>
    <row r="918" spans="20:23" x14ac:dyDescent="0.3">
      <c r="T918" s="278">
        <v>45273</v>
      </c>
      <c r="W918" s="170">
        <v>53.317599999999999</v>
      </c>
    </row>
    <row r="919" spans="20:23" x14ac:dyDescent="0.3">
      <c r="T919" s="278">
        <v>45272</v>
      </c>
      <c r="W919" s="170">
        <v>52.541800000000002</v>
      </c>
    </row>
    <row r="920" spans="20:23" x14ac:dyDescent="0.3">
      <c r="T920" s="278">
        <v>45271</v>
      </c>
      <c r="W920" s="170">
        <v>53.3369</v>
      </c>
    </row>
    <row r="921" spans="20:23" x14ac:dyDescent="0.3">
      <c r="T921" s="278">
        <v>45268</v>
      </c>
      <c r="W921" s="170">
        <v>51.279600000000002</v>
      </c>
    </row>
    <row r="922" spans="20:23" x14ac:dyDescent="0.3">
      <c r="T922" s="278">
        <v>45267</v>
      </c>
      <c r="W922" s="170">
        <v>50.448999999999998</v>
      </c>
    </row>
    <row r="923" spans="20:23" x14ac:dyDescent="0.3">
      <c r="T923" s="278">
        <v>45266</v>
      </c>
      <c r="W923" s="170">
        <v>48.415700000000001</v>
      </c>
    </row>
    <row r="924" spans="20:23" x14ac:dyDescent="0.3">
      <c r="T924" s="278">
        <v>45265</v>
      </c>
      <c r="W924" s="170">
        <v>49.678899999999999</v>
      </c>
    </row>
    <row r="925" spans="20:23" x14ac:dyDescent="0.3">
      <c r="T925" s="278">
        <v>45264</v>
      </c>
      <c r="W925" s="170">
        <v>50.441299999999998</v>
      </c>
    </row>
    <row r="926" spans="20:23" x14ac:dyDescent="0.3">
      <c r="T926" s="278">
        <v>45261</v>
      </c>
      <c r="W926" s="170">
        <v>49.502000000000002</v>
      </c>
    </row>
    <row r="927" spans="20:23" x14ac:dyDescent="0.3">
      <c r="T927" s="278">
        <v>45260</v>
      </c>
      <c r="W927" s="170">
        <v>48.981900000000003</v>
      </c>
    </row>
    <row r="928" spans="20:23" x14ac:dyDescent="0.3">
      <c r="T928" s="278">
        <v>45259</v>
      </c>
      <c r="W928" s="170">
        <v>50.003799999999998</v>
      </c>
    </row>
    <row r="929" spans="20:23" x14ac:dyDescent="0.3">
      <c r="T929" s="278">
        <v>45258</v>
      </c>
      <c r="W929" s="170">
        <v>50.5182</v>
      </c>
    </row>
    <row r="930" spans="20:23" x14ac:dyDescent="0.3">
      <c r="T930" s="278">
        <v>45257</v>
      </c>
      <c r="W930" s="170"/>
    </row>
    <row r="931" spans="20:23" x14ac:dyDescent="0.3">
      <c r="T931" s="278">
        <v>45254</v>
      </c>
      <c r="W931" s="170">
        <v>52.195700000000002</v>
      </c>
    </row>
    <row r="932" spans="20:23" x14ac:dyDescent="0.3">
      <c r="T932" s="278">
        <v>45253</v>
      </c>
      <c r="W932" s="170">
        <v>52.749499999999998</v>
      </c>
    </row>
    <row r="933" spans="20:23" x14ac:dyDescent="0.3">
      <c r="T933" s="278">
        <v>45252</v>
      </c>
      <c r="W933" s="170">
        <v>53.341700000000003</v>
      </c>
    </row>
    <row r="934" spans="20:23" x14ac:dyDescent="0.3">
      <c r="T934" s="278">
        <v>45251</v>
      </c>
      <c r="W934" s="170">
        <v>55.548000000000002</v>
      </c>
    </row>
    <row r="935" spans="20:23" x14ac:dyDescent="0.3">
      <c r="T935" s="278">
        <v>45250</v>
      </c>
      <c r="W935" s="170">
        <v>52.964799999999997</v>
      </c>
    </row>
    <row r="936" spans="20:23" x14ac:dyDescent="0.3">
      <c r="T936" s="278">
        <v>45247</v>
      </c>
      <c r="W936" s="170">
        <v>51.875599999999999</v>
      </c>
    </row>
    <row r="937" spans="20:23" x14ac:dyDescent="0.3">
      <c r="T937" s="278">
        <v>45246</v>
      </c>
      <c r="W937" s="170">
        <v>52.958100000000002</v>
      </c>
    </row>
    <row r="938" spans="20:23" x14ac:dyDescent="0.3">
      <c r="T938" s="278">
        <v>45245</v>
      </c>
      <c r="W938" s="170">
        <v>54.003999999999998</v>
      </c>
    </row>
    <row r="939" spans="20:23" x14ac:dyDescent="0.3">
      <c r="T939" s="278">
        <v>45244</v>
      </c>
      <c r="W939" s="170"/>
    </row>
    <row r="940" spans="20:23" x14ac:dyDescent="0.3">
      <c r="T940" s="278">
        <v>45243</v>
      </c>
      <c r="W940" s="170">
        <v>52.445700000000002</v>
      </c>
    </row>
    <row r="941" spans="20:23" x14ac:dyDescent="0.3">
      <c r="T941" s="278">
        <v>45242</v>
      </c>
      <c r="W941" s="170">
        <v>53.929099999999998</v>
      </c>
    </row>
    <row r="942" spans="20:23" x14ac:dyDescent="0.3">
      <c r="T942" s="278">
        <v>45240</v>
      </c>
      <c r="W942" s="170">
        <v>49.596200000000003</v>
      </c>
    </row>
    <row r="943" spans="20:23" x14ac:dyDescent="0.3">
      <c r="T943" s="278">
        <v>45239</v>
      </c>
      <c r="W943" s="170">
        <v>47.103400000000001</v>
      </c>
    </row>
    <row r="944" spans="20:23" x14ac:dyDescent="0.3">
      <c r="T944" s="278">
        <v>45238</v>
      </c>
      <c r="W944" s="170">
        <v>47.178400000000003</v>
      </c>
    </row>
    <row r="945" spans="20:23" x14ac:dyDescent="0.3">
      <c r="T945" s="278">
        <v>45237</v>
      </c>
      <c r="W945" s="170">
        <v>47.558199999999999</v>
      </c>
    </row>
    <row r="946" spans="20:23" x14ac:dyDescent="0.3">
      <c r="T946" s="278">
        <v>45236</v>
      </c>
      <c r="W946" s="170">
        <v>48.192700000000002</v>
      </c>
    </row>
    <row r="947" spans="20:23" x14ac:dyDescent="0.3">
      <c r="T947" s="278">
        <v>45233</v>
      </c>
      <c r="W947" s="170">
        <v>47.602400000000003</v>
      </c>
    </row>
    <row r="948" spans="20:23" x14ac:dyDescent="0.3">
      <c r="T948" s="278">
        <v>45232</v>
      </c>
      <c r="W948" s="170">
        <v>47.153399999999998</v>
      </c>
    </row>
    <row r="949" spans="20:23" x14ac:dyDescent="0.3">
      <c r="T949" s="278">
        <v>45231</v>
      </c>
      <c r="W949" s="170">
        <v>46.026699999999998</v>
      </c>
    </row>
    <row r="950" spans="20:23" x14ac:dyDescent="0.3">
      <c r="T950" s="278">
        <v>45230</v>
      </c>
      <c r="W950" s="170">
        <v>47.340899999999998</v>
      </c>
    </row>
    <row r="951" spans="20:23" x14ac:dyDescent="0.3">
      <c r="T951" s="278">
        <v>45229</v>
      </c>
      <c r="W951" s="170">
        <v>47.286099999999998</v>
      </c>
    </row>
    <row r="952" spans="20:23" x14ac:dyDescent="0.3">
      <c r="T952" s="278">
        <v>45226</v>
      </c>
      <c r="W952" s="170">
        <v>41.081499999999998</v>
      </c>
    </row>
    <row r="953" spans="20:23" x14ac:dyDescent="0.3">
      <c r="T953" s="278">
        <v>45225</v>
      </c>
      <c r="W953" s="170">
        <v>38.758899999999997</v>
      </c>
    </row>
    <row r="954" spans="20:23" x14ac:dyDescent="0.3">
      <c r="T954" s="278">
        <v>45224</v>
      </c>
      <c r="W954" s="170">
        <v>40.749899999999997</v>
      </c>
    </row>
    <row r="955" spans="20:23" x14ac:dyDescent="0.3">
      <c r="T955" s="278">
        <v>45223</v>
      </c>
      <c r="W955" s="170"/>
    </row>
    <row r="956" spans="20:23" x14ac:dyDescent="0.3">
      <c r="T956" s="278">
        <v>45222</v>
      </c>
      <c r="W956" s="170">
        <v>40.506599999999999</v>
      </c>
    </row>
    <row r="957" spans="20:23" x14ac:dyDescent="0.3">
      <c r="T957" s="278">
        <v>45219</v>
      </c>
      <c r="W957" s="170">
        <v>40.822899999999997</v>
      </c>
    </row>
    <row r="958" spans="20:23" x14ac:dyDescent="0.3">
      <c r="T958" s="278">
        <v>45218</v>
      </c>
      <c r="W958" s="170">
        <v>41.479500000000002</v>
      </c>
    </row>
    <row r="959" spans="20:23" x14ac:dyDescent="0.3">
      <c r="T959" s="278">
        <v>45217</v>
      </c>
      <c r="W959" s="170">
        <v>41.304600000000001</v>
      </c>
    </row>
    <row r="960" spans="20:23" x14ac:dyDescent="0.3">
      <c r="T960" s="278">
        <v>45216</v>
      </c>
      <c r="W960" s="170">
        <v>40.4893</v>
      </c>
    </row>
    <row r="961" spans="20:23" x14ac:dyDescent="0.3">
      <c r="T961" s="278">
        <v>45215</v>
      </c>
      <c r="W961" s="170">
        <v>40.9758</v>
      </c>
    </row>
    <row r="962" spans="20:23" x14ac:dyDescent="0.3">
      <c r="T962" s="278">
        <v>45212</v>
      </c>
      <c r="W962" s="170">
        <v>39.797199999999997</v>
      </c>
    </row>
    <row r="963" spans="20:23" x14ac:dyDescent="0.3">
      <c r="T963" s="278">
        <v>45211</v>
      </c>
      <c r="W963" s="170">
        <v>39.355899999999998</v>
      </c>
    </row>
    <row r="964" spans="20:23" x14ac:dyDescent="0.3">
      <c r="T964" s="278">
        <v>45210</v>
      </c>
      <c r="W964" s="170">
        <v>39.776000000000003</v>
      </c>
    </row>
    <row r="965" spans="20:23" x14ac:dyDescent="0.3">
      <c r="T965" s="278">
        <v>45209</v>
      </c>
      <c r="W965" s="170">
        <v>39.427</v>
      </c>
    </row>
    <row r="966" spans="20:23" x14ac:dyDescent="0.3">
      <c r="T966" s="278">
        <v>45208</v>
      </c>
      <c r="W966" s="170">
        <v>39.146299999999997</v>
      </c>
    </row>
    <row r="967" spans="20:23" x14ac:dyDescent="0.3">
      <c r="T967" s="278">
        <v>45205</v>
      </c>
      <c r="W967" s="170">
        <v>38.508000000000003</v>
      </c>
    </row>
    <row r="968" spans="20:23" x14ac:dyDescent="0.3">
      <c r="T968" s="278">
        <v>45204</v>
      </c>
      <c r="W968" s="170">
        <v>37.859099999999998</v>
      </c>
    </row>
    <row r="969" spans="20:23" x14ac:dyDescent="0.3">
      <c r="T969" s="278">
        <v>45203</v>
      </c>
      <c r="W969" s="170">
        <v>37.6706</v>
      </c>
    </row>
    <row r="970" spans="20:23" x14ac:dyDescent="0.3">
      <c r="T970" s="278">
        <v>45202</v>
      </c>
      <c r="W970" s="170">
        <v>37.730200000000004</v>
      </c>
    </row>
    <row r="971" spans="20:23" x14ac:dyDescent="0.3">
      <c r="T971" s="278">
        <v>45201</v>
      </c>
      <c r="W971" s="170"/>
    </row>
    <row r="972" spans="20:23" x14ac:dyDescent="0.3">
      <c r="T972" s="278">
        <v>45198</v>
      </c>
      <c r="W972" s="170">
        <v>38.121499999999997</v>
      </c>
    </row>
    <row r="973" spans="20:23" x14ac:dyDescent="0.3">
      <c r="T973" s="278">
        <v>45197</v>
      </c>
      <c r="W973" s="170">
        <v>37.483199999999997</v>
      </c>
    </row>
    <row r="974" spans="20:23" x14ac:dyDescent="0.3">
      <c r="T974" s="278">
        <v>45196</v>
      </c>
      <c r="W974" s="170">
        <v>37.820599999999999</v>
      </c>
    </row>
    <row r="975" spans="20:23" x14ac:dyDescent="0.3">
      <c r="T975" s="278">
        <v>45195</v>
      </c>
      <c r="W975" s="170">
        <v>38.074399999999997</v>
      </c>
    </row>
    <row r="976" spans="20:23" x14ac:dyDescent="0.3">
      <c r="T976" s="278">
        <v>45194</v>
      </c>
      <c r="W976" s="170">
        <v>38.134999999999998</v>
      </c>
    </row>
    <row r="977" spans="20:23" x14ac:dyDescent="0.3">
      <c r="T977" s="278">
        <v>45191</v>
      </c>
      <c r="W977" s="170">
        <v>38.633000000000003</v>
      </c>
    </row>
    <row r="978" spans="20:23" x14ac:dyDescent="0.3">
      <c r="T978" s="278">
        <v>45190</v>
      </c>
      <c r="W978" s="170">
        <v>39.491399999999999</v>
      </c>
    </row>
    <row r="979" spans="20:23" x14ac:dyDescent="0.3">
      <c r="T979" s="278">
        <v>45189</v>
      </c>
      <c r="W979" s="170">
        <v>40.215299999999999</v>
      </c>
    </row>
    <row r="980" spans="20:23" x14ac:dyDescent="0.3">
      <c r="T980" s="278">
        <v>45188</v>
      </c>
      <c r="W980" s="170"/>
    </row>
    <row r="981" spans="20:23" x14ac:dyDescent="0.3">
      <c r="T981" s="278">
        <v>45187</v>
      </c>
      <c r="W981" s="170">
        <v>40.942100000000003</v>
      </c>
    </row>
    <row r="982" spans="20:23" x14ac:dyDescent="0.3">
      <c r="T982" s="278">
        <v>45184</v>
      </c>
      <c r="W982" s="170">
        <v>42.0563</v>
      </c>
    </row>
    <row r="983" spans="20:23" x14ac:dyDescent="0.3">
      <c r="T983" s="278">
        <v>45183</v>
      </c>
      <c r="W983" s="170">
        <v>41.137300000000003</v>
      </c>
    </row>
    <row r="984" spans="20:23" x14ac:dyDescent="0.3">
      <c r="T984" s="278">
        <v>45182</v>
      </c>
      <c r="W984" s="170">
        <v>40.352800000000002</v>
      </c>
    </row>
    <row r="985" spans="20:23" x14ac:dyDescent="0.3">
      <c r="T985" s="278">
        <v>45181</v>
      </c>
      <c r="W985" s="170">
        <v>39.822200000000002</v>
      </c>
    </row>
    <row r="986" spans="20:23" x14ac:dyDescent="0.3">
      <c r="T986" s="278">
        <v>45180</v>
      </c>
      <c r="W986" s="170">
        <v>41.0959</v>
      </c>
    </row>
    <row r="987" spans="20:23" x14ac:dyDescent="0.3">
      <c r="T987" s="278">
        <v>45177</v>
      </c>
      <c r="W987" s="170">
        <v>41.866900000000001</v>
      </c>
    </row>
    <row r="988" spans="20:23" x14ac:dyDescent="0.3">
      <c r="T988" s="278">
        <v>45176</v>
      </c>
      <c r="W988" s="170">
        <v>41.507399999999997</v>
      </c>
    </row>
    <row r="989" spans="20:23" x14ac:dyDescent="0.3">
      <c r="T989" s="278">
        <v>45175</v>
      </c>
      <c r="W989" s="170">
        <v>40.97</v>
      </c>
    </row>
    <row r="990" spans="20:23" x14ac:dyDescent="0.3">
      <c r="T990" s="278">
        <v>45174</v>
      </c>
      <c r="W990" s="170">
        <v>41.378599999999999</v>
      </c>
    </row>
    <row r="991" spans="20:23" x14ac:dyDescent="0.3">
      <c r="T991" s="278">
        <v>45173</v>
      </c>
      <c r="W991" s="170">
        <v>41.292999999999999</v>
      </c>
    </row>
    <row r="992" spans="20:23" x14ac:dyDescent="0.3">
      <c r="T992" s="278">
        <v>45170</v>
      </c>
      <c r="W992" s="170">
        <v>41.676600000000001</v>
      </c>
    </row>
    <row r="993" spans="20:23" x14ac:dyDescent="0.3">
      <c r="T993" s="278">
        <v>45169</v>
      </c>
      <c r="W993" s="170">
        <v>42.783099999999997</v>
      </c>
    </row>
    <row r="994" spans="20:23" x14ac:dyDescent="0.3">
      <c r="T994" s="278">
        <v>45168</v>
      </c>
      <c r="W994" s="170">
        <v>41.603499999999997</v>
      </c>
    </row>
    <row r="995" spans="20:23" x14ac:dyDescent="0.3">
      <c r="T995" s="278">
        <v>45167</v>
      </c>
      <c r="W995" s="170">
        <v>41.063299999999998</v>
      </c>
    </row>
    <row r="996" spans="20:23" x14ac:dyDescent="0.3">
      <c r="T996" s="278">
        <v>45166</v>
      </c>
      <c r="W996" s="170">
        <v>41.026699999999998</v>
      </c>
    </row>
    <row r="997" spans="20:23" x14ac:dyDescent="0.3">
      <c r="T997" s="278">
        <v>45163</v>
      </c>
      <c r="W997" s="170">
        <v>42.0563</v>
      </c>
    </row>
    <row r="998" spans="20:23" x14ac:dyDescent="0.3">
      <c r="T998" s="278">
        <v>45162</v>
      </c>
      <c r="W998" s="170">
        <v>42.626399999999997</v>
      </c>
    </row>
    <row r="999" spans="20:23" x14ac:dyDescent="0.3">
      <c r="T999" s="278">
        <v>45161</v>
      </c>
      <c r="W999" s="170">
        <v>42.320700000000002</v>
      </c>
    </row>
    <row r="1000" spans="20:23" x14ac:dyDescent="0.3">
      <c r="T1000" s="278">
        <v>45160</v>
      </c>
      <c r="W1000" s="170">
        <v>42.622599999999998</v>
      </c>
    </row>
    <row r="1001" spans="20:23" x14ac:dyDescent="0.3">
      <c r="T1001" s="278">
        <v>45159</v>
      </c>
      <c r="W1001" s="170">
        <v>41.806399999999996</v>
      </c>
    </row>
    <row r="1002" spans="20:23" x14ac:dyDescent="0.3">
      <c r="T1002" s="278">
        <v>45156</v>
      </c>
      <c r="W1002" s="170">
        <v>41.102699999999999</v>
      </c>
    </row>
    <row r="1003" spans="20:23" x14ac:dyDescent="0.3">
      <c r="T1003" s="278">
        <v>45155</v>
      </c>
      <c r="W1003" s="170">
        <v>41.192999999999998</v>
      </c>
    </row>
    <row r="1004" spans="20:23" x14ac:dyDescent="0.3">
      <c r="T1004" s="278">
        <v>45154</v>
      </c>
      <c r="W1004" s="170">
        <v>41.287300000000002</v>
      </c>
    </row>
    <row r="1005" spans="20:23" x14ac:dyDescent="0.3">
      <c r="T1005" s="278">
        <v>45153</v>
      </c>
      <c r="W1005" s="170"/>
    </row>
    <row r="1006" spans="20:23" x14ac:dyDescent="0.3">
      <c r="T1006" s="278">
        <v>45152</v>
      </c>
      <c r="W1006" s="170">
        <v>40.545999999999999</v>
      </c>
    </row>
    <row r="1007" spans="20:23" x14ac:dyDescent="0.3">
      <c r="T1007" s="278">
        <v>45149</v>
      </c>
      <c r="W1007" s="170">
        <v>40.278799999999997</v>
      </c>
    </row>
    <row r="1008" spans="20:23" x14ac:dyDescent="0.3">
      <c r="T1008" s="278">
        <v>45148</v>
      </c>
      <c r="W1008" s="170">
        <v>40.601799999999997</v>
      </c>
    </row>
    <row r="1009" spans="20:23" x14ac:dyDescent="0.3">
      <c r="T1009" s="278">
        <v>45147</v>
      </c>
      <c r="W1009" s="170">
        <v>40.6355</v>
      </c>
    </row>
    <row r="1010" spans="20:23" x14ac:dyDescent="0.3">
      <c r="T1010" s="278">
        <v>45146</v>
      </c>
      <c r="W1010" s="170">
        <v>41.279600000000002</v>
      </c>
    </row>
    <row r="1011" spans="20:23" x14ac:dyDescent="0.3">
      <c r="T1011" s="278">
        <v>45145</v>
      </c>
      <c r="W1011" s="170">
        <v>41.344900000000003</v>
      </c>
    </row>
    <row r="1012" spans="20:23" x14ac:dyDescent="0.3">
      <c r="T1012" s="278">
        <v>45142</v>
      </c>
      <c r="W1012" s="170">
        <v>40.792200000000001</v>
      </c>
    </row>
    <row r="1013" spans="20:23" x14ac:dyDescent="0.3">
      <c r="T1013" s="278">
        <v>45141</v>
      </c>
      <c r="W1013" s="170">
        <v>41.752499999999998</v>
      </c>
    </row>
    <row r="1014" spans="20:23" x14ac:dyDescent="0.3">
      <c r="T1014" s="278">
        <v>45140</v>
      </c>
      <c r="W1014" s="170">
        <v>41.829500000000003</v>
      </c>
    </row>
    <row r="1015" spans="20:23" x14ac:dyDescent="0.3">
      <c r="T1015" s="278">
        <v>45139</v>
      </c>
      <c r="W1015" s="170">
        <v>43.055199999999999</v>
      </c>
    </row>
    <row r="1016" spans="20:23" x14ac:dyDescent="0.3">
      <c r="T1016" s="278">
        <v>45138</v>
      </c>
      <c r="W1016" s="170">
        <v>40.286499999999997</v>
      </c>
    </row>
    <row r="1017" spans="20:23" x14ac:dyDescent="0.3">
      <c r="T1017" s="278">
        <v>45135</v>
      </c>
      <c r="W1017" s="170">
        <v>38.508000000000003</v>
      </c>
    </row>
    <row r="1018" spans="20:23" x14ac:dyDescent="0.3">
      <c r="T1018" s="278">
        <v>45134</v>
      </c>
      <c r="W1018" s="170">
        <v>38.022500000000001</v>
      </c>
    </row>
    <row r="1019" spans="20:23" x14ac:dyDescent="0.3">
      <c r="T1019" s="278">
        <v>45133</v>
      </c>
      <c r="W1019" s="170">
        <v>37.776400000000002</v>
      </c>
    </row>
    <row r="1020" spans="20:23" x14ac:dyDescent="0.3">
      <c r="T1020" s="278">
        <v>45132</v>
      </c>
      <c r="W1020" s="170">
        <v>37.788899999999998</v>
      </c>
    </row>
    <row r="1021" spans="20:23" x14ac:dyDescent="0.3">
      <c r="T1021" s="278">
        <v>45131</v>
      </c>
      <c r="W1021" s="170">
        <v>36.4026</v>
      </c>
    </row>
    <row r="1022" spans="20:23" x14ac:dyDescent="0.3">
      <c r="T1022" s="278">
        <v>45128</v>
      </c>
      <c r="W1022" s="170">
        <v>37.179400000000001</v>
      </c>
    </row>
    <row r="1023" spans="20:23" x14ac:dyDescent="0.3">
      <c r="T1023" s="278">
        <v>45127</v>
      </c>
      <c r="W1023" s="170">
        <v>37.374499999999998</v>
      </c>
    </row>
    <row r="1024" spans="20:23" x14ac:dyDescent="0.3">
      <c r="T1024" s="278">
        <v>45126</v>
      </c>
      <c r="W1024" s="170">
        <v>36.185299999999998</v>
      </c>
    </row>
    <row r="1025" spans="20:23" x14ac:dyDescent="0.3">
      <c r="T1025" s="278">
        <v>45125</v>
      </c>
      <c r="W1025" s="170">
        <v>35.5807</v>
      </c>
    </row>
    <row r="1026" spans="20:23" x14ac:dyDescent="0.3">
      <c r="T1026" s="278">
        <v>45124</v>
      </c>
      <c r="W1026" s="170">
        <v>36.442999999999998</v>
      </c>
    </row>
    <row r="1027" spans="20:23" x14ac:dyDescent="0.3">
      <c r="T1027" s="278">
        <v>45121</v>
      </c>
      <c r="W1027" s="170">
        <v>35.924799999999998</v>
      </c>
    </row>
    <row r="1028" spans="20:23" x14ac:dyDescent="0.3">
      <c r="T1028" s="278">
        <v>45120</v>
      </c>
      <c r="W1028" s="170">
        <v>36.118099999999998</v>
      </c>
    </row>
    <row r="1029" spans="20:23" x14ac:dyDescent="0.3">
      <c r="T1029" s="278">
        <v>45119</v>
      </c>
      <c r="W1029" s="170">
        <v>36.79</v>
      </c>
    </row>
    <row r="1030" spans="20:23" x14ac:dyDescent="0.3">
      <c r="T1030" s="278">
        <v>45118</v>
      </c>
      <c r="W1030" s="170">
        <v>37.633099999999999</v>
      </c>
    </row>
    <row r="1031" spans="20:23" x14ac:dyDescent="0.3">
      <c r="T1031" s="278">
        <v>45117</v>
      </c>
      <c r="W1031" s="170">
        <v>35.662399999999998</v>
      </c>
    </row>
    <row r="1032" spans="20:23" x14ac:dyDescent="0.3">
      <c r="T1032" s="278">
        <v>45114</v>
      </c>
      <c r="W1032" s="170">
        <v>35.345100000000002</v>
      </c>
    </row>
    <row r="1033" spans="20:23" x14ac:dyDescent="0.3">
      <c r="T1033" s="278">
        <v>45113</v>
      </c>
      <c r="W1033" s="170">
        <v>35.825800000000001</v>
      </c>
    </row>
    <row r="1034" spans="20:23" x14ac:dyDescent="0.3">
      <c r="T1034" s="278">
        <v>45112</v>
      </c>
      <c r="W1034" s="170">
        <v>33.754100000000001</v>
      </c>
    </row>
    <row r="1035" spans="20:23" x14ac:dyDescent="0.3">
      <c r="T1035" s="278">
        <v>45111</v>
      </c>
      <c r="W1035" s="170">
        <v>33.1648</v>
      </c>
    </row>
    <row r="1036" spans="20:23" x14ac:dyDescent="0.3">
      <c r="T1036" s="278">
        <v>45110</v>
      </c>
      <c r="W1036" s="170">
        <v>33.464700000000001</v>
      </c>
    </row>
    <row r="1037" spans="20:23" x14ac:dyDescent="0.3">
      <c r="T1037" s="278">
        <v>45107</v>
      </c>
      <c r="W1037" s="170">
        <v>33.789700000000003</v>
      </c>
    </row>
    <row r="1038" spans="20:23" x14ac:dyDescent="0.3">
      <c r="T1038" s="278">
        <v>45106</v>
      </c>
      <c r="W1038" s="170"/>
    </row>
    <row r="1039" spans="20:23" x14ac:dyDescent="0.3">
      <c r="T1039" s="278">
        <v>45105</v>
      </c>
      <c r="W1039" s="170">
        <v>31.597799999999999</v>
      </c>
    </row>
    <row r="1040" spans="20:23" x14ac:dyDescent="0.3">
      <c r="T1040" s="278">
        <v>45104</v>
      </c>
      <c r="W1040" s="170">
        <v>31.839099999999998</v>
      </c>
    </row>
    <row r="1041" spans="20:23" x14ac:dyDescent="0.3">
      <c r="T1041" s="278">
        <v>45103</v>
      </c>
      <c r="W1041" s="170">
        <v>31.135400000000001</v>
      </c>
    </row>
    <row r="1042" spans="20:23" x14ac:dyDescent="0.3">
      <c r="T1042" s="278">
        <v>45100</v>
      </c>
      <c r="W1042" s="170">
        <v>30.880600000000001</v>
      </c>
    </row>
    <row r="1043" spans="20:23" x14ac:dyDescent="0.3">
      <c r="T1043" s="278">
        <v>45099</v>
      </c>
      <c r="W1043" s="170">
        <v>31.367999999999999</v>
      </c>
    </row>
    <row r="1044" spans="20:23" x14ac:dyDescent="0.3">
      <c r="T1044" s="278">
        <v>45098</v>
      </c>
      <c r="W1044" s="170">
        <v>32.305300000000003</v>
      </c>
    </row>
    <row r="1045" spans="20:23" x14ac:dyDescent="0.3">
      <c r="T1045" s="278">
        <v>45097</v>
      </c>
      <c r="W1045" s="170">
        <v>32.408200000000001</v>
      </c>
    </row>
    <row r="1046" spans="20:23" x14ac:dyDescent="0.3">
      <c r="T1046" s="278">
        <v>45096</v>
      </c>
      <c r="W1046" s="170">
        <v>31.958300000000001</v>
      </c>
    </row>
    <row r="1047" spans="20:23" x14ac:dyDescent="0.3">
      <c r="T1047" s="278">
        <v>45093</v>
      </c>
      <c r="W1047" s="170">
        <v>31.365100000000002</v>
      </c>
    </row>
    <row r="1048" spans="20:23" x14ac:dyDescent="0.3">
      <c r="T1048" s="278">
        <v>45092</v>
      </c>
      <c r="W1048" s="170">
        <v>31.494900000000001</v>
      </c>
    </row>
    <row r="1049" spans="20:23" x14ac:dyDescent="0.3">
      <c r="T1049" s="278">
        <v>45091</v>
      </c>
      <c r="W1049" s="170">
        <v>31.045000000000002</v>
      </c>
    </row>
    <row r="1050" spans="20:23" x14ac:dyDescent="0.3">
      <c r="T1050" s="278">
        <v>45090</v>
      </c>
      <c r="W1050" s="170">
        <v>30.8796</v>
      </c>
    </row>
    <row r="1051" spans="20:23" x14ac:dyDescent="0.3">
      <c r="T1051" s="278">
        <v>45089</v>
      </c>
      <c r="W1051" s="170">
        <v>31.667899999999999</v>
      </c>
    </row>
    <row r="1052" spans="20:23" x14ac:dyDescent="0.3">
      <c r="T1052" s="278">
        <v>45086</v>
      </c>
      <c r="W1052" s="170">
        <v>30.878699999999998</v>
      </c>
    </row>
    <row r="1053" spans="20:23" x14ac:dyDescent="0.3">
      <c r="T1053" s="278">
        <v>45085</v>
      </c>
      <c r="W1053" s="170">
        <v>31.1998</v>
      </c>
    </row>
    <row r="1054" spans="20:23" x14ac:dyDescent="0.3">
      <c r="T1054" s="278">
        <v>45084</v>
      </c>
      <c r="W1054" s="170">
        <v>31.773700000000002</v>
      </c>
    </row>
    <row r="1055" spans="20:23" x14ac:dyDescent="0.3">
      <c r="T1055" s="278">
        <v>45083</v>
      </c>
      <c r="W1055" s="170">
        <v>30.9191</v>
      </c>
    </row>
    <row r="1056" spans="20:23" x14ac:dyDescent="0.3">
      <c r="T1056" s="278">
        <v>45082</v>
      </c>
      <c r="W1056" s="170">
        <v>30.498899999999999</v>
      </c>
    </row>
    <row r="1057" spans="20:23" x14ac:dyDescent="0.3">
      <c r="T1057" s="278">
        <v>45079</v>
      </c>
      <c r="W1057" s="170">
        <v>30.415299999999998</v>
      </c>
    </row>
    <row r="1058" spans="20:23" x14ac:dyDescent="0.3">
      <c r="T1058" s="278">
        <v>45078</v>
      </c>
      <c r="W1058" s="170">
        <v>29.688500000000001</v>
      </c>
    </row>
    <row r="1059" spans="20:23" x14ac:dyDescent="0.3">
      <c r="T1059" s="278">
        <v>45077</v>
      </c>
      <c r="W1059" s="170">
        <v>29.7789</v>
      </c>
    </row>
    <row r="1060" spans="20:23" x14ac:dyDescent="0.3">
      <c r="T1060" s="278">
        <v>45076</v>
      </c>
      <c r="W1060" s="170">
        <v>28.073399999999999</v>
      </c>
    </row>
    <row r="1061" spans="20:23" x14ac:dyDescent="0.3">
      <c r="T1061" s="278">
        <v>45075</v>
      </c>
      <c r="W1061" s="170">
        <v>27.6341</v>
      </c>
    </row>
    <row r="1062" spans="20:23" x14ac:dyDescent="0.3">
      <c r="T1062" s="278">
        <v>45072</v>
      </c>
      <c r="W1062" s="170">
        <v>27.002500000000001</v>
      </c>
    </row>
    <row r="1063" spans="20:23" x14ac:dyDescent="0.3">
      <c r="T1063" s="278">
        <v>45071</v>
      </c>
      <c r="W1063" s="170">
        <v>25.707599999999999</v>
      </c>
    </row>
    <row r="1064" spans="20:23" x14ac:dyDescent="0.3">
      <c r="T1064" s="278">
        <v>45070</v>
      </c>
      <c r="W1064" s="170">
        <v>26.482399999999998</v>
      </c>
    </row>
    <row r="1065" spans="20:23" x14ac:dyDescent="0.3">
      <c r="T1065" s="278">
        <v>45069</v>
      </c>
      <c r="W1065" s="170">
        <v>25.9191</v>
      </c>
    </row>
    <row r="1066" spans="20:23" x14ac:dyDescent="0.3">
      <c r="T1066" s="278">
        <v>45068</v>
      </c>
      <c r="W1066" s="170">
        <v>26.896799999999999</v>
      </c>
    </row>
    <row r="1067" spans="20:23" x14ac:dyDescent="0.3">
      <c r="T1067" s="278">
        <v>45065</v>
      </c>
      <c r="W1067" s="170">
        <v>27.349499999999999</v>
      </c>
    </row>
    <row r="1068" spans="20:23" x14ac:dyDescent="0.3">
      <c r="T1068" s="278">
        <v>45064</v>
      </c>
      <c r="W1068" s="170">
        <v>28.165700000000001</v>
      </c>
    </row>
    <row r="1069" spans="20:23" x14ac:dyDescent="0.3">
      <c r="T1069" s="278">
        <v>45063</v>
      </c>
      <c r="W1069" s="170">
        <v>24.962499999999999</v>
      </c>
    </row>
    <row r="1070" spans="20:23" x14ac:dyDescent="0.3">
      <c r="T1070" s="278">
        <v>45062</v>
      </c>
      <c r="W1070" s="170">
        <v>24.103100000000001</v>
      </c>
    </row>
    <row r="1071" spans="20:23" x14ac:dyDescent="0.3">
      <c r="T1071" s="278">
        <v>45061</v>
      </c>
      <c r="W1071" s="170">
        <v>23.972300000000001</v>
      </c>
    </row>
    <row r="1072" spans="20:23" x14ac:dyDescent="0.3">
      <c r="T1072" s="278">
        <v>45058</v>
      </c>
      <c r="W1072" s="170">
        <v>24.006900000000002</v>
      </c>
    </row>
    <row r="1073" spans="20:23" x14ac:dyDescent="0.3">
      <c r="T1073" s="278">
        <v>45057</v>
      </c>
      <c r="W1073" s="170">
        <v>22.460100000000001</v>
      </c>
    </row>
    <row r="1074" spans="20:23" x14ac:dyDescent="0.3">
      <c r="T1074" s="278">
        <v>45056</v>
      </c>
      <c r="W1074" s="170">
        <v>22.546600000000002</v>
      </c>
    </row>
    <row r="1075" spans="20:23" x14ac:dyDescent="0.3">
      <c r="T1075" s="278">
        <v>45055</v>
      </c>
      <c r="W1075" s="170">
        <v>21.863099999999999</v>
      </c>
    </row>
    <row r="1076" spans="20:23" x14ac:dyDescent="0.3">
      <c r="T1076" s="278">
        <v>45054</v>
      </c>
      <c r="W1076" s="170">
        <v>22.135200000000001</v>
      </c>
    </row>
    <row r="1077" spans="20:23" x14ac:dyDescent="0.3">
      <c r="T1077" s="278">
        <v>45051</v>
      </c>
      <c r="W1077" s="170">
        <v>22.202500000000001</v>
      </c>
    </row>
    <row r="1078" spans="20:23" x14ac:dyDescent="0.3">
      <c r="T1078" s="278">
        <v>45050</v>
      </c>
      <c r="W1078" s="170">
        <v>22.3371</v>
      </c>
    </row>
    <row r="1079" spans="20:23" x14ac:dyDescent="0.3">
      <c r="T1079" s="278">
        <v>45049</v>
      </c>
      <c r="W1079" s="170">
        <v>21.938099999999999</v>
      </c>
    </row>
    <row r="1080" spans="20:23" x14ac:dyDescent="0.3">
      <c r="T1080" s="278">
        <v>45048</v>
      </c>
      <c r="W1080" s="170">
        <v>21.567</v>
      </c>
    </row>
    <row r="1081" spans="20:23" x14ac:dyDescent="0.3">
      <c r="T1081" s="278">
        <v>45047</v>
      </c>
      <c r="W1081" s="170"/>
    </row>
    <row r="1082" spans="20:23" x14ac:dyDescent="0.3">
      <c r="T1082" s="278">
        <v>45044</v>
      </c>
      <c r="W1082" s="170">
        <v>21.855399999999999</v>
      </c>
    </row>
    <row r="1083" spans="20:23" x14ac:dyDescent="0.3">
      <c r="T1083" s="278">
        <v>45043</v>
      </c>
      <c r="W1083" s="170">
        <v>21.334399999999999</v>
      </c>
    </row>
    <row r="1084" spans="20:23" x14ac:dyDescent="0.3">
      <c r="T1084" s="278">
        <v>45042</v>
      </c>
      <c r="W1084" s="170">
        <v>21.453600000000002</v>
      </c>
    </row>
    <row r="1085" spans="20:23" x14ac:dyDescent="0.3">
      <c r="T1085" s="278">
        <v>45041</v>
      </c>
      <c r="W1085" s="170">
        <v>21.297799999999999</v>
      </c>
    </row>
    <row r="1086" spans="20:23" x14ac:dyDescent="0.3">
      <c r="T1086" s="278">
        <v>45040</v>
      </c>
      <c r="W1086" s="170">
        <v>21.153600000000001</v>
      </c>
    </row>
    <row r="1087" spans="20:23" x14ac:dyDescent="0.3">
      <c r="T1087" s="278">
        <v>45037</v>
      </c>
      <c r="W1087" s="170">
        <v>20.862300000000001</v>
      </c>
    </row>
    <row r="1088" spans="20:23" x14ac:dyDescent="0.3">
      <c r="T1088" s="278">
        <v>45036</v>
      </c>
      <c r="W1088" s="170">
        <v>21.2517</v>
      </c>
    </row>
    <row r="1089" spans="20:23" x14ac:dyDescent="0.3">
      <c r="T1089" s="278">
        <v>45035</v>
      </c>
      <c r="W1089" s="170">
        <v>20.785399999999999</v>
      </c>
    </row>
    <row r="1090" spans="20:23" x14ac:dyDescent="0.3">
      <c r="T1090" s="278">
        <v>45034</v>
      </c>
      <c r="W1090" s="170">
        <v>20.997900000000001</v>
      </c>
    </row>
    <row r="1091" spans="20:23" x14ac:dyDescent="0.3">
      <c r="T1091" s="278">
        <v>45033</v>
      </c>
      <c r="W1091" s="170">
        <v>20.571000000000002</v>
      </c>
    </row>
    <row r="1092" spans="20:23" x14ac:dyDescent="0.3">
      <c r="T1092" s="278">
        <v>45030</v>
      </c>
      <c r="W1092" s="170"/>
    </row>
    <row r="1093" spans="20:23" x14ac:dyDescent="0.3">
      <c r="T1093" s="278">
        <v>45029</v>
      </c>
      <c r="W1093" s="170">
        <v>20.148</v>
      </c>
    </row>
    <row r="1094" spans="20:23" x14ac:dyDescent="0.3">
      <c r="T1094" s="278">
        <v>45028</v>
      </c>
      <c r="W1094" s="170">
        <v>20.0596</v>
      </c>
    </row>
    <row r="1095" spans="20:23" x14ac:dyDescent="0.3">
      <c r="T1095" s="278">
        <v>45027</v>
      </c>
      <c r="W1095" s="170">
        <v>19.702000000000002</v>
      </c>
    </row>
    <row r="1096" spans="20:23" x14ac:dyDescent="0.3">
      <c r="T1096" s="278">
        <v>45026</v>
      </c>
      <c r="W1096" s="170">
        <v>19.777000000000001</v>
      </c>
    </row>
    <row r="1097" spans="20:23" x14ac:dyDescent="0.3">
      <c r="T1097" s="278">
        <v>45023</v>
      </c>
      <c r="W1097" s="170"/>
    </row>
    <row r="1098" spans="20:23" x14ac:dyDescent="0.3">
      <c r="T1098" s="278">
        <v>45022</v>
      </c>
      <c r="W1098" s="170">
        <v>20.274000000000001</v>
      </c>
    </row>
    <row r="1099" spans="20:23" x14ac:dyDescent="0.3">
      <c r="T1099" s="278">
        <v>45021</v>
      </c>
      <c r="W1099" s="170">
        <v>19.991299999999999</v>
      </c>
    </row>
    <row r="1100" spans="20:23" x14ac:dyDescent="0.3">
      <c r="T1100" s="278">
        <v>45020</v>
      </c>
      <c r="W1100" s="170"/>
    </row>
    <row r="1101" spans="20:23" x14ac:dyDescent="0.3">
      <c r="T1101" s="278">
        <v>45019</v>
      </c>
      <c r="W1101" s="170">
        <v>20.4663</v>
      </c>
    </row>
    <row r="1102" spans="20:23" x14ac:dyDescent="0.3">
      <c r="T1102" s="278">
        <v>45016</v>
      </c>
      <c r="W1102" s="170">
        <v>19.259799999999998</v>
      </c>
    </row>
    <row r="1103" spans="20:23" x14ac:dyDescent="0.3">
      <c r="T1103" s="278">
        <v>45015</v>
      </c>
      <c r="W1103" s="170"/>
    </row>
    <row r="1104" spans="20:23" x14ac:dyDescent="0.3">
      <c r="T1104" s="278">
        <v>45014</v>
      </c>
      <c r="W1104" s="170">
        <v>15.5451</v>
      </c>
    </row>
    <row r="1105" spans="20:23" x14ac:dyDescent="0.3">
      <c r="T1105" s="278">
        <v>45013</v>
      </c>
      <c r="W1105" s="170">
        <v>15.7377</v>
      </c>
    </row>
    <row r="1106" spans="20:23" x14ac:dyDescent="0.3">
      <c r="T1106" s="278">
        <v>45012</v>
      </c>
      <c r="W1106" s="170">
        <v>15.5435</v>
      </c>
    </row>
    <row r="1107" spans="20:23" x14ac:dyDescent="0.3">
      <c r="T1107" s="278">
        <v>45009</v>
      </c>
      <c r="W1107" s="170">
        <v>15.3454</v>
      </c>
    </row>
    <row r="1108" spans="20:23" x14ac:dyDescent="0.3">
      <c r="T1108" s="278">
        <v>45008</v>
      </c>
      <c r="W1108" s="170">
        <v>15.5738</v>
      </c>
    </row>
    <row r="1109" spans="20:23" x14ac:dyDescent="0.3">
      <c r="T1109" s="278">
        <v>45007</v>
      </c>
      <c r="W1109" s="170">
        <v>15.551500000000001</v>
      </c>
    </row>
    <row r="1110" spans="20:23" x14ac:dyDescent="0.3">
      <c r="T1110" s="278">
        <v>45006</v>
      </c>
      <c r="W1110" s="170">
        <v>15.783099999999999</v>
      </c>
    </row>
    <row r="1111" spans="20:23" x14ac:dyDescent="0.3">
      <c r="T1111" s="278">
        <v>45005</v>
      </c>
      <c r="W1111" s="170">
        <v>15.7433</v>
      </c>
    </row>
    <row r="1112" spans="20:23" x14ac:dyDescent="0.3">
      <c r="T1112" s="278">
        <v>45002</v>
      </c>
      <c r="W1112" s="170">
        <v>15.8459</v>
      </c>
    </row>
    <row r="1113" spans="20:23" x14ac:dyDescent="0.3">
      <c r="T1113" s="278">
        <v>45001</v>
      </c>
      <c r="W1113" s="170">
        <v>15.5594</v>
      </c>
    </row>
    <row r="1114" spans="20:23" x14ac:dyDescent="0.3">
      <c r="T1114" s="278">
        <v>45000</v>
      </c>
      <c r="W1114" s="170">
        <v>15.8977</v>
      </c>
    </row>
    <row r="1115" spans="20:23" x14ac:dyDescent="0.3">
      <c r="T1115" s="278">
        <v>44999</v>
      </c>
      <c r="W1115" s="170">
        <v>16.051200000000001</v>
      </c>
    </row>
    <row r="1116" spans="20:23" x14ac:dyDescent="0.3">
      <c r="T1116" s="278">
        <v>44998</v>
      </c>
      <c r="W1116" s="170">
        <v>16.169799999999999</v>
      </c>
    </row>
    <row r="1117" spans="20:23" x14ac:dyDescent="0.3">
      <c r="T1117" s="278">
        <v>44995</v>
      </c>
      <c r="W1117" s="170">
        <v>16.912299999999998</v>
      </c>
    </row>
    <row r="1118" spans="20:23" x14ac:dyDescent="0.3">
      <c r="T1118" s="278">
        <v>44994</v>
      </c>
      <c r="W1118" s="170">
        <v>17.182099999999998</v>
      </c>
    </row>
    <row r="1119" spans="20:23" x14ac:dyDescent="0.3">
      <c r="T1119" s="278">
        <v>44993</v>
      </c>
      <c r="W1119" s="170">
        <v>17.448699999999999</v>
      </c>
    </row>
    <row r="1120" spans="20:23" x14ac:dyDescent="0.3">
      <c r="T1120" s="278">
        <v>44992</v>
      </c>
      <c r="W1120" s="170"/>
    </row>
    <row r="1121" spans="20:23" x14ac:dyDescent="0.3">
      <c r="T1121" s="278">
        <v>44991</v>
      </c>
      <c r="W1121" s="170">
        <v>17.481300000000001</v>
      </c>
    </row>
    <row r="1122" spans="20:23" x14ac:dyDescent="0.3">
      <c r="T1122" s="278">
        <v>44988</v>
      </c>
      <c r="W1122" s="170">
        <v>17.363499999999998</v>
      </c>
    </row>
    <row r="1123" spans="20:23" x14ac:dyDescent="0.3">
      <c r="T1123" s="278">
        <v>44987</v>
      </c>
      <c r="W1123" s="170">
        <v>17.322099999999999</v>
      </c>
    </row>
    <row r="1124" spans="20:23" x14ac:dyDescent="0.3">
      <c r="T1124" s="278">
        <v>44986</v>
      </c>
      <c r="W1124" s="170">
        <v>17.6938</v>
      </c>
    </row>
    <row r="1125" spans="20:23" x14ac:dyDescent="0.3">
      <c r="T1125" s="278">
        <v>44985</v>
      </c>
      <c r="W1125" s="170">
        <v>18.593</v>
      </c>
    </row>
    <row r="1126" spans="20:23" x14ac:dyDescent="0.3">
      <c r="T1126" s="278">
        <v>44984</v>
      </c>
      <c r="W1126" s="170">
        <v>18.1935</v>
      </c>
    </row>
    <row r="1127" spans="20:23" x14ac:dyDescent="0.3">
      <c r="T1127" s="278">
        <v>44981</v>
      </c>
      <c r="W1127" s="170">
        <v>18.534099999999999</v>
      </c>
    </row>
    <row r="1128" spans="20:23" x14ac:dyDescent="0.3">
      <c r="T1128" s="278">
        <v>44980</v>
      </c>
      <c r="W1128" s="170">
        <v>18.366199999999999</v>
      </c>
    </row>
    <row r="1129" spans="20:23" x14ac:dyDescent="0.3">
      <c r="T1129" s="278">
        <v>44979</v>
      </c>
      <c r="W1129" s="170">
        <v>18.289000000000001</v>
      </c>
    </row>
    <row r="1130" spans="20:23" x14ac:dyDescent="0.3">
      <c r="T1130" s="278">
        <v>44978</v>
      </c>
      <c r="W1130" s="170">
        <v>18.529399999999999</v>
      </c>
    </row>
    <row r="1131" spans="20:23" x14ac:dyDescent="0.3">
      <c r="T1131" s="278">
        <v>44977</v>
      </c>
      <c r="W1131" s="170">
        <v>18.002500000000001</v>
      </c>
    </row>
    <row r="1132" spans="20:23" x14ac:dyDescent="0.3">
      <c r="T1132" s="278">
        <v>44974</v>
      </c>
      <c r="W1132" s="170">
        <v>17.8505</v>
      </c>
    </row>
    <row r="1133" spans="20:23" x14ac:dyDescent="0.3">
      <c r="T1133" s="278">
        <v>44973</v>
      </c>
      <c r="W1133" s="170">
        <v>18.127500000000001</v>
      </c>
    </row>
    <row r="1134" spans="20:23" x14ac:dyDescent="0.3">
      <c r="T1134" s="278">
        <v>44972</v>
      </c>
      <c r="W1134" s="170">
        <v>18.347899999999999</v>
      </c>
    </row>
    <row r="1135" spans="20:23" x14ac:dyDescent="0.3">
      <c r="T1135" s="278">
        <v>44971</v>
      </c>
      <c r="W1135" s="170">
        <v>17.984999999999999</v>
      </c>
    </row>
    <row r="1136" spans="20:23" x14ac:dyDescent="0.3">
      <c r="T1136" s="278">
        <v>44970</v>
      </c>
      <c r="W1136" s="170">
        <v>17.8155</v>
      </c>
    </row>
    <row r="1137" spans="20:23" x14ac:dyDescent="0.3">
      <c r="T1137" s="278">
        <v>44967</v>
      </c>
      <c r="W1137" s="170">
        <v>18.1434</v>
      </c>
    </row>
    <row r="1138" spans="20:23" x14ac:dyDescent="0.3">
      <c r="T1138" s="278">
        <v>44966</v>
      </c>
      <c r="W1138" s="170">
        <v>18.778500000000001</v>
      </c>
    </row>
    <row r="1139" spans="20:23" x14ac:dyDescent="0.3">
      <c r="T1139" s="278">
        <v>44965</v>
      </c>
      <c r="W1139" s="170">
        <v>17.7256</v>
      </c>
    </row>
    <row r="1140" spans="20:23" x14ac:dyDescent="0.3">
      <c r="T1140" s="278">
        <v>44964</v>
      </c>
      <c r="W1140" s="170">
        <v>17.988199999999999</v>
      </c>
    </row>
    <row r="1141" spans="20:23" x14ac:dyDescent="0.3">
      <c r="T1141" s="278">
        <v>44963</v>
      </c>
      <c r="W1141" s="170">
        <v>17.7789</v>
      </c>
    </row>
    <row r="1142" spans="20:23" x14ac:dyDescent="0.3">
      <c r="T1142" s="278">
        <v>44960</v>
      </c>
      <c r="W1142" s="170">
        <v>17.779699999999998</v>
      </c>
    </row>
    <row r="1143" spans="20:23" x14ac:dyDescent="0.3">
      <c r="T1143" s="278">
        <v>44959</v>
      </c>
      <c r="W1143" s="170">
        <v>18.160900000000002</v>
      </c>
    </row>
    <row r="1144" spans="20:23" x14ac:dyDescent="0.3">
      <c r="T1144" s="278">
        <v>44958</v>
      </c>
      <c r="W1144" s="170">
        <v>17.288699999999999</v>
      </c>
    </row>
    <row r="1145" spans="20:23" x14ac:dyDescent="0.3">
      <c r="T1145" s="278">
        <v>44957</v>
      </c>
      <c r="W1145" s="170">
        <v>16.718900000000001</v>
      </c>
    </row>
    <row r="1146" spans="20:23" x14ac:dyDescent="0.3">
      <c r="T1146" s="278">
        <v>44956</v>
      </c>
      <c r="W1146" s="170">
        <v>16.4436</v>
      </c>
    </row>
    <row r="1147" spans="20:23" x14ac:dyDescent="0.3">
      <c r="T1147" s="278">
        <v>44953</v>
      </c>
      <c r="W1147" s="170">
        <v>16.161100000000001</v>
      </c>
    </row>
    <row r="1148" spans="20:23" x14ac:dyDescent="0.3">
      <c r="T1148" s="278">
        <v>44952</v>
      </c>
      <c r="W1148" s="170"/>
    </row>
    <row r="1149" spans="20:23" x14ac:dyDescent="0.3">
      <c r="T1149" s="278">
        <v>44951</v>
      </c>
      <c r="W1149" s="170">
        <v>16.780200000000001</v>
      </c>
    </row>
    <row r="1150" spans="20:23" x14ac:dyDescent="0.3">
      <c r="T1150" s="278">
        <v>44950</v>
      </c>
      <c r="W1150" s="170">
        <v>16.542300000000001</v>
      </c>
    </row>
    <row r="1151" spans="20:23" x14ac:dyDescent="0.3">
      <c r="T1151" s="278">
        <v>44949</v>
      </c>
      <c r="W1151" s="170">
        <v>16.433199999999999</v>
      </c>
    </row>
    <row r="1152" spans="20:23" x14ac:dyDescent="0.3">
      <c r="T1152" s="278">
        <v>44946</v>
      </c>
      <c r="W1152" s="170">
        <v>16.8765</v>
      </c>
    </row>
    <row r="1153" spans="20:23" x14ac:dyDescent="0.3">
      <c r="T1153" s="278">
        <v>44945</v>
      </c>
      <c r="W1153" s="170">
        <v>16.4969</v>
      </c>
    </row>
    <row r="1154" spans="20:23" x14ac:dyDescent="0.3">
      <c r="T1154" s="278">
        <v>44944</v>
      </c>
      <c r="W1154" s="170">
        <v>16.2319</v>
      </c>
    </row>
    <row r="1155" spans="20:23" x14ac:dyDescent="0.3">
      <c r="T1155" s="278">
        <v>44943</v>
      </c>
      <c r="W1155" s="170">
        <v>15.351699999999999</v>
      </c>
    </row>
    <row r="1156" spans="20:23" x14ac:dyDescent="0.3">
      <c r="T1156" s="278">
        <v>44942</v>
      </c>
      <c r="W1156" s="170">
        <v>15.9406</v>
      </c>
    </row>
    <row r="1157" spans="20:23" x14ac:dyDescent="0.3">
      <c r="T1157" s="278">
        <v>44939</v>
      </c>
      <c r="W1157" s="170">
        <v>15.136100000000001</v>
      </c>
    </row>
    <row r="1158" spans="20:23" x14ac:dyDescent="0.3">
      <c r="T1158" s="278">
        <v>44938</v>
      </c>
      <c r="W1158" s="170">
        <v>15.2936</v>
      </c>
    </row>
    <row r="1159" spans="20:23" x14ac:dyDescent="0.3">
      <c r="T1159" s="278">
        <v>44937</v>
      </c>
      <c r="W1159" s="170">
        <v>14.6021</v>
      </c>
    </row>
    <row r="1160" spans="20:23" x14ac:dyDescent="0.3">
      <c r="T1160" s="278">
        <v>44936</v>
      </c>
      <c r="W1160" s="170">
        <v>14.7159</v>
      </c>
    </row>
    <row r="1161" spans="20:23" x14ac:dyDescent="0.3">
      <c r="T1161" s="278">
        <v>44935</v>
      </c>
      <c r="W1161" s="170">
        <v>14.825699999999999</v>
      </c>
    </row>
    <row r="1162" spans="20:23" x14ac:dyDescent="0.3">
      <c r="T1162" s="278">
        <v>44932</v>
      </c>
      <c r="W1162" s="170">
        <v>14.825699999999999</v>
      </c>
    </row>
    <row r="1163" spans="20:23" x14ac:dyDescent="0.3">
      <c r="T1163" s="278">
        <v>44931</v>
      </c>
      <c r="W1163" s="170">
        <v>14.6395</v>
      </c>
    </row>
    <row r="1164" spans="20:23" x14ac:dyDescent="0.3">
      <c r="T1164" s="278">
        <v>44930</v>
      </c>
      <c r="W1164" s="170">
        <v>14.8973</v>
      </c>
    </row>
    <row r="1165" spans="20:23" x14ac:dyDescent="0.3">
      <c r="T1165" s="278">
        <v>44929</v>
      </c>
      <c r="W1165" s="170">
        <v>15.117800000000001</v>
      </c>
    </row>
    <row r="1166" spans="20:23" x14ac:dyDescent="0.3">
      <c r="T1166" s="278">
        <v>44928</v>
      </c>
      <c r="W1166" s="170">
        <v>14.0474</v>
      </c>
    </row>
    <row r="1167" spans="20:23" x14ac:dyDescent="0.3">
      <c r="T1167" s="278">
        <v>44925</v>
      </c>
      <c r="W1167" s="170">
        <v>13.764099999999999</v>
      </c>
    </row>
    <row r="1168" spans="20:23" x14ac:dyDescent="0.3">
      <c r="T1168" s="278">
        <v>44924</v>
      </c>
      <c r="W1168" s="170">
        <v>13.4848</v>
      </c>
    </row>
    <row r="1169" spans="20:23" x14ac:dyDescent="0.3">
      <c r="T1169" s="278">
        <v>44923</v>
      </c>
      <c r="W1169" s="170">
        <v>13.561199999999999</v>
      </c>
    </row>
    <row r="1170" spans="20:23" x14ac:dyDescent="0.3">
      <c r="T1170" s="278">
        <v>44922</v>
      </c>
      <c r="W1170" s="170">
        <v>13.621700000000001</v>
      </c>
    </row>
    <row r="1171" spans="20:23" x14ac:dyDescent="0.3">
      <c r="T1171" s="278">
        <v>44921</v>
      </c>
      <c r="W1171" s="170">
        <v>13.6129</v>
      </c>
    </row>
    <row r="1172" spans="20:23" x14ac:dyDescent="0.3">
      <c r="T1172" s="278">
        <v>44918</v>
      </c>
      <c r="W1172" s="170">
        <v>13.1561</v>
      </c>
    </row>
    <row r="1173" spans="20:23" x14ac:dyDescent="0.3">
      <c r="T1173" s="278">
        <v>44917</v>
      </c>
      <c r="W1173" s="170">
        <v>13.6249</v>
      </c>
    </row>
    <row r="1174" spans="20:23" x14ac:dyDescent="0.3">
      <c r="T1174" s="278">
        <v>44916</v>
      </c>
      <c r="W1174" s="170">
        <v>13.5875</v>
      </c>
    </row>
    <row r="1175" spans="20:23" x14ac:dyDescent="0.3">
      <c r="T1175" s="278">
        <v>44915</v>
      </c>
      <c r="W1175" s="170">
        <v>13.4068</v>
      </c>
    </row>
    <row r="1176" spans="20:23" x14ac:dyDescent="0.3">
      <c r="T1176" s="278">
        <v>44914</v>
      </c>
      <c r="W1176" s="170">
        <v>13.4808</v>
      </c>
    </row>
    <row r="1177" spans="20:23" x14ac:dyDescent="0.3">
      <c r="T1177" s="278">
        <v>44911</v>
      </c>
      <c r="W1177" s="170">
        <v>13.603400000000001</v>
      </c>
    </row>
    <row r="1178" spans="20:23" x14ac:dyDescent="0.3">
      <c r="T1178" s="278">
        <v>44910</v>
      </c>
      <c r="W1178" s="170">
        <v>13.7235</v>
      </c>
    </row>
    <row r="1179" spans="20:23" x14ac:dyDescent="0.3">
      <c r="T1179" s="278">
        <v>44909</v>
      </c>
      <c r="W1179" s="170">
        <v>13.7013</v>
      </c>
    </row>
    <row r="1180" spans="20:23" x14ac:dyDescent="0.3">
      <c r="T1180" s="278">
        <v>44908</v>
      </c>
      <c r="W1180" s="170">
        <v>13.713200000000001</v>
      </c>
    </row>
    <row r="1181" spans="20:23" x14ac:dyDescent="0.3">
      <c r="T1181" s="278">
        <v>44907</v>
      </c>
      <c r="W1181" s="170">
        <v>13.7936</v>
      </c>
    </row>
    <row r="1182" spans="20:23" x14ac:dyDescent="0.3">
      <c r="T1182" s="278">
        <v>44904</v>
      </c>
      <c r="W1182" s="170">
        <v>13.8238</v>
      </c>
    </row>
    <row r="1183" spans="20:23" x14ac:dyDescent="0.3">
      <c r="T1183" s="278">
        <v>44903</v>
      </c>
      <c r="W1183" s="170">
        <v>14.1557</v>
      </c>
    </row>
    <row r="1184" spans="20:23" x14ac:dyDescent="0.3">
      <c r="T1184" s="278">
        <v>44902</v>
      </c>
      <c r="W1184" s="170">
        <v>14.0618</v>
      </c>
    </row>
    <row r="1185" spans="20:23" x14ac:dyDescent="0.3">
      <c r="T1185" s="278">
        <v>44901</v>
      </c>
      <c r="W1185" s="170">
        <v>14.1549</v>
      </c>
    </row>
    <row r="1186" spans="20:23" x14ac:dyDescent="0.3">
      <c r="T1186" s="278">
        <v>44900</v>
      </c>
      <c r="W1186" s="170">
        <v>13.9535</v>
      </c>
    </row>
    <row r="1187" spans="20:23" x14ac:dyDescent="0.3">
      <c r="T1187" s="278">
        <v>44897</v>
      </c>
      <c r="W1187" s="170">
        <v>14.013199999999999</v>
      </c>
    </row>
    <row r="1188" spans="20:23" x14ac:dyDescent="0.3">
      <c r="T1188" s="278">
        <v>44896</v>
      </c>
      <c r="W1188" s="170">
        <v>14.193899999999999</v>
      </c>
    </row>
    <row r="1189" spans="20:23" x14ac:dyDescent="0.3">
      <c r="T1189" s="278">
        <v>44895</v>
      </c>
      <c r="W1189" s="170">
        <v>14.2575</v>
      </c>
    </row>
    <row r="1190" spans="20:23" x14ac:dyDescent="0.3">
      <c r="T1190" s="278">
        <v>44894</v>
      </c>
      <c r="W1190" s="170">
        <v>14.2209</v>
      </c>
    </row>
    <row r="1191" spans="20:23" x14ac:dyDescent="0.3">
      <c r="T1191" s="278">
        <v>44893</v>
      </c>
      <c r="W1191" s="170">
        <v>13.9129</v>
      </c>
    </row>
    <row r="1192" spans="20:23" x14ac:dyDescent="0.3">
      <c r="T1192" s="278">
        <v>44890</v>
      </c>
      <c r="W1192" s="170">
        <v>13.858000000000001</v>
      </c>
    </row>
    <row r="1193" spans="20:23" x14ac:dyDescent="0.3">
      <c r="T1193" s="278">
        <v>44889</v>
      </c>
      <c r="W1193" s="170">
        <v>13.620100000000001</v>
      </c>
    </row>
    <row r="1194" spans="20:23" x14ac:dyDescent="0.3">
      <c r="T1194" s="278">
        <v>44888</v>
      </c>
      <c r="W1194" s="170">
        <v>13.816599999999999</v>
      </c>
    </row>
    <row r="1195" spans="20:23" x14ac:dyDescent="0.3">
      <c r="T1195" s="278">
        <v>44887</v>
      </c>
      <c r="W1195" s="170">
        <v>13.7681</v>
      </c>
    </row>
    <row r="1196" spans="20:23" x14ac:dyDescent="0.3">
      <c r="T1196" s="278">
        <v>44886</v>
      </c>
      <c r="W1196" s="170">
        <v>13.7506</v>
      </c>
    </row>
    <row r="1197" spans="20:23" x14ac:dyDescent="0.3">
      <c r="T1197" s="278">
        <v>44883</v>
      </c>
      <c r="W1197" s="170">
        <v>14.4254</v>
      </c>
    </row>
    <row r="1198" spans="20:23" x14ac:dyDescent="0.3">
      <c r="T1198" s="278">
        <v>44882</v>
      </c>
      <c r="W1198" s="170">
        <v>14.952299999999999</v>
      </c>
    </row>
    <row r="1199" spans="20:23" x14ac:dyDescent="0.3">
      <c r="T1199" s="278">
        <v>44881</v>
      </c>
      <c r="W1199" s="170">
        <v>14.8018</v>
      </c>
    </row>
    <row r="1200" spans="20:23" x14ac:dyDescent="0.3">
      <c r="T1200" s="278">
        <v>44880</v>
      </c>
      <c r="W1200" s="170">
        <v>14.096</v>
      </c>
    </row>
    <row r="1201" spans="20:23" x14ac:dyDescent="0.3">
      <c r="T1201" s="278">
        <v>44879</v>
      </c>
      <c r="W1201" s="170">
        <v>13.912100000000001</v>
      </c>
    </row>
    <row r="1202" spans="20:23" x14ac:dyDescent="0.3">
      <c r="T1202" s="278">
        <v>44876</v>
      </c>
      <c r="W1202" s="170">
        <v>13.9352</v>
      </c>
    </row>
    <row r="1203" spans="20:23" x14ac:dyDescent="0.3">
      <c r="T1203" s="278">
        <v>44875</v>
      </c>
      <c r="W1203" s="170">
        <v>13.858000000000001</v>
      </c>
    </row>
    <row r="1204" spans="20:23" x14ac:dyDescent="0.3">
      <c r="T1204" s="278">
        <v>44874</v>
      </c>
      <c r="W1204" s="170">
        <v>13.5357</v>
      </c>
    </row>
    <row r="1205" spans="20:23" x14ac:dyDescent="0.3">
      <c r="T1205" s="278">
        <v>44873</v>
      </c>
      <c r="W1205" s="170"/>
    </row>
    <row r="1206" spans="20:23" x14ac:dyDescent="0.3">
      <c r="T1206" s="278">
        <v>44872</v>
      </c>
      <c r="W1206" s="170">
        <v>13.512700000000001</v>
      </c>
    </row>
    <row r="1207" spans="20:23" x14ac:dyDescent="0.3">
      <c r="T1207" s="278">
        <v>44869</v>
      </c>
      <c r="W1207" s="170">
        <v>13.452999999999999</v>
      </c>
    </row>
    <row r="1208" spans="20:23" x14ac:dyDescent="0.3">
      <c r="T1208" s="278">
        <v>44868</v>
      </c>
      <c r="W1208" s="170">
        <v>13.526999999999999</v>
      </c>
    </row>
    <row r="1209" spans="20:23" x14ac:dyDescent="0.3">
      <c r="T1209" s="278">
        <v>44867</v>
      </c>
      <c r="W1209" s="170">
        <v>13.4657</v>
      </c>
    </row>
    <row r="1210" spans="20:23" x14ac:dyDescent="0.3">
      <c r="T1210" s="278">
        <v>44866</v>
      </c>
      <c r="W1210" s="170">
        <v>13.405200000000001</v>
      </c>
    </row>
    <row r="1211" spans="20:23" x14ac:dyDescent="0.3">
      <c r="T1211" s="278">
        <v>44865</v>
      </c>
      <c r="W1211" s="170">
        <v>13.441800000000001</v>
      </c>
    </row>
    <row r="1212" spans="20:23" x14ac:dyDescent="0.3">
      <c r="T1212" s="278">
        <v>44862</v>
      </c>
      <c r="W1212" s="170">
        <v>13.369400000000001</v>
      </c>
    </row>
    <row r="1213" spans="20:23" x14ac:dyDescent="0.3">
      <c r="T1213" s="278">
        <v>44861</v>
      </c>
      <c r="W1213" s="170">
        <v>13.3559</v>
      </c>
    </row>
    <row r="1214" spans="20:23" x14ac:dyDescent="0.3">
      <c r="T1214" s="278">
        <v>44860</v>
      </c>
      <c r="W1214" s="170"/>
    </row>
    <row r="1215" spans="20:23" x14ac:dyDescent="0.3">
      <c r="T1215" s="278">
        <v>44859</v>
      </c>
      <c r="W1215" s="170">
        <v>13.4076</v>
      </c>
    </row>
    <row r="1216" spans="20:23" x14ac:dyDescent="0.3">
      <c r="T1216" s="278">
        <v>44858</v>
      </c>
      <c r="W1216" s="170">
        <v>13.549300000000001</v>
      </c>
    </row>
    <row r="1217" spans="20:23" x14ac:dyDescent="0.3">
      <c r="T1217" s="278">
        <v>44855</v>
      </c>
      <c r="W1217" s="170">
        <v>13.5381</v>
      </c>
    </row>
    <row r="1218" spans="20:23" x14ac:dyDescent="0.3">
      <c r="T1218" s="278">
        <v>44854</v>
      </c>
      <c r="W1218" s="170">
        <v>13.526199999999999</v>
      </c>
    </row>
    <row r="1219" spans="20:23" x14ac:dyDescent="0.3">
      <c r="T1219" s="278">
        <v>44853</v>
      </c>
      <c r="W1219" s="170">
        <v>13.7219</v>
      </c>
    </row>
    <row r="1220" spans="20:23" x14ac:dyDescent="0.3">
      <c r="T1220" s="278">
        <v>44852</v>
      </c>
      <c r="W1220" s="170">
        <v>13.64</v>
      </c>
    </row>
    <row r="1221" spans="20:23" x14ac:dyDescent="0.3">
      <c r="T1221" s="278">
        <v>44851</v>
      </c>
      <c r="W1221" s="170">
        <v>13.5867</v>
      </c>
    </row>
    <row r="1222" spans="20:23" x14ac:dyDescent="0.3">
      <c r="T1222" s="278">
        <v>44848</v>
      </c>
      <c r="W1222" s="170">
        <v>13.7928</v>
      </c>
    </row>
    <row r="1223" spans="20:23" x14ac:dyDescent="0.3">
      <c r="T1223" s="278">
        <v>44847</v>
      </c>
      <c r="W1223" s="170">
        <v>14.268700000000001</v>
      </c>
    </row>
    <row r="1224" spans="20:23" x14ac:dyDescent="0.3">
      <c r="T1224" s="278">
        <v>44846</v>
      </c>
      <c r="W1224" s="170">
        <v>13.9893</v>
      </c>
    </row>
    <row r="1225" spans="20:23" x14ac:dyDescent="0.3">
      <c r="T1225" s="278">
        <v>44845</v>
      </c>
      <c r="W1225" s="170">
        <v>13.801500000000001</v>
      </c>
    </row>
    <row r="1226" spans="20:23" x14ac:dyDescent="0.3">
      <c r="T1226" s="278">
        <v>44844</v>
      </c>
      <c r="W1226" s="170">
        <v>14.1676</v>
      </c>
    </row>
    <row r="1227" spans="20:23" x14ac:dyDescent="0.3">
      <c r="T1227" s="278">
        <v>44841</v>
      </c>
      <c r="W1227" s="170">
        <v>14.267099999999999</v>
      </c>
    </row>
    <row r="1228" spans="20:23" x14ac:dyDescent="0.3">
      <c r="T1228" s="278">
        <v>44840</v>
      </c>
      <c r="W1228" s="170">
        <v>14.0641</v>
      </c>
    </row>
    <row r="1229" spans="20:23" x14ac:dyDescent="0.3">
      <c r="T1229" s="278">
        <v>44839</v>
      </c>
      <c r="W1229" s="170"/>
    </row>
    <row r="1230" spans="20:23" x14ac:dyDescent="0.3">
      <c r="T1230" s="278">
        <v>44838</v>
      </c>
      <c r="W1230" s="170">
        <v>13.581099999999999</v>
      </c>
    </row>
    <row r="1231" spans="20:23" x14ac:dyDescent="0.3">
      <c r="T1231" s="278">
        <v>44837</v>
      </c>
      <c r="W1231" s="170">
        <v>13.5349</v>
      </c>
    </row>
    <row r="1232" spans="20:23" x14ac:dyDescent="0.3">
      <c r="T1232" s="278">
        <v>44834</v>
      </c>
      <c r="W1232" s="170">
        <v>13.150600000000001</v>
      </c>
    </row>
    <row r="1233" spans="20:23" x14ac:dyDescent="0.3">
      <c r="T1233" s="278">
        <v>44833</v>
      </c>
      <c r="W1233" s="170">
        <v>13.0169</v>
      </c>
    </row>
    <row r="1234" spans="20:23" x14ac:dyDescent="0.3">
      <c r="T1234" s="278">
        <v>44832</v>
      </c>
      <c r="W1234" s="170">
        <v>12.899100000000001</v>
      </c>
    </row>
    <row r="1235" spans="20:23" x14ac:dyDescent="0.3">
      <c r="T1235" s="278">
        <v>44831</v>
      </c>
      <c r="W1235" s="170">
        <v>13.404400000000001</v>
      </c>
    </row>
    <row r="1236" spans="20:23" x14ac:dyDescent="0.3">
      <c r="T1236" s="278">
        <v>44830</v>
      </c>
      <c r="W1236" s="170">
        <v>13.3726</v>
      </c>
    </row>
    <row r="1237" spans="20:23" x14ac:dyDescent="0.3">
      <c r="T1237" s="278">
        <v>44827</v>
      </c>
      <c r="W1237" s="170">
        <v>14.4262</v>
      </c>
    </row>
    <row r="1238" spans="20:23" x14ac:dyDescent="0.3">
      <c r="T1238" s="278">
        <v>44826</v>
      </c>
      <c r="W1238" s="170">
        <v>14.63</v>
      </c>
    </row>
    <row r="1239" spans="20:23" x14ac:dyDescent="0.3">
      <c r="T1239" s="278">
        <v>44825</v>
      </c>
      <c r="W1239" s="170">
        <v>14.6069</v>
      </c>
    </row>
    <row r="1240" spans="20:23" x14ac:dyDescent="0.3">
      <c r="T1240" s="278">
        <v>44824</v>
      </c>
      <c r="W1240" s="170">
        <v>14.735799999999999</v>
      </c>
    </row>
    <row r="1241" spans="20:23" x14ac:dyDescent="0.3">
      <c r="T1241" s="278">
        <v>44823</v>
      </c>
      <c r="W1241" s="170">
        <v>14.846399999999999</v>
      </c>
    </row>
    <row r="1242" spans="20:23" x14ac:dyDescent="0.3">
      <c r="T1242" s="278">
        <v>44820</v>
      </c>
      <c r="W1242" s="170">
        <v>15.1074</v>
      </c>
    </row>
    <row r="1243" spans="20:23" x14ac:dyDescent="0.3">
      <c r="T1243" s="278">
        <v>44819</v>
      </c>
      <c r="W1243" s="170">
        <v>15.658099999999999</v>
      </c>
    </row>
    <row r="1244" spans="20:23" x14ac:dyDescent="0.3">
      <c r="T1244" s="278">
        <v>44818</v>
      </c>
      <c r="W1244" s="170">
        <v>15.526</v>
      </c>
    </row>
    <row r="1245" spans="20:23" x14ac:dyDescent="0.3">
      <c r="T1245" s="278">
        <v>44817</v>
      </c>
      <c r="W1245" s="170">
        <v>15.8467</v>
      </c>
    </row>
    <row r="1246" spans="20:23" x14ac:dyDescent="0.3">
      <c r="T1246" s="278">
        <v>44816</v>
      </c>
      <c r="W1246" s="170">
        <v>15.6724</v>
      </c>
    </row>
    <row r="1247" spans="20:23" x14ac:dyDescent="0.3">
      <c r="T1247" s="278">
        <v>44813</v>
      </c>
      <c r="W1247" s="170">
        <v>14.973699999999999</v>
      </c>
    </row>
    <row r="1248" spans="20:23" x14ac:dyDescent="0.3">
      <c r="T1248" s="278">
        <v>44812</v>
      </c>
      <c r="W1248" s="170">
        <v>14.485900000000001</v>
      </c>
    </row>
    <row r="1249" spans="20:23" x14ac:dyDescent="0.3">
      <c r="T1249" s="278">
        <v>44811</v>
      </c>
      <c r="W1249" s="170">
        <v>14.144500000000001</v>
      </c>
    </row>
    <row r="1250" spans="20:23" x14ac:dyDescent="0.3">
      <c r="T1250" s="278">
        <v>44810</v>
      </c>
      <c r="W1250" s="170">
        <v>13.8771</v>
      </c>
    </row>
    <row r="1251" spans="20:23" x14ac:dyDescent="0.3">
      <c r="T1251" s="278">
        <v>44809</v>
      </c>
      <c r="W1251" s="170">
        <v>14.0442</v>
      </c>
    </row>
    <row r="1252" spans="20:23" x14ac:dyDescent="0.3">
      <c r="T1252" s="278">
        <v>44806</v>
      </c>
      <c r="W1252" s="170">
        <v>14.192299999999999</v>
      </c>
    </row>
    <row r="1253" spans="20:23" x14ac:dyDescent="0.3">
      <c r="T1253" s="278">
        <v>44805</v>
      </c>
      <c r="W1253" s="170">
        <v>14.628399999999999</v>
      </c>
    </row>
    <row r="1254" spans="20:23" x14ac:dyDescent="0.3">
      <c r="T1254" s="278">
        <v>44804</v>
      </c>
      <c r="W1254" s="170"/>
    </row>
    <row r="1255" spans="20:23" x14ac:dyDescent="0.3">
      <c r="T1255" s="278">
        <v>44803</v>
      </c>
      <c r="W1255" s="170">
        <v>15.0024</v>
      </c>
    </row>
    <row r="1256" spans="20:23" x14ac:dyDescent="0.3">
      <c r="T1256" s="278">
        <v>44802</v>
      </c>
      <c r="W1256" s="170">
        <v>14.7064</v>
      </c>
    </row>
    <row r="1257" spans="20:23" x14ac:dyDescent="0.3">
      <c r="T1257" s="278">
        <v>44799</v>
      </c>
      <c r="W1257" s="170">
        <v>14.019600000000001</v>
      </c>
    </row>
    <row r="1258" spans="20:23" x14ac:dyDescent="0.3">
      <c r="T1258" s="278">
        <v>44798</v>
      </c>
      <c r="W1258" s="170">
        <v>14.212999999999999</v>
      </c>
    </row>
    <row r="1259" spans="20:23" x14ac:dyDescent="0.3">
      <c r="T1259" s="278">
        <v>44797</v>
      </c>
      <c r="W1259" s="170">
        <v>13.763299999999999</v>
      </c>
    </row>
    <row r="1260" spans="20:23" x14ac:dyDescent="0.3">
      <c r="T1260" s="278">
        <v>44796</v>
      </c>
      <c r="W1260" s="170">
        <v>13.558</v>
      </c>
    </row>
    <row r="1261" spans="20:23" x14ac:dyDescent="0.3">
      <c r="T1261" s="278">
        <v>44795</v>
      </c>
      <c r="W1261" s="170">
        <v>13.742599999999999</v>
      </c>
    </row>
    <row r="1262" spans="20:23" x14ac:dyDescent="0.3">
      <c r="T1262" s="278">
        <v>44792</v>
      </c>
      <c r="W1262" s="170">
        <v>13.692500000000001</v>
      </c>
    </row>
    <row r="1263" spans="20:23" x14ac:dyDescent="0.3">
      <c r="T1263" s="278">
        <v>44791</v>
      </c>
      <c r="W1263" s="170">
        <v>13.0845</v>
      </c>
    </row>
    <row r="1264" spans="20:23" x14ac:dyDescent="0.3">
      <c r="T1264" s="278">
        <v>44790</v>
      </c>
      <c r="W1264" s="170">
        <v>13.0837</v>
      </c>
    </row>
    <row r="1265" spans="20:23" x14ac:dyDescent="0.3">
      <c r="T1265" s="278">
        <v>44789</v>
      </c>
      <c r="W1265" s="170">
        <v>13.1004</v>
      </c>
    </row>
    <row r="1266" spans="20:23" x14ac:dyDescent="0.3">
      <c r="T1266" s="278">
        <v>44788</v>
      </c>
      <c r="W1266" s="170"/>
    </row>
    <row r="1267" spans="20:23" x14ac:dyDescent="0.3">
      <c r="T1267" s="278">
        <v>44785</v>
      </c>
      <c r="W1267" s="170">
        <v>13.348699999999999</v>
      </c>
    </row>
    <row r="1268" spans="20:23" x14ac:dyDescent="0.3">
      <c r="T1268" s="278">
        <v>44784</v>
      </c>
      <c r="W1268" s="170">
        <v>13.0161</v>
      </c>
    </row>
    <row r="1269" spans="20:23" x14ac:dyDescent="0.3">
      <c r="T1269" s="278">
        <v>44783</v>
      </c>
      <c r="W1269" s="170">
        <v>12.8911</v>
      </c>
    </row>
    <row r="1270" spans="20:23" x14ac:dyDescent="0.3">
      <c r="T1270" s="278">
        <v>44782</v>
      </c>
      <c r="W1270" s="170"/>
    </row>
    <row r="1271" spans="20:23" x14ac:dyDescent="0.3">
      <c r="T1271" s="278">
        <v>44781</v>
      </c>
      <c r="W1271" s="170">
        <v>13.605</v>
      </c>
    </row>
    <row r="1272" spans="20:23" x14ac:dyDescent="0.3">
      <c r="T1272" s="278">
        <v>44778</v>
      </c>
      <c r="W1272" s="170">
        <v>13.5381</v>
      </c>
    </row>
    <row r="1273" spans="20:23" x14ac:dyDescent="0.3">
      <c r="T1273" s="278">
        <v>44777</v>
      </c>
      <c r="W1273" s="170">
        <v>13.301</v>
      </c>
    </row>
    <row r="1274" spans="20:23" x14ac:dyDescent="0.3">
      <c r="T1274" s="278">
        <v>44776</v>
      </c>
      <c r="W1274" s="170">
        <v>13.4872</v>
      </c>
    </row>
    <row r="1275" spans="20:23" x14ac:dyDescent="0.3">
      <c r="T1275" s="278">
        <v>44775</v>
      </c>
      <c r="W1275" s="170">
        <v>13.4808</v>
      </c>
    </row>
    <row r="1276" spans="20:23" x14ac:dyDescent="0.3">
      <c r="T1276" s="278">
        <v>44774</v>
      </c>
      <c r="W1276" s="170">
        <v>13.6782</v>
      </c>
    </row>
    <row r="1277" spans="20:23" x14ac:dyDescent="0.3">
      <c r="T1277" s="278">
        <v>44771</v>
      </c>
      <c r="W1277" s="170">
        <v>13.8222</v>
      </c>
    </row>
    <row r="1278" spans="20:23" x14ac:dyDescent="0.3">
      <c r="T1278" s="278">
        <v>44770</v>
      </c>
      <c r="W1278" s="170">
        <v>13.460900000000001</v>
      </c>
    </row>
    <row r="1279" spans="20:23" x14ac:dyDescent="0.3">
      <c r="T1279" s="278">
        <v>44769</v>
      </c>
      <c r="W1279" s="170">
        <v>13.585100000000001</v>
      </c>
    </row>
    <row r="1280" spans="20:23" x14ac:dyDescent="0.3">
      <c r="T1280" s="278">
        <v>44768</v>
      </c>
      <c r="W1280" s="170">
        <v>13.6838</v>
      </c>
    </row>
    <row r="1281" spans="20:23" x14ac:dyDescent="0.3">
      <c r="T1281" s="278">
        <v>44767</v>
      </c>
      <c r="W1281" s="170">
        <v>13.9726</v>
      </c>
    </row>
    <row r="1282" spans="20:23" x14ac:dyDescent="0.3">
      <c r="T1282" s="278">
        <v>44764</v>
      </c>
      <c r="W1282" s="170">
        <v>13.6129</v>
      </c>
    </row>
    <row r="1283" spans="20:23" x14ac:dyDescent="0.3">
      <c r="T1283" s="278">
        <v>44763</v>
      </c>
      <c r="W1283" s="170">
        <v>13.5031</v>
      </c>
    </row>
    <row r="1284" spans="20:23" x14ac:dyDescent="0.3">
      <c r="T1284" s="278">
        <v>44762</v>
      </c>
      <c r="W1284" s="170">
        <v>13.328799999999999</v>
      </c>
    </row>
    <row r="1285" spans="20:23" x14ac:dyDescent="0.3">
      <c r="T1285" s="278">
        <v>44761</v>
      </c>
      <c r="W1285" s="170">
        <v>13.188000000000001</v>
      </c>
    </row>
    <row r="1286" spans="20:23" x14ac:dyDescent="0.3">
      <c r="T1286" s="278">
        <v>44760</v>
      </c>
      <c r="W1286" s="170">
        <v>13.3026</v>
      </c>
    </row>
    <row r="1287" spans="20:23" x14ac:dyDescent="0.3">
      <c r="T1287" s="278">
        <v>44757</v>
      </c>
      <c r="W1287" s="170">
        <v>12.844200000000001</v>
      </c>
    </row>
    <row r="1288" spans="20:23" x14ac:dyDescent="0.3">
      <c r="T1288" s="278">
        <v>44756</v>
      </c>
      <c r="W1288" s="170">
        <v>12.0524</v>
      </c>
    </row>
    <row r="1289" spans="20:23" x14ac:dyDescent="0.3">
      <c r="T1289" s="278">
        <v>44755</v>
      </c>
      <c r="W1289" s="170">
        <v>12.2179</v>
      </c>
    </row>
    <row r="1290" spans="20:23" x14ac:dyDescent="0.3">
      <c r="T1290" s="278">
        <v>44754</v>
      </c>
      <c r="W1290" s="170">
        <v>12.246499999999999</v>
      </c>
    </row>
    <row r="1291" spans="20:23" x14ac:dyDescent="0.3">
      <c r="T1291" s="278">
        <v>44753</v>
      </c>
      <c r="W1291" s="170">
        <v>12.3261</v>
      </c>
    </row>
    <row r="1292" spans="20:23" x14ac:dyDescent="0.3">
      <c r="T1292" s="278">
        <v>44750</v>
      </c>
      <c r="W1292" s="170">
        <v>12.5442</v>
      </c>
    </row>
    <row r="1293" spans="20:23" x14ac:dyDescent="0.3">
      <c r="T1293" s="278">
        <v>44749</v>
      </c>
      <c r="W1293" s="170">
        <v>12.376300000000001</v>
      </c>
    </row>
    <row r="1294" spans="20:23" x14ac:dyDescent="0.3">
      <c r="T1294" s="278">
        <v>44748</v>
      </c>
      <c r="W1294" s="170">
        <v>12.156599999999999</v>
      </c>
    </row>
    <row r="1295" spans="20:23" x14ac:dyDescent="0.3">
      <c r="T1295" s="278">
        <v>44747</v>
      </c>
      <c r="W1295" s="170">
        <v>12.1113</v>
      </c>
    </row>
    <row r="1296" spans="20:23" x14ac:dyDescent="0.3">
      <c r="T1296" s="278">
        <v>44746</v>
      </c>
      <c r="W1296" s="170">
        <v>12.283899999999999</v>
      </c>
    </row>
    <row r="1297" spans="20:23" x14ac:dyDescent="0.3">
      <c r="T1297" s="278">
        <v>44743</v>
      </c>
      <c r="W1297" s="170">
        <v>12.0802</v>
      </c>
    </row>
    <row r="1298" spans="20:23" x14ac:dyDescent="0.3">
      <c r="T1298" s="278">
        <v>44742</v>
      </c>
      <c r="W1298" s="170">
        <v>11.8956</v>
      </c>
    </row>
    <row r="1299" spans="20:23" x14ac:dyDescent="0.3">
      <c r="T1299" s="278">
        <v>44741</v>
      </c>
      <c r="W1299" s="170">
        <v>11.684699999999999</v>
      </c>
    </row>
    <row r="1300" spans="20:23" x14ac:dyDescent="0.3">
      <c r="T1300" s="278">
        <v>44740</v>
      </c>
      <c r="W1300" s="170">
        <v>11.4953</v>
      </c>
    </row>
    <row r="1301" spans="20:23" x14ac:dyDescent="0.3">
      <c r="T1301" s="278">
        <v>44739</v>
      </c>
      <c r="W1301" s="170">
        <v>10.994</v>
      </c>
    </row>
    <row r="1302" spans="20:23" x14ac:dyDescent="0.3">
      <c r="T1302" s="278">
        <v>44736</v>
      </c>
      <c r="W1302" s="170">
        <v>10.8706</v>
      </c>
    </row>
    <row r="1303" spans="20:23" x14ac:dyDescent="0.3">
      <c r="T1303" s="278">
        <v>44735</v>
      </c>
      <c r="W1303" s="170">
        <v>10.8825</v>
      </c>
    </row>
    <row r="1304" spans="20:23" x14ac:dyDescent="0.3">
      <c r="T1304" s="278">
        <v>44734</v>
      </c>
      <c r="W1304" s="170">
        <v>10.644600000000001</v>
      </c>
    </row>
    <row r="1305" spans="20:23" x14ac:dyDescent="0.3">
      <c r="T1305" s="278">
        <v>44733</v>
      </c>
      <c r="W1305" s="170">
        <v>10.5921</v>
      </c>
    </row>
    <row r="1306" spans="20:23" x14ac:dyDescent="0.3">
      <c r="T1306" s="278">
        <v>44732</v>
      </c>
      <c r="W1306" s="170">
        <v>10.1417</v>
      </c>
    </row>
    <row r="1307" spans="20:23" x14ac:dyDescent="0.3">
      <c r="T1307" s="278">
        <v>44729</v>
      </c>
      <c r="W1307" s="170">
        <v>10.587300000000001</v>
      </c>
    </row>
    <row r="1308" spans="20:23" x14ac:dyDescent="0.3">
      <c r="T1308" s="278">
        <v>44728</v>
      </c>
      <c r="W1308" s="170">
        <v>10.4345</v>
      </c>
    </row>
    <row r="1309" spans="20:23" x14ac:dyDescent="0.3">
      <c r="T1309" s="278">
        <v>44727</v>
      </c>
      <c r="W1309" s="170">
        <v>10.391500000000001</v>
      </c>
    </row>
    <row r="1310" spans="20:23" x14ac:dyDescent="0.3">
      <c r="T1310" s="278">
        <v>44726</v>
      </c>
      <c r="W1310" s="170">
        <v>10.065300000000001</v>
      </c>
    </row>
    <row r="1311" spans="20:23" x14ac:dyDescent="0.3">
      <c r="T1311" s="278">
        <v>44725</v>
      </c>
      <c r="W1311" s="170">
        <v>9.8734999999999999</v>
      </c>
    </row>
    <row r="1312" spans="20:23" x14ac:dyDescent="0.3">
      <c r="T1312" s="278">
        <v>44722</v>
      </c>
      <c r="W1312" s="170">
        <v>10.5459</v>
      </c>
    </row>
    <row r="1313" spans="20:23" x14ac:dyDescent="0.3">
      <c r="T1313" s="278">
        <v>44721</v>
      </c>
      <c r="W1313" s="170">
        <v>10.6884</v>
      </c>
    </row>
    <row r="1314" spans="20:23" x14ac:dyDescent="0.3">
      <c r="T1314" s="278">
        <v>44720</v>
      </c>
      <c r="W1314" s="170">
        <v>11.1364</v>
      </c>
    </row>
    <row r="1315" spans="20:23" x14ac:dyDescent="0.3">
      <c r="T1315" s="278">
        <v>44719</v>
      </c>
      <c r="W1315" s="170">
        <v>11.4985</v>
      </c>
    </row>
    <row r="1316" spans="20:23" x14ac:dyDescent="0.3">
      <c r="T1316" s="278">
        <v>44718</v>
      </c>
      <c r="W1316" s="170">
        <v>11.599600000000001</v>
      </c>
    </row>
    <row r="1317" spans="20:23" x14ac:dyDescent="0.3">
      <c r="T1317" s="278">
        <v>44715</v>
      </c>
      <c r="W1317" s="170">
        <v>11.6187</v>
      </c>
    </row>
    <row r="1318" spans="20:23" x14ac:dyDescent="0.3">
      <c r="T1318" s="278">
        <v>44714</v>
      </c>
      <c r="W1318" s="170">
        <v>11.7738</v>
      </c>
    </row>
    <row r="1319" spans="20:23" x14ac:dyDescent="0.3">
      <c r="T1319" s="278">
        <v>44713</v>
      </c>
      <c r="W1319" s="170">
        <v>11.887600000000001</v>
      </c>
    </row>
    <row r="1320" spans="20:23" x14ac:dyDescent="0.3">
      <c r="T1320" s="278">
        <v>44712</v>
      </c>
      <c r="W1320" s="170">
        <v>12.228199999999999</v>
      </c>
    </row>
    <row r="1321" spans="20:23" x14ac:dyDescent="0.3">
      <c r="T1321" s="278">
        <v>44711</v>
      </c>
      <c r="W1321" s="170">
        <v>11.9879</v>
      </c>
    </row>
    <row r="1322" spans="20:23" x14ac:dyDescent="0.3">
      <c r="T1322" s="278">
        <v>44708</v>
      </c>
      <c r="W1322" s="170">
        <v>11.779400000000001</v>
      </c>
    </row>
    <row r="1323" spans="20:23" x14ac:dyDescent="0.3">
      <c r="T1323" s="278">
        <v>44707</v>
      </c>
      <c r="W1323" s="170">
        <v>11.5311</v>
      </c>
    </row>
    <row r="1324" spans="20:23" x14ac:dyDescent="0.3">
      <c r="T1324" s="278">
        <v>44706</v>
      </c>
      <c r="W1324" s="170">
        <v>11.8001</v>
      </c>
    </row>
    <row r="1325" spans="20:23" x14ac:dyDescent="0.3">
      <c r="T1325" s="278">
        <v>44705</v>
      </c>
      <c r="W1325" s="170">
        <v>12.360300000000001</v>
      </c>
    </row>
    <row r="1326" spans="20:23" x14ac:dyDescent="0.3">
      <c r="T1326" s="278">
        <v>44704</v>
      </c>
      <c r="W1326" s="170">
        <v>12.462199999999999</v>
      </c>
    </row>
    <row r="1327" spans="20:23" x14ac:dyDescent="0.3">
      <c r="T1327" s="278">
        <v>44701</v>
      </c>
      <c r="W1327" s="170">
        <v>12.7471</v>
      </c>
    </row>
    <row r="1328" spans="20:23" x14ac:dyDescent="0.3">
      <c r="T1328" s="278">
        <v>44700</v>
      </c>
      <c r="W1328" s="170">
        <v>12.757400000000001</v>
      </c>
    </row>
    <row r="1329" spans="20:23" x14ac:dyDescent="0.3">
      <c r="T1329" s="278">
        <v>44699</v>
      </c>
      <c r="W1329" s="170">
        <v>12.876799999999999</v>
      </c>
    </row>
    <row r="1330" spans="20:23" x14ac:dyDescent="0.3">
      <c r="T1330" s="278">
        <v>44698</v>
      </c>
      <c r="W1330" s="170">
        <v>12.875999999999999</v>
      </c>
    </row>
    <row r="1331" spans="20:23" x14ac:dyDescent="0.3">
      <c r="T1331" s="278">
        <v>44697</v>
      </c>
      <c r="W1331" s="170">
        <v>12.9198</v>
      </c>
    </row>
    <row r="1332" spans="20:23" x14ac:dyDescent="0.3">
      <c r="T1332" s="278">
        <v>44694</v>
      </c>
      <c r="W1332" s="170">
        <v>12.7065</v>
      </c>
    </row>
    <row r="1333" spans="20:23" x14ac:dyDescent="0.3">
      <c r="T1333" s="278">
        <v>44693</v>
      </c>
      <c r="W1333" s="170">
        <v>12.648400000000001</v>
      </c>
    </row>
    <row r="1334" spans="20:23" x14ac:dyDescent="0.3">
      <c r="T1334" s="278">
        <v>44692</v>
      </c>
      <c r="W1334" s="170">
        <v>12.4598</v>
      </c>
    </row>
    <row r="1335" spans="20:23" x14ac:dyDescent="0.3">
      <c r="T1335" s="278">
        <v>44691</v>
      </c>
      <c r="W1335" s="170">
        <v>12.4009</v>
      </c>
    </row>
    <row r="1336" spans="20:23" x14ac:dyDescent="0.3">
      <c r="T1336" s="278">
        <v>44690</v>
      </c>
      <c r="W1336" s="170">
        <v>12.821099999999999</v>
      </c>
    </row>
    <row r="1337" spans="20:23" x14ac:dyDescent="0.3">
      <c r="T1337" s="278">
        <v>44687</v>
      </c>
      <c r="W1337" s="170">
        <v>13.0893</v>
      </c>
    </row>
    <row r="1338" spans="20:23" x14ac:dyDescent="0.3">
      <c r="T1338" s="278">
        <v>44686</v>
      </c>
      <c r="W1338" s="170">
        <v>13.136200000000001</v>
      </c>
    </row>
    <row r="1339" spans="20:23" x14ac:dyDescent="0.3">
      <c r="T1339" s="278">
        <v>44685</v>
      </c>
      <c r="W1339" s="170">
        <v>13.1633</v>
      </c>
    </row>
    <row r="1340" spans="20:23" x14ac:dyDescent="0.3">
      <c r="T1340" s="278">
        <v>44684</v>
      </c>
      <c r="W1340" s="170"/>
    </row>
    <row r="1341" spans="20:23" x14ac:dyDescent="0.3">
      <c r="T1341" s="278">
        <v>44683</v>
      </c>
      <c r="W1341" s="170">
        <v>13.4514</v>
      </c>
    </row>
    <row r="1342" spans="20:23" x14ac:dyDescent="0.3">
      <c r="T1342" s="278">
        <v>44680</v>
      </c>
      <c r="W1342" s="170">
        <v>13.689299999999999</v>
      </c>
    </row>
    <row r="1343" spans="20:23" x14ac:dyDescent="0.3">
      <c r="T1343" s="278">
        <v>44679</v>
      </c>
      <c r="W1343" s="170">
        <v>13.8413</v>
      </c>
    </row>
    <row r="1344" spans="20:23" x14ac:dyDescent="0.3">
      <c r="T1344" s="278">
        <v>44678</v>
      </c>
      <c r="W1344" s="170">
        <v>13.886699999999999</v>
      </c>
    </row>
    <row r="1345" spans="20:23" x14ac:dyDescent="0.3">
      <c r="T1345" s="278">
        <v>44677</v>
      </c>
      <c r="W1345" s="170">
        <v>13.871600000000001</v>
      </c>
    </row>
    <row r="1346" spans="20:23" x14ac:dyDescent="0.3">
      <c r="T1346" s="278">
        <v>44676</v>
      </c>
      <c r="W1346" s="170">
        <v>14.1342</v>
      </c>
    </row>
    <row r="1347" spans="20:23" x14ac:dyDescent="0.3">
      <c r="T1347" s="278">
        <v>44673</v>
      </c>
      <c r="W1347" s="170">
        <v>14.396800000000001</v>
      </c>
    </row>
    <row r="1348" spans="20:23" x14ac:dyDescent="0.3">
      <c r="T1348" s="278">
        <v>44672</v>
      </c>
      <c r="W1348" s="170">
        <v>14.173999999999999</v>
      </c>
    </row>
    <row r="1349" spans="20:23" x14ac:dyDescent="0.3">
      <c r="T1349" s="278">
        <v>44671</v>
      </c>
      <c r="W1349" s="170">
        <v>14.140499999999999</v>
      </c>
    </row>
    <row r="1350" spans="20:23" x14ac:dyDescent="0.3">
      <c r="T1350" s="278">
        <v>44670</v>
      </c>
      <c r="W1350" s="170">
        <v>14.179500000000001</v>
      </c>
    </row>
    <row r="1351" spans="20:23" x14ac:dyDescent="0.3">
      <c r="T1351" s="278">
        <v>44669</v>
      </c>
      <c r="W1351" s="170">
        <v>14.633100000000001</v>
      </c>
    </row>
    <row r="1352" spans="20:23" x14ac:dyDescent="0.3">
      <c r="T1352" s="278">
        <v>44666</v>
      </c>
      <c r="W1352" s="170"/>
    </row>
    <row r="1353" spans="20:23" x14ac:dyDescent="0.3">
      <c r="T1353" s="278">
        <v>44665</v>
      </c>
      <c r="W1353" s="170"/>
    </row>
    <row r="1354" spans="20:23" x14ac:dyDescent="0.3">
      <c r="T1354" s="278">
        <v>44664</v>
      </c>
      <c r="W1354" s="170">
        <v>14.521699999999999</v>
      </c>
    </row>
    <row r="1355" spans="20:23" x14ac:dyDescent="0.3">
      <c r="T1355" s="278">
        <v>44663</v>
      </c>
      <c r="W1355" s="170">
        <v>14.6602</v>
      </c>
    </row>
    <row r="1356" spans="20:23" x14ac:dyDescent="0.3">
      <c r="T1356" s="278">
        <v>44662</v>
      </c>
      <c r="W1356" s="170">
        <v>14.194699999999999</v>
      </c>
    </row>
    <row r="1357" spans="20:23" x14ac:dyDescent="0.3">
      <c r="T1357" s="278">
        <v>44659</v>
      </c>
      <c r="W1357" s="170">
        <v>14.2034</v>
      </c>
    </row>
    <row r="1358" spans="20:23" x14ac:dyDescent="0.3">
      <c r="T1358" s="278">
        <v>44658</v>
      </c>
      <c r="W1358" s="170">
        <v>14.2018</v>
      </c>
    </row>
    <row r="1359" spans="20:23" x14ac:dyDescent="0.3">
      <c r="T1359" s="278">
        <v>44657</v>
      </c>
      <c r="W1359" s="170">
        <v>13.925700000000001</v>
      </c>
    </row>
    <row r="1360" spans="20:23" x14ac:dyDescent="0.3">
      <c r="T1360" s="278">
        <v>44656</v>
      </c>
      <c r="W1360" s="170">
        <v>14.0037</v>
      </c>
    </row>
    <row r="1361" spans="20:23" x14ac:dyDescent="0.3">
      <c r="T1361" s="278">
        <v>44655</v>
      </c>
      <c r="W1361" s="170">
        <v>13.910600000000001</v>
      </c>
    </row>
    <row r="1362" spans="20:23" x14ac:dyDescent="0.3">
      <c r="T1362" s="278">
        <v>44652</v>
      </c>
      <c r="W1362" s="170">
        <v>13.1259</v>
      </c>
    </row>
    <row r="1363" spans="20:23" x14ac:dyDescent="0.3">
      <c r="T1363" s="278">
        <v>44651</v>
      </c>
      <c r="W1363" s="170">
        <v>12.642799999999999</v>
      </c>
    </row>
    <row r="1364" spans="20:23" x14ac:dyDescent="0.3">
      <c r="T1364" s="278">
        <v>44650</v>
      </c>
      <c r="W1364" s="170">
        <v>15.277900000000001</v>
      </c>
    </row>
    <row r="1365" spans="20:23" x14ac:dyDescent="0.3">
      <c r="T1365" s="278">
        <v>44649</v>
      </c>
      <c r="W1365" s="170">
        <v>15.162800000000001</v>
      </c>
    </row>
    <row r="1366" spans="20:23" x14ac:dyDescent="0.3">
      <c r="T1366" s="278">
        <v>44648</v>
      </c>
      <c r="W1366" s="170">
        <v>15.518800000000001</v>
      </c>
    </row>
    <row r="1367" spans="20:23" x14ac:dyDescent="0.3">
      <c r="T1367" s="278">
        <v>44645</v>
      </c>
      <c r="W1367" s="170">
        <v>15.9937</v>
      </c>
    </row>
    <row r="1368" spans="20:23" x14ac:dyDescent="0.3">
      <c r="T1368" s="278">
        <v>44644</v>
      </c>
      <c r="W1368" s="170">
        <v>16.107900000000001</v>
      </c>
    </row>
    <row r="1369" spans="20:23" x14ac:dyDescent="0.3">
      <c r="T1369" s="278">
        <v>44643</v>
      </c>
      <c r="W1369" s="170">
        <v>16.119399999999999</v>
      </c>
    </row>
    <row r="1370" spans="20:23" x14ac:dyDescent="0.3">
      <c r="T1370" s="278">
        <v>44642</v>
      </c>
      <c r="W1370" s="170">
        <v>16.152999999999999</v>
      </c>
    </row>
    <row r="1371" spans="20:23" x14ac:dyDescent="0.3">
      <c r="T1371" s="278">
        <v>44641</v>
      </c>
      <c r="W1371" s="170">
        <v>16.4131</v>
      </c>
    </row>
    <row r="1372" spans="20:23" x14ac:dyDescent="0.3">
      <c r="T1372" s="278">
        <v>44638</v>
      </c>
      <c r="W1372" s="170"/>
    </row>
    <row r="1373" spans="20:23" x14ac:dyDescent="0.3">
      <c r="T1373" s="278">
        <v>44637</v>
      </c>
      <c r="W1373" s="170">
        <v>16.3507</v>
      </c>
    </row>
    <row r="1374" spans="20:23" x14ac:dyDescent="0.3">
      <c r="T1374" s="278">
        <v>44636</v>
      </c>
      <c r="W1374" s="170">
        <v>16.253799999999998</v>
      </c>
    </row>
    <row r="1375" spans="20:23" x14ac:dyDescent="0.3">
      <c r="T1375" s="278">
        <v>44635</v>
      </c>
      <c r="W1375" s="170">
        <v>16.321000000000002</v>
      </c>
    </row>
    <row r="1376" spans="20:23" x14ac:dyDescent="0.3">
      <c r="T1376" s="278">
        <v>44634</v>
      </c>
      <c r="W1376" s="170">
        <v>15.837300000000001</v>
      </c>
    </row>
    <row r="1377" spans="20:23" x14ac:dyDescent="0.3">
      <c r="T1377" s="278">
        <v>44631</v>
      </c>
      <c r="W1377" s="170">
        <v>15.758699999999999</v>
      </c>
    </row>
    <row r="1378" spans="20:23" x14ac:dyDescent="0.3">
      <c r="T1378" s="278">
        <v>44630</v>
      </c>
      <c r="W1378" s="170">
        <v>15.9678</v>
      </c>
    </row>
    <row r="1379" spans="20:23" x14ac:dyDescent="0.3">
      <c r="T1379" s="278">
        <v>44629</v>
      </c>
      <c r="W1379" s="170">
        <v>15.3748</v>
      </c>
    </row>
    <row r="1380" spans="20:23" x14ac:dyDescent="0.3">
      <c r="T1380" s="278">
        <v>44628</v>
      </c>
      <c r="W1380" s="170">
        <v>15.178100000000001</v>
      </c>
    </row>
    <row r="1381" spans="20:23" x14ac:dyDescent="0.3">
      <c r="T1381" s="278">
        <v>44627</v>
      </c>
      <c r="W1381" s="170">
        <v>14.876799999999999</v>
      </c>
    </row>
    <row r="1382" spans="20:23" x14ac:dyDescent="0.3">
      <c r="T1382" s="278">
        <v>44624</v>
      </c>
      <c r="W1382" s="170">
        <v>15.699199999999999</v>
      </c>
    </row>
    <row r="1383" spans="20:23" x14ac:dyDescent="0.3">
      <c r="T1383" s="278">
        <v>44623</v>
      </c>
      <c r="W1383" s="170">
        <v>15.9467</v>
      </c>
    </row>
    <row r="1384" spans="20:23" x14ac:dyDescent="0.3">
      <c r="T1384" s="278">
        <v>44622</v>
      </c>
      <c r="W1384" s="170">
        <v>15.8911</v>
      </c>
    </row>
    <row r="1385" spans="20:23" x14ac:dyDescent="0.3">
      <c r="T1385" s="278">
        <v>44621</v>
      </c>
      <c r="W1385" s="170"/>
    </row>
    <row r="1386" spans="20:23" x14ac:dyDescent="0.3">
      <c r="T1386" s="278">
        <v>44620</v>
      </c>
      <c r="W1386" s="170">
        <v>16.250900000000001</v>
      </c>
    </row>
    <row r="1387" spans="20:23" x14ac:dyDescent="0.3">
      <c r="T1387" s="278">
        <v>44617</v>
      </c>
      <c r="W1387" s="170">
        <v>15.603199999999999</v>
      </c>
    </row>
    <row r="1388" spans="20:23" x14ac:dyDescent="0.3">
      <c r="T1388" s="278">
        <v>44616</v>
      </c>
      <c r="W1388" s="170">
        <v>14.9191</v>
      </c>
    </row>
    <row r="1389" spans="20:23" x14ac:dyDescent="0.3">
      <c r="T1389" s="278">
        <v>44615</v>
      </c>
      <c r="W1389" s="170">
        <v>15.9573</v>
      </c>
    </row>
    <row r="1390" spans="20:23" x14ac:dyDescent="0.3">
      <c r="T1390" s="278">
        <v>44614</v>
      </c>
      <c r="W1390" s="170">
        <v>15.6877</v>
      </c>
    </row>
    <row r="1391" spans="20:23" x14ac:dyDescent="0.3">
      <c r="T1391" s="278">
        <v>44613</v>
      </c>
      <c r="W1391" s="170">
        <v>15.9842</v>
      </c>
    </row>
    <row r="1392" spans="20:23" x14ac:dyDescent="0.3">
      <c r="T1392" s="278">
        <v>44610</v>
      </c>
      <c r="W1392" s="170">
        <v>16.535900000000002</v>
      </c>
    </row>
    <row r="1393" spans="20:23" x14ac:dyDescent="0.3">
      <c r="T1393" s="278">
        <v>44609</v>
      </c>
      <c r="W1393" s="170">
        <v>16.4313</v>
      </c>
    </row>
    <row r="1394" spans="20:23" x14ac:dyDescent="0.3">
      <c r="T1394" s="278">
        <v>44608</v>
      </c>
      <c r="W1394" s="170">
        <v>16.963899999999999</v>
      </c>
    </row>
    <row r="1395" spans="20:23" x14ac:dyDescent="0.3">
      <c r="T1395" s="278">
        <v>44607</v>
      </c>
      <c r="W1395" s="170">
        <v>16.246099999999998</v>
      </c>
    </row>
    <row r="1396" spans="20:23" x14ac:dyDescent="0.3">
      <c r="T1396" s="278">
        <v>44606</v>
      </c>
      <c r="W1396" s="170">
        <v>16.036000000000001</v>
      </c>
    </row>
    <row r="1397" spans="20:23" x14ac:dyDescent="0.3">
      <c r="T1397" s="278">
        <v>44603</v>
      </c>
      <c r="W1397" s="170">
        <v>17.256499999999999</v>
      </c>
    </row>
    <row r="1398" spans="20:23" x14ac:dyDescent="0.3">
      <c r="T1398" s="278">
        <v>44602</v>
      </c>
      <c r="W1398" s="170">
        <v>17.555900000000001</v>
      </c>
    </row>
    <row r="1399" spans="20:23" x14ac:dyDescent="0.3">
      <c r="T1399" s="278">
        <v>44601</v>
      </c>
      <c r="W1399" s="170">
        <v>17.527100000000001</v>
      </c>
    </row>
    <row r="1400" spans="20:23" x14ac:dyDescent="0.3">
      <c r="T1400" s="278">
        <v>44600</v>
      </c>
      <c r="W1400" s="170">
        <v>17.5578</v>
      </c>
    </row>
    <row r="1401" spans="20:23" x14ac:dyDescent="0.3">
      <c r="T1401" s="278">
        <v>44599</v>
      </c>
      <c r="W1401" s="170">
        <v>17.786200000000001</v>
      </c>
    </row>
    <row r="1402" spans="20:23" x14ac:dyDescent="0.3">
      <c r="T1402" s="278">
        <v>44596</v>
      </c>
      <c r="W1402" s="170">
        <v>17.750699999999998</v>
      </c>
    </row>
    <row r="1403" spans="20:23" x14ac:dyDescent="0.3">
      <c r="T1403" s="278">
        <v>44595</v>
      </c>
      <c r="W1403" s="170">
        <v>17.933</v>
      </c>
    </row>
    <row r="1404" spans="20:23" x14ac:dyDescent="0.3">
      <c r="T1404" s="278">
        <v>44594</v>
      </c>
      <c r="W1404" s="170">
        <v>18.118200000000002</v>
      </c>
    </row>
    <row r="1405" spans="20:23" x14ac:dyDescent="0.3">
      <c r="T1405" s="278">
        <v>44593</v>
      </c>
      <c r="W1405" s="170">
        <v>17.786200000000001</v>
      </c>
    </row>
    <row r="1406" spans="20:23" x14ac:dyDescent="0.3">
      <c r="T1406" s="278">
        <v>44592</v>
      </c>
      <c r="W1406" s="170">
        <v>17.649000000000001</v>
      </c>
    </row>
    <row r="1407" spans="20:23" x14ac:dyDescent="0.3">
      <c r="T1407" s="278">
        <v>44589</v>
      </c>
      <c r="W1407" s="170">
        <v>17.483000000000001</v>
      </c>
    </row>
    <row r="1408" spans="20:23" x14ac:dyDescent="0.3">
      <c r="T1408" s="278">
        <v>44588</v>
      </c>
      <c r="W1408" s="170">
        <v>17.636500000000002</v>
      </c>
    </row>
    <row r="1409" spans="20:23" x14ac:dyDescent="0.3">
      <c r="T1409" s="278">
        <v>44587</v>
      </c>
      <c r="W1409" s="170"/>
    </row>
    <row r="1410" spans="20:23" x14ac:dyDescent="0.3">
      <c r="T1410" s="278">
        <v>44586</v>
      </c>
      <c r="W1410" s="170">
        <v>17.6557</v>
      </c>
    </row>
    <row r="1411" spans="20:23" x14ac:dyDescent="0.3">
      <c r="T1411" s="278">
        <v>44585</v>
      </c>
      <c r="W1411" s="170">
        <v>17.828399999999998</v>
      </c>
    </row>
    <row r="1412" spans="20:23" x14ac:dyDescent="0.3">
      <c r="T1412" s="278">
        <v>44582</v>
      </c>
      <c r="W1412" s="170">
        <v>18.299499999999998</v>
      </c>
    </row>
    <row r="1413" spans="20:23" x14ac:dyDescent="0.3">
      <c r="T1413" s="278">
        <v>44581</v>
      </c>
      <c r="W1413" s="170">
        <v>18.897300000000001</v>
      </c>
    </row>
    <row r="1414" spans="20:23" x14ac:dyDescent="0.3">
      <c r="T1414" s="278">
        <v>44580</v>
      </c>
      <c r="W1414" s="170">
        <v>18.7803</v>
      </c>
    </row>
    <row r="1415" spans="20:23" x14ac:dyDescent="0.3">
      <c r="T1415" s="278">
        <v>44579</v>
      </c>
      <c r="W1415" s="170">
        <v>19.024000000000001</v>
      </c>
    </row>
    <row r="1416" spans="20:23" x14ac:dyDescent="0.3">
      <c r="T1416" s="278">
        <v>44578</v>
      </c>
      <c r="W1416" s="170">
        <v>22.796900000000001</v>
      </c>
    </row>
    <row r="1417" spans="20:23" x14ac:dyDescent="0.3">
      <c r="T1417" s="278">
        <v>44575</v>
      </c>
      <c r="W1417" s="170">
        <v>22.378599999999999</v>
      </c>
    </row>
    <row r="1418" spans="20:23" x14ac:dyDescent="0.3">
      <c r="T1418" s="278">
        <v>44574</v>
      </c>
      <c r="W1418" s="170">
        <v>23.0886</v>
      </c>
    </row>
    <row r="1419" spans="20:23" x14ac:dyDescent="0.3">
      <c r="T1419" s="278">
        <v>44573</v>
      </c>
      <c r="W1419" s="170">
        <v>20.073699999999999</v>
      </c>
    </row>
    <row r="1420" spans="20:23" x14ac:dyDescent="0.3">
      <c r="T1420" s="278">
        <v>44572</v>
      </c>
      <c r="W1420" s="170">
        <v>20.142800000000001</v>
      </c>
    </row>
    <row r="1421" spans="20:23" x14ac:dyDescent="0.3">
      <c r="T1421" s="278">
        <v>44571</v>
      </c>
      <c r="W1421" s="170">
        <v>19.9605</v>
      </c>
    </row>
    <row r="1422" spans="20:23" x14ac:dyDescent="0.3">
      <c r="T1422" s="278">
        <v>44568</v>
      </c>
      <c r="W1422" s="170">
        <v>19.855899999999998</v>
      </c>
    </row>
    <row r="1423" spans="20:23" x14ac:dyDescent="0.3">
      <c r="T1423" s="278">
        <v>44567</v>
      </c>
      <c r="W1423" s="170">
        <v>19.483599999999999</v>
      </c>
    </row>
    <row r="1424" spans="20:23" x14ac:dyDescent="0.3">
      <c r="T1424" s="278">
        <v>44566</v>
      </c>
      <c r="W1424" s="170">
        <v>19.527799999999999</v>
      </c>
    </row>
    <row r="1425" spans="20:23" x14ac:dyDescent="0.3">
      <c r="T1425" s="278">
        <v>44565</v>
      </c>
      <c r="W1425" s="170">
        <v>19.201499999999999</v>
      </c>
    </row>
    <row r="1426" spans="20:23" x14ac:dyDescent="0.3">
      <c r="T1426" s="278">
        <v>44564</v>
      </c>
      <c r="W1426" s="170">
        <v>19.552700000000002</v>
      </c>
    </row>
    <row r="1427" spans="20:23" x14ac:dyDescent="0.3">
      <c r="T1427" s="278">
        <v>44561</v>
      </c>
      <c r="W1427" s="170">
        <v>19.45</v>
      </c>
    </row>
    <row r="1428" spans="20:23" x14ac:dyDescent="0.3">
      <c r="T1428" s="278">
        <v>44560</v>
      </c>
      <c r="W1428" s="170">
        <v>19.394400000000001</v>
      </c>
    </row>
    <row r="1429" spans="20:23" x14ac:dyDescent="0.3">
      <c r="T1429" s="278">
        <v>44559</v>
      </c>
      <c r="W1429" s="170">
        <v>19.653500000000001</v>
      </c>
    </row>
    <row r="1430" spans="20:23" x14ac:dyDescent="0.3">
      <c r="T1430" s="278">
        <v>44558</v>
      </c>
      <c r="W1430" s="170">
        <v>19.477900000000002</v>
      </c>
    </row>
    <row r="1431" spans="20:23" x14ac:dyDescent="0.3">
      <c r="T1431" s="278">
        <v>44557</v>
      </c>
      <c r="W1431" s="170">
        <v>19.381900000000002</v>
      </c>
    </row>
    <row r="1432" spans="20:23" x14ac:dyDescent="0.3">
      <c r="T1432" s="278">
        <v>44554</v>
      </c>
      <c r="W1432" s="170">
        <v>19.436599999999999</v>
      </c>
    </row>
    <row r="1433" spans="20:23" x14ac:dyDescent="0.3">
      <c r="T1433" s="278">
        <v>44553</v>
      </c>
      <c r="W1433" s="170">
        <v>19.5383</v>
      </c>
    </row>
    <row r="1434" spans="20:23" x14ac:dyDescent="0.3">
      <c r="T1434" s="278">
        <v>44552</v>
      </c>
      <c r="W1434" s="170">
        <v>19.6707</v>
      </c>
    </row>
    <row r="1435" spans="20:23" x14ac:dyDescent="0.3">
      <c r="T1435" s="278">
        <v>44551</v>
      </c>
      <c r="W1435" s="170">
        <v>19.441400000000002</v>
      </c>
    </row>
    <row r="1436" spans="20:23" x14ac:dyDescent="0.3">
      <c r="T1436" s="278">
        <v>44550</v>
      </c>
      <c r="W1436" s="170">
        <v>19.3522</v>
      </c>
    </row>
    <row r="1437" spans="20:23" x14ac:dyDescent="0.3">
      <c r="T1437" s="278">
        <v>44547</v>
      </c>
      <c r="W1437" s="170">
        <v>19.887599999999999</v>
      </c>
    </row>
    <row r="1438" spans="20:23" x14ac:dyDescent="0.3">
      <c r="T1438" s="278">
        <v>44546</v>
      </c>
      <c r="W1438" s="170">
        <v>20.709</v>
      </c>
    </row>
    <row r="1439" spans="20:23" x14ac:dyDescent="0.3">
      <c r="T1439" s="278">
        <v>44545</v>
      </c>
      <c r="W1439" s="170">
        <v>20.7972</v>
      </c>
    </row>
    <row r="1440" spans="20:23" x14ac:dyDescent="0.3">
      <c r="T1440" s="278">
        <v>44544</v>
      </c>
      <c r="W1440" s="170">
        <v>19.872199999999999</v>
      </c>
    </row>
    <row r="1441" spans="20:23" x14ac:dyDescent="0.3">
      <c r="T1441" s="278">
        <v>44543</v>
      </c>
      <c r="W1441" s="170">
        <v>20.124600000000001</v>
      </c>
    </row>
    <row r="1442" spans="20:23" x14ac:dyDescent="0.3">
      <c r="T1442" s="278">
        <v>44540</v>
      </c>
      <c r="W1442" s="170">
        <v>19.534500000000001</v>
      </c>
    </row>
    <row r="1443" spans="20:23" x14ac:dyDescent="0.3">
      <c r="T1443" s="278">
        <v>44539</v>
      </c>
      <c r="W1443" s="170">
        <v>19.506699999999999</v>
      </c>
    </row>
    <row r="1444" spans="20:23" x14ac:dyDescent="0.3">
      <c r="T1444" s="278">
        <v>44538</v>
      </c>
      <c r="W1444" s="170">
        <v>19.198599999999999</v>
      </c>
    </row>
    <row r="1445" spans="20:23" x14ac:dyDescent="0.3">
      <c r="T1445" s="278">
        <v>44537</v>
      </c>
      <c r="W1445" s="170">
        <v>18.968299999999999</v>
      </c>
    </row>
    <row r="1446" spans="20:23" x14ac:dyDescent="0.3">
      <c r="T1446" s="278">
        <v>44536</v>
      </c>
      <c r="W1446" s="170">
        <v>18.850300000000001</v>
      </c>
    </row>
    <row r="1447" spans="20:23" x14ac:dyDescent="0.3">
      <c r="T1447" s="278">
        <v>44533</v>
      </c>
      <c r="W1447" s="170">
        <v>19.1938</v>
      </c>
    </row>
    <row r="1448" spans="20:23" x14ac:dyDescent="0.3">
      <c r="T1448" s="278">
        <v>44532</v>
      </c>
      <c r="W1448" s="170">
        <v>19.398199999999999</v>
      </c>
    </row>
    <row r="1449" spans="20:23" x14ac:dyDescent="0.3">
      <c r="T1449" s="278">
        <v>44531</v>
      </c>
      <c r="W1449" s="170">
        <v>18.9482</v>
      </c>
    </row>
    <row r="1450" spans="20:23" x14ac:dyDescent="0.3">
      <c r="T1450" s="278">
        <v>44530</v>
      </c>
      <c r="W1450" s="170">
        <v>18.871400000000001</v>
      </c>
    </row>
    <row r="1451" spans="20:23" x14ac:dyDescent="0.3">
      <c r="T1451" s="278">
        <v>44529</v>
      </c>
      <c r="W1451" s="170">
        <v>18.0932</v>
      </c>
    </row>
    <row r="1452" spans="20:23" x14ac:dyDescent="0.3">
      <c r="T1452" s="278">
        <v>44526</v>
      </c>
      <c r="W1452" s="170">
        <v>18.612400000000001</v>
      </c>
    </row>
    <row r="1453" spans="20:23" x14ac:dyDescent="0.3">
      <c r="T1453" s="278">
        <v>44525</v>
      </c>
      <c r="W1453" s="170">
        <v>19.682300000000001</v>
      </c>
    </row>
    <row r="1454" spans="20:23" x14ac:dyDescent="0.3">
      <c r="T1454" s="278">
        <v>44524</v>
      </c>
      <c r="W1454" s="170">
        <v>19.4788</v>
      </c>
    </row>
    <row r="1455" spans="20:23" x14ac:dyDescent="0.3">
      <c r="T1455" s="278">
        <v>44523</v>
      </c>
      <c r="W1455" s="170">
        <v>19.449100000000001</v>
      </c>
    </row>
    <row r="1456" spans="20:23" x14ac:dyDescent="0.3">
      <c r="T1456" s="278">
        <v>44522</v>
      </c>
      <c r="W1456" s="170">
        <v>19.008600000000001</v>
      </c>
    </row>
    <row r="1457" spans="20:23" x14ac:dyDescent="0.3">
      <c r="T1457" s="278">
        <v>44519</v>
      </c>
      <c r="W1457" s="170"/>
    </row>
    <row r="1458" spans="20:23" x14ac:dyDescent="0.3">
      <c r="T1458" s="278">
        <v>44518</v>
      </c>
      <c r="W1458" s="170">
        <v>19.451000000000001</v>
      </c>
    </row>
    <row r="1459" spans="20:23" x14ac:dyDescent="0.3">
      <c r="T1459" s="278">
        <v>44517</v>
      </c>
      <c r="W1459" s="170">
        <v>20.446100000000001</v>
      </c>
    </row>
    <row r="1460" spans="20:23" x14ac:dyDescent="0.3">
      <c r="T1460" s="278">
        <v>44516</v>
      </c>
      <c r="W1460" s="170">
        <v>20.7819</v>
      </c>
    </row>
    <row r="1461" spans="20:23" x14ac:dyDescent="0.3">
      <c r="T1461" s="278">
        <v>44515</v>
      </c>
      <c r="W1461" s="170">
        <v>20.2225</v>
      </c>
    </row>
    <row r="1462" spans="20:23" x14ac:dyDescent="0.3">
      <c r="T1462" s="278">
        <v>44512</v>
      </c>
      <c r="W1462" s="170">
        <v>19.953800000000001</v>
      </c>
    </row>
    <row r="1463" spans="20:23" x14ac:dyDescent="0.3">
      <c r="T1463" s="278">
        <v>44511</v>
      </c>
      <c r="W1463" s="170">
        <v>20.1236</v>
      </c>
    </row>
    <row r="1464" spans="20:23" x14ac:dyDescent="0.3">
      <c r="T1464" s="278">
        <v>44510</v>
      </c>
      <c r="W1464" s="170">
        <v>20.035399999999999</v>
      </c>
    </row>
    <row r="1465" spans="20:23" x14ac:dyDescent="0.3">
      <c r="T1465" s="278">
        <v>44509</v>
      </c>
      <c r="W1465" s="170">
        <v>20.454699999999999</v>
      </c>
    </row>
    <row r="1466" spans="20:23" x14ac:dyDescent="0.3">
      <c r="T1466" s="278">
        <v>44508</v>
      </c>
      <c r="W1466" s="170">
        <v>21.162800000000001</v>
      </c>
    </row>
    <row r="1467" spans="20:23" x14ac:dyDescent="0.3">
      <c r="T1467" s="278">
        <v>44505</v>
      </c>
      <c r="W1467" s="170"/>
    </row>
    <row r="1468" spans="20:23" x14ac:dyDescent="0.3">
      <c r="T1468" s="278">
        <v>44504</v>
      </c>
      <c r="W1468" s="170">
        <v>20.2042</v>
      </c>
    </row>
    <row r="1469" spans="20:23" x14ac:dyDescent="0.3">
      <c r="T1469" s="278">
        <v>44503</v>
      </c>
      <c r="W1469" s="170">
        <v>20.291599999999999</v>
      </c>
    </row>
    <row r="1470" spans="20:23" x14ac:dyDescent="0.3">
      <c r="T1470" s="278">
        <v>44502</v>
      </c>
      <c r="W1470" s="170">
        <v>19.9682</v>
      </c>
    </row>
    <row r="1471" spans="20:23" x14ac:dyDescent="0.3">
      <c r="T1471" s="278">
        <v>44501</v>
      </c>
      <c r="W1471" s="170">
        <v>20.4221</v>
      </c>
    </row>
    <row r="1472" spans="20:23" x14ac:dyDescent="0.3">
      <c r="T1472" s="278">
        <v>44498</v>
      </c>
      <c r="W1472" s="170">
        <v>19.415500000000002</v>
      </c>
    </row>
    <row r="1473" spans="20:23" x14ac:dyDescent="0.3">
      <c r="T1473" s="278">
        <v>44497</v>
      </c>
      <c r="W1473" s="170">
        <v>19.3368</v>
      </c>
    </row>
    <row r="1474" spans="20:23" x14ac:dyDescent="0.3">
      <c r="T1474" s="278">
        <v>44496</v>
      </c>
      <c r="W1474" s="170">
        <v>19.907699999999998</v>
      </c>
    </row>
    <row r="1475" spans="20:23" x14ac:dyDescent="0.3">
      <c r="T1475" s="278">
        <v>44495</v>
      </c>
      <c r="W1475" s="170">
        <v>18.315899999999999</v>
      </c>
    </row>
    <row r="1476" spans="20:23" x14ac:dyDescent="0.3">
      <c r="T1476" s="278">
        <v>44494</v>
      </c>
      <c r="W1476" s="170">
        <v>17.846599999999999</v>
      </c>
    </row>
    <row r="1477" spans="20:23" x14ac:dyDescent="0.3">
      <c r="T1477" s="278">
        <v>44491</v>
      </c>
      <c r="W1477" s="170">
        <v>17.895600000000002</v>
      </c>
    </row>
    <row r="1478" spans="20:23" x14ac:dyDescent="0.3">
      <c r="T1478" s="278">
        <v>44490</v>
      </c>
      <c r="W1478" s="170">
        <v>17.9148</v>
      </c>
    </row>
    <row r="1479" spans="20:23" x14ac:dyDescent="0.3">
      <c r="T1479" s="278">
        <v>44489</v>
      </c>
      <c r="W1479" s="170">
        <v>18.167100000000001</v>
      </c>
    </row>
    <row r="1480" spans="20:23" x14ac:dyDescent="0.3">
      <c r="T1480" s="278">
        <v>44488</v>
      </c>
      <c r="W1480" s="170">
        <v>18.651700000000002</v>
      </c>
    </row>
    <row r="1481" spans="20:23" x14ac:dyDescent="0.3">
      <c r="T1481" s="278">
        <v>44487</v>
      </c>
      <c r="W1481" s="170">
        <v>18.421399999999998</v>
      </c>
    </row>
    <row r="1482" spans="20:23" x14ac:dyDescent="0.3">
      <c r="T1482" s="278">
        <v>44484</v>
      </c>
      <c r="W1482" s="170"/>
    </row>
    <row r="1483" spans="20:23" x14ac:dyDescent="0.3">
      <c r="T1483" s="278">
        <v>44483</v>
      </c>
      <c r="W1483" s="170">
        <v>18.739000000000001</v>
      </c>
    </row>
    <row r="1484" spans="20:23" x14ac:dyDescent="0.3">
      <c r="T1484" s="278">
        <v>44482</v>
      </c>
      <c r="W1484" s="170">
        <v>18.511600000000001</v>
      </c>
    </row>
    <row r="1485" spans="20:23" x14ac:dyDescent="0.3">
      <c r="T1485" s="278">
        <v>44481</v>
      </c>
      <c r="W1485" s="170">
        <v>18.450199999999999</v>
      </c>
    </row>
    <row r="1486" spans="20:23" x14ac:dyDescent="0.3">
      <c r="T1486" s="278">
        <v>44480</v>
      </c>
      <c r="W1486" s="170">
        <v>18.5701</v>
      </c>
    </row>
    <row r="1487" spans="20:23" x14ac:dyDescent="0.3">
      <c r="T1487" s="278">
        <v>44477</v>
      </c>
      <c r="W1487" s="170">
        <v>18.789899999999999</v>
      </c>
    </row>
    <row r="1488" spans="20:23" x14ac:dyDescent="0.3">
      <c r="T1488" s="278">
        <v>44476</v>
      </c>
      <c r="W1488" s="170">
        <v>18.8215</v>
      </c>
    </row>
    <row r="1489" spans="20:23" x14ac:dyDescent="0.3">
      <c r="T1489" s="278">
        <v>44475</v>
      </c>
      <c r="W1489" s="170">
        <v>18.4819</v>
      </c>
    </row>
    <row r="1490" spans="20:23" x14ac:dyDescent="0.3">
      <c r="T1490" s="278">
        <v>44474</v>
      </c>
      <c r="W1490" s="170">
        <v>18.738099999999999</v>
      </c>
    </row>
    <row r="1491" spans="20:23" x14ac:dyDescent="0.3">
      <c r="T1491" s="278">
        <v>44473</v>
      </c>
      <c r="W1491" s="170">
        <v>18.610399999999998</v>
      </c>
    </row>
    <row r="1492" spans="20:23" x14ac:dyDescent="0.3">
      <c r="T1492" s="278">
        <v>44470</v>
      </c>
      <c r="W1492" s="170">
        <v>18.154699999999998</v>
      </c>
    </row>
    <row r="1493" spans="20:23" x14ac:dyDescent="0.3">
      <c r="T1493" s="278">
        <v>44469</v>
      </c>
      <c r="W1493" s="170">
        <v>18.397400000000001</v>
      </c>
    </row>
    <row r="1494" spans="20:23" x14ac:dyDescent="0.3">
      <c r="T1494" s="278">
        <v>44468</v>
      </c>
      <c r="W1494" s="170">
        <v>18.195</v>
      </c>
    </row>
    <row r="1495" spans="20:23" x14ac:dyDescent="0.3">
      <c r="T1495" s="278">
        <v>44467</v>
      </c>
      <c r="W1495" s="170">
        <v>18.297599999999999</v>
      </c>
    </row>
    <row r="1496" spans="20:23" x14ac:dyDescent="0.3">
      <c r="T1496" s="278">
        <v>44466</v>
      </c>
      <c r="W1496" s="170">
        <v>18.426200000000001</v>
      </c>
    </row>
    <row r="1497" spans="20:23" x14ac:dyDescent="0.3">
      <c r="T1497" s="278">
        <v>44463</v>
      </c>
      <c r="W1497" s="170">
        <v>18.520199999999999</v>
      </c>
    </row>
    <row r="1498" spans="20:23" x14ac:dyDescent="0.3">
      <c r="T1498" s="278">
        <v>44462</v>
      </c>
      <c r="W1498" s="170">
        <v>18.8964</v>
      </c>
    </row>
    <row r="1499" spans="20:23" x14ac:dyDescent="0.3">
      <c r="T1499" s="278">
        <v>44461</v>
      </c>
      <c r="W1499" s="170">
        <v>18.874300000000002</v>
      </c>
    </row>
    <row r="1500" spans="20:23" x14ac:dyDescent="0.3">
      <c r="T1500" s="278">
        <v>44460</v>
      </c>
      <c r="W1500" s="170">
        <v>18.62</v>
      </c>
    </row>
    <row r="1501" spans="20:23" x14ac:dyDescent="0.3">
      <c r="T1501" s="278">
        <v>44459</v>
      </c>
      <c r="W1501" s="170">
        <v>18.504899999999999</v>
      </c>
    </row>
    <row r="1502" spans="20:23" x14ac:dyDescent="0.3">
      <c r="T1502" s="278">
        <v>44456</v>
      </c>
      <c r="W1502" s="170">
        <v>20.176400000000001</v>
      </c>
    </row>
    <row r="1503" spans="20:23" x14ac:dyDescent="0.3">
      <c r="T1503" s="278">
        <v>44455</v>
      </c>
      <c r="W1503" s="170">
        <v>20.617799999999999</v>
      </c>
    </row>
    <row r="1504" spans="20:23" x14ac:dyDescent="0.3">
      <c r="T1504" s="278">
        <v>44454</v>
      </c>
      <c r="W1504" s="170">
        <v>21.084199999999999</v>
      </c>
    </row>
    <row r="1505" spans="20:23" x14ac:dyDescent="0.3">
      <c r="T1505" s="278">
        <v>44453</v>
      </c>
      <c r="W1505" s="170">
        <v>20.964200000000002</v>
      </c>
    </row>
    <row r="1506" spans="20:23" x14ac:dyDescent="0.3">
      <c r="T1506" s="278">
        <v>44452</v>
      </c>
      <c r="W1506" s="170">
        <v>20.572700000000001</v>
      </c>
    </row>
    <row r="1507" spans="20:23" x14ac:dyDescent="0.3">
      <c r="T1507" s="278">
        <v>44449</v>
      </c>
      <c r="W1507" s="170"/>
    </row>
    <row r="1508" spans="20:23" x14ac:dyDescent="0.3">
      <c r="T1508" s="278">
        <v>44448</v>
      </c>
      <c r="W1508" s="170">
        <v>20.1812</v>
      </c>
    </row>
    <row r="1509" spans="20:23" x14ac:dyDescent="0.3">
      <c r="T1509" s="278">
        <v>44447</v>
      </c>
      <c r="W1509" s="170">
        <v>19.3445</v>
      </c>
    </row>
    <row r="1510" spans="20:23" x14ac:dyDescent="0.3">
      <c r="T1510" s="278">
        <v>44446</v>
      </c>
      <c r="W1510" s="170">
        <v>19.309899999999999</v>
      </c>
    </row>
    <row r="1511" spans="20:23" x14ac:dyDescent="0.3">
      <c r="T1511" s="278">
        <v>44445</v>
      </c>
      <c r="W1511" s="170">
        <v>19.206299999999999</v>
      </c>
    </row>
    <row r="1512" spans="20:23" x14ac:dyDescent="0.3">
      <c r="T1512" s="278">
        <v>44442</v>
      </c>
      <c r="W1512" s="170">
        <v>19.255299999999998</v>
      </c>
    </row>
    <row r="1513" spans="20:23" x14ac:dyDescent="0.3">
      <c r="T1513" s="278">
        <v>44441</v>
      </c>
      <c r="W1513" s="170">
        <v>19.177499999999998</v>
      </c>
    </row>
    <row r="1514" spans="20:23" x14ac:dyDescent="0.3">
      <c r="T1514" s="278">
        <v>44440</v>
      </c>
      <c r="W1514" s="170">
        <v>19.0029</v>
      </c>
    </row>
    <row r="1515" spans="20:23" x14ac:dyDescent="0.3">
      <c r="T1515" s="278">
        <v>44439</v>
      </c>
      <c r="W1515" s="170">
        <v>19.410699999999999</v>
      </c>
    </row>
    <row r="1516" spans="20:23" x14ac:dyDescent="0.3">
      <c r="T1516" s="278">
        <v>44438</v>
      </c>
      <c r="W1516" s="170">
        <v>18.675699999999999</v>
      </c>
    </row>
    <row r="1517" spans="20:23" x14ac:dyDescent="0.3">
      <c r="T1517" s="278">
        <v>44435</v>
      </c>
      <c r="W1517" s="170">
        <v>18.197800000000001</v>
      </c>
    </row>
    <row r="1518" spans="20:23" x14ac:dyDescent="0.3">
      <c r="T1518" s="278">
        <v>44434</v>
      </c>
      <c r="W1518" s="170">
        <v>18.2544</v>
      </c>
    </row>
    <row r="1519" spans="20:23" x14ac:dyDescent="0.3">
      <c r="T1519" s="278">
        <v>44433</v>
      </c>
      <c r="W1519" s="170">
        <v>18.488600000000002</v>
      </c>
    </row>
    <row r="1520" spans="20:23" x14ac:dyDescent="0.3">
      <c r="T1520" s="278">
        <v>44432</v>
      </c>
      <c r="W1520" s="170">
        <v>18.0932</v>
      </c>
    </row>
    <row r="1521" spans="20:23" x14ac:dyDescent="0.3">
      <c r="T1521" s="278">
        <v>44431</v>
      </c>
      <c r="W1521" s="170">
        <v>17.933</v>
      </c>
    </row>
    <row r="1522" spans="20:23" x14ac:dyDescent="0.3">
      <c r="T1522" s="278">
        <v>44428</v>
      </c>
      <c r="W1522" s="170">
        <v>18.506799999999998</v>
      </c>
    </row>
    <row r="1523" spans="20:23" x14ac:dyDescent="0.3">
      <c r="T1523" s="278">
        <v>44427</v>
      </c>
      <c r="W1523" s="170"/>
    </row>
    <row r="1524" spans="20:23" x14ac:dyDescent="0.3">
      <c r="T1524" s="278">
        <v>44426</v>
      </c>
      <c r="W1524" s="170">
        <v>19.293600000000001</v>
      </c>
    </row>
    <row r="1525" spans="20:23" x14ac:dyDescent="0.3">
      <c r="T1525" s="278">
        <v>44425</v>
      </c>
      <c r="W1525" s="170">
        <v>19.4481</v>
      </c>
    </row>
    <row r="1526" spans="20:23" x14ac:dyDescent="0.3">
      <c r="T1526" s="278">
        <v>44424</v>
      </c>
      <c r="W1526" s="170">
        <v>19.278300000000002</v>
      </c>
    </row>
    <row r="1527" spans="20:23" x14ac:dyDescent="0.3">
      <c r="T1527" s="278">
        <v>44421</v>
      </c>
      <c r="W1527" s="170">
        <v>19.1967</v>
      </c>
    </row>
    <row r="1528" spans="20:23" x14ac:dyDescent="0.3">
      <c r="T1528" s="278">
        <v>44420</v>
      </c>
      <c r="W1528" s="170">
        <v>19.724499999999999</v>
      </c>
    </row>
    <row r="1529" spans="20:23" x14ac:dyDescent="0.3">
      <c r="T1529" s="278">
        <v>44419</v>
      </c>
      <c r="W1529" s="170">
        <v>18.470300000000002</v>
      </c>
    </row>
    <row r="1530" spans="20:23" x14ac:dyDescent="0.3">
      <c r="T1530" s="278">
        <v>44418</v>
      </c>
      <c r="W1530" s="170">
        <v>18.398399999999999</v>
      </c>
    </row>
    <row r="1531" spans="20:23" x14ac:dyDescent="0.3">
      <c r="T1531" s="278">
        <v>44417</v>
      </c>
      <c r="W1531" s="170">
        <v>19.022099999999998</v>
      </c>
    </row>
    <row r="1532" spans="20:23" x14ac:dyDescent="0.3">
      <c r="T1532" s="278">
        <v>44414</v>
      </c>
      <c r="W1532" s="170">
        <v>19.323399999999999</v>
      </c>
    </row>
    <row r="1533" spans="20:23" x14ac:dyDescent="0.3">
      <c r="T1533" s="278">
        <v>44413</v>
      </c>
      <c r="W1533" s="170">
        <v>19.389600000000002</v>
      </c>
    </row>
    <row r="1534" spans="20:23" x14ac:dyDescent="0.3">
      <c r="T1534" s="278">
        <v>44412</v>
      </c>
      <c r="W1534" s="170">
        <v>19.202500000000001</v>
      </c>
    </row>
    <row r="1535" spans="20:23" x14ac:dyDescent="0.3">
      <c r="T1535" s="278">
        <v>44411</v>
      </c>
      <c r="W1535" s="170">
        <v>20.016200000000001</v>
      </c>
    </row>
    <row r="1536" spans="20:23" x14ac:dyDescent="0.3">
      <c r="T1536" s="278">
        <v>44410</v>
      </c>
      <c r="W1536" s="170">
        <v>19.8828</v>
      </c>
    </row>
    <row r="1537" spans="20:23" x14ac:dyDescent="0.3">
      <c r="T1537" s="278">
        <v>44407</v>
      </c>
      <c r="W1537" s="170">
        <v>19.723500000000001</v>
      </c>
    </row>
    <row r="1538" spans="20:23" x14ac:dyDescent="0.3">
      <c r="T1538" s="278">
        <v>44406</v>
      </c>
      <c r="W1538" s="170">
        <v>19.950900000000001</v>
      </c>
    </row>
    <row r="1539" spans="20:23" x14ac:dyDescent="0.3">
      <c r="T1539" s="278">
        <v>44405</v>
      </c>
      <c r="W1539" s="170">
        <v>20.016200000000001</v>
      </c>
    </row>
    <row r="1540" spans="20:23" x14ac:dyDescent="0.3">
      <c r="T1540" s="278">
        <v>44404</v>
      </c>
      <c r="W1540" s="170">
        <v>17.883099999999999</v>
      </c>
    </row>
    <row r="1541" spans="20:23" x14ac:dyDescent="0.3">
      <c r="T1541" s="278">
        <v>44403</v>
      </c>
      <c r="W1541" s="170">
        <v>18.450199999999999</v>
      </c>
    </row>
    <row r="1542" spans="20:23" x14ac:dyDescent="0.3">
      <c r="T1542" s="278">
        <v>44400</v>
      </c>
      <c r="W1542" s="170">
        <v>18.5989</v>
      </c>
    </row>
    <row r="1543" spans="20:23" x14ac:dyDescent="0.3">
      <c r="T1543" s="278">
        <v>44399</v>
      </c>
      <c r="W1543" s="170">
        <v>19.2303</v>
      </c>
    </row>
    <row r="1544" spans="20:23" x14ac:dyDescent="0.3">
      <c r="T1544" s="278">
        <v>44398</v>
      </c>
      <c r="W1544" s="170"/>
    </row>
    <row r="1545" spans="20:23" x14ac:dyDescent="0.3">
      <c r="T1545" s="278">
        <v>44397</v>
      </c>
      <c r="W1545" s="170">
        <v>18.9895</v>
      </c>
    </row>
    <row r="1546" spans="20:23" x14ac:dyDescent="0.3">
      <c r="T1546" s="278">
        <v>44396</v>
      </c>
      <c r="W1546" s="170">
        <v>19.113199999999999</v>
      </c>
    </row>
    <row r="1547" spans="20:23" x14ac:dyDescent="0.3">
      <c r="T1547" s="278">
        <v>44393</v>
      </c>
      <c r="W1547" s="170">
        <v>18.633500000000002</v>
      </c>
    </row>
    <row r="1548" spans="20:23" x14ac:dyDescent="0.3">
      <c r="T1548" s="278">
        <v>44392</v>
      </c>
      <c r="W1548" s="170">
        <v>17.067499999999999</v>
      </c>
    </row>
    <row r="1549" spans="20:23" x14ac:dyDescent="0.3">
      <c r="T1549" s="278">
        <v>44391</v>
      </c>
      <c r="W1549" s="170">
        <v>16.948499999999999</v>
      </c>
    </row>
    <row r="1550" spans="20:23" x14ac:dyDescent="0.3">
      <c r="T1550" s="278">
        <v>44390</v>
      </c>
      <c r="W1550" s="170">
        <v>16.825700000000001</v>
      </c>
    </row>
    <row r="1551" spans="20:23" x14ac:dyDescent="0.3">
      <c r="T1551" s="278">
        <v>44389</v>
      </c>
      <c r="W1551" s="170">
        <v>16.965800000000002</v>
      </c>
    </row>
    <row r="1552" spans="20:23" x14ac:dyDescent="0.3">
      <c r="T1552" s="278">
        <v>44386</v>
      </c>
      <c r="W1552" s="170">
        <v>16.645299999999999</v>
      </c>
    </row>
    <row r="1553" spans="20:23" x14ac:dyDescent="0.3">
      <c r="T1553" s="278">
        <v>44385</v>
      </c>
      <c r="W1553" s="170">
        <v>16.707699999999999</v>
      </c>
    </row>
    <row r="1554" spans="20:23" x14ac:dyDescent="0.3">
      <c r="T1554" s="278">
        <v>44384</v>
      </c>
      <c r="W1554" s="170">
        <v>16.9955</v>
      </c>
    </row>
    <row r="1555" spans="20:23" x14ac:dyDescent="0.3">
      <c r="T1555" s="278">
        <v>44383</v>
      </c>
      <c r="W1555" s="170">
        <v>16.9207</v>
      </c>
    </row>
    <row r="1556" spans="20:23" x14ac:dyDescent="0.3">
      <c r="T1556" s="278">
        <v>44382</v>
      </c>
      <c r="W1556" s="170">
        <v>17.4772</v>
      </c>
    </row>
    <row r="1557" spans="20:23" x14ac:dyDescent="0.3">
      <c r="T1557" s="278">
        <v>44379</v>
      </c>
      <c r="W1557" s="170">
        <v>16.668299999999999</v>
      </c>
    </row>
    <row r="1558" spans="20:23" x14ac:dyDescent="0.3">
      <c r="T1558" s="278">
        <v>44378</v>
      </c>
      <c r="W1558" s="170">
        <v>16.628</v>
      </c>
    </row>
    <row r="1559" spans="20:23" x14ac:dyDescent="0.3">
      <c r="T1559" s="278">
        <v>44377</v>
      </c>
      <c r="W1559" s="170">
        <v>16.600200000000001</v>
      </c>
    </row>
    <row r="1560" spans="20:23" x14ac:dyDescent="0.3">
      <c r="T1560" s="278">
        <v>44376</v>
      </c>
      <c r="W1560" s="170">
        <v>16.962900000000001</v>
      </c>
    </row>
    <row r="1561" spans="20:23" x14ac:dyDescent="0.3">
      <c r="T1561" s="278">
        <v>44375</v>
      </c>
      <c r="W1561" s="170">
        <v>16.851600000000001</v>
      </c>
    </row>
    <row r="1562" spans="20:23" x14ac:dyDescent="0.3">
      <c r="T1562" s="278">
        <v>44372</v>
      </c>
      <c r="W1562" s="170">
        <v>16.704799999999999</v>
      </c>
    </row>
    <row r="1563" spans="20:23" x14ac:dyDescent="0.3">
      <c r="T1563" s="278">
        <v>44371</v>
      </c>
      <c r="W1563" s="170">
        <v>16.657800000000002</v>
      </c>
    </row>
    <row r="1564" spans="20:23" x14ac:dyDescent="0.3">
      <c r="T1564" s="278">
        <v>44370</v>
      </c>
      <c r="W1564" s="170">
        <v>17.0761</v>
      </c>
    </row>
    <row r="1565" spans="20:23" x14ac:dyDescent="0.3">
      <c r="T1565" s="278">
        <v>44369</v>
      </c>
      <c r="W1565" s="170">
        <v>16.559899999999999</v>
      </c>
    </row>
    <row r="1566" spans="20:23" x14ac:dyDescent="0.3">
      <c r="T1566" s="278">
        <v>44368</v>
      </c>
      <c r="W1566" s="170">
        <v>16.726800000000001</v>
      </c>
    </row>
    <row r="1567" spans="20:23" x14ac:dyDescent="0.3">
      <c r="T1567" s="278">
        <v>44365</v>
      </c>
      <c r="W1567" s="170">
        <v>16.313300000000002</v>
      </c>
    </row>
    <row r="1568" spans="20:23" x14ac:dyDescent="0.3">
      <c r="T1568" s="278">
        <v>44364</v>
      </c>
      <c r="W1568" s="170">
        <v>16.7316</v>
      </c>
    </row>
    <row r="1569" spans="20:23" x14ac:dyDescent="0.3">
      <c r="T1569" s="278">
        <v>44363</v>
      </c>
      <c r="W1569" s="170">
        <v>16.7288</v>
      </c>
    </row>
    <row r="1570" spans="20:23" x14ac:dyDescent="0.3">
      <c r="T1570" s="278">
        <v>44362</v>
      </c>
      <c r="W1570" s="170">
        <v>17.058800000000002</v>
      </c>
    </row>
    <row r="1571" spans="20:23" x14ac:dyDescent="0.3">
      <c r="T1571" s="278">
        <v>44361</v>
      </c>
      <c r="W1571" s="170">
        <v>16.911999999999999</v>
      </c>
    </row>
    <row r="1572" spans="20:23" x14ac:dyDescent="0.3">
      <c r="T1572" s="278">
        <v>44358</v>
      </c>
      <c r="W1572" s="170">
        <v>17.055</v>
      </c>
    </row>
    <row r="1573" spans="20:23" x14ac:dyDescent="0.3">
      <c r="T1573" s="278">
        <v>44357</v>
      </c>
      <c r="W1573" s="170">
        <v>17.285299999999999</v>
      </c>
    </row>
    <row r="1574" spans="20:23" x14ac:dyDescent="0.3">
      <c r="T1574" s="278">
        <v>44356</v>
      </c>
      <c r="W1574" s="170">
        <v>16.942699999999999</v>
      </c>
    </row>
    <row r="1575" spans="20:23" x14ac:dyDescent="0.3">
      <c r="T1575" s="278">
        <v>44355</v>
      </c>
      <c r="W1575" s="170">
        <v>17.185500000000001</v>
      </c>
    </row>
    <row r="1576" spans="20:23" x14ac:dyDescent="0.3">
      <c r="T1576" s="279">
        <v>44354</v>
      </c>
      <c r="U1576" s="144"/>
      <c r="V1576" s="144"/>
      <c r="W1576" s="126">
        <v>17.241199999999999</v>
      </c>
    </row>
  </sheetData>
  <mergeCells count="12">
    <mergeCell ref="AF155:AF156"/>
    <mergeCell ref="AI155:AI156"/>
    <mergeCell ref="N155:N156"/>
    <mergeCell ref="Q155:Q156"/>
    <mergeCell ref="B155:B156"/>
    <mergeCell ref="E155:E156"/>
    <mergeCell ref="H155:H156"/>
    <mergeCell ref="K155:K156"/>
    <mergeCell ref="T155:T156"/>
    <mergeCell ref="W155:W156"/>
    <mergeCell ref="Z155:Z156"/>
    <mergeCell ref="AC155:AC156"/>
  </mergeCells>
  <phoneticPr fontId="7" type="noConversion"/>
  <hyperlinks>
    <hyperlink ref="Q243" r:id="rId1" xr:uid="{DD258EAD-0E0E-4291-AE98-4D7E4F2E18E8}"/>
  </hyperlinks>
  <pageMargins left="0.7" right="0.7" top="0.75" bottom="0.75" header="0.3" footer="0.3"/>
  <pageSetup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60C4A-B757-4542-9713-F9CF73940C17}">
  <sheetPr>
    <tabColor rgb="FF8E1C2F"/>
  </sheetPr>
  <dimension ref="B1:AJ147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defaultColWidth="10.5546875" defaultRowHeight="13.8" outlineLevelCol="1" x14ac:dyDescent="0.3"/>
  <cols>
    <col min="1" max="1" width="2.6640625" style="12" customWidth="1"/>
    <col min="2" max="2" width="55.6640625" style="12" customWidth="1"/>
    <col min="3" max="4" width="10.6640625" style="12" hidden="1" customWidth="1" outlineLevel="1"/>
    <col min="5" max="5" width="10.6640625" style="12" customWidth="1" collapsed="1"/>
    <col min="6" max="7" width="10.6640625" style="12" hidden="1" customWidth="1" outlineLevel="1"/>
    <col min="8" max="8" width="10.6640625" style="12" customWidth="1" collapsed="1"/>
    <col min="9" max="10" width="10.6640625" style="12" hidden="1" customWidth="1" outlineLevel="1"/>
    <col min="11" max="11" width="10.6640625" style="12" customWidth="1" collapsed="1"/>
    <col min="12" max="13" width="10.6640625" style="12" hidden="1" customWidth="1" outlineLevel="1"/>
    <col min="14" max="14" width="10.6640625" style="12" customWidth="1" collapsed="1"/>
    <col min="15" max="16" width="10.6640625" style="12" hidden="1" customWidth="1" outlineLevel="1"/>
    <col min="17" max="17" width="10.6640625" style="12" customWidth="1" collapsed="1"/>
    <col min="18" max="19" width="10.6640625" style="12" hidden="1" customWidth="1" outlineLevel="1"/>
    <col min="20" max="20" width="10.6640625" style="12" customWidth="1" collapsed="1"/>
    <col min="21" max="22" width="10.6640625" style="12" hidden="1" customWidth="1" outlineLevel="1"/>
    <col min="23" max="23" width="10.6640625" style="12" customWidth="1" collapsed="1"/>
    <col min="24" max="25" width="10.6640625" style="12" hidden="1" customWidth="1" outlineLevel="1"/>
    <col min="26" max="26" width="10.6640625" style="12" customWidth="1" collapsed="1"/>
    <col min="27" max="28" width="10.6640625" style="12" hidden="1" customWidth="1" outlineLevel="1"/>
    <col min="29" max="29" width="10.6640625" style="12" customWidth="1" collapsed="1"/>
    <col min="30" max="31" width="10.6640625" style="12" hidden="1" customWidth="1" outlineLevel="1"/>
    <col min="32" max="32" width="10.6640625" style="12" customWidth="1" collapsed="1"/>
    <col min="33" max="34" width="10.6640625" style="12" hidden="1" customWidth="1" outlineLevel="1"/>
    <col min="35" max="35" width="10.6640625" style="12" customWidth="1" collapsed="1"/>
    <col min="36" max="51" width="10.6640625" style="12" customWidth="1"/>
    <col min="52" max="16384" width="10.5546875" style="12"/>
  </cols>
  <sheetData>
    <row r="1" spans="2:35" ht="12.9" customHeight="1" x14ac:dyDescent="0.3">
      <c r="B1" s="1" t="s">
        <v>83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2:35" ht="12.9" customHeight="1" x14ac:dyDescent="0.3">
      <c r="B2" s="12" t="s">
        <v>963</v>
      </c>
      <c r="C2" s="344" t="s">
        <v>161</v>
      </c>
      <c r="D2" s="344" t="s">
        <v>159</v>
      </c>
      <c r="E2" s="344" t="s">
        <v>160</v>
      </c>
      <c r="F2" s="344" t="s">
        <v>161</v>
      </c>
      <c r="G2" s="344" t="s">
        <v>159</v>
      </c>
      <c r="H2" s="344" t="s">
        <v>160</v>
      </c>
      <c r="I2" s="344" t="s">
        <v>161</v>
      </c>
      <c r="J2" s="344" t="s">
        <v>159</v>
      </c>
      <c r="K2" s="344" t="s">
        <v>160</v>
      </c>
      <c r="L2" s="344" t="s">
        <v>161</v>
      </c>
      <c r="M2" s="344" t="s">
        <v>159</v>
      </c>
      <c r="N2" s="344" t="s">
        <v>160</v>
      </c>
      <c r="O2" s="344" t="s">
        <v>161</v>
      </c>
      <c r="P2" s="344" t="s">
        <v>159</v>
      </c>
      <c r="Q2" s="344" t="s">
        <v>160</v>
      </c>
      <c r="R2" s="344" t="s">
        <v>161</v>
      </c>
      <c r="S2" s="344" t="s">
        <v>159</v>
      </c>
      <c r="T2" s="344" t="s">
        <v>160</v>
      </c>
      <c r="U2" s="345" t="s">
        <v>161</v>
      </c>
      <c r="V2" s="345" t="s">
        <v>159</v>
      </c>
      <c r="W2" s="345" t="s">
        <v>160</v>
      </c>
      <c r="X2" s="345" t="s">
        <v>161</v>
      </c>
      <c r="Y2" s="345" t="s">
        <v>159</v>
      </c>
      <c r="Z2" s="345" t="s">
        <v>160</v>
      </c>
      <c r="AA2" s="345" t="s">
        <v>161</v>
      </c>
      <c r="AB2" s="345" t="s">
        <v>159</v>
      </c>
      <c r="AC2" s="345" t="s">
        <v>160</v>
      </c>
      <c r="AD2" s="345" t="s">
        <v>161</v>
      </c>
      <c r="AE2" s="345" t="s">
        <v>159</v>
      </c>
      <c r="AF2" s="345" t="s">
        <v>160</v>
      </c>
      <c r="AG2" s="345" t="s">
        <v>161</v>
      </c>
      <c r="AH2" s="345" t="s">
        <v>159</v>
      </c>
      <c r="AI2" s="345" t="s">
        <v>160</v>
      </c>
    </row>
    <row r="3" spans="2:35" ht="12.9" customHeight="1" x14ac:dyDescent="0.3">
      <c r="B3" s="12" t="s">
        <v>114</v>
      </c>
      <c r="C3" s="346">
        <v>2021</v>
      </c>
      <c r="D3" s="346">
        <v>2021</v>
      </c>
      <c r="E3" s="346">
        <v>2021</v>
      </c>
      <c r="F3" s="347">
        <v>2022</v>
      </c>
      <c r="G3" s="347">
        <v>2022</v>
      </c>
      <c r="H3" s="347">
        <v>2022</v>
      </c>
      <c r="I3" s="348">
        <v>2023</v>
      </c>
      <c r="J3" s="348">
        <v>2023</v>
      </c>
      <c r="K3" s="348">
        <v>2023</v>
      </c>
      <c r="L3" s="348">
        <v>2024</v>
      </c>
      <c r="M3" s="348">
        <v>2024</v>
      </c>
      <c r="N3" s="348">
        <v>2024</v>
      </c>
      <c r="O3" s="348">
        <v>2025</v>
      </c>
      <c r="P3" s="348">
        <v>2025</v>
      </c>
      <c r="Q3" s="348">
        <v>2025</v>
      </c>
      <c r="R3" s="348">
        <v>2026</v>
      </c>
      <c r="S3" s="348">
        <v>2026</v>
      </c>
      <c r="T3" s="348">
        <v>2026</v>
      </c>
      <c r="U3" s="349" t="s">
        <v>162</v>
      </c>
      <c r="V3" s="349" t="s">
        <v>162</v>
      </c>
      <c r="W3" s="349" t="s">
        <v>162</v>
      </c>
      <c r="X3" s="349" t="s">
        <v>163</v>
      </c>
      <c r="Y3" s="349" t="s">
        <v>163</v>
      </c>
      <c r="Z3" s="349" t="s">
        <v>163</v>
      </c>
      <c r="AA3" s="349" t="s">
        <v>164</v>
      </c>
      <c r="AB3" s="349" t="s">
        <v>164</v>
      </c>
      <c r="AC3" s="349" t="s">
        <v>164</v>
      </c>
      <c r="AD3" s="349" t="s">
        <v>165</v>
      </c>
      <c r="AE3" s="349" t="s">
        <v>165</v>
      </c>
      <c r="AF3" s="349" t="s">
        <v>165</v>
      </c>
      <c r="AG3" s="349" t="s">
        <v>166</v>
      </c>
      <c r="AH3" s="349" t="s">
        <v>166</v>
      </c>
      <c r="AI3" s="349" t="s">
        <v>166</v>
      </c>
    </row>
    <row r="4" spans="2:35" ht="12.9" customHeight="1" x14ac:dyDescent="0.3">
      <c r="B4" s="7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6"/>
    </row>
    <row r="5" spans="2:35" s="360" customFormat="1" ht="12.9" customHeight="1" x14ac:dyDescent="0.3">
      <c r="B5" s="362" t="s">
        <v>644</v>
      </c>
      <c r="C5" s="363"/>
      <c r="D5" s="363"/>
      <c r="E5" s="363"/>
      <c r="F5" s="363"/>
      <c r="G5" s="363"/>
      <c r="H5" s="363"/>
      <c r="I5" s="363"/>
      <c r="J5" s="363"/>
      <c r="K5" s="363"/>
      <c r="L5" s="363"/>
      <c r="M5" s="363"/>
      <c r="N5" s="363"/>
      <c r="O5" s="363"/>
      <c r="P5" s="363"/>
      <c r="Q5" s="363"/>
      <c r="R5" s="363"/>
      <c r="S5" s="354"/>
    </row>
    <row r="6" spans="2:35" ht="12.9" customHeight="1" x14ac:dyDescent="0.3">
      <c r="B6" s="7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6"/>
    </row>
    <row r="7" spans="2:35" ht="12.9" customHeight="1" x14ac:dyDescent="0.3">
      <c r="B7" s="6" t="s">
        <v>138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6"/>
      <c r="R7" s="5"/>
      <c r="S7" s="6"/>
    </row>
    <row r="8" spans="2:35" ht="12.9" customHeight="1" x14ac:dyDescent="0.3">
      <c r="B8" s="354" t="s">
        <v>119</v>
      </c>
      <c r="C8" s="17"/>
      <c r="D8" s="17"/>
      <c r="E8" s="17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6"/>
    </row>
    <row r="9" spans="2:35" ht="12.9" customHeight="1" x14ac:dyDescent="0.3">
      <c r="B9" s="19" t="s">
        <v>139</v>
      </c>
      <c r="D9" s="21">
        <f t="shared" ref="D9:S9" si="0">C17</f>
        <v>0</v>
      </c>
      <c r="E9" s="21">
        <v>0</v>
      </c>
      <c r="F9" s="21">
        <f t="shared" si="0"/>
        <v>178.3</v>
      </c>
      <c r="G9" s="21">
        <f t="shared" si="0"/>
        <v>220.5</v>
      </c>
      <c r="H9" s="21">
        <f>E17</f>
        <v>178.3</v>
      </c>
      <c r="I9" s="21">
        <f t="shared" si="0"/>
        <v>295.2</v>
      </c>
      <c r="J9" s="21">
        <f t="shared" si="0"/>
        <v>367</v>
      </c>
      <c r="K9" s="21">
        <f>H17</f>
        <v>295.2</v>
      </c>
      <c r="L9" s="21">
        <f t="shared" si="0"/>
        <v>343.3</v>
      </c>
      <c r="M9" s="21">
        <f t="shared" si="0"/>
        <v>395</v>
      </c>
      <c r="N9" s="21">
        <f>K17</f>
        <v>343.3</v>
      </c>
      <c r="O9" s="21">
        <f t="shared" si="0"/>
        <v>573.6</v>
      </c>
      <c r="P9" s="21">
        <f t="shared" si="0"/>
        <v>394.3</v>
      </c>
      <c r="Q9" s="21">
        <f>N17</f>
        <v>573.6</v>
      </c>
      <c r="R9" s="21">
        <f t="shared" si="0"/>
        <v>404.8</v>
      </c>
      <c r="S9" s="21">
        <f t="shared" si="0"/>
        <v>279.7</v>
      </c>
      <c r="T9" s="21">
        <f>Q17</f>
        <v>404.8</v>
      </c>
      <c r="U9" s="21">
        <f t="shared" ref="U9:AH9" si="1">T17</f>
        <v>363.5</v>
      </c>
      <c r="V9" s="21">
        <f t="shared" si="1"/>
        <v>265.26499999999999</v>
      </c>
      <c r="W9" s="21">
        <f>T17</f>
        <v>363.5</v>
      </c>
      <c r="X9" s="21">
        <f t="shared" si="1"/>
        <v>341.63855000000012</v>
      </c>
      <c r="Y9" s="21">
        <f t="shared" si="1"/>
        <v>224.87627500000008</v>
      </c>
      <c r="Z9" s="21">
        <f>W17</f>
        <v>341.63855000000012</v>
      </c>
      <c r="AA9" s="21">
        <f t="shared" si="1"/>
        <v>275.82939750000003</v>
      </c>
      <c r="AB9" s="21">
        <f t="shared" si="1"/>
        <v>181.68422287499999</v>
      </c>
      <c r="AC9" s="21">
        <f>Z17</f>
        <v>275.82939750000003</v>
      </c>
      <c r="AD9" s="21">
        <f t="shared" si="1"/>
        <v>248.46212721375002</v>
      </c>
      <c r="AE9" s="21">
        <f t="shared" si="1"/>
        <v>154.73791280549997</v>
      </c>
      <c r="AF9" s="21">
        <f>AC17</f>
        <v>248.46212721375002</v>
      </c>
      <c r="AG9" s="21">
        <f t="shared" si="1"/>
        <v>226.18381290779996</v>
      </c>
      <c r="AH9" s="21">
        <f t="shared" si="1"/>
        <v>131.58173098972992</v>
      </c>
      <c r="AI9" s="21">
        <f>AF17</f>
        <v>226.18381290779996</v>
      </c>
    </row>
    <row r="10" spans="2:35" ht="12.9" customHeight="1" x14ac:dyDescent="0.3">
      <c r="B10" s="37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31"/>
      <c r="O10" s="19"/>
      <c r="P10" s="19"/>
      <c r="Q10" s="31"/>
      <c r="R10" s="19"/>
      <c r="S10" s="19"/>
    </row>
    <row r="11" spans="2:35" ht="12.9" customHeight="1" x14ac:dyDescent="0.3">
      <c r="B11" s="37" t="s">
        <v>142</v>
      </c>
      <c r="C11" s="19"/>
      <c r="D11" s="31">
        <f t="shared" ref="D11:S11" si="2">D17-D9+D14</f>
        <v>178.3</v>
      </c>
      <c r="E11" s="31">
        <f t="shared" si="2"/>
        <v>178.3</v>
      </c>
      <c r="F11" s="31">
        <f t="shared" si="2"/>
        <v>130.19999999999999</v>
      </c>
      <c r="G11" s="31">
        <f t="shared" si="2"/>
        <v>182.29999999999998</v>
      </c>
      <c r="H11" s="31">
        <f t="shared" si="2"/>
        <v>312.5</v>
      </c>
      <c r="I11" s="31">
        <f t="shared" si="2"/>
        <v>187.5</v>
      </c>
      <c r="J11" s="31">
        <f t="shared" si="2"/>
        <v>166.40000000000003</v>
      </c>
      <c r="K11" s="31">
        <f t="shared" si="2"/>
        <v>353.90000000000003</v>
      </c>
      <c r="L11" s="31">
        <f t="shared" si="2"/>
        <v>156.6</v>
      </c>
      <c r="M11" s="31">
        <f t="shared" si="2"/>
        <v>461.30000000000007</v>
      </c>
      <c r="N11" s="31">
        <f t="shared" si="2"/>
        <v>617.90000000000009</v>
      </c>
      <c r="O11" s="31">
        <f t="shared" si="2"/>
        <v>63.699999999999989</v>
      </c>
      <c r="P11" s="31">
        <f t="shared" si="2"/>
        <v>235.10000000000002</v>
      </c>
      <c r="Q11" s="31">
        <f t="shared" si="2"/>
        <v>298.8</v>
      </c>
      <c r="R11" s="31">
        <f t="shared" si="2"/>
        <v>109.69999999999999</v>
      </c>
      <c r="S11" s="31">
        <f t="shared" si="2"/>
        <v>292.2</v>
      </c>
      <c r="T11" s="31">
        <f>R11+S11</f>
        <v>401.9</v>
      </c>
      <c r="U11" s="31">
        <f>AVERAGE(MAX(L11,0),MAX(O11,0),MAX(R11,0))*(1+U12)</f>
        <v>118.80000000000001</v>
      </c>
      <c r="V11" s="31">
        <f>AVERAGE(MAX(M11,0),MAX(P11,0),MAX(S11,0))*(1+V12)</f>
        <v>355.89600000000007</v>
      </c>
      <c r="W11" s="31">
        <f>U11+V11</f>
        <v>474.69600000000008</v>
      </c>
      <c r="X11" s="31">
        <f>AVERAGE(MAX(O11,0),MAX(R11,0),MAX(U11,0))*(1+X12)</f>
        <v>108.114</v>
      </c>
      <c r="Y11" s="31">
        <f>AVERAGE(MAX(P11,0),MAX(S11,0),MAX(V11,0))*(1+Y12)</f>
        <v>326.78252000000003</v>
      </c>
      <c r="Z11" s="31">
        <f>X11+Y11</f>
        <v>434.89652000000001</v>
      </c>
      <c r="AA11" s="31">
        <f>AVERAGE(MAX(R11,0),MAX(U11,0),MAX(X11,0))*(1+AA12)</f>
        <v>127.91332000000003</v>
      </c>
      <c r="AB11" s="31">
        <f>AVERAGE(MAX(S11,0),MAX(V11,0),MAX(Y11,0))*(1+AB12)</f>
        <v>370.45383759999999</v>
      </c>
      <c r="AC11" s="31">
        <f>AA11+AB11</f>
        <v>498.36715760000004</v>
      </c>
      <c r="AD11" s="31">
        <f>AVERAGE(MAX(U11,0),MAX(X11,0),MAX(AA11,0))*(1+AD12)</f>
        <v>138.38265480000001</v>
      </c>
      <c r="AE11" s="31">
        <f>AVERAGE(MAX(V11,0),MAX(Y11,0),MAX(AB11,0))*(1+AE12)</f>
        <v>410.72161946400007</v>
      </c>
      <c r="AF11" s="31">
        <f>AD11+AE11</f>
        <v>549.10427426400008</v>
      </c>
      <c r="AG11" s="31">
        <f>AVERAGE(MAX(X11,0),MAX(AA11,0),MAX(AD11,0))*(1+AG12)</f>
        <v>149.76398992</v>
      </c>
      <c r="AH11" s="31">
        <f>AVERAGE(MAX(Y11,0),MAX(AB11,0),MAX(AE11,0))*(1+AH12)</f>
        <v>443.18319082559998</v>
      </c>
      <c r="AI11" s="31">
        <f>AG11+AH11</f>
        <v>592.94718074560001</v>
      </c>
    </row>
    <row r="12" spans="2:35" ht="12.9" customHeight="1" x14ac:dyDescent="0.3">
      <c r="B12" s="37" t="s">
        <v>130</v>
      </c>
      <c r="C12" s="19"/>
      <c r="D12" s="19"/>
      <c r="E12" s="19"/>
      <c r="F12" s="33"/>
      <c r="G12" s="33">
        <f>(G11-D11)/D11</f>
        <v>2.2434099831744089E-2</v>
      </c>
      <c r="H12" s="33">
        <f t="shared" ref="H12" si="3">(H11-E11)/E11</f>
        <v>0.75266404935501952</v>
      </c>
      <c r="I12" s="33">
        <f t="shared" ref="I12" si="4">(I11-F11)/F11</f>
        <v>0.44009216589861766</v>
      </c>
      <c r="J12" s="33">
        <f t="shared" ref="J12" si="5">(J11-G11)/G11</f>
        <v>-8.7218869994514267E-2</v>
      </c>
      <c r="K12" s="33">
        <f t="shared" ref="K12" si="6">(K11-H11)/H11</f>
        <v>0.1324800000000001</v>
      </c>
      <c r="L12" s="33">
        <f t="shared" ref="L12" si="7">(L11-I11)/I11</f>
        <v>-0.16480000000000003</v>
      </c>
      <c r="M12" s="33">
        <f t="shared" ref="M12" si="8">(M11-J11)/J11</f>
        <v>1.7722355769230769</v>
      </c>
      <c r="N12" s="33">
        <f t="shared" ref="N12" si="9">(N11-K11)/K11</f>
        <v>0.74597343882452682</v>
      </c>
      <c r="O12" s="33">
        <f t="shared" ref="O12" si="10">(O11-L11)/L11</f>
        <v>-0.59323116219667948</v>
      </c>
      <c r="P12" s="33">
        <f t="shared" ref="P12" si="11">(P11-M11)/M11</f>
        <v>-0.49035334923043578</v>
      </c>
      <c r="Q12" s="33">
        <f t="shared" ref="Q12" si="12">(Q11-N11)/N11</f>
        <v>-0.51642660624696557</v>
      </c>
      <c r="R12" s="33">
        <f t="shared" ref="R12:T12" si="13">(R11-O11)/O11</f>
        <v>0.72213500784929374</v>
      </c>
      <c r="S12" s="33">
        <f t="shared" si="13"/>
        <v>0.24287537218205002</v>
      </c>
      <c r="T12" s="33">
        <f t="shared" si="13"/>
        <v>0.34504685408299851</v>
      </c>
      <c r="U12" s="73">
        <v>0.08</v>
      </c>
      <c r="V12" s="73">
        <f>U12</f>
        <v>0.08</v>
      </c>
      <c r="W12" s="33">
        <f t="shared" ref="W12" si="14">(W11-T11)/T11</f>
        <v>0.18112963423737274</v>
      </c>
      <c r="X12" s="73">
        <f>V12+3%</f>
        <v>0.11</v>
      </c>
      <c r="Y12" s="73">
        <f>X12</f>
        <v>0.11</v>
      </c>
      <c r="Z12" s="33">
        <f t="shared" ref="Z12" si="15">(Z11-W11)/W11</f>
        <v>-8.3842037851593582E-2</v>
      </c>
      <c r="AA12" s="73">
        <f>Y12+3%</f>
        <v>0.14000000000000001</v>
      </c>
      <c r="AB12" s="73">
        <f>AA12</f>
        <v>0.14000000000000001</v>
      </c>
      <c r="AC12" s="33">
        <f t="shared" ref="AC12" si="16">(AC11-Z11)/Z11</f>
        <v>0.14594422967560197</v>
      </c>
      <c r="AD12" s="73">
        <f>AB12+3%</f>
        <v>0.17</v>
      </c>
      <c r="AE12" s="73">
        <f>AD12</f>
        <v>0.17</v>
      </c>
      <c r="AF12" s="33">
        <f t="shared" ref="AF12" si="17">(AF11-AC11)/AC11</f>
        <v>0.10180670192702128</v>
      </c>
      <c r="AG12" s="73">
        <f>AE12+3%</f>
        <v>0.2</v>
      </c>
      <c r="AH12" s="73">
        <f>AG12</f>
        <v>0.2</v>
      </c>
      <c r="AI12" s="33">
        <f t="shared" ref="AI12" si="18">(AI11-AF11)/AF11</f>
        <v>7.9844409407239456E-2</v>
      </c>
    </row>
    <row r="13" spans="2:35" ht="12.9" customHeight="1" x14ac:dyDescent="0.3">
      <c r="B13" s="37"/>
      <c r="C13" s="17"/>
      <c r="D13" s="42"/>
      <c r="E13" s="42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5"/>
      <c r="S13" s="43"/>
    </row>
    <row r="14" spans="2:35" ht="12.9" customHeight="1" x14ac:dyDescent="0.3">
      <c r="B14" s="37" t="s">
        <v>140</v>
      </c>
      <c r="C14" s="66"/>
      <c r="D14" s="66">
        <f>E14-C14</f>
        <v>0</v>
      </c>
      <c r="E14" s="66"/>
      <c r="F14" s="66">
        <v>88</v>
      </c>
      <c r="G14" s="12">
        <f>H14-F14</f>
        <v>107.6</v>
      </c>
      <c r="H14" s="66">
        <v>195.6</v>
      </c>
      <c r="I14" s="66">
        <v>115.7</v>
      </c>
      <c r="J14" s="12">
        <f>K14-I14</f>
        <v>190.10000000000002</v>
      </c>
      <c r="K14" s="66">
        <v>305.8</v>
      </c>
      <c r="L14" s="66">
        <v>104.9</v>
      </c>
      <c r="M14" s="12">
        <f>N14-L14</f>
        <v>282.70000000000005</v>
      </c>
      <c r="N14" s="66">
        <v>387.6</v>
      </c>
      <c r="O14" s="66">
        <v>243</v>
      </c>
      <c r="P14" s="12">
        <f>Q14-O14</f>
        <v>224.60000000000002</v>
      </c>
      <c r="Q14" s="66">
        <v>467.6</v>
      </c>
      <c r="R14" s="66">
        <v>234.8</v>
      </c>
      <c r="S14" s="12">
        <f>T14-R14</f>
        <v>208.39999999999998</v>
      </c>
      <c r="T14" s="66">
        <v>443.2</v>
      </c>
      <c r="U14" s="21">
        <f>U15*(U9+U11)</f>
        <v>217.035</v>
      </c>
      <c r="V14" s="21">
        <f>V15*(V9+V11)</f>
        <v>279.52245000000005</v>
      </c>
      <c r="W14" s="21">
        <f>U14+V14</f>
        <v>496.55745000000002</v>
      </c>
      <c r="X14" s="21">
        <f>X15*(X9+X11)</f>
        <v>224.87627500000008</v>
      </c>
      <c r="Y14" s="21">
        <f>Y15*(Y9+Y11)</f>
        <v>275.82939750000003</v>
      </c>
      <c r="Z14" s="21">
        <f>X14+Y14</f>
        <v>500.70567250000011</v>
      </c>
      <c r="AA14" s="21">
        <f>AA15*(AA9+AA11)</f>
        <v>222.05849462500004</v>
      </c>
      <c r="AB14" s="21">
        <f>AB15*(AB9+AB11)</f>
        <v>303.67593326125001</v>
      </c>
      <c r="AC14" s="21">
        <f>AA14+AB14</f>
        <v>525.73442788625005</v>
      </c>
      <c r="AD14" s="21">
        <f>AD15*(AD9+AD11)</f>
        <v>232.10686920825006</v>
      </c>
      <c r="AE14" s="21">
        <f>AE15*(AE9+AE11)</f>
        <v>339.27571936170011</v>
      </c>
      <c r="AF14" s="21">
        <f>AD14+AE14</f>
        <v>571.38258856995014</v>
      </c>
      <c r="AG14" s="21">
        <f>AG15*(AG9+AG11)</f>
        <v>244.36607183807001</v>
      </c>
      <c r="AH14" s="21">
        <f>AH15*(AH9+AH11)</f>
        <v>373.59719917996449</v>
      </c>
      <c r="AI14" s="21">
        <f>AG14+AH14</f>
        <v>617.96327101803445</v>
      </c>
    </row>
    <row r="15" spans="2:35" ht="12.9" customHeight="1" x14ac:dyDescent="0.3">
      <c r="B15" s="38" t="s">
        <v>135</v>
      </c>
      <c r="C15" s="19"/>
      <c r="D15" s="19">
        <f t="shared" ref="D15:T15" si="19">D14/(D9+D11)</f>
        <v>0</v>
      </c>
      <c r="E15" s="19">
        <f t="shared" si="19"/>
        <v>0</v>
      </c>
      <c r="F15" s="19">
        <f t="shared" si="19"/>
        <v>0.28525121555915722</v>
      </c>
      <c r="G15" s="19">
        <f t="shared" si="19"/>
        <v>0.26713008937437938</v>
      </c>
      <c r="H15" s="19">
        <f t="shared" si="19"/>
        <v>0.39853300733496333</v>
      </c>
      <c r="I15" s="19">
        <f t="shared" si="19"/>
        <v>0.23969339134037707</v>
      </c>
      <c r="J15" s="19">
        <f t="shared" si="19"/>
        <v>0.35639295088113981</v>
      </c>
      <c r="K15" s="19">
        <f t="shared" si="19"/>
        <v>0.47111384994607919</v>
      </c>
      <c r="L15" s="19">
        <f t="shared" si="19"/>
        <v>0.20984196839367875</v>
      </c>
      <c r="M15" s="19">
        <f t="shared" si="19"/>
        <v>0.33014130561719024</v>
      </c>
      <c r="N15" s="19">
        <f t="shared" si="19"/>
        <v>0.40324594257178525</v>
      </c>
      <c r="O15" s="19">
        <f t="shared" si="19"/>
        <v>0.38129609289188771</v>
      </c>
      <c r="P15" s="19">
        <f t="shared" si="19"/>
        <v>0.35684779154750557</v>
      </c>
      <c r="Q15" s="19">
        <f t="shared" si="19"/>
        <v>0.53599266391563505</v>
      </c>
      <c r="R15" s="19">
        <f t="shared" si="19"/>
        <v>0.45636540330417885</v>
      </c>
      <c r="S15" s="19">
        <f t="shared" si="19"/>
        <v>0.36439937051932153</v>
      </c>
      <c r="T15" s="19">
        <f t="shared" si="19"/>
        <v>0.54939878517416629</v>
      </c>
      <c r="U15" s="73">
        <v>0.45</v>
      </c>
      <c r="V15" s="73">
        <f>U15</f>
        <v>0.45</v>
      </c>
      <c r="W15" s="19">
        <f>W14/(W9+W11)</f>
        <v>0.59241209693198238</v>
      </c>
      <c r="X15" s="73">
        <f>V15+5%</f>
        <v>0.5</v>
      </c>
      <c r="Y15" s="73">
        <f>X15</f>
        <v>0.5</v>
      </c>
      <c r="Z15" s="19">
        <f>Z14/(Z9+Z11)</f>
        <v>0.64479466780553774</v>
      </c>
      <c r="AA15" s="73">
        <f>Y15+5%</f>
        <v>0.55000000000000004</v>
      </c>
      <c r="AB15" s="73">
        <f>AA15</f>
        <v>0.55000000000000004</v>
      </c>
      <c r="AC15" s="19">
        <f>AC14/(AC9+AC11)</f>
        <v>0.679070998731508</v>
      </c>
      <c r="AD15" s="73">
        <f>AB15+5%</f>
        <v>0.60000000000000009</v>
      </c>
      <c r="AE15" s="73">
        <f>AD15</f>
        <v>0.60000000000000009</v>
      </c>
      <c r="AF15" s="19">
        <f>AF14/(AF9+AF11)</f>
        <v>0.71640754614447</v>
      </c>
      <c r="AG15" s="73">
        <f>AE15+5%</f>
        <v>0.65000000000000013</v>
      </c>
      <c r="AH15" s="73">
        <f>AG15</f>
        <v>0.65000000000000013</v>
      </c>
      <c r="AI15" s="19">
        <f>AI14/(AI9+AI11)</f>
        <v>0.7544132450194091</v>
      </c>
    </row>
    <row r="16" spans="2:35" ht="12.9" customHeight="1" x14ac:dyDescent="0.3">
      <c r="B16" s="37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</row>
    <row r="17" spans="2:35" ht="12.9" customHeight="1" x14ac:dyDescent="0.3">
      <c r="B17" s="37" t="s">
        <v>141</v>
      </c>
      <c r="D17" s="20">
        <f t="shared" ref="D17" si="20">E17</f>
        <v>178.3</v>
      </c>
      <c r="E17" s="66">
        <v>178.3</v>
      </c>
      <c r="F17" s="66">
        <v>220.5</v>
      </c>
      <c r="G17" s="20">
        <f t="shared" ref="G17" si="21">H17</f>
        <v>295.2</v>
      </c>
      <c r="H17" s="66">
        <v>295.2</v>
      </c>
      <c r="I17" s="66">
        <v>367</v>
      </c>
      <c r="J17" s="20">
        <f t="shared" ref="J17" si="22">K17</f>
        <v>343.3</v>
      </c>
      <c r="K17" s="66">
        <v>343.3</v>
      </c>
      <c r="L17" s="66">
        <v>395</v>
      </c>
      <c r="M17" s="20">
        <f t="shared" ref="M17" si="23">N17</f>
        <v>573.6</v>
      </c>
      <c r="N17" s="66">
        <v>573.6</v>
      </c>
      <c r="O17" s="66">
        <v>394.3</v>
      </c>
      <c r="P17" s="20">
        <f>Q17</f>
        <v>404.8</v>
      </c>
      <c r="Q17" s="66">
        <v>404.8</v>
      </c>
      <c r="R17" s="66">
        <v>279.7</v>
      </c>
      <c r="S17" s="20">
        <f>T17</f>
        <v>363.5</v>
      </c>
      <c r="T17" s="66">
        <v>363.5</v>
      </c>
      <c r="U17" s="31">
        <f t="shared" ref="U17:AI17" si="24">U9+U11-U14</f>
        <v>265.26499999999999</v>
      </c>
      <c r="V17" s="31">
        <f t="shared" si="24"/>
        <v>341.63855000000001</v>
      </c>
      <c r="W17" s="31">
        <f t="shared" si="24"/>
        <v>341.63855000000012</v>
      </c>
      <c r="X17" s="31">
        <f t="shared" si="24"/>
        <v>224.87627500000008</v>
      </c>
      <c r="Y17" s="31">
        <f t="shared" si="24"/>
        <v>275.82939750000003</v>
      </c>
      <c r="Z17" s="31">
        <f t="shared" si="24"/>
        <v>275.82939750000003</v>
      </c>
      <c r="AA17" s="31">
        <f t="shared" si="24"/>
        <v>181.68422287499999</v>
      </c>
      <c r="AB17" s="31">
        <f t="shared" si="24"/>
        <v>248.46212721374997</v>
      </c>
      <c r="AC17" s="31">
        <f t="shared" si="24"/>
        <v>248.46212721375002</v>
      </c>
      <c r="AD17" s="31">
        <f t="shared" si="24"/>
        <v>154.73791280549997</v>
      </c>
      <c r="AE17" s="31">
        <f t="shared" si="24"/>
        <v>226.18381290779996</v>
      </c>
      <c r="AF17" s="31">
        <f t="shared" si="24"/>
        <v>226.18381290779996</v>
      </c>
      <c r="AG17" s="31">
        <f t="shared" si="24"/>
        <v>131.58173098972992</v>
      </c>
      <c r="AH17" s="31">
        <f t="shared" si="24"/>
        <v>201.16772263536541</v>
      </c>
      <c r="AI17" s="31">
        <f t="shared" si="24"/>
        <v>201.16772263536552</v>
      </c>
    </row>
    <row r="18" spans="2:35" ht="12.9" customHeight="1" x14ac:dyDescent="0.3">
      <c r="B18" s="37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</row>
    <row r="19" spans="2:35" ht="12.9" customHeight="1" x14ac:dyDescent="0.3">
      <c r="B19" s="37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</row>
    <row r="20" spans="2:35" ht="12.9" customHeight="1" x14ac:dyDescent="0.3">
      <c r="B20" s="354" t="s">
        <v>120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</row>
    <row r="21" spans="2:35" ht="12.9" customHeight="1" x14ac:dyDescent="0.3">
      <c r="B21" s="19" t="s">
        <v>139</v>
      </c>
      <c r="D21" s="21">
        <f t="shared" ref="D21:S21" si="25">C29</f>
        <v>0</v>
      </c>
      <c r="E21" s="21"/>
      <c r="F21" s="21">
        <f t="shared" si="25"/>
        <v>56.8</v>
      </c>
      <c r="G21" s="21">
        <f t="shared" si="25"/>
        <v>48.4</v>
      </c>
      <c r="H21" s="21">
        <f>E29</f>
        <v>56.8</v>
      </c>
      <c r="I21" s="21">
        <f t="shared" si="25"/>
        <v>63.3</v>
      </c>
      <c r="J21" s="21">
        <f t="shared" si="25"/>
        <v>72</v>
      </c>
      <c r="K21" s="21">
        <f>H29</f>
        <v>63.3</v>
      </c>
      <c r="L21" s="21">
        <f t="shared" si="25"/>
        <v>89.5</v>
      </c>
      <c r="M21" s="21">
        <f t="shared" si="25"/>
        <v>209</v>
      </c>
      <c r="N21" s="21">
        <f>K29</f>
        <v>89.5</v>
      </c>
      <c r="O21" s="21">
        <f t="shared" si="25"/>
        <v>98.3</v>
      </c>
      <c r="P21" s="21">
        <f t="shared" si="25"/>
        <v>324.3</v>
      </c>
      <c r="Q21" s="21">
        <f>N29</f>
        <v>98.3</v>
      </c>
      <c r="R21" s="21">
        <f t="shared" si="25"/>
        <v>234.3</v>
      </c>
      <c r="S21" s="21">
        <f t="shared" si="25"/>
        <v>180.5</v>
      </c>
      <c r="T21" s="21">
        <f>Q29</f>
        <v>234.3</v>
      </c>
      <c r="U21" s="21">
        <f t="shared" ref="U21:AH21" si="26">T29</f>
        <v>272.5</v>
      </c>
      <c r="V21" s="21">
        <f t="shared" si="26"/>
        <v>328.1029793608522</v>
      </c>
      <c r="W21" s="21">
        <f>T29</f>
        <v>272.5</v>
      </c>
      <c r="X21" s="21">
        <f t="shared" si="26"/>
        <v>298.94291888592988</v>
      </c>
      <c r="Y21" s="21">
        <f t="shared" si="26"/>
        <v>322.60575765645808</v>
      </c>
      <c r="Z21" s="21">
        <f>W29</f>
        <v>298.94291888592988</v>
      </c>
      <c r="AA21" s="21">
        <f t="shared" si="26"/>
        <v>284.40720459387484</v>
      </c>
      <c r="AB21" s="21">
        <f t="shared" si="26"/>
        <v>265.44197470317357</v>
      </c>
      <c r="AC21" s="21">
        <f>Z29</f>
        <v>284.40720459387484</v>
      </c>
      <c r="AD21" s="21">
        <f t="shared" si="26"/>
        <v>248.88159499047561</v>
      </c>
      <c r="AE21" s="21">
        <f t="shared" si="26"/>
        <v>240.38122166000886</v>
      </c>
      <c r="AF21" s="21">
        <f>AC29</f>
        <v>248.88159499047561</v>
      </c>
      <c r="AG21" s="21">
        <f t="shared" si="26"/>
        <v>195.90755371029991</v>
      </c>
      <c r="AH21" s="21">
        <f t="shared" si="26"/>
        <v>196.92372150782063</v>
      </c>
      <c r="AI21" s="21">
        <f>AF29</f>
        <v>195.90755371029991</v>
      </c>
    </row>
    <row r="22" spans="2:35" ht="12.9" customHeight="1" x14ac:dyDescent="0.3">
      <c r="B22" s="37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</row>
    <row r="23" spans="2:35" ht="12.9" customHeight="1" x14ac:dyDescent="0.3">
      <c r="B23" s="37" t="s">
        <v>142</v>
      </c>
      <c r="C23" s="31">
        <f t="shared" ref="C23:S23" si="27">C29-C21+C26</f>
        <v>0</v>
      </c>
      <c r="D23" s="31">
        <f t="shared" si="27"/>
        <v>56.8</v>
      </c>
      <c r="E23" s="31">
        <f t="shared" si="27"/>
        <v>56.8</v>
      </c>
      <c r="F23" s="31">
        <f t="shared" si="27"/>
        <v>34.4</v>
      </c>
      <c r="G23" s="31">
        <f t="shared" si="27"/>
        <v>25.300000000000004</v>
      </c>
      <c r="H23" s="31">
        <f t="shared" si="27"/>
        <v>59.7</v>
      </c>
      <c r="I23" s="31">
        <f t="shared" si="27"/>
        <v>37.900000000000006</v>
      </c>
      <c r="J23" s="31">
        <f t="shared" si="27"/>
        <v>32.799999999999997</v>
      </c>
      <c r="K23" s="31">
        <f t="shared" si="27"/>
        <v>70.7</v>
      </c>
      <c r="L23" s="31">
        <f t="shared" si="27"/>
        <v>136.62450066577895</v>
      </c>
      <c r="M23" s="31">
        <f t="shared" si="27"/>
        <v>-56.32450066577897</v>
      </c>
      <c r="N23" s="31">
        <f t="shared" si="27"/>
        <v>80.3</v>
      </c>
      <c r="O23" s="31">
        <f t="shared" si="27"/>
        <v>259.3</v>
      </c>
      <c r="P23" s="31">
        <f t="shared" si="27"/>
        <v>7.2000000000000028</v>
      </c>
      <c r="Q23" s="31">
        <f t="shared" si="27"/>
        <v>266.5</v>
      </c>
      <c r="R23" s="31">
        <f t="shared" si="27"/>
        <v>75</v>
      </c>
      <c r="S23" s="31">
        <f t="shared" si="27"/>
        <v>230.3</v>
      </c>
      <c r="T23" s="31">
        <f>R23+S23</f>
        <v>305.3</v>
      </c>
      <c r="U23" s="31">
        <f>AVERAGE(MAX(L23,0),MAX(O23,0),MAX(R23,0))*(1+U24)</f>
        <v>196.21854194407459</v>
      </c>
      <c r="V23" s="31">
        <f>AVERAGE(MAX(M23,0),MAX(P23,0),MAX(S23,0))*(1+V24)</f>
        <v>98.958333333333343</v>
      </c>
      <c r="W23" s="31">
        <f>U23+V23</f>
        <v>295.17687527740793</v>
      </c>
      <c r="X23" s="31">
        <f>AVERAGE(MAX(O23,0),MAX(R23,0),MAX(U23,0))*(1+X24)</f>
        <v>238.73334387483359</v>
      </c>
      <c r="Y23" s="31">
        <f>AVERAGE(MAX(P23,0),MAX(S23,0),MAX(V23,0))*(1+Y24)</f>
        <v>151.40625000000003</v>
      </c>
      <c r="Z23" s="31">
        <f>X23+Y23</f>
        <v>390.13959387483362</v>
      </c>
      <c r="AA23" s="31">
        <f>AVERAGE(MAX(R23,0),MAX(U23,0),MAX(X23,0))*(1+AA24)</f>
        <v>246.47674481247228</v>
      </c>
      <c r="AB23" s="31">
        <f>AVERAGE(MAX(S23,0),MAX(V23,0),MAX(Y23,0))*(1+AB24)</f>
        <v>232.32121527777775</v>
      </c>
      <c r="AC23" s="31">
        <f>AA23+AB23</f>
        <v>478.79796009025006</v>
      </c>
      <c r="AD23" s="31">
        <f>AVERAGE(MAX(U23,0),MAX(X23,0),MAX(AA23,0))*(1+AD24)</f>
        <v>352.07145915954652</v>
      </c>
      <c r="AE23" s="31">
        <f>AVERAGE(MAX(V23,0),MAX(Y23,0),MAX(AB23,0))*(1+AE24)</f>
        <v>249.38766261574071</v>
      </c>
      <c r="AF23" s="31">
        <f>AD23+AE23</f>
        <v>601.45912177528726</v>
      </c>
      <c r="AG23" s="31">
        <f>AVERAGE(MAX(X23,0),MAX(AA23,0),MAX(AD23,0))*(1+AG24)</f>
        <v>460.50485131576875</v>
      </c>
      <c r="AH23" s="31">
        <f>AVERAGE(MAX(Y23,0),MAX(AB23,0),MAX(AE23,0))*(1+AH24)</f>
        <v>348.21332034143518</v>
      </c>
      <c r="AI23" s="31">
        <f>AG23+AH23</f>
        <v>808.71817165720392</v>
      </c>
    </row>
    <row r="24" spans="2:35" ht="12.9" customHeight="1" x14ac:dyDescent="0.3">
      <c r="B24" s="37" t="s">
        <v>130</v>
      </c>
      <c r="C24" s="19"/>
      <c r="D24" s="31"/>
      <c r="E24" s="33"/>
      <c r="F24" s="33"/>
      <c r="G24" s="33"/>
      <c r="H24" s="33">
        <f t="shared" ref="H24:T24" si="28">(H23-E23)/E23</f>
        <v>5.105633802816912E-2</v>
      </c>
      <c r="I24" s="33">
        <f t="shared" si="28"/>
        <v>0.10174418604651184</v>
      </c>
      <c r="J24" s="33">
        <f t="shared" si="28"/>
        <v>0.29644268774703525</v>
      </c>
      <c r="K24" s="33">
        <f t="shared" si="28"/>
        <v>0.18425460636515911</v>
      </c>
      <c r="L24" s="33">
        <f t="shared" si="28"/>
        <v>2.6048680914453546</v>
      </c>
      <c r="M24" s="33">
        <f t="shared" si="28"/>
        <v>-2.7172103861517982</v>
      </c>
      <c r="N24" s="33">
        <f t="shared" si="28"/>
        <v>0.1357850070721357</v>
      </c>
      <c r="O24" s="33">
        <f t="shared" si="28"/>
        <v>0.8979026363237661</v>
      </c>
      <c r="P24" s="33">
        <f t="shared" si="28"/>
        <v>-1.127830693834708</v>
      </c>
      <c r="Q24" s="33">
        <f t="shared" si="28"/>
        <v>2.3188044831880448</v>
      </c>
      <c r="R24" s="33">
        <f t="shared" si="28"/>
        <v>-0.71075973775549561</v>
      </c>
      <c r="S24" s="33">
        <f t="shared" si="28"/>
        <v>30.986111111111104</v>
      </c>
      <c r="T24" s="33">
        <f t="shared" si="28"/>
        <v>0.14559099437148221</v>
      </c>
      <c r="U24" s="73">
        <v>0.25</v>
      </c>
      <c r="V24" s="73">
        <f>U24</f>
        <v>0.25</v>
      </c>
      <c r="W24" s="33">
        <f t="shared" ref="W24" si="29">(W23-T23)/T23</f>
        <v>-3.3157958475571833E-2</v>
      </c>
      <c r="X24" s="73">
        <f>U24+10%</f>
        <v>0.35</v>
      </c>
      <c r="Y24" s="73">
        <f>X24</f>
        <v>0.35</v>
      </c>
      <c r="Z24" s="33">
        <f t="shared" ref="Z24" si="30">(Z23-W23)/W23</f>
        <v>0.32171462790972194</v>
      </c>
      <c r="AA24" s="73">
        <f>X24+10%</f>
        <v>0.44999999999999996</v>
      </c>
      <c r="AB24" s="73">
        <f>AA24</f>
        <v>0.44999999999999996</v>
      </c>
      <c r="AC24" s="33">
        <f t="shared" ref="AC24" si="31">(AC23-Z23)/Z23</f>
        <v>0.22724780465081484</v>
      </c>
      <c r="AD24" s="73">
        <f>AA24+10%</f>
        <v>0.54999999999999993</v>
      </c>
      <c r="AE24" s="73">
        <f>AD24</f>
        <v>0.54999999999999993</v>
      </c>
      <c r="AF24" s="33">
        <f t="shared" ref="AF24" si="32">(AF23-AC23)/AC23</f>
        <v>0.25618563968383751</v>
      </c>
      <c r="AG24" s="73">
        <f>AD24+10%</f>
        <v>0.64999999999999991</v>
      </c>
      <c r="AH24" s="73">
        <f>AG24</f>
        <v>0.64999999999999991</v>
      </c>
      <c r="AI24" s="33">
        <f t="shared" ref="AI24" si="33">(AI23-AF23)/AF23</f>
        <v>0.34459374274707777</v>
      </c>
    </row>
    <row r="25" spans="2:35" ht="12.9" customHeight="1" x14ac:dyDescent="0.3">
      <c r="B25" s="38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</row>
    <row r="26" spans="2:35" ht="12.9" customHeight="1" x14ac:dyDescent="0.3">
      <c r="B26" s="37" t="s">
        <v>140</v>
      </c>
      <c r="C26" s="18"/>
      <c r="D26" s="66">
        <f t="shared" ref="D26:D62" si="34">E26-C26</f>
        <v>0</v>
      </c>
      <c r="E26" s="66"/>
      <c r="F26" s="66">
        <v>42.8</v>
      </c>
      <c r="G26" s="12">
        <f t="shared" ref="G26:G62" si="35">H26-F26</f>
        <v>10.400000000000006</v>
      </c>
      <c r="H26" s="66">
        <v>53.2</v>
      </c>
      <c r="I26" s="66">
        <v>29.2</v>
      </c>
      <c r="J26" s="12">
        <f t="shared" ref="J26:J62" si="36">K26-I26</f>
        <v>15.3</v>
      </c>
      <c r="K26" s="66">
        <v>44.5</v>
      </c>
      <c r="L26" s="21">
        <f>28.9*K26/(K26+K38)</f>
        <v>17.124500665778964</v>
      </c>
      <c r="M26" s="21">
        <f>N26-L26</f>
        <v>54.375499334221033</v>
      </c>
      <c r="N26" s="66">
        <v>71.5</v>
      </c>
      <c r="O26" s="66">
        <v>33.299999999999997</v>
      </c>
      <c r="P26" s="12">
        <f t="shared" ref="P26:P62" si="37">Q26-O26</f>
        <v>97.2</v>
      </c>
      <c r="Q26" s="66">
        <v>130.5</v>
      </c>
      <c r="R26" s="66">
        <v>128.80000000000001</v>
      </c>
      <c r="S26" s="12">
        <f t="shared" ref="S26" si="38">T26-R26</f>
        <v>138.30000000000001</v>
      </c>
      <c r="T26" s="66">
        <v>267.10000000000002</v>
      </c>
      <c r="U26" s="21">
        <f>U27*(U21+U23)</f>
        <v>140.61556258322236</v>
      </c>
      <c r="V26" s="21">
        <f>V27*(V21+V23)</f>
        <v>128.11839380825566</v>
      </c>
      <c r="W26" s="21">
        <f>U26+V26</f>
        <v>268.73395639147805</v>
      </c>
      <c r="X26" s="21">
        <f>X27*(X21+X23)</f>
        <v>215.07050510430543</v>
      </c>
      <c r="Y26" s="21">
        <f>Y27*(Y21+Y23)</f>
        <v>189.60480306258324</v>
      </c>
      <c r="Z26" s="21">
        <f>X26+Y26</f>
        <v>404.67530816688867</v>
      </c>
      <c r="AA26" s="21">
        <f>AA27*(AA21+AA23)</f>
        <v>265.44197470317357</v>
      </c>
      <c r="AB26" s="21">
        <f>AB27*(AB21+AB23)</f>
        <v>248.88159499047566</v>
      </c>
      <c r="AC26" s="21">
        <f>AA26+AB26</f>
        <v>514.32356969364923</v>
      </c>
      <c r="AD26" s="21">
        <f>AD27*(AD21+AD23)</f>
        <v>360.57183249001326</v>
      </c>
      <c r="AE26" s="21">
        <f>AE27*(AE21+AE23)</f>
        <v>293.86133056544969</v>
      </c>
      <c r="AF26" s="21">
        <f>AD26+AE26</f>
        <v>654.43316305546296</v>
      </c>
      <c r="AG26" s="21">
        <f>AG27*(AG21+AG23)</f>
        <v>459.48868351824802</v>
      </c>
      <c r="AH26" s="21">
        <f>AH27*(AH21+AH23)</f>
        <v>381.59592929447911</v>
      </c>
      <c r="AI26" s="21">
        <f>AG26+AH26</f>
        <v>841.08461281272707</v>
      </c>
    </row>
    <row r="27" spans="2:35" ht="12.9" customHeight="1" x14ac:dyDescent="0.3">
      <c r="B27" s="38" t="s">
        <v>135</v>
      </c>
      <c r="C27" s="19"/>
      <c r="D27" s="19">
        <f t="shared" ref="D27:T27" si="39">D26/(D21+D23)</f>
        <v>0</v>
      </c>
      <c r="E27" s="19">
        <f t="shared" si="39"/>
        <v>0</v>
      </c>
      <c r="F27" s="19">
        <f t="shared" si="39"/>
        <v>0.4692982456140351</v>
      </c>
      <c r="G27" s="19">
        <f t="shared" si="39"/>
        <v>0.1411126187245591</v>
      </c>
      <c r="H27" s="19">
        <f t="shared" si="39"/>
        <v>0.4566523605150215</v>
      </c>
      <c r="I27" s="19">
        <f t="shared" si="39"/>
        <v>0.28853754940711462</v>
      </c>
      <c r="J27" s="19">
        <f t="shared" si="39"/>
        <v>0.14599236641221375</v>
      </c>
      <c r="K27" s="19">
        <f t="shared" si="39"/>
        <v>0.33208955223880599</v>
      </c>
      <c r="L27" s="19">
        <f t="shared" si="39"/>
        <v>7.5730407874242955E-2</v>
      </c>
      <c r="M27" s="19">
        <f t="shared" si="39"/>
        <v>0.35615078759420299</v>
      </c>
      <c r="N27" s="19">
        <f t="shared" si="39"/>
        <v>0.42108362779740871</v>
      </c>
      <c r="O27" s="19">
        <f t="shared" si="39"/>
        <v>9.3120805369127507E-2</v>
      </c>
      <c r="P27" s="19">
        <f t="shared" si="39"/>
        <v>0.29321266968325793</v>
      </c>
      <c r="Q27" s="19">
        <f t="shared" si="39"/>
        <v>0.35773026315789475</v>
      </c>
      <c r="R27" s="19">
        <f t="shared" si="39"/>
        <v>0.41642418364047851</v>
      </c>
      <c r="S27" s="19">
        <f t="shared" si="39"/>
        <v>0.3366601752677702</v>
      </c>
      <c r="T27" s="133">
        <f t="shared" si="39"/>
        <v>0.4949962935507784</v>
      </c>
      <c r="U27" s="73">
        <v>0.3</v>
      </c>
      <c r="V27" s="73">
        <f>U27</f>
        <v>0.3</v>
      </c>
      <c r="W27" s="133">
        <f>W26/(W21+W23)</f>
        <v>0.47339246690321007</v>
      </c>
      <c r="X27" s="73">
        <f>V27+10%</f>
        <v>0.4</v>
      </c>
      <c r="Y27" s="73">
        <f>X27</f>
        <v>0.4</v>
      </c>
      <c r="Z27" s="133">
        <f>Z26/(Z21+Z23)</f>
        <v>0.58726683767606269</v>
      </c>
      <c r="AA27" s="73">
        <f>Y27+10%</f>
        <v>0.5</v>
      </c>
      <c r="AB27" s="73">
        <f>AA27</f>
        <v>0.5</v>
      </c>
      <c r="AC27" s="133">
        <f>AC26/(AC21+AC23)</f>
        <v>0.67389948796601418</v>
      </c>
      <c r="AD27" s="73">
        <f>AB27+10%</f>
        <v>0.6</v>
      </c>
      <c r="AE27" s="73">
        <f>AD27</f>
        <v>0.6</v>
      </c>
      <c r="AF27" s="133">
        <f>AF26/(AF21+AF23)</f>
        <v>0.76961287417186552</v>
      </c>
      <c r="AG27" s="73">
        <f>AE27+10%</f>
        <v>0.7</v>
      </c>
      <c r="AH27" s="73">
        <f>AG27</f>
        <v>0.7</v>
      </c>
      <c r="AI27" s="133">
        <f>AI26/(AI21+AI23)</f>
        <v>0.83721190048666982</v>
      </c>
    </row>
    <row r="28" spans="2:35" ht="12.9" customHeight="1" x14ac:dyDescent="0.3">
      <c r="B28" s="3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</row>
    <row r="29" spans="2:35" ht="12.9" customHeight="1" x14ac:dyDescent="0.3">
      <c r="B29" s="37" t="s">
        <v>141</v>
      </c>
      <c r="D29" s="20">
        <f t="shared" ref="D29" si="40">E29</f>
        <v>56.8</v>
      </c>
      <c r="E29" s="66">
        <v>56.8</v>
      </c>
      <c r="F29" s="66">
        <v>48.4</v>
      </c>
      <c r="G29" s="20">
        <f t="shared" ref="G29" si="41">H29</f>
        <v>63.3</v>
      </c>
      <c r="H29" s="66">
        <v>63.3</v>
      </c>
      <c r="I29" s="66">
        <v>72</v>
      </c>
      <c r="J29" s="20">
        <f t="shared" ref="J29" si="42">K29</f>
        <v>89.5</v>
      </c>
      <c r="K29" s="66">
        <v>89.5</v>
      </c>
      <c r="L29" s="20">
        <f>209*K29/(K29+K47)</f>
        <v>209</v>
      </c>
      <c r="M29" s="20">
        <f t="shared" ref="M29" si="43">N29</f>
        <v>98.3</v>
      </c>
      <c r="N29" s="66">
        <v>98.3</v>
      </c>
      <c r="O29" s="66">
        <v>324.3</v>
      </c>
      <c r="P29" s="20">
        <f t="shared" ref="P29" si="44">Q29</f>
        <v>234.3</v>
      </c>
      <c r="Q29" s="66">
        <v>234.3</v>
      </c>
      <c r="R29" s="66">
        <v>180.5</v>
      </c>
      <c r="S29" s="20">
        <f t="shared" ref="S29" si="45">T29</f>
        <v>272.5</v>
      </c>
      <c r="T29" s="66">
        <v>272.5</v>
      </c>
      <c r="U29" s="31">
        <f t="shared" ref="U29:AI29" si="46">U21+U23-U26</f>
        <v>328.1029793608522</v>
      </c>
      <c r="V29" s="31">
        <f t="shared" si="46"/>
        <v>298.94291888592988</v>
      </c>
      <c r="W29" s="31">
        <f t="shared" si="46"/>
        <v>298.94291888592988</v>
      </c>
      <c r="X29" s="31">
        <f t="shared" si="46"/>
        <v>322.60575765645808</v>
      </c>
      <c r="Y29" s="31">
        <f t="shared" si="46"/>
        <v>284.40720459387484</v>
      </c>
      <c r="Z29" s="31">
        <f t="shared" si="46"/>
        <v>284.40720459387484</v>
      </c>
      <c r="AA29" s="31">
        <f t="shared" si="46"/>
        <v>265.44197470317357</v>
      </c>
      <c r="AB29" s="31">
        <f t="shared" si="46"/>
        <v>248.88159499047566</v>
      </c>
      <c r="AC29" s="31">
        <f t="shared" si="46"/>
        <v>248.88159499047561</v>
      </c>
      <c r="AD29" s="31">
        <f t="shared" si="46"/>
        <v>240.38122166000886</v>
      </c>
      <c r="AE29" s="31">
        <f t="shared" si="46"/>
        <v>195.90755371029985</v>
      </c>
      <c r="AF29" s="31">
        <f t="shared" si="46"/>
        <v>195.90755371029991</v>
      </c>
      <c r="AG29" s="31">
        <f t="shared" si="46"/>
        <v>196.92372150782063</v>
      </c>
      <c r="AH29" s="31">
        <f t="shared" si="46"/>
        <v>163.54111255477676</v>
      </c>
      <c r="AI29" s="31">
        <f t="shared" si="46"/>
        <v>163.54111255477676</v>
      </c>
    </row>
    <row r="30" spans="2:35" ht="12.9" customHeight="1" x14ac:dyDescent="0.3">
      <c r="B30" s="37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</row>
    <row r="31" spans="2:35" ht="12.9" customHeight="1" x14ac:dyDescent="0.3">
      <c r="B31" s="38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</row>
    <row r="32" spans="2:35" ht="12.9" customHeight="1" x14ac:dyDescent="0.3">
      <c r="B32" s="354" t="s">
        <v>121</v>
      </c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</row>
    <row r="33" spans="2:35" ht="12.9" customHeight="1" x14ac:dyDescent="0.3">
      <c r="B33" s="19" t="s">
        <v>139</v>
      </c>
      <c r="D33" s="21">
        <f t="shared" ref="D33:S33" si="47">C41</f>
        <v>0</v>
      </c>
      <c r="E33" s="21"/>
      <c r="F33" s="21">
        <f t="shared" si="47"/>
        <v>18</v>
      </c>
      <c r="G33" s="21">
        <f t="shared" si="47"/>
        <v>27.8</v>
      </c>
      <c r="H33" s="21">
        <f>E41</f>
        <v>18</v>
      </c>
      <c r="I33" s="21">
        <f t="shared" si="47"/>
        <v>15.7</v>
      </c>
      <c r="J33" s="21">
        <f t="shared" si="47"/>
        <v>93.2</v>
      </c>
      <c r="K33" s="21">
        <f>H41</f>
        <v>15.7</v>
      </c>
      <c r="L33" s="21">
        <f t="shared" si="47"/>
        <v>90.3</v>
      </c>
      <c r="M33" s="21">
        <f t="shared" si="47"/>
        <v>209.00000000000003</v>
      </c>
      <c r="N33" s="21">
        <f>K41</f>
        <v>90.3</v>
      </c>
      <c r="O33" s="21">
        <f t="shared" si="47"/>
        <v>174</v>
      </c>
      <c r="P33" s="21">
        <f t="shared" si="47"/>
        <v>151.5</v>
      </c>
      <c r="Q33" s="21">
        <f>N41</f>
        <v>174</v>
      </c>
      <c r="R33" s="21">
        <f t="shared" si="47"/>
        <v>56</v>
      </c>
      <c r="S33" s="21">
        <f t="shared" si="47"/>
        <v>33.9</v>
      </c>
      <c r="T33" s="21">
        <f>Q41</f>
        <v>56</v>
      </c>
      <c r="U33" s="21">
        <f t="shared" ref="U33:AH33" si="48">T41</f>
        <v>8.1</v>
      </c>
      <c r="V33" s="21">
        <f>U41</f>
        <v>26.483073235685758</v>
      </c>
      <c r="W33" s="21">
        <f>T41</f>
        <v>8.1</v>
      </c>
      <c r="X33" s="21">
        <f t="shared" si="48"/>
        <v>11.022156058588536</v>
      </c>
      <c r="Y33" s="21">
        <f t="shared" si="48"/>
        <v>15.912830252996002</v>
      </c>
      <c r="Z33" s="21">
        <f>W41</f>
        <v>11.022156058588536</v>
      </c>
      <c r="AA33" s="21">
        <f t="shared" si="48"/>
        <v>5.7196149560585781</v>
      </c>
      <c r="AB33" s="21">
        <f t="shared" si="48"/>
        <v>14.059482809054593</v>
      </c>
      <c r="AC33" s="21">
        <f>Z41</f>
        <v>5.7196149560585781</v>
      </c>
      <c r="AD33" s="21">
        <f t="shared" si="48"/>
        <v>4.4130065204793567</v>
      </c>
      <c r="AE33" s="21">
        <f t="shared" si="48"/>
        <v>16.701128104450355</v>
      </c>
      <c r="AF33" s="21">
        <f>AC41</f>
        <v>4.4130065204793567</v>
      </c>
      <c r="AG33" s="21">
        <f t="shared" si="48"/>
        <v>4.4263233295598496</v>
      </c>
      <c r="AH33" s="21">
        <f t="shared" si="48"/>
        <v>14.683255353291749</v>
      </c>
      <c r="AI33" s="21">
        <f>AF41</f>
        <v>4.4263233295598496</v>
      </c>
    </row>
    <row r="34" spans="2:35" ht="12.9" customHeight="1" x14ac:dyDescent="0.3">
      <c r="B34" s="37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</row>
    <row r="35" spans="2:35" ht="12.9" customHeight="1" x14ac:dyDescent="0.3">
      <c r="B35" s="37" t="s">
        <v>142</v>
      </c>
      <c r="C35" s="31">
        <f t="shared" ref="C35:S35" si="49">C41-C33+C38</f>
        <v>0</v>
      </c>
      <c r="D35" s="31">
        <f t="shared" si="49"/>
        <v>18</v>
      </c>
      <c r="E35" s="31">
        <f t="shared" si="49"/>
        <v>18</v>
      </c>
      <c r="F35" s="31">
        <f t="shared" si="49"/>
        <v>9.8000000000000007</v>
      </c>
      <c r="G35" s="31">
        <f t="shared" si="49"/>
        <v>9.8999999999999986</v>
      </c>
      <c r="H35" s="31">
        <f t="shared" si="49"/>
        <v>19.7</v>
      </c>
      <c r="I35" s="31">
        <f t="shared" si="49"/>
        <v>80.8</v>
      </c>
      <c r="J35" s="31">
        <f t="shared" si="49"/>
        <v>24.399999999999995</v>
      </c>
      <c r="K35" s="31">
        <f t="shared" si="49"/>
        <v>105.19999999999999</v>
      </c>
      <c r="L35" s="31">
        <f t="shared" si="49"/>
        <v>130.47549933422107</v>
      </c>
      <c r="M35" s="31">
        <f t="shared" si="49"/>
        <v>2.9245006657789361</v>
      </c>
      <c r="N35" s="31">
        <f t="shared" si="49"/>
        <v>133.4</v>
      </c>
      <c r="O35" s="31">
        <f t="shared" si="49"/>
        <v>25.6</v>
      </c>
      <c r="P35" s="31">
        <f t="shared" si="49"/>
        <v>-48.699999999999996</v>
      </c>
      <c r="Q35" s="31">
        <f t="shared" si="49"/>
        <v>-23.099999999999994</v>
      </c>
      <c r="R35" s="31">
        <f t="shared" si="49"/>
        <v>2.3999999999999986</v>
      </c>
      <c r="S35" s="31">
        <f t="shared" si="49"/>
        <v>-0.39999999999999858</v>
      </c>
      <c r="T35" s="21">
        <f>R35+S35</f>
        <v>2</v>
      </c>
      <c r="U35" s="31">
        <f>AVERAGE(MAX(L35,0),MAX(O35,0),MAX(R35,0))*(1+U36)</f>
        <v>58.107683089214397</v>
      </c>
      <c r="V35" s="31">
        <f>AVERAGE(MAX(M35,0),MAX(P35,0),MAX(S35,0))*(1+V36)</f>
        <v>1.0723169107856099</v>
      </c>
      <c r="W35" s="21">
        <f>U35+V35</f>
        <v>59.180000000000007</v>
      </c>
      <c r="X35" s="31">
        <f>AVERAGE(MAX(O35,0),MAX(R35,0),MAX(U35,0))*(1+X36)</f>
        <v>34.443073235685759</v>
      </c>
      <c r="Y35" s="31">
        <f>AVERAGE(MAX(P35,0),MAX(S35,0),MAX(V35,0))*(1+Y36)</f>
        <v>0.42892676431424392</v>
      </c>
      <c r="Z35" s="31">
        <f>X35+Y35</f>
        <v>34.872</v>
      </c>
      <c r="AA35" s="31">
        <f>AVERAGE(MAX(R35,0),MAX(U35,0),MAX(X35,0))*(1+AA36)</f>
        <v>41.145327740790066</v>
      </c>
      <c r="AB35" s="31">
        <f>AVERAGE(MAX(S35,0),MAX(V35,0),MAX(Y35,0))*(1+AB36)</f>
        <v>0.65053892587660334</v>
      </c>
      <c r="AC35" s="31">
        <f>AA35+AB35</f>
        <v>41.795866666666669</v>
      </c>
      <c r="AD35" s="31">
        <f>AVERAGE(MAX(U35,0),MAX(X35,0),MAX(AA35,0))*(1+AD36)</f>
        <v>62.391505897322098</v>
      </c>
      <c r="AE35" s="31">
        <f>AVERAGE(MAX(V35,0),MAX(Y35,0),MAX(AB35,0))*(1+AE36)</f>
        <v>1.0041652137890134</v>
      </c>
      <c r="AF35" s="31">
        <f>AD35+AE35</f>
        <v>63.395671111111113</v>
      </c>
      <c r="AG35" s="31">
        <f>AVERAGE(MAX(X35,0),MAX(AA35,0),MAX(AD35,0))*(1+AG36)</f>
        <v>68.989953436898958</v>
      </c>
      <c r="AH35" s="31">
        <f>AVERAGE(MAX(Y35,0),MAX(AB35,0),MAX(AE35,0))*(1+AH36)</f>
        <v>1.0418154519899303</v>
      </c>
      <c r="AI35" s="31">
        <f>AG35+AH35</f>
        <v>70.031768888888891</v>
      </c>
    </row>
    <row r="36" spans="2:35" ht="12.9" customHeight="1" x14ac:dyDescent="0.3">
      <c r="B36" s="37" t="s">
        <v>130</v>
      </c>
      <c r="C36" s="19"/>
      <c r="D36" s="31"/>
      <c r="E36" s="31"/>
      <c r="F36" s="33"/>
      <c r="G36" s="33"/>
      <c r="H36" s="19">
        <f t="shared" ref="H36:T36" si="50">(H35-E35)/E35</f>
        <v>9.44444444444444E-2</v>
      </c>
      <c r="I36" s="19">
        <f t="shared" si="50"/>
        <v>7.2448979591836729</v>
      </c>
      <c r="J36" s="19">
        <f t="shared" si="50"/>
        <v>1.4646464646464645</v>
      </c>
      <c r="K36" s="19">
        <f t="shared" si="50"/>
        <v>4.3401015228426392</v>
      </c>
      <c r="L36" s="19">
        <f t="shared" si="50"/>
        <v>0.61479578383936972</v>
      </c>
      <c r="M36" s="19">
        <f t="shared" si="50"/>
        <v>-0.88014341533692886</v>
      </c>
      <c r="N36" s="19">
        <f t="shared" si="50"/>
        <v>0.26806083650190132</v>
      </c>
      <c r="O36" s="19">
        <f t="shared" si="50"/>
        <v>-0.80379458112343372</v>
      </c>
      <c r="P36" s="19">
        <f t="shared" si="50"/>
        <v>-17.652415425943776</v>
      </c>
      <c r="Q36" s="19">
        <f t="shared" si="50"/>
        <v>-1.1731634182908546</v>
      </c>
      <c r="R36" s="19">
        <f t="shared" si="50"/>
        <v>-0.90625000000000011</v>
      </c>
      <c r="S36" s="19">
        <f t="shared" si="50"/>
        <v>-0.99178644763860369</v>
      </c>
      <c r="T36" s="19">
        <f t="shared" si="50"/>
        <v>-1.0865800865800865</v>
      </c>
      <c r="U36" s="73">
        <v>0.1</v>
      </c>
      <c r="V36" s="73">
        <f>U36</f>
        <v>0.1</v>
      </c>
      <c r="W36" s="19">
        <f t="shared" ref="W36" si="51">(W35-T35)/T35</f>
        <v>28.590000000000003</v>
      </c>
      <c r="X36" s="73">
        <f>V36+10%</f>
        <v>0.2</v>
      </c>
      <c r="Y36" s="73">
        <f>X36</f>
        <v>0.2</v>
      </c>
      <c r="Z36" s="19">
        <f t="shared" ref="Z36" si="52">(Z35-W35)/W35</f>
        <v>-0.41074687394390003</v>
      </c>
      <c r="AA36" s="73">
        <f>Y36+10%</f>
        <v>0.30000000000000004</v>
      </c>
      <c r="AB36" s="73">
        <f>AA36</f>
        <v>0.30000000000000004</v>
      </c>
      <c r="AC36" s="19">
        <f t="shared" ref="AC36" si="53">(AC35-Z35)/Z35</f>
        <v>0.19855089087711256</v>
      </c>
      <c r="AD36" s="73">
        <f>AB36+10%</f>
        <v>0.4</v>
      </c>
      <c r="AE36" s="73">
        <f>AD36</f>
        <v>0.4</v>
      </c>
      <c r="AF36" s="19">
        <f t="shared" ref="AF36" si="54">(AF35-AC35)/AC35</f>
        <v>0.51679283544252641</v>
      </c>
      <c r="AG36" s="73">
        <f>AE36+10%</f>
        <v>0.5</v>
      </c>
      <c r="AH36" s="73">
        <f>AG36</f>
        <v>0.5</v>
      </c>
      <c r="AI36" s="19">
        <f t="shared" ref="AI36" si="55">(AI35-AF35)/AF35</f>
        <v>0.10467745922504627</v>
      </c>
    </row>
    <row r="37" spans="2:35" ht="12.9" customHeight="1" x14ac:dyDescent="0.3">
      <c r="B37" s="6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</row>
    <row r="38" spans="2:35" ht="12.9" customHeight="1" x14ac:dyDescent="0.3">
      <c r="B38" s="37" t="s">
        <v>140</v>
      </c>
      <c r="D38" s="12">
        <f t="shared" si="34"/>
        <v>0</v>
      </c>
      <c r="G38" s="12">
        <f t="shared" si="35"/>
        <v>22</v>
      </c>
      <c r="H38" s="66">
        <v>22</v>
      </c>
      <c r="I38" s="66">
        <v>3.3</v>
      </c>
      <c r="J38" s="12">
        <f t="shared" si="36"/>
        <v>27.3</v>
      </c>
      <c r="K38" s="66">
        <v>30.6</v>
      </c>
      <c r="L38" s="21">
        <f>28.9*K38/(K26+K38)</f>
        <v>11.77549933422104</v>
      </c>
      <c r="M38" s="21">
        <f>N38-L38</f>
        <v>37.924500665778965</v>
      </c>
      <c r="N38" s="66">
        <v>49.7</v>
      </c>
      <c r="O38" s="66">
        <v>48.1</v>
      </c>
      <c r="P38" s="12">
        <f t="shared" si="37"/>
        <v>46.800000000000004</v>
      </c>
      <c r="Q38" s="66">
        <v>94.9</v>
      </c>
      <c r="R38" s="66">
        <v>24.5</v>
      </c>
      <c r="S38" s="12">
        <f t="shared" ref="S38" si="56">T38-R38</f>
        <v>25.4</v>
      </c>
      <c r="T38" s="66">
        <v>49.9</v>
      </c>
      <c r="U38" s="21">
        <f>U39*(U33+U35)</f>
        <v>39.724609853528641</v>
      </c>
      <c r="V38" s="21">
        <f>V39*(V33+V35)</f>
        <v>16.533234087882821</v>
      </c>
      <c r="W38" s="21">
        <f>U38+V38</f>
        <v>56.257843941411465</v>
      </c>
      <c r="X38" s="21">
        <f>X39*(X33+X35)</f>
        <v>29.552399041278292</v>
      </c>
      <c r="Y38" s="21">
        <f>Y39*(Y33+Y35)</f>
        <v>10.622142061251662</v>
      </c>
      <c r="Z38" s="21">
        <f>X38+Y38</f>
        <v>40.174541102529957</v>
      </c>
      <c r="AA38" s="21">
        <f>AA39*(AA33+AA35)</f>
        <v>32.805459887794051</v>
      </c>
      <c r="AB38" s="21">
        <f>AB39*(AB33+AB35)</f>
        <v>10.297015214451838</v>
      </c>
      <c r="AC38" s="21">
        <f>AA38+AB38</f>
        <v>43.10247510224589</v>
      </c>
      <c r="AD38" s="21">
        <f>AD39*(AD33+AD35)</f>
        <v>50.103384313351093</v>
      </c>
      <c r="AE38" s="21">
        <f>AE39*(AE33+AE35)</f>
        <v>13.278969988679528</v>
      </c>
      <c r="AF38" s="21">
        <f>AD38+AE38</f>
        <v>63.38235430203062</v>
      </c>
      <c r="AG38" s="21">
        <f>AG39*(AG33+AG35)</f>
        <v>58.733021413167059</v>
      </c>
      <c r="AH38" s="21">
        <f>AH39*(AH33+AH35)</f>
        <v>12.580056644225346</v>
      </c>
      <c r="AI38" s="21">
        <f>AG38+AH38</f>
        <v>71.313078057392403</v>
      </c>
    </row>
    <row r="39" spans="2:35" ht="12.9" customHeight="1" x14ac:dyDescent="0.3">
      <c r="B39" s="38" t="s">
        <v>135</v>
      </c>
      <c r="F39" s="19">
        <f t="shared" ref="F39:T39" si="57">F38/(F33+F35)</f>
        <v>0</v>
      </c>
      <c r="G39" s="19">
        <f t="shared" si="57"/>
        <v>0.58355437665782484</v>
      </c>
      <c r="H39" s="19">
        <f t="shared" si="57"/>
        <v>0.58355437665782484</v>
      </c>
      <c r="I39" s="19">
        <f t="shared" si="57"/>
        <v>3.4196891191709843E-2</v>
      </c>
      <c r="J39" s="19">
        <f t="shared" si="57"/>
        <v>0.23214285714285715</v>
      </c>
      <c r="K39" s="19">
        <f t="shared" si="57"/>
        <v>0.25310173697270477</v>
      </c>
      <c r="L39" s="19">
        <f t="shared" si="57"/>
        <v>5.3336984265607734E-2</v>
      </c>
      <c r="M39" s="19">
        <f t="shared" si="57"/>
        <v>0.17895288438399476</v>
      </c>
      <c r="N39" s="19">
        <f t="shared" si="57"/>
        <v>0.22217255252570409</v>
      </c>
      <c r="O39" s="19">
        <f t="shared" si="57"/>
        <v>0.24098196392785573</v>
      </c>
      <c r="P39" s="19">
        <f t="shared" si="57"/>
        <v>0.45525291828793774</v>
      </c>
      <c r="Q39" s="19">
        <f t="shared" si="57"/>
        <v>0.62889330682571243</v>
      </c>
      <c r="R39" s="19">
        <f t="shared" si="57"/>
        <v>0.41952054794520549</v>
      </c>
      <c r="S39" s="19">
        <f t="shared" si="57"/>
        <v>0.75820895522388054</v>
      </c>
      <c r="T39" s="133">
        <f t="shared" si="57"/>
        <v>0.8603448275862069</v>
      </c>
      <c r="U39" s="73">
        <v>0.6</v>
      </c>
      <c r="V39" s="73">
        <f>U39</f>
        <v>0.6</v>
      </c>
      <c r="W39" s="133">
        <f>W38/(W33+W35)</f>
        <v>0.83617485049660323</v>
      </c>
      <c r="X39" s="73">
        <f>V39+5%</f>
        <v>0.65</v>
      </c>
      <c r="Y39" s="73">
        <f>X39</f>
        <v>0.65</v>
      </c>
      <c r="Z39" s="133">
        <f>Z38/(Z33+Z35)</f>
        <v>0.87537378509026487</v>
      </c>
      <c r="AA39" s="73">
        <f>Y39+5%</f>
        <v>0.70000000000000007</v>
      </c>
      <c r="AB39" s="73">
        <f>AA39</f>
        <v>0.70000000000000007</v>
      </c>
      <c r="AC39" s="133">
        <f>AC38/(AC33+AC35)</f>
        <v>0.90712487025768151</v>
      </c>
      <c r="AD39" s="73">
        <f>AB39+5%</f>
        <v>0.75000000000000011</v>
      </c>
      <c r="AE39" s="73">
        <f>AD39</f>
        <v>0.75000000000000011</v>
      </c>
      <c r="AF39" s="133">
        <f>AF38/(AF33+AF35)</f>
        <v>0.93472334981064831</v>
      </c>
      <c r="AG39" s="73">
        <f>AE39+5%</f>
        <v>0.80000000000000016</v>
      </c>
      <c r="AH39" s="73">
        <f>AG39</f>
        <v>0.80000000000000016</v>
      </c>
      <c r="AI39" s="133">
        <f>AI38/(AI33+AI35)</f>
        <v>0.95776128467233157</v>
      </c>
    </row>
    <row r="40" spans="2:35" ht="12.9" customHeight="1" x14ac:dyDescent="0.3">
      <c r="B40" s="37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</row>
    <row r="41" spans="2:35" ht="12.9" customHeight="1" x14ac:dyDescent="0.3">
      <c r="B41" s="37" t="s">
        <v>141</v>
      </c>
      <c r="D41" s="20">
        <f t="shared" ref="D41" si="58">E41</f>
        <v>18</v>
      </c>
      <c r="E41" s="66">
        <v>18</v>
      </c>
      <c r="F41" s="66">
        <v>27.8</v>
      </c>
      <c r="G41" s="20">
        <f t="shared" ref="G41" si="59">H41</f>
        <v>15.7</v>
      </c>
      <c r="H41" s="66">
        <v>15.7</v>
      </c>
      <c r="I41" s="66">
        <v>93.2</v>
      </c>
      <c r="J41" s="20">
        <f t="shared" ref="J41" si="60">K41</f>
        <v>90.3</v>
      </c>
      <c r="K41" s="66">
        <v>90.3</v>
      </c>
      <c r="L41" s="20">
        <f>209*K41/(K31+K41)</f>
        <v>209.00000000000003</v>
      </c>
      <c r="M41" s="20">
        <f t="shared" ref="M41" si="61">N41</f>
        <v>174</v>
      </c>
      <c r="N41" s="66">
        <v>174</v>
      </c>
      <c r="O41" s="66">
        <v>151.5</v>
      </c>
      <c r="P41" s="20">
        <f t="shared" ref="P41" si="62">Q41</f>
        <v>56</v>
      </c>
      <c r="Q41" s="66">
        <v>56</v>
      </c>
      <c r="R41" s="66">
        <v>33.9</v>
      </c>
      <c r="S41" s="20">
        <f t="shared" ref="S41" si="63">T41</f>
        <v>8.1</v>
      </c>
      <c r="T41" s="66">
        <v>8.1</v>
      </c>
      <c r="U41" s="31">
        <f t="shared" ref="U41:AI41" si="64">U33+U35-U38</f>
        <v>26.483073235685758</v>
      </c>
      <c r="V41" s="31">
        <f t="shared" si="64"/>
        <v>11.022156058588546</v>
      </c>
      <c r="W41" s="31">
        <f t="shared" si="64"/>
        <v>11.022156058588536</v>
      </c>
      <c r="X41" s="31">
        <f t="shared" si="64"/>
        <v>15.912830252996002</v>
      </c>
      <c r="Y41" s="31">
        <f t="shared" si="64"/>
        <v>5.7196149560585852</v>
      </c>
      <c r="Z41" s="31">
        <f t="shared" si="64"/>
        <v>5.7196149560585781</v>
      </c>
      <c r="AA41" s="31">
        <f t="shared" si="64"/>
        <v>14.059482809054593</v>
      </c>
      <c r="AB41" s="31">
        <f t="shared" si="64"/>
        <v>4.4130065204793585</v>
      </c>
      <c r="AC41" s="31">
        <f t="shared" si="64"/>
        <v>4.4130065204793567</v>
      </c>
      <c r="AD41" s="31">
        <f t="shared" si="64"/>
        <v>16.701128104450355</v>
      </c>
      <c r="AE41" s="31">
        <f t="shared" si="64"/>
        <v>4.426323329559839</v>
      </c>
      <c r="AF41" s="31">
        <f t="shared" si="64"/>
        <v>4.4263233295598496</v>
      </c>
      <c r="AG41" s="31">
        <f t="shared" si="64"/>
        <v>14.683255353291749</v>
      </c>
      <c r="AH41" s="31">
        <f t="shared" si="64"/>
        <v>3.1450141610563325</v>
      </c>
      <c r="AI41" s="31">
        <f t="shared" si="64"/>
        <v>3.1450141610563378</v>
      </c>
    </row>
    <row r="42" spans="2:35" ht="12.9" customHeight="1" x14ac:dyDescent="0.3">
      <c r="B42" s="37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</row>
    <row r="43" spans="2:35" ht="12.9" customHeight="1" x14ac:dyDescent="0.3">
      <c r="B43" s="38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</row>
    <row r="44" spans="2:35" ht="12.9" customHeight="1" x14ac:dyDescent="0.3">
      <c r="B44" s="354" t="s">
        <v>122</v>
      </c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</row>
    <row r="45" spans="2:35" ht="12.9" customHeight="1" x14ac:dyDescent="0.3">
      <c r="B45" s="19" t="s">
        <v>139</v>
      </c>
      <c r="D45" s="21">
        <f t="shared" ref="D45:S45" si="65">C53</f>
        <v>0</v>
      </c>
      <c r="E45" s="21"/>
      <c r="F45" s="21">
        <f t="shared" si="65"/>
        <v>0</v>
      </c>
      <c r="G45" s="21">
        <f t="shared" si="65"/>
        <v>0</v>
      </c>
      <c r="H45" s="21">
        <f>E53</f>
        <v>0</v>
      </c>
      <c r="I45" s="21">
        <f t="shared" si="65"/>
        <v>0</v>
      </c>
      <c r="J45" s="21">
        <f t="shared" si="65"/>
        <v>0</v>
      </c>
      <c r="K45" s="21">
        <f>H53</f>
        <v>0</v>
      </c>
      <c r="L45" s="21">
        <f t="shared" si="65"/>
        <v>0</v>
      </c>
      <c r="M45" s="21">
        <f t="shared" si="65"/>
        <v>0</v>
      </c>
      <c r="N45" s="21">
        <f>K53</f>
        <v>0</v>
      </c>
      <c r="O45" s="21">
        <f t="shared" si="65"/>
        <v>0</v>
      </c>
      <c r="P45" s="21">
        <f t="shared" si="65"/>
        <v>0</v>
      </c>
      <c r="Q45" s="21">
        <f>N53</f>
        <v>0</v>
      </c>
      <c r="R45" s="21">
        <f t="shared" si="65"/>
        <v>26.5</v>
      </c>
      <c r="S45" s="21">
        <f t="shared" si="65"/>
        <v>67.7</v>
      </c>
      <c r="T45" s="21">
        <f>Q53</f>
        <v>26.5</v>
      </c>
      <c r="U45" s="21">
        <f t="shared" ref="U45:AH45" si="66">T53</f>
        <v>95.2</v>
      </c>
      <c r="V45" s="21">
        <f t="shared" si="66"/>
        <v>95.387</v>
      </c>
      <c r="W45" s="21">
        <f>T53</f>
        <v>95.2</v>
      </c>
      <c r="X45" s="21">
        <f t="shared" si="66"/>
        <v>106.20070000000001</v>
      </c>
      <c r="Y45" s="21">
        <f t="shared" si="66"/>
        <v>92.254656666666676</v>
      </c>
      <c r="Z45" s="21">
        <f>W53</f>
        <v>106.20070000000001</v>
      </c>
      <c r="AA45" s="21">
        <f t="shared" si="66"/>
        <v>95.685968000000003</v>
      </c>
      <c r="AB45" s="21">
        <f t="shared" si="66"/>
        <v>74.162669900000026</v>
      </c>
      <c r="AC45" s="21">
        <f>Z53</f>
        <v>95.685968000000003</v>
      </c>
      <c r="AD45" s="21">
        <f t="shared" si="66"/>
        <v>71.626627819999982</v>
      </c>
      <c r="AE45" s="21">
        <f t="shared" si="66"/>
        <v>44.458921683555545</v>
      </c>
      <c r="AF45" s="21">
        <f>AC53</f>
        <v>71.626627819999982</v>
      </c>
      <c r="AG45" s="21">
        <f t="shared" si="66"/>
        <v>42.92891686786669</v>
      </c>
      <c r="AH45" s="21">
        <f t="shared" si="66"/>
        <v>24.200126653309269</v>
      </c>
      <c r="AI45" s="21">
        <f>AF53</f>
        <v>42.92891686786669</v>
      </c>
    </row>
    <row r="46" spans="2:35" ht="12.9" customHeight="1" x14ac:dyDescent="0.3">
      <c r="B46" s="37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9"/>
      <c r="S46" s="1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</row>
    <row r="47" spans="2:35" ht="12.9" customHeight="1" x14ac:dyDescent="0.3">
      <c r="B47" s="37" t="s">
        <v>142</v>
      </c>
      <c r="C47" s="31">
        <f t="shared" ref="C47:S47" si="67">C53-C45+C50</f>
        <v>0</v>
      </c>
      <c r="D47" s="31">
        <f t="shared" si="67"/>
        <v>0</v>
      </c>
      <c r="E47" s="31">
        <f t="shared" si="67"/>
        <v>0</v>
      </c>
      <c r="F47" s="31">
        <f t="shared" si="67"/>
        <v>0</v>
      </c>
      <c r="G47" s="31">
        <f t="shared" si="67"/>
        <v>0</v>
      </c>
      <c r="H47" s="31">
        <f t="shared" si="67"/>
        <v>0</v>
      </c>
      <c r="I47" s="31">
        <f t="shared" si="67"/>
        <v>0</v>
      </c>
      <c r="J47" s="31">
        <f t="shared" si="67"/>
        <v>0</v>
      </c>
      <c r="K47" s="31">
        <f t="shared" si="67"/>
        <v>0</v>
      </c>
      <c r="L47" s="31">
        <f t="shared" si="67"/>
        <v>0</v>
      </c>
      <c r="M47" s="31">
        <f t="shared" si="67"/>
        <v>0</v>
      </c>
      <c r="N47" s="31">
        <f t="shared" si="67"/>
        <v>0</v>
      </c>
      <c r="O47" s="31">
        <f t="shared" si="67"/>
        <v>0</v>
      </c>
      <c r="P47" s="31">
        <f t="shared" si="67"/>
        <v>26.5</v>
      </c>
      <c r="Q47" s="31">
        <f t="shared" si="67"/>
        <v>26.5</v>
      </c>
      <c r="R47" s="31">
        <f t="shared" si="67"/>
        <v>44.400000000000006</v>
      </c>
      <c r="S47" s="31">
        <f t="shared" si="67"/>
        <v>50.6</v>
      </c>
      <c r="T47" s="21">
        <f>R47+S47</f>
        <v>95</v>
      </c>
      <c r="U47" s="31">
        <f>AVERAGE(MAX(L47,0),MAX(O47,0),MAX(R47,0))*(1+U48)</f>
        <v>17.020000000000003</v>
      </c>
      <c r="V47" s="31">
        <f>AVERAGE(MAX(M47,0),MAX(P47,0),MAX(S47,0))*(1+V48)</f>
        <v>29.554999999999996</v>
      </c>
      <c r="W47" s="31">
        <f>U47+V47</f>
        <v>46.575000000000003</v>
      </c>
      <c r="X47" s="31">
        <f>AVERAGE(MAX(O47,0),MAX(R47,0),MAX(U47,0))*(1+X48)</f>
        <v>25.591666666666669</v>
      </c>
      <c r="Y47" s="31">
        <f>AVERAGE(MAX(P47,0),MAX(S47,0),MAX(V47,0))*(1+Y48)</f>
        <v>44.439583333333331</v>
      </c>
      <c r="Z47" s="31">
        <f>X47+Y47</f>
        <v>70.03125</v>
      </c>
      <c r="AA47" s="31">
        <f>AVERAGE(MAX(R47,0),MAX(U47,0),MAX(X47,0))*(1+AA48)</f>
        <v>39.155250000000009</v>
      </c>
      <c r="AB47" s="31">
        <f>AVERAGE(MAX(S47,0),MAX(V47,0),MAX(Y47,0))*(1+AB48)</f>
        <v>56.067562500000001</v>
      </c>
      <c r="AC47" s="31">
        <f>AA47+AB47</f>
        <v>95.222812500000003</v>
      </c>
      <c r="AD47" s="31">
        <f>AVERAGE(MAX(U47,0),MAX(X47,0),MAX(AA47,0))*(1+AD48)</f>
        <v>39.520676388888894</v>
      </c>
      <c r="AE47" s="31">
        <f>AVERAGE(MAX(V47,0),MAX(Y47,0),MAX(AB47,0))*(1+AE48)</f>
        <v>62.863370486111101</v>
      </c>
      <c r="AF47" s="31">
        <f>AD47+AE47</f>
        <v>102.384046875</v>
      </c>
      <c r="AG47" s="31">
        <f>AVERAGE(MAX(X47,0),MAX(AA47,0),MAX(AD47,0))*(1+AG48)</f>
        <v>53.871589745370379</v>
      </c>
      <c r="AH47" s="31">
        <f>AVERAGE(MAX(Y47,0),MAX(AB47,0),MAX(AE47,0))*(1+AH48)</f>
        <v>84.40810009837962</v>
      </c>
      <c r="AI47" s="31">
        <f>AG47+AH47</f>
        <v>138.27968984374999</v>
      </c>
    </row>
    <row r="48" spans="2:35" ht="12.9" customHeight="1" x14ac:dyDescent="0.3">
      <c r="B48" s="37" t="s">
        <v>130</v>
      </c>
      <c r="C48" s="31"/>
      <c r="D48" s="31"/>
      <c r="E48" s="31"/>
      <c r="F48" s="31"/>
      <c r="G48" s="31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4"/>
      <c r="S48" s="19">
        <f t="shared" ref="S48:T48" si="68">(S47-P47)/P47</f>
        <v>0.90943396226415096</v>
      </c>
      <c r="T48" s="19">
        <f t="shared" si="68"/>
        <v>2.5849056603773586</v>
      </c>
      <c r="U48" s="73">
        <v>0.15</v>
      </c>
      <c r="V48" s="73">
        <f>U48</f>
        <v>0.15</v>
      </c>
      <c r="W48" s="19">
        <f t="shared" ref="W48" si="69">(W47-T47)/T47</f>
        <v>-0.50973684210526315</v>
      </c>
      <c r="X48" s="73">
        <f>V48+10%</f>
        <v>0.25</v>
      </c>
      <c r="Y48" s="73">
        <f>X48</f>
        <v>0.25</v>
      </c>
      <c r="Z48" s="19">
        <f t="shared" ref="Z48" si="70">(Z47-W47)/W47</f>
        <v>0.50362318840579701</v>
      </c>
      <c r="AA48" s="73">
        <f>Y48+10%</f>
        <v>0.35</v>
      </c>
      <c r="AB48" s="73">
        <f>AA48</f>
        <v>0.35</v>
      </c>
      <c r="AC48" s="19">
        <f t="shared" ref="AC48" si="71">(AC47-Z47)/Z47</f>
        <v>0.3597188755020081</v>
      </c>
      <c r="AD48" s="73">
        <f>AB48+10%</f>
        <v>0.44999999999999996</v>
      </c>
      <c r="AE48" s="73">
        <f>AD48</f>
        <v>0.44999999999999996</v>
      </c>
      <c r="AF48" s="19">
        <f t="shared" ref="AF48" si="72">(AF47-AC47)/AC47</f>
        <v>7.5205028994496381E-2</v>
      </c>
      <c r="AG48" s="73">
        <f>AE48+10%</f>
        <v>0.54999999999999993</v>
      </c>
      <c r="AH48" s="73">
        <f>AG48</f>
        <v>0.54999999999999993</v>
      </c>
      <c r="AI48" s="19">
        <f t="shared" ref="AI48" si="73">(AI47-AF47)/AF47</f>
        <v>0.35059800881454461</v>
      </c>
    </row>
    <row r="49" spans="2:35" ht="12.9" customHeight="1" x14ac:dyDescent="0.3">
      <c r="B49" s="6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</row>
    <row r="50" spans="2:35" ht="12.9" customHeight="1" x14ac:dyDescent="0.3">
      <c r="B50" s="37" t="s">
        <v>140</v>
      </c>
      <c r="C50" s="18"/>
      <c r="D50" s="66">
        <f t="shared" si="34"/>
        <v>0</v>
      </c>
      <c r="E50" s="18"/>
      <c r="F50" s="18"/>
      <c r="G50" s="12">
        <f t="shared" si="35"/>
        <v>0</v>
      </c>
      <c r="H50" s="18"/>
      <c r="I50" s="18"/>
      <c r="J50" s="12">
        <f t="shared" si="36"/>
        <v>0</v>
      </c>
      <c r="K50" s="18"/>
      <c r="L50" s="18"/>
      <c r="M50" s="12">
        <f>N50-L50</f>
        <v>0</v>
      </c>
      <c r="N50" s="18"/>
      <c r="P50" s="12">
        <f t="shared" si="37"/>
        <v>0</v>
      </c>
      <c r="Q50" s="66"/>
      <c r="R50" s="66">
        <v>3.2</v>
      </c>
      <c r="S50" s="12">
        <f t="shared" ref="S50" si="74">T50-R50</f>
        <v>23.1</v>
      </c>
      <c r="T50" s="66">
        <v>26.3</v>
      </c>
      <c r="U50" s="21">
        <f>U51*(U45+U47)</f>
        <v>16.832999999999998</v>
      </c>
      <c r="V50" s="21">
        <f>V51*(V45+V47)</f>
        <v>18.741299999999999</v>
      </c>
      <c r="W50" s="21">
        <f>U50+V50</f>
        <v>35.574299999999994</v>
      </c>
      <c r="X50" s="21">
        <f>X51*(X45+X47)</f>
        <v>39.537710000000004</v>
      </c>
      <c r="Y50" s="21">
        <f>Y51*(Y45+Y47)</f>
        <v>41.008271999999998</v>
      </c>
      <c r="Z50" s="21">
        <f>X50+Y50</f>
        <v>80.545982000000009</v>
      </c>
      <c r="AA50" s="21">
        <f>AA51*(AA45+AA47)</f>
        <v>60.678548100000008</v>
      </c>
      <c r="AB50" s="21">
        <f>AB51*(AB45+AB47)</f>
        <v>58.60360458000001</v>
      </c>
      <c r="AC50" s="21">
        <f>AA50+AB50</f>
        <v>119.28215268000002</v>
      </c>
      <c r="AD50" s="21">
        <f>AD51*(AD45+AD47)</f>
        <v>66.688382525333324</v>
      </c>
      <c r="AE50" s="21">
        <f>AE51*(AE45+AE47)</f>
        <v>64.393375301799978</v>
      </c>
      <c r="AF50" s="21">
        <f>AD50+AE50</f>
        <v>131.08175782713329</v>
      </c>
      <c r="AG50" s="21">
        <f>AG51*(AG45+AG47)</f>
        <v>72.600379959927807</v>
      </c>
      <c r="AH50" s="21">
        <f>AH51*(AH45+AH47)</f>
        <v>81.456170063766663</v>
      </c>
      <c r="AI50" s="21">
        <f>AG50+AH50</f>
        <v>154.05655002369446</v>
      </c>
    </row>
    <row r="51" spans="2:35" ht="12.9" customHeight="1" x14ac:dyDescent="0.3">
      <c r="B51" s="38" t="s">
        <v>135</v>
      </c>
      <c r="C51" s="18"/>
      <c r="D51" s="66"/>
      <c r="E51" s="18"/>
      <c r="F51" s="18"/>
      <c r="H51" s="18"/>
      <c r="I51" s="18"/>
      <c r="K51" s="18"/>
      <c r="L51" s="18"/>
      <c r="N51" s="18"/>
      <c r="Q51" s="19"/>
      <c r="R51" s="19">
        <f>R50/(R45+R47)</f>
        <v>4.5133991537376586E-2</v>
      </c>
      <c r="S51" s="19">
        <f>S50/(S45+S47)</f>
        <v>0.19526627218934911</v>
      </c>
      <c r="T51" s="19">
        <f>T50/(T45+T47)</f>
        <v>0.21646090534979426</v>
      </c>
      <c r="U51" s="73">
        <v>0.15</v>
      </c>
      <c r="V51" s="73">
        <f>U51</f>
        <v>0.15</v>
      </c>
      <c r="W51" s="133">
        <f>W50/(W45+W47)</f>
        <v>0.2509208252512784</v>
      </c>
      <c r="X51" s="73">
        <f>V51+15%</f>
        <v>0.3</v>
      </c>
      <c r="Y51" s="73">
        <f>X51</f>
        <v>0.3</v>
      </c>
      <c r="Z51" s="133">
        <f>Z50/(Z45+Z47)</f>
        <v>0.45704528605624578</v>
      </c>
      <c r="AA51" s="73">
        <f>Y51+15%</f>
        <v>0.44999999999999996</v>
      </c>
      <c r="AB51" s="73">
        <f>AA51</f>
        <v>0.44999999999999996</v>
      </c>
      <c r="AC51" s="133">
        <f>AC50/(AC45+AC47)</f>
        <v>0.62481229185789089</v>
      </c>
      <c r="AD51" s="73">
        <f>AB51+15%</f>
        <v>0.6</v>
      </c>
      <c r="AE51" s="73">
        <f>AD51</f>
        <v>0.6</v>
      </c>
      <c r="AF51" s="133">
        <f>AF50/(AF45+AF47)</f>
        <v>0.75329722189106474</v>
      </c>
      <c r="AG51" s="73">
        <f>AE51+15%</f>
        <v>0.75</v>
      </c>
      <c r="AH51" s="73">
        <f>AG51</f>
        <v>0.75</v>
      </c>
      <c r="AI51" s="133">
        <f>AI50/(AI45+AI47)</f>
        <v>0.85016132963743163</v>
      </c>
    </row>
    <row r="52" spans="2:35" ht="12.9" customHeight="1" x14ac:dyDescent="0.3">
      <c r="B52" s="37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</row>
    <row r="53" spans="2:35" ht="12.9" customHeight="1" x14ac:dyDescent="0.3">
      <c r="B53" s="37" t="s">
        <v>141</v>
      </c>
      <c r="D53" s="20">
        <f t="shared" ref="D53" si="75">E53</f>
        <v>0</v>
      </c>
      <c r="E53" s="66"/>
      <c r="G53" s="20">
        <f t="shared" ref="G53" si="76">H53</f>
        <v>0</v>
      </c>
      <c r="H53" s="66"/>
      <c r="I53" s="66"/>
      <c r="J53" s="20">
        <f t="shared" ref="J53" si="77">K53</f>
        <v>0</v>
      </c>
      <c r="K53" s="66"/>
      <c r="L53" s="66"/>
      <c r="M53" s="20">
        <f t="shared" ref="M53" si="78">N53</f>
        <v>0</v>
      </c>
      <c r="N53" s="66"/>
      <c r="P53" s="20">
        <f t="shared" ref="P53" si="79">Q53</f>
        <v>26.5</v>
      </c>
      <c r="Q53" s="66">
        <v>26.5</v>
      </c>
      <c r="R53" s="66">
        <v>67.7</v>
      </c>
      <c r="S53" s="20">
        <f t="shared" ref="S53" si="80">T53</f>
        <v>95.2</v>
      </c>
      <c r="T53" s="66">
        <v>95.2</v>
      </c>
      <c r="U53" s="31">
        <f t="shared" ref="U53:AI53" si="81">U45+U47-U50</f>
        <v>95.387</v>
      </c>
      <c r="V53" s="31">
        <f t="shared" si="81"/>
        <v>106.2007</v>
      </c>
      <c r="W53" s="31">
        <f t="shared" si="81"/>
        <v>106.20070000000001</v>
      </c>
      <c r="X53" s="31">
        <f t="shared" si="81"/>
        <v>92.254656666666676</v>
      </c>
      <c r="Y53" s="31">
        <f t="shared" si="81"/>
        <v>95.685968000000003</v>
      </c>
      <c r="Z53" s="31">
        <f t="shared" si="81"/>
        <v>95.685968000000003</v>
      </c>
      <c r="AA53" s="31">
        <f t="shared" si="81"/>
        <v>74.162669900000026</v>
      </c>
      <c r="AB53" s="31">
        <f t="shared" si="81"/>
        <v>71.626627820000024</v>
      </c>
      <c r="AC53" s="31">
        <f t="shared" si="81"/>
        <v>71.626627819999982</v>
      </c>
      <c r="AD53" s="31">
        <f t="shared" si="81"/>
        <v>44.458921683555545</v>
      </c>
      <c r="AE53" s="31">
        <f t="shared" si="81"/>
        <v>42.928916867866661</v>
      </c>
      <c r="AF53" s="31">
        <f t="shared" si="81"/>
        <v>42.92891686786669</v>
      </c>
      <c r="AG53" s="31">
        <f t="shared" si="81"/>
        <v>24.200126653309269</v>
      </c>
      <c r="AH53" s="31">
        <f t="shared" si="81"/>
        <v>27.152056687922226</v>
      </c>
      <c r="AI53" s="31">
        <f t="shared" si="81"/>
        <v>27.152056687922226</v>
      </c>
    </row>
    <row r="54" spans="2:35" ht="12.9" customHeight="1" x14ac:dyDescent="0.3">
      <c r="B54" s="37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</row>
    <row r="55" spans="2:35" ht="12.9" customHeight="1" x14ac:dyDescent="0.3">
      <c r="B55" s="37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</row>
    <row r="56" spans="2:35" ht="12.9" customHeight="1" x14ac:dyDescent="0.3">
      <c r="B56" s="354" t="s">
        <v>123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</row>
    <row r="57" spans="2:35" ht="12.9" customHeight="1" x14ac:dyDescent="0.3">
      <c r="B57" s="19" t="s">
        <v>139</v>
      </c>
      <c r="D57" s="21">
        <f t="shared" ref="D57:S57" si="82">C65</f>
        <v>0</v>
      </c>
      <c r="E57" s="21"/>
      <c r="F57" s="21">
        <f t="shared" si="82"/>
        <v>2.9</v>
      </c>
      <c r="G57" s="21">
        <f t="shared" si="82"/>
        <v>1.8</v>
      </c>
      <c r="H57" s="21">
        <f>E65</f>
        <v>2.9</v>
      </c>
      <c r="I57" s="21">
        <f t="shared" si="82"/>
        <v>19.100000000000001</v>
      </c>
      <c r="J57" s="21">
        <f t="shared" si="82"/>
        <v>4</v>
      </c>
      <c r="K57" s="21">
        <f>H65</f>
        <v>19.100000000000001</v>
      </c>
      <c r="L57" s="21">
        <f t="shared" si="82"/>
        <v>6.9</v>
      </c>
      <c r="M57" s="21">
        <f t="shared" si="82"/>
        <v>6.3</v>
      </c>
      <c r="N57" s="21">
        <f>K65</f>
        <v>6.9</v>
      </c>
      <c r="O57" s="21">
        <f t="shared" si="82"/>
        <v>8.1999999999999993</v>
      </c>
      <c r="P57" s="21">
        <f t="shared" si="82"/>
        <v>12.5</v>
      </c>
      <c r="Q57" s="21">
        <f>N65</f>
        <v>8.1999999999999993</v>
      </c>
      <c r="R57" s="21">
        <f t="shared" si="82"/>
        <v>19.7</v>
      </c>
      <c r="S57" s="21">
        <f t="shared" si="82"/>
        <v>6.2</v>
      </c>
      <c r="T57" s="21">
        <f>Q65</f>
        <v>19.7</v>
      </c>
      <c r="U57" s="21">
        <f t="shared" ref="U57:AH57" si="83">T65</f>
        <v>29.6</v>
      </c>
      <c r="V57" s="21">
        <f t="shared" si="83"/>
        <v>23.417999999999999</v>
      </c>
      <c r="W57" s="21">
        <f>T65</f>
        <v>29.6</v>
      </c>
      <c r="X57" s="21">
        <f t="shared" si="83"/>
        <v>34.957799999999999</v>
      </c>
      <c r="Y57" s="21">
        <f t="shared" si="83"/>
        <v>23.943483333333333</v>
      </c>
      <c r="Z57" s="21">
        <f>W65</f>
        <v>34.957799999999999</v>
      </c>
      <c r="AA57" s="21">
        <f t="shared" si="83"/>
        <v>29.835283333333322</v>
      </c>
      <c r="AB57" s="21">
        <f t="shared" si="83"/>
        <v>16.444763333333327</v>
      </c>
      <c r="AC57" s="21">
        <f>Z65</f>
        <v>29.835283333333322</v>
      </c>
      <c r="AD57" s="21">
        <f t="shared" si="83"/>
        <v>27.020880333333324</v>
      </c>
      <c r="AE57" s="21">
        <f t="shared" si="83"/>
        <v>12.983453891666663</v>
      </c>
      <c r="AF57" s="21">
        <f>AC65</f>
        <v>27.020880333333324</v>
      </c>
      <c r="AG57" s="21">
        <f t="shared" si="83"/>
        <v>21.538566688333333</v>
      </c>
      <c r="AH57" s="21">
        <f t="shared" si="83"/>
        <v>8.4888994047962996</v>
      </c>
      <c r="AI57" s="21">
        <f>AF65</f>
        <v>21.538566688333333</v>
      </c>
    </row>
    <row r="58" spans="2:35" ht="12.9" customHeight="1" x14ac:dyDescent="0.3">
      <c r="B58" s="37"/>
      <c r="C58" s="11"/>
      <c r="D58" s="11"/>
      <c r="E58" s="11"/>
      <c r="F58" s="11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</row>
    <row r="59" spans="2:35" ht="12.9" customHeight="1" x14ac:dyDescent="0.3">
      <c r="B59" s="37" t="s">
        <v>142</v>
      </c>
      <c r="C59" s="31">
        <f t="shared" ref="C59:S59" si="84">C65-C57+C62</f>
        <v>0</v>
      </c>
      <c r="D59" s="31">
        <f t="shared" si="84"/>
        <v>2.9</v>
      </c>
      <c r="E59" s="31">
        <f t="shared" si="84"/>
        <v>2.9</v>
      </c>
      <c r="F59" s="31">
        <f t="shared" si="84"/>
        <v>9.2000000000000011</v>
      </c>
      <c r="G59" s="31">
        <f t="shared" si="84"/>
        <v>24.4</v>
      </c>
      <c r="H59" s="31">
        <f t="shared" si="84"/>
        <v>33.6</v>
      </c>
      <c r="I59" s="31">
        <f t="shared" si="84"/>
        <v>-10.700000000000001</v>
      </c>
      <c r="J59" s="31">
        <f t="shared" si="84"/>
        <v>28.799999999999997</v>
      </c>
      <c r="K59" s="31">
        <f t="shared" si="84"/>
        <v>18.100000000000001</v>
      </c>
      <c r="L59" s="31">
        <f t="shared" si="84"/>
        <v>2.9999999999999996</v>
      </c>
      <c r="M59" s="31">
        <f t="shared" si="84"/>
        <v>40</v>
      </c>
      <c r="N59" s="31">
        <f t="shared" si="84"/>
        <v>43</v>
      </c>
      <c r="O59" s="31">
        <f t="shared" si="84"/>
        <v>18.899999999999999</v>
      </c>
      <c r="P59" s="31">
        <f t="shared" si="84"/>
        <v>7.9</v>
      </c>
      <c r="Q59" s="31">
        <f t="shared" si="84"/>
        <v>26.8</v>
      </c>
      <c r="R59" s="31">
        <f t="shared" si="84"/>
        <v>2.6999999999999993</v>
      </c>
      <c r="S59" s="31">
        <f t="shared" si="84"/>
        <v>43</v>
      </c>
      <c r="T59" s="31">
        <f>R59+S59</f>
        <v>45.7</v>
      </c>
      <c r="U59" s="31">
        <f>AVERAGE(MAX(L59,0),MAX(O59,0),MAX(R59,0))*(1+U60)</f>
        <v>9.4299999999999979</v>
      </c>
      <c r="V59" s="31">
        <f>AVERAGE(MAX(M59,0),MAX(P59,0),MAX(S59,0))*(1+V60)</f>
        <v>34.844999999999999</v>
      </c>
      <c r="W59" s="31">
        <f>U59+V59</f>
        <v>44.274999999999999</v>
      </c>
      <c r="X59" s="31">
        <f>AVERAGE(MAX(O59,0),MAX(R59,0),MAX(U59,0))*(1+X60)</f>
        <v>12.929166666666665</v>
      </c>
      <c r="Y59" s="31">
        <f>AVERAGE(MAX(P59,0),MAX(S59,0),MAX(V59,0))*(1+Y60)</f>
        <v>35.727083333333333</v>
      </c>
      <c r="Z59" s="31">
        <f>X59+Y59</f>
        <v>48.65625</v>
      </c>
      <c r="AA59" s="31">
        <f>AVERAGE(MAX(R59,0),MAX(U59,0),MAX(X59,0))*(1+AA60)</f>
        <v>11.276624999999999</v>
      </c>
      <c r="AB59" s="31">
        <f>AVERAGE(MAX(S59,0),MAX(V59,0),MAX(Y59,0))*(1+AB60)</f>
        <v>51.107437500000003</v>
      </c>
      <c r="AC59" s="31">
        <f>AA59+AB59</f>
        <v>62.384062499999999</v>
      </c>
      <c r="AD59" s="31">
        <f>AVERAGE(MAX(U59,0),MAX(X59,0),MAX(AA59,0))*(1+AD60)</f>
        <v>16.257299305555552</v>
      </c>
      <c r="AE59" s="31">
        <f>AVERAGE(MAX(V59,0),MAX(Y59,0),MAX(AB59,0))*(1+AE60)</f>
        <v>58.811768402777773</v>
      </c>
      <c r="AF59" s="31">
        <f>AD59+AE59</f>
        <v>75.069067708333321</v>
      </c>
      <c r="AG59" s="31">
        <f>AVERAGE(MAX(X59,0),MAX(AA59,0),MAX(AD59,0))*(1+AG60)</f>
        <v>20.905930335648144</v>
      </c>
      <c r="AH59" s="31">
        <f>AVERAGE(MAX(Y59,0),MAX(AB59,0),MAX(AE59,0))*(1+AH60)</f>
        <v>75.250582771990722</v>
      </c>
      <c r="AI59" s="31">
        <f>AG59+AH59</f>
        <v>96.156513107638858</v>
      </c>
    </row>
    <row r="60" spans="2:35" ht="12.9" customHeight="1" x14ac:dyDescent="0.3">
      <c r="B60" s="37" t="s">
        <v>130</v>
      </c>
      <c r="C60" s="11"/>
      <c r="D60" s="11"/>
      <c r="E60" s="11"/>
      <c r="F60" s="11"/>
      <c r="G60" s="33"/>
      <c r="H60" s="19">
        <f t="shared" ref="H60:T60" si="85">(H59-E59)/E59</f>
        <v>10.586206896551726</v>
      </c>
      <c r="I60" s="19">
        <f t="shared" si="85"/>
        <v>-2.1630434782608696</v>
      </c>
      <c r="J60" s="19">
        <f t="shared" si="85"/>
        <v>0.18032786885245897</v>
      </c>
      <c r="K60" s="19">
        <f t="shared" si="85"/>
        <v>-0.46130952380952378</v>
      </c>
      <c r="L60" s="19">
        <f t="shared" si="85"/>
        <v>-1.280373831775701</v>
      </c>
      <c r="M60" s="19">
        <f t="shared" si="85"/>
        <v>0.38888888888888901</v>
      </c>
      <c r="N60" s="19">
        <f t="shared" si="85"/>
        <v>1.3756906077348063</v>
      </c>
      <c r="O60" s="19">
        <f t="shared" si="85"/>
        <v>5.3000000000000007</v>
      </c>
      <c r="P60" s="19">
        <f t="shared" si="85"/>
        <v>-0.80249999999999999</v>
      </c>
      <c r="Q60" s="19">
        <f t="shared" si="85"/>
        <v>-0.37674418604651161</v>
      </c>
      <c r="R60" s="19">
        <f t="shared" si="85"/>
        <v>-0.85714285714285721</v>
      </c>
      <c r="S60" s="19">
        <f t="shared" si="85"/>
        <v>4.443037974683544</v>
      </c>
      <c r="T60" s="19">
        <f t="shared" si="85"/>
        <v>0.70522388059701502</v>
      </c>
      <c r="U60" s="73">
        <v>0.15</v>
      </c>
      <c r="V60" s="73">
        <f>U60</f>
        <v>0.15</v>
      </c>
      <c r="W60" s="19">
        <f t="shared" ref="W60" si="86">(W59-T59)/T59</f>
        <v>-3.1181619256017597E-2</v>
      </c>
      <c r="X60" s="73">
        <f>V60+10%</f>
        <v>0.25</v>
      </c>
      <c r="Y60" s="73">
        <f>X60</f>
        <v>0.25</v>
      </c>
      <c r="Z60" s="19">
        <f t="shared" ref="Z60" si="87">(Z59-W59)/W59</f>
        <v>9.8955392433653339E-2</v>
      </c>
      <c r="AA60" s="73">
        <f>Y60+10%</f>
        <v>0.35</v>
      </c>
      <c r="AB60" s="73">
        <f>AA60</f>
        <v>0.35</v>
      </c>
      <c r="AC60" s="19">
        <f t="shared" ref="AC60" si="88">(AC59-Z59)/Z59</f>
        <v>0.28213872832369941</v>
      </c>
      <c r="AD60" s="73">
        <f>AB60+10%</f>
        <v>0.44999999999999996</v>
      </c>
      <c r="AE60" s="73">
        <f>AD60</f>
        <v>0.44999999999999996</v>
      </c>
      <c r="AF60" s="19">
        <f t="shared" ref="AF60" si="89">(AF59-AC59)/AC59</f>
        <v>0.20333727397655968</v>
      </c>
      <c r="AG60" s="73">
        <f>AE60+10%</f>
        <v>0.54999999999999993</v>
      </c>
      <c r="AH60" s="73">
        <f>AG60</f>
        <v>0.54999999999999993</v>
      </c>
      <c r="AI60" s="19">
        <f t="shared" ref="AI60" si="90">(AI59-AF59)/AF59</f>
        <v>0.28090725039022491</v>
      </c>
    </row>
    <row r="61" spans="2:35" ht="12.9" customHeight="1" x14ac:dyDescent="0.3">
      <c r="B61" s="6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</row>
    <row r="62" spans="2:35" ht="12.9" customHeight="1" x14ac:dyDescent="0.3">
      <c r="B62" s="37" t="s">
        <v>140</v>
      </c>
      <c r="C62" s="18"/>
      <c r="D62" s="18">
        <f t="shared" si="34"/>
        <v>0</v>
      </c>
      <c r="E62" s="66"/>
      <c r="F62" s="66">
        <v>10.3</v>
      </c>
      <c r="G62" s="12">
        <f t="shared" si="35"/>
        <v>7.0999999999999979</v>
      </c>
      <c r="H62" s="66">
        <v>17.399999999999999</v>
      </c>
      <c r="I62" s="66">
        <v>4.4000000000000004</v>
      </c>
      <c r="J62" s="12">
        <f t="shared" si="36"/>
        <v>25.9</v>
      </c>
      <c r="K62" s="66">
        <v>30.3</v>
      </c>
      <c r="L62" s="66">
        <v>3.6</v>
      </c>
      <c r="M62" s="12">
        <f>N62-L62</f>
        <v>38.1</v>
      </c>
      <c r="N62" s="66">
        <v>41.7</v>
      </c>
      <c r="O62" s="66">
        <v>14.6</v>
      </c>
      <c r="P62" s="12">
        <f t="shared" si="37"/>
        <v>0.70000000000000107</v>
      </c>
      <c r="Q62" s="66">
        <v>15.3</v>
      </c>
      <c r="R62" s="66">
        <v>16.2</v>
      </c>
      <c r="S62" s="12">
        <f t="shared" ref="S62" si="91">T62-R62</f>
        <v>19.599999999999998</v>
      </c>
      <c r="T62" s="66">
        <v>35.799999999999997</v>
      </c>
      <c r="U62" s="21">
        <f>U63*(U57+U59)</f>
        <v>15.612000000000002</v>
      </c>
      <c r="V62" s="21">
        <f>V63*(V57+V59)</f>
        <v>23.305199999999999</v>
      </c>
      <c r="W62" s="21">
        <f>U62+V62</f>
        <v>38.917200000000001</v>
      </c>
      <c r="X62" s="21">
        <f>X63*(X57+X59)</f>
        <v>23.943483333333333</v>
      </c>
      <c r="Y62" s="21">
        <f>Y63*(Y57+Y59)</f>
        <v>29.835283333333333</v>
      </c>
      <c r="Z62" s="21">
        <f>X62+Y62</f>
        <v>53.778766666666669</v>
      </c>
      <c r="AA62" s="21">
        <f>AA63*(AA57+AA59)</f>
        <v>24.667144999999991</v>
      </c>
      <c r="AB62" s="21">
        <f>AB63*(AB57+AB59)</f>
        <v>40.5313205</v>
      </c>
      <c r="AC62" s="21">
        <f>AA62+AB62</f>
        <v>65.198465499999998</v>
      </c>
      <c r="AD62" s="21">
        <f>AD63*(AD57+AD59)</f>
        <v>30.294725747222209</v>
      </c>
      <c r="AE62" s="21">
        <f>AE63*(AE57+AE59)</f>
        <v>50.25665560611111</v>
      </c>
      <c r="AF62" s="21">
        <f>AD62+AE62</f>
        <v>80.551381353333312</v>
      </c>
      <c r="AG62" s="21">
        <f>AG63*(AG57+AG59)</f>
        <v>33.955597619185177</v>
      </c>
      <c r="AH62" s="21">
        <f>AH63*(AH57+AH59)</f>
        <v>66.991585741429617</v>
      </c>
      <c r="AI62" s="21">
        <f>AG62+AH62</f>
        <v>100.94718336061479</v>
      </c>
    </row>
    <row r="63" spans="2:35" ht="12.9" customHeight="1" x14ac:dyDescent="0.3">
      <c r="B63" s="38" t="s">
        <v>135</v>
      </c>
      <c r="C63" s="18"/>
      <c r="D63" s="18"/>
      <c r="E63" s="66"/>
      <c r="F63" s="19">
        <f t="shared" ref="F63:T63" si="92">F62/(F57+F59)</f>
        <v>0.85123966942148754</v>
      </c>
      <c r="G63" s="19">
        <f t="shared" si="92"/>
        <v>0.27099236641221369</v>
      </c>
      <c r="H63" s="19">
        <f t="shared" si="92"/>
        <v>0.47671232876712327</v>
      </c>
      <c r="I63" s="19">
        <f t="shared" si="92"/>
        <v>0.52380952380952384</v>
      </c>
      <c r="J63" s="19">
        <f t="shared" si="92"/>
        <v>0.78963414634146345</v>
      </c>
      <c r="K63" s="19">
        <f t="shared" si="92"/>
        <v>0.81451612903225801</v>
      </c>
      <c r="L63" s="19">
        <f t="shared" si="92"/>
        <v>0.36363636363636365</v>
      </c>
      <c r="M63" s="19">
        <f t="shared" si="92"/>
        <v>0.82289416846652275</v>
      </c>
      <c r="N63" s="19">
        <f t="shared" si="92"/>
        <v>0.8356713426853708</v>
      </c>
      <c r="O63" s="19">
        <f t="shared" si="92"/>
        <v>0.53874538745387457</v>
      </c>
      <c r="P63" s="19">
        <f t="shared" si="92"/>
        <v>3.431372549019613E-2</v>
      </c>
      <c r="Q63" s="19">
        <f t="shared" si="92"/>
        <v>0.43714285714285717</v>
      </c>
      <c r="R63" s="19">
        <f t="shared" si="92"/>
        <v>0.7232142857142857</v>
      </c>
      <c r="S63" s="19">
        <f t="shared" si="92"/>
        <v>0.39837398373983735</v>
      </c>
      <c r="T63" s="133">
        <f t="shared" si="92"/>
        <v>0.54740061162079501</v>
      </c>
      <c r="U63" s="73">
        <v>0.4</v>
      </c>
      <c r="V63" s="73">
        <f>U63</f>
        <v>0.4</v>
      </c>
      <c r="W63" s="133">
        <f>W62/(W57+W59)</f>
        <v>0.52679796954314717</v>
      </c>
      <c r="X63" s="73">
        <f>V63+10%</f>
        <v>0.5</v>
      </c>
      <c r="Y63" s="73">
        <f>X63</f>
        <v>0.5</v>
      </c>
      <c r="Z63" s="133">
        <f>Z62/(Z57+Z59)</f>
        <v>0.64317858860642052</v>
      </c>
      <c r="AA63" s="73">
        <f>Y63+10%</f>
        <v>0.6</v>
      </c>
      <c r="AB63" s="73">
        <f>AA63</f>
        <v>0.6</v>
      </c>
      <c r="AC63" s="133">
        <f>AC62/(AC57+AC59)</f>
        <v>0.70699336360325338</v>
      </c>
      <c r="AD63" s="73">
        <f>AB63+10%</f>
        <v>0.7</v>
      </c>
      <c r="AE63" s="73">
        <f>AD63</f>
        <v>0.7</v>
      </c>
      <c r="AF63" s="133">
        <f>AF62/(AF57+AF59)</f>
        <v>0.78902362963743844</v>
      </c>
      <c r="AG63" s="73">
        <f>AE63+10%</f>
        <v>0.79999999999999993</v>
      </c>
      <c r="AH63" s="73">
        <f>AG63</f>
        <v>0.79999999999999993</v>
      </c>
      <c r="AI63" s="133">
        <f>AI62/(AI57+AI59)</f>
        <v>0.85770096367332971</v>
      </c>
    </row>
    <row r="64" spans="2:35" ht="12.9" customHeight="1" x14ac:dyDescent="0.3">
      <c r="B64" s="37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</row>
    <row r="65" spans="2:35" ht="12.9" customHeight="1" x14ac:dyDescent="0.3">
      <c r="B65" s="37" t="s">
        <v>141</v>
      </c>
      <c r="D65" s="20">
        <f t="shared" ref="D65" si="93">E65</f>
        <v>2.9</v>
      </c>
      <c r="E65" s="66">
        <v>2.9</v>
      </c>
      <c r="F65" s="66">
        <v>1.8</v>
      </c>
      <c r="G65" s="20">
        <f t="shared" ref="G65" si="94">H65</f>
        <v>19.100000000000001</v>
      </c>
      <c r="H65" s="66">
        <v>19.100000000000001</v>
      </c>
      <c r="I65" s="66">
        <v>4</v>
      </c>
      <c r="J65" s="20">
        <f t="shared" ref="J65" si="95">K65</f>
        <v>6.9</v>
      </c>
      <c r="K65" s="66">
        <v>6.9</v>
      </c>
      <c r="L65" s="66">
        <v>6.3</v>
      </c>
      <c r="M65" s="20">
        <f t="shared" ref="M65" si="96">N65</f>
        <v>8.1999999999999993</v>
      </c>
      <c r="N65" s="66">
        <v>8.1999999999999993</v>
      </c>
      <c r="O65" s="66">
        <v>12.5</v>
      </c>
      <c r="P65" s="20">
        <f t="shared" ref="P65" si="97">Q65</f>
        <v>19.7</v>
      </c>
      <c r="Q65" s="66">
        <v>19.7</v>
      </c>
      <c r="R65" s="66">
        <v>6.2</v>
      </c>
      <c r="S65" s="20">
        <f t="shared" ref="S65" si="98">T65</f>
        <v>29.6</v>
      </c>
      <c r="T65" s="66">
        <v>29.6</v>
      </c>
      <c r="U65" s="31">
        <f t="shared" ref="U65:AI65" si="99">U57+U59-U62</f>
        <v>23.417999999999999</v>
      </c>
      <c r="V65" s="31">
        <f t="shared" si="99"/>
        <v>34.957799999999999</v>
      </c>
      <c r="W65" s="31">
        <f t="shared" si="99"/>
        <v>34.957799999999999</v>
      </c>
      <c r="X65" s="31">
        <f t="shared" si="99"/>
        <v>23.943483333333333</v>
      </c>
      <c r="Y65" s="31">
        <f t="shared" si="99"/>
        <v>29.835283333333333</v>
      </c>
      <c r="Z65" s="31">
        <f t="shared" si="99"/>
        <v>29.835283333333322</v>
      </c>
      <c r="AA65" s="31">
        <f t="shared" si="99"/>
        <v>16.444763333333327</v>
      </c>
      <c r="AB65" s="31">
        <f t="shared" si="99"/>
        <v>27.020880333333331</v>
      </c>
      <c r="AC65" s="31">
        <f t="shared" si="99"/>
        <v>27.020880333333324</v>
      </c>
      <c r="AD65" s="31">
        <f t="shared" si="99"/>
        <v>12.983453891666663</v>
      </c>
      <c r="AE65" s="31">
        <f t="shared" si="99"/>
        <v>21.538566688333333</v>
      </c>
      <c r="AF65" s="31">
        <f t="shared" si="99"/>
        <v>21.538566688333333</v>
      </c>
      <c r="AG65" s="31">
        <f t="shared" si="99"/>
        <v>8.4888994047962996</v>
      </c>
      <c r="AH65" s="31">
        <f t="shared" si="99"/>
        <v>16.747896435357404</v>
      </c>
      <c r="AI65" s="31">
        <f t="shared" si="99"/>
        <v>16.747896435357404</v>
      </c>
    </row>
    <row r="66" spans="2:35" ht="12.9" customHeight="1" x14ac:dyDescent="0.3">
      <c r="B66" s="37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</row>
    <row r="67" spans="2:35" ht="12.9" customHeight="1" x14ac:dyDescent="0.3">
      <c r="B67" s="38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</row>
    <row r="68" spans="2:35" s="6" customFormat="1" ht="12.9" customHeight="1" x14ac:dyDescent="0.3">
      <c r="B68" s="47" t="s">
        <v>144</v>
      </c>
      <c r="C68" s="48">
        <f t="shared" ref="C68:AI68" si="100">C17+C29+C41+C53+C65</f>
        <v>0</v>
      </c>
      <c r="D68" s="48">
        <f t="shared" si="100"/>
        <v>256</v>
      </c>
      <c r="E68" s="48">
        <f t="shared" si="100"/>
        <v>256</v>
      </c>
      <c r="F68" s="48">
        <f t="shared" si="100"/>
        <v>298.5</v>
      </c>
      <c r="G68" s="48">
        <f t="shared" si="100"/>
        <v>393.3</v>
      </c>
      <c r="H68" s="48">
        <f t="shared" si="100"/>
        <v>393.3</v>
      </c>
      <c r="I68" s="48">
        <f t="shared" si="100"/>
        <v>536.20000000000005</v>
      </c>
      <c r="J68" s="48">
        <f t="shared" si="100"/>
        <v>530</v>
      </c>
      <c r="K68" s="48">
        <f t="shared" si="100"/>
        <v>530</v>
      </c>
      <c r="L68" s="48">
        <f t="shared" si="100"/>
        <v>819.3</v>
      </c>
      <c r="M68" s="48">
        <f t="shared" si="100"/>
        <v>854.1</v>
      </c>
      <c r="N68" s="48">
        <f t="shared" si="100"/>
        <v>854.1</v>
      </c>
      <c r="O68" s="48">
        <f t="shared" si="100"/>
        <v>882.6</v>
      </c>
      <c r="P68" s="48">
        <f t="shared" si="100"/>
        <v>741.30000000000007</v>
      </c>
      <c r="Q68" s="48">
        <f t="shared" si="100"/>
        <v>741.30000000000007</v>
      </c>
      <c r="R68" s="48">
        <f t="shared" si="100"/>
        <v>568</v>
      </c>
      <c r="S68" s="48">
        <f t="shared" si="100"/>
        <v>768.90000000000009</v>
      </c>
      <c r="T68" s="48">
        <f t="shared" si="100"/>
        <v>768.90000000000009</v>
      </c>
      <c r="U68" s="48">
        <f t="shared" si="100"/>
        <v>738.65605259653796</v>
      </c>
      <c r="V68" s="48">
        <f t="shared" si="100"/>
        <v>792.7621249445184</v>
      </c>
      <c r="W68" s="48">
        <f t="shared" si="100"/>
        <v>792.76212494451852</v>
      </c>
      <c r="X68" s="48">
        <f t="shared" si="100"/>
        <v>679.59300290945419</v>
      </c>
      <c r="Y68" s="48">
        <f t="shared" si="100"/>
        <v>691.47746838326668</v>
      </c>
      <c r="Z68" s="48">
        <f t="shared" si="100"/>
        <v>691.47746838326668</v>
      </c>
      <c r="AA68" s="48">
        <f t="shared" si="100"/>
        <v>551.79311362056148</v>
      </c>
      <c r="AB68" s="48">
        <f t="shared" si="100"/>
        <v>600.40423687803843</v>
      </c>
      <c r="AC68" s="48">
        <f t="shared" si="100"/>
        <v>600.40423687803832</v>
      </c>
      <c r="AD68" s="48">
        <f t="shared" si="100"/>
        <v>469.26263814518143</v>
      </c>
      <c r="AE68" s="48">
        <f t="shared" si="100"/>
        <v>490.9851735038597</v>
      </c>
      <c r="AF68" s="48">
        <f t="shared" si="100"/>
        <v>490.98517350385976</v>
      </c>
      <c r="AG68" s="48">
        <f t="shared" si="100"/>
        <v>375.8777339089479</v>
      </c>
      <c r="AH68" s="48">
        <f t="shared" si="100"/>
        <v>411.75380247447816</v>
      </c>
      <c r="AI68" s="48">
        <f t="shared" si="100"/>
        <v>411.75380247447828</v>
      </c>
    </row>
    <row r="69" spans="2:35" s="6" customFormat="1" ht="12.9" customHeight="1" x14ac:dyDescent="0.3">
      <c r="B69" s="47" t="s">
        <v>143</v>
      </c>
      <c r="C69" s="6">
        <f t="shared" ref="C69:AI69" si="101">C14+C26+C38+C50+C62</f>
        <v>0</v>
      </c>
      <c r="D69" s="6">
        <f t="shared" si="101"/>
        <v>0</v>
      </c>
      <c r="E69" s="6">
        <f t="shared" si="101"/>
        <v>0</v>
      </c>
      <c r="F69" s="6">
        <f t="shared" si="101"/>
        <v>141.10000000000002</v>
      </c>
      <c r="G69" s="6">
        <f t="shared" si="101"/>
        <v>147.1</v>
      </c>
      <c r="H69" s="6">
        <f t="shared" si="101"/>
        <v>288.2</v>
      </c>
      <c r="I69" s="6">
        <f t="shared" si="101"/>
        <v>152.60000000000002</v>
      </c>
      <c r="J69" s="6">
        <f t="shared" si="101"/>
        <v>258.60000000000002</v>
      </c>
      <c r="K69" s="6">
        <f t="shared" si="101"/>
        <v>411.20000000000005</v>
      </c>
      <c r="L69" s="6">
        <f t="shared" si="101"/>
        <v>137.4</v>
      </c>
      <c r="M69" s="6">
        <f t="shared" si="101"/>
        <v>413.10000000000008</v>
      </c>
      <c r="N69" s="6">
        <f t="shared" si="101"/>
        <v>550.5</v>
      </c>
      <c r="O69" s="6">
        <f t="shared" si="101"/>
        <v>339.00000000000006</v>
      </c>
      <c r="P69" s="6">
        <f t="shared" si="101"/>
        <v>369.3</v>
      </c>
      <c r="Q69" s="6">
        <f t="shared" si="101"/>
        <v>708.3</v>
      </c>
      <c r="R69" s="6">
        <f t="shared" si="101"/>
        <v>407.5</v>
      </c>
      <c r="S69" s="49">
        <f t="shared" si="101"/>
        <v>414.8</v>
      </c>
      <c r="T69" s="49">
        <f t="shared" si="101"/>
        <v>822.29999999999984</v>
      </c>
      <c r="U69" s="49">
        <f t="shared" si="101"/>
        <v>429.82017243675108</v>
      </c>
      <c r="V69" s="49">
        <f t="shared" si="101"/>
        <v>466.22057789613854</v>
      </c>
      <c r="W69" s="49">
        <f t="shared" si="101"/>
        <v>896.0407503328895</v>
      </c>
      <c r="X69" s="49">
        <f t="shared" si="101"/>
        <v>532.98037247891716</v>
      </c>
      <c r="Y69" s="49">
        <f t="shared" si="101"/>
        <v>546.89989795716826</v>
      </c>
      <c r="Z69" s="49">
        <f t="shared" si="101"/>
        <v>1079.8802704360853</v>
      </c>
      <c r="AA69" s="49">
        <f t="shared" si="101"/>
        <v>605.65162231596776</v>
      </c>
      <c r="AB69" s="49">
        <f t="shared" si="101"/>
        <v>661.98946854617748</v>
      </c>
      <c r="AC69" s="49">
        <f t="shared" si="101"/>
        <v>1267.6410908621451</v>
      </c>
      <c r="AD69" s="49">
        <f t="shared" si="101"/>
        <v>739.76519428416987</v>
      </c>
      <c r="AE69" s="49">
        <f t="shared" si="101"/>
        <v>761.0660508237404</v>
      </c>
      <c r="AF69" s="49">
        <f t="shared" si="101"/>
        <v>1500.8312451079103</v>
      </c>
      <c r="AG69" s="49">
        <f t="shared" si="101"/>
        <v>869.14375434859801</v>
      </c>
      <c r="AH69" s="49">
        <f t="shared" si="101"/>
        <v>916.22094092386521</v>
      </c>
      <c r="AI69" s="49">
        <f t="shared" si="101"/>
        <v>1785.3646952724632</v>
      </c>
    </row>
    <row r="70" spans="2:35" ht="12.9" customHeight="1" x14ac:dyDescent="0.3">
      <c r="B70" s="37" t="s">
        <v>167</v>
      </c>
      <c r="I70" s="19">
        <f>(I69-F69)/F69</f>
        <v>8.1502480510276393E-2</v>
      </c>
      <c r="J70" s="19">
        <f t="shared" ref="J70:AH70" si="102">(J69-G69)/G69</f>
        <v>0.75798776342624086</v>
      </c>
      <c r="K70" s="19">
        <f t="shared" si="102"/>
        <v>0.42678695350451096</v>
      </c>
      <c r="L70" s="19">
        <f t="shared" si="102"/>
        <v>-9.9606815203145571E-2</v>
      </c>
      <c r="M70" s="19">
        <f t="shared" si="102"/>
        <v>0.59744779582366603</v>
      </c>
      <c r="N70" s="19">
        <f t="shared" si="102"/>
        <v>0.33876459143968857</v>
      </c>
      <c r="O70" s="19">
        <f t="shared" si="102"/>
        <v>1.4672489082969435</v>
      </c>
      <c r="P70" s="19">
        <f t="shared" si="102"/>
        <v>-0.1060275962236748</v>
      </c>
      <c r="Q70" s="19">
        <f t="shared" si="102"/>
        <v>0.28664850136239772</v>
      </c>
      <c r="R70" s="19">
        <f t="shared" si="102"/>
        <v>0.20206489675516204</v>
      </c>
      <c r="S70" s="19">
        <f t="shared" si="102"/>
        <v>0.1232060655293799</v>
      </c>
      <c r="T70" s="19">
        <f t="shared" si="102"/>
        <v>0.16094875052943652</v>
      </c>
      <c r="U70" s="19">
        <f t="shared" si="102"/>
        <v>5.4773429292640688E-2</v>
      </c>
      <c r="V70" s="19">
        <f t="shared" si="102"/>
        <v>0.1239647490263706</v>
      </c>
      <c r="W70" s="19">
        <f t="shared" si="102"/>
        <v>8.967621346575419E-2</v>
      </c>
      <c r="X70" s="19">
        <f t="shared" si="102"/>
        <v>0.24000781409892138</v>
      </c>
      <c r="Y70" s="19">
        <f t="shared" si="102"/>
        <v>0.17304967623930773</v>
      </c>
      <c r="Z70" s="19">
        <f t="shared" si="102"/>
        <v>0.20516870469886253</v>
      </c>
      <c r="AA70" s="19">
        <f t="shared" si="102"/>
        <v>0.13634882931814757</v>
      </c>
      <c r="AB70" s="19">
        <f t="shared" si="102"/>
        <v>0.21043991966153688</v>
      </c>
      <c r="AC70" s="19">
        <f t="shared" si="102"/>
        <v>0.1738718870659956</v>
      </c>
      <c r="AD70" s="19">
        <f t="shared" si="102"/>
        <v>0.2214368244492792</v>
      </c>
      <c r="AE70" s="19">
        <f t="shared" si="102"/>
        <v>0.14966489194329496</v>
      </c>
      <c r="AF70" s="19">
        <f t="shared" si="102"/>
        <v>0.18395597612504688</v>
      </c>
      <c r="AG70" s="19">
        <f t="shared" si="102"/>
        <v>0.1748913858938993</v>
      </c>
      <c r="AH70" s="19">
        <f t="shared" si="102"/>
        <v>0.20386520977015438</v>
      </c>
      <c r="AI70" s="19">
        <f>(AI69-AF69)/AF69</f>
        <v>0.18958390631326102</v>
      </c>
    </row>
    <row r="71" spans="2:35" ht="12.9" customHeight="1" x14ac:dyDescent="0.3"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</row>
    <row r="72" spans="2:35" ht="12.9" customHeight="1" x14ac:dyDescent="0.3">
      <c r="B72" s="6" t="s">
        <v>126</v>
      </c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</row>
    <row r="73" spans="2:35" ht="12.9" customHeight="1" x14ac:dyDescent="0.3">
      <c r="B73" s="12" t="s">
        <v>124</v>
      </c>
      <c r="C73" s="18"/>
      <c r="D73" s="12">
        <f t="shared" ref="D73:D81" si="103">E73-C73</f>
        <v>0</v>
      </c>
      <c r="E73" s="66"/>
      <c r="F73" s="66">
        <v>125.2</v>
      </c>
      <c r="G73" s="12">
        <f t="shared" ref="G73:G81" si="104">H73-F73</f>
        <v>135.5</v>
      </c>
      <c r="H73" s="66">
        <v>260.7</v>
      </c>
      <c r="I73" s="66">
        <v>121.4</v>
      </c>
      <c r="J73" s="12">
        <f t="shared" ref="J73:J81" si="105">K73-I73</f>
        <v>211.20000000000002</v>
      </c>
      <c r="K73" s="66">
        <v>332.6</v>
      </c>
      <c r="L73" s="66">
        <v>109</v>
      </c>
      <c r="M73" s="12">
        <f t="shared" ref="M73:M81" si="106">N73-L73</f>
        <v>216.60000000000002</v>
      </c>
      <c r="N73" s="66">
        <v>325.60000000000002</v>
      </c>
      <c r="O73" s="66">
        <v>163.6</v>
      </c>
      <c r="P73" s="12">
        <f t="shared" ref="P73:P81" si="107">Q73-O73</f>
        <v>101.4</v>
      </c>
      <c r="Q73" s="66">
        <v>265</v>
      </c>
      <c r="R73" s="66">
        <v>145.69999999999999</v>
      </c>
      <c r="S73" s="12">
        <f t="shared" ref="S73:S81" si="108">T73-R73</f>
        <v>251</v>
      </c>
      <c r="T73" s="66">
        <v>396.7</v>
      </c>
      <c r="U73" s="21">
        <f t="shared" ref="U73:AH73" si="109">U69*U74</f>
        <v>253.59390173768313</v>
      </c>
      <c r="V73" s="21">
        <f t="shared" si="109"/>
        <v>275.07014095872171</v>
      </c>
      <c r="W73" s="21">
        <f>U73+V73</f>
        <v>528.66404269640486</v>
      </c>
      <c r="X73" s="21">
        <f t="shared" si="109"/>
        <v>314.45841976256111</v>
      </c>
      <c r="Y73" s="21">
        <f t="shared" si="109"/>
        <v>322.67093979472924</v>
      </c>
      <c r="Z73" s="21">
        <f>X73+Y73</f>
        <v>637.1293595572904</v>
      </c>
      <c r="AA73" s="21">
        <f t="shared" si="109"/>
        <v>357.33445716642098</v>
      </c>
      <c r="AB73" s="21">
        <f t="shared" si="109"/>
        <v>390.57378644224468</v>
      </c>
      <c r="AC73" s="21">
        <f>AA73+AB73</f>
        <v>747.90824360866566</v>
      </c>
      <c r="AD73" s="21">
        <f t="shared" si="109"/>
        <v>436.46146462766018</v>
      </c>
      <c r="AE73" s="21">
        <f t="shared" si="109"/>
        <v>449.02896998600681</v>
      </c>
      <c r="AF73" s="21">
        <f>AD73+AE73</f>
        <v>885.49043461366705</v>
      </c>
      <c r="AG73" s="21">
        <f t="shared" si="109"/>
        <v>512.79481506567276</v>
      </c>
      <c r="AH73" s="21">
        <f t="shared" si="109"/>
        <v>540.5703551450805</v>
      </c>
      <c r="AI73" s="21">
        <f>AG73+AH73</f>
        <v>1053.3651702107531</v>
      </c>
    </row>
    <row r="74" spans="2:35" ht="12.9" customHeight="1" x14ac:dyDescent="0.3">
      <c r="B74" s="38" t="s">
        <v>129</v>
      </c>
      <c r="C74" s="19">
        <f>C73/'Income Statement'!C8</f>
        <v>0</v>
      </c>
      <c r="D74" s="19">
        <f>D73/'Income Statement'!D8</f>
        <v>0</v>
      </c>
      <c r="E74" s="19">
        <f>E73/'Income Statement'!E8</f>
        <v>0</v>
      </c>
      <c r="F74" s="19">
        <f>F73/'Income Statement'!F8</f>
        <v>0.88762409544936682</v>
      </c>
      <c r="G74" s="19">
        <f>G73/'Income Statement'!G8</f>
        <v>0.92057321478433785</v>
      </c>
      <c r="H74" s="19">
        <f>H73/'Income Statement'!H8</f>
        <v>0.9044496006128192</v>
      </c>
      <c r="I74" s="19">
        <f>I73/'Income Statement'!I8</f>
        <v>0.79480535125289864</v>
      </c>
      <c r="J74" s="19">
        <f>J73/'Income Statement'!J8</f>
        <v>0.81671702185994166</v>
      </c>
      <c r="K74" s="19">
        <f>K73/'Income Statement'!K8</f>
        <v>0.80858058127851518</v>
      </c>
      <c r="L74" s="19">
        <f>L73/'Income Statement'!L8</f>
        <v>0.41122640541339944</v>
      </c>
      <c r="M74" s="19">
        <f>M73/'Income Statement'!M8</f>
        <v>0.75913777930119386</v>
      </c>
      <c r="N74" s="19">
        <f>N73/'Income Statement'!N8</f>
        <v>0.59158642730672828</v>
      </c>
      <c r="O74" s="19">
        <f>O73/'Income Statement'!O8</f>
        <v>0.48240561171007179</v>
      </c>
      <c r="P74" s="19">
        <f>P73/'Income Statement'!P8</f>
        <v>0.257587723988911</v>
      </c>
      <c r="Q74" s="19">
        <f>Q73/'Income Statement'!Q8</f>
        <v>0.36163354649242752</v>
      </c>
      <c r="R74" s="19">
        <f>R73/'Income Statement'!R8</f>
        <v>0.35753530814537576</v>
      </c>
      <c r="S74" s="19">
        <f>S73/'Income Statement'!S8</f>
        <v>0.60514663956766979</v>
      </c>
      <c r="T74" s="19">
        <f>T73/'Income Statement'!T8</f>
        <v>0.48243455423205284</v>
      </c>
      <c r="U74" s="73">
        <v>0.59</v>
      </c>
      <c r="V74" s="73">
        <f>U74</f>
        <v>0.59</v>
      </c>
      <c r="W74" s="19">
        <f>W73/W$69</f>
        <v>0.59000000000000008</v>
      </c>
      <c r="X74" s="73">
        <f>V74</f>
        <v>0.59</v>
      </c>
      <c r="Y74" s="73">
        <f>X74</f>
        <v>0.59</v>
      </c>
      <c r="Z74" s="19">
        <f>Z73/Z$69</f>
        <v>0.59000000000000008</v>
      </c>
      <c r="AA74" s="73">
        <f>Y74</f>
        <v>0.59</v>
      </c>
      <c r="AB74" s="73">
        <f>AA74</f>
        <v>0.59</v>
      </c>
      <c r="AC74" s="19">
        <f>AC73/AC$69</f>
        <v>0.59000000000000008</v>
      </c>
      <c r="AD74" s="73">
        <f>AB74</f>
        <v>0.59</v>
      </c>
      <c r="AE74" s="73">
        <f>AD74</f>
        <v>0.59</v>
      </c>
      <c r="AF74" s="19">
        <f>AF73/AF$69</f>
        <v>0.59</v>
      </c>
      <c r="AG74" s="73">
        <f>AE74</f>
        <v>0.59</v>
      </c>
      <c r="AH74" s="73">
        <f>AG74</f>
        <v>0.59</v>
      </c>
      <c r="AI74" s="19">
        <f>AI73/AI$69</f>
        <v>0.59</v>
      </c>
    </row>
    <row r="75" spans="2:35" ht="12.9" customHeight="1" x14ac:dyDescent="0.3">
      <c r="B75" s="37" t="s">
        <v>130</v>
      </c>
      <c r="C75" s="19"/>
      <c r="D75" s="19"/>
      <c r="E75" s="19"/>
      <c r="F75" s="19"/>
      <c r="G75" s="19"/>
      <c r="H75" s="19"/>
      <c r="I75" s="19">
        <f t="shared" ref="I75" si="110">(I73-F73)/F73</f>
        <v>-3.0351437699680489E-2</v>
      </c>
      <c r="J75" s="19">
        <f t="shared" ref="J75" si="111">(J73-G73)/G73</f>
        <v>0.55867158671586725</v>
      </c>
      <c r="K75" s="19">
        <f t="shared" ref="K75" si="112">(K73-H73)/H73</f>
        <v>0.27579593402378227</v>
      </c>
      <c r="L75" s="19">
        <f t="shared" ref="L75" si="113">(L73-I73)/I73</f>
        <v>-0.10214168039538719</v>
      </c>
      <c r="M75" s="19">
        <f t="shared" ref="M75" si="114">(M73-J73)/J73</f>
        <v>2.5568181818181844E-2</v>
      </c>
      <c r="N75" s="19">
        <f t="shared" ref="N75" si="115">(N73-K73)/K73</f>
        <v>-2.104630186410102E-2</v>
      </c>
      <c r="O75" s="19">
        <f t="shared" ref="O75" si="116">(O73-L73)/L73</f>
        <v>0.50091743119266052</v>
      </c>
      <c r="P75" s="19">
        <f t="shared" ref="P75" si="117">(P73-M73)/M73</f>
        <v>-0.53185595567867039</v>
      </c>
      <c r="Q75" s="19">
        <f t="shared" ref="Q75" si="118">(Q73-N73)/N73</f>
        <v>-0.18611793611793617</v>
      </c>
      <c r="R75" s="19">
        <f t="shared" ref="R75:S75" si="119">(R73-O73)/O73</f>
        <v>-0.10941320293398536</v>
      </c>
      <c r="S75" s="19">
        <f t="shared" si="119"/>
        <v>1.4753451676528597</v>
      </c>
      <c r="T75" s="19">
        <f t="shared" ref="T75" si="120">(T73-Q73)/Q73</f>
        <v>0.49698113207547168</v>
      </c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</row>
    <row r="76" spans="2:35" ht="12.9" customHeight="1" x14ac:dyDescent="0.3">
      <c r="B76" s="38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</row>
    <row r="77" spans="2:35" ht="12.9" customHeight="1" x14ac:dyDescent="0.3">
      <c r="B77" s="12" t="s">
        <v>127</v>
      </c>
      <c r="C77" s="18"/>
      <c r="D77" s="12">
        <f t="shared" si="103"/>
        <v>0</v>
      </c>
      <c r="E77" s="66"/>
      <c r="F77" s="66">
        <v>15.9</v>
      </c>
      <c r="G77" s="12">
        <f t="shared" si="104"/>
        <v>11.6</v>
      </c>
      <c r="H77" s="66">
        <v>27.5</v>
      </c>
      <c r="I77" s="66">
        <v>31.3</v>
      </c>
      <c r="J77" s="12">
        <f t="shared" si="105"/>
        <v>47.400000000000006</v>
      </c>
      <c r="K77" s="66">
        <v>78.7</v>
      </c>
      <c r="L77" s="66">
        <v>121.6</v>
      </c>
      <c r="M77" s="12">
        <f t="shared" si="106"/>
        <v>50.200000000000017</v>
      </c>
      <c r="N77" s="66">
        <v>171.8</v>
      </c>
      <c r="O77" s="66">
        <v>158.80000000000001</v>
      </c>
      <c r="P77" s="12">
        <f t="shared" si="107"/>
        <v>221.39999999999998</v>
      </c>
      <c r="Q77" s="66">
        <v>380.2</v>
      </c>
      <c r="R77" s="66">
        <v>231.1</v>
      </c>
      <c r="S77" s="12">
        <f t="shared" si="108"/>
        <v>164.00000000000003</v>
      </c>
      <c r="T77" s="66">
        <v>395.1</v>
      </c>
      <c r="U77" s="21">
        <f t="shared" ref="U77:AH77" si="121">U69*U78</f>
        <v>163.33166552596541</v>
      </c>
      <c r="V77" s="21">
        <f t="shared" si="121"/>
        <v>177.16381960053263</v>
      </c>
      <c r="W77" s="21">
        <f>U77+V77</f>
        <v>340.49548512649801</v>
      </c>
      <c r="X77" s="21">
        <f t="shared" si="121"/>
        <v>202.53254154198854</v>
      </c>
      <c r="Y77" s="21">
        <f t="shared" si="121"/>
        <v>207.82196122372395</v>
      </c>
      <c r="Z77" s="21">
        <f>X77+Y77</f>
        <v>410.35450276571248</v>
      </c>
      <c r="AA77" s="21">
        <f t="shared" si="121"/>
        <v>230.14761648006774</v>
      </c>
      <c r="AB77" s="21">
        <f t="shared" si="121"/>
        <v>251.55599804754743</v>
      </c>
      <c r="AC77" s="21">
        <f>AA77+AB77</f>
        <v>481.70361452761517</v>
      </c>
      <c r="AD77" s="21">
        <f t="shared" si="121"/>
        <v>281.11077382798453</v>
      </c>
      <c r="AE77" s="21">
        <f t="shared" si="121"/>
        <v>289.20509931302138</v>
      </c>
      <c r="AF77" s="21">
        <f>AD77+AE77</f>
        <v>570.31587314100591</v>
      </c>
      <c r="AG77" s="21">
        <f t="shared" si="121"/>
        <v>330.27462665246725</v>
      </c>
      <c r="AH77" s="21">
        <f t="shared" si="121"/>
        <v>348.16395755106879</v>
      </c>
      <c r="AI77" s="21">
        <f>AG77+AH77</f>
        <v>678.43858420353604</v>
      </c>
    </row>
    <row r="78" spans="2:35" ht="12.9" customHeight="1" x14ac:dyDescent="0.3">
      <c r="B78" s="38" t="s">
        <v>129</v>
      </c>
      <c r="C78" s="19">
        <f>C77/'Income Statement'!C8</f>
        <v>0</v>
      </c>
      <c r="D78" s="19">
        <f>D77/'Income Statement'!D8</f>
        <v>0</v>
      </c>
      <c r="E78" s="19">
        <f>E77/'Income Statement'!E8</f>
        <v>0</v>
      </c>
      <c r="F78" s="19">
        <f>F77/'Income Statement'!F8</f>
        <v>0.11272542426233971</v>
      </c>
      <c r="G78" s="19">
        <f>G77/'Income Statement'!G8</f>
        <v>7.8809219863456237E-2</v>
      </c>
      <c r="H78" s="19">
        <f>H77/'Income Statement'!H8</f>
        <v>9.5406076014010466E-2</v>
      </c>
      <c r="I78" s="19">
        <f>I77/'Income Statement'!I8</f>
        <v>0.20492098430161226</v>
      </c>
      <c r="J78" s="19">
        <f>J77/'Income Statement'!J8</f>
        <v>0.18329728615606647</v>
      </c>
      <c r="K78" s="19">
        <f>K77/'Income Statement'!K8</f>
        <v>0.19132679418706899</v>
      </c>
      <c r="L78" s="19">
        <f>L77/'Income Statement'!L8</f>
        <v>0.4587626687914621</v>
      </c>
      <c r="M78" s="19">
        <f>M77/'Income Statement'!M8</f>
        <v>0.17594051948716499</v>
      </c>
      <c r="N78" s="19">
        <f>N77/'Income Statement'!N8</f>
        <v>0.31214541833936094</v>
      </c>
      <c r="O78" s="19">
        <f>O77/'Income Statement'!O8</f>
        <v>0.46825190183104776</v>
      </c>
      <c r="P78" s="19">
        <f>P77/'Income Statement'!P8</f>
        <v>0.56242526717105412</v>
      </c>
      <c r="Q78" s="19">
        <f>Q77/'Income Statement'!Q8</f>
        <v>0.51884179009970166</v>
      </c>
      <c r="R78" s="19">
        <f>R77/'Income Statement'!R8</f>
        <v>0.56709958622097689</v>
      </c>
      <c r="S78" s="19">
        <f>S77/'Income Statement'!S8</f>
        <v>0.3953946170880393</v>
      </c>
      <c r="T78" s="19">
        <f>T77/'Income Statement'!T8</f>
        <v>0.48048876323943557</v>
      </c>
      <c r="U78" s="73">
        <v>0.38</v>
      </c>
      <c r="V78" s="73">
        <f>U78</f>
        <v>0.38</v>
      </c>
      <c r="W78" s="19">
        <f>W77/W$69</f>
        <v>0.38</v>
      </c>
      <c r="X78" s="73">
        <f>V78</f>
        <v>0.38</v>
      </c>
      <c r="Y78" s="73">
        <f>X78</f>
        <v>0.38</v>
      </c>
      <c r="Z78" s="19">
        <f>Z77/Z$69</f>
        <v>0.38000000000000006</v>
      </c>
      <c r="AA78" s="73">
        <f>Y78</f>
        <v>0.38</v>
      </c>
      <c r="AB78" s="73">
        <f>AA78</f>
        <v>0.38</v>
      </c>
      <c r="AC78" s="19">
        <f>AC77/AC$69</f>
        <v>0.38</v>
      </c>
      <c r="AD78" s="73">
        <f>AB78</f>
        <v>0.38</v>
      </c>
      <c r="AE78" s="73">
        <f>AD78</f>
        <v>0.38</v>
      </c>
      <c r="AF78" s="19">
        <f>AF77/AF$69</f>
        <v>0.38</v>
      </c>
      <c r="AG78" s="73">
        <f>AE78</f>
        <v>0.38</v>
      </c>
      <c r="AH78" s="73">
        <f>AG78</f>
        <v>0.38</v>
      </c>
      <c r="AI78" s="19">
        <f>AI77/AI$69</f>
        <v>0.38</v>
      </c>
    </row>
    <row r="79" spans="2:35" ht="12.9" customHeight="1" x14ac:dyDescent="0.3">
      <c r="B79" s="37" t="s">
        <v>130</v>
      </c>
      <c r="C79" s="19"/>
      <c r="D79" s="19"/>
      <c r="E79" s="19"/>
      <c r="F79" s="19"/>
      <c r="G79" s="19"/>
      <c r="H79" s="19"/>
      <c r="I79" s="19">
        <f t="shared" ref="I79" si="122">(I77-F77)/F77</f>
        <v>0.96855345911949686</v>
      </c>
      <c r="J79" s="19">
        <f t="shared" ref="J79" si="123">(J77-G77)/G77</f>
        <v>3.0862068965517246</v>
      </c>
      <c r="K79" s="19">
        <f t="shared" ref="K79" si="124">(K77-H77)/H77</f>
        <v>1.8618181818181818</v>
      </c>
      <c r="L79" s="19">
        <f t="shared" ref="L79" si="125">(L77-I77)/I77</f>
        <v>2.8849840255591053</v>
      </c>
      <c r="M79" s="19">
        <f t="shared" ref="M79" si="126">(M77-J77)/J77</f>
        <v>5.9071729957806143E-2</v>
      </c>
      <c r="N79" s="19">
        <f t="shared" ref="N79" si="127">(N77-K77)/K77</f>
        <v>1.1829733163913596</v>
      </c>
      <c r="O79" s="19">
        <f t="shared" ref="O79" si="128">(O77-L77)/L77</f>
        <v>0.30592105263157909</v>
      </c>
      <c r="P79" s="19">
        <f t="shared" ref="P79" si="129">(P77-M77)/M77</f>
        <v>3.4103585657370497</v>
      </c>
      <c r="Q79" s="19">
        <f t="shared" ref="Q79" si="130">(Q77-N77)/N77</f>
        <v>1.2130384167636785</v>
      </c>
      <c r="R79" s="19">
        <f t="shared" ref="R79:S79" si="131">(R77-O77)/O77</f>
        <v>0.45528967254408048</v>
      </c>
      <c r="S79" s="19">
        <f t="shared" si="131"/>
        <v>-0.25925925925925908</v>
      </c>
      <c r="T79" s="19">
        <f t="shared" ref="T79" si="132">(T77-Q77)/Q77</f>
        <v>3.9189900052603983E-2</v>
      </c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</row>
    <row r="80" spans="2:35" ht="12.9" customHeight="1" x14ac:dyDescent="0.3">
      <c r="B80" s="38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</row>
    <row r="81" spans="2:35" ht="12.9" customHeight="1" x14ac:dyDescent="0.3">
      <c r="B81" s="12" t="s">
        <v>125</v>
      </c>
      <c r="C81" s="18"/>
      <c r="D81" s="12">
        <f t="shared" si="103"/>
        <v>0</v>
      </c>
      <c r="E81" s="18"/>
      <c r="F81" s="18"/>
      <c r="G81" s="12">
        <f t="shared" si="104"/>
        <v>0</v>
      </c>
      <c r="H81" s="18"/>
      <c r="I81" s="18"/>
      <c r="J81" s="12">
        <f t="shared" si="105"/>
        <v>0</v>
      </c>
      <c r="K81" s="66"/>
      <c r="L81" s="66">
        <v>6.8</v>
      </c>
      <c r="M81" s="12">
        <f t="shared" si="106"/>
        <v>46.2</v>
      </c>
      <c r="N81" s="66">
        <v>53</v>
      </c>
      <c r="O81" s="66">
        <v>16.7</v>
      </c>
      <c r="P81" s="12">
        <f t="shared" si="107"/>
        <v>46.400000000000006</v>
      </c>
      <c r="Q81" s="66">
        <v>63.1</v>
      </c>
      <c r="R81" s="66">
        <v>30.7</v>
      </c>
      <c r="S81" s="12">
        <f t="shared" si="108"/>
        <v>-0.19999999999999929</v>
      </c>
      <c r="T81" s="66">
        <v>30.5</v>
      </c>
      <c r="U81" s="21">
        <f t="shared" ref="U81:AH81" si="133">U69*U82</f>
        <v>12.894605173102544</v>
      </c>
      <c r="V81" s="21">
        <f t="shared" si="133"/>
        <v>13.986617336884169</v>
      </c>
      <c r="W81" s="21">
        <f>U81+V81</f>
        <v>26.881222509986713</v>
      </c>
      <c r="X81" s="21">
        <f t="shared" si="133"/>
        <v>15.989411174367529</v>
      </c>
      <c r="Y81" s="21">
        <f t="shared" si="133"/>
        <v>16.406996938715064</v>
      </c>
      <c r="Z81" s="21">
        <f>X81+Y81</f>
        <v>32.396408113082593</v>
      </c>
      <c r="AA81" s="21">
        <f t="shared" si="133"/>
        <v>18.169548669479049</v>
      </c>
      <c r="AB81" s="21">
        <f t="shared" si="133"/>
        <v>19.859684056385341</v>
      </c>
      <c r="AC81" s="21">
        <f>AA81+AB81</f>
        <v>38.029232725864389</v>
      </c>
      <c r="AD81" s="21">
        <f t="shared" si="133"/>
        <v>22.192955828525115</v>
      </c>
      <c r="AE81" s="21">
        <f t="shared" si="133"/>
        <v>22.831981524712234</v>
      </c>
      <c r="AF81" s="21">
        <f>AD81+AE81</f>
        <v>45.024937353237348</v>
      </c>
      <c r="AG81" s="21">
        <f t="shared" si="133"/>
        <v>26.074312630457964</v>
      </c>
      <c r="AH81" s="21">
        <f t="shared" si="133"/>
        <v>27.486628227715983</v>
      </c>
      <c r="AI81" s="21">
        <f>AG81+AH81</f>
        <v>53.56094085817395</v>
      </c>
    </row>
    <row r="82" spans="2:35" ht="12.9" customHeight="1" x14ac:dyDescent="0.3">
      <c r="B82" s="38" t="s">
        <v>129</v>
      </c>
      <c r="C82" s="19">
        <f>C81/'Income Statement'!C8</f>
        <v>0</v>
      </c>
      <c r="D82" s="19">
        <f>D81/'Income Statement'!D8</f>
        <v>0</v>
      </c>
      <c r="E82" s="19">
        <f>E81/'Income Statement'!E8</f>
        <v>0</v>
      </c>
      <c r="F82" s="19">
        <f>F81/'Income Statement'!F8</f>
        <v>0</v>
      </c>
      <c r="G82" s="19">
        <f>G81/'Income Statement'!G8</f>
        <v>0</v>
      </c>
      <c r="H82" s="19">
        <f>H81/'Income Statement'!H8</f>
        <v>0</v>
      </c>
      <c r="I82" s="19">
        <f>I81/'Income Statement'!I8</f>
        <v>0</v>
      </c>
      <c r="J82" s="19">
        <f>J81/'Income Statement'!J8</f>
        <v>0</v>
      </c>
      <c r="K82" s="19">
        <f>K81/'Income Statement'!K8</f>
        <v>0</v>
      </c>
      <c r="L82" s="19">
        <f>L81/'Income Statement'!L8</f>
        <v>2.5654491346890972E-2</v>
      </c>
      <c r="M82" s="19">
        <f>M81/'Income Statement'!M8</f>
        <v>0.16192135458778925</v>
      </c>
      <c r="N82" s="19">
        <f>N81/'Income Statement'!N8</f>
        <v>9.6296316484203309E-2</v>
      </c>
      <c r="O82" s="19">
        <f>O81/'Income Statement'!O8</f>
        <v>4.924311562077139E-2</v>
      </c>
      <c r="P82" s="19">
        <f>P81/'Income Statement'!P8</f>
        <v>0.11787051669709539</v>
      </c>
      <c r="Q82" s="19">
        <f>Q81/'Income Statement'!Q8</f>
        <v>8.6109723711970482E-2</v>
      </c>
      <c r="R82" s="19">
        <f>R81/'Income Statement'!R8</f>
        <v>7.5335167879636483E-2</v>
      </c>
      <c r="S82" s="19">
        <f>S81/'Income Statement'!S8</f>
        <v>-4.8218855742443635E-4</v>
      </c>
      <c r="T82" s="19">
        <f>T81/'Income Statement'!T8</f>
        <v>3.7091640796767363E-2</v>
      </c>
      <c r="U82" s="73">
        <f>1-U74-U78</f>
        <v>3.0000000000000027E-2</v>
      </c>
      <c r="V82" s="73">
        <f>U82</f>
        <v>3.0000000000000027E-2</v>
      </c>
      <c r="W82" s="19">
        <f>W81/W$69</f>
        <v>3.000000000000003E-2</v>
      </c>
      <c r="X82" s="73">
        <f>V82</f>
        <v>3.0000000000000027E-2</v>
      </c>
      <c r="Y82" s="73">
        <f>X82</f>
        <v>3.0000000000000027E-2</v>
      </c>
      <c r="Z82" s="19">
        <f>Z81/Z$69</f>
        <v>3.000000000000003E-2</v>
      </c>
      <c r="AA82" s="73">
        <f>Y82</f>
        <v>3.0000000000000027E-2</v>
      </c>
      <c r="AB82" s="73">
        <f>AA82</f>
        <v>3.0000000000000027E-2</v>
      </c>
      <c r="AC82" s="19">
        <f>AC81/AC$69</f>
        <v>3.0000000000000027E-2</v>
      </c>
      <c r="AD82" s="73">
        <f>AB82</f>
        <v>3.0000000000000027E-2</v>
      </c>
      <c r="AE82" s="73">
        <f>AD82</f>
        <v>3.0000000000000027E-2</v>
      </c>
      <c r="AF82" s="19">
        <f>AF81/AF$69</f>
        <v>3.0000000000000027E-2</v>
      </c>
      <c r="AG82" s="73">
        <f>AE82</f>
        <v>3.0000000000000027E-2</v>
      </c>
      <c r="AH82" s="73">
        <f>AG82</f>
        <v>3.0000000000000027E-2</v>
      </c>
      <c r="AI82" s="19">
        <f>AI81/AI$69</f>
        <v>3.000000000000003E-2</v>
      </c>
    </row>
    <row r="83" spans="2:35" ht="12.9" customHeight="1" x14ac:dyDescent="0.3">
      <c r="B83" s="37" t="s">
        <v>130</v>
      </c>
      <c r="I83" s="19"/>
      <c r="J83" s="19"/>
      <c r="K83" s="19"/>
      <c r="L83" s="19"/>
      <c r="M83" s="19"/>
      <c r="N83" s="19"/>
      <c r="O83" s="19">
        <f t="shared" ref="O83" si="134">(O81-L81)/L81</f>
        <v>1.4558823529411764</v>
      </c>
      <c r="P83" s="19">
        <f t="shared" ref="P83" si="135">(P81-M81)/M81</f>
        <v>4.3290043290043906E-3</v>
      </c>
      <c r="Q83" s="19">
        <f t="shared" ref="Q83" si="136">(Q81-N81)/N81</f>
        <v>0.19056603773584907</v>
      </c>
      <c r="R83" s="19">
        <f t="shared" ref="R83:S83" si="137">(R81-O81)/O81</f>
        <v>0.83832335329341323</v>
      </c>
      <c r="S83" s="19">
        <f t="shared" si="137"/>
        <v>-1.0043103448275863</v>
      </c>
      <c r="T83" s="19">
        <f t="shared" ref="T83" si="138">(T81-Q81)/Q81</f>
        <v>-0.51664025356576859</v>
      </c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</row>
    <row r="84" spans="2:35" ht="12.9" customHeight="1" x14ac:dyDescent="0.3"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</row>
    <row r="85" spans="2:35" s="6" customFormat="1" ht="12.9" customHeight="1" x14ac:dyDescent="0.3">
      <c r="B85" s="6" t="s">
        <v>128</v>
      </c>
      <c r="C85" s="6">
        <f>C73+C77+C81</f>
        <v>0</v>
      </c>
      <c r="D85" s="6">
        <f t="shared" ref="D85:AH85" si="139">D73+D77+D81</f>
        <v>0</v>
      </c>
      <c r="E85" s="6">
        <f t="shared" si="139"/>
        <v>0</v>
      </c>
      <c r="F85" s="6">
        <f t="shared" si="139"/>
        <v>141.1</v>
      </c>
      <c r="G85" s="6">
        <f t="shared" si="139"/>
        <v>147.1</v>
      </c>
      <c r="H85" s="6">
        <f t="shared" si="139"/>
        <v>288.2</v>
      </c>
      <c r="I85" s="6">
        <f t="shared" si="139"/>
        <v>152.70000000000002</v>
      </c>
      <c r="J85" s="6">
        <f t="shared" si="139"/>
        <v>258.60000000000002</v>
      </c>
      <c r="K85" s="6">
        <f t="shared" si="139"/>
        <v>411.3</v>
      </c>
      <c r="L85" s="6">
        <f t="shared" si="139"/>
        <v>237.4</v>
      </c>
      <c r="M85" s="6">
        <f t="shared" si="139"/>
        <v>313.00000000000006</v>
      </c>
      <c r="N85" s="6">
        <f t="shared" si="139"/>
        <v>550.40000000000009</v>
      </c>
      <c r="O85" s="6">
        <f t="shared" si="139"/>
        <v>339.09999999999997</v>
      </c>
      <c r="P85" s="6">
        <f t="shared" si="139"/>
        <v>369.19999999999993</v>
      </c>
      <c r="Q85" s="6">
        <f t="shared" si="139"/>
        <v>708.30000000000007</v>
      </c>
      <c r="R85" s="6">
        <f t="shared" si="139"/>
        <v>407.49999999999994</v>
      </c>
      <c r="S85" s="6">
        <f t="shared" ref="S85" si="140">S73+S77+S81</f>
        <v>414.8</v>
      </c>
      <c r="T85" s="6">
        <f t="shared" ref="T85" si="141">T73+T77+T81</f>
        <v>822.3</v>
      </c>
      <c r="U85" s="49">
        <f t="shared" si="139"/>
        <v>429.82017243675108</v>
      </c>
      <c r="V85" s="49">
        <f t="shared" si="139"/>
        <v>466.22057789613854</v>
      </c>
      <c r="W85" s="49">
        <f>U85+V85</f>
        <v>896.04075033288962</v>
      </c>
      <c r="X85" s="49">
        <f t="shared" si="139"/>
        <v>532.98037247891716</v>
      </c>
      <c r="Y85" s="49">
        <f t="shared" si="139"/>
        <v>546.89989795716826</v>
      </c>
      <c r="Z85" s="49">
        <f>X85+Y85</f>
        <v>1079.8802704360855</v>
      </c>
      <c r="AA85" s="49">
        <f t="shared" si="139"/>
        <v>605.65162231596776</v>
      </c>
      <c r="AB85" s="49">
        <f t="shared" si="139"/>
        <v>661.98946854617748</v>
      </c>
      <c r="AC85" s="49">
        <f>AA85+AB85</f>
        <v>1267.6410908621451</v>
      </c>
      <c r="AD85" s="49">
        <f t="shared" si="139"/>
        <v>739.76519428416987</v>
      </c>
      <c r="AE85" s="49">
        <f t="shared" si="139"/>
        <v>761.0660508237404</v>
      </c>
      <c r="AF85" s="49">
        <f>AD85+AE85</f>
        <v>1500.8312451079103</v>
      </c>
      <c r="AG85" s="49">
        <f t="shared" si="139"/>
        <v>869.14375434859801</v>
      </c>
      <c r="AH85" s="49">
        <f t="shared" si="139"/>
        <v>916.22094092386533</v>
      </c>
      <c r="AI85" s="49">
        <f>AG85+AH85</f>
        <v>1785.3646952724635</v>
      </c>
    </row>
    <row r="86" spans="2:35" ht="12.9" customHeight="1" x14ac:dyDescent="0.3"/>
    <row r="87" spans="2:35" ht="12.9" customHeight="1" x14ac:dyDescent="0.3"/>
    <row r="88" spans="2:35" ht="12.9" customHeight="1" x14ac:dyDescent="0.3">
      <c r="B88" s="6" t="s">
        <v>621</v>
      </c>
    </row>
    <row r="89" spans="2:35" ht="12.9" customHeight="1" x14ac:dyDescent="0.3">
      <c r="B89" s="12" t="s">
        <v>618</v>
      </c>
      <c r="R89" s="21"/>
      <c r="S89" s="21"/>
      <c r="T89" s="21"/>
      <c r="U89" s="21">
        <f>U77*U90</f>
        <v>65.332666210386165</v>
      </c>
      <c r="V89" s="21">
        <f>V77*V90</f>
        <v>70.865527840213062</v>
      </c>
      <c r="W89" s="21">
        <f>U89+V89</f>
        <v>136.19819405059923</v>
      </c>
      <c r="X89" s="21">
        <f>X77*X90</f>
        <v>81.013016616795426</v>
      </c>
      <c r="Y89" s="21">
        <f>Y77*Y90</f>
        <v>83.12878448948959</v>
      </c>
      <c r="Z89" s="21">
        <f>X89+Y89</f>
        <v>164.14180110628502</v>
      </c>
      <c r="AA89" s="21">
        <f>AA77*AA90</f>
        <v>92.059046592027101</v>
      </c>
      <c r="AB89" s="21">
        <f>AB77*AB90</f>
        <v>100.62239921901897</v>
      </c>
      <c r="AC89" s="21">
        <f>AA89+AB89</f>
        <v>192.68144581104607</v>
      </c>
      <c r="AD89" s="21">
        <f>AD77*AD90</f>
        <v>112.44430953119382</v>
      </c>
      <c r="AE89" s="21">
        <f>AE77*AE90</f>
        <v>115.68203972520855</v>
      </c>
      <c r="AF89" s="21">
        <f>AD89+AE89</f>
        <v>228.12634925640236</v>
      </c>
      <c r="AG89" s="21">
        <f>AG77*AG90</f>
        <v>132.10985066098689</v>
      </c>
      <c r="AH89" s="21">
        <f>AH77*AH90</f>
        <v>139.26558302042753</v>
      </c>
      <c r="AI89" s="21">
        <f>AG89+AH89</f>
        <v>271.37543368141439</v>
      </c>
    </row>
    <row r="90" spans="2:35" ht="12.9" customHeight="1" x14ac:dyDescent="0.3">
      <c r="B90" s="38" t="s">
        <v>619</v>
      </c>
      <c r="R90" s="73"/>
      <c r="S90" s="73"/>
      <c r="T90" s="19"/>
      <c r="U90" s="73">
        <v>0.4</v>
      </c>
      <c r="V90" s="73">
        <f>U90</f>
        <v>0.4</v>
      </c>
      <c r="W90" s="19">
        <f>W89/W77</f>
        <v>0.40000000000000008</v>
      </c>
      <c r="X90" s="73">
        <f>V90</f>
        <v>0.4</v>
      </c>
      <c r="Y90" s="73">
        <f>X90</f>
        <v>0.4</v>
      </c>
      <c r="Z90" s="19">
        <f>Z89/Z77</f>
        <v>0.40000000000000008</v>
      </c>
      <c r="AA90" s="73">
        <f>Y90</f>
        <v>0.4</v>
      </c>
      <c r="AB90" s="73">
        <f>AA90</f>
        <v>0.4</v>
      </c>
      <c r="AC90" s="19">
        <f>AC89/AC77</f>
        <v>0.4</v>
      </c>
      <c r="AD90" s="73">
        <f>AB90</f>
        <v>0.4</v>
      </c>
      <c r="AE90" s="73">
        <f>AD90</f>
        <v>0.4</v>
      </c>
      <c r="AF90" s="19">
        <f>AF89/AF77</f>
        <v>0.4</v>
      </c>
      <c r="AG90" s="73">
        <f>AE90</f>
        <v>0.4</v>
      </c>
      <c r="AH90" s="73">
        <f>AG90</f>
        <v>0.4</v>
      </c>
      <c r="AI90" s="19">
        <f>AI89/AI77</f>
        <v>0.39999999999999997</v>
      </c>
    </row>
    <row r="91" spans="2:35" ht="12.9" customHeight="1" x14ac:dyDescent="0.3"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</row>
    <row r="92" spans="2:35" ht="12.9" customHeight="1" x14ac:dyDescent="0.3">
      <c r="B92" s="12" t="s">
        <v>620</v>
      </c>
      <c r="R92" s="23"/>
      <c r="S92" s="23"/>
      <c r="T92" s="21"/>
      <c r="U92" s="23">
        <f>U77*U93</f>
        <v>40.832916381491351</v>
      </c>
      <c r="V92" s="23">
        <f>V77*V93</f>
        <v>44.290954900133158</v>
      </c>
      <c r="W92" s="21">
        <f>U92+V92</f>
        <v>85.123871281624503</v>
      </c>
      <c r="X92" s="23">
        <f>X77*X93</f>
        <v>50.633135385497134</v>
      </c>
      <c r="Y92" s="23">
        <f>Y77*Y93</f>
        <v>51.955490305930986</v>
      </c>
      <c r="Z92" s="21">
        <f>X92+Y92</f>
        <v>102.58862569142812</v>
      </c>
      <c r="AA92" s="23">
        <f>AA77*AA93</f>
        <v>57.536904120016935</v>
      </c>
      <c r="AB92" s="23">
        <f>AB77*AB93</f>
        <v>62.888999511886858</v>
      </c>
      <c r="AC92" s="21">
        <f>AA92+AB92</f>
        <v>120.42590363190379</v>
      </c>
      <c r="AD92" s="23">
        <f>AD77*AD93</f>
        <v>70.277693456996133</v>
      </c>
      <c r="AE92" s="23">
        <f>AE77*AE93</f>
        <v>72.301274828255345</v>
      </c>
      <c r="AF92" s="21">
        <f>AD92+AE92</f>
        <v>142.57896828525148</v>
      </c>
      <c r="AG92" s="23">
        <f>AG77*AG93</f>
        <v>82.568656663116812</v>
      </c>
      <c r="AH92" s="23">
        <f>AH77*AH93</f>
        <v>87.040989387767198</v>
      </c>
      <c r="AI92" s="21">
        <f>AG92+AH92</f>
        <v>169.60964605088401</v>
      </c>
    </row>
    <row r="93" spans="2:35" ht="12.9" customHeight="1" x14ac:dyDescent="0.3">
      <c r="B93" s="38" t="s">
        <v>619</v>
      </c>
      <c r="R93" s="73"/>
      <c r="S93" s="73"/>
      <c r="T93" s="19"/>
      <c r="U93" s="73">
        <v>0.25</v>
      </c>
      <c r="V93" s="73">
        <f>U93</f>
        <v>0.25</v>
      </c>
      <c r="W93" s="19">
        <f>W92/W77</f>
        <v>0.25</v>
      </c>
      <c r="X93" s="73">
        <f>V93</f>
        <v>0.25</v>
      </c>
      <c r="Y93" s="73">
        <f>X93</f>
        <v>0.25</v>
      </c>
      <c r="Z93" s="19">
        <f>Z92/Z77</f>
        <v>0.25</v>
      </c>
      <c r="AA93" s="73">
        <f>Y93</f>
        <v>0.25</v>
      </c>
      <c r="AB93" s="73">
        <f>AA93</f>
        <v>0.25</v>
      </c>
      <c r="AC93" s="19">
        <f>AC92/AC77</f>
        <v>0.25</v>
      </c>
      <c r="AD93" s="73">
        <f>AB93</f>
        <v>0.25</v>
      </c>
      <c r="AE93" s="73">
        <f>AD93</f>
        <v>0.25</v>
      </c>
      <c r="AF93" s="19">
        <f>AF92/AF77</f>
        <v>0.25</v>
      </c>
      <c r="AG93" s="73">
        <f>AE93</f>
        <v>0.25</v>
      </c>
      <c r="AH93" s="73">
        <f>AG93</f>
        <v>0.25</v>
      </c>
      <c r="AI93" s="19">
        <f>AI92/AI77</f>
        <v>0.25</v>
      </c>
    </row>
    <row r="94" spans="2:35" ht="12.9" customHeight="1" x14ac:dyDescent="0.3"/>
    <row r="95" spans="2:35" ht="12.9" customHeight="1" x14ac:dyDescent="0.3">
      <c r="B95" s="12" t="s">
        <v>622</v>
      </c>
      <c r="R95" s="23"/>
      <c r="S95" s="23"/>
      <c r="T95" s="21"/>
      <c r="U95" s="23">
        <f>U77*U96</f>
        <v>57.166082934087889</v>
      </c>
      <c r="V95" s="23">
        <f>V77*V96</f>
        <v>62.00733686018642</v>
      </c>
      <c r="W95" s="21">
        <f>U95+V95</f>
        <v>119.17341979427431</v>
      </c>
      <c r="X95" s="23">
        <f>X77*X96</f>
        <v>70.886389539695983</v>
      </c>
      <c r="Y95" s="23">
        <f>Y77*Y96</f>
        <v>72.737686428303377</v>
      </c>
      <c r="Z95" s="21">
        <f>X95+Y95</f>
        <v>143.62407596799937</v>
      </c>
      <c r="AA95" s="23">
        <f>AA77*AA96</f>
        <v>80.55166576802371</v>
      </c>
      <c r="AB95" s="23">
        <f>AB77*AB96</f>
        <v>88.044599316641595</v>
      </c>
      <c r="AC95" s="21">
        <f>AA95+AB95</f>
        <v>168.5962650846653</v>
      </c>
      <c r="AD95" s="23">
        <f>AD77*AD96</f>
        <v>98.388770839794574</v>
      </c>
      <c r="AE95" s="23">
        <f>AE77*AE96</f>
        <v>101.22178475955748</v>
      </c>
      <c r="AF95" s="21">
        <f>AD95+AE95</f>
        <v>199.61055559935204</v>
      </c>
      <c r="AG95" s="23">
        <f>AG77*AG96</f>
        <v>115.59611932836353</v>
      </c>
      <c r="AH95" s="23">
        <f>AH77*AH96</f>
        <v>121.85738514287407</v>
      </c>
      <c r="AI95" s="21">
        <f>AG95+AH95</f>
        <v>237.45350447123758</v>
      </c>
    </row>
    <row r="96" spans="2:35" ht="12.9" customHeight="1" x14ac:dyDescent="0.3">
      <c r="B96" s="38" t="s">
        <v>619</v>
      </c>
      <c r="R96" s="73"/>
      <c r="S96" s="73"/>
      <c r="T96" s="19"/>
      <c r="U96" s="73">
        <f t="shared" ref="U96:AH96" si="142">1-U90-U93</f>
        <v>0.35</v>
      </c>
      <c r="V96" s="73">
        <f t="shared" si="142"/>
        <v>0.35</v>
      </c>
      <c r="W96" s="19">
        <f>W95/W77</f>
        <v>0.35000000000000003</v>
      </c>
      <c r="X96" s="73">
        <f t="shared" si="142"/>
        <v>0.35</v>
      </c>
      <c r="Y96" s="73">
        <f t="shared" si="142"/>
        <v>0.35</v>
      </c>
      <c r="Z96" s="19">
        <f>Z95/Z77</f>
        <v>0.35000000000000003</v>
      </c>
      <c r="AA96" s="73">
        <f t="shared" si="142"/>
        <v>0.35</v>
      </c>
      <c r="AB96" s="73">
        <f t="shared" si="142"/>
        <v>0.35</v>
      </c>
      <c r="AC96" s="19">
        <f>AC95/AC77</f>
        <v>0.35</v>
      </c>
      <c r="AD96" s="73">
        <f t="shared" si="142"/>
        <v>0.35</v>
      </c>
      <c r="AE96" s="73">
        <f t="shared" si="142"/>
        <v>0.35</v>
      </c>
      <c r="AF96" s="19">
        <f>AF95/AF77</f>
        <v>0.35</v>
      </c>
      <c r="AG96" s="73">
        <f t="shared" si="142"/>
        <v>0.35</v>
      </c>
      <c r="AH96" s="73">
        <f t="shared" si="142"/>
        <v>0.35</v>
      </c>
      <c r="AI96" s="19">
        <f>AI95/AI77</f>
        <v>0.34999999999999992</v>
      </c>
    </row>
    <row r="97" spans="2:36" ht="12.9" customHeight="1" x14ac:dyDescent="0.3"/>
    <row r="98" spans="2:36" s="6" customFormat="1" ht="12.9" customHeight="1" x14ac:dyDescent="0.3">
      <c r="B98" s="6" t="s">
        <v>623</v>
      </c>
      <c r="R98" s="210"/>
      <c r="S98" s="210"/>
      <c r="T98" s="210"/>
      <c r="U98" s="210">
        <f t="shared" ref="U98:AI98" si="143">U89/U69</f>
        <v>0.152</v>
      </c>
      <c r="V98" s="210">
        <f t="shared" si="143"/>
        <v>0.152</v>
      </c>
      <c r="W98" s="210">
        <f t="shared" si="143"/>
        <v>0.15200000000000002</v>
      </c>
      <c r="X98" s="210">
        <f t="shared" si="143"/>
        <v>0.15200000000000002</v>
      </c>
      <c r="Y98" s="210">
        <f t="shared" si="143"/>
        <v>0.15200000000000002</v>
      </c>
      <c r="Z98" s="210">
        <f t="shared" si="143"/>
        <v>0.15200000000000005</v>
      </c>
      <c r="AA98" s="210">
        <f t="shared" si="143"/>
        <v>0.152</v>
      </c>
      <c r="AB98" s="210">
        <f t="shared" si="143"/>
        <v>0.152</v>
      </c>
      <c r="AC98" s="210">
        <f t="shared" si="143"/>
        <v>0.15200000000000002</v>
      </c>
      <c r="AD98" s="210">
        <f t="shared" si="143"/>
        <v>0.152</v>
      </c>
      <c r="AE98" s="210">
        <f t="shared" si="143"/>
        <v>0.15200000000000002</v>
      </c>
      <c r="AF98" s="210">
        <f t="shared" si="143"/>
        <v>0.152</v>
      </c>
      <c r="AG98" s="210">
        <f t="shared" si="143"/>
        <v>0.152</v>
      </c>
      <c r="AH98" s="210">
        <f t="shared" si="143"/>
        <v>0.15200000000000002</v>
      </c>
      <c r="AI98" s="210">
        <f t="shared" si="143"/>
        <v>0.152</v>
      </c>
    </row>
    <row r="99" spans="2:36" ht="12.9" customHeight="1" x14ac:dyDescent="0.3"/>
    <row r="100" spans="2:36" ht="12.9" customHeight="1" x14ac:dyDescent="0.3"/>
    <row r="101" spans="2:36" ht="12.9" customHeight="1" x14ac:dyDescent="0.3">
      <c r="B101" s="354" t="s">
        <v>627</v>
      </c>
      <c r="T101" s="41"/>
    </row>
    <row r="102" spans="2:36" ht="12.9" customHeight="1" x14ac:dyDescent="0.3">
      <c r="B102" s="12" t="s">
        <v>903</v>
      </c>
      <c r="R102" s="23"/>
      <c r="S102" s="23"/>
      <c r="T102" s="23"/>
      <c r="U102" s="23">
        <f>U77*'Risk Data'!$M$3*'Risk Data'!$M$10</f>
        <v>18.060407848725568</v>
      </c>
      <c r="V102" s="23">
        <f>V77*'Risk Data'!$M$3*'Risk Data'!$M$10</f>
        <v>19.589899042050735</v>
      </c>
      <c r="W102" s="23">
        <f>W77*'Risk Data'!$M$3*'Risk Data'!$M$10</f>
        <v>37.650306890776299</v>
      </c>
      <c r="X102" s="23">
        <f>X77*'Risk Data'!$M$3*'Risk Data'!$M$10</f>
        <v>22.395046858233201</v>
      </c>
      <c r="Y102" s="23">
        <f>Y77*'Risk Data'!$M$3*'Risk Data'!$M$10</f>
        <v>22.979924728838341</v>
      </c>
      <c r="Z102" s="23">
        <f>Z77*'Risk Data'!$M$3*'Risk Data'!$M$10</f>
        <v>45.374971587071542</v>
      </c>
      <c r="AA102" s="23">
        <f>AA77*'Risk Data'!$M$3*'Risk Data'!$M$10</f>
        <v>25.448585279878355</v>
      </c>
      <c r="AB102" s="23">
        <f>AB77*'Risk Data'!$M$3*'Risk Data'!$M$10</f>
        <v>27.815818242603243</v>
      </c>
      <c r="AC102" s="23">
        <f>AC77*'Risk Data'!$M$3*'Risk Data'!$M$10</f>
        <v>53.264403522481594</v>
      </c>
      <c r="AD102" s="23">
        <f>AD77*'Risk Data'!$M$3*'Risk Data'!$M$10</f>
        <v>31.083839190981283</v>
      </c>
      <c r="AE102" s="23">
        <f>AE77*'Risk Data'!$M$3*'Risk Data'!$M$10</f>
        <v>31.978869674196794</v>
      </c>
      <c r="AF102" s="23">
        <f>AF77*'Risk Data'!$M$3*'Risk Data'!$M$10</f>
        <v>63.062708865178081</v>
      </c>
      <c r="AG102" s="23">
        <f>AG77*'Risk Data'!$M$3*'Risk Data'!$M$10</f>
        <v>36.520134905995107</v>
      </c>
      <c r="AH102" s="23">
        <f>AH77*'Risk Data'!$M$3*'Risk Data'!$M$10</f>
        <v>38.498248648539345</v>
      </c>
      <c r="AI102" s="23">
        <f>AI77*'Risk Data'!$M$3*'Risk Data'!$M$10</f>
        <v>75.018383554534452</v>
      </c>
    </row>
    <row r="103" spans="2:36" ht="12.9" customHeight="1" x14ac:dyDescent="0.3">
      <c r="B103" s="12" t="s">
        <v>904</v>
      </c>
      <c r="R103" s="23"/>
      <c r="S103" s="23"/>
      <c r="T103" s="23"/>
      <c r="U103" s="23">
        <f>U89*'Risk Data'!$M$4*'Risk Data'!$M$10</f>
        <v>60.036051055989574</v>
      </c>
      <c r="V103" s="23">
        <f>V89*'Risk Data'!$M$4*'Risk Data'!$M$10</f>
        <v>65.120355471553239</v>
      </c>
      <c r="W103" s="23">
        <f>W89*'Risk Data'!$M$4*'Risk Data'!$M$10</f>
        <v>125.15640652754281</v>
      </c>
      <c r="X103" s="23">
        <f>X89*'Risk Data'!$M$4*'Risk Data'!$M$10</f>
        <v>74.445172437068877</v>
      </c>
      <c r="Y103" s="23">
        <f>Y89*'Risk Data'!$M$4*'Risk Data'!$M$10</f>
        <v>76.38941190249416</v>
      </c>
      <c r="Z103" s="23">
        <f>Z89*'Risk Data'!$M$4*'Risk Data'!$M$10</f>
        <v>150.83458433956307</v>
      </c>
      <c r="AA103" s="23">
        <f>AA89*'Risk Data'!$M$4*'Risk Data'!$M$10</f>
        <v>84.595684547250855</v>
      </c>
      <c r="AB103" s="23">
        <f>AB89*'Risk Data'!$M$4*'Risk Data'!$M$10</f>
        <v>92.464793606247071</v>
      </c>
      <c r="AC103" s="23">
        <f>AC89*'Risk Data'!$M$4*'Risk Data'!$M$10</f>
        <v>177.06047815349791</v>
      </c>
      <c r="AD103" s="23">
        <f>AD89*'Risk Data'!$M$4*'Risk Data'!$M$10</f>
        <v>103.32828429550703</v>
      </c>
      <c r="AE103" s="23">
        <f>AE89*'Risk Data'!$M$4*'Risk Data'!$M$10</f>
        <v>106.30352694988512</v>
      </c>
      <c r="AF103" s="23">
        <f>AF89*'Risk Data'!$M$4*'Risk Data'!$M$10</f>
        <v>209.63181124539213</v>
      </c>
      <c r="AG103" s="23">
        <f>AG89*'Risk Data'!$M$4*'Risk Data'!$M$10</f>
        <v>121.39951113798708</v>
      </c>
      <c r="AH103" s="23">
        <f>AH89*'Risk Data'!$M$4*'Risk Data'!$M$10</f>
        <v>127.97511777083071</v>
      </c>
      <c r="AI103" s="23">
        <f>AI89*'Risk Data'!$M$4*'Risk Data'!$M$10</f>
        <v>249.37462890881778</v>
      </c>
    </row>
    <row r="104" spans="2:36" ht="12.9" customHeight="1" x14ac:dyDescent="0.3"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</row>
    <row r="105" spans="2:36" ht="12.9" customHeight="1" x14ac:dyDescent="0.3">
      <c r="B105" s="12" t="s">
        <v>906</v>
      </c>
      <c r="R105" s="23"/>
      <c r="S105" s="23"/>
      <c r="T105" s="23"/>
      <c r="U105" s="23">
        <f>SQRT(U102^2+U103^2+2*'Risk Data'!$M$6*'Revenue Segments'!U102*'Revenue Segments'!U103)</f>
        <v>64.281267125385995</v>
      </c>
      <c r="V105" s="23">
        <f>SQRT(V102^2+V103^2+2*'Risk Data'!$M$6*'Revenue Segments'!V102*'Revenue Segments'!V103)</f>
        <v>69.725088371703976</v>
      </c>
      <c r="W105" s="23">
        <f>SQRT(W102^2+W103^2+2*'Risk Data'!$M$6*'Revenue Segments'!W102*'Revenue Segments'!W103)</f>
        <v>134.00635549708997</v>
      </c>
      <c r="X105" s="23">
        <f>SQRT(X102^2+X103^2+2*'Risk Data'!$M$6*'Revenue Segments'!X102*'Revenue Segments'!X103)</f>
        <v>79.709273535658738</v>
      </c>
      <c r="Y105" s="23">
        <f>SQRT(Y102^2+Y103^2+2*'Risk Data'!$M$6*'Revenue Segments'!Y102*'Revenue Segments'!Y103)</f>
        <v>81.790992340184474</v>
      </c>
      <c r="Z105" s="23">
        <f>SQRT(Z102^2+Z103^2+2*'Risk Data'!$M$6*'Revenue Segments'!Z102*'Revenue Segments'!Z103)</f>
        <v>161.50026587584324</v>
      </c>
      <c r="AA105" s="23">
        <f>SQRT(AA102^2+AA103^2+2*'Risk Data'!$M$6*'Revenue Segments'!AA102*'Revenue Segments'!AA103)</f>
        <v>90.57753966804583</v>
      </c>
      <c r="AB105" s="23">
        <f>SQRT(AB102^2+AB103^2+2*'Risk Data'!$M$6*'Revenue Segments'!AB102*'Revenue Segments'!AB103)</f>
        <v>99.003082197290269</v>
      </c>
      <c r="AC105" s="23">
        <f>SQRT(AC102^2+AC103^2+2*'Risk Data'!$M$6*'Revenue Segments'!AC102*'Revenue Segments'!AC103)</f>
        <v>189.58062186533607</v>
      </c>
      <c r="AD105" s="23">
        <f>SQRT(AD102^2+AD103^2+2*'Risk Data'!$M$6*'Revenue Segments'!AD102*'Revenue Segments'!AD103)</f>
        <v>110.6347424185665</v>
      </c>
      <c r="AE105" s="23">
        <f>SQRT(AE102^2+AE103^2+2*'Risk Data'!$M$6*'Revenue Segments'!AE102*'Revenue Segments'!AE103)</f>
        <v>113.82036779640089</v>
      </c>
      <c r="AF105" s="23">
        <f>SQRT(AF102^2+AF103^2+2*'Risk Data'!$M$6*'Revenue Segments'!AF102*'Revenue Segments'!AF103)</f>
        <v>224.45511021496733</v>
      </c>
      <c r="AG105" s="23">
        <f>SQRT(AG102^2+AG103^2+2*'Risk Data'!$M$6*'Revenue Segments'!AG102*'Revenue Segments'!AG103)</f>
        <v>129.98380584816417</v>
      </c>
      <c r="AH105" s="23">
        <f>SQRT(AH102^2+AH103^2+2*'Risk Data'!$M$6*'Revenue Segments'!AH102*'Revenue Segments'!AH103)</f>
        <v>137.02438095333025</v>
      </c>
      <c r="AI105" s="23">
        <f>SQRT(AI102^2+AI103^2+2*'Risk Data'!$M$6*'Revenue Segments'!AI102*'Revenue Segments'!AI103)</f>
        <v>267.00818680149439</v>
      </c>
    </row>
    <row r="106" spans="2:36" s="69" customFormat="1" ht="12.9" customHeight="1" x14ac:dyDescent="0.3">
      <c r="B106" s="69" t="s">
        <v>1015</v>
      </c>
      <c r="R106" s="37"/>
      <c r="S106" s="37"/>
      <c r="T106" s="37"/>
      <c r="U106" s="37">
        <f t="shared" ref="U106:AI106" si="144">U105/U69</f>
        <v>0.14955386286539429</v>
      </c>
      <c r="V106" s="37">
        <f t="shared" si="144"/>
        <v>0.14955386286539429</v>
      </c>
      <c r="W106" s="37">
        <f t="shared" si="144"/>
        <v>0.14955386286539429</v>
      </c>
      <c r="X106" s="37">
        <f t="shared" si="144"/>
        <v>0.14955386286539427</v>
      </c>
      <c r="Y106" s="37">
        <f t="shared" si="144"/>
        <v>0.14955386286539429</v>
      </c>
      <c r="Z106" s="37">
        <f t="shared" si="144"/>
        <v>0.14955386286539432</v>
      </c>
      <c r="AA106" s="37">
        <f t="shared" si="144"/>
        <v>0.14955386286539432</v>
      </c>
      <c r="AB106" s="37">
        <f t="shared" si="144"/>
        <v>0.14955386286539429</v>
      </c>
      <c r="AC106" s="37">
        <f t="shared" si="144"/>
        <v>0.14955386286539429</v>
      </c>
      <c r="AD106" s="37">
        <f t="shared" si="144"/>
        <v>0.14955386286539429</v>
      </c>
      <c r="AE106" s="37">
        <f t="shared" si="144"/>
        <v>0.14955386286539432</v>
      </c>
      <c r="AF106" s="37">
        <f t="shared" si="144"/>
        <v>0.14955386286539427</v>
      </c>
      <c r="AG106" s="37">
        <f t="shared" si="144"/>
        <v>0.14955386286539429</v>
      </c>
      <c r="AH106" s="37">
        <f t="shared" si="144"/>
        <v>0.14955386286539427</v>
      </c>
      <c r="AI106" s="37">
        <f t="shared" si="144"/>
        <v>0.14955386286539427</v>
      </c>
    </row>
    <row r="107" spans="2:36" s="69" customFormat="1" ht="12.9" customHeight="1" x14ac:dyDescent="0.3"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</row>
    <row r="108" spans="2:36" ht="12.9" customHeight="1" x14ac:dyDescent="0.3">
      <c r="B108" s="6" t="s">
        <v>988</v>
      </c>
    </row>
    <row r="109" spans="2:36" s="69" customFormat="1" ht="12.9" customHeight="1" x14ac:dyDescent="0.3">
      <c r="B109" s="12" t="s">
        <v>987</v>
      </c>
      <c r="C109" s="260"/>
      <c r="R109" s="37"/>
      <c r="S109" s="37"/>
      <c r="T109" s="37"/>
      <c r="U109" s="260">
        <f>'Income Statement'!U14*65%</f>
        <v>134.10389380026635</v>
      </c>
      <c r="V109" s="260">
        <f>'Income Statement'!V14*65%</f>
        <v>145.46082030359523</v>
      </c>
      <c r="W109" s="260">
        <f>'Income Statement'!W14*65%</f>
        <v>279.56471410386155</v>
      </c>
      <c r="X109" s="260">
        <f>'Income Statement'!X14*65%</f>
        <v>166.28987621342216</v>
      </c>
      <c r="Y109" s="260">
        <f>'Income Statement'!Y14*65%</f>
        <v>170.63276816263649</v>
      </c>
      <c r="Z109" s="260">
        <f>'Income Statement'!Z14*65%</f>
        <v>336.9226443760586</v>
      </c>
      <c r="AA109" s="260">
        <f>'Income Statement'!AA14*65%</f>
        <v>188.96330616258194</v>
      </c>
      <c r="AB109" s="260">
        <f>'Income Statement'!AB14*65%</f>
        <v>206.54071418640737</v>
      </c>
      <c r="AC109" s="260">
        <f>'Income Statement'!AC14*65%</f>
        <v>395.50402034898929</v>
      </c>
      <c r="AD109" s="260">
        <f>'Income Statement'!AD14*65%</f>
        <v>228.40250373523745</v>
      </c>
      <c r="AE109" s="260">
        <f>'Income Statement'!AE14*65%</f>
        <v>234.97914319182985</v>
      </c>
      <c r="AF109" s="260">
        <f>'Income Statement'!AF14*65%</f>
        <v>463.38164692706732</v>
      </c>
      <c r="AG109" s="260">
        <f>'Income Statement'!AG14*65%</f>
        <v>265.52341695349668</v>
      </c>
      <c r="AH109" s="260">
        <f>'Income Statement'!AH14*65%</f>
        <v>279.90549745224081</v>
      </c>
      <c r="AI109" s="260">
        <f>'Income Statement'!AI14*65%</f>
        <v>545.42891440573749</v>
      </c>
      <c r="AJ109" s="260"/>
    </row>
    <row r="110" spans="2:36" ht="12.9" customHeight="1" x14ac:dyDescent="0.3">
      <c r="B110" s="12" t="s">
        <v>989</v>
      </c>
      <c r="U110" s="23">
        <f>U109*'Risk Data'!$M$5*'Risk Data'!$M$10</f>
        <v>27.663434498949915</v>
      </c>
      <c r="V110" s="23">
        <f>V109*'Risk Data'!$M$5*'Risk Data'!$M$10</f>
        <v>30.006182226336207</v>
      </c>
      <c r="W110" s="23">
        <f>W109*'Risk Data'!$M$5*'Risk Data'!$M$10</f>
        <v>57.669616725286112</v>
      </c>
      <c r="X110" s="23">
        <f>X109*'Risk Data'!$M$5*'Risk Data'!$M$10</f>
        <v>34.302874943511569</v>
      </c>
      <c r="Y110" s="23">
        <f>Y109*'Risk Data'!$M$5*'Risk Data'!$M$10</f>
        <v>35.198742345781355</v>
      </c>
      <c r="Z110" s="23">
        <f>Z109*'Risk Data'!$M$5*'Risk Data'!$M$10</f>
        <v>69.501617289292909</v>
      </c>
      <c r="AA110" s="23">
        <f>AA109*'Risk Data'!$M$5*'Risk Data'!$M$10</f>
        <v>38.980031784306185</v>
      </c>
      <c r="AB110" s="23">
        <f>AB109*'Risk Data'!$M$5*'Risk Data'!$M$10</f>
        <v>42.60596285721472</v>
      </c>
      <c r="AC110" s="23">
        <f>AC109*'Risk Data'!$M$5*'Risk Data'!$M$10</f>
        <v>81.585994641520898</v>
      </c>
      <c r="AD110" s="23">
        <f>AD109*'Risk Data'!$M$5*'Risk Data'!$M$10</f>
        <v>47.115691591226224</v>
      </c>
      <c r="AE110" s="23">
        <f>AE109*'Risk Data'!$M$5*'Risk Data'!$M$10</f>
        <v>48.472344479334176</v>
      </c>
      <c r="AF110" s="23">
        <f>AF109*'Risk Data'!$M$5*'Risk Data'!$M$10</f>
        <v>95.588036070560406</v>
      </c>
      <c r="AG110" s="23">
        <f>AG109*'Risk Data'!$M$5*'Risk Data'!$M$10</f>
        <v>54.77312734684989</v>
      </c>
      <c r="AH110" s="23">
        <f>AH109*'Risk Data'!$M$5*'Risk Data'!$M$10</f>
        <v>57.73991474251045</v>
      </c>
      <c r="AI110" s="23">
        <f>AI109*'Risk Data'!$M$5*'Risk Data'!$M$10</f>
        <v>112.51304208936034</v>
      </c>
    </row>
    <row r="111" spans="2:36" ht="12.9" customHeight="1" x14ac:dyDescent="0.3">
      <c r="B111" s="12" t="s">
        <v>990</v>
      </c>
      <c r="U111" s="19">
        <f>U110/'Income Statement'!U23</f>
        <v>0.30358719052245964</v>
      </c>
      <c r="V111" s="19">
        <f>V110/'Income Statement'!V23</f>
        <v>0.30358719052245964</v>
      </c>
      <c r="W111" s="19">
        <f>W110/'Income Statement'!W23</f>
        <v>0.30358719052245969</v>
      </c>
      <c r="X111" s="19">
        <f>X110/'Income Statement'!X23</f>
        <v>0.30358719052245975</v>
      </c>
      <c r="Y111" s="19">
        <f>Y110/'Income Statement'!Y23</f>
        <v>0.30358719052245964</v>
      </c>
      <c r="Z111" s="19">
        <f>Z110/'Income Statement'!Z23</f>
        <v>0.30358719052245969</v>
      </c>
      <c r="AA111" s="19">
        <f>AA110/'Income Statement'!AA23</f>
        <v>0.30358719052245964</v>
      </c>
      <c r="AB111" s="19">
        <f>AB110/'Income Statement'!AB23</f>
        <v>0.30358719052245969</v>
      </c>
      <c r="AC111" s="19">
        <f>AC110/'Income Statement'!AC23</f>
        <v>0.3035871905224598</v>
      </c>
      <c r="AD111" s="19">
        <f>AD110/'Income Statement'!AD23</f>
        <v>0.2935025929878235</v>
      </c>
      <c r="AE111" s="19">
        <f>AE110/'Income Statement'!AE23</f>
        <v>0.29350259298782355</v>
      </c>
      <c r="AF111" s="19">
        <f>AF110/'Income Statement'!AF23</f>
        <v>0.29350259298782355</v>
      </c>
      <c r="AG111" s="19">
        <f>AG110/'Income Statement'!AG23</f>
        <v>0.28387225660339616</v>
      </c>
      <c r="AH111" s="19">
        <f>AH110/'Income Statement'!AH23</f>
        <v>0.28387225660339616</v>
      </c>
      <c r="AI111" s="19">
        <f>AI110/'Income Statement'!AI23</f>
        <v>0.28387225660339604</v>
      </c>
    </row>
    <row r="112" spans="2:36" ht="12.9" customHeight="1" x14ac:dyDescent="0.3"/>
    <row r="113" spans="2:35" ht="12.9" customHeight="1" x14ac:dyDescent="0.3">
      <c r="B113" s="354" t="s">
        <v>628</v>
      </c>
    </row>
    <row r="114" spans="2:35" ht="12.9" customHeight="1" x14ac:dyDescent="0.3">
      <c r="B114" s="71" t="s">
        <v>242</v>
      </c>
      <c r="C114" s="49">
        <f t="shared" ref="C114:AI114" si="145">C69</f>
        <v>0</v>
      </c>
      <c r="D114" s="49">
        <f t="shared" si="145"/>
        <v>0</v>
      </c>
      <c r="E114" s="49">
        <f t="shared" si="145"/>
        <v>0</v>
      </c>
      <c r="F114" s="49">
        <f t="shared" si="145"/>
        <v>141.10000000000002</v>
      </c>
      <c r="G114" s="49">
        <f t="shared" si="145"/>
        <v>147.1</v>
      </c>
      <c r="H114" s="49">
        <f t="shared" si="145"/>
        <v>288.2</v>
      </c>
      <c r="I114" s="49">
        <f t="shared" si="145"/>
        <v>152.60000000000002</v>
      </c>
      <c r="J114" s="49">
        <f t="shared" si="145"/>
        <v>258.60000000000002</v>
      </c>
      <c r="K114" s="49">
        <f t="shared" si="145"/>
        <v>411.20000000000005</v>
      </c>
      <c r="L114" s="49">
        <f t="shared" si="145"/>
        <v>137.4</v>
      </c>
      <c r="M114" s="49">
        <f t="shared" si="145"/>
        <v>413.10000000000008</v>
      </c>
      <c r="N114" s="49">
        <f t="shared" si="145"/>
        <v>550.5</v>
      </c>
      <c r="O114" s="49">
        <f t="shared" si="145"/>
        <v>339.00000000000006</v>
      </c>
      <c r="P114" s="49">
        <f t="shared" si="145"/>
        <v>369.3</v>
      </c>
      <c r="Q114" s="49">
        <f t="shared" si="145"/>
        <v>708.3</v>
      </c>
      <c r="R114" s="49">
        <f t="shared" si="145"/>
        <v>407.5</v>
      </c>
      <c r="S114" s="49">
        <f t="shared" si="145"/>
        <v>414.8</v>
      </c>
      <c r="T114" s="49">
        <f t="shared" si="145"/>
        <v>822.29999999999984</v>
      </c>
      <c r="U114" s="49">
        <f t="shared" si="145"/>
        <v>429.82017243675108</v>
      </c>
      <c r="V114" s="49">
        <f t="shared" si="145"/>
        <v>466.22057789613854</v>
      </c>
      <c r="W114" s="49">
        <f t="shared" si="145"/>
        <v>896.0407503328895</v>
      </c>
      <c r="X114" s="49">
        <f t="shared" si="145"/>
        <v>532.98037247891716</v>
      </c>
      <c r="Y114" s="49">
        <f t="shared" si="145"/>
        <v>546.89989795716826</v>
      </c>
      <c r="Z114" s="49">
        <f t="shared" si="145"/>
        <v>1079.8802704360853</v>
      </c>
      <c r="AA114" s="49">
        <f t="shared" si="145"/>
        <v>605.65162231596776</v>
      </c>
      <c r="AB114" s="49">
        <f t="shared" si="145"/>
        <v>661.98946854617748</v>
      </c>
      <c r="AC114" s="49">
        <f t="shared" si="145"/>
        <v>1267.6410908621451</v>
      </c>
      <c r="AD114" s="49">
        <f t="shared" si="145"/>
        <v>739.76519428416987</v>
      </c>
      <c r="AE114" s="49">
        <f t="shared" si="145"/>
        <v>761.0660508237404</v>
      </c>
      <c r="AF114" s="49">
        <f t="shared" si="145"/>
        <v>1500.8312451079103</v>
      </c>
      <c r="AG114" s="49">
        <f t="shared" si="145"/>
        <v>869.14375434859801</v>
      </c>
      <c r="AH114" s="49">
        <f t="shared" si="145"/>
        <v>916.22094092386521</v>
      </c>
      <c r="AI114" s="49">
        <f t="shared" si="145"/>
        <v>1785.3646952724632</v>
      </c>
    </row>
    <row r="115" spans="2:35" ht="12.9" customHeight="1" x14ac:dyDescent="0.3"/>
    <row r="116" spans="2:35" ht="12.9" customHeight="1" x14ac:dyDescent="0.3">
      <c r="B116" s="71" t="s">
        <v>629</v>
      </c>
    </row>
    <row r="117" spans="2:35" ht="12.9" customHeight="1" x14ac:dyDescent="0.3">
      <c r="B117" s="12" t="s">
        <v>630</v>
      </c>
      <c r="E117" s="73">
        <v>0.2</v>
      </c>
      <c r="S117" s="21"/>
      <c r="U117" s="21">
        <f>$E$117*U89</f>
        <v>13.066533242077234</v>
      </c>
      <c r="V117" s="21">
        <f>$E$117*V89</f>
        <v>14.173105568042613</v>
      </c>
      <c r="W117" s="21">
        <f>U117+V117</f>
        <v>27.23963881011985</v>
      </c>
      <c r="X117" s="21">
        <f>$E$117*X89</f>
        <v>16.202603323359085</v>
      </c>
      <c r="Y117" s="21">
        <f>$E$117*Y89</f>
        <v>16.625756897897919</v>
      </c>
      <c r="Z117" s="21">
        <f>X117+Y117</f>
        <v>32.828360221257</v>
      </c>
      <c r="AA117" s="21">
        <f>$E$117*AA89</f>
        <v>18.411809318405421</v>
      </c>
      <c r="AB117" s="21">
        <f>$E$117*AB89</f>
        <v>20.124479843803798</v>
      </c>
      <c r="AC117" s="21">
        <f>AA117+AB117</f>
        <v>38.536289162209215</v>
      </c>
      <c r="AD117" s="21">
        <f>$E$117*AD89</f>
        <v>22.488861906238768</v>
      </c>
      <c r="AE117" s="21">
        <f>$E$117*AE89</f>
        <v>23.136407945041711</v>
      </c>
      <c r="AF117" s="21">
        <f>AD117+AE117</f>
        <v>45.625269851280478</v>
      </c>
      <c r="AG117" s="21">
        <f>$E$117*AG89</f>
        <v>26.42197013219738</v>
      </c>
      <c r="AH117" s="21">
        <f>$E$117*AH89</f>
        <v>27.853116604085507</v>
      </c>
      <c r="AI117" s="21">
        <f>AG117+AH117</f>
        <v>54.275086736282887</v>
      </c>
    </row>
    <row r="118" spans="2:35" ht="12.9" customHeight="1" x14ac:dyDescent="0.3">
      <c r="B118" s="12" t="s">
        <v>631</v>
      </c>
      <c r="E118" s="73">
        <v>0.1</v>
      </c>
      <c r="S118" s="23"/>
      <c r="U118" s="23">
        <f>$E$118*U92</f>
        <v>4.0832916381491353</v>
      </c>
      <c r="V118" s="23">
        <f>$E$118*V92</f>
        <v>4.4290954900133164</v>
      </c>
      <c r="W118" s="21">
        <f t="shared" ref="W118:W119" si="146">U118+V118</f>
        <v>8.5123871281624517</v>
      </c>
      <c r="X118" s="23">
        <f>$E$118*X92</f>
        <v>5.0633135385497141</v>
      </c>
      <c r="Y118" s="23">
        <f>$E$118*Y92</f>
        <v>5.1955490305930994</v>
      </c>
      <c r="Z118" s="21">
        <f t="shared" ref="Z118:Z119" si="147">X118+Y118</f>
        <v>10.258862569142813</v>
      </c>
      <c r="AA118" s="23">
        <f>$E$118*AA92</f>
        <v>5.7536904120016938</v>
      </c>
      <c r="AB118" s="23">
        <f>$E$118*AB92</f>
        <v>6.2888999511886858</v>
      </c>
      <c r="AC118" s="21">
        <f t="shared" ref="AC118:AC119" si="148">AA118+AB118</f>
        <v>12.04259036319038</v>
      </c>
      <c r="AD118" s="23">
        <f>$E$118*AD92</f>
        <v>7.027769345699614</v>
      </c>
      <c r="AE118" s="23">
        <f>$E$118*AE92</f>
        <v>7.2301274828255346</v>
      </c>
      <c r="AF118" s="21">
        <f t="shared" ref="AF118:AF119" si="149">AD118+AE118</f>
        <v>14.257896828525148</v>
      </c>
      <c r="AG118" s="23">
        <f>$E$118*AG92</f>
        <v>8.2568656663116808</v>
      </c>
      <c r="AH118" s="23">
        <f>$E$118*AH92</f>
        <v>8.7040989387767205</v>
      </c>
      <c r="AI118" s="21">
        <f t="shared" ref="AI118:AI119" si="150">AG118+AH118</f>
        <v>16.9609646050884</v>
      </c>
    </row>
    <row r="119" spans="2:35" ht="12.9" customHeight="1" x14ac:dyDescent="0.3">
      <c r="B119" s="6" t="s">
        <v>632</v>
      </c>
      <c r="D119" s="6"/>
      <c r="E119" s="73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49"/>
      <c r="S119" s="72"/>
      <c r="T119" s="72"/>
      <c r="U119" s="72">
        <f>U114-U117-U118</f>
        <v>412.67034755652469</v>
      </c>
      <c r="V119" s="72">
        <f>V114-V117-V118</f>
        <v>447.61837683808261</v>
      </c>
      <c r="W119" s="49">
        <f t="shared" si="146"/>
        <v>860.28872439460724</v>
      </c>
      <c r="X119" s="72">
        <f>X114-X117-X118</f>
        <v>511.71445561700835</v>
      </c>
      <c r="Y119" s="72">
        <f>Y114-Y117-Y118</f>
        <v>525.07859202867735</v>
      </c>
      <c r="Z119" s="49">
        <f t="shared" si="147"/>
        <v>1036.7930476456856</v>
      </c>
      <c r="AA119" s="72">
        <f>AA114-AA117-AA118</f>
        <v>581.48612258556068</v>
      </c>
      <c r="AB119" s="72">
        <f>AB114-AB117-AB118</f>
        <v>635.57608875118501</v>
      </c>
      <c r="AC119" s="49">
        <f t="shared" si="148"/>
        <v>1217.0622113367458</v>
      </c>
      <c r="AD119" s="72">
        <f>AD114-AD117-AD118</f>
        <v>710.24856303223146</v>
      </c>
      <c r="AE119" s="72">
        <f>AE114-AE117-AE118</f>
        <v>730.69951539587316</v>
      </c>
      <c r="AF119" s="49">
        <f t="shared" si="149"/>
        <v>1440.9480784281045</v>
      </c>
      <c r="AG119" s="72">
        <f>AG114-AG117-AG118</f>
        <v>834.4649185500889</v>
      </c>
      <c r="AH119" s="72">
        <f>AH114-AH117-AH118</f>
        <v>879.66372538100302</v>
      </c>
      <c r="AI119" s="49">
        <f t="shared" si="150"/>
        <v>1714.128643931092</v>
      </c>
    </row>
    <row r="120" spans="2:35" s="69" customFormat="1" ht="12.9" customHeight="1" x14ac:dyDescent="0.3">
      <c r="B120" s="69" t="s">
        <v>633</v>
      </c>
      <c r="E120" s="73"/>
      <c r="S120" s="70"/>
      <c r="T120" s="70"/>
      <c r="U120" s="70">
        <f t="shared" ref="U120:AI120" si="151">IFERROR((U119-U114)/U114,0)</f>
        <v>-3.9900000000000053E-2</v>
      </c>
      <c r="V120" s="70">
        <f t="shared" si="151"/>
        <v>-3.9899999999999998E-2</v>
      </c>
      <c r="W120" s="70">
        <f t="shared" si="151"/>
        <v>-3.9899999999999963E-2</v>
      </c>
      <c r="X120" s="70">
        <f t="shared" si="151"/>
        <v>-3.9900000000000019E-2</v>
      </c>
      <c r="Y120" s="70">
        <f t="shared" si="151"/>
        <v>-3.9899999999999818E-2</v>
      </c>
      <c r="Z120" s="70">
        <f t="shared" si="151"/>
        <v>-3.9899999999999873E-2</v>
      </c>
      <c r="AA120" s="70">
        <f t="shared" si="151"/>
        <v>-3.9899999999999942E-2</v>
      </c>
      <c r="AB120" s="70">
        <f t="shared" si="151"/>
        <v>-3.9899999999999977E-2</v>
      </c>
      <c r="AC120" s="70">
        <f t="shared" si="151"/>
        <v>-3.9899999999999783E-2</v>
      </c>
      <c r="AD120" s="70">
        <f t="shared" si="151"/>
        <v>-3.990000000000004E-2</v>
      </c>
      <c r="AE120" s="70">
        <f t="shared" si="151"/>
        <v>-3.9899999999999991E-2</v>
      </c>
      <c r="AF120" s="70">
        <f t="shared" si="151"/>
        <v>-3.9900000000000088E-2</v>
      </c>
      <c r="AG120" s="70">
        <f t="shared" si="151"/>
        <v>-3.990000000000006E-2</v>
      </c>
      <c r="AH120" s="70">
        <f t="shared" si="151"/>
        <v>-3.989999999999997E-2</v>
      </c>
      <c r="AI120" s="70">
        <f t="shared" si="151"/>
        <v>-3.9899999999999949E-2</v>
      </c>
    </row>
    <row r="121" spans="2:35" ht="12.9" customHeight="1" x14ac:dyDescent="0.3">
      <c r="E121" s="73"/>
    </row>
    <row r="122" spans="2:35" ht="12.9" customHeight="1" x14ac:dyDescent="0.3">
      <c r="B122" s="71" t="s">
        <v>634</v>
      </c>
      <c r="E122" s="73"/>
    </row>
    <row r="123" spans="2:35" ht="12.9" customHeight="1" x14ac:dyDescent="0.3">
      <c r="B123" s="12" t="s">
        <v>630</v>
      </c>
      <c r="E123" s="73">
        <v>0.4</v>
      </c>
      <c r="S123" s="21"/>
      <c r="U123" s="21">
        <f>$E$123*U89</f>
        <v>26.133066484154469</v>
      </c>
      <c r="V123" s="21">
        <f>$E$123*V89</f>
        <v>28.346211136085227</v>
      </c>
      <c r="W123" s="21"/>
      <c r="X123" s="21">
        <f>$E$123*X89</f>
        <v>32.40520664671817</v>
      </c>
      <c r="Y123" s="21">
        <f>$E$123*Y89</f>
        <v>33.251513795795837</v>
      </c>
      <c r="AA123" s="21">
        <f>$E$123*AA89</f>
        <v>36.823618636810842</v>
      </c>
      <c r="AB123" s="21">
        <f>$E$123*AB89</f>
        <v>40.248959687607595</v>
      </c>
      <c r="AD123" s="21">
        <f>$E$123*AD89</f>
        <v>44.977723812477535</v>
      </c>
      <c r="AE123" s="21">
        <f>$E$123*AE89</f>
        <v>46.272815890083422</v>
      </c>
      <c r="AG123" s="21">
        <f>$E$123*AG89</f>
        <v>52.84394026439476</v>
      </c>
      <c r="AH123" s="21">
        <f>$E$123*AH89</f>
        <v>55.706233208171014</v>
      </c>
    </row>
    <row r="124" spans="2:35" ht="12.9" customHeight="1" x14ac:dyDescent="0.3">
      <c r="B124" s="12" t="s">
        <v>631</v>
      </c>
      <c r="E124" s="73">
        <v>0.25</v>
      </c>
      <c r="S124" s="23"/>
      <c r="U124" s="23">
        <f>$E$124*U92</f>
        <v>10.208229095372838</v>
      </c>
      <c r="V124" s="23">
        <f>$E$124*V92</f>
        <v>11.07273872503329</v>
      </c>
      <c r="W124" s="21"/>
      <c r="X124" s="23">
        <f>$E$124*X92</f>
        <v>12.658283846374283</v>
      </c>
      <c r="Y124" s="23">
        <f>$E$124*Y92</f>
        <v>12.988872576482747</v>
      </c>
      <c r="AA124" s="23">
        <f>$E$124*AA92</f>
        <v>14.384226030004234</v>
      </c>
      <c r="AB124" s="23">
        <f>$E$124*AB92</f>
        <v>15.722249877971715</v>
      </c>
      <c r="AD124" s="23">
        <f>$E$124*AD92</f>
        <v>17.569423364249033</v>
      </c>
      <c r="AE124" s="23">
        <f>$E$124*AE92</f>
        <v>18.075318707063836</v>
      </c>
      <c r="AG124" s="23">
        <f>$E$124*AG92</f>
        <v>20.642164165779203</v>
      </c>
      <c r="AH124" s="23">
        <f>$E$124*AH92</f>
        <v>21.760247346941799</v>
      </c>
    </row>
    <row r="125" spans="2:35" ht="12.9" customHeight="1" x14ac:dyDescent="0.3">
      <c r="B125" s="12" t="s">
        <v>635</v>
      </c>
      <c r="E125" s="73">
        <v>0.1</v>
      </c>
      <c r="S125" s="21"/>
      <c r="U125" s="21">
        <f>$E$125*U77</f>
        <v>16.333166552596541</v>
      </c>
      <c r="V125" s="21">
        <f>$E$125*V77</f>
        <v>17.716381960053265</v>
      </c>
      <c r="W125" s="21"/>
      <c r="X125" s="21">
        <f>$E$125*X77</f>
        <v>20.253254154198856</v>
      </c>
      <c r="Y125" s="21">
        <f>$E$125*Y77</f>
        <v>20.782196122372397</v>
      </c>
      <c r="AA125" s="21">
        <f>$E$125*AA77</f>
        <v>23.014761648006775</v>
      </c>
      <c r="AB125" s="21">
        <f>$E$125*AB77</f>
        <v>25.155599804754743</v>
      </c>
      <c r="AD125" s="21">
        <f>$E$125*AD77</f>
        <v>28.111077382798456</v>
      </c>
      <c r="AE125" s="21">
        <f>$E$125*AE77</f>
        <v>28.920509931302139</v>
      </c>
      <c r="AG125" s="21">
        <f>$E$125*AG77</f>
        <v>33.027462665246723</v>
      </c>
      <c r="AH125" s="21">
        <f>$E$125*AH77</f>
        <v>34.816395755106882</v>
      </c>
    </row>
    <row r="126" spans="2:35" ht="12.9" customHeight="1" x14ac:dyDescent="0.3">
      <c r="B126" s="6" t="s">
        <v>632</v>
      </c>
      <c r="D126" s="6"/>
      <c r="E126" s="73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49"/>
      <c r="T126" s="72"/>
      <c r="U126" s="49">
        <f>U114-SUM(U123:U125)</f>
        <v>377.14571030462724</v>
      </c>
      <c r="V126" s="49">
        <f>V114-SUM(V123:V125)</f>
        <v>409.08524607496673</v>
      </c>
      <c r="W126" s="72">
        <f>U126+V126</f>
        <v>786.23095637959398</v>
      </c>
      <c r="X126" s="49">
        <f>X114-SUM(X123:X125)</f>
        <v>467.66362783162583</v>
      </c>
      <c r="Y126" s="49">
        <f>Y114-SUM(Y123:Y125)</f>
        <v>479.87731546251729</v>
      </c>
      <c r="Z126" s="72">
        <f>X126+Y126</f>
        <v>947.54094329414306</v>
      </c>
      <c r="AA126" s="49">
        <f>AA114-SUM(AA123:AA125)</f>
        <v>531.4290160011459</v>
      </c>
      <c r="AB126" s="49">
        <f>AB114-SUM(AB123:AB125)</f>
        <v>580.86265917584342</v>
      </c>
      <c r="AC126" s="72">
        <f>AA126+AB126</f>
        <v>1112.2916751769894</v>
      </c>
      <c r="AD126" s="49">
        <f>AD114-SUM(AD123:AD125)</f>
        <v>649.10696972464484</v>
      </c>
      <c r="AE126" s="49">
        <f>AE114-SUM(AE123:AE125)</f>
        <v>667.79740629529101</v>
      </c>
      <c r="AF126" s="72">
        <f>AD126+AE126</f>
        <v>1316.9043760199359</v>
      </c>
      <c r="AG126" s="49">
        <f>AG114-SUM(AG123:AG125)</f>
        <v>762.63018725317738</v>
      </c>
      <c r="AH126" s="49">
        <f>AH114-SUM(AH123:AH125)</f>
        <v>803.93806461364557</v>
      </c>
      <c r="AI126" s="72">
        <f>AG126+AH126</f>
        <v>1566.5682518668229</v>
      </c>
    </row>
    <row r="127" spans="2:35" ht="12.9" customHeight="1" x14ac:dyDescent="0.3">
      <c r="B127" s="69" t="s">
        <v>633</v>
      </c>
      <c r="E127" s="73"/>
      <c r="S127" s="70"/>
      <c r="T127" s="70"/>
      <c r="U127" s="70">
        <f t="shared" ref="U127:AI127" si="152">IFERROR((U126-U114)/U114,0)</f>
        <v>-0.12254999999999998</v>
      </c>
      <c r="V127" s="70">
        <f t="shared" si="152"/>
        <v>-0.12255000000000006</v>
      </c>
      <c r="W127" s="70">
        <f t="shared" si="152"/>
        <v>-0.12254999999999991</v>
      </c>
      <c r="X127" s="70">
        <f t="shared" si="152"/>
        <v>-0.12255000000000006</v>
      </c>
      <c r="Y127" s="70">
        <f t="shared" si="152"/>
        <v>-0.12255000000000001</v>
      </c>
      <c r="Z127" s="70">
        <f t="shared" si="152"/>
        <v>-0.12254999999999999</v>
      </c>
      <c r="AA127" s="70">
        <f t="shared" si="152"/>
        <v>-0.12255000000000002</v>
      </c>
      <c r="AB127" s="70">
        <f t="shared" si="152"/>
        <v>-0.12255000000000001</v>
      </c>
      <c r="AC127" s="70">
        <f t="shared" si="152"/>
        <v>-0.12254999999999985</v>
      </c>
      <c r="AD127" s="70">
        <f t="shared" si="152"/>
        <v>-0.12255000000000001</v>
      </c>
      <c r="AE127" s="70">
        <f t="shared" si="152"/>
        <v>-0.12255000000000001</v>
      </c>
      <c r="AF127" s="70">
        <f t="shared" si="152"/>
        <v>-0.12255000000000001</v>
      </c>
      <c r="AG127" s="70">
        <f t="shared" si="152"/>
        <v>-0.12254999999999994</v>
      </c>
      <c r="AH127" s="70">
        <f t="shared" si="152"/>
        <v>-0.12254999999999996</v>
      </c>
      <c r="AI127" s="70">
        <f t="shared" si="152"/>
        <v>-0.12254999999999995</v>
      </c>
    </row>
    <row r="128" spans="2:35" ht="12.9" customHeight="1" x14ac:dyDescent="0.3">
      <c r="B128" s="69"/>
      <c r="E128" s="73"/>
      <c r="S128" s="70"/>
      <c r="T128" s="70"/>
      <c r="U128" s="70"/>
      <c r="V128" s="70"/>
      <c r="W128" s="280"/>
      <c r="X128" s="70"/>
      <c r="Y128" s="70"/>
      <c r="Z128" s="70"/>
      <c r="AA128" s="70"/>
      <c r="AB128" s="70"/>
      <c r="AC128" s="70"/>
      <c r="AD128" s="70"/>
      <c r="AE128" s="70"/>
      <c r="AF128" s="70"/>
      <c r="AG128" s="70"/>
      <c r="AH128" s="70"/>
      <c r="AI128" s="70"/>
    </row>
    <row r="129" spans="2:2" ht="12.9" customHeight="1" x14ac:dyDescent="0.3"/>
    <row r="130" spans="2:2" ht="12.9" customHeight="1" x14ac:dyDescent="0.3"/>
    <row r="131" spans="2:2" ht="12.9" customHeight="1" x14ac:dyDescent="0.3"/>
    <row r="132" spans="2:2" ht="12.9" customHeight="1" x14ac:dyDescent="0.3">
      <c r="B132" s="261"/>
    </row>
    <row r="133" spans="2:2" ht="12.9" customHeight="1" x14ac:dyDescent="0.3"/>
    <row r="134" spans="2:2" ht="12.9" customHeight="1" x14ac:dyDescent="0.3"/>
    <row r="135" spans="2:2" ht="12.9" customHeight="1" x14ac:dyDescent="0.3"/>
    <row r="136" spans="2:2" ht="12.9" customHeight="1" x14ac:dyDescent="0.3"/>
    <row r="137" spans="2:2" ht="12.9" customHeight="1" x14ac:dyDescent="0.3"/>
    <row r="138" spans="2:2" ht="12.9" customHeight="1" x14ac:dyDescent="0.3"/>
    <row r="139" spans="2:2" ht="12.9" customHeight="1" x14ac:dyDescent="0.3"/>
    <row r="140" spans="2:2" ht="12.9" customHeight="1" x14ac:dyDescent="0.3"/>
    <row r="141" spans="2:2" ht="12.9" customHeight="1" x14ac:dyDescent="0.3"/>
    <row r="142" spans="2:2" ht="12.9" customHeight="1" x14ac:dyDescent="0.3"/>
    <row r="143" spans="2:2" ht="12.9" customHeight="1" x14ac:dyDescent="0.3"/>
    <row r="144" spans="2:2" ht="12.9" customHeight="1" x14ac:dyDescent="0.3"/>
    <row r="145" ht="12.9" customHeight="1" x14ac:dyDescent="0.3"/>
    <row r="146" ht="12.9" customHeight="1" x14ac:dyDescent="0.3"/>
    <row r="147" ht="12.9" customHeight="1" x14ac:dyDescent="0.3"/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6A745-30C3-4CF0-96EF-0E6F6632C56A}">
  <sheetPr>
    <tabColor rgb="FF8E1C2F"/>
  </sheetPr>
  <dimension ref="B1:K68"/>
  <sheetViews>
    <sheetView zoomScale="80" zoomScaleNormal="80" workbookViewId="0"/>
  </sheetViews>
  <sheetFormatPr defaultColWidth="8.77734375" defaultRowHeight="13.8" x14ac:dyDescent="0.3"/>
  <cols>
    <col min="1" max="1" width="2.6640625" style="12" customWidth="1"/>
    <col min="2" max="2" width="55.6640625" style="12" customWidth="1"/>
    <col min="3" max="3" width="10.5546875" style="12" customWidth="1"/>
    <col min="4" max="32" width="10.6640625" style="12" customWidth="1"/>
    <col min="33" max="45" width="10.5546875" style="12" customWidth="1"/>
    <col min="46" max="16384" width="8.77734375" style="12"/>
  </cols>
  <sheetData>
    <row r="1" spans="2:3" ht="12.9" customHeight="1" x14ac:dyDescent="0.3">
      <c r="B1" s="1" t="s">
        <v>83</v>
      </c>
    </row>
    <row r="2" spans="2:3" ht="12.9" customHeight="1" x14ac:dyDescent="0.3">
      <c r="B2" s="12" t="s">
        <v>963</v>
      </c>
    </row>
    <row r="3" spans="2:3" ht="12.9" customHeight="1" x14ac:dyDescent="0.3">
      <c r="B3" s="12" t="s">
        <v>114</v>
      </c>
    </row>
    <row r="4" spans="2:3" ht="12.9" customHeight="1" x14ac:dyDescent="0.3"/>
    <row r="5" spans="2:3" ht="12.9" customHeight="1" x14ac:dyDescent="0.3">
      <c r="B5" s="364" t="s">
        <v>206</v>
      </c>
      <c r="C5" s="364"/>
    </row>
    <row r="6" spans="2:3" ht="12.9" customHeight="1" x14ac:dyDescent="0.3">
      <c r="B6" s="74" t="s">
        <v>210</v>
      </c>
      <c r="C6" s="75"/>
    </row>
    <row r="7" spans="2:3" ht="12.9" customHeight="1" x14ac:dyDescent="0.3">
      <c r="B7" s="76" t="s">
        <v>207</v>
      </c>
      <c r="C7" s="77">
        <f>Beta!AA6</f>
        <v>6.9599999999999995E-2</v>
      </c>
    </row>
    <row r="8" spans="2:3" ht="12.9" customHeight="1" x14ac:dyDescent="0.3">
      <c r="B8" s="76" t="s">
        <v>208</v>
      </c>
      <c r="C8" s="77">
        <f>Beta!AA7</f>
        <v>7.0800000000000002E-2</v>
      </c>
    </row>
    <row r="9" spans="2:3" ht="12.9" customHeight="1" x14ac:dyDescent="0.3">
      <c r="B9" s="76" t="s">
        <v>199</v>
      </c>
      <c r="C9" s="78">
        <f>Beta!AA4</f>
        <v>0.78549006448632019</v>
      </c>
    </row>
    <row r="10" spans="2:3" ht="12.9" customHeight="1" x14ac:dyDescent="0.3">
      <c r="B10" s="79" t="s">
        <v>209</v>
      </c>
      <c r="C10" s="80">
        <f>C7+C9*C8</f>
        <v>0.12521269656563147</v>
      </c>
    </row>
    <row r="11" spans="2:3" ht="12.9" customHeight="1" x14ac:dyDescent="0.3">
      <c r="B11" s="76"/>
      <c r="C11" s="56"/>
    </row>
    <row r="12" spans="2:3" ht="12.9" customHeight="1" x14ac:dyDescent="0.3">
      <c r="B12" s="81" t="s">
        <v>211</v>
      </c>
      <c r="C12" s="56"/>
    </row>
    <row r="13" spans="2:3" ht="12.9" customHeight="1" x14ac:dyDescent="0.3">
      <c r="B13" s="82" t="s">
        <v>212</v>
      </c>
      <c r="C13" s="83">
        <f>SUM('Balance Sheet'!T13,'Balance Sheet'!T19)</f>
        <v>107.8015</v>
      </c>
    </row>
    <row r="14" spans="2:3" ht="12.9" customHeight="1" x14ac:dyDescent="0.3">
      <c r="B14" s="82" t="s">
        <v>213</v>
      </c>
      <c r="C14" s="83">
        <f>SUM('Balance Sheet'!T13,'Balance Sheet'!T19)</f>
        <v>107.8015</v>
      </c>
    </row>
    <row r="15" spans="2:3" ht="12.9" customHeight="1" x14ac:dyDescent="0.3">
      <c r="B15" s="82" t="s">
        <v>214</v>
      </c>
      <c r="C15" s="84">
        <f>'Income Statement'!T31</f>
        <v>8.6982999999999997</v>
      </c>
    </row>
    <row r="16" spans="2:3" ht="12.9" customHeight="1" x14ac:dyDescent="0.3">
      <c r="B16" s="82" t="s">
        <v>113</v>
      </c>
      <c r="C16" s="77">
        <f>C15/C13</f>
        <v>8.0688116584648625E-2</v>
      </c>
    </row>
    <row r="17" spans="2:4" ht="12.9" customHeight="1" x14ac:dyDescent="0.3">
      <c r="B17" s="82" t="s">
        <v>190</v>
      </c>
      <c r="C17" s="212">
        <f>Guidance!C19</f>
        <v>0.25168000000000001</v>
      </c>
    </row>
    <row r="18" spans="2:4" ht="12.9" customHeight="1" x14ac:dyDescent="0.3">
      <c r="B18" s="85" t="s">
        <v>215</v>
      </c>
      <c r="C18" s="80">
        <f>C16*(1-C17)</f>
        <v>6.0380531402624261E-2</v>
      </c>
    </row>
    <row r="19" spans="2:4" ht="12.9" customHeight="1" x14ac:dyDescent="0.3">
      <c r="B19" s="82"/>
      <c r="C19" s="56"/>
    </row>
    <row r="20" spans="2:4" ht="12.9" customHeight="1" x14ac:dyDescent="0.3">
      <c r="B20" s="82" t="s">
        <v>216</v>
      </c>
      <c r="C20" s="84">
        <f>'Income Statement'!T48</f>
        <v>2.0031500000000002</v>
      </c>
    </row>
    <row r="21" spans="2:4" ht="12.9" customHeight="1" x14ac:dyDescent="0.3">
      <c r="B21" s="82" t="s">
        <v>107</v>
      </c>
      <c r="C21" s="86">
        <f>'Income Statement'!T50</f>
        <v>1840.1</v>
      </c>
    </row>
    <row r="22" spans="2:4" ht="12.9" customHeight="1" x14ac:dyDescent="0.3">
      <c r="B22" s="82" t="s">
        <v>217</v>
      </c>
      <c r="C22" s="87">
        <f>C20*C21</f>
        <v>3685.9963150000003</v>
      </c>
    </row>
    <row r="23" spans="2:4" ht="12.9" customHeight="1" x14ac:dyDescent="0.3">
      <c r="B23" s="82"/>
      <c r="C23" s="56"/>
    </row>
    <row r="24" spans="2:4" ht="12.9" customHeight="1" x14ac:dyDescent="0.3">
      <c r="B24" s="81" t="s">
        <v>218</v>
      </c>
      <c r="C24" s="56"/>
    </row>
    <row r="25" spans="2:4" ht="12.9" customHeight="1" x14ac:dyDescent="0.3">
      <c r="B25" s="82" t="s">
        <v>219</v>
      </c>
      <c r="C25" s="78">
        <f>C22+C13</f>
        <v>3793.7978150000004</v>
      </c>
    </row>
    <row r="26" spans="2:4" ht="12.9" customHeight="1" x14ac:dyDescent="0.3">
      <c r="B26" s="82" t="s">
        <v>220</v>
      </c>
      <c r="C26" s="77">
        <f>C13/C25</f>
        <v>2.8415193760134523E-2</v>
      </c>
    </row>
    <row r="27" spans="2:4" ht="12.9" customHeight="1" x14ac:dyDescent="0.3">
      <c r="B27" s="82" t="s">
        <v>221</v>
      </c>
      <c r="C27" s="88">
        <f>1-C26</f>
        <v>0.97158480623986543</v>
      </c>
    </row>
    <row r="28" spans="2:4" ht="12.9" customHeight="1" x14ac:dyDescent="0.3">
      <c r="B28" s="89" t="s">
        <v>218</v>
      </c>
      <c r="C28" s="90">
        <f>(C10*C27)+(C18*C26)</f>
        <v>0.12337047803063557</v>
      </c>
    </row>
    <row r="29" spans="2:4" ht="12.9" customHeight="1" x14ac:dyDescent="0.3"/>
    <row r="30" spans="2:4" ht="12.9" customHeight="1" x14ac:dyDescent="0.3">
      <c r="B30" s="71" t="s">
        <v>1041</v>
      </c>
      <c r="C30" s="365">
        <v>0.05</v>
      </c>
    </row>
    <row r="31" spans="2:4" ht="12.9" customHeight="1" x14ac:dyDescent="0.3">
      <c r="B31" s="12" t="s">
        <v>241</v>
      </c>
      <c r="C31" s="68">
        <v>0.04</v>
      </c>
      <c r="D31" s="12" t="s">
        <v>244</v>
      </c>
    </row>
    <row r="32" spans="2:4" ht="12.9" customHeight="1" x14ac:dyDescent="0.3">
      <c r="B32" s="12" t="s">
        <v>1038</v>
      </c>
      <c r="C32" s="68">
        <v>0.05</v>
      </c>
      <c r="D32" s="12" t="s">
        <v>1039</v>
      </c>
    </row>
    <row r="33" spans="2:8" ht="12.9" customHeight="1" x14ac:dyDescent="0.3">
      <c r="B33" s="12" t="s">
        <v>243</v>
      </c>
      <c r="C33" s="68">
        <v>0.06</v>
      </c>
      <c r="D33" s="12" t="s">
        <v>1040</v>
      </c>
    </row>
    <row r="34" spans="2:8" ht="12.9" customHeight="1" x14ac:dyDescent="0.3">
      <c r="B34" s="6" t="s">
        <v>1042</v>
      </c>
      <c r="C34" s="301">
        <f>C30</f>
        <v>0.05</v>
      </c>
    </row>
    <row r="35" spans="2:8" ht="12.9" customHeight="1" x14ac:dyDescent="0.3">
      <c r="H35" s="366" t="s">
        <v>1027</v>
      </c>
    </row>
    <row r="36" spans="2:8" ht="12.9" customHeight="1" x14ac:dyDescent="0.3">
      <c r="B36" s="367" t="s">
        <v>222</v>
      </c>
      <c r="C36" s="368"/>
      <c r="D36" s="369" t="s">
        <v>223</v>
      </c>
      <c r="E36" s="370" t="s">
        <v>224</v>
      </c>
      <c r="F36" s="371" t="s">
        <v>225</v>
      </c>
      <c r="G36" s="371" t="s">
        <v>226</v>
      </c>
      <c r="H36" s="372" t="s">
        <v>240</v>
      </c>
    </row>
    <row r="37" spans="2:8" ht="12.9" customHeight="1" x14ac:dyDescent="0.3">
      <c r="B37" s="60" t="s">
        <v>227</v>
      </c>
      <c r="C37" s="164">
        <f ca="1">TODAY()</f>
        <v>46214</v>
      </c>
      <c r="D37" s="91">
        <f ca="1">(DATE(2027,3,31)-$C$37)/365</f>
        <v>0.72054794520547949</v>
      </c>
      <c r="E37" s="91">
        <f ca="1">(DATE(2028,3,31)-$C$37)/365</f>
        <v>1.7232876712328766</v>
      </c>
      <c r="F37" s="91">
        <f ca="1">(DATE(2029,3,31)-$C$37)/365</f>
        <v>2.7232876712328768</v>
      </c>
      <c r="G37" s="91">
        <f ca="1">(DATE(2030,3,31)-$C$37)/365</f>
        <v>3.7232876712328768</v>
      </c>
      <c r="H37" s="274">
        <f ca="1">(DATE(2031,3,31)-$C$37)/365</f>
        <v>4.7232876712328764</v>
      </c>
    </row>
    <row r="38" spans="2:8" ht="12.9" customHeight="1" x14ac:dyDescent="0.3">
      <c r="B38" s="56" t="s">
        <v>228</v>
      </c>
      <c r="C38" s="92"/>
      <c r="D38" s="92">
        <f>'Income Statement'!W27</f>
        <v>160.7409328485457</v>
      </c>
      <c r="E38" s="92">
        <f>'Income Statement'!Z27</f>
        <v>199.32485843021658</v>
      </c>
      <c r="F38" s="93">
        <f>'Income Statement'!AC27</f>
        <v>239.0963417597882</v>
      </c>
      <c r="G38" s="92">
        <f>'Income Statement'!AF27</f>
        <v>296.00592944483361</v>
      </c>
      <c r="H38" s="274">
        <f>'Income Statement'!AI27</f>
        <v>366.64830592585923</v>
      </c>
    </row>
    <row r="39" spans="2:8" ht="12.9" customHeight="1" x14ac:dyDescent="0.3">
      <c r="B39" s="57" t="s">
        <v>229</v>
      </c>
      <c r="C39" s="94"/>
      <c r="D39" s="94">
        <f t="shared" ref="D39:G39" si="0">D38*$C$17</f>
        <v>40.455277979321984</v>
      </c>
      <c r="E39" s="94">
        <f t="shared" si="0"/>
        <v>50.166080369716909</v>
      </c>
      <c r="F39" s="94">
        <f t="shared" si="0"/>
        <v>60.175767294103501</v>
      </c>
      <c r="G39" s="94">
        <f t="shared" si="0"/>
        <v>74.498772322675734</v>
      </c>
      <c r="H39" s="92">
        <f>H38*$C$17</f>
        <v>92.278045635420256</v>
      </c>
    </row>
    <row r="40" spans="2:8" ht="12.9" customHeight="1" x14ac:dyDescent="0.3">
      <c r="B40" s="95" t="s">
        <v>230</v>
      </c>
      <c r="C40" s="96"/>
      <c r="D40" s="97">
        <f t="shared" ref="D40:G40" si="1">D38-D39</f>
        <v>120.28565486922372</v>
      </c>
      <c r="E40" s="96">
        <f t="shared" si="1"/>
        <v>149.15877806049969</v>
      </c>
      <c r="F40" s="98">
        <f t="shared" si="1"/>
        <v>178.92057446568469</v>
      </c>
      <c r="G40" s="96">
        <f t="shared" si="1"/>
        <v>221.50715712215788</v>
      </c>
      <c r="H40" s="101">
        <f t="shared" ref="H40" si="2">H38-H39</f>
        <v>274.37026029043898</v>
      </c>
    </row>
    <row r="41" spans="2:8" ht="12.9" customHeight="1" x14ac:dyDescent="0.3">
      <c r="B41" s="56" t="s">
        <v>231</v>
      </c>
      <c r="C41" s="92"/>
      <c r="D41" s="92">
        <f>'Balance Sheet'!W63</f>
        <v>29.219706222026836</v>
      </c>
      <c r="E41" s="92">
        <f>'Balance Sheet'!Z63</f>
        <v>29.609758902233473</v>
      </c>
      <c r="F41" s="92">
        <f>'Balance Sheet'!AC63</f>
        <v>29.643569502986431</v>
      </c>
      <c r="G41" s="92">
        <f>'Balance Sheet'!AF63</f>
        <v>29.674450743582764</v>
      </c>
      <c r="H41" s="92">
        <f>'Balance Sheet'!AI63</f>
        <v>29.702656424627484</v>
      </c>
    </row>
    <row r="42" spans="2:8" ht="12.9" customHeight="1" x14ac:dyDescent="0.3">
      <c r="B42" s="56" t="s">
        <v>232</v>
      </c>
      <c r="C42" s="92"/>
      <c r="D42" s="92">
        <f>-'Balance Sheet'!W64</f>
        <v>-35</v>
      </c>
      <c r="E42" s="92">
        <f>-'Balance Sheet'!Z64</f>
        <v>-30</v>
      </c>
      <c r="F42" s="92">
        <f>-'Balance Sheet'!AC64</f>
        <v>-30</v>
      </c>
      <c r="G42" s="92">
        <f>-'Balance Sheet'!AF64</f>
        <v>-30</v>
      </c>
      <c r="H42" s="92">
        <f>-'Balance Sheet'!AI64</f>
        <v>-30</v>
      </c>
    </row>
    <row r="43" spans="2:8" ht="12.9" customHeight="1" x14ac:dyDescent="0.3">
      <c r="B43" s="57" t="s">
        <v>233</v>
      </c>
      <c r="C43" s="94"/>
      <c r="D43" s="99">
        <f>-('Balance Sheet'!W96)</f>
        <v>5.6272560610254345</v>
      </c>
      <c r="E43" s="94">
        <f>-'Balance Sheet'!Z96</f>
        <v>11.7085846160914</v>
      </c>
      <c r="F43" s="100">
        <f>-'Balance Sheet'!AC96</f>
        <v>-1.4650616867629651</v>
      </c>
      <c r="G43" s="94">
        <f>-'Balance Sheet'!AF96</f>
        <v>2.8689219242608601</v>
      </c>
      <c r="H43" s="94">
        <f>-'Balance Sheet'!AI96</f>
        <v>11.172294843713132</v>
      </c>
    </row>
    <row r="44" spans="2:8" ht="12.9" customHeight="1" x14ac:dyDescent="0.3">
      <c r="B44" s="95" t="s">
        <v>234</v>
      </c>
      <c r="C44" s="101"/>
      <c r="D44" s="101">
        <f t="shared" ref="D44:G44" si="3">SUM(D40:D43)</f>
        <v>120.132617152276</v>
      </c>
      <c r="E44" s="101">
        <f t="shared" si="3"/>
        <v>160.47712157882455</v>
      </c>
      <c r="F44" s="101">
        <f t="shared" si="3"/>
        <v>177.09908228190815</v>
      </c>
      <c r="G44" s="101">
        <f t="shared" si="3"/>
        <v>224.05052979000149</v>
      </c>
      <c r="H44" s="101">
        <f>SUM(H40:H43)</f>
        <v>285.2452115587796</v>
      </c>
    </row>
    <row r="45" spans="2:8" ht="12.9" customHeight="1" x14ac:dyDescent="0.3">
      <c r="B45" s="95" t="s">
        <v>235</v>
      </c>
      <c r="C45" s="96"/>
      <c r="D45" s="102"/>
      <c r="E45" s="96"/>
      <c r="F45" s="102"/>
      <c r="G45" s="96"/>
      <c r="H45" s="103">
        <f>(H44*(1+C34))/($C$28-C34)</f>
        <v>4082.1251295604261</v>
      </c>
    </row>
    <row r="46" spans="2:8" ht="12.9" customHeight="1" x14ac:dyDescent="0.3">
      <c r="B46" s="61" t="s">
        <v>236</v>
      </c>
      <c r="C46" s="104"/>
      <c r="D46" s="104">
        <f t="shared" ref="D46:G46" si="4">D44+D45</f>
        <v>120.132617152276</v>
      </c>
      <c r="E46" s="104">
        <f t="shared" si="4"/>
        <v>160.47712157882455</v>
      </c>
      <c r="F46" s="104">
        <f t="shared" si="4"/>
        <v>177.09908228190815</v>
      </c>
      <c r="G46" s="104">
        <f t="shared" si="4"/>
        <v>224.05052979000149</v>
      </c>
      <c r="H46" s="104">
        <f t="shared" ref="H46" si="5">H44+H45</f>
        <v>4367.3703411192055</v>
      </c>
    </row>
    <row r="47" spans="2:8" ht="12.9" customHeight="1" x14ac:dyDescent="0.3">
      <c r="B47" s="77" t="s">
        <v>237</v>
      </c>
      <c r="C47" s="105"/>
      <c r="D47" s="105">
        <f>$C28</f>
        <v>0.12337047803063557</v>
      </c>
      <c r="E47" s="105">
        <f>$C28</f>
        <v>0.12337047803063557</v>
      </c>
      <c r="F47" s="105">
        <f>$C28</f>
        <v>0.12337047803063557</v>
      </c>
      <c r="G47" s="105">
        <f>$C28</f>
        <v>0.12337047803063557</v>
      </c>
      <c r="H47" s="105">
        <f>$C28</f>
        <v>0.12337047803063557</v>
      </c>
    </row>
    <row r="48" spans="2:8" ht="12.9" customHeight="1" x14ac:dyDescent="0.3">
      <c r="B48" s="57" t="s">
        <v>238</v>
      </c>
      <c r="C48" s="94"/>
      <c r="D48" s="93">
        <f ca="1">1/(1+D47)^D37</f>
        <v>0.91959320060652583</v>
      </c>
      <c r="E48" s="92">
        <f ca="1">1/(1+E47)^E37</f>
        <v>0.81834102882780013</v>
      </c>
      <c r="F48" s="106">
        <f ca="1">1/(1+F47)^F37</f>
        <v>0.72846940954191886</v>
      </c>
      <c r="G48" s="94">
        <f ca="1">1/(1+G47)^G37</f>
        <v>0.64846764606008511</v>
      </c>
      <c r="H48" s="94">
        <f ca="1">1/(1+H47)^H37</f>
        <v>0.57725181384230817</v>
      </c>
    </row>
    <row r="49" spans="2:11" ht="12.9" customHeight="1" x14ac:dyDescent="0.3">
      <c r="B49" s="61" t="s">
        <v>239</v>
      </c>
      <c r="C49" s="107"/>
      <c r="D49" s="107">
        <f t="shared" ref="D49:H49" ca="1" si="6">D46*D48</f>
        <v>110.4731379042999</v>
      </c>
      <c r="E49" s="107">
        <f t="shared" ca="1" si="6"/>
        <v>131.32501277613926</v>
      </c>
      <c r="F49" s="108">
        <f t="shared" ca="1" si="6"/>
        <v>129.01126390031735</v>
      </c>
      <c r="G49" s="107">
        <f t="shared" ca="1" si="6"/>
        <v>145.28951965143725</v>
      </c>
      <c r="H49" s="107">
        <f t="shared" ca="1" si="6"/>
        <v>2521.0724511321614</v>
      </c>
    </row>
    <row r="50" spans="2:11" ht="12.9" customHeight="1" x14ac:dyDescent="0.3">
      <c r="C50" s="211"/>
    </row>
    <row r="51" spans="2:11" ht="12.9" customHeight="1" x14ac:dyDescent="0.3">
      <c r="B51" s="109" t="s">
        <v>245</v>
      </c>
      <c r="C51" s="110">
        <f ca="1">SUM(D49:H49)</f>
        <v>3037.171385364355</v>
      </c>
      <c r="E51" s="323" t="s">
        <v>1036</v>
      </c>
      <c r="F51" s="323"/>
      <c r="G51" s="323"/>
      <c r="H51" s="323"/>
      <c r="I51" s="323"/>
      <c r="J51" s="323"/>
      <c r="K51" s="323"/>
    </row>
    <row r="52" spans="2:11" ht="12.9" customHeight="1" x14ac:dyDescent="0.3">
      <c r="B52" s="111" t="s">
        <v>246</v>
      </c>
      <c r="C52" s="112">
        <f ca="1">SUM(C51)</f>
        <v>3037.171385364355</v>
      </c>
      <c r="E52" s="321" t="s">
        <v>218</v>
      </c>
      <c r="F52" s="321"/>
      <c r="G52" s="321"/>
      <c r="H52" s="321"/>
      <c r="I52" s="321"/>
      <c r="J52" s="321"/>
      <c r="K52" s="321"/>
    </row>
    <row r="53" spans="2:11" ht="12.9" customHeight="1" x14ac:dyDescent="0.3">
      <c r="B53" s="113" t="s">
        <v>247</v>
      </c>
      <c r="C53" s="83">
        <f>C13</f>
        <v>107.8015</v>
      </c>
      <c r="E53" s="322" t="s">
        <v>969</v>
      </c>
      <c r="F53" s="276">
        <f ca="1">C56</f>
        <v>1468.6744803755857</v>
      </c>
      <c r="G53" s="210">
        <f>H53-1%</f>
        <v>0.10337047803063558</v>
      </c>
      <c r="H53" s="210">
        <f>I53-1%</f>
        <v>0.11337047803063557</v>
      </c>
      <c r="I53" s="275">
        <v>0.12337047803063557</v>
      </c>
      <c r="J53" s="210">
        <f>I53+1%</f>
        <v>0.13337047803063556</v>
      </c>
      <c r="K53" s="210">
        <f>J53+1%</f>
        <v>0.14337047803063557</v>
      </c>
    </row>
    <row r="54" spans="2:11" ht="12.9" customHeight="1" x14ac:dyDescent="0.3">
      <c r="B54" s="76" t="s">
        <v>248</v>
      </c>
      <c r="C54" s="83">
        <f>'Balance Sheet'!T49+'Balance Sheet'!T50</f>
        <v>12.605400000000001</v>
      </c>
      <c r="E54" s="322"/>
      <c r="F54" s="210">
        <f>F55-1%</f>
        <v>0.03</v>
      </c>
      <c r="G54" s="21">
        <f t="dataTable" ref="G54:K58" dt2D="1" dtr="1" r1="C28" r2="C34" ca="1"/>
        <v>1566.7577238048252</v>
      </c>
      <c r="H54" s="21">
        <v>1360.6277366423039</v>
      </c>
      <c r="I54" s="21">
        <v>1199.0916251612439</v>
      </c>
      <c r="J54" s="21">
        <v>1069.1890222246604</v>
      </c>
      <c r="K54" s="21">
        <v>962.53323169156988</v>
      </c>
    </row>
    <row r="55" spans="2:11" ht="12.9" customHeight="1" x14ac:dyDescent="0.3">
      <c r="B55" s="89" t="s">
        <v>249</v>
      </c>
      <c r="C55" s="114">
        <f ca="1">C52-C53+C54</f>
        <v>2941.9752853643549</v>
      </c>
      <c r="E55" s="322"/>
      <c r="F55" s="210">
        <f>F56-1%</f>
        <v>0.04</v>
      </c>
      <c r="G55" s="21">
        <v>1779.098131776225</v>
      </c>
      <c r="H55" s="21">
        <v>1516.6973036815971</v>
      </c>
      <c r="I55" s="21">
        <v>1317.7152880162871</v>
      </c>
      <c r="J55" s="21">
        <v>1161.7561043767373</v>
      </c>
      <c r="K55" s="21">
        <v>1036.3171209829572</v>
      </c>
    </row>
    <row r="56" spans="2:11" ht="12.9" customHeight="1" x14ac:dyDescent="0.3">
      <c r="B56" s="61" t="s">
        <v>918</v>
      </c>
      <c r="C56" s="115">
        <f ca="1">C55/C20</f>
        <v>1468.6744803755857</v>
      </c>
      <c r="E56" s="322"/>
      <c r="F56" s="275">
        <f>C30</f>
        <v>0.05</v>
      </c>
      <c r="G56" s="21">
        <v>2071.0107736142641</v>
      </c>
      <c r="H56" s="21">
        <v>1722.0231086062481</v>
      </c>
      <c r="I56" s="276">
        <v>1468.6744803755857</v>
      </c>
      <c r="J56" s="21">
        <v>1276.5293881336709</v>
      </c>
      <c r="K56" s="21">
        <v>1125.9055538190778</v>
      </c>
    </row>
    <row r="57" spans="2:11" ht="12.9" customHeight="1" x14ac:dyDescent="0.3">
      <c r="B57" s="61" t="s">
        <v>917</v>
      </c>
      <c r="C57" s="115">
        <f>'Peer Comps'!C17</f>
        <v>1917.6146706374454</v>
      </c>
      <c r="E57" s="322"/>
      <c r="F57" s="210">
        <f>F56+1%</f>
        <v>6.0000000000000005E-2</v>
      </c>
      <c r="G57" s="21">
        <v>2497.5369383338534</v>
      </c>
      <c r="H57" s="21">
        <v>2004.2925020094549</v>
      </c>
      <c r="I57" s="21">
        <v>1667.2770540224042</v>
      </c>
      <c r="J57" s="21">
        <v>1422.5886296320843</v>
      </c>
      <c r="K57" s="21">
        <v>1236.9856309284144</v>
      </c>
    </row>
    <row r="58" spans="2:11" ht="12.9" customHeight="1" x14ac:dyDescent="0.3">
      <c r="B58" s="61" t="s">
        <v>919</v>
      </c>
      <c r="C58" s="115">
        <f ca="1">AVERAGE(C56:C57)</f>
        <v>1693.1445755065156</v>
      </c>
      <c r="E58" s="322"/>
      <c r="F58" s="210">
        <f>F57+1%</f>
        <v>7.0000000000000007E-2</v>
      </c>
      <c r="G58" s="21">
        <v>3179.6939419812043</v>
      </c>
      <c r="H58" s="21">
        <v>2416.7285000803909</v>
      </c>
      <c r="I58" s="21">
        <v>1940.303759127373</v>
      </c>
      <c r="J58" s="21">
        <v>1614.744806497722</v>
      </c>
      <c r="K58" s="21">
        <v>1378.3449375291975</v>
      </c>
    </row>
    <row r="59" spans="2:11" ht="12.9" customHeight="1" x14ac:dyDescent="0.3">
      <c r="B59" s="61" t="s">
        <v>1028</v>
      </c>
      <c r="C59" s="115">
        <v>1911.45</v>
      </c>
    </row>
    <row r="60" spans="2:11" ht="12.9" customHeight="1" x14ac:dyDescent="0.3">
      <c r="B60" s="61" t="s">
        <v>250</v>
      </c>
      <c r="C60" s="116">
        <f ca="1">C58/C59-1</f>
        <v>-0.11420933034789527</v>
      </c>
    </row>
    <row r="61" spans="2:11" ht="12.9" customHeight="1" x14ac:dyDescent="0.3">
      <c r="F61" s="27"/>
      <c r="G61" s="210"/>
      <c r="H61" s="210"/>
      <c r="I61" s="283"/>
      <c r="J61" s="210"/>
      <c r="K61" s="210"/>
    </row>
    <row r="62" spans="2:11" ht="12.9" customHeight="1" x14ac:dyDescent="0.3">
      <c r="F62" s="48"/>
      <c r="G62" s="40"/>
      <c r="H62" s="40"/>
      <c r="I62" s="40"/>
      <c r="J62" s="40"/>
      <c r="K62" s="40"/>
    </row>
    <row r="63" spans="2:11" ht="12.9" customHeight="1" x14ac:dyDescent="0.3">
      <c r="F63" s="283"/>
    </row>
    <row r="64" spans="2:11" ht="12.9" customHeight="1" x14ac:dyDescent="0.3">
      <c r="F64" s="283"/>
    </row>
    <row r="65" spans="6:6" x14ac:dyDescent="0.3">
      <c r="F65" s="283"/>
    </row>
    <row r="66" spans="6:6" x14ac:dyDescent="0.3">
      <c r="F66" s="283"/>
    </row>
    <row r="67" spans="6:6" x14ac:dyDescent="0.3">
      <c r="F67" s="283"/>
    </row>
    <row r="68" spans="6:6" x14ac:dyDescent="0.3">
      <c r="F68" s="283"/>
    </row>
  </sheetData>
  <mergeCells count="4">
    <mergeCell ref="B5:C5"/>
    <mergeCell ref="E52:K52"/>
    <mergeCell ref="E53:E58"/>
    <mergeCell ref="E51:K51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type="list" allowBlank="1" showInputMessage="1" showErrorMessage="1" sqref="C30" xr:uid="{A8C90ECC-521C-4B3F-8C1F-5C0B682FE4B0}">
      <formula1>$C$31:$C$33</formula1>
    </dataValidation>
    <dataValidation type="list" allowBlank="1" showInputMessage="1" showErrorMessage="1" sqref="G27" xr:uid="{5E6C64F3-6C91-4F61-8956-E42FF2724FCF}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FCCE3-7BEC-490A-A792-0CD0E70C36BB}">
  <sheetPr>
    <tabColor rgb="FF8E1C2F"/>
  </sheetPr>
  <dimension ref="A1:Q1022"/>
  <sheetViews>
    <sheetView zoomScale="80" zoomScaleNormal="80" workbookViewId="0">
      <selection activeCell="I9" sqref="I9"/>
    </sheetView>
  </sheetViews>
  <sheetFormatPr defaultRowHeight="13.2" x14ac:dyDescent="0.25"/>
  <cols>
    <col min="1" max="1" width="30.5546875" style="303" customWidth="1"/>
    <col min="2" max="6" width="13" style="303" customWidth="1"/>
    <col min="7" max="7" width="3.33203125" style="303" customWidth="1"/>
    <col min="8" max="8" width="24.109375" style="303" customWidth="1"/>
    <col min="9" max="9" width="13.88671875" style="303" customWidth="1"/>
    <col min="10" max="16384" width="8.88671875" style="303"/>
  </cols>
  <sheetData>
    <row r="1" spans="1:17" ht="15.6" x14ac:dyDescent="0.3">
      <c r="A1" s="315" t="s">
        <v>1049</v>
      </c>
      <c r="B1" s="304"/>
      <c r="C1" s="304"/>
      <c r="D1" s="304"/>
      <c r="E1" s="304"/>
      <c r="F1" s="304"/>
      <c r="G1" s="304"/>
      <c r="H1" s="304"/>
      <c r="I1" s="304"/>
      <c r="J1" s="304"/>
      <c r="K1" s="304"/>
      <c r="L1" s="304"/>
      <c r="M1" s="304"/>
      <c r="N1" s="304"/>
      <c r="O1" s="304"/>
      <c r="P1" s="304"/>
      <c r="Q1" s="304"/>
    </row>
    <row r="2" spans="1:17" ht="13.8" x14ac:dyDescent="0.3">
      <c r="A2" s="316" t="s">
        <v>1050</v>
      </c>
      <c r="B2" s="304"/>
      <c r="C2" s="304"/>
      <c r="D2" s="304"/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</row>
    <row r="3" spans="1:17" ht="13.8" x14ac:dyDescent="0.3">
      <c r="A3" s="304"/>
      <c r="B3" s="304"/>
      <c r="C3" s="304"/>
      <c r="D3" s="304"/>
      <c r="E3" s="304"/>
      <c r="F3" s="304"/>
      <c r="G3" s="304"/>
      <c r="H3" s="304"/>
      <c r="I3" s="304"/>
      <c r="J3" s="304"/>
      <c r="K3" s="304"/>
      <c r="L3" s="304"/>
      <c r="M3" s="304"/>
      <c r="N3" s="304"/>
      <c r="O3" s="304"/>
      <c r="P3" s="304"/>
      <c r="Q3" s="304"/>
    </row>
    <row r="4" spans="1:17" ht="13.8" x14ac:dyDescent="0.3">
      <c r="A4" s="386" t="s">
        <v>1051</v>
      </c>
      <c r="B4" s="387"/>
      <c r="C4" s="387"/>
      <c r="D4" s="387"/>
      <c r="E4" s="304"/>
      <c r="F4" s="304"/>
      <c r="G4" s="304"/>
      <c r="H4" s="386" t="s">
        <v>1076</v>
      </c>
      <c r="I4" s="387"/>
      <c r="J4" s="304"/>
      <c r="K4" s="304"/>
      <c r="L4" s="304"/>
      <c r="M4" s="304"/>
      <c r="N4" s="304"/>
      <c r="O4" s="304"/>
      <c r="P4" s="304"/>
      <c r="Q4" s="304"/>
    </row>
    <row r="5" spans="1:17" ht="13.8" x14ac:dyDescent="0.3">
      <c r="A5" s="305" t="s">
        <v>1052</v>
      </c>
      <c r="B5" s="306" t="s">
        <v>1053</v>
      </c>
      <c r="C5" s="306" t="s">
        <v>1054</v>
      </c>
      <c r="D5" s="306" t="s">
        <v>1055</v>
      </c>
      <c r="E5" s="304"/>
      <c r="F5" s="304"/>
      <c r="G5" s="304"/>
      <c r="H5" s="304" t="s">
        <v>1077</v>
      </c>
      <c r="I5" s="307">
        <f ca="1">COUNT($E$23:$E$1022)</f>
        <v>1000</v>
      </c>
      <c r="J5" s="304"/>
      <c r="K5" s="304"/>
      <c r="L5" s="304"/>
      <c r="M5" s="304"/>
      <c r="N5" s="304"/>
      <c r="O5" s="304"/>
      <c r="P5" s="304"/>
      <c r="Q5" s="304"/>
    </row>
    <row r="6" spans="1:17" ht="13.8" x14ac:dyDescent="0.3">
      <c r="A6" s="304" t="s">
        <v>218</v>
      </c>
      <c r="B6" s="317">
        <f>'DCF Model'!C28</f>
        <v>0.12337047803063557</v>
      </c>
      <c r="C6" s="308">
        <v>0.01</v>
      </c>
      <c r="D6" s="309" t="s">
        <v>1056</v>
      </c>
      <c r="E6" s="304"/>
      <c r="F6" s="304"/>
      <c r="G6" s="304"/>
      <c r="H6" s="304" t="s">
        <v>1053</v>
      </c>
      <c r="I6" s="310">
        <f ca="1">AVERAGE($E$23:$E$1022)</f>
        <v>1514.613008392992</v>
      </c>
      <c r="J6" s="304"/>
      <c r="K6" s="304"/>
      <c r="L6" s="304"/>
      <c r="M6" s="304"/>
      <c r="N6" s="304"/>
      <c r="O6" s="304"/>
      <c r="P6" s="304"/>
      <c r="Q6" s="304"/>
    </row>
    <row r="7" spans="1:17" ht="13.8" x14ac:dyDescent="0.3">
      <c r="A7" s="304" t="s">
        <v>1042</v>
      </c>
      <c r="B7" s="317">
        <f>'DCF Model'!C34</f>
        <v>0.05</v>
      </c>
      <c r="C7" s="308">
        <v>7.4999999999999997E-3</v>
      </c>
      <c r="D7" s="309" t="s">
        <v>1056</v>
      </c>
      <c r="E7" s="304"/>
      <c r="F7" s="304"/>
      <c r="G7" s="304"/>
      <c r="H7" s="304" t="s">
        <v>1078</v>
      </c>
      <c r="I7" s="311">
        <f ca="1">MEDIAN($E$23:$E$1022)</f>
        <v>1476.0193425076186</v>
      </c>
      <c r="J7" s="304"/>
      <c r="K7" s="304"/>
      <c r="L7" s="304"/>
      <c r="M7" s="304"/>
      <c r="N7" s="304"/>
      <c r="O7" s="304"/>
      <c r="P7" s="304"/>
      <c r="Q7" s="304"/>
    </row>
    <row r="8" spans="1:17" ht="13.8" x14ac:dyDescent="0.3">
      <c r="A8" s="304" t="s">
        <v>1057</v>
      </c>
      <c r="B8" s="312">
        <v>1</v>
      </c>
      <c r="C8" s="308">
        <v>0.1</v>
      </c>
      <c r="D8" s="309" t="s">
        <v>1056</v>
      </c>
      <c r="E8" s="304"/>
      <c r="F8" s="304"/>
      <c r="G8" s="304"/>
      <c r="H8" s="304" t="s">
        <v>1054</v>
      </c>
      <c r="I8" s="311">
        <f ca="1">_xlfn.STDEV.S($E$23:$E$1022)</f>
        <v>319.31696904828476</v>
      </c>
      <c r="J8" s="304"/>
      <c r="K8" s="304"/>
      <c r="L8" s="304"/>
      <c r="M8" s="304"/>
      <c r="N8" s="304"/>
      <c r="O8" s="304"/>
      <c r="P8" s="304"/>
      <c r="Q8" s="304"/>
    </row>
    <row r="9" spans="1:17" ht="13.8" x14ac:dyDescent="0.3">
      <c r="A9" s="304" t="s">
        <v>1058</v>
      </c>
      <c r="B9" s="313">
        <v>1000</v>
      </c>
      <c r="C9" s="304"/>
      <c r="D9" s="304"/>
      <c r="E9" s="304"/>
      <c r="F9" s="304"/>
      <c r="G9" s="304"/>
      <c r="H9" s="304" t="s">
        <v>1079</v>
      </c>
      <c r="I9" s="311">
        <f ca="1">MIN($E$23:$E$1022)</f>
        <v>811.06983937044686</v>
      </c>
      <c r="J9" s="304"/>
      <c r="K9" s="304"/>
      <c r="L9" s="304"/>
      <c r="M9" s="304"/>
      <c r="N9" s="304"/>
      <c r="O9" s="304"/>
      <c r="P9" s="304"/>
      <c r="Q9" s="304"/>
    </row>
    <row r="10" spans="1:17" ht="13.8" x14ac:dyDescent="0.3">
      <c r="A10" s="304"/>
      <c r="B10" s="304"/>
      <c r="C10" s="304"/>
      <c r="D10" s="304"/>
      <c r="E10" s="304"/>
      <c r="F10" s="304"/>
      <c r="G10" s="304"/>
      <c r="H10" s="304" t="s">
        <v>1080</v>
      </c>
      <c r="I10" s="311">
        <f ca="1">MAX($E$23:$E$1022)</f>
        <v>3135.5897486121667</v>
      </c>
      <c r="J10" s="304"/>
      <c r="K10" s="304"/>
      <c r="L10" s="304"/>
      <c r="M10" s="304"/>
      <c r="N10" s="304"/>
      <c r="O10" s="304"/>
      <c r="P10" s="304"/>
      <c r="Q10" s="304"/>
    </row>
    <row r="11" spans="1:17" ht="13.8" x14ac:dyDescent="0.3">
      <c r="A11" s="386" t="s">
        <v>1059</v>
      </c>
      <c r="B11" s="387"/>
      <c r="C11" s="387"/>
      <c r="D11" s="387"/>
      <c r="E11" s="387"/>
      <c r="F11" s="387"/>
      <c r="G11" s="304"/>
      <c r="H11" s="304" t="s">
        <v>1081</v>
      </c>
      <c r="I11" s="311">
        <f ca="1">_xlfn.PERCENTILE.INC($E$23:$E$1022,0.05)</f>
        <v>1054.9994481884828</v>
      </c>
      <c r="J11" s="304"/>
      <c r="K11" s="304"/>
      <c r="L11" s="304"/>
      <c r="M11" s="304"/>
      <c r="N11" s="304"/>
      <c r="O11" s="304"/>
      <c r="P11" s="304"/>
      <c r="Q11" s="304"/>
    </row>
    <row r="12" spans="1:17" ht="13.8" x14ac:dyDescent="0.3">
      <c r="A12" s="305"/>
      <c r="B12" s="306" t="s">
        <v>1060</v>
      </c>
      <c r="C12" s="306" t="s">
        <v>1061</v>
      </c>
      <c r="D12" s="306" t="s">
        <v>1062</v>
      </c>
      <c r="E12" s="306" t="s">
        <v>1063</v>
      </c>
      <c r="F12" s="306" t="s">
        <v>1064</v>
      </c>
      <c r="G12" s="304"/>
      <c r="H12" s="304" t="s">
        <v>1082</v>
      </c>
      <c r="I12" s="311">
        <f ca="1">_xlfn.PERCENTILE.INC($E$23:$E$1022,0.25)</f>
        <v>1295.2146551463341</v>
      </c>
      <c r="J12" s="304"/>
      <c r="K12" s="304"/>
      <c r="L12" s="304"/>
      <c r="M12" s="304"/>
      <c r="N12" s="304"/>
      <c r="O12" s="304"/>
      <c r="P12" s="304"/>
      <c r="Q12" s="304"/>
    </row>
    <row r="13" spans="1:17" ht="13.8" x14ac:dyDescent="0.3">
      <c r="A13" s="304" t="s">
        <v>1065</v>
      </c>
      <c r="B13" s="318">
        <f>'DCF Model'!D44</f>
        <v>120.132617152276</v>
      </c>
      <c r="C13" s="318">
        <f>'DCF Model'!E44</f>
        <v>160.47712157882455</v>
      </c>
      <c r="D13" s="318">
        <f>'DCF Model'!F44</f>
        <v>177.09908228190815</v>
      </c>
      <c r="E13" s="318">
        <f>'DCF Model'!G44</f>
        <v>224.05052979000149</v>
      </c>
      <c r="F13" s="318">
        <f>'DCF Model'!H44</f>
        <v>285.2452115587796</v>
      </c>
      <c r="G13" s="304"/>
      <c r="H13" s="304" t="s">
        <v>1083</v>
      </c>
      <c r="I13" s="311">
        <f ca="1">_xlfn.PERCENTILE.INC($E$23:$E$1022,0.75)</f>
        <v>1696.9274416409221</v>
      </c>
      <c r="J13" s="304"/>
      <c r="K13" s="304"/>
      <c r="L13" s="304"/>
      <c r="M13" s="304"/>
      <c r="N13" s="304"/>
      <c r="O13" s="304"/>
      <c r="P13" s="304"/>
      <c r="Q13" s="304"/>
    </row>
    <row r="14" spans="1:17" ht="13.8" x14ac:dyDescent="0.3">
      <c r="A14" s="304" t="s">
        <v>227</v>
      </c>
      <c r="B14" s="319">
        <f ca="1">'DCF Model'!D37</f>
        <v>0.72054794520547949</v>
      </c>
      <c r="C14" s="319">
        <f ca="1">'DCF Model'!E37</f>
        <v>1.7232876712328766</v>
      </c>
      <c r="D14" s="319">
        <f ca="1">'DCF Model'!F37</f>
        <v>2.7232876712328768</v>
      </c>
      <c r="E14" s="319">
        <f ca="1">'DCF Model'!G37</f>
        <v>3.7232876712328768</v>
      </c>
      <c r="F14" s="319">
        <f ca="1">'DCF Model'!H37</f>
        <v>4.7232876712328764</v>
      </c>
      <c r="G14" s="304"/>
      <c r="H14" s="304" t="s">
        <v>1084</v>
      </c>
      <c r="I14" s="311">
        <f ca="1">_xlfn.PERCENTILE.INC($E$23:$E$1022,0.95)</f>
        <v>2087.742741569843</v>
      </c>
      <c r="J14" s="304"/>
      <c r="K14" s="304"/>
      <c r="L14" s="304"/>
      <c r="M14" s="304"/>
      <c r="N14" s="304"/>
      <c r="O14" s="304"/>
      <c r="P14" s="304"/>
      <c r="Q14" s="304"/>
    </row>
    <row r="15" spans="1:17" ht="13.8" x14ac:dyDescent="0.3">
      <c r="A15" s="304" t="s">
        <v>1066</v>
      </c>
      <c r="B15" s="318">
        <f>'DCF Model'!C53</f>
        <v>107.8015</v>
      </c>
      <c r="C15" s="304"/>
      <c r="D15" s="304"/>
      <c r="E15" s="304"/>
      <c r="F15" s="304"/>
      <c r="G15" s="304"/>
      <c r="H15" s="304" t="s">
        <v>1085</v>
      </c>
      <c r="I15" s="311">
        <f ca="1">B18</f>
        <v>1468.6744803755857</v>
      </c>
      <c r="J15" s="304"/>
      <c r="K15" s="304"/>
      <c r="L15" s="304"/>
      <c r="M15" s="304"/>
      <c r="N15" s="304"/>
      <c r="O15" s="304"/>
      <c r="P15" s="304"/>
      <c r="Q15" s="304"/>
    </row>
    <row r="16" spans="1:17" ht="13.8" x14ac:dyDescent="0.3">
      <c r="A16" s="304" t="s">
        <v>1067</v>
      </c>
      <c r="B16" s="318">
        <f>'DCF Model'!C54</f>
        <v>12.605400000000001</v>
      </c>
      <c r="C16" s="304"/>
      <c r="D16" s="304"/>
      <c r="E16" s="304"/>
      <c r="F16" s="304"/>
      <c r="G16" s="304"/>
      <c r="H16" s="304" t="s">
        <v>322</v>
      </c>
      <c r="I16" s="311">
        <f>B19</f>
        <v>1911.45</v>
      </c>
      <c r="J16" s="304"/>
      <c r="K16" s="304"/>
      <c r="L16" s="304"/>
      <c r="M16" s="304"/>
      <c r="N16" s="304"/>
      <c r="O16" s="304"/>
      <c r="P16" s="304"/>
      <c r="Q16" s="304"/>
    </row>
    <row r="17" spans="1:17" ht="13.8" x14ac:dyDescent="0.3">
      <c r="A17" s="304" t="s">
        <v>1068</v>
      </c>
      <c r="B17" s="319">
        <f>'DCF Model'!C20</f>
        <v>2.0031500000000002</v>
      </c>
      <c r="C17" s="304"/>
      <c r="D17" s="304"/>
      <c r="E17" s="304"/>
      <c r="F17" s="304"/>
      <c r="G17" s="304"/>
      <c r="H17" s="304" t="s">
        <v>1086</v>
      </c>
      <c r="I17" s="314">
        <f ca="1">COUNTIF($E$23:$E$1022,"&gt;"&amp;B19)/I5</f>
        <v>0.109</v>
      </c>
      <c r="J17" s="304"/>
      <c r="K17" s="304"/>
      <c r="L17" s="304"/>
      <c r="M17" s="304"/>
      <c r="N17" s="304"/>
      <c r="O17" s="304"/>
      <c r="P17" s="304"/>
      <c r="Q17" s="304"/>
    </row>
    <row r="18" spans="1:17" ht="13.8" x14ac:dyDescent="0.3">
      <c r="A18" s="304" t="s">
        <v>1069</v>
      </c>
      <c r="B18" s="320">
        <f ca="1">'DCF Model'!C56</f>
        <v>1468.6744803755857</v>
      </c>
      <c r="C18" s="304"/>
      <c r="D18" s="304"/>
      <c r="E18" s="304"/>
      <c r="F18" s="304"/>
      <c r="G18" s="304"/>
      <c r="H18" s="304" t="s">
        <v>1087</v>
      </c>
      <c r="I18" s="314">
        <f ca="1">I6/I16-1</f>
        <v>-0.20761044840671117</v>
      </c>
      <c r="J18" s="304"/>
      <c r="K18" s="304"/>
      <c r="L18" s="304"/>
      <c r="M18" s="304"/>
      <c r="N18" s="304"/>
      <c r="O18" s="304"/>
      <c r="P18" s="304"/>
      <c r="Q18" s="304"/>
    </row>
    <row r="19" spans="1:17" ht="13.8" x14ac:dyDescent="0.3">
      <c r="A19" s="304" t="s">
        <v>1070</v>
      </c>
      <c r="B19" s="318">
        <f>'DCF Model'!C59</f>
        <v>1911.45</v>
      </c>
      <c r="C19" s="304"/>
      <c r="D19" s="304"/>
      <c r="E19" s="304"/>
      <c r="F19" s="304"/>
      <c r="G19" s="304"/>
      <c r="H19" s="304"/>
      <c r="I19" s="304"/>
      <c r="J19" s="304"/>
      <c r="K19" s="304"/>
      <c r="L19" s="304"/>
      <c r="M19" s="304"/>
      <c r="N19" s="304"/>
      <c r="O19" s="304"/>
      <c r="P19" s="304"/>
      <c r="Q19" s="304"/>
    </row>
    <row r="20" spans="1:17" ht="13.8" x14ac:dyDescent="0.3">
      <c r="A20" s="304"/>
      <c r="B20" s="304"/>
      <c r="C20" s="304"/>
      <c r="D20" s="304"/>
      <c r="E20" s="304"/>
      <c r="F20" s="304"/>
      <c r="G20" s="304"/>
      <c r="H20" s="304"/>
      <c r="I20" s="304"/>
      <c r="J20" s="304"/>
      <c r="K20" s="304"/>
      <c r="L20" s="304"/>
      <c r="M20" s="304"/>
      <c r="N20" s="304"/>
      <c r="O20" s="304"/>
      <c r="P20" s="304"/>
      <c r="Q20" s="304"/>
    </row>
    <row r="21" spans="1:17" ht="13.8" x14ac:dyDescent="0.3">
      <c r="A21" s="386" t="s">
        <v>1071</v>
      </c>
      <c r="B21" s="387"/>
      <c r="C21" s="387"/>
      <c r="D21" s="387"/>
      <c r="E21" s="387"/>
      <c r="F21" s="304"/>
      <c r="G21" s="304"/>
      <c r="H21" s="386" t="s">
        <v>1088</v>
      </c>
      <c r="I21" s="387"/>
      <c r="J21" s="304"/>
      <c r="K21" s="304"/>
      <c r="L21" s="304"/>
      <c r="M21" s="304"/>
      <c r="N21" s="304"/>
      <c r="O21" s="304"/>
      <c r="P21" s="304"/>
      <c r="Q21" s="304"/>
    </row>
    <row r="22" spans="1:17" ht="13.8" x14ac:dyDescent="0.3">
      <c r="A22" s="306" t="s">
        <v>1072</v>
      </c>
      <c r="B22" s="306" t="s">
        <v>218</v>
      </c>
      <c r="C22" s="306" t="s">
        <v>1073</v>
      </c>
      <c r="D22" s="306" t="s">
        <v>1074</v>
      </c>
      <c r="E22" s="306" t="s">
        <v>1075</v>
      </c>
      <c r="F22" s="304"/>
      <c r="G22" s="304"/>
      <c r="H22" s="306" t="s">
        <v>1089</v>
      </c>
      <c r="I22" s="306" t="s">
        <v>1090</v>
      </c>
      <c r="J22" s="304"/>
      <c r="K22" s="304"/>
      <c r="L22" s="304"/>
      <c r="M22" s="304"/>
      <c r="N22" s="304"/>
      <c r="O22" s="304"/>
      <c r="P22" s="304"/>
      <c r="Q22" s="304"/>
    </row>
    <row r="23" spans="1:17" ht="13.8" x14ac:dyDescent="0.3">
      <c r="A23" s="388">
        <f>ROW()-22</f>
        <v>1</v>
      </c>
      <c r="B23" s="389">
        <f ca="1">_xlfn.NORM.INV(RAND(),$B$6,$C$6)</f>
        <v>0.13610974693831807</v>
      </c>
      <c r="C23" s="389">
        <f ca="1">MIN(_xlfn.NORM.INV(RAND(),$B$7,$C$7),B23-0.005)</f>
        <v>4.6052519526786594E-2</v>
      </c>
      <c r="D23" s="390">
        <f ca="1">_xlfn.NORM.INV(RAND(),$B$8,$C$8)</f>
        <v>1.0299145818383144</v>
      </c>
      <c r="E23" s="391" cm="1">
        <f t="array" aca="1" ref="E23" ca="1">(SUMPRODUCT($B$13:$F$13*D23/(1+B23)^$B$14:$F$14)+($F$13*D23*(1+C23))/(B23-C23)/(1+B23)^$F$14-$B$15+$B$16)/$B$17</f>
        <v>1223.6005271885674</v>
      </c>
      <c r="F23" s="304"/>
      <c r="G23" s="304"/>
      <c r="H23" s="307">
        <f ca="1">$I$9+($I$10-$I$9)/12*(ROW()-22)</f>
        <v>1004.7798318072569</v>
      </c>
      <c r="I23" s="307" cm="1">
        <f t="array" aca="1" ref="I23:I35" ca="1">FREQUENCY($E$23:$E$1022,$H$23:$H$34)</f>
        <v>17</v>
      </c>
      <c r="J23" s="304"/>
      <c r="K23" s="304"/>
      <c r="L23" s="304"/>
      <c r="M23" s="304"/>
      <c r="N23" s="304"/>
      <c r="O23" s="304"/>
      <c r="P23" s="304"/>
      <c r="Q23" s="304"/>
    </row>
    <row r="24" spans="1:17" ht="13.8" x14ac:dyDescent="0.3">
      <c r="A24" s="388">
        <f t="shared" ref="A24:A87" si="0">ROW()-22</f>
        <v>2</v>
      </c>
      <c r="B24" s="389">
        <f t="shared" ref="B24:B87" ca="1" si="1">_xlfn.NORM.INV(RAND(),$B$6,$C$6)</f>
        <v>0.12395217769547118</v>
      </c>
      <c r="C24" s="389">
        <f t="shared" ref="C24:C87" ca="1" si="2">MIN(_xlfn.NORM.INV(RAND(),$B$7,$C$7),B24-0.005)</f>
        <v>4.6931777778464204E-2</v>
      </c>
      <c r="D24" s="390">
        <f t="shared" ref="D24:D87" ca="1" si="3">_xlfn.NORM.INV(RAND(),$B$8,$C$8)</f>
        <v>0.79163476225342921</v>
      </c>
      <c r="E24" s="391" cm="1">
        <f t="array" aca="1" ref="E24" ca="1">(SUMPRODUCT($B$13:$F$13*D24/(1+B24)^$B$14:$F$14)+($F$13*D24*(1+C24))/(B24-C24)/(1+B24)^$F$14-$B$15+$B$16)/$B$17</f>
        <v>1103.4646211331112</v>
      </c>
      <c r="F24" s="304"/>
      <c r="G24" s="304"/>
      <c r="H24" s="307">
        <f t="shared" ref="H24:H34" ca="1" si="4">$I$9+($I$10-$I$9)/12*(ROW()-22)</f>
        <v>1198.4898242440668</v>
      </c>
      <c r="I24" s="304">
        <f ca="1"/>
        <v>129</v>
      </c>
      <c r="J24" s="304"/>
      <c r="K24" s="304"/>
      <c r="L24" s="304"/>
      <c r="M24" s="304"/>
      <c r="N24" s="304"/>
      <c r="O24" s="304"/>
      <c r="P24" s="304"/>
      <c r="Q24" s="304"/>
    </row>
    <row r="25" spans="1:17" ht="13.8" x14ac:dyDescent="0.3">
      <c r="A25" s="388">
        <f t="shared" si="0"/>
        <v>3</v>
      </c>
      <c r="B25" s="389">
        <f t="shared" ca="1" si="1"/>
        <v>0.11649248510175195</v>
      </c>
      <c r="C25" s="389">
        <f t="shared" ca="1" si="2"/>
        <v>4.9936698047074707E-2</v>
      </c>
      <c r="D25" s="390">
        <f t="shared" ca="1" si="3"/>
        <v>0.88788280988131763</v>
      </c>
      <c r="E25" s="391" cm="1">
        <f t="array" aca="1" ref="E25" ca="1">(SUMPRODUCT($B$13:$F$13*D25/(1+B25)^$B$14:$F$14)+($F$13*D25*(1+C25))/(B25-C25)/(1+B25)^$F$14-$B$15+$B$16)/$B$17</f>
        <v>1444.8822630719553</v>
      </c>
      <c r="F25" s="304"/>
      <c r="G25" s="304"/>
      <c r="H25" s="307">
        <f t="shared" ca="1" si="4"/>
        <v>1392.1998166808767</v>
      </c>
      <c r="I25" s="304">
        <f ca="1"/>
        <v>246</v>
      </c>
      <c r="J25" s="304"/>
      <c r="K25" s="304"/>
      <c r="L25" s="304"/>
      <c r="M25" s="304"/>
      <c r="N25" s="304"/>
      <c r="O25" s="304"/>
      <c r="P25" s="304"/>
      <c r="Q25" s="304"/>
    </row>
    <row r="26" spans="1:17" ht="13.8" x14ac:dyDescent="0.3">
      <c r="A26" s="388">
        <f t="shared" si="0"/>
        <v>4</v>
      </c>
      <c r="B26" s="389">
        <f t="shared" ca="1" si="1"/>
        <v>0.11991006757264142</v>
      </c>
      <c r="C26" s="389">
        <f t="shared" ca="1" si="2"/>
        <v>4.8609991007007483E-2</v>
      </c>
      <c r="D26" s="390">
        <f t="shared" ca="1" si="3"/>
        <v>0.94664054093346128</v>
      </c>
      <c r="E26" s="391" cm="1">
        <f t="array" aca="1" ref="E26" ca="1">(SUMPRODUCT($B$13:$F$13*D26/(1+B26)^$B$14:$F$14)+($F$13*D26*(1+C26))/(B26-C26)/(1+B26)^$F$14-$B$15+$B$16)/$B$17</f>
        <v>1438.2852911589564</v>
      </c>
      <c r="F26" s="304"/>
      <c r="G26" s="304"/>
      <c r="H26" s="307">
        <f t="shared" ca="1" si="4"/>
        <v>1585.9098091176868</v>
      </c>
      <c r="I26" s="304">
        <f ca="1"/>
        <v>243</v>
      </c>
      <c r="J26" s="304"/>
      <c r="K26" s="304"/>
      <c r="L26" s="304"/>
      <c r="M26" s="304"/>
      <c r="N26" s="304"/>
      <c r="O26" s="304"/>
      <c r="P26" s="304"/>
      <c r="Q26" s="304"/>
    </row>
    <row r="27" spans="1:17" ht="13.8" x14ac:dyDescent="0.3">
      <c r="A27" s="388">
        <f t="shared" si="0"/>
        <v>5</v>
      </c>
      <c r="B27" s="389">
        <f t="shared" ca="1" si="1"/>
        <v>0.11409751544563604</v>
      </c>
      <c r="C27" s="389">
        <f t="shared" ca="1" si="2"/>
        <v>5.6981678305071518E-2</v>
      </c>
      <c r="D27" s="390">
        <f t="shared" ca="1" si="3"/>
        <v>1.0420660011048368</v>
      </c>
      <c r="E27" s="391" cm="1">
        <f t="array" aca="1" ref="E27" ca="1">(SUMPRODUCT($B$13:$F$13*D27/(1+B27)^$B$14:$F$14)+($F$13*D27*(1+C27))/(B27-C27)/(1+B27)^$F$14-$B$15+$B$16)/$B$17</f>
        <v>1963.7274188669758</v>
      </c>
      <c r="F27" s="304"/>
      <c r="G27" s="304"/>
      <c r="H27" s="307">
        <f t="shared" ca="1" si="4"/>
        <v>1779.6198015544969</v>
      </c>
      <c r="I27" s="304">
        <f ca="1"/>
        <v>186</v>
      </c>
      <c r="J27" s="304"/>
      <c r="K27" s="304"/>
      <c r="L27" s="304"/>
      <c r="M27" s="304"/>
      <c r="N27" s="304"/>
      <c r="O27" s="304"/>
      <c r="P27" s="304"/>
      <c r="Q27" s="304"/>
    </row>
    <row r="28" spans="1:17" ht="13.8" x14ac:dyDescent="0.3">
      <c r="A28" s="388">
        <f t="shared" si="0"/>
        <v>6</v>
      </c>
      <c r="B28" s="389">
        <f t="shared" ca="1" si="1"/>
        <v>9.7159945821717067E-2</v>
      </c>
      <c r="C28" s="389">
        <f t="shared" ca="1" si="2"/>
        <v>4.3438456999802637E-2</v>
      </c>
      <c r="D28" s="390">
        <f t="shared" ca="1" si="3"/>
        <v>0.94082949730687648</v>
      </c>
      <c r="E28" s="391" cm="1">
        <f t="array" aca="1" ref="E28" ca="1">(SUMPRODUCT($B$13:$F$13*D28/(1+B28)^$B$14:$F$14)+($F$13*D28*(1+C28))/(B28-C28)/(1+B28)^$F$14-$B$15+$B$16)/$B$17</f>
        <v>1974.3784519819412</v>
      </c>
      <c r="F28" s="304"/>
      <c r="G28" s="304"/>
      <c r="H28" s="307">
        <f t="shared" ca="1" si="4"/>
        <v>1973.3297939913068</v>
      </c>
      <c r="I28" s="304">
        <f ca="1"/>
        <v>99</v>
      </c>
      <c r="J28" s="304"/>
      <c r="K28" s="304"/>
      <c r="L28" s="304"/>
      <c r="M28" s="304"/>
      <c r="N28" s="304"/>
      <c r="O28" s="304"/>
      <c r="P28" s="304"/>
      <c r="Q28" s="304"/>
    </row>
    <row r="29" spans="1:17" ht="13.8" x14ac:dyDescent="0.3">
      <c r="A29" s="388">
        <f t="shared" si="0"/>
        <v>7</v>
      </c>
      <c r="B29" s="389">
        <f t="shared" ca="1" si="1"/>
        <v>0.11774478257350958</v>
      </c>
      <c r="C29" s="389">
        <f t="shared" ca="1" si="2"/>
        <v>6.1988078755086287E-2</v>
      </c>
      <c r="D29" s="390">
        <f t="shared" ca="1" si="3"/>
        <v>0.98715783102423893</v>
      </c>
      <c r="E29" s="391" cm="1">
        <f t="array" aca="1" ref="E29" ca="1">(SUMPRODUCT($B$13:$F$13*D29/(1+B29)^$B$14:$F$14)+($F$13*D29*(1+C29))/(B29-C29)/(1+B29)^$F$14-$B$15+$B$16)/$B$17</f>
        <v>1875.5129629433645</v>
      </c>
      <c r="F29" s="304"/>
      <c r="G29" s="304"/>
      <c r="H29" s="307">
        <f t="shared" ca="1" si="4"/>
        <v>2167.0397864281167</v>
      </c>
      <c r="I29" s="304">
        <f ca="1"/>
        <v>43</v>
      </c>
      <c r="J29" s="304"/>
      <c r="K29" s="304"/>
      <c r="L29" s="304"/>
      <c r="M29" s="304"/>
      <c r="N29" s="304"/>
      <c r="O29" s="304"/>
      <c r="P29" s="304"/>
      <c r="Q29" s="304"/>
    </row>
    <row r="30" spans="1:17" ht="13.8" x14ac:dyDescent="0.3">
      <c r="A30" s="388">
        <f t="shared" si="0"/>
        <v>8</v>
      </c>
      <c r="B30" s="389">
        <f t="shared" ca="1" si="1"/>
        <v>0.12154413925657477</v>
      </c>
      <c r="C30" s="389">
        <f t="shared" ca="1" si="2"/>
        <v>5.3831641751681168E-2</v>
      </c>
      <c r="D30" s="390">
        <f t="shared" ca="1" si="3"/>
        <v>1.1217164526990009</v>
      </c>
      <c r="E30" s="391" cm="1">
        <f t="array" aca="1" ref="E30" ca="1">(SUMPRODUCT($B$13:$F$13*D30/(1+B30)^$B$14:$F$14)+($F$13*D30*(1+C30))/(B30-C30)/(1+B30)^$F$14-$B$15+$B$16)/$B$17</f>
        <v>1781.5736833243645</v>
      </c>
      <c r="F30" s="304"/>
      <c r="G30" s="304"/>
      <c r="H30" s="307">
        <f t="shared" ca="1" si="4"/>
        <v>2360.7497788649266</v>
      </c>
      <c r="I30" s="304">
        <f ca="1"/>
        <v>19</v>
      </c>
      <c r="J30" s="304"/>
      <c r="K30" s="304"/>
      <c r="L30" s="304"/>
      <c r="M30" s="304"/>
      <c r="N30" s="304"/>
      <c r="O30" s="304"/>
      <c r="P30" s="304"/>
      <c r="Q30" s="304"/>
    </row>
    <row r="31" spans="1:17" ht="13.8" x14ac:dyDescent="0.3">
      <c r="A31" s="388">
        <f t="shared" si="0"/>
        <v>9</v>
      </c>
      <c r="B31" s="389">
        <f t="shared" ca="1" si="1"/>
        <v>0.12280124972039333</v>
      </c>
      <c r="C31" s="389">
        <f t="shared" ca="1" si="2"/>
        <v>5.0883927157103631E-2</v>
      </c>
      <c r="D31" s="390">
        <f t="shared" ca="1" si="3"/>
        <v>1.1564111249026101</v>
      </c>
      <c r="E31" s="391" cm="1">
        <f t="array" aca="1" ref="E31" ca="1">(SUMPRODUCT($B$13:$F$13*D31/(1+B31)^$B$14:$F$14)+($F$13*D31*(1+C31))/(B31-C31)/(1+B31)^$F$14-$B$15+$B$16)/$B$17</f>
        <v>1738.3879922417084</v>
      </c>
      <c r="F31" s="304"/>
      <c r="G31" s="304"/>
      <c r="H31" s="307">
        <f t="shared" ca="1" si="4"/>
        <v>2554.4597713017365</v>
      </c>
      <c r="I31" s="304">
        <f ca="1"/>
        <v>10</v>
      </c>
      <c r="J31" s="304"/>
      <c r="K31" s="304"/>
      <c r="L31" s="304"/>
      <c r="M31" s="304"/>
      <c r="N31" s="304"/>
      <c r="O31" s="304"/>
      <c r="P31" s="304"/>
      <c r="Q31" s="304"/>
    </row>
    <row r="32" spans="1:17" ht="13.8" x14ac:dyDescent="0.3">
      <c r="A32" s="388">
        <f t="shared" si="0"/>
        <v>10</v>
      </c>
      <c r="B32" s="389">
        <f t="shared" ca="1" si="1"/>
        <v>0.12038667504490225</v>
      </c>
      <c r="C32" s="389">
        <f t="shared" ca="1" si="2"/>
        <v>4.6434729709314983E-2</v>
      </c>
      <c r="D32" s="390">
        <f t="shared" ca="1" si="3"/>
        <v>0.82331576801615924</v>
      </c>
      <c r="E32" s="391" cm="1">
        <f t="array" aca="1" ref="E32" ca="1">(SUMPRODUCT($B$13:$F$13*D32/(1+B32)^$B$14:$F$14)+($F$13*D32*(1+C32))/(B32-C32)/(1+B32)^$F$14-$B$15+$B$16)/$B$17</f>
        <v>1204.1846292607847</v>
      </c>
      <c r="F32" s="304"/>
      <c r="G32" s="304"/>
      <c r="H32" s="307">
        <f t="shared" ca="1" si="4"/>
        <v>2748.1697637385469</v>
      </c>
      <c r="I32" s="304">
        <f ca="1"/>
        <v>5</v>
      </c>
      <c r="J32" s="304"/>
      <c r="K32" s="304"/>
      <c r="L32" s="304"/>
      <c r="M32" s="304"/>
      <c r="N32" s="304"/>
      <c r="O32" s="304"/>
      <c r="P32" s="304"/>
      <c r="Q32" s="304"/>
    </row>
    <row r="33" spans="1:17" ht="13.8" x14ac:dyDescent="0.3">
      <c r="A33" s="388">
        <f t="shared" si="0"/>
        <v>11</v>
      </c>
      <c r="B33" s="389">
        <f t="shared" ca="1" si="1"/>
        <v>0.11413072314106699</v>
      </c>
      <c r="C33" s="389">
        <f t="shared" ca="1" si="2"/>
        <v>4.2426195967469514E-2</v>
      </c>
      <c r="D33" s="390">
        <f t="shared" ca="1" si="3"/>
        <v>1.0427956456445704</v>
      </c>
      <c r="E33" s="391" cm="1">
        <f t="array" aca="1" ref="E33" ca="1">(SUMPRODUCT($B$13:$F$13*D33/(1+B33)^$B$14:$F$14)+($F$13*D33*(1+C33))/(B33-C33)/(1+B33)^$F$14-$B$15+$B$16)/$B$17</f>
        <v>1611.2029813760321</v>
      </c>
      <c r="F33" s="304"/>
      <c r="G33" s="304"/>
      <c r="H33" s="307">
        <f t="shared" ca="1" si="4"/>
        <v>2941.8797561753568</v>
      </c>
      <c r="I33" s="304">
        <f ca="1"/>
        <v>2</v>
      </c>
      <c r="J33" s="304"/>
      <c r="K33" s="304"/>
      <c r="L33" s="304"/>
      <c r="M33" s="304"/>
      <c r="N33" s="304"/>
      <c r="O33" s="304"/>
      <c r="P33" s="304"/>
      <c r="Q33" s="304"/>
    </row>
    <row r="34" spans="1:17" ht="13.8" x14ac:dyDescent="0.3">
      <c r="A34" s="388">
        <f t="shared" si="0"/>
        <v>12</v>
      </c>
      <c r="B34" s="389">
        <f t="shared" ca="1" si="1"/>
        <v>0.13465193875443796</v>
      </c>
      <c r="C34" s="389">
        <f t="shared" ca="1" si="2"/>
        <v>5.3590661836164032E-2</v>
      </c>
      <c r="D34" s="390">
        <f t="shared" ca="1" si="3"/>
        <v>1.044176837513934</v>
      </c>
      <c r="E34" s="391" cm="1">
        <f t="array" aca="1" ref="E34" ca="1">(SUMPRODUCT($B$13:$F$13*D34/(1+B34)^$B$14:$F$14)+($F$13*D34*(1+C34))/(B34-C34)/(1+B34)^$F$14-$B$15+$B$16)/$B$17</f>
        <v>1361.379433733287</v>
      </c>
      <c r="F34" s="304"/>
      <c r="G34" s="304"/>
      <c r="H34" s="307">
        <f t="shared" ca="1" si="4"/>
        <v>3135.5897486121667</v>
      </c>
      <c r="I34" s="304">
        <f ca="1"/>
        <v>1</v>
      </c>
      <c r="J34" s="304"/>
      <c r="K34" s="304"/>
      <c r="L34" s="304"/>
      <c r="M34" s="304"/>
      <c r="N34" s="304"/>
      <c r="O34" s="304"/>
      <c r="P34" s="304"/>
      <c r="Q34" s="304"/>
    </row>
    <row r="35" spans="1:17" ht="13.8" x14ac:dyDescent="0.3">
      <c r="A35" s="388">
        <f t="shared" si="0"/>
        <v>13</v>
      </c>
      <c r="B35" s="389">
        <f t="shared" ca="1" si="1"/>
        <v>0.12861534816823902</v>
      </c>
      <c r="C35" s="389">
        <f t="shared" ca="1" si="2"/>
        <v>5.066246440445988E-2</v>
      </c>
      <c r="D35" s="390">
        <f t="shared" ca="1" si="3"/>
        <v>1.0430043261399822</v>
      </c>
      <c r="E35" s="391" cm="1">
        <f t="array" aca="1" ref="E35" ca="1">(SUMPRODUCT($B$13:$F$13*D35/(1+B35)^$B$14:$F$14)+($F$13*D35*(1+C35))/(B35-C35)/(1+B35)^$F$14-$B$15+$B$16)/$B$17</f>
        <v>1432.5830320800592</v>
      </c>
      <c r="F35" s="304"/>
      <c r="G35" s="304"/>
      <c r="H35" s="304"/>
      <c r="I35" s="304">
        <f ca="1"/>
        <v>0</v>
      </c>
      <c r="J35" s="304"/>
      <c r="K35" s="304"/>
      <c r="L35" s="304"/>
      <c r="M35" s="304"/>
      <c r="N35" s="304"/>
      <c r="O35" s="304"/>
      <c r="P35" s="304"/>
      <c r="Q35" s="304"/>
    </row>
    <row r="36" spans="1:17" ht="13.8" x14ac:dyDescent="0.3">
      <c r="A36" s="388">
        <f t="shared" si="0"/>
        <v>14</v>
      </c>
      <c r="B36" s="389">
        <f t="shared" ca="1" si="1"/>
        <v>0.12557446012070905</v>
      </c>
      <c r="C36" s="389">
        <f t="shared" ca="1" si="2"/>
        <v>3.8109013586289181E-2</v>
      </c>
      <c r="D36" s="390">
        <f t="shared" ca="1" si="3"/>
        <v>1.1082115559865622</v>
      </c>
      <c r="E36" s="391" cm="1">
        <f t="array" aca="1" ref="E36" ca="1">(SUMPRODUCT($B$13:$F$13*D36/(1+B36)^$B$14:$F$14)+($F$13*D36*(1+C36))/(B36-C36)/(1+B36)^$F$14-$B$15+$B$16)/$B$17</f>
        <v>1398.1802435800926</v>
      </c>
      <c r="F36" s="304"/>
      <c r="G36" s="304"/>
      <c r="H36" s="304"/>
      <c r="I36" s="304"/>
      <c r="J36" s="304"/>
      <c r="K36" s="304"/>
      <c r="L36" s="304"/>
      <c r="M36" s="304"/>
      <c r="N36" s="304"/>
      <c r="O36" s="304"/>
      <c r="P36" s="304"/>
      <c r="Q36" s="304"/>
    </row>
    <row r="37" spans="1:17" ht="13.8" x14ac:dyDescent="0.3">
      <c r="A37" s="388">
        <f t="shared" si="0"/>
        <v>15</v>
      </c>
      <c r="B37" s="389">
        <f t="shared" ca="1" si="1"/>
        <v>0.1122716720193165</v>
      </c>
      <c r="C37" s="389">
        <f t="shared" ca="1" si="2"/>
        <v>5.4065927091212308E-2</v>
      </c>
      <c r="D37" s="390">
        <f t="shared" ca="1" si="3"/>
        <v>1.1036378553348565</v>
      </c>
      <c r="E37" s="391" cm="1">
        <f t="array" aca="1" ref="E37" ca="1">(SUMPRODUCT($B$13:$F$13*D37/(1+B37)^$B$14:$F$14)+($F$13*D37*(1+C37))/(B37-C37)/(1+B37)^$F$14-$B$15+$B$16)/$B$17</f>
        <v>2060.2794633819435</v>
      </c>
      <c r="F37" s="304"/>
      <c r="G37" s="304"/>
      <c r="H37" s="304"/>
      <c r="I37" s="304"/>
      <c r="J37" s="304"/>
      <c r="K37" s="304"/>
      <c r="L37" s="304"/>
      <c r="M37" s="304"/>
      <c r="N37" s="304"/>
      <c r="O37" s="304"/>
      <c r="P37" s="304"/>
      <c r="Q37" s="304"/>
    </row>
    <row r="38" spans="1:17" ht="13.8" x14ac:dyDescent="0.3">
      <c r="A38" s="388">
        <f t="shared" si="0"/>
        <v>16</v>
      </c>
      <c r="B38" s="389">
        <f t="shared" ca="1" si="1"/>
        <v>0.11802032583234523</v>
      </c>
      <c r="C38" s="389">
        <f t="shared" ca="1" si="2"/>
        <v>4.8252896232941746E-2</v>
      </c>
      <c r="D38" s="390">
        <f t="shared" ca="1" si="3"/>
        <v>0.72466109882658403</v>
      </c>
      <c r="E38" s="391" cm="1">
        <f t="array" aca="1" ref="E38" ca="1">(SUMPRODUCT($B$13:$F$13*D38/(1+B38)^$B$14:$F$14)+($F$13*D38*(1+C38))/(B38-C38)/(1+B38)^$F$14-$B$15+$B$16)/$B$17</f>
        <v>1117.5908586581354</v>
      </c>
      <c r="F38" s="304"/>
      <c r="G38" s="304"/>
      <c r="H38" s="304"/>
      <c r="I38" s="304"/>
      <c r="J38" s="304"/>
      <c r="K38" s="304"/>
      <c r="L38" s="304"/>
      <c r="M38" s="304"/>
      <c r="N38" s="304"/>
      <c r="O38" s="304"/>
      <c r="P38" s="304"/>
      <c r="Q38" s="304"/>
    </row>
    <row r="39" spans="1:17" ht="13.8" x14ac:dyDescent="0.3">
      <c r="A39" s="388">
        <f t="shared" si="0"/>
        <v>17</v>
      </c>
      <c r="B39" s="389">
        <f t="shared" ca="1" si="1"/>
        <v>0.11207610233744177</v>
      </c>
      <c r="C39" s="389">
        <f t="shared" ca="1" si="2"/>
        <v>5.5292490613900319E-2</v>
      </c>
      <c r="D39" s="390">
        <f t="shared" ca="1" si="3"/>
        <v>1.0086780668759012</v>
      </c>
      <c r="E39" s="391" cm="1">
        <f t="array" aca="1" ref="E39" ca="1">(SUMPRODUCT($B$13:$F$13*D39/(1+B39)^$B$14:$F$14)+($F$13*D39*(1+C39))/(B39-C39)/(1+B39)^$F$14-$B$15+$B$16)/$B$17</f>
        <v>1921.7292319718017</v>
      </c>
      <c r="F39" s="304"/>
      <c r="G39" s="304"/>
      <c r="H39" s="304"/>
      <c r="I39" s="304"/>
      <c r="J39" s="304"/>
      <c r="K39" s="304"/>
      <c r="L39" s="304"/>
      <c r="M39" s="304"/>
      <c r="N39" s="304"/>
      <c r="O39" s="304"/>
      <c r="P39" s="304"/>
      <c r="Q39" s="304"/>
    </row>
    <row r="40" spans="1:17" ht="13.8" x14ac:dyDescent="0.3">
      <c r="A40" s="388">
        <f t="shared" si="0"/>
        <v>18</v>
      </c>
      <c r="B40" s="389">
        <f t="shared" ca="1" si="1"/>
        <v>0.11301294646290036</v>
      </c>
      <c r="C40" s="389">
        <f t="shared" ca="1" si="2"/>
        <v>4.2569481682540419E-2</v>
      </c>
      <c r="D40" s="390">
        <f t="shared" ca="1" si="3"/>
        <v>1.0361368587478461</v>
      </c>
      <c r="E40" s="391" cm="1">
        <f t="array" aca="1" ref="E40" ca="1">(SUMPRODUCT($B$13:$F$13*D40/(1+B40)^$B$14:$F$14)+($F$13*D40*(1+C40))/(B40-C40)/(1+B40)^$F$14-$B$15+$B$16)/$B$17</f>
        <v>1631.1263314962466</v>
      </c>
      <c r="F40" s="304"/>
      <c r="G40" s="304"/>
      <c r="H40" s="304"/>
      <c r="I40" s="304"/>
      <c r="J40" s="304"/>
      <c r="K40" s="304"/>
      <c r="L40" s="304"/>
      <c r="M40" s="304"/>
      <c r="N40" s="304"/>
      <c r="O40" s="304"/>
      <c r="P40" s="304"/>
      <c r="Q40" s="304"/>
    </row>
    <row r="41" spans="1:17" ht="13.8" x14ac:dyDescent="0.3">
      <c r="A41" s="388">
        <f t="shared" si="0"/>
        <v>19</v>
      </c>
      <c r="B41" s="389">
        <f t="shared" ca="1" si="1"/>
        <v>0.12328551301749942</v>
      </c>
      <c r="C41" s="389">
        <f t="shared" ca="1" si="2"/>
        <v>5.9739673557501642E-2</v>
      </c>
      <c r="D41" s="390">
        <f t="shared" ca="1" si="3"/>
        <v>1.0495963584047108</v>
      </c>
      <c r="E41" s="391" cm="1">
        <f t="array" aca="1" ref="E41" ca="1">(SUMPRODUCT($B$13:$F$13*D41/(1+B41)^$B$14:$F$14)+($F$13*D41*(1+C41))/(B41-C41)/(1+B41)^$F$14-$B$15+$B$16)/$B$17</f>
        <v>1748.5813668825872</v>
      </c>
      <c r="F41" s="304"/>
      <c r="G41" s="304"/>
      <c r="H41" s="304"/>
      <c r="I41" s="304"/>
      <c r="J41" s="304"/>
      <c r="K41" s="304"/>
      <c r="L41" s="304"/>
      <c r="M41" s="304"/>
      <c r="N41" s="304"/>
      <c r="O41" s="304"/>
      <c r="P41" s="304"/>
      <c r="Q41" s="304"/>
    </row>
    <row r="42" spans="1:17" ht="13.8" x14ac:dyDescent="0.3">
      <c r="A42" s="388">
        <f t="shared" si="0"/>
        <v>20</v>
      </c>
      <c r="B42" s="389">
        <f t="shared" ca="1" si="1"/>
        <v>0.10229676532873858</v>
      </c>
      <c r="C42" s="389">
        <f t="shared" ca="1" si="2"/>
        <v>4.628807782264456E-2</v>
      </c>
      <c r="D42" s="390">
        <f t="shared" ca="1" si="3"/>
        <v>1.0653000138714255</v>
      </c>
      <c r="E42" s="391" cm="1">
        <f t="array" aca="1" ref="E42" ca="1">(SUMPRODUCT($B$13:$F$13*D42/(1+B42)^$B$14:$F$14)+($F$13*D42*(1+C42))/(B42-C42)/(1+B42)^$F$14-$B$15+$B$16)/$B$17</f>
        <v>2123.999388898204</v>
      </c>
      <c r="F42" s="304"/>
      <c r="G42" s="304"/>
      <c r="H42" s="304"/>
      <c r="I42" s="304"/>
      <c r="J42" s="304"/>
      <c r="K42" s="304"/>
      <c r="L42" s="304"/>
      <c r="M42" s="304"/>
      <c r="N42" s="304"/>
      <c r="O42" s="304"/>
      <c r="P42" s="304"/>
      <c r="Q42" s="304"/>
    </row>
    <row r="43" spans="1:17" ht="13.8" x14ac:dyDescent="0.3">
      <c r="A43" s="388">
        <f t="shared" si="0"/>
        <v>21</v>
      </c>
      <c r="B43" s="389">
        <f t="shared" ca="1" si="1"/>
        <v>0.13352214959718969</v>
      </c>
      <c r="C43" s="389">
        <f t="shared" ca="1" si="2"/>
        <v>5.0816907779187445E-2</v>
      </c>
      <c r="D43" s="390">
        <f t="shared" ca="1" si="3"/>
        <v>0.96137680475784382</v>
      </c>
      <c r="E43" s="391" cm="1">
        <f t="array" aca="1" ref="E43" ca="1">(SUMPRODUCT($B$13:$F$13*D43/(1+B43)^$B$14:$F$14)+($F$13*D43*(1+C43))/(B43-C43)/(1+B43)^$F$14-$B$15+$B$16)/$B$17</f>
        <v>1233.0847259208051</v>
      </c>
      <c r="F43" s="304"/>
      <c r="G43" s="304"/>
      <c r="H43" s="304"/>
      <c r="I43" s="304"/>
      <c r="J43" s="304"/>
      <c r="K43" s="304"/>
      <c r="L43" s="304"/>
      <c r="M43" s="304"/>
      <c r="N43" s="304"/>
      <c r="O43" s="304"/>
      <c r="P43" s="304"/>
      <c r="Q43" s="304"/>
    </row>
    <row r="44" spans="1:17" ht="13.8" x14ac:dyDescent="0.3">
      <c r="A44" s="388">
        <f t="shared" si="0"/>
        <v>22</v>
      </c>
      <c r="B44" s="389">
        <f t="shared" ca="1" si="1"/>
        <v>0.11860427309494274</v>
      </c>
      <c r="C44" s="389">
        <f t="shared" ca="1" si="2"/>
        <v>4.6610115556776965E-2</v>
      </c>
      <c r="D44" s="390">
        <f t="shared" ca="1" si="3"/>
        <v>1.0330758208470112</v>
      </c>
      <c r="E44" s="391" cm="1">
        <f t="array" aca="1" ref="E44" ca="1">(SUMPRODUCT($B$13:$F$13*D44/(1+B44)^$B$14:$F$14)+($F$13*D44*(1+C44))/(B44-C44)/(1+B44)^$F$14-$B$15+$B$16)/$B$17</f>
        <v>1567.4662018096901</v>
      </c>
      <c r="F44" s="304"/>
      <c r="G44" s="304"/>
      <c r="H44" s="304"/>
      <c r="I44" s="304"/>
      <c r="J44" s="304"/>
      <c r="K44" s="304"/>
      <c r="L44" s="304"/>
      <c r="M44" s="304"/>
      <c r="N44" s="304"/>
      <c r="O44" s="304"/>
      <c r="P44" s="304"/>
      <c r="Q44" s="304"/>
    </row>
    <row r="45" spans="1:17" ht="13.8" x14ac:dyDescent="0.3">
      <c r="A45" s="388">
        <f t="shared" si="0"/>
        <v>23</v>
      </c>
      <c r="B45" s="389">
        <f t="shared" ca="1" si="1"/>
        <v>0.12138577155053779</v>
      </c>
      <c r="C45" s="389">
        <f t="shared" ca="1" si="2"/>
        <v>6.0507362668689953E-2</v>
      </c>
      <c r="D45" s="390">
        <f t="shared" ca="1" si="3"/>
        <v>0.97564240784606848</v>
      </c>
      <c r="E45" s="391" cm="1">
        <f t="array" aca="1" ref="E45" ca="1">(SUMPRODUCT($B$13:$F$13*D45/(1+B45)^$B$14:$F$14)+($F$13*D45*(1+C45))/(B45-C45)/(1+B45)^$F$14-$B$15+$B$16)/$B$17</f>
        <v>1694.514700491656</v>
      </c>
      <c r="F45" s="304"/>
      <c r="G45" s="304"/>
      <c r="H45" s="304"/>
      <c r="I45" s="304"/>
      <c r="J45" s="304"/>
      <c r="K45" s="304"/>
      <c r="L45" s="304"/>
      <c r="M45" s="304"/>
      <c r="N45" s="304"/>
      <c r="O45" s="304"/>
      <c r="P45" s="304"/>
      <c r="Q45" s="304"/>
    </row>
    <row r="46" spans="1:17" ht="13.8" x14ac:dyDescent="0.3">
      <c r="A46" s="388">
        <f t="shared" si="0"/>
        <v>24</v>
      </c>
      <c r="B46" s="389">
        <f t="shared" ca="1" si="1"/>
        <v>0.10804578171722061</v>
      </c>
      <c r="C46" s="389">
        <f t="shared" ca="1" si="2"/>
        <v>4.5991905957077771E-2</v>
      </c>
      <c r="D46" s="390">
        <f t="shared" ca="1" si="3"/>
        <v>0.95869177374901293</v>
      </c>
      <c r="E46" s="391" cm="1">
        <f t="array" aca="1" ref="E46" ca="1">(SUMPRODUCT($B$13:$F$13*D46/(1+B46)^$B$14:$F$14)+($F$13*D46*(1+C46))/(B46-C46)/(1+B46)^$F$14-$B$15+$B$16)/$B$17</f>
        <v>1708.9711567084482</v>
      </c>
      <c r="F46" s="304"/>
      <c r="G46" s="304"/>
      <c r="H46" s="304"/>
      <c r="I46" s="304"/>
      <c r="J46" s="304"/>
      <c r="K46" s="304"/>
      <c r="L46" s="304"/>
      <c r="M46" s="304"/>
      <c r="N46" s="304"/>
      <c r="O46" s="304"/>
      <c r="P46" s="304"/>
      <c r="Q46" s="304"/>
    </row>
    <row r="47" spans="1:17" ht="13.8" x14ac:dyDescent="0.3">
      <c r="A47" s="388">
        <f t="shared" si="0"/>
        <v>25</v>
      </c>
      <c r="B47" s="389">
        <f t="shared" ca="1" si="1"/>
        <v>0.12933151156631847</v>
      </c>
      <c r="C47" s="389">
        <f t="shared" ca="1" si="2"/>
        <v>4.9046774189405583E-2</v>
      </c>
      <c r="D47" s="390">
        <f t="shared" ca="1" si="3"/>
        <v>1.0440424624980837</v>
      </c>
      <c r="E47" s="391" cm="1">
        <f t="array" aca="1" ref="E47" ca="1">(SUMPRODUCT($B$13:$F$13*D47/(1+B47)^$B$14:$F$14)+($F$13*D47*(1+C47))/(B47-C47)/(1+B47)^$F$14-$B$15+$B$16)/$B$17</f>
        <v>1395.5782186592378</v>
      </c>
      <c r="F47" s="304"/>
      <c r="G47" s="304"/>
      <c r="H47" s="304"/>
      <c r="I47" s="304"/>
      <c r="J47" s="304"/>
      <c r="K47" s="304"/>
      <c r="L47" s="304"/>
      <c r="M47" s="304"/>
      <c r="N47" s="304"/>
      <c r="O47" s="304"/>
      <c r="P47" s="304"/>
      <c r="Q47" s="304"/>
    </row>
    <row r="48" spans="1:17" ht="13.8" x14ac:dyDescent="0.3">
      <c r="A48" s="388">
        <f t="shared" si="0"/>
        <v>26</v>
      </c>
      <c r="B48" s="389">
        <f t="shared" ca="1" si="1"/>
        <v>0.12057320949577675</v>
      </c>
      <c r="C48" s="389">
        <f t="shared" ca="1" si="2"/>
        <v>5.5620742534416789E-2</v>
      </c>
      <c r="D48" s="390">
        <f t="shared" ca="1" si="3"/>
        <v>1.0182803282868851</v>
      </c>
      <c r="E48" s="391" cm="1">
        <f t="array" aca="1" ref="E48" ca="1">(SUMPRODUCT($B$13:$F$13*D48/(1+B48)^$B$14:$F$14)+($F$13*D48*(1+C48))/(B48-C48)/(1+B48)^$F$14-$B$15+$B$16)/$B$17</f>
        <v>1677.5095728935185</v>
      </c>
      <c r="F48" s="304"/>
      <c r="G48" s="304"/>
      <c r="H48" s="304"/>
      <c r="I48" s="304"/>
      <c r="J48" s="304"/>
      <c r="K48" s="304"/>
      <c r="L48" s="304"/>
      <c r="M48" s="304"/>
      <c r="N48" s="304"/>
      <c r="O48" s="304"/>
      <c r="P48" s="304"/>
      <c r="Q48" s="304"/>
    </row>
    <row r="49" spans="1:17" ht="13.8" x14ac:dyDescent="0.3">
      <c r="A49" s="388">
        <f t="shared" si="0"/>
        <v>27</v>
      </c>
      <c r="B49" s="389">
        <f t="shared" ca="1" si="1"/>
        <v>0.13265232188065396</v>
      </c>
      <c r="C49" s="389">
        <f t="shared" ca="1" si="2"/>
        <v>5.5524384103034029E-2</v>
      </c>
      <c r="D49" s="390">
        <f t="shared" ca="1" si="3"/>
        <v>1.0859526696172477</v>
      </c>
      <c r="E49" s="391" cm="1">
        <f t="array" aca="1" ref="E49" ca="1">(SUMPRODUCT($B$13:$F$13*D49/(1+B49)^$B$14:$F$14)+($F$13*D49*(1+C49))/(B49-C49)/(1+B49)^$F$14-$B$15+$B$16)/$B$17</f>
        <v>1487.9006491171549</v>
      </c>
      <c r="F49" s="304"/>
      <c r="G49" s="304"/>
      <c r="H49" s="304"/>
      <c r="I49" s="304"/>
      <c r="J49" s="304"/>
      <c r="K49" s="304"/>
      <c r="L49" s="304"/>
      <c r="M49" s="304"/>
      <c r="N49" s="304"/>
      <c r="O49" s="304"/>
      <c r="P49" s="304"/>
      <c r="Q49" s="304"/>
    </row>
    <row r="50" spans="1:17" ht="13.8" x14ac:dyDescent="0.3">
      <c r="A50" s="388">
        <f t="shared" si="0"/>
        <v>28</v>
      </c>
      <c r="B50" s="389">
        <f t="shared" ca="1" si="1"/>
        <v>0.12954406911044442</v>
      </c>
      <c r="C50" s="389">
        <f t="shared" ca="1" si="2"/>
        <v>5.1728788619203117E-2</v>
      </c>
      <c r="D50" s="390">
        <f t="shared" ca="1" si="3"/>
        <v>1.1182353876508793</v>
      </c>
      <c r="E50" s="391" cm="1">
        <f t="array" aca="1" ref="E50" ca="1">(SUMPRODUCT($B$13:$F$13*D50/(1+B50)^$B$14:$F$14)+($F$13*D50*(1+C50))/(B50-C50)/(1+B50)^$F$14-$B$15+$B$16)/$B$17</f>
        <v>1537.1137478502251</v>
      </c>
      <c r="F50" s="304"/>
      <c r="G50" s="304"/>
      <c r="H50" s="304"/>
      <c r="I50" s="304"/>
      <c r="J50" s="304"/>
      <c r="K50" s="304"/>
      <c r="L50" s="304"/>
      <c r="M50" s="304"/>
      <c r="N50" s="304"/>
      <c r="O50" s="304"/>
      <c r="P50" s="304"/>
      <c r="Q50" s="304"/>
    </row>
    <row r="51" spans="1:17" ht="13.8" x14ac:dyDescent="0.3">
      <c r="A51" s="388">
        <f t="shared" si="0"/>
        <v>29</v>
      </c>
      <c r="B51" s="389">
        <f t="shared" ca="1" si="1"/>
        <v>0.12190544925336552</v>
      </c>
      <c r="C51" s="389">
        <f t="shared" ca="1" si="2"/>
        <v>6.4770237598698766E-2</v>
      </c>
      <c r="D51" s="390">
        <f t="shared" ca="1" si="3"/>
        <v>1.0849292704691011</v>
      </c>
      <c r="E51" s="391" cm="1">
        <f t="array" aca="1" ref="E51" ca="1">(SUMPRODUCT($B$13:$F$13*D51/(1+B51)^$B$14:$F$14)+($F$13*D51*(1+C51))/(B51-C51)/(1+B51)^$F$14-$B$15+$B$16)/$B$17</f>
        <v>1994.8303692949949</v>
      </c>
      <c r="F51" s="304"/>
      <c r="G51" s="304"/>
      <c r="H51" s="304"/>
      <c r="I51" s="304"/>
      <c r="J51" s="304"/>
      <c r="K51" s="304"/>
      <c r="L51" s="304"/>
      <c r="M51" s="304"/>
      <c r="N51" s="304"/>
      <c r="O51" s="304"/>
      <c r="P51" s="304"/>
      <c r="Q51" s="304"/>
    </row>
    <row r="52" spans="1:17" ht="13.8" x14ac:dyDescent="0.3">
      <c r="A52" s="388">
        <f t="shared" si="0"/>
        <v>30</v>
      </c>
      <c r="B52" s="389">
        <f t="shared" ca="1" si="1"/>
        <v>0.1155904952338497</v>
      </c>
      <c r="C52" s="389">
        <f t="shared" ca="1" si="2"/>
        <v>5.52171424315753E-2</v>
      </c>
      <c r="D52" s="390">
        <f t="shared" ca="1" si="3"/>
        <v>1.0870917955223125</v>
      </c>
      <c r="E52" s="391" cm="1">
        <f t="array" aca="1" ref="E52" ca="1">(SUMPRODUCT($B$13:$F$13*D52/(1+B52)^$B$14:$F$14)+($F$13*D52*(1+C52))/(B52-C52)/(1+B52)^$F$14-$B$15+$B$16)/$B$17</f>
        <v>1943.4090259629786</v>
      </c>
      <c r="F52" s="304"/>
      <c r="G52" s="304"/>
      <c r="H52" s="304"/>
      <c r="I52" s="304"/>
      <c r="J52" s="304"/>
      <c r="K52" s="304"/>
      <c r="L52" s="304"/>
      <c r="M52" s="304"/>
      <c r="N52" s="304"/>
      <c r="O52" s="304"/>
      <c r="P52" s="304"/>
      <c r="Q52" s="304"/>
    </row>
    <row r="53" spans="1:17" ht="13.8" x14ac:dyDescent="0.3">
      <c r="A53" s="388">
        <f t="shared" si="0"/>
        <v>31</v>
      </c>
      <c r="B53" s="389">
        <f t="shared" ca="1" si="1"/>
        <v>0.12621891046993231</v>
      </c>
      <c r="C53" s="389">
        <f t="shared" ca="1" si="2"/>
        <v>3.5990828852178337E-2</v>
      </c>
      <c r="D53" s="390">
        <f t="shared" ca="1" si="3"/>
        <v>1.0594188766271799</v>
      </c>
      <c r="E53" s="391" cm="1">
        <f t="array" aca="1" ref="E53" ca="1">(SUMPRODUCT($B$13:$F$13*D53/(1+B53)^$B$14:$F$14)+($F$13*D53*(1+C53))/(B53-C53)/(1+B53)^$F$14-$B$15+$B$16)/$B$17</f>
        <v>1297.8798346525164</v>
      </c>
      <c r="F53" s="304"/>
      <c r="G53" s="304"/>
      <c r="H53" s="304"/>
      <c r="I53" s="304"/>
      <c r="J53" s="304"/>
      <c r="K53" s="304"/>
      <c r="L53" s="304"/>
      <c r="M53" s="304"/>
      <c r="N53" s="304"/>
      <c r="O53" s="304"/>
      <c r="P53" s="304"/>
      <c r="Q53" s="304"/>
    </row>
    <row r="54" spans="1:17" ht="13.8" x14ac:dyDescent="0.3">
      <c r="A54" s="388">
        <f t="shared" si="0"/>
        <v>32</v>
      </c>
      <c r="B54" s="389">
        <f t="shared" ca="1" si="1"/>
        <v>0.12530835705305784</v>
      </c>
      <c r="C54" s="389">
        <f t="shared" ca="1" si="2"/>
        <v>5.2700693769314307E-2</v>
      </c>
      <c r="D54" s="390">
        <f t="shared" ca="1" si="3"/>
        <v>0.84347400068065148</v>
      </c>
      <c r="E54" s="391" cm="1">
        <f t="array" aca="1" ref="E54" ca="1">(SUMPRODUCT($B$13:$F$13*D54/(1+B54)^$B$14:$F$14)+($F$13*D54*(1+C54))/(B54-C54)/(1+B54)^$F$14-$B$15+$B$16)/$B$17</f>
        <v>1234.7734462043682</v>
      </c>
      <c r="F54" s="304"/>
      <c r="G54" s="304"/>
      <c r="H54" s="304"/>
      <c r="I54" s="304"/>
      <c r="J54" s="304"/>
      <c r="K54" s="304"/>
      <c r="L54" s="304"/>
      <c r="M54" s="304"/>
      <c r="N54" s="304"/>
      <c r="O54" s="304"/>
      <c r="P54" s="304"/>
      <c r="Q54" s="304"/>
    </row>
    <row r="55" spans="1:17" ht="13.8" x14ac:dyDescent="0.3">
      <c r="A55" s="388">
        <f t="shared" si="0"/>
        <v>33</v>
      </c>
      <c r="B55" s="389">
        <f t="shared" ca="1" si="1"/>
        <v>0.13234662645774622</v>
      </c>
      <c r="C55" s="389">
        <f t="shared" ca="1" si="2"/>
        <v>5.3761924482343015E-2</v>
      </c>
      <c r="D55" s="390">
        <f t="shared" ca="1" si="3"/>
        <v>0.76345787021868272</v>
      </c>
      <c r="E55" s="391" cm="1">
        <f t="array" aca="1" ref="E55" ca="1">(SUMPRODUCT($B$13:$F$13*D55/(1+B55)^$B$14:$F$14)+($F$13*D55*(1+C55))/(B55-C55)/(1+B55)^$F$14-$B$15+$B$16)/$B$17</f>
        <v>1016.4891045983203</v>
      </c>
      <c r="F55" s="304"/>
      <c r="G55" s="304"/>
      <c r="H55" s="304"/>
      <c r="I55" s="304"/>
      <c r="J55" s="304"/>
      <c r="K55" s="304"/>
      <c r="L55" s="304"/>
      <c r="M55" s="304"/>
      <c r="N55" s="304"/>
      <c r="O55" s="304"/>
      <c r="P55" s="304"/>
      <c r="Q55" s="304"/>
    </row>
    <row r="56" spans="1:17" ht="13.8" x14ac:dyDescent="0.3">
      <c r="A56" s="388">
        <f t="shared" si="0"/>
        <v>34</v>
      </c>
      <c r="B56" s="389">
        <f t="shared" ca="1" si="1"/>
        <v>0.138218603362946</v>
      </c>
      <c r="C56" s="389">
        <f t="shared" ca="1" si="2"/>
        <v>6.0412294834552627E-2</v>
      </c>
      <c r="D56" s="390">
        <f t="shared" ca="1" si="3"/>
        <v>0.84466092832186168</v>
      </c>
      <c r="E56" s="391" cm="1">
        <f t="array" aca="1" ref="E56" ca="1">(SUMPRODUCT($B$13:$F$13*D56/(1+B56)^$B$14:$F$14)+($F$13*D56*(1+C56))/(B56-C56)/(1+B56)^$F$14-$B$15+$B$16)/$B$17</f>
        <v>1118.2013134127935</v>
      </c>
      <c r="F56" s="304"/>
      <c r="G56" s="304"/>
      <c r="H56" s="304"/>
      <c r="I56" s="304"/>
      <c r="J56" s="304"/>
      <c r="K56" s="304"/>
      <c r="L56" s="304"/>
      <c r="M56" s="304"/>
      <c r="N56" s="304"/>
      <c r="O56" s="304"/>
      <c r="P56" s="304"/>
      <c r="Q56" s="304"/>
    </row>
    <row r="57" spans="1:17" ht="13.8" x14ac:dyDescent="0.3">
      <c r="A57" s="388">
        <f t="shared" si="0"/>
        <v>35</v>
      </c>
      <c r="B57" s="389">
        <f t="shared" ca="1" si="1"/>
        <v>0.12172936250762449</v>
      </c>
      <c r="C57" s="389">
        <f t="shared" ca="1" si="2"/>
        <v>5.4312401515826045E-2</v>
      </c>
      <c r="D57" s="390">
        <f t="shared" ca="1" si="3"/>
        <v>0.99359078147629221</v>
      </c>
      <c r="E57" s="391" cm="1">
        <f t="array" aca="1" ref="E57" ca="1">(SUMPRODUCT($B$13:$F$13*D57/(1+B57)^$B$14:$F$14)+($F$13*D57*(1+C57))/(B57-C57)/(1+B57)^$F$14-$B$15+$B$16)/$B$17</f>
        <v>1577.6847465338178</v>
      </c>
      <c r="F57" s="304"/>
      <c r="G57" s="304"/>
      <c r="H57" s="304"/>
      <c r="I57" s="304"/>
      <c r="J57" s="304"/>
      <c r="K57" s="304"/>
      <c r="L57" s="304"/>
      <c r="M57" s="304"/>
      <c r="N57" s="304"/>
      <c r="O57" s="304"/>
      <c r="P57" s="304"/>
      <c r="Q57" s="304"/>
    </row>
    <row r="58" spans="1:17" ht="13.8" x14ac:dyDescent="0.3">
      <c r="A58" s="388">
        <f t="shared" si="0"/>
        <v>36</v>
      </c>
      <c r="B58" s="389">
        <f t="shared" ca="1" si="1"/>
        <v>0.11196322055723475</v>
      </c>
      <c r="C58" s="389">
        <f t="shared" ca="1" si="2"/>
        <v>3.8601709094252049E-2</v>
      </c>
      <c r="D58" s="390">
        <f t="shared" ca="1" si="3"/>
        <v>1.0094593739598512</v>
      </c>
      <c r="E58" s="391" cm="1">
        <f t="array" aca="1" ref="E58" ca="1">(SUMPRODUCT($B$13:$F$13*D58/(1+B58)^$B$14:$F$14)+($F$13*D58*(1+C58))/(B58-C58)/(1+B58)^$F$14-$B$15+$B$16)/$B$17</f>
        <v>1538.6398042688736</v>
      </c>
      <c r="F58" s="304"/>
      <c r="G58" s="304"/>
      <c r="H58" s="304"/>
      <c r="I58" s="304"/>
      <c r="J58" s="304"/>
      <c r="K58" s="304"/>
      <c r="L58" s="304"/>
      <c r="M58" s="304"/>
      <c r="N58" s="304"/>
      <c r="O58" s="304"/>
      <c r="P58" s="304"/>
      <c r="Q58" s="304"/>
    </row>
    <row r="59" spans="1:17" ht="13.8" x14ac:dyDescent="0.3">
      <c r="A59" s="388">
        <f t="shared" si="0"/>
        <v>37</v>
      </c>
      <c r="B59" s="389">
        <f t="shared" ca="1" si="1"/>
        <v>0.13834640044642055</v>
      </c>
      <c r="C59" s="389">
        <f t="shared" ca="1" si="2"/>
        <v>5.9375632112836529E-2</v>
      </c>
      <c r="D59" s="390">
        <f t="shared" ca="1" si="3"/>
        <v>1.0820777071874248</v>
      </c>
      <c r="E59" s="391" cm="1">
        <f t="array" aca="1" ref="E59" ca="1">(SUMPRODUCT($B$13:$F$13*D59/(1+B59)^$B$14:$F$14)+($F$13*D59*(1+C59))/(B59-C59)/(1+B59)^$F$14-$B$15+$B$16)/$B$17</f>
        <v>1427.2561255530484</v>
      </c>
      <c r="F59" s="304"/>
      <c r="G59" s="304"/>
      <c r="H59" s="304"/>
      <c r="I59" s="304"/>
      <c r="J59" s="304"/>
      <c r="K59" s="304"/>
      <c r="L59" s="304"/>
      <c r="M59" s="304"/>
      <c r="N59" s="304"/>
      <c r="O59" s="304"/>
      <c r="P59" s="304"/>
      <c r="Q59" s="304"/>
    </row>
    <row r="60" spans="1:17" ht="13.8" x14ac:dyDescent="0.3">
      <c r="A60" s="388">
        <f t="shared" si="0"/>
        <v>38</v>
      </c>
      <c r="B60" s="389">
        <f t="shared" ca="1" si="1"/>
        <v>0.11693370291533237</v>
      </c>
      <c r="C60" s="389">
        <f t="shared" ca="1" si="2"/>
        <v>5.4810806501409091E-2</v>
      </c>
      <c r="D60" s="390">
        <f t="shared" ca="1" si="3"/>
        <v>0.95500555592325376</v>
      </c>
      <c r="E60" s="391" cm="1">
        <f t="array" aca="1" ref="E60" ca="1">(SUMPRODUCT($B$13:$F$13*D60/(1+B60)^$B$14:$F$14)+($F$13*D60*(1+C60))/(B60-C60)/(1+B60)^$F$14-$B$15+$B$16)/$B$17</f>
        <v>1652.0755971699182</v>
      </c>
      <c r="F60" s="304"/>
      <c r="G60" s="304"/>
      <c r="H60" s="304"/>
      <c r="I60" s="304"/>
      <c r="J60" s="304"/>
      <c r="K60" s="304"/>
      <c r="L60" s="304"/>
      <c r="M60" s="304"/>
      <c r="N60" s="304"/>
      <c r="O60" s="304"/>
      <c r="P60" s="304"/>
      <c r="Q60" s="304"/>
    </row>
    <row r="61" spans="1:17" ht="13.8" x14ac:dyDescent="0.3">
      <c r="A61" s="388">
        <f t="shared" si="0"/>
        <v>39</v>
      </c>
      <c r="B61" s="389">
        <f t="shared" ca="1" si="1"/>
        <v>0.13710270685631354</v>
      </c>
      <c r="C61" s="389">
        <f t="shared" ca="1" si="2"/>
        <v>4.0134316494232644E-2</v>
      </c>
      <c r="D61" s="390">
        <f t="shared" ca="1" si="3"/>
        <v>0.96607517469797222</v>
      </c>
      <c r="E61" s="391" cm="1">
        <f t="array" aca="1" ref="E61" ca="1">(SUMPRODUCT($B$13:$F$13*D61/(1+B61)^$B$14:$F$14)+($F$13*D61*(1+C61))/(B61-C61)/(1+B61)^$F$14-$B$15+$B$16)/$B$17</f>
        <v>1073.7592592679582</v>
      </c>
      <c r="F61" s="304"/>
      <c r="G61" s="304"/>
      <c r="H61" s="304"/>
      <c r="I61" s="304"/>
      <c r="J61" s="304"/>
      <c r="K61" s="304"/>
      <c r="L61" s="304"/>
      <c r="M61" s="304"/>
      <c r="N61" s="304"/>
      <c r="O61" s="304"/>
      <c r="P61" s="304"/>
      <c r="Q61" s="304"/>
    </row>
    <row r="62" spans="1:17" ht="13.8" x14ac:dyDescent="0.3">
      <c r="A62" s="388">
        <f t="shared" si="0"/>
        <v>40</v>
      </c>
      <c r="B62" s="389">
        <f t="shared" ca="1" si="1"/>
        <v>0.13342436901617807</v>
      </c>
      <c r="C62" s="389">
        <f t="shared" ca="1" si="2"/>
        <v>4.2450299468435274E-2</v>
      </c>
      <c r="D62" s="390">
        <f t="shared" ca="1" si="3"/>
        <v>1.0298610449540724</v>
      </c>
      <c r="E62" s="391" cm="1">
        <f t="array" aca="1" ref="E62" ca="1">(SUMPRODUCT($B$13:$F$13*D62/(1+B62)^$B$14:$F$14)+($F$13*D62*(1+C62))/(B62-C62)/(1+B62)^$F$14-$B$15+$B$16)/$B$17</f>
        <v>1223.6170742267964</v>
      </c>
      <c r="F62" s="304"/>
      <c r="G62" s="304"/>
      <c r="H62" s="304"/>
      <c r="I62" s="304"/>
      <c r="J62" s="304"/>
      <c r="K62" s="304"/>
      <c r="L62" s="304"/>
      <c r="M62" s="304"/>
      <c r="N62" s="304"/>
      <c r="O62" s="304"/>
      <c r="P62" s="304"/>
      <c r="Q62" s="304"/>
    </row>
    <row r="63" spans="1:17" ht="13.8" x14ac:dyDescent="0.3">
      <c r="A63" s="388">
        <f t="shared" si="0"/>
        <v>41</v>
      </c>
      <c r="B63" s="389">
        <f t="shared" ca="1" si="1"/>
        <v>0.12326826739528994</v>
      </c>
      <c r="C63" s="389">
        <f t="shared" ca="1" si="2"/>
        <v>6.3470934973615306E-2</v>
      </c>
      <c r="D63" s="390">
        <f t="shared" ca="1" si="3"/>
        <v>1.1096869815516772</v>
      </c>
      <c r="E63" s="391" cm="1">
        <f t="array" aca="1" ref="E63" ca="1">(SUMPRODUCT($B$13:$F$13*D63/(1+B63)^$B$14:$F$14)+($F$13*D63*(1+C63))/(B63-C63)/(1+B63)^$F$14-$B$15+$B$16)/$B$17</f>
        <v>1952.631268715088</v>
      </c>
      <c r="F63" s="304"/>
      <c r="G63" s="304"/>
      <c r="H63" s="304"/>
      <c r="I63" s="304"/>
      <c r="J63" s="304"/>
      <c r="K63" s="304"/>
      <c r="L63" s="304"/>
      <c r="M63" s="304"/>
      <c r="N63" s="304"/>
      <c r="O63" s="304"/>
      <c r="P63" s="304"/>
      <c r="Q63" s="304"/>
    </row>
    <row r="64" spans="1:17" ht="13.8" x14ac:dyDescent="0.3">
      <c r="A64" s="388">
        <f t="shared" si="0"/>
        <v>42</v>
      </c>
      <c r="B64" s="389">
        <f t="shared" ca="1" si="1"/>
        <v>0.13005063353552143</v>
      </c>
      <c r="C64" s="389">
        <f t="shared" ca="1" si="2"/>
        <v>4.9320921648116967E-2</v>
      </c>
      <c r="D64" s="390">
        <f t="shared" ca="1" si="3"/>
        <v>1.1218147180732707</v>
      </c>
      <c r="E64" s="391" cm="1">
        <f t="array" aca="1" ref="E64" ca="1">(SUMPRODUCT($B$13:$F$13*D64/(1+B64)^$B$14:$F$14)+($F$13*D64*(1+C64))/(B64-C64)/(1+B64)^$F$14-$B$15+$B$16)/$B$17</f>
        <v>1492.7051314113075</v>
      </c>
      <c r="F64" s="304"/>
      <c r="G64" s="304"/>
      <c r="H64" s="304"/>
      <c r="I64" s="304"/>
      <c r="J64" s="304"/>
      <c r="K64" s="304"/>
      <c r="L64" s="304"/>
      <c r="M64" s="304"/>
      <c r="N64" s="304"/>
      <c r="O64" s="304"/>
      <c r="P64" s="304"/>
      <c r="Q64" s="304"/>
    </row>
    <row r="65" spans="1:17" ht="13.8" x14ac:dyDescent="0.3">
      <c r="A65" s="388">
        <f t="shared" si="0"/>
        <v>43</v>
      </c>
      <c r="B65" s="389">
        <f t="shared" ca="1" si="1"/>
        <v>0.12283081505137618</v>
      </c>
      <c r="C65" s="389">
        <f t="shared" ca="1" si="2"/>
        <v>5.5992777884803606E-2</v>
      </c>
      <c r="D65" s="390">
        <f t="shared" ca="1" si="3"/>
        <v>0.89901383286097158</v>
      </c>
      <c r="E65" s="391" cm="1">
        <f t="array" aca="1" ref="E65" ca="1">(SUMPRODUCT($B$13:$F$13*D65/(1+B65)^$B$14:$F$14)+($F$13*D65*(1+C65))/(B65-C65)/(1+B65)^$F$14-$B$15+$B$16)/$B$17</f>
        <v>1428.6255881297254</v>
      </c>
      <c r="F65" s="304"/>
      <c r="G65" s="304"/>
      <c r="H65" s="304"/>
      <c r="I65" s="304"/>
      <c r="J65" s="304"/>
      <c r="K65" s="304"/>
      <c r="L65" s="304"/>
      <c r="M65" s="304"/>
      <c r="N65" s="304"/>
      <c r="O65" s="304"/>
      <c r="P65" s="304"/>
      <c r="Q65" s="304"/>
    </row>
    <row r="66" spans="1:17" ht="13.8" x14ac:dyDescent="0.3">
      <c r="A66" s="388">
        <f t="shared" si="0"/>
        <v>44</v>
      </c>
      <c r="B66" s="389">
        <f t="shared" ca="1" si="1"/>
        <v>0.10247503985899689</v>
      </c>
      <c r="C66" s="389">
        <f t="shared" ca="1" si="2"/>
        <v>5.6661676494644202E-2</v>
      </c>
      <c r="D66" s="390">
        <f t="shared" ca="1" si="3"/>
        <v>0.96141946342552964</v>
      </c>
      <c r="E66" s="391" cm="1">
        <f t="array" aca="1" ref="E66" ca="1">(SUMPRODUCT($B$13:$F$13*D66/(1+B66)^$B$14:$F$14)+($F$13*D66*(1+C66))/(B66-C66)/(1+B66)^$F$14-$B$15+$B$16)/$B$17</f>
        <v>2289.4117391407908</v>
      </c>
      <c r="F66" s="304"/>
      <c r="G66" s="304"/>
      <c r="H66" s="304"/>
      <c r="I66" s="304"/>
      <c r="J66" s="304"/>
      <c r="K66" s="304"/>
      <c r="L66" s="304"/>
      <c r="M66" s="304"/>
      <c r="N66" s="304"/>
      <c r="O66" s="304"/>
      <c r="P66" s="304"/>
      <c r="Q66" s="304"/>
    </row>
    <row r="67" spans="1:17" ht="13.8" x14ac:dyDescent="0.3">
      <c r="A67" s="388">
        <f t="shared" si="0"/>
        <v>45</v>
      </c>
      <c r="B67" s="389">
        <f t="shared" ca="1" si="1"/>
        <v>0.11180589904203989</v>
      </c>
      <c r="C67" s="389">
        <f t="shared" ca="1" si="2"/>
        <v>3.7625300551683283E-2</v>
      </c>
      <c r="D67" s="390">
        <f t="shared" ca="1" si="3"/>
        <v>1.0778512434845522</v>
      </c>
      <c r="E67" s="391" cm="1">
        <f t="array" aca="1" ref="E67" ca="1">(SUMPRODUCT($B$13:$F$13*D67/(1+B67)^$B$14:$F$14)+($F$13*D67*(1+C67))/(B67-C67)/(1+B67)^$F$14-$B$15+$B$16)/$B$17</f>
        <v>1631.3716265372611</v>
      </c>
      <c r="F67" s="304"/>
      <c r="G67" s="304"/>
      <c r="H67" s="304"/>
      <c r="I67" s="304"/>
      <c r="J67" s="304"/>
      <c r="K67" s="304"/>
      <c r="L67" s="304"/>
      <c r="M67" s="304"/>
      <c r="N67" s="304"/>
      <c r="O67" s="304"/>
      <c r="P67" s="304"/>
      <c r="Q67" s="304"/>
    </row>
    <row r="68" spans="1:17" ht="13.8" x14ac:dyDescent="0.3">
      <c r="A68" s="388">
        <f t="shared" si="0"/>
        <v>46</v>
      </c>
      <c r="B68" s="389">
        <f t="shared" ca="1" si="1"/>
        <v>0.1288596114030395</v>
      </c>
      <c r="C68" s="389">
        <f t="shared" ca="1" si="2"/>
        <v>4.1487250511615309E-2</v>
      </c>
      <c r="D68" s="390">
        <f t="shared" ca="1" si="3"/>
        <v>0.86881422163182753</v>
      </c>
      <c r="E68" s="391" cm="1">
        <f t="array" aca="1" ref="E68" ca="1">(SUMPRODUCT($B$13:$F$13*D68/(1+B68)^$B$14:$F$14)+($F$13*D68*(1+C68))/(B68-C68)/(1+B68)^$F$14-$B$15+$B$16)/$B$17</f>
        <v>1075.5098967338338</v>
      </c>
      <c r="F68" s="304"/>
      <c r="G68" s="304"/>
      <c r="H68" s="304"/>
      <c r="I68" s="304"/>
      <c r="J68" s="304"/>
      <c r="K68" s="304"/>
      <c r="L68" s="304"/>
      <c r="M68" s="304"/>
      <c r="N68" s="304"/>
      <c r="O68" s="304"/>
      <c r="P68" s="304"/>
      <c r="Q68" s="304"/>
    </row>
    <row r="69" spans="1:17" ht="13.8" x14ac:dyDescent="0.3">
      <c r="A69" s="388">
        <f t="shared" si="0"/>
        <v>47</v>
      </c>
      <c r="B69" s="389">
        <f t="shared" ca="1" si="1"/>
        <v>0.12955551812816532</v>
      </c>
      <c r="C69" s="389">
        <f t="shared" ca="1" si="2"/>
        <v>4.3188527125897755E-2</v>
      </c>
      <c r="D69" s="390">
        <f t="shared" ca="1" si="3"/>
        <v>0.94699937570643278</v>
      </c>
      <c r="E69" s="391" cm="1">
        <f t="array" aca="1" ref="E69" ca="1">(SUMPRODUCT($B$13:$F$13*D69/(1+B69)^$B$14:$F$14)+($F$13*D69*(1+C69))/(B69-C69)/(1+B69)^$F$14-$B$15+$B$16)/$B$17</f>
        <v>1185.3905561470099</v>
      </c>
      <c r="F69" s="304"/>
      <c r="G69" s="304"/>
      <c r="H69" s="304"/>
      <c r="I69" s="304"/>
      <c r="J69" s="304"/>
      <c r="K69" s="304"/>
      <c r="L69" s="304"/>
      <c r="M69" s="304"/>
      <c r="N69" s="304"/>
      <c r="O69" s="304"/>
      <c r="P69" s="304"/>
      <c r="Q69" s="304"/>
    </row>
    <row r="70" spans="1:17" ht="13.8" x14ac:dyDescent="0.3">
      <c r="A70" s="388">
        <f t="shared" si="0"/>
        <v>48</v>
      </c>
      <c r="B70" s="389">
        <f t="shared" ca="1" si="1"/>
        <v>0.11281122285581306</v>
      </c>
      <c r="C70" s="389">
        <f t="shared" ca="1" si="2"/>
        <v>5.2514521891763533E-2</v>
      </c>
      <c r="D70" s="390">
        <f t="shared" ca="1" si="3"/>
        <v>0.81272655149985762</v>
      </c>
      <c r="E70" s="391" cm="1">
        <f t="array" aca="1" ref="E70" ca="1">(SUMPRODUCT($B$13:$F$13*D70/(1+B70)^$B$14:$F$14)+($F$13*D70*(1+C70))/(B70-C70)/(1+B70)^$F$14-$B$15+$B$16)/$B$17</f>
        <v>1455.709136909926</v>
      </c>
      <c r="F70" s="304"/>
      <c r="G70" s="304"/>
      <c r="H70" s="304"/>
      <c r="I70" s="304"/>
      <c r="J70" s="304"/>
      <c r="K70" s="304"/>
      <c r="L70" s="304"/>
      <c r="M70" s="304"/>
      <c r="N70" s="304"/>
      <c r="O70" s="304"/>
      <c r="P70" s="304"/>
      <c r="Q70" s="304"/>
    </row>
    <row r="71" spans="1:17" ht="13.8" x14ac:dyDescent="0.3">
      <c r="A71" s="388">
        <f t="shared" si="0"/>
        <v>49</v>
      </c>
      <c r="B71" s="389">
        <f t="shared" ca="1" si="1"/>
        <v>0.11496177721923032</v>
      </c>
      <c r="C71" s="389">
        <f t="shared" ca="1" si="2"/>
        <v>5.0061987005022887E-2</v>
      </c>
      <c r="D71" s="390">
        <f t="shared" ca="1" si="3"/>
        <v>1.0804555070713495</v>
      </c>
      <c r="E71" s="391" cm="1">
        <f t="array" aca="1" ref="E71" ca="1">(SUMPRODUCT($B$13:$F$13*D71/(1+B71)^$B$14:$F$14)+($F$13*D71*(1+C71))/(B71-C71)/(1+B71)^$F$14-$B$15+$B$16)/$B$17</f>
        <v>1816.663353587641</v>
      </c>
      <c r="F71" s="304"/>
      <c r="G71" s="304"/>
      <c r="H71" s="304"/>
      <c r="I71" s="304"/>
      <c r="J71" s="304"/>
      <c r="K71" s="304"/>
      <c r="L71" s="304"/>
      <c r="M71" s="304"/>
      <c r="N71" s="304"/>
      <c r="O71" s="304"/>
      <c r="P71" s="304"/>
      <c r="Q71" s="304"/>
    </row>
    <row r="72" spans="1:17" ht="13.8" x14ac:dyDescent="0.3">
      <c r="A72" s="388">
        <f t="shared" si="0"/>
        <v>50</v>
      </c>
      <c r="B72" s="389">
        <f t="shared" ca="1" si="1"/>
        <v>0.13532245929620998</v>
      </c>
      <c r="C72" s="389">
        <f t="shared" ca="1" si="2"/>
        <v>5.3195232329480591E-2</v>
      </c>
      <c r="D72" s="390">
        <f t="shared" ca="1" si="3"/>
        <v>0.97744247441653676</v>
      </c>
      <c r="E72" s="391" cm="1">
        <f t="array" aca="1" ref="E72" ca="1">(SUMPRODUCT($B$13:$F$13*D72/(1+B72)^$B$14:$F$14)+($F$13*D72*(1+C72))/(B72-C72)/(1+B72)^$F$14-$B$15+$B$16)/$B$17</f>
        <v>1254.7491581169493</v>
      </c>
      <c r="F72" s="304"/>
      <c r="G72" s="304"/>
      <c r="H72" s="304"/>
      <c r="I72" s="304"/>
      <c r="J72" s="304"/>
      <c r="K72" s="304"/>
      <c r="L72" s="304"/>
      <c r="M72" s="304"/>
      <c r="N72" s="304"/>
      <c r="O72" s="304"/>
      <c r="P72" s="304"/>
      <c r="Q72" s="304"/>
    </row>
    <row r="73" spans="1:17" ht="13.8" x14ac:dyDescent="0.3">
      <c r="A73" s="388">
        <f t="shared" si="0"/>
        <v>51</v>
      </c>
      <c r="B73" s="389">
        <f t="shared" ca="1" si="1"/>
        <v>0.13933127839259024</v>
      </c>
      <c r="C73" s="389">
        <f t="shared" ca="1" si="2"/>
        <v>4.9809446622859035E-2</v>
      </c>
      <c r="D73" s="390">
        <f t="shared" ca="1" si="3"/>
        <v>1.0600555690493252</v>
      </c>
      <c r="E73" s="391" cm="1">
        <f t="array" aca="1" ref="E73" ca="1">(SUMPRODUCT($B$13:$F$13*D73/(1+B73)^$B$14:$F$14)+($F$13*D73*(1+C73))/(B73-C73)/(1+B73)^$F$14-$B$15+$B$16)/$B$17</f>
        <v>1254.3063979233673</v>
      </c>
      <c r="F73" s="304"/>
      <c r="G73" s="304"/>
      <c r="H73" s="304"/>
      <c r="I73" s="304"/>
      <c r="J73" s="304"/>
      <c r="K73" s="304"/>
      <c r="L73" s="304"/>
      <c r="M73" s="304"/>
      <c r="N73" s="304"/>
      <c r="O73" s="304"/>
      <c r="P73" s="304"/>
      <c r="Q73" s="304"/>
    </row>
    <row r="74" spans="1:17" ht="13.8" x14ac:dyDescent="0.3">
      <c r="A74" s="388">
        <f t="shared" si="0"/>
        <v>52</v>
      </c>
      <c r="B74" s="389">
        <f t="shared" ca="1" si="1"/>
        <v>0.12069857096447133</v>
      </c>
      <c r="C74" s="389">
        <f t="shared" ca="1" si="2"/>
        <v>5.9066984786556379E-2</v>
      </c>
      <c r="D74" s="390">
        <f t="shared" ca="1" si="3"/>
        <v>0.96696207714945515</v>
      </c>
      <c r="E74" s="391" cm="1">
        <f t="array" aca="1" ref="E74" ca="1">(SUMPRODUCT($B$13:$F$13*D74/(1+B74)^$B$14:$F$14)+($F$13*D74*(1+C74))/(B74-C74)/(1+B74)^$F$14-$B$15+$B$16)/$B$17</f>
        <v>1664.6623409109022</v>
      </c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</row>
    <row r="75" spans="1:17" ht="13.8" x14ac:dyDescent="0.3">
      <c r="A75" s="388">
        <f t="shared" si="0"/>
        <v>53</v>
      </c>
      <c r="B75" s="389">
        <f t="shared" ca="1" si="1"/>
        <v>0.12820661051045742</v>
      </c>
      <c r="C75" s="389">
        <f t="shared" ca="1" si="2"/>
        <v>5.5734598813803798E-2</v>
      </c>
      <c r="D75" s="390">
        <f t="shared" ca="1" si="3"/>
        <v>0.76576672173363858</v>
      </c>
      <c r="E75" s="391" cm="1">
        <f t="array" aca="1" ref="E75" ca="1">(SUMPRODUCT($B$13:$F$13*D75/(1+B75)^$B$14:$F$14)+($F$13*D75*(1+C75))/(B75-C75)/(1+B75)^$F$14-$B$15+$B$16)/$B$17</f>
        <v>1108.0412451064151</v>
      </c>
      <c r="F75" s="304"/>
      <c r="G75" s="304"/>
      <c r="H75" s="304"/>
      <c r="I75" s="304"/>
      <c r="J75" s="304"/>
      <c r="K75" s="304"/>
      <c r="L75" s="304"/>
      <c r="M75" s="304"/>
      <c r="N75" s="304"/>
      <c r="O75" s="304"/>
      <c r="P75" s="304"/>
      <c r="Q75" s="304"/>
    </row>
    <row r="76" spans="1:17" ht="13.8" x14ac:dyDescent="0.3">
      <c r="A76" s="388">
        <f t="shared" si="0"/>
        <v>54</v>
      </c>
      <c r="B76" s="389">
        <f t="shared" ca="1" si="1"/>
        <v>0.13160392147669583</v>
      </c>
      <c r="C76" s="389">
        <f t="shared" ca="1" si="2"/>
        <v>5.9292456476648873E-2</v>
      </c>
      <c r="D76" s="390">
        <f t="shared" ca="1" si="3"/>
        <v>0.87432838727257822</v>
      </c>
      <c r="E76" s="391" cm="1">
        <f t="array" aca="1" ref="E76" ca="1">(SUMPRODUCT($B$13:$F$13*D76/(1+B76)^$B$14:$F$14)+($F$13*D76*(1+C76))/(B76-C76)/(1+B76)^$F$14-$B$15+$B$16)/$B$17</f>
        <v>1260.5191809462908</v>
      </c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</row>
    <row r="77" spans="1:17" ht="13.8" x14ac:dyDescent="0.3">
      <c r="A77" s="388">
        <f t="shared" si="0"/>
        <v>55</v>
      </c>
      <c r="B77" s="389">
        <f t="shared" ca="1" si="1"/>
        <v>0.11840186371587152</v>
      </c>
      <c r="C77" s="389">
        <f t="shared" ca="1" si="2"/>
        <v>5.669831979076595E-2</v>
      </c>
      <c r="D77" s="390">
        <f t="shared" ca="1" si="3"/>
        <v>0.97014407661239488</v>
      </c>
      <c r="E77" s="391" cm="1">
        <f t="array" aca="1" ref="E77" ca="1">(SUMPRODUCT($B$13:$F$13*D77/(1+B77)^$B$14:$F$14)+($F$13*D77*(1+C77))/(B77-C77)/(1+B77)^$F$14-$B$15+$B$16)/$B$17</f>
        <v>1681.0195658093821</v>
      </c>
      <c r="F77" s="304"/>
      <c r="G77" s="304"/>
      <c r="H77" s="304"/>
      <c r="I77" s="304"/>
      <c r="J77" s="304"/>
      <c r="K77" s="304"/>
      <c r="L77" s="304"/>
      <c r="M77" s="304"/>
      <c r="N77" s="304"/>
      <c r="O77" s="304"/>
      <c r="P77" s="304"/>
      <c r="Q77" s="304"/>
    </row>
    <row r="78" spans="1:17" ht="13.8" x14ac:dyDescent="0.3">
      <c r="A78" s="388">
        <f t="shared" si="0"/>
        <v>56</v>
      </c>
      <c r="B78" s="389">
        <f t="shared" ca="1" si="1"/>
        <v>0.13332143024153972</v>
      </c>
      <c r="C78" s="389">
        <f t="shared" ca="1" si="2"/>
        <v>3.8574518473036147E-2</v>
      </c>
      <c r="D78" s="390">
        <f t="shared" ca="1" si="3"/>
        <v>0.97557355946603219</v>
      </c>
      <c r="E78" s="391" cm="1">
        <f t="array" aca="1" ref="E78" ca="1">(SUMPRODUCT($B$13:$F$13*D78/(1+B78)^$B$14:$F$14)+($F$13*D78*(1+C78))/(B78-C78)/(1+B78)^$F$14-$B$15+$B$16)/$B$17</f>
        <v>1118.8292212844549</v>
      </c>
      <c r="F78" s="304"/>
      <c r="G78" s="304"/>
      <c r="H78" s="304"/>
      <c r="I78" s="304"/>
      <c r="J78" s="304"/>
      <c r="K78" s="304"/>
      <c r="L78" s="304"/>
      <c r="M78" s="304"/>
      <c r="N78" s="304"/>
      <c r="O78" s="304"/>
      <c r="P78" s="304"/>
      <c r="Q78" s="304"/>
    </row>
    <row r="79" spans="1:17" ht="13.8" x14ac:dyDescent="0.3">
      <c r="A79" s="388">
        <f t="shared" si="0"/>
        <v>57</v>
      </c>
      <c r="B79" s="389">
        <f t="shared" ca="1" si="1"/>
        <v>0.13246123917145286</v>
      </c>
      <c r="C79" s="389">
        <f t="shared" ca="1" si="2"/>
        <v>5.3043004523747064E-2</v>
      </c>
      <c r="D79" s="390">
        <f t="shared" ca="1" si="3"/>
        <v>1.0673258854675818</v>
      </c>
      <c r="E79" s="391" cm="1">
        <f t="array" aca="1" ref="E79" ca="1">(SUMPRODUCT($B$13:$F$13*D79/(1+B79)^$B$14:$F$14)+($F$13*D79*(1+C79))/(B79-C79)/(1+B79)^$F$14-$B$15+$B$16)/$B$17</f>
        <v>1426.6866811442353</v>
      </c>
      <c r="F79" s="304"/>
      <c r="G79" s="304"/>
      <c r="H79" s="304"/>
      <c r="I79" s="304"/>
      <c r="J79" s="304"/>
      <c r="K79" s="304"/>
      <c r="L79" s="304"/>
      <c r="M79" s="304"/>
      <c r="N79" s="304"/>
      <c r="O79" s="304"/>
      <c r="P79" s="304"/>
      <c r="Q79" s="304"/>
    </row>
    <row r="80" spans="1:17" ht="13.8" x14ac:dyDescent="0.3">
      <c r="A80" s="388">
        <f t="shared" si="0"/>
        <v>58</v>
      </c>
      <c r="B80" s="389">
        <f t="shared" ca="1" si="1"/>
        <v>0.1203327931187585</v>
      </c>
      <c r="C80" s="389">
        <f t="shared" ca="1" si="2"/>
        <v>4.8484984562905724E-2</v>
      </c>
      <c r="D80" s="390">
        <f t="shared" ca="1" si="3"/>
        <v>1.0437507831826907</v>
      </c>
      <c r="E80" s="391" cm="1">
        <f t="array" aca="1" ref="E80" ca="1">(SUMPRODUCT($B$13:$F$13*D80/(1+B80)^$B$14:$F$14)+($F$13*D80*(1+C80))/(B80-C80)/(1+B80)^$F$14-$B$15+$B$16)/$B$17</f>
        <v>1578.1384186633516</v>
      </c>
      <c r="F80" s="304"/>
      <c r="G80" s="304"/>
      <c r="H80" s="304"/>
      <c r="I80" s="304"/>
      <c r="J80" s="304"/>
      <c r="K80" s="304"/>
      <c r="L80" s="304"/>
      <c r="M80" s="304"/>
      <c r="N80" s="304"/>
      <c r="O80" s="304"/>
      <c r="P80" s="304"/>
      <c r="Q80" s="304"/>
    </row>
    <row r="81" spans="1:17" ht="13.8" x14ac:dyDescent="0.3">
      <c r="A81" s="388">
        <f t="shared" si="0"/>
        <v>59</v>
      </c>
      <c r="B81" s="389">
        <f t="shared" ca="1" si="1"/>
        <v>0.13338834330523044</v>
      </c>
      <c r="C81" s="389">
        <f t="shared" ca="1" si="2"/>
        <v>5.0704935946954653E-2</v>
      </c>
      <c r="D81" s="390">
        <f t="shared" ca="1" si="3"/>
        <v>0.89310645276440048</v>
      </c>
      <c r="E81" s="391" cm="1">
        <f t="array" aca="1" ref="E81" ca="1">(SUMPRODUCT($B$13:$F$13*D81/(1+B81)^$B$14:$F$14)+($F$13*D81*(1+C81))/(B81-C81)/(1+B81)^$F$14-$B$15+$B$16)/$B$17</f>
        <v>1142.8849670755831</v>
      </c>
      <c r="F81" s="304"/>
      <c r="G81" s="304"/>
      <c r="H81" s="304"/>
      <c r="I81" s="304"/>
      <c r="J81" s="304"/>
      <c r="K81" s="304"/>
      <c r="L81" s="304"/>
      <c r="M81" s="304"/>
      <c r="N81" s="304"/>
      <c r="O81" s="304"/>
      <c r="P81" s="304"/>
      <c r="Q81" s="304"/>
    </row>
    <row r="82" spans="1:17" ht="13.8" x14ac:dyDescent="0.3">
      <c r="A82" s="388">
        <f t="shared" si="0"/>
        <v>60</v>
      </c>
      <c r="B82" s="389">
        <f t="shared" ca="1" si="1"/>
        <v>0.12853297952711445</v>
      </c>
      <c r="C82" s="389">
        <f t="shared" ca="1" si="2"/>
        <v>3.873225227312882E-2</v>
      </c>
      <c r="D82" s="390">
        <f t="shared" ca="1" si="3"/>
        <v>0.96089822727286611</v>
      </c>
      <c r="E82" s="391" cm="1">
        <f t="array" aca="1" ref="E82" ca="1">(SUMPRODUCT($B$13:$F$13*D82/(1+B82)^$B$14:$F$14)+($F$13*D82*(1+C82))/(B82-C82)/(1+B82)^$F$14-$B$15+$B$16)/$B$17</f>
        <v>1168.7802263995754</v>
      </c>
      <c r="F82" s="304"/>
      <c r="G82" s="304"/>
      <c r="H82" s="304"/>
      <c r="I82" s="304"/>
      <c r="J82" s="304"/>
      <c r="K82" s="304"/>
      <c r="L82" s="304"/>
      <c r="M82" s="304"/>
      <c r="N82" s="304"/>
      <c r="O82" s="304"/>
      <c r="P82" s="304"/>
      <c r="Q82" s="304"/>
    </row>
    <row r="83" spans="1:17" ht="13.8" x14ac:dyDescent="0.3">
      <c r="A83" s="388">
        <f t="shared" si="0"/>
        <v>61</v>
      </c>
      <c r="B83" s="389">
        <f t="shared" ca="1" si="1"/>
        <v>0.10971276931320383</v>
      </c>
      <c r="C83" s="389">
        <f t="shared" ca="1" si="2"/>
        <v>6.1895090240619823E-2</v>
      </c>
      <c r="D83" s="390">
        <f t="shared" ca="1" si="3"/>
        <v>1.0956022970192483</v>
      </c>
      <c r="E83" s="391" cm="1">
        <f t="array" aca="1" ref="E83" ca="1">(SUMPRODUCT($B$13:$F$13*D83/(1+B83)^$B$14:$F$14)+($F$13*D83*(1+C83))/(B83-C83)/(1+B83)^$F$14-$B$15+$B$16)/$B$17</f>
        <v>2457.2142764698001</v>
      </c>
      <c r="F83" s="304"/>
      <c r="G83" s="304"/>
      <c r="H83" s="304"/>
      <c r="I83" s="304"/>
      <c r="J83" s="304"/>
      <c r="K83" s="304"/>
      <c r="L83" s="304"/>
      <c r="M83" s="304"/>
      <c r="N83" s="304"/>
      <c r="O83" s="304"/>
      <c r="P83" s="304"/>
      <c r="Q83" s="304"/>
    </row>
    <row r="84" spans="1:17" ht="13.8" x14ac:dyDescent="0.3">
      <c r="A84" s="388">
        <f t="shared" si="0"/>
        <v>62</v>
      </c>
      <c r="B84" s="389">
        <f t="shared" ca="1" si="1"/>
        <v>0.1169647511527825</v>
      </c>
      <c r="C84" s="389">
        <f t="shared" ca="1" si="2"/>
        <v>5.1649160943614839E-2</v>
      </c>
      <c r="D84" s="390">
        <f t="shared" ca="1" si="3"/>
        <v>0.99366450470278544</v>
      </c>
      <c r="E84" s="391" cm="1">
        <f t="array" aca="1" ref="E84" ca="1">(SUMPRODUCT($B$13:$F$13*D84/(1+B84)^$B$14:$F$14)+($F$13*D84*(1+C84))/(B84-C84)/(1+B84)^$F$14-$B$15+$B$16)/$B$17</f>
        <v>1646.9518535055806</v>
      </c>
      <c r="F84" s="304"/>
      <c r="G84" s="304"/>
      <c r="H84" s="304"/>
      <c r="I84" s="304"/>
      <c r="J84" s="304"/>
      <c r="K84" s="304"/>
      <c r="L84" s="304"/>
      <c r="M84" s="304"/>
      <c r="N84" s="304"/>
      <c r="O84" s="304"/>
      <c r="P84" s="304"/>
      <c r="Q84" s="304"/>
    </row>
    <row r="85" spans="1:17" ht="13.8" x14ac:dyDescent="0.3">
      <c r="A85" s="388">
        <f t="shared" si="0"/>
        <v>63</v>
      </c>
      <c r="B85" s="389">
        <f t="shared" ca="1" si="1"/>
        <v>0.11513867266236581</v>
      </c>
      <c r="C85" s="389">
        <f t="shared" ca="1" si="2"/>
        <v>4.7915825547944116E-2</v>
      </c>
      <c r="D85" s="390">
        <f t="shared" ca="1" si="3"/>
        <v>1.0239976082048923</v>
      </c>
      <c r="E85" s="391" cm="1">
        <f t="array" aca="1" ref="E85" ca="1">(SUMPRODUCT($B$13:$F$13*D85/(1+B85)^$B$14:$F$14)+($F$13*D85*(1+C85))/(B85-C85)/(1+B85)^$F$14-$B$15+$B$16)/$B$17</f>
        <v>1666.5216174212121</v>
      </c>
      <c r="F85" s="304"/>
      <c r="G85" s="304"/>
      <c r="H85" s="304"/>
      <c r="I85" s="304"/>
      <c r="J85" s="304"/>
      <c r="K85" s="304"/>
      <c r="L85" s="304"/>
      <c r="M85" s="304"/>
      <c r="N85" s="304"/>
      <c r="O85" s="304"/>
      <c r="P85" s="304"/>
      <c r="Q85" s="304"/>
    </row>
    <row r="86" spans="1:17" ht="13.8" x14ac:dyDescent="0.3">
      <c r="A86" s="388">
        <f t="shared" si="0"/>
        <v>64</v>
      </c>
      <c r="B86" s="389">
        <f t="shared" ca="1" si="1"/>
        <v>0.10842790591947568</v>
      </c>
      <c r="C86" s="389">
        <f t="shared" ca="1" si="2"/>
        <v>3.4603986079685588E-2</v>
      </c>
      <c r="D86" s="390">
        <f t="shared" ca="1" si="3"/>
        <v>0.89131667059221531</v>
      </c>
      <c r="E86" s="391" cm="1">
        <f t="array" aca="1" ref="E86" ca="1">(SUMPRODUCT($B$13:$F$13*D86/(1+B86)^$B$14:$F$14)+($F$13*D86*(1+C86))/(B86-C86)/(1+B86)^$F$14-$B$15+$B$16)/$B$17</f>
        <v>1361.2710507874924</v>
      </c>
      <c r="F86" s="304"/>
      <c r="G86" s="304"/>
      <c r="H86" s="304"/>
      <c r="I86" s="304"/>
      <c r="J86" s="304"/>
      <c r="K86" s="304"/>
      <c r="L86" s="304"/>
      <c r="M86" s="304"/>
      <c r="N86" s="304"/>
      <c r="O86" s="304"/>
      <c r="P86" s="304"/>
      <c r="Q86" s="304"/>
    </row>
    <row r="87" spans="1:17" ht="13.8" x14ac:dyDescent="0.3">
      <c r="A87" s="388">
        <f t="shared" si="0"/>
        <v>65</v>
      </c>
      <c r="B87" s="389">
        <f t="shared" ca="1" si="1"/>
        <v>9.7439126168720469E-2</v>
      </c>
      <c r="C87" s="389">
        <f t="shared" ca="1" si="2"/>
        <v>4.8615278392607451E-2</v>
      </c>
      <c r="D87" s="390">
        <f t="shared" ca="1" si="3"/>
        <v>1.0569261961722169</v>
      </c>
      <c r="E87" s="391" cm="1">
        <f t="array" aca="1" ref="E87" ca="1">(SUMPRODUCT($B$13:$F$13*D87/(1+B87)^$B$14:$F$14)+($F$13*D87*(1+C87))/(B87-C87)/(1+B87)^$F$14-$B$15+$B$16)/$B$17</f>
        <v>2420.623673101185</v>
      </c>
      <c r="F87" s="304"/>
      <c r="G87" s="304"/>
      <c r="H87" s="304"/>
      <c r="I87" s="304"/>
      <c r="J87" s="304"/>
      <c r="K87" s="304"/>
      <c r="L87" s="304"/>
      <c r="M87" s="304"/>
      <c r="N87" s="304"/>
      <c r="O87" s="304"/>
      <c r="P87" s="304"/>
      <c r="Q87" s="304"/>
    </row>
    <row r="88" spans="1:17" ht="13.8" x14ac:dyDescent="0.3">
      <c r="A88" s="388">
        <f t="shared" ref="A88:A151" si="5">ROW()-22</f>
        <v>66</v>
      </c>
      <c r="B88" s="389">
        <f t="shared" ref="B88:B151" ca="1" si="6">_xlfn.NORM.INV(RAND(),$B$6,$C$6)</f>
        <v>0.13154283907327632</v>
      </c>
      <c r="C88" s="389">
        <f t="shared" ref="C88:C151" ca="1" si="7">MIN(_xlfn.NORM.INV(RAND(),$B$7,$C$7),B88-0.005)</f>
        <v>4.7775654553541977E-2</v>
      </c>
      <c r="D88" s="390">
        <f t="shared" ref="D88:D151" ca="1" si="8">_xlfn.NORM.INV(RAND(),$B$8,$C$8)</f>
        <v>0.79161675079089477</v>
      </c>
      <c r="E88" s="391" cm="1">
        <f t="array" aca="1" ref="E88" ca="1">(SUMPRODUCT($B$13:$F$13*D88/(1+B88)^$B$14:$F$14)+($F$13*D88*(1+C88))/(B88-C88)/(1+B88)^$F$14-$B$15+$B$16)/$B$17</f>
        <v>1002.4369863916003</v>
      </c>
      <c r="F88" s="304"/>
      <c r="G88" s="304"/>
      <c r="H88" s="304"/>
      <c r="I88" s="304"/>
      <c r="J88" s="304"/>
      <c r="K88" s="304"/>
      <c r="L88" s="304"/>
      <c r="M88" s="304"/>
      <c r="N88" s="304"/>
      <c r="O88" s="304"/>
      <c r="P88" s="304"/>
      <c r="Q88" s="304"/>
    </row>
    <row r="89" spans="1:17" ht="13.8" x14ac:dyDescent="0.3">
      <c r="A89" s="388">
        <f t="shared" si="5"/>
        <v>67</v>
      </c>
      <c r="B89" s="389">
        <f t="shared" ca="1" si="6"/>
        <v>0.13207975706635941</v>
      </c>
      <c r="C89" s="389">
        <f t="shared" ca="1" si="7"/>
        <v>4.7154727233505667E-2</v>
      </c>
      <c r="D89" s="390">
        <f t="shared" ca="1" si="8"/>
        <v>1.1349213002316816</v>
      </c>
      <c r="E89" s="391" cm="1">
        <f t="array" aca="1" ref="E89" ca="1">(SUMPRODUCT($B$13:$F$13*D89/(1+B89)^$B$14:$F$14)+($F$13*D89*(1+C89))/(B89-C89)/(1+B89)^$F$14-$B$15+$B$16)/$B$17</f>
        <v>1438.7409939885611</v>
      </c>
      <c r="F89" s="304"/>
      <c r="G89" s="304"/>
      <c r="H89" s="304"/>
      <c r="I89" s="304"/>
      <c r="J89" s="304"/>
      <c r="K89" s="304"/>
      <c r="L89" s="304"/>
      <c r="M89" s="304"/>
      <c r="N89" s="304"/>
      <c r="O89" s="304"/>
      <c r="P89" s="304"/>
      <c r="Q89" s="304"/>
    </row>
    <row r="90" spans="1:17" ht="13.8" x14ac:dyDescent="0.3">
      <c r="A90" s="388">
        <f t="shared" si="5"/>
        <v>68</v>
      </c>
      <c r="B90" s="389">
        <f t="shared" ca="1" si="6"/>
        <v>0.12461288610121336</v>
      </c>
      <c r="C90" s="389">
        <f t="shared" ca="1" si="7"/>
        <v>5.6565535895849867E-2</v>
      </c>
      <c r="D90" s="390">
        <f t="shared" ca="1" si="8"/>
        <v>0.94740704183587388</v>
      </c>
      <c r="E90" s="391" cm="1">
        <f t="array" aca="1" ref="E90" ca="1">(SUMPRODUCT($B$13:$F$13*D90/(1+B90)^$B$14:$F$14)+($F$13*D90*(1+C90))/(B90-C90)/(1+B90)^$F$14-$B$15+$B$16)/$B$17</f>
        <v>1476.3022699833627</v>
      </c>
      <c r="F90" s="304"/>
      <c r="G90" s="304"/>
      <c r="H90" s="304"/>
      <c r="I90" s="304"/>
      <c r="J90" s="304"/>
      <c r="K90" s="304"/>
      <c r="L90" s="304"/>
      <c r="M90" s="304"/>
      <c r="N90" s="304"/>
      <c r="O90" s="304"/>
      <c r="P90" s="304"/>
      <c r="Q90" s="304"/>
    </row>
    <row r="91" spans="1:17" ht="13.8" x14ac:dyDescent="0.3">
      <c r="A91" s="388">
        <f t="shared" si="5"/>
        <v>69</v>
      </c>
      <c r="B91" s="389">
        <f t="shared" ca="1" si="6"/>
        <v>0.1114520226124993</v>
      </c>
      <c r="C91" s="389">
        <f t="shared" ca="1" si="7"/>
        <v>4.0024417249602977E-2</v>
      </c>
      <c r="D91" s="390">
        <f t="shared" ca="1" si="8"/>
        <v>1.0841675023671065</v>
      </c>
      <c r="E91" s="391" cm="1">
        <f t="array" aca="1" ref="E91" ca="1">(SUMPRODUCT($B$13:$F$13*D91/(1+B91)^$B$14:$F$14)+($F$13*D91*(1+C91))/(B91-C91)/(1+B91)^$F$14-$B$15+$B$16)/$B$17</f>
        <v>1697.2096774574723</v>
      </c>
      <c r="F91" s="304"/>
      <c r="G91" s="304"/>
      <c r="H91" s="304"/>
      <c r="I91" s="304"/>
      <c r="J91" s="304"/>
      <c r="K91" s="304"/>
      <c r="L91" s="304"/>
      <c r="M91" s="304"/>
      <c r="N91" s="304"/>
      <c r="O91" s="304"/>
      <c r="P91" s="304"/>
      <c r="Q91" s="304"/>
    </row>
    <row r="92" spans="1:17" ht="13.8" x14ac:dyDescent="0.3">
      <c r="A92" s="388">
        <f t="shared" si="5"/>
        <v>70</v>
      </c>
      <c r="B92" s="389">
        <f t="shared" ca="1" si="6"/>
        <v>0.10490549744916153</v>
      </c>
      <c r="C92" s="389">
        <f t="shared" ca="1" si="7"/>
        <v>5.7747605750887436E-2</v>
      </c>
      <c r="D92" s="390">
        <f t="shared" ca="1" si="8"/>
        <v>1.1354583060870567</v>
      </c>
      <c r="E92" s="391" cm="1">
        <f t="array" aca="1" ref="E92" ca="1">(SUMPRODUCT($B$13:$F$13*D92/(1+B92)^$B$14:$F$14)+($F$13*D92*(1+C92))/(B92-C92)/(1+B92)^$F$14-$B$15+$B$16)/$B$17</f>
        <v>2621.4314589276473</v>
      </c>
      <c r="F92" s="304"/>
      <c r="G92" s="304"/>
      <c r="H92" s="304"/>
      <c r="I92" s="304"/>
      <c r="J92" s="304"/>
      <c r="K92" s="304"/>
      <c r="L92" s="304"/>
      <c r="M92" s="304"/>
      <c r="N92" s="304"/>
      <c r="O92" s="304"/>
      <c r="P92" s="304"/>
      <c r="Q92" s="304"/>
    </row>
    <row r="93" spans="1:17" ht="13.8" x14ac:dyDescent="0.3">
      <c r="A93" s="388">
        <f t="shared" si="5"/>
        <v>71</v>
      </c>
      <c r="B93" s="389">
        <f t="shared" ca="1" si="6"/>
        <v>0.12648583582079714</v>
      </c>
      <c r="C93" s="389">
        <f t="shared" ca="1" si="7"/>
        <v>4.8105304906992358E-2</v>
      </c>
      <c r="D93" s="390">
        <f t="shared" ca="1" si="8"/>
        <v>0.9731387365142008</v>
      </c>
      <c r="E93" s="391" cm="1">
        <f t="array" aca="1" ref="E93" ca="1">(SUMPRODUCT($B$13:$F$13*D93/(1+B93)^$B$14:$F$14)+($F$13*D93*(1+C93))/(B93-C93)/(1+B93)^$F$14-$B$15+$B$16)/$B$17</f>
        <v>1336.2957323408198</v>
      </c>
      <c r="F93" s="304"/>
      <c r="G93" s="304"/>
      <c r="H93" s="304"/>
      <c r="I93" s="304"/>
      <c r="J93" s="304"/>
      <c r="K93" s="304"/>
      <c r="L93" s="304"/>
      <c r="M93" s="304"/>
      <c r="N93" s="304"/>
      <c r="O93" s="304"/>
      <c r="P93" s="304"/>
      <c r="Q93" s="304"/>
    </row>
    <row r="94" spans="1:17" ht="13.8" x14ac:dyDescent="0.3">
      <c r="A94" s="388">
        <f t="shared" si="5"/>
        <v>72</v>
      </c>
      <c r="B94" s="389">
        <f t="shared" ca="1" si="6"/>
        <v>0.1197027827642842</v>
      </c>
      <c r="C94" s="389">
        <f t="shared" ca="1" si="7"/>
        <v>4.3435384461013721E-2</v>
      </c>
      <c r="D94" s="390">
        <f t="shared" ca="1" si="8"/>
        <v>0.9470980817117155</v>
      </c>
      <c r="E94" s="391" cm="1">
        <f t="array" aca="1" ref="E94" ca="1">(SUMPRODUCT($B$13:$F$13*D94/(1+B94)^$B$14:$F$14)+($F$13*D94*(1+C94))/(B94-C94)/(1+B94)^$F$14-$B$15+$B$16)/$B$17</f>
        <v>1359.0980240469555</v>
      </c>
      <c r="F94" s="304"/>
      <c r="G94" s="304"/>
      <c r="H94" s="304"/>
      <c r="I94" s="304"/>
      <c r="J94" s="304"/>
      <c r="K94" s="304"/>
      <c r="L94" s="304"/>
      <c r="M94" s="304"/>
      <c r="N94" s="304"/>
      <c r="O94" s="304"/>
      <c r="P94" s="304"/>
      <c r="Q94" s="304"/>
    </row>
    <row r="95" spans="1:17" ht="13.8" x14ac:dyDescent="0.3">
      <c r="A95" s="388">
        <f t="shared" si="5"/>
        <v>73</v>
      </c>
      <c r="B95" s="389">
        <f t="shared" ca="1" si="6"/>
        <v>0.13491879720830288</v>
      </c>
      <c r="C95" s="389">
        <f t="shared" ca="1" si="7"/>
        <v>3.3323133837866031E-2</v>
      </c>
      <c r="D95" s="390">
        <f t="shared" ca="1" si="8"/>
        <v>1.0052916623950818</v>
      </c>
      <c r="E95" s="391" cm="1">
        <f t="array" aca="1" ref="E95" ca="1">(SUMPRODUCT($B$13:$F$13*D95/(1+B95)^$B$14:$F$14)+($F$13*D95*(1+C95))/(B95-C95)/(1+B95)^$F$14-$B$15+$B$16)/$B$17</f>
        <v>1084.9958993564392</v>
      </c>
      <c r="F95" s="304"/>
      <c r="G95" s="304"/>
      <c r="H95" s="304"/>
      <c r="I95" s="304"/>
      <c r="J95" s="304"/>
      <c r="K95" s="304"/>
      <c r="L95" s="304"/>
      <c r="M95" s="304"/>
      <c r="N95" s="304"/>
      <c r="O95" s="304"/>
      <c r="P95" s="304"/>
      <c r="Q95" s="304"/>
    </row>
    <row r="96" spans="1:17" ht="13.8" x14ac:dyDescent="0.3">
      <c r="A96" s="388">
        <f t="shared" si="5"/>
        <v>74</v>
      </c>
      <c r="B96" s="389">
        <f t="shared" ca="1" si="6"/>
        <v>0.12751597149170915</v>
      </c>
      <c r="C96" s="389">
        <f t="shared" ca="1" si="7"/>
        <v>3.5200607245723277E-2</v>
      </c>
      <c r="D96" s="390">
        <f t="shared" ca="1" si="8"/>
        <v>0.89007984199580703</v>
      </c>
      <c r="E96" s="391" cm="1">
        <f t="array" aca="1" ref="E96" ca="1">(SUMPRODUCT($B$13:$F$13*D96/(1+B96)^$B$14:$F$14)+($F$13*D96*(1+C96))/(B96-C96)/(1+B96)^$F$14-$B$15+$B$16)/$B$17</f>
        <v>1058.0466244468787</v>
      </c>
      <c r="F96" s="304"/>
      <c r="G96" s="304"/>
      <c r="H96" s="304"/>
      <c r="I96" s="304"/>
      <c r="J96" s="304"/>
      <c r="K96" s="304"/>
      <c r="L96" s="304"/>
      <c r="M96" s="304"/>
      <c r="N96" s="304"/>
      <c r="O96" s="304"/>
      <c r="P96" s="304"/>
      <c r="Q96" s="304"/>
    </row>
    <row r="97" spans="1:17" ht="13.8" x14ac:dyDescent="0.3">
      <c r="A97" s="388">
        <f t="shared" si="5"/>
        <v>75</v>
      </c>
      <c r="B97" s="389">
        <f t="shared" ca="1" si="6"/>
        <v>0.10900105035450974</v>
      </c>
      <c r="C97" s="389">
        <f t="shared" ca="1" si="7"/>
        <v>4.5698209545743065E-2</v>
      </c>
      <c r="D97" s="390">
        <f t="shared" ca="1" si="8"/>
        <v>1.0848827544044459</v>
      </c>
      <c r="E97" s="391" cm="1">
        <f t="array" aca="1" ref="E97" ca="1">(SUMPRODUCT($B$13:$F$13*D97/(1+B97)^$B$14:$F$14)+($F$13*D97*(1+C97))/(B97-C97)/(1+B97)^$F$14-$B$15+$B$16)/$B$17</f>
        <v>1900.7360204732277</v>
      </c>
      <c r="F97" s="304"/>
      <c r="G97" s="304"/>
      <c r="H97" s="304"/>
      <c r="I97" s="304"/>
      <c r="J97" s="304"/>
      <c r="K97" s="304"/>
      <c r="L97" s="304"/>
      <c r="M97" s="304"/>
      <c r="N97" s="304"/>
      <c r="O97" s="304"/>
      <c r="P97" s="304"/>
      <c r="Q97" s="304"/>
    </row>
    <row r="98" spans="1:17" ht="13.8" x14ac:dyDescent="0.3">
      <c r="A98" s="388">
        <f t="shared" si="5"/>
        <v>76</v>
      </c>
      <c r="B98" s="389">
        <f t="shared" ca="1" si="6"/>
        <v>0.12597420558588221</v>
      </c>
      <c r="C98" s="389">
        <f t="shared" ca="1" si="7"/>
        <v>5.5116075381109741E-2</v>
      </c>
      <c r="D98" s="390">
        <f t="shared" ca="1" si="8"/>
        <v>1.1296484229354786</v>
      </c>
      <c r="E98" s="391" cm="1">
        <f t="array" aca="1" ref="E98" ca="1">(SUMPRODUCT($B$13:$F$13*D98/(1+B98)^$B$14:$F$14)+($F$13*D98*(1+C98))/(B98-C98)/(1+B98)^$F$14-$B$15+$B$16)/$B$17</f>
        <v>1701.4616814588135</v>
      </c>
      <c r="F98" s="304"/>
      <c r="G98" s="304"/>
      <c r="H98" s="304"/>
      <c r="I98" s="304"/>
      <c r="J98" s="304"/>
      <c r="K98" s="304"/>
      <c r="L98" s="304"/>
      <c r="M98" s="304"/>
      <c r="N98" s="304"/>
      <c r="O98" s="304"/>
      <c r="P98" s="304"/>
      <c r="Q98" s="304"/>
    </row>
    <row r="99" spans="1:17" ht="13.8" x14ac:dyDescent="0.3">
      <c r="A99" s="388">
        <f t="shared" si="5"/>
        <v>77</v>
      </c>
      <c r="B99" s="389">
        <f t="shared" ca="1" si="6"/>
        <v>0.12419481666125538</v>
      </c>
      <c r="C99" s="389">
        <f t="shared" ca="1" si="7"/>
        <v>5.8563136395111334E-2</v>
      </c>
      <c r="D99" s="390">
        <f t="shared" ca="1" si="8"/>
        <v>1.0403693235484741</v>
      </c>
      <c r="E99" s="391" cm="1">
        <f t="array" aca="1" ref="E99" ca="1">(SUMPRODUCT($B$13:$F$13*D99/(1+B99)^$B$14:$F$14)+($F$13*D99*(1+C99))/(B99-C99)/(1+B99)^$F$14-$B$15+$B$16)/$B$17</f>
        <v>1679.8241082435216</v>
      </c>
      <c r="F99" s="304"/>
      <c r="G99" s="304"/>
      <c r="H99" s="304"/>
      <c r="I99" s="304"/>
      <c r="J99" s="304"/>
      <c r="K99" s="304"/>
      <c r="L99" s="304"/>
      <c r="M99" s="304"/>
      <c r="N99" s="304"/>
      <c r="O99" s="304"/>
      <c r="P99" s="304"/>
      <c r="Q99" s="304"/>
    </row>
    <row r="100" spans="1:17" ht="13.8" x14ac:dyDescent="0.3">
      <c r="A100" s="388">
        <f t="shared" si="5"/>
        <v>78</v>
      </c>
      <c r="B100" s="389">
        <f t="shared" ca="1" si="6"/>
        <v>0.12801609032497732</v>
      </c>
      <c r="C100" s="389">
        <f t="shared" ca="1" si="7"/>
        <v>5.0573196368141941E-2</v>
      </c>
      <c r="D100" s="390">
        <f t="shared" ca="1" si="8"/>
        <v>0.9164653921694671</v>
      </c>
      <c r="E100" s="391" cm="1">
        <f t="array" aca="1" ref="E100" ca="1">(SUMPRODUCT($B$13:$F$13*D100/(1+B100)^$B$14:$F$14)+($F$13*D100*(1+C100))/(B100-C100)/(1+B100)^$F$14-$B$15+$B$16)/$B$17</f>
        <v>1262.4538633622044</v>
      </c>
      <c r="F100" s="304"/>
      <c r="G100" s="304"/>
      <c r="H100" s="304"/>
      <c r="I100" s="304"/>
      <c r="J100" s="304"/>
      <c r="K100" s="304"/>
      <c r="L100" s="304"/>
      <c r="M100" s="304"/>
      <c r="N100" s="304"/>
      <c r="O100" s="304"/>
      <c r="P100" s="304"/>
      <c r="Q100" s="304"/>
    </row>
    <row r="101" spans="1:17" ht="13.8" x14ac:dyDescent="0.3">
      <c r="A101" s="388">
        <f t="shared" si="5"/>
        <v>79</v>
      </c>
      <c r="B101" s="389">
        <f t="shared" ca="1" si="6"/>
        <v>0.11079872298650265</v>
      </c>
      <c r="C101" s="389">
        <f t="shared" ca="1" si="7"/>
        <v>4.311763167125926E-2</v>
      </c>
      <c r="D101" s="390">
        <f t="shared" ca="1" si="8"/>
        <v>1.1338948451387814</v>
      </c>
      <c r="E101" s="391" cm="1">
        <f t="array" aca="1" ref="E101" ca="1">(SUMPRODUCT($B$13:$F$13*D101/(1+B101)^$B$14:$F$14)+($F$13*D101*(1+C101))/(B101-C101)/(1+B101)^$F$14-$B$15+$B$16)/$B$17</f>
        <v>1865.606320983675</v>
      </c>
      <c r="F101" s="304"/>
      <c r="G101" s="304"/>
      <c r="H101" s="304"/>
      <c r="I101" s="304"/>
      <c r="J101" s="304"/>
      <c r="K101" s="304"/>
      <c r="L101" s="304"/>
      <c r="M101" s="304"/>
      <c r="N101" s="304"/>
      <c r="O101" s="304"/>
      <c r="P101" s="304"/>
      <c r="Q101" s="304"/>
    </row>
    <row r="102" spans="1:17" ht="13.8" x14ac:dyDescent="0.3">
      <c r="A102" s="388">
        <f t="shared" si="5"/>
        <v>80</v>
      </c>
      <c r="B102" s="389">
        <f t="shared" ca="1" si="6"/>
        <v>0.10653248417295433</v>
      </c>
      <c r="C102" s="389">
        <f t="shared" ca="1" si="7"/>
        <v>5.5087020584621456E-2</v>
      </c>
      <c r="D102" s="390">
        <f t="shared" ca="1" si="8"/>
        <v>0.77425839300135801</v>
      </c>
      <c r="E102" s="391" cm="1">
        <f t="array" aca="1" ref="E102" ca="1">(SUMPRODUCT($B$13:$F$13*D102/(1+B102)^$B$14:$F$14)+($F$13*D102*(1+C102))/(B102-C102)/(1+B102)^$F$14-$B$15+$B$16)/$B$17</f>
        <v>1629.2259702748208</v>
      </c>
      <c r="F102" s="304"/>
      <c r="G102" s="304"/>
      <c r="H102" s="304"/>
      <c r="I102" s="304"/>
      <c r="J102" s="304"/>
      <c r="K102" s="304"/>
      <c r="L102" s="304"/>
      <c r="M102" s="304"/>
      <c r="N102" s="304"/>
      <c r="O102" s="304"/>
      <c r="P102" s="304"/>
      <c r="Q102" s="304"/>
    </row>
    <row r="103" spans="1:17" ht="13.8" x14ac:dyDescent="0.3">
      <c r="A103" s="388">
        <f t="shared" si="5"/>
        <v>81</v>
      </c>
      <c r="B103" s="389">
        <f t="shared" ca="1" si="6"/>
        <v>0.12758131220139435</v>
      </c>
      <c r="C103" s="389">
        <f t="shared" ca="1" si="7"/>
        <v>4.7472309542287212E-2</v>
      </c>
      <c r="D103" s="390">
        <f t="shared" ca="1" si="8"/>
        <v>0.80736106272659147</v>
      </c>
      <c r="E103" s="391" cm="1">
        <f t="array" aca="1" ref="E103" ca="1">(SUMPRODUCT($B$13:$F$13*D103/(1+B103)^$B$14:$F$14)+($F$13*D103*(1+C103))/(B103-C103)/(1+B103)^$F$14-$B$15+$B$16)/$B$17</f>
        <v>1076.4525757509873</v>
      </c>
      <c r="F103" s="304"/>
      <c r="G103" s="304"/>
      <c r="H103" s="304"/>
      <c r="I103" s="304"/>
      <c r="J103" s="304"/>
      <c r="K103" s="304"/>
      <c r="L103" s="304"/>
      <c r="M103" s="304"/>
      <c r="N103" s="304"/>
      <c r="O103" s="304"/>
      <c r="P103" s="304"/>
      <c r="Q103" s="304"/>
    </row>
    <row r="104" spans="1:17" ht="13.8" x14ac:dyDescent="0.3">
      <c r="A104" s="388">
        <f t="shared" si="5"/>
        <v>82</v>
      </c>
      <c r="B104" s="389">
        <f t="shared" ca="1" si="6"/>
        <v>0.13571079811867853</v>
      </c>
      <c r="C104" s="389">
        <f t="shared" ca="1" si="7"/>
        <v>5.7240244312814714E-2</v>
      </c>
      <c r="D104" s="390">
        <f t="shared" ca="1" si="8"/>
        <v>1.0851009434446928</v>
      </c>
      <c r="E104" s="391" cm="1">
        <f t="array" aca="1" ref="E104" ca="1">(SUMPRODUCT($B$13:$F$13*D104/(1+B104)^$B$14:$F$14)+($F$13*D104*(1+C104))/(B104-C104)/(1+B104)^$F$14-$B$15+$B$16)/$B$17</f>
        <v>1451.0645781320372</v>
      </c>
      <c r="F104" s="304"/>
      <c r="G104" s="304"/>
      <c r="H104" s="304"/>
      <c r="I104" s="304"/>
      <c r="J104" s="304"/>
      <c r="K104" s="304"/>
      <c r="L104" s="304"/>
      <c r="M104" s="304"/>
      <c r="N104" s="304"/>
      <c r="O104" s="304"/>
      <c r="P104" s="304"/>
      <c r="Q104" s="304"/>
    </row>
    <row r="105" spans="1:17" ht="13.8" x14ac:dyDescent="0.3">
      <c r="A105" s="388">
        <f t="shared" si="5"/>
        <v>83</v>
      </c>
      <c r="B105" s="389">
        <f t="shared" ca="1" si="6"/>
        <v>0.13667877240255058</v>
      </c>
      <c r="C105" s="389">
        <f t="shared" ca="1" si="7"/>
        <v>5.2582328172523729E-2</v>
      </c>
      <c r="D105" s="390">
        <f t="shared" ca="1" si="8"/>
        <v>0.9623716522489919</v>
      </c>
      <c r="E105" s="391" cm="1">
        <f t="array" aca="1" ref="E105" ca="1">(SUMPRODUCT($B$13:$F$13*D105/(1+B105)^$B$14:$F$14)+($F$13*D105*(1+C105))/(B105-C105)/(1+B105)^$F$14-$B$15+$B$16)/$B$17</f>
        <v>1205.1396091869392</v>
      </c>
      <c r="F105" s="304"/>
      <c r="G105" s="304"/>
      <c r="H105" s="304"/>
      <c r="I105" s="304"/>
      <c r="J105" s="304"/>
      <c r="K105" s="304"/>
      <c r="L105" s="304"/>
      <c r="M105" s="304"/>
      <c r="N105" s="304"/>
      <c r="O105" s="304"/>
      <c r="P105" s="304"/>
      <c r="Q105" s="304"/>
    </row>
    <row r="106" spans="1:17" ht="13.8" x14ac:dyDescent="0.3">
      <c r="A106" s="388">
        <f t="shared" si="5"/>
        <v>84</v>
      </c>
      <c r="B106" s="389">
        <f t="shared" ca="1" si="6"/>
        <v>0.13480870483708685</v>
      </c>
      <c r="C106" s="389">
        <f t="shared" ca="1" si="7"/>
        <v>5.4672181202501231E-2</v>
      </c>
      <c r="D106" s="390">
        <f t="shared" ca="1" si="8"/>
        <v>0.99173291495730354</v>
      </c>
      <c r="E106" s="391" cm="1">
        <f t="array" aca="1" ref="E106" ca="1">(SUMPRODUCT($B$13:$F$13*D106/(1+B106)^$B$14:$F$14)+($F$13*D106*(1+C106))/(B106-C106)/(1+B106)^$F$14-$B$15+$B$16)/$B$17</f>
        <v>1302.5319142077537</v>
      </c>
      <c r="F106" s="304"/>
      <c r="G106" s="304"/>
      <c r="H106" s="304"/>
      <c r="I106" s="304"/>
      <c r="J106" s="304"/>
      <c r="K106" s="304"/>
      <c r="L106" s="304"/>
      <c r="M106" s="304"/>
      <c r="N106" s="304"/>
      <c r="O106" s="304"/>
      <c r="P106" s="304"/>
      <c r="Q106" s="304"/>
    </row>
    <row r="107" spans="1:17" ht="13.8" x14ac:dyDescent="0.3">
      <c r="A107" s="388">
        <f t="shared" si="5"/>
        <v>85</v>
      </c>
      <c r="B107" s="389">
        <f t="shared" ca="1" si="6"/>
        <v>0.12955763660080108</v>
      </c>
      <c r="C107" s="389">
        <f t="shared" ca="1" si="7"/>
        <v>5.086618817968034E-2</v>
      </c>
      <c r="D107" s="390">
        <f t="shared" ca="1" si="8"/>
        <v>0.9778291627236918</v>
      </c>
      <c r="E107" s="391" cm="1">
        <f t="array" aca="1" ref="E107" ca="1">(SUMPRODUCT($B$13:$F$13*D107/(1+B107)^$B$14:$F$14)+($F$13*D107*(1+C107))/(B107-C107)/(1+B107)^$F$14-$B$15+$B$16)/$B$17</f>
        <v>1325.4300044116858</v>
      </c>
      <c r="F107" s="304"/>
      <c r="G107" s="304"/>
      <c r="H107" s="304"/>
      <c r="I107" s="304"/>
      <c r="J107" s="304"/>
      <c r="K107" s="304"/>
      <c r="L107" s="304"/>
      <c r="M107" s="304"/>
      <c r="N107" s="304"/>
      <c r="O107" s="304"/>
      <c r="P107" s="304"/>
      <c r="Q107" s="304"/>
    </row>
    <row r="108" spans="1:17" ht="13.8" x14ac:dyDescent="0.3">
      <c r="A108" s="388">
        <f t="shared" si="5"/>
        <v>86</v>
      </c>
      <c r="B108" s="389">
        <f t="shared" ca="1" si="6"/>
        <v>0.12181722273985182</v>
      </c>
      <c r="C108" s="389">
        <f t="shared" ca="1" si="7"/>
        <v>4.1982423468760417E-2</v>
      </c>
      <c r="D108" s="390">
        <f t="shared" ca="1" si="8"/>
        <v>0.87847113340872773</v>
      </c>
      <c r="E108" s="391" cm="1">
        <f t="array" aca="1" ref="E108" ca="1">(SUMPRODUCT($B$13:$F$13*D108/(1+B108)^$B$14:$F$14)+($F$13*D108*(1+C108))/(B108-C108)/(1+B108)^$F$14-$B$15+$B$16)/$B$17</f>
        <v>1200.8671339381701</v>
      </c>
      <c r="F108" s="304"/>
      <c r="G108" s="304"/>
      <c r="H108" s="304"/>
      <c r="I108" s="304"/>
      <c r="J108" s="304"/>
      <c r="K108" s="304"/>
      <c r="L108" s="304"/>
      <c r="M108" s="304"/>
      <c r="N108" s="304"/>
      <c r="O108" s="304"/>
      <c r="P108" s="304"/>
      <c r="Q108" s="304"/>
    </row>
    <row r="109" spans="1:17" ht="13.8" x14ac:dyDescent="0.3">
      <c r="A109" s="388">
        <f t="shared" si="5"/>
        <v>87</v>
      </c>
      <c r="B109" s="389">
        <f t="shared" ca="1" si="6"/>
        <v>0.13714351664398178</v>
      </c>
      <c r="C109" s="389">
        <f t="shared" ca="1" si="7"/>
        <v>5.2901240753517285E-2</v>
      </c>
      <c r="D109" s="390">
        <f t="shared" ca="1" si="8"/>
        <v>1.0992941695450076</v>
      </c>
      <c r="E109" s="391" cm="1">
        <f t="array" aca="1" ref="E109" ca="1">(SUMPRODUCT($B$13:$F$13*D109/(1+B109)^$B$14:$F$14)+($F$13*D109*(1+C109))/(B109-C109)/(1+B109)^$F$14-$B$15+$B$16)/$B$17</f>
        <v>1379.3500068738535</v>
      </c>
      <c r="F109" s="304"/>
      <c r="G109" s="304"/>
      <c r="H109" s="304"/>
      <c r="I109" s="304"/>
      <c r="J109" s="304"/>
      <c r="K109" s="304"/>
      <c r="L109" s="304"/>
      <c r="M109" s="304"/>
      <c r="N109" s="304"/>
      <c r="O109" s="304"/>
      <c r="P109" s="304"/>
      <c r="Q109" s="304"/>
    </row>
    <row r="110" spans="1:17" ht="13.8" x14ac:dyDescent="0.3">
      <c r="A110" s="388">
        <f t="shared" si="5"/>
        <v>88</v>
      </c>
      <c r="B110" s="389">
        <f t="shared" ca="1" si="6"/>
        <v>0.10731704180974404</v>
      </c>
      <c r="C110" s="389">
        <f t="shared" ca="1" si="7"/>
        <v>5.451605310773848E-2</v>
      </c>
      <c r="D110" s="390">
        <f t="shared" ca="1" si="8"/>
        <v>0.86593651874916877</v>
      </c>
      <c r="E110" s="391" cm="1">
        <f t="array" aca="1" ref="E110" ca="1">(SUMPRODUCT($B$13:$F$13*D110/(1+B110)^$B$14:$F$14)+($F$13*D110*(1+C110))/(B110-C110)/(1+B110)^$F$14-$B$15+$B$16)/$B$17</f>
        <v>1780.9507164488089</v>
      </c>
      <c r="F110" s="304"/>
      <c r="G110" s="304"/>
      <c r="H110" s="304"/>
      <c r="I110" s="304"/>
      <c r="J110" s="304"/>
      <c r="K110" s="304"/>
      <c r="L110" s="304"/>
      <c r="M110" s="304"/>
      <c r="N110" s="304"/>
      <c r="O110" s="304"/>
      <c r="P110" s="304"/>
      <c r="Q110" s="304"/>
    </row>
    <row r="111" spans="1:17" ht="13.8" x14ac:dyDescent="0.3">
      <c r="A111" s="388">
        <f t="shared" si="5"/>
        <v>89</v>
      </c>
      <c r="B111" s="389">
        <f t="shared" ca="1" si="6"/>
        <v>0.14768022523694505</v>
      </c>
      <c r="C111" s="389">
        <f t="shared" ca="1" si="7"/>
        <v>4.6210135583236847E-2</v>
      </c>
      <c r="D111" s="390">
        <f t="shared" ca="1" si="8"/>
        <v>0.99162776974671452</v>
      </c>
      <c r="E111" s="391" cm="1">
        <f t="array" aca="1" ref="E111" ca="1">(SUMPRODUCT($B$13:$F$13*D111/(1+B111)^$B$14:$F$14)+($F$13*D111*(1+C111))/(B111-C111)/(1+B111)^$F$14-$B$15+$B$16)/$B$17</f>
        <v>1028.9125345766276</v>
      </c>
      <c r="F111" s="304"/>
      <c r="G111" s="304"/>
      <c r="H111" s="304"/>
      <c r="I111" s="304"/>
      <c r="J111" s="304"/>
      <c r="K111" s="304"/>
      <c r="L111" s="304"/>
      <c r="M111" s="304"/>
      <c r="N111" s="304"/>
      <c r="O111" s="304"/>
      <c r="P111" s="304"/>
      <c r="Q111" s="304"/>
    </row>
    <row r="112" spans="1:17" ht="13.8" x14ac:dyDescent="0.3">
      <c r="A112" s="388">
        <f t="shared" si="5"/>
        <v>90</v>
      </c>
      <c r="B112" s="389">
        <f t="shared" ca="1" si="6"/>
        <v>0.11987736859344598</v>
      </c>
      <c r="C112" s="389">
        <f t="shared" ca="1" si="7"/>
        <v>4.8591250551825227E-2</v>
      </c>
      <c r="D112" s="390">
        <f t="shared" ca="1" si="8"/>
        <v>1.013215647974872</v>
      </c>
      <c r="E112" s="391" cm="1">
        <f t="array" aca="1" ref="E112" ca="1">(SUMPRODUCT($B$13:$F$13*D112/(1+B112)^$B$14:$F$14)+($F$13*D112*(1+C112))/(B112-C112)/(1+B112)^$F$14-$B$15+$B$16)/$B$17</f>
        <v>1543.2009778422425</v>
      </c>
      <c r="F112" s="304"/>
      <c r="G112" s="304"/>
      <c r="H112" s="304"/>
      <c r="I112" s="304"/>
      <c r="J112" s="304"/>
      <c r="K112" s="304"/>
      <c r="L112" s="304"/>
      <c r="M112" s="304"/>
      <c r="N112" s="304"/>
      <c r="O112" s="304"/>
      <c r="P112" s="304"/>
      <c r="Q112" s="304"/>
    </row>
    <row r="113" spans="1:17" ht="13.8" x14ac:dyDescent="0.3">
      <c r="A113" s="388">
        <f t="shared" si="5"/>
        <v>91</v>
      </c>
      <c r="B113" s="389">
        <f t="shared" ca="1" si="6"/>
        <v>0.11320513610266963</v>
      </c>
      <c r="C113" s="389">
        <f t="shared" ca="1" si="7"/>
        <v>4.3849357711548145E-2</v>
      </c>
      <c r="D113" s="390">
        <f t="shared" ca="1" si="8"/>
        <v>0.87055578399941524</v>
      </c>
      <c r="E113" s="391" cm="1">
        <f t="array" aca="1" ref="E113" ca="1">(SUMPRODUCT($B$13:$F$13*D113/(1+B113)^$B$14:$F$14)+($F$13*D113*(1+C113))/(B113-C113)/(1+B113)^$F$14-$B$15+$B$16)/$B$17</f>
        <v>1380.5290149791906</v>
      </c>
      <c r="F113" s="304"/>
      <c r="G113" s="304"/>
      <c r="H113" s="304"/>
      <c r="I113" s="304"/>
      <c r="J113" s="304"/>
      <c r="K113" s="304"/>
      <c r="L113" s="304"/>
      <c r="M113" s="304"/>
      <c r="N113" s="304"/>
      <c r="O113" s="304"/>
      <c r="P113" s="304"/>
      <c r="Q113" s="304"/>
    </row>
    <row r="114" spans="1:17" ht="13.8" x14ac:dyDescent="0.3">
      <c r="A114" s="388">
        <f t="shared" si="5"/>
        <v>92</v>
      </c>
      <c r="B114" s="389">
        <f t="shared" ca="1" si="6"/>
        <v>0.12600140559216363</v>
      </c>
      <c r="C114" s="389">
        <f t="shared" ca="1" si="7"/>
        <v>3.7971353173385333E-2</v>
      </c>
      <c r="D114" s="390">
        <f t="shared" ca="1" si="8"/>
        <v>0.98006461529083533</v>
      </c>
      <c r="E114" s="391" cm="1">
        <f t="array" aca="1" ref="E114" ca="1">(SUMPRODUCT($B$13:$F$13*D114/(1+B114)^$B$14:$F$14)+($F$13*D114*(1+C114))/(B114-C114)/(1+B114)^$F$14-$B$15+$B$16)/$B$17</f>
        <v>1222.7586852554484</v>
      </c>
      <c r="F114" s="304"/>
      <c r="G114" s="304"/>
      <c r="H114" s="304"/>
      <c r="I114" s="304"/>
      <c r="J114" s="304"/>
      <c r="K114" s="304"/>
      <c r="L114" s="304"/>
      <c r="M114" s="304"/>
      <c r="N114" s="304"/>
      <c r="O114" s="304"/>
      <c r="P114" s="304"/>
      <c r="Q114" s="304"/>
    </row>
    <row r="115" spans="1:17" ht="13.8" x14ac:dyDescent="0.3">
      <c r="A115" s="388">
        <f t="shared" si="5"/>
        <v>93</v>
      </c>
      <c r="B115" s="389">
        <f t="shared" ca="1" si="6"/>
        <v>0.13101054166729209</v>
      </c>
      <c r="C115" s="389">
        <f t="shared" ca="1" si="7"/>
        <v>5.3683094073390648E-2</v>
      </c>
      <c r="D115" s="390">
        <f t="shared" ca="1" si="8"/>
        <v>0.96817039945705607</v>
      </c>
      <c r="E115" s="391" cm="1">
        <f t="array" aca="1" ref="E115" ca="1">(SUMPRODUCT($B$13:$F$13*D115/(1+B115)^$B$14:$F$14)+($F$13*D115*(1+C115))/(B115-C115)/(1+B115)^$F$14-$B$15+$B$16)/$B$17</f>
        <v>1325.3627714183119</v>
      </c>
      <c r="F115" s="304"/>
      <c r="G115" s="304"/>
      <c r="H115" s="304"/>
      <c r="I115" s="304"/>
      <c r="J115" s="304"/>
      <c r="K115" s="304"/>
      <c r="L115" s="304"/>
      <c r="M115" s="304"/>
      <c r="N115" s="304"/>
      <c r="O115" s="304"/>
      <c r="P115" s="304"/>
      <c r="Q115" s="304"/>
    </row>
    <row r="116" spans="1:17" ht="13.8" x14ac:dyDescent="0.3">
      <c r="A116" s="388">
        <f t="shared" si="5"/>
        <v>94</v>
      </c>
      <c r="B116" s="389">
        <f t="shared" ca="1" si="6"/>
        <v>0.11090379981064541</v>
      </c>
      <c r="C116" s="389">
        <f t="shared" ca="1" si="7"/>
        <v>4.1641463028387858E-2</v>
      </c>
      <c r="D116" s="390">
        <f t="shared" ca="1" si="8"/>
        <v>0.89347559643598717</v>
      </c>
      <c r="E116" s="391" cm="1">
        <f t="array" aca="1" ref="E116" ca="1">(SUMPRODUCT($B$13:$F$13*D116/(1+B116)^$B$14:$F$14)+($F$13*D116*(1+C116))/(B116-C116)/(1+B116)^$F$14-$B$15+$B$16)/$B$17</f>
        <v>1430.4559133297057</v>
      </c>
      <c r="F116" s="304"/>
      <c r="G116" s="304"/>
      <c r="H116" s="304"/>
      <c r="I116" s="304"/>
      <c r="J116" s="304"/>
      <c r="K116" s="304"/>
      <c r="L116" s="304"/>
      <c r="M116" s="304"/>
      <c r="N116" s="304"/>
      <c r="O116" s="304"/>
      <c r="P116" s="304"/>
      <c r="Q116" s="304"/>
    </row>
    <row r="117" spans="1:17" ht="13.8" x14ac:dyDescent="0.3">
      <c r="A117" s="388">
        <f t="shared" si="5"/>
        <v>95</v>
      </c>
      <c r="B117" s="389">
        <f t="shared" ca="1" si="6"/>
        <v>0.12124026755971269</v>
      </c>
      <c r="C117" s="389">
        <f t="shared" ca="1" si="7"/>
        <v>5.7704707687226964E-2</v>
      </c>
      <c r="D117" s="390">
        <f t="shared" ca="1" si="8"/>
        <v>0.98008329819570894</v>
      </c>
      <c r="E117" s="391" cm="1">
        <f t="array" aca="1" ref="E117" ca="1">(SUMPRODUCT($B$13:$F$13*D117/(1+B117)^$B$14:$F$14)+($F$13*D117*(1+C117))/(B117-C117)/(1+B117)^$F$14-$B$15+$B$16)/$B$17</f>
        <v>1640.6311077395178</v>
      </c>
      <c r="F117" s="304"/>
      <c r="G117" s="304"/>
      <c r="H117" s="304"/>
      <c r="I117" s="304"/>
      <c r="J117" s="304"/>
      <c r="K117" s="304"/>
      <c r="L117" s="304"/>
      <c r="M117" s="304"/>
      <c r="N117" s="304"/>
      <c r="O117" s="304"/>
      <c r="P117" s="304"/>
      <c r="Q117" s="304"/>
    </row>
    <row r="118" spans="1:17" ht="13.8" x14ac:dyDescent="0.3">
      <c r="A118" s="388">
        <f t="shared" si="5"/>
        <v>96</v>
      </c>
      <c r="B118" s="389">
        <f t="shared" ca="1" si="6"/>
        <v>0.13234223172023848</v>
      </c>
      <c r="C118" s="389">
        <f t="shared" ca="1" si="7"/>
        <v>5.0482040209043212E-2</v>
      </c>
      <c r="D118" s="390">
        <f t="shared" ca="1" si="8"/>
        <v>0.92396235263523852</v>
      </c>
      <c r="E118" s="391" cm="1">
        <f t="array" aca="1" ref="E118" ca="1">(SUMPRODUCT($B$13:$F$13*D118/(1+B118)^$B$14:$F$14)+($F$13*D118*(1+C118))/(B118-C118)/(1+B118)^$F$14-$B$15+$B$16)/$B$17</f>
        <v>1198.0230355494477</v>
      </c>
      <c r="F118" s="304"/>
      <c r="G118" s="304"/>
      <c r="H118" s="304"/>
      <c r="I118" s="304"/>
      <c r="J118" s="304"/>
      <c r="K118" s="304"/>
      <c r="L118" s="304"/>
      <c r="M118" s="304"/>
      <c r="N118" s="304"/>
      <c r="O118" s="304"/>
      <c r="P118" s="304"/>
      <c r="Q118" s="304"/>
    </row>
    <row r="119" spans="1:17" ht="13.8" x14ac:dyDescent="0.3">
      <c r="A119" s="388">
        <f t="shared" si="5"/>
        <v>97</v>
      </c>
      <c r="B119" s="389">
        <f t="shared" ca="1" si="6"/>
        <v>0.14175228008639099</v>
      </c>
      <c r="C119" s="389">
        <f t="shared" ca="1" si="7"/>
        <v>4.9469953789010486E-2</v>
      </c>
      <c r="D119" s="390">
        <f t="shared" ca="1" si="8"/>
        <v>1.041331786318298</v>
      </c>
      <c r="E119" s="391" cm="1">
        <f t="array" aca="1" ref="E119" ca="1">(SUMPRODUCT($B$13:$F$13*D119/(1+B119)^$B$14:$F$14)+($F$13*D119*(1+C119))/(B119-C119)/(1+B119)^$F$14-$B$15+$B$16)/$B$17</f>
        <v>1191.7762421788705</v>
      </c>
      <c r="F119" s="304"/>
      <c r="G119" s="304"/>
      <c r="H119" s="304"/>
      <c r="I119" s="304"/>
      <c r="J119" s="304"/>
      <c r="K119" s="304"/>
      <c r="L119" s="304"/>
      <c r="M119" s="304"/>
      <c r="N119" s="304"/>
      <c r="O119" s="304"/>
      <c r="P119" s="304"/>
      <c r="Q119" s="304"/>
    </row>
    <row r="120" spans="1:17" ht="13.8" x14ac:dyDescent="0.3">
      <c r="A120" s="388">
        <f t="shared" si="5"/>
        <v>98</v>
      </c>
      <c r="B120" s="389">
        <f t="shared" ca="1" si="6"/>
        <v>0.1242772992812976</v>
      </c>
      <c r="C120" s="389">
        <f t="shared" ca="1" si="7"/>
        <v>4.8974343610371153E-2</v>
      </c>
      <c r="D120" s="390">
        <f t="shared" ca="1" si="8"/>
        <v>0.92650117687546429</v>
      </c>
      <c r="E120" s="391" cm="1">
        <f t="array" aca="1" ref="E120" ca="1">(SUMPRODUCT($B$13:$F$13*D120/(1+B120)^$B$14:$F$14)+($F$13*D120*(1+C120))/(B120-C120)/(1+B120)^$F$14-$B$15+$B$16)/$B$17</f>
        <v>1323.4568225857063</v>
      </c>
      <c r="F120" s="304"/>
      <c r="G120" s="304"/>
      <c r="H120" s="304"/>
      <c r="I120" s="304"/>
      <c r="J120" s="304"/>
      <c r="K120" s="304"/>
      <c r="L120" s="304"/>
      <c r="M120" s="304"/>
      <c r="N120" s="304"/>
      <c r="O120" s="304"/>
      <c r="P120" s="304"/>
      <c r="Q120" s="304"/>
    </row>
    <row r="121" spans="1:17" ht="13.8" x14ac:dyDescent="0.3">
      <c r="A121" s="388">
        <f t="shared" si="5"/>
        <v>99</v>
      </c>
      <c r="B121" s="389">
        <f t="shared" ca="1" si="6"/>
        <v>0.13137960481909935</v>
      </c>
      <c r="C121" s="389">
        <f t="shared" ca="1" si="7"/>
        <v>5.2446865906806632E-2</v>
      </c>
      <c r="D121" s="390">
        <f t="shared" ca="1" si="8"/>
        <v>1.1306670327896178</v>
      </c>
      <c r="E121" s="391" cm="1">
        <f t="array" aca="1" ref="E121" ca="1">(SUMPRODUCT($B$13:$F$13*D121/(1+B121)^$B$14:$F$14)+($F$13*D121*(1+C121))/(B121-C121)/(1+B121)^$F$14-$B$15+$B$16)/$B$17</f>
        <v>1527.2291895984104</v>
      </c>
      <c r="F121" s="304"/>
      <c r="G121" s="304"/>
      <c r="H121" s="304"/>
      <c r="I121" s="304"/>
      <c r="J121" s="304"/>
      <c r="K121" s="304"/>
      <c r="L121" s="304"/>
      <c r="M121" s="304"/>
      <c r="N121" s="304"/>
      <c r="O121" s="304"/>
      <c r="P121" s="304"/>
      <c r="Q121" s="304"/>
    </row>
    <row r="122" spans="1:17" ht="13.8" x14ac:dyDescent="0.3">
      <c r="A122" s="388">
        <f t="shared" si="5"/>
        <v>100</v>
      </c>
      <c r="B122" s="389">
        <f t="shared" ca="1" si="6"/>
        <v>0.13495684489502544</v>
      </c>
      <c r="C122" s="389">
        <f t="shared" ca="1" si="7"/>
        <v>5.5917071763818889E-2</v>
      </c>
      <c r="D122" s="390">
        <f t="shared" ca="1" si="8"/>
        <v>1.020086634860242</v>
      </c>
      <c r="E122" s="391" cm="1">
        <f t="array" aca="1" ref="E122" ca="1">(SUMPRODUCT($B$13:$F$13*D122/(1+B122)^$B$14:$F$14)+($F$13*D122*(1+C122))/(B122-C122)/(1+B122)^$F$14-$B$15+$B$16)/$B$17</f>
        <v>1356.201643344519</v>
      </c>
      <c r="F122" s="304"/>
      <c r="G122" s="304"/>
      <c r="H122" s="304"/>
      <c r="I122" s="304"/>
      <c r="J122" s="304"/>
      <c r="K122" s="304"/>
      <c r="L122" s="304"/>
      <c r="M122" s="304"/>
      <c r="N122" s="304"/>
      <c r="O122" s="304"/>
      <c r="P122" s="304"/>
      <c r="Q122" s="304"/>
    </row>
    <row r="123" spans="1:17" ht="13.8" x14ac:dyDescent="0.3">
      <c r="A123" s="388">
        <f t="shared" si="5"/>
        <v>101</v>
      </c>
      <c r="B123" s="389">
        <f t="shared" ca="1" si="6"/>
        <v>0.12180241705193993</v>
      </c>
      <c r="C123" s="389">
        <f t="shared" ca="1" si="7"/>
        <v>5.5211894468512712E-2</v>
      </c>
      <c r="D123" s="390">
        <f t="shared" ca="1" si="8"/>
        <v>0.75553493841631891</v>
      </c>
      <c r="E123" s="391" cm="1">
        <f t="array" aca="1" ref="E123" ca="1">(SUMPRODUCT($B$13:$F$13*D123/(1+B123)^$B$14:$F$14)+($F$13*D123*(1+C123))/(B123-C123)/(1+B123)^$F$14-$B$15+$B$16)/$B$17</f>
        <v>1200.9272896084487</v>
      </c>
      <c r="F123" s="304"/>
      <c r="G123" s="304"/>
      <c r="H123" s="304"/>
      <c r="I123" s="304"/>
      <c r="J123" s="304"/>
      <c r="K123" s="304"/>
      <c r="L123" s="304"/>
      <c r="M123" s="304"/>
      <c r="N123" s="304"/>
      <c r="O123" s="304"/>
      <c r="P123" s="304"/>
      <c r="Q123" s="304"/>
    </row>
    <row r="124" spans="1:17" ht="13.8" x14ac:dyDescent="0.3">
      <c r="A124" s="388">
        <f t="shared" si="5"/>
        <v>102</v>
      </c>
      <c r="B124" s="389">
        <f t="shared" ca="1" si="6"/>
        <v>0.12643095650275651</v>
      </c>
      <c r="C124" s="389">
        <f t="shared" ca="1" si="7"/>
        <v>5.9309467155945629E-2</v>
      </c>
      <c r="D124" s="390">
        <f t="shared" ca="1" si="8"/>
        <v>1.1075446610276927</v>
      </c>
      <c r="E124" s="391" cm="1">
        <f t="array" aca="1" ref="E124" ca="1">(SUMPRODUCT($B$13:$F$13*D124/(1+B124)^$B$14:$F$14)+($F$13*D124*(1+C124))/(B124-C124)/(1+B124)^$F$14-$B$15+$B$16)/$B$17</f>
        <v>1744.3534205084643</v>
      </c>
      <c r="F124" s="304"/>
      <c r="G124" s="304"/>
      <c r="H124" s="304"/>
      <c r="I124" s="304"/>
      <c r="J124" s="304"/>
      <c r="K124" s="304"/>
      <c r="L124" s="304"/>
      <c r="M124" s="304"/>
      <c r="N124" s="304"/>
      <c r="O124" s="304"/>
      <c r="P124" s="304"/>
      <c r="Q124" s="304"/>
    </row>
    <row r="125" spans="1:17" ht="13.8" x14ac:dyDescent="0.3">
      <c r="A125" s="388">
        <f t="shared" si="5"/>
        <v>103</v>
      </c>
      <c r="B125" s="389">
        <f t="shared" ca="1" si="6"/>
        <v>0.12911700597980069</v>
      </c>
      <c r="C125" s="389">
        <f t="shared" ca="1" si="7"/>
        <v>6.3064478685219916E-2</v>
      </c>
      <c r="D125" s="390">
        <f t="shared" ca="1" si="8"/>
        <v>1.0854044527270739</v>
      </c>
      <c r="E125" s="391" cm="1">
        <f t="array" aca="1" ref="E125" ca="1">(SUMPRODUCT($B$13:$F$13*D125/(1+B125)^$B$14:$F$14)+($F$13*D125*(1+C125))/(B125-C125)/(1+B125)^$F$14-$B$15+$B$16)/$B$17</f>
        <v>1717.6645207713991</v>
      </c>
      <c r="F125" s="304"/>
      <c r="G125" s="304"/>
      <c r="H125" s="304"/>
      <c r="I125" s="304"/>
      <c r="J125" s="304"/>
      <c r="K125" s="304"/>
      <c r="L125" s="304"/>
      <c r="M125" s="304"/>
      <c r="N125" s="304"/>
      <c r="O125" s="304"/>
      <c r="P125" s="304"/>
      <c r="Q125" s="304"/>
    </row>
    <row r="126" spans="1:17" ht="13.8" x14ac:dyDescent="0.3">
      <c r="A126" s="388">
        <f t="shared" si="5"/>
        <v>104</v>
      </c>
      <c r="B126" s="389">
        <f t="shared" ca="1" si="6"/>
        <v>0.15659596811440138</v>
      </c>
      <c r="C126" s="389">
        <f t="shared" ca="1" si="7"/>
        <v>4.1676979501846831E-2</v>
      </c>
      <c r="D126" s="390">
        <f t="shared" ca="1" si="8"/>
        <v>0.89269135672687649</v>
      </c>
      <c r="E126" s="391" cm="1">
        <f t="array" aca="1" ref="E126" ca="1">(SUMPRODUCT($B$13:$F$13*D126/(1+B126)^$B$14:$F$14)+($F$13*D126*(1+C126))/(B126-C126)/(1+B126)^$F$14-$B$15+$B$16)/$B$17</f>
        <v>811.06983937044686</v>
      </c>
      <c r="F126" s="304"/>
      <c r="G126" s="304"/>
      <c r="H126" s="304"/>
      <c r="I126" s="304"/>
      <c r="J126" s="304"/>
      <c r="K126" s="304"/>
      <c r="L126" s="304"/>
      <c r="M126" s="304"/>
      <c r="N126" s="304"/>
      <c r="O126" s="304"/>
      <c r="P126" s="304"/>
      <c r="Q126" s="304"/>
    </row>
    <row r="127" spans="1:17" ht="13.8" x14ac:dyDescent="0.3">
      <c r="A127" s="388">
        <f t="shared" si="5"/>
        <v>105</v>
      </c>
      <c r="B127" s="389">
        <f t="shared" ca="1" si="6"/>
        <v>0.13458397569030381</v>
      </c>
      <c r="C127" s="389">
        <f t="shared" ca="1" si="7"/>
        <v>5.9820121518743226E-2</v>
      </c>
      <c r="D127" s="390">
        <f t="shared" ca="1" si="8"/>
        <v>0.97440494949042666</v>
      </c>
      <c r="E127" s="391" cm="1">
        <f t="array" aca="1" ref="E127" ca="1">(SUMPRODUCT($B$13:$F$13*D127/(1+B127)^$B$14:$F$14)+($F$13*D127*(1+C127))/(B127-C127)/(1+B127)^$F$14-$B$15+$B$16)/$B$17</f>
        <v>1357.6100210078612</v>
      </c>
      <c r="F127" s="304"/>
      <c r="G127" s="304"/>
      <c r="H127" s="304"/>
      <c r="I127" s="304"/>
      <c r="J127" s="304"/>
      <c r="K127" s="304"/>
      <c r="L127" s="304"/>
      <c r="M127" s="304"/>
      <c r="N127" s="304"/>
      <c r="O127" s="304"/>
      <c r="P127" s="304"/>
      <c r="Q127" s="304"/>
    </row>
    <row r="128" spans="1:17" ht="13.8" x14ac:dyDescent="0.3">
      <c r="A128" s="388">
        <f t="shared" si="5"/>
        <v>106</v>
      </c>
      <c r="B128" s="389">
        <f t="shared" ca="1" si="6"/>
        <v>0.11091703001850789</v>
      </c>
      <c r="C128" s="389">
        <f t="shared" ca="1" si="7"/>
        <v>6.1303340156862035E-2</v>
      </c>
      <c r="D128" s="390">
        <f t="shared" ca="1" si="8"/>
        <v>1.0391905964582777</v>
      </c>
      <c r="E128" s="391" cm="1">
        <f t="array" aca="1" ref="E128" ca="1">(SUMPRODUCT($B$13:$F$13*D128/(1+B128)^$B$14:$F$14)+($F$13*D128*(1+C128))/(B128-C128)/(1+B128)^$F$14-$B$15+$B$16)/$B$17</f>
        <v>2243.3617224452064</v>
      </c>
      <c r="F128" s="304"/>
      <c r="G128" s="304"/>
      <c r="H128" s="304"/>
      <c r="I128" s="304"/>
      <c r="J128" s="304"/>
      <c r="K128" s="304"/>
      <c r="L128" s="304"/>
      <c r="M128" s="304"/>
      <c r="N128" s="304"/>
      <c r="O128" s="304"/>
      <c r="P128" s="304"/>
      <c r="Q128" s="304"/>
    </row>
    <row r="129" spans="1:17" ht="13.8" x14ac:dyDescent="0.3">
      <c r="A129" s="388">
        <f t="shared" si="5"/>
        <v>107</v>
      </c>
      <c r="B129" s="389">
        <f t="shared" ca="1" si="6"/>
        <v>0.12977292429348494</v>
      </c>
      <c r="C129" s="389">
        <f t="shared" ca="1" si="7"/>
        <v>5.1689128609637015E-2</v>
      </c>
      <c r="D129" s="390">
        <f t="shared" ca="1" si="8"/>
        <v>1.1774613900812081</v>
      </c>
      <c r="E129" s="391" cm="1">
        <f t="array" aca="1" ref="E129" ca="1">(SUMPRODUCT($B$13:$F$13*D129/(1+B129)^$B$14:$F$14)+($F$13*D129*(1+C129))/(B129-C129)/(1+B129)^$F$14-$B$15+$B$16)/$B$17</f>
        <v>1615.1651781152814</v>
      </c>
      <c r="F129" s="304"/>
      <c r="G129" s="304"/>
      <c r="H129" s="304"/>
      <c r="I129" s="304"/>
      <c r="J129" s="304"/>
      <c r="K129" s="304"/>
      <c r="L129" s="304"/>
      <c r="M129" s="304"/>
      <c r="N129" s="304"/>
      <c r="O129" s="304"/>
      <c r="P129" s="304"/>
      <c r="Q129" s="304"/>
    </row>
    <row r="130" spans="1:17" ht="13.8" x14ac:dyDescent="0.3">
      <c r="A130" s="388">
        <f t="shared" si="5"/>
        <v>108</v>
      </c>
      <c r="B130" s="389">
        <f t="shared" ca="1" si="6"/>
        <v>0.11254999848020684</v>
      </c>
      <c r="C130" s="389">
        <f t="shared" ca="1" si="7"/>
        <v>4.0114782001892009E-2</v>
      </c>
      <c r="D130" s="390">
        <f t="shared" ca="1" si="8"/>
        <v>1.1254436542503456</v>
      </c>
      <c r="E130" s="391" cm="1">
        <f t="array" aca="1" ref="E130" ca="1">(SUMPRODUCT($B$13:$F$13*D130/(1+B130)^$B$14:$F$14)+($F$13*D130*(1+C130))/(B130-C130)/(1+B130)^$F$14-$B$15+$B$16)/$B$17</f>
        <v>1736.4131138976127</v>
      </c>
      <c r="F130" s="304"/>
      <c r="G130" s="304"/>
      <c r="H130" s="304"/>
      <c r="I130" s="304"/>
      <c r="J130" s="304"/>
      <c r="K130" s="304"/>
      <c r="L130" s="304"/>
      <c r="M130" s="304"/>
      <c r="N130" s="304"/>
      <c r="O130" s="304"/>
      <c r="P130" s="304"/>
      <c r="Q130" s="304"/>
    </row>
    <row r="131" spans="1:17" ht="13.8" x14ac:dyDescent="0.3">
      <c r="A131" s="388">
        <f t="shared" si="5"/>
        <v>109</v>
      </c>
      <c r="B131" s="389">
        <f t="shared" ca="1" si="6"/>
        <v>0.12547593360064571</v>
      </c>
      <c r="C131" s="389">
        <f t="shared" ca="1" si="7"/>
        <v>4.7405930991749425E-2</v>
      </c>
      <c r="D131" s="390">
        <f t="shared" ca="1" si="8"/>
        <v>0.98372363487421444</v>
      </c>
      <c r="E131" s="391" cm="1">
        <f t="array" aca="1" ref="E131" ca="1">(SUMPRODUCT($B$13:$F$13*D131/(1+B131)^$B$14:$F$14)+($F$13*D131*(1+C131))/(B131-C131)/(1+B131)^$F$14-$B$15+$B$16)/$B$17</f>
        <v>1360.2865062638291</v>
      </c>
      <c r="F131" s="304"/>
      <c r="G131" s="304"/>
      <c r="H131" s="304"/>
      <c r="I131" s="304"/>
      <c r="J131" s="304"/>
      <c r="K131" s="304"/>
      <c r="L131" s="304"/>
      <c r="M131" s="304"/>
      <c r="N131" s="304"/>
      <c r="O131" s="304"/>
      <c r="P131" s="304"/>
      <c r="Q131" s="304"/>
    </row>
    <row r="132" spans="1:17" ht="13.8" x14ac:dyDescent="0.3">
      <c r="A132" s="388">
        <f t="shared" si="5"/>
        <v>110</v>
      </c>
      <c r="B132" s="389">
        <f t="shared" ca="1" si="6"/>
        <v>0.1229786212490281</v>
      </c>
      <c r="C132" s="389">
        <f t="shared" ca="1" si="7"/>
        <v>5.4188209087701632E-2</v>
      </c>
      <c r="D132" s="390">
        <f t="shared" ca="1" si="8"/>
        <v>0.90766556500614948</v>
      </c>
      <c r="E132" s="391" cm="1">
        <f t="array" aca="1" ref="E132" ca="1">(SUMPRODUCT($B$13:$F$13*D132/(1+B132)^$B$14:$F$14)+($F$13*D132*(1+C132))/(B132-C132)/(1+B132)^$F$14-$B$15+$B$16)/$B$17</f>
        <v>1406.5078717394524</v>
      </c>
      <c r="F132" s="304"/>
      <c r="G132" s="304"/>
      <c r="H132" s="304"/>
      <c r="I132" s="304"/>
      <c r="J132" s="304"/>
      <c r="K132" s="304"/>
      <c r="L132" s="304"/>
      <c r="M132" s="304"/>
      <c r="N132" s="304"/>
      <c r="O132" s="304"/>
      <c r="P132" s="304"/>
      <c r="Q132" s="304"/>
    </row>
    <row r="133" spans="1:17" ht="13.8" x14ac:dyDescent="0.3">
      <c r="A133" s="388">
        <f t="shared" si="5"/>
        <v>111</v>
      </c>
      <c r="B133" s="389">
        <f t="shared" ca="1" si="6"/>
        <v>0.11020324574290066</v>
      </c>
      <c r="C133" s="389">
        <f t="shared" ca="1" si="7"/>
        <v>5.3545816848339846E-2</v>
      </c>
      <c r="D133" s="390">
        <f t="shared" ca="1" si="8"/>
        <v>0.92307240646199462</v>
      </c>
      <c r="E133" s="391" cm="1">
        <f t="array" aca="1" ref="E133" ca="1">(SUMPRODUCT($B$13:$F$13*D133/(1+B133)^$B$14:$F$14)+($F$13*D133*(1+C133))/(B133-C133)/(1+B133)^$F$14-$B$15+$B$16)/$B$17</f>
        <v>1768.8661087518922</v>
      </c>
      <c r="F133" s="304"/>
      <c r="G133" s="304"/>
      <c r="H133" s="304"/>
      <c r="I133" s="304"/>
      <c r="J133" s="304"/>
      <c r="K133" s="304"/>
      <c r="L133" s="304"/>
      <c r="M133" s="304"/>
      <c r="N133" s="304"/>
      <c r="O133" s="304"/>
      <c r="P133" s="304"/>
      <c r="Q133" s="304"/>
    </row>
    <row r="134" spans="1:17" ht="13.8" x14ac:dyDescent="0.3">
      <c r="A134" s="388">
        <f t="shared" si="5"/>
        <v>112</v>
      </c>
      <c r="B134" s="389">
        <f t="shared" ca="1" si="6"/>
        <v>0.13535733150369308</v>
      </c>
      <c r="C134" s="389">
        <f t="shared" ca="1" si="7"/>
        <v>3.8138206383623516E-2</v>
      </c>
      <c r="D134" s="390">
        <f t="shared" ca="1" si="8"/>
        <v>0.9237748142376927</v>
      </c>
      <c r="E134" s="391" cm="1">
        <f t="array" aca="1" ref="E134" ca="1">(SUMPRODUCT($B$13:$F$13*D134/(1+B134)^$B$14:$F$14)+($F$13*D134*(1+C134))/(B134-C134)/(1+B134)^$F$14-$B$15+$B$16)/$B$17</f>
        <v>1028.1264107850184</v>
      </c>
      <c r="F134" s="304"/>
      <c r="G134" s="304"/>
      <c r="H134" s="304"/>
      <c r="I134" s="304"/>
      <c r="J134" s="304"/>
      <c r="K134" s="304"/>
      <c r="L134" s="304"/>
      <c r="M134" s="304"/>
      <c r="N134" s="304"/>
      <c r="O134" s="304"/>
      <c r="P134" s="304"/>
      <c r="Q134" s="304"/>
    </row>
    <row r="135" spans="1:17" ht="13.8" x14ac:dyDescent="0.3">
      <c r="A135" s="388">
        <f t="shared" si="5"/>
        <v>113</v>
      </c>
      <c r="B135" s="389">
        <f t="shared" ca="1" si="6"/>
        <v>0.12380136470484379</v>
      </c>
      <c r="C135" s="389">
        <f t="shared" ca="1" si="7"/>
        <v>4.8141196435889114E-2</v>
      </c>
      <c r="D135" s="390">
        <f t="shared" ca="1" si="8"/>
        <v>1.1074681075978756</v>
      </c>
      <c r="E135" s="391" cm="1">
        <f t="array" aca="1" ref="E135" ca="1">(SUMPRODUCT($B$13:$F$13*D135/(1+B135)^$B$14:$F$14)+($F$13*D135*(1+C135))/(B135-C135)/(1+B135)^$F$14-$B$15+$B$16)/$B$17</f>
        <v>1587.2543486422098</v>
      </c>
      <c r="F135" s="304"/>
      <c r="G135" s="304"/>
      <c r="H135" s="304"/>
      <c r="I135" s="304"/>
      <c r="J135" s="304"/>
      <c r="K135" s="304"/>
      <c r="L135" s="304"/>
      <c r="M135" s="304"/>
      <c r="N135" s="304"/>
      <c r="O135" s="304"/>
      <c r="P135" s="304"/>
      <c r="Q135" s="304"/>
    </row>
    <row r="136" spans="1:17" ht="13.8" x14ac:dyDescent="0.3">
      <c r="A136" s="388">
        <f t="shared" si="5"/>
        <v>114</v>
      </c>
      <c r="B136" s="389">
        <f t="shared" ca="1" si="6"/>
        <v>0.12495556552520296</v>
      </c>
      <c r="C136" s="389">
        <f t="shared" ca="1" si="7"/>
        <v>5.261268826688207E-2</v>
      </c>
      <c r="D136" s="390">
        <f t="shared" ca="1" si="8"/>
        <v>1.0941945143255163</v>
      </c>
      <c r="E136" s="391" cm="1">
        <f t="array" aca="1" ref="E136" ca="1">(SUMPRODUCT($B$13:$F$13*D136/(1+B136)^$B$14:$F$14)+($F$13*D136*(1+C136))/(B136-C136)/(1+B136)^$F$14-$B$15+$B$16)/$B$17</f>
        <v>1622.8190329619551</v>
      </c>
      <c r="F136" s="304"/>
      <c r="G136" s="304"/>
      <c r="H136" s="304"/>
      <c r="I136" s="304"/>
      <c r="J136" s="304"/>
      <c r="K136" s="304"/>
      <c r="L136" s="304"/>
      <c r="M136" s="304"/>
      <c r="N136" s="304"/>
      <c r="O136" s="304"/>
      <c r="P136" s="304"/>
      <c r="Q136" s="304"/>
    </row>
    <row r="137" spans="1:17" ht="13.8" x14ac:dyDescent="0.3">
      <c r="A137" s="388">
        <f t="shared" si="5"/>
        <v>115</v>
      </c>
      <c r="B137" s="389">
        <f t="shared" ca="1" si="6"/>
        <v>0.12249505372419571</v>
      </c>
      <c r="C137" s="389">
        <f t="shared" ca="1" si="7"/>
        <v>4.7847737466669635E-2</v>
      </c>
      <c r="D137" s="390">
        <f t="shared" ca="1" si="8"/>
        <v>1.001633339937019</v>
      </c>
      <c r="E137" s="391" cm="1">
        <f t="array" aca="1" ref="E137" ca="1">(SUMPRODUCT($B$13:$F$13*D137/(1+B137)^$B$14:$F$14)+($F$13*D137*(1+C137))/(B137-C137)/(1+B137)^$F$14-$B$15+$B$16)/$B$17</f>
        <v>1453.6576043970933</v>
      </c>
      <c r="F137" s="304"/>
      <c r="G137" s="304"/>
      <c r="H137" s="304"/>
      <c r="I137" s="304"/>
      <c r="J137" s="304"/>
      <c r="K137" s="304"/>
      <c r="L137" s="304"/>
      <c r="M137" s="304"/>
      <c r="N137" s="304"/>
      <c r="O137" s="304"/>
      <c r="P137" s="304"/>
      <c r="Q137" s="304"/>
    </row>
    <row r="138" spans="1:17" ht="13.8" x14ac:dyDescent="0.3">
      <c r="A138" s="388">
        <f t="shared" si="5"/>
        <v>116</v>
      </c>
      <c r="B138" s="389">
        <f t="shared" ca="1" si="6"/>
        <v>0.11532852132339455</v>
      </c>
      <c r="C138" s="389">
        <f t="shared" ca="1" si="7"/>
        <v>4.0181468308676298E-2</v>
      </c>
      <c r="D138" s="390">
        <f t="shared" ca="1" si="8"/>
        <v>0.88668569494111638</v>
      </c>
      <c r="E138" s="391" cm="1">
        <f t="array" aca="1" ref="E138" ca="1">(SUMPRODUCT($B$13:$F$13*D138/(1+B138)^$B$14:$F$14)+($F$13*D138*(1+C138))/(B138-C138)/(1+B138)^$F$14-$B$15+$B$16)/$B$17</f>
        <v>1303.8742176356773</v>
      </c>
      <c r="F138" s="304"/>
      <c r="G138" s="304"/>
      <c r="H138" s="304"/>
      <c r="I138" s="304"/>
      <c r="J138" s="304"/>
      <c r="K138" s="304"/>
      <c r="L138" s="304"/>
      <c r="M138" s="304"/>
      <c r="N138" s="304"/>
      <c r="O138" s="304"/>
      <c r="P138" s="304"/>
      <c r="Q138" s="304"/>
    </row>
    <row r="139" spans="1:17" ht="13.8" x14ac:dyDescent="0.3">
      <c r="A139" s="388">
        <f t="shared" si="5"/>
        <v>117</v>
      </c>
      <c r="B139" s="389">
        <f t="shared" ca="1" si="6"/>
        <v>0.13002541346497207</v>
      </c>
      <c r="C139" s="389">
        <f t="shared" ca="1" si="7"/>
        <v>5.5126731970313904E-2</v>
      </c>
      <c r="D139" s="390">
        <f t="shared" ca="1" si="8"/>
        <v>0.94541618501886293</v>
      </c>
      <c r="E139" s="391" cm="1">
        <f t="array" aca="1" ref="E139" ca="1">(SUMPRODUCT($B$13:$F$13*D139/(1+B139)^$B$14:$F$14)+($F$13*D139*(1+C139))/(B139-C139)/(1+B139)^$F$14-$B$15+$B$16)/$B$17</f>
        <v>1332.9713820443444</v>
      </c>
      <c r="F139" s="304"/>
      <c r="G139" s="304"/>
      <c r="H139" s="304"/>
      <c r="I139" s="304"/>
      <c r="J139" s="304"/>
      <c r="K139" s="304"/>
      <c r="L139" s="304"/>
      <c r="M139" s="304"/>
      <c r="N139" s="304"/>
      <c r="O139" s="304"/>
      <c r="P139" s="304"/>
      <c r="Q139" s="304"/>
    </row>
    <row r="140" spans="1:17" ht="13.8" x14ac:dyDescent="0.3">
      <c r="A140" s="388">
        <f t="shared" si="5"/>
        <v>118</v>
      </c>
      <c r="B140" s="389">
        <f t="shared" ca="1" si="6"/>
        <v>0.12783100022033331</v>
      </c>
      <c r="C140" s="389">
        <f t="shared" ca="1" si="7"/>
        <v>4.9307445823598389E-2</v>
      </c>
      <c r="D140" s="390">
        <f t="shared" ca="1" si="8"/>
        <v>1.1787333051924551</v>
      </c>
      <c r="E140" s="391" cm="1">
        <f t="array" aca="1" ref="E140" ca="1">(SUMPRODUCT($B$13:$F$13*D140/(1+B140)^$B$14:$F$14)+($F$13*D140*(1+C140))/(B140-C140)/(1+B140)^$F$14-$B$15+$B$16)/$B$17</f>
        <v>1619.2352004351155</v>
      </c>
      <c r="F140" s="304"/>
      <c r="G140" s="304"/>
      <c r="H140" s="304"/>
      <c r="I140" s="304"/>
      <c r="J140" s="304"/>
      <c r="K140" s="304"/>
      <c r="L140" s="304"/>
      <c r="M140" s="304"/>
      <c r="N140" s="304"/>
      <c r="O140" s="304"/>
      <c r="P140" s="304"/>
      <c r="Q140" s="304"/>
    </row>
    <row r="141" spans="1:17" ht="13.8" x14ac:dyDescent="0.3">
      <c r="A141" s="388">
        <f t="shared" si="5"/>
        <v>119</v>
      </c>
      <c r="B141" s="389">
        <f t="shared" ca="1" si="6"/>
        <v>0.13830377318173559</v>
      </c>
      <c r="C141" s="389">
        <f t="shared" ca="1" si="7"/>
        <v>5.1213494874811943E-2</v>
      </c>
      <c r="D141" s="390">
        <f t="shared" ca="1" si="8"/>
        <v>1.0168414674042472</v>
      </c>
      <c r="E141" s="391" cm="1">
        <f t="array" aca="1" ref="E141" ca="1">(SUMPRODUCT($B$13:$F$13*D141/(1+B141)^$B$14:$F$14)+($F$13*D141*(1+C141))/(B141-C141)/(1+B141)^$F$14-$B$15+$B$16)/$B$17</f>
        <v>1232.9918833802451</v>
      </c>
      <c r="F141" s="304"/>
      <c r="G141" s="304"/>
      <c r="H141" s="304"/>
      <c r="I141" s="304"/>
      <c r="J141" s="304"/>
      <c r="K141" s="304"/>
      <c r="L141" s="304"/>
      <c r="M141" s="304"/>
      <c r="N141" s="304"/>
      <c r="O141" s="304"/>
      <c r="P141" s="304"/>
      <c r="Q141" s="304"/>
    </row>
    <row r="142" spans="1:17" ht="13.8" x14ac:dyDescent="0.3">
      <c r="A142" s="388">
        <f t="shared" si="5"/>
        <v>120</v>
      </c>
      <c r="B142" s="389">
        <f t="shared" ca="1" si="6"/>
        <v>0.12263429346105627</v>
      </c>
      <c r="C142" s="389">
        <f t="shared" ca="1" si="7"/>
        <v>4.3362982438703276E-2</v>
      </c>
      <c r="D142" s="390">
        <f t="shared" ca="1" si="8"/>
        <v>0.98857259856139856</v>
      </c>
      <c r="E142" s="391" cm="1">
        <f t="array" aca="1" ref="E142" ca="1">(SUMPRODUCT($B$13:$F$13*D142/(1+B142)^$B$14:$F$14)+($F$13*D142*(1+C142))/(B142-C142)/(1+B142)^$F$14-$B$15+$B$16)/$B$17</f>
        <v>1361.9362167957709</v>
      </c>
      <c r="F142" s="304"/>
      <c r="G142" s="304"/>
      <c r="H142" s="304"/>
      <c r="I142" s="304"/>
      <c r="J142" s="304"/>
      <c r="K142" s="304"/>
      <c r="L142" s="304"/>
      <c r="M142" s="304"/>
      <c r="N142" s="304"/>
      <c r="O142" s="304"/>
      <c r="P142" s="304"/>
      <c r="Q142" s="304"/>
    </row>
    <row r="143" spans="1:17" ht="13.8" x14ac:dyDescent="0.3">
      <c r="A143" s="388">
        <f t="shared" si="5"/>
        <v>121</v>
      </c>
      <c r="B143" s="389">
        <f t="shared" ca="1" si="6"/>
        <v>0.11313511285695582</v>
      </c>
      <c r="C143" s="389">
        <f t="shared" ca="1" si="7"/>
        <v>4.5957604109326998E-2</v>
      </c>
      <c r="D143" s="390">
        <f t="shared" ca="1" si="8"/>
        <v>1.0608328610041224</v>
      </c>
      <c r="E143" s="391" cm="1">
        <f t="array" aca="1" ref="E143" ca="1">(SUMPRODUCT($B$13:$F$13*D143/(1+B143)^$B$14:$F$14)+($F$13*D143*(1+C143))/(B143-C143)/(1+B143)^$F$14-$B$15+$B$16)/$B$17</f>
        <v>1740.4266268551321</v>
      </c>
      <c r="F143" s="304"/>
      <c r="G143" s="304"/>
      <c r="H143" s="304"/>
      <c r="I143" s="304"/>
      <c r="J143" s="304"/>
      <c r="K143" s="304"/>
      <c r="L143" s="304"/>
      <c r="M143" s="304"/>
      <c r="N143" s="304"/>
      <c r="O143" s="304"/>
      <c r="P143" s="304"/>
      <c r="Q143" s="304"/>
    </row>
    <row r="144" spans="1:17" ht="13.8" x14ac:dyDescent="0.3">
      <c r="A144" s="388">
        <f t="shared" si="5"/>
        <v>122</v>
      </c>
      <c r="B144" s="389">
        <f t="shared" ca="1" si="6"/>
        <v>0.120006996144573</v>
      </c>
      <c r="C144" s="389">
        <f t="shared" ca="1" si="7"/>
        <v>5.0825922381376717E-2</v>
      </c>
      <c r="D144" s="390">
        <f t="shared" ca="1" si="8"/>
        <v>0.93167773779810592</v>
      </c>
      <c r="E144" s="391" cm="1">
        <f t="array" aca="1" ref="E144" ca="1">(SUMPRODUCT($B$13:$F$13*D144/(1+B144)^$B$14:$F$14)+($F$13*D144*(1+C144))/(B144-C144)/(1+B144)^$F$14-$B$15+$B$16)/$B$17</f>
        <v>1451.7317238736214</v>
      </c>
      <c r="F144" s="304"/>
      <c r="G144" s="304"/>
      <c r="H144" s="304"/>
      <c r="I144" s="304"/>
      <c r="J144" s="304"/>
      <c r="K144" s="304"/>
      <c r="L144" s="304"/>
      <c r="M144" s="304"/>
      <c r="N144" s="304"/>
      <c r="O144" s="304"/>
      <c r="P144" s="304"/>
      <c r="Q144" s="304"/>
    </row>
    <row r="145" spans="1:17" ht="13.8" x14ac:dyDescent="0.3">
      <c r="A145" s="388">
        <f t="shared" si="5"/>
        <v>123</v>
      </c>
      <c r="B145" s="389">
        <f t="shared" ca="1" si="6"/>
        <v>0.14747079656825302</v>
      </c>
      <c r="C145" s="389">
        <f t="shared" ca="1" si="7"/>
        <v>5.4304492920038798E-2</v>
      </c>
      <c r="D145" s="390">
        <f t="shared" ca="1" si="8"/>
        <v>0.90745546339567951</v>
      </c>
      <c r="E145" s="391" cm="1">
        <f t="array" aca="1" ref="E145" ca="1">(SUMPRODUCT($B$13:$F$13*D145/(1+B145)^$B$14:$F$14)+($F$13*D145*(1+C145))/(B145-C145)/(1+B145)^$F$14-$B$15+$B$16)/$B$17</f>
        <v>1006.1632342508149</v>
      </c>
      <c r="F145" s="304"/>
      <c r="G145" s="304"/>
      <c r="H145" s="304"/>
      <c r="I145" s="304"/>
      <c r="J145" s="304"/>
      <c r="K145" s="304"/>
      <c r="L145" s="304"/>
      <c r="M145" s="304"/>
      <c r="N145" s="304"/>
      <c r="O145" s="304"/>
      <c r="P145" s="304"/>
      <c r="Q145" s="304"/>
    </row>
    <row r="146" spans="1:17" ht="13.8" x14ac:dyDescent="0.3">
      <c r="A146" s="388">
        <f t="shared" si="5"/>
        <v>124</v>
      </c>
      <c r="B146" s="389">
        <f t="shared" ca="1" si="6"/>
        <v>0.1391079104509019</v>
      </c>
      <c r="C146" s="389">
        <f t="shared" ca="1" si="7"/>
        <v>5.9035062735701388E-2</v>
      </c>
      <c r="D146" s="390">
        <f t="shared" ca="1" si="8"/>
        <v>1.0559896456381552</v>
      </c>
      <c r="E146" s="391" cm="1">
        <f t="array" aca="1" ref="E146" ca="1">(SUMPRODUCT($B$13:$F$13*D146/(1+B146)^$B$14:$F$14)+($F$13*D146*(1+C146))/(B146-C146)/(1+B146)^$F$14-$B$15+$B$16)/$B$17</f>
        <v>1372.2341946515182</v>
      </c>
      <c r="F146" s="304"/>
      <c r="G146" s="304"/>
      <c r="H146" s="304"/>
      <c r="I146" s="304"/>
      <c r="J146" s="304"/>
      <c r="K146" s="304"/>
      <c r="L146" s="304"/>
      <c r="M146" s="304"/>
      <c r="N146" s="304"/>
      <c r="O146" s="304"/>
      <c r="P146" s="304"/>
      <c r="Q146" s="304"/>
    </row>
    <row r="147" spans="1:17" ht="13.8" x14ac:dyDescent="0.3">
      <c r="A147" s="388">
        <f t="shared" si="5"/>
        <v>125</v>
      </c>
      <c r="B147" s="389">
        <f t="shared" ca="1" si="6"/>
        <v>0.10452080747566535</v>
      </c>
      <c r="C147" s="389">
        <f t="shared" ca="1" si="7"/>
        <v>4.8642112647931127E-2</v>
      </c>
      <c r="D147" s="390">
        <f t="shared" ca="1" si="8"/>
        <v>1.0431812091348693</v>
      </c>
      <c r="E147" s="391" cm="1">
        <f t="array" aca="1" ref="E147" ca="1">(SUMPRODUCT($B$13:$F$13*D147/(1+B147)^$B$14:$F$14)+($F$13*D147*(1+C147))/(B147-C147)/(1+B147)^$F$14-$B$15+$B$16)/$B$17</f>
        <v>2068.0511409318187</v>
      </c>
      <c r="F147" s="304"/>
      <c r="G147" s="304"/>
      <c r="H147" s="304"/>
      <c r="I147" s="304"/>
      <c r="J147" s="304"/>
      <c r="K147" s="304"/>
      <c r="L147" s="304"/>
      <c r="M147" s="304"/>
      <c r="N147" s="304"/>
      <c r="O147" s="304"/>
      <c r="P147" s="304"/>
      <c r="Q147" s="304"/>
    </row>
    <row r="148" spans="1:17" ht="13.8" x14ac:dyDescent="0.3">
      <c r="A148" s="388">
        <f t="shared" si="5"/>
        <v>126</v>
      </c>
      <c r="B148" s="389">
        <f t="shared" ca="1" si="6"/>
        <v>0.15179598445769085</v>
      </c>
      <c r="C148" s="389">
        <f t="shared" ca="1" si="7"/>
        <v>4.3502986370359653E-2</v>
      </c>
      <c r="D148" s="390">
        <f t="shared" ca="1" si="8"/>
        <v>1.0324409083909651</v>
      </c>
      <c r="E148" s="391" cm="1">
        <f t="array" aca="1" ref="E148" ca="1">(SUMPRODUCT($B$13:$F$13*D148/(1+B148)^$B$14:$F$14)+($F$13*D148*(1+C148))/(B148-C148)/(1+B148)^$F$14-$B$15+$B$16)/$B$17</f>
        <v>1005.723551013181</v>
      </c>
      <c r="F148" s="304"/>
      <c r="G148" s="304"/>
      <c r="H148" s="304"/>
      <c r="I148" s="304"/>
      <c r="J148" s="304"/>
      <c r="K148" s="304"/>
      <c r="L148" s="304"/>
      <c r="M148" s="304"/>
      <c r="N148" s="304"/>
      <c r="O148" s="304"/>
      <c r="P148" s="304"/>
      <c r="Q148" s="304"/>
    </row>
    <row r="149" spans="1:17" ht="13.8" x14ac:dyDescent="0.3">
      <c r="A149" s="388">
        <f t="shared" si="5"/>
        <v>127</v>
      </c>
      <c r="B149" s="389">
        <f t="shared" ca="1" si="6"/>
        <v>0.11639866230646086</v>
      </c>
      <c r="C149" s="389">
        <f t="shared" ca="1" si="7"/>
        <v>7.5404129116492122E-2</v>
      </c>
      <c r="D149" s="390">
        <f t="shared" ca="1" si="8"/>
        <v>1.240140821814788</v>
      </c>
      <c r="E149" s="391" cm="1">
        <f t="array" aca="1" ref="E149" ca="1">(SUMPRODUCT($B$13:$F$13*D149/(1+B149)^$B$14:$F$14)+($F$13*D149*(1+C149))/(B149-C149)/(1+B149)^$F$14-$B$15+$B$16)/$B$17</f>
        <v>3135.5897486121667</v>
      </c>
      <c r="F149" s="304"/>
      <c r="G149" s="304"/>
      <c r="H149" s="304"/>
      <c r="I149" s="304"/>
      <c r="J149" s="304"/>
      <c r="K149" s="304"/>
      <c r="L149" s="304"/>
      <c r="M149" s="304"/>
      <c r="N149" s="304"/>
      <c r="O149" s="304"/>
      <c r="P149" s="304"/>
      <c r="Q149" s="304"/>
    </row>
    <row r="150" spans="1:17" ht="13.8" x14ac:dyDescent="0.3">
      <c r="A150" s="388">
        <f t="shared" si="5"/>
        <v>128</v>
      </c>
      <c r="B150" s="389">
        <f t="shared" ca="1" si="6"/>
        <v>0.141233281948277</v>
      </c>
      <c r="C150" s="389">
        <f t="shared" ca="1" si="7"/>
        <v>4.4489917570601181E-2</v>
      </c>
      <c r="D150" s="390">
        <f t="shared" ca="1" si="8"/>
        <v>0.92519754297285717</v>
      </c>
      <c r="E150" s="391" cm="1">
        <f t="array" aca="1" ref="E150" ca="1">(SUMPRODUCT($B$13:$F$13*D150/(1+B150)^$B$14:$F$14)+($F$13*D150*(1+C150))/(B150-C150)/(1+B150)^$F$14-$B$15+$B$16)/$B$17</f>
        <v>1015.0262208481538</v>
      </c>
      <c r="F150" s="304"/>
      <c r="G150" s="304"/>
      <c r="H150" s="304"/>
      <c r="I150" s="304"/>
      <c r="J150" s="304"/>
      <c r="K150" s="304"/>
      <c r="L150" s="304"/>
      <c r="M150" s="304"/>
      <c r="N150" s="304"/>
      <c r="O150" s="304"/>
      <c r="P150" s="304"/>
      <c r="Q150" s="304"/>
    </row>
    <row r="151" spans="1:17" ht="13.8" x14ac:dyDescent="0.3">
      <c r="A151" s="388">
        <f t="shared" si="5"/>
        <v>129</v>
      </c>
      <c r="B151" s="389">
        <f t="shared" ca="1" si="6"/>
        <v>0.11230938253398622</v>
      </c>
      <c r="C151" s="389">
        <f t="shared" ca="1" si="7"/>
        <v>5.3616863397565245E-2</v>
      </c>
      <c r="D151" s="390">
        <f t="shared" ca="1" si="8"/>
        <v>1.0914550006169217</v>
      </c>
      <c r="E151" s="391" cm="1">
        <f t="array" aca="1" ref="E151" ca="1">(SUMPRODUCT($B$13:$F$13*D151/(1+B151)^$B$14:$F$14)+($F$13*D151*(1+C151))/(B151-C151)/(1+B151)^$F$14-$B$15+$B$16)/$B$17</f>
        <v>2021.8625216150335</v>
      </c>
      <c r="F151" s="304"/>
      <c r="G151" s="304"/>
      <c r="H151" s="304"/>
      <c r="I151" s="304"/>
      <c r="J151" s="304"/>
      <c r="K151" s="304"/>
      <c r="L151" s="304"/>
      <c r="M151" s="304"/>
      <c r="N151" s="304"/>
      <c r="O151" s="304"/>
      <c r="P151" s="304"/>
      <c r="Q151" s="304"/>
    </row>
    <row r="152" spans="1:17" ht="13.8" x14ac:dyDescent="0.3">
      <c r="A152" s="388">
        <f t="shared" ref="A152:A215" si="9">ROW()-22</f>
        <v>130</v>
      </c>
      <c r="B152" s="389">
        <f t="shared" ref="B152:B215" ca="1" si="10">_xlfn.NORM.INV(RAND(),$B$6,$C$6)</f>
        <v>0.11376360314838412</v>
      </c>
      <c r="C152" s="389">
        <f t="shared" ref="C152:C215" ca="1" si="11">MIN(_xlfn.NORM.INV(RAND(),$B$7,$C$7),B152-0.005)</f>
        <v>5.3340056652731976E-2</v>
      </c>
      <c r="D152" s="390">
        <f t="shared" ref="D152:D215" ca="1" si="12">_xlfn.NORM.INV(RAND(),$B$8,$C$8)</f>
        <v>0.91584789982723314</v>
      </c>
      <c r="E152" s="391" cm="1">
        <f t="array" aca="1" ref="E152" ca="1">(SUMPRODUCT($B$13:$F$13*D152/(1+B152)^$B$14:$F$14)+($F$13*D152*(1+C152))/(B152-C152)/(1+B152)^$F$14-$B$15+$B$16)/$B$17</f>
        <v>1638.3032581245081</v>
      </c>
      <c r="F152" s="304"/>
      <c r="G152" s="304"/>
      <c r="H152" s="304"/>
      <c r="I152" s="304"/>
      <c r="J152" s="304"/>
      <c r="K152" s="304"/>
      <c r="L152" s="304"/>
      <c r="M152" s="304"/>
      <c r="N152" s="304"/>
      <c r="O152" s="304"/>
      <c r="P152" s="304"/>
      <c r="Q152" s="304"/>
    </row>
    <row r="153" spans="1:17" ht="13.8" x14ac:dyDescent="0.3">
      <c r="A153" s="388">
        <f t="shared" si="9"/>
        <v>131</v>
      </c>
      <c r="B153" s="389">
        <f t="shared" ca="1" si="10"/>
        <v>0.12924468482129084</v>
      </c>
      <c r="C153" s="389">
        <f t="shared" ca="1" si="11"/>
        <v>5.410893721054711E-2</v>
      </c>
      <c r="D153" s="390">
        <f t="shared" ca="1" si="12"/>
        <v>1.0051181729905363</v>
      </c>
      <c r="E153" s="391" cm="1">
        <f t="array" aca="1" ref="E153" ca="1">(SUMPRODUCT($B$13:$F$13*D153/(1+B153)^$B$14:$F$14)+($F$13*D153*(1+C153))/(B153-C153)/(1+B153)^$F$14-$B$15+$B$16)/$B$17</f>
        <v>1419.84586656645</v>
      </c>
      <c r="F153" s="304"/>
      <c r="G153" s="304"/>
      <c r="H153" s="304"/>
      <c r="I153" s="304"/>
      <c r="J153" s="304"/>
      <c r="K153" s="304"/>
      <c r="L153" s="304"/>
      <c r="M153" s="304"/>
      <c r="N153" s="304"/>
      <c r="O153" s="304"/>
      <c r="P153" s="304"/>
      <c r="Q153" s="304"/>
    </row>
    <row r="154" spans="1:17" ht="13.8" x14ac:dyDescent="0.3">
      <c r="A154" s="388">
        <f t="shared" si="9"/>
        <v>132</v>
      </c>
      <c r="B154" s="389">
        <f t="shared" ca="1" si="10"/>
        <v>0.12660931534747086</v>
      </c>
      <c r="C154" s="389">
        <f t="shared" ca="1" si="11"/>
        <v>5.3103164246426846E-2</v>
      </c>
      <c r="D154" s="390">
        <f t="shared" ca="1" si="12"/>
        <v>0.95092390056509435</v>
      </c>
      <c r="E154" s="391" cm="1">
        <f t="array" aca="1" ref="E154" ca="1">(SUMPRODUCT($B$13:$F$13*D154/(1+B154)^$B$14:$F$14)+($F$13*D154*(1+C154))/(B154-C154)/(1+B154)^$F$14-$B$15+$B$16)/$B$17</f>
        <v>1377.6888714004951</v>
      </c>
      <c r="F154" s="304"/>
      <c r="G154" s="304"/>
      <c r="H154" s="304"/>
      <c r="I154" s="304"/>
      <c r="J154" s="304"/>
      <c r="K154" s="304"/>
      <c r="L154" s="304"/>
      <c r="M154" s="304"/>
      <c r="N154" s="304"/>
      <c r="O154" s="304"/>
      <c r="P154" s="304"/>
      <c r="Q154" s="304"/>
    </row>
    <row r="155" spans="1:17" ht="13.8" x14ac:dyDescent="0.3">
      <c r="A155" s="388">
        <f t="shared" si="9"/>
        <v>133</v>
      </c>
      <c r="B155" s="389">
        <f t="shared" ca="1" si="10"/>
        <v>0.12401832402071314</v>
      </c>
      <c r="C155" s="389">
        <f t="shared" ca="1" si="11"/>
        <v>6.055439467820492E-2</v>
      </c>
      <c r="D155" s="390">
        <f t="shared" ca="1" si="12"/>
        <v>1.0280152704671808</v>
      </c>
      <c r="E155" s="391" cm="1">
        <f t="array" aca="1" ref="E155" ca="1">(SUMPRODUCT($B$13:$F$13*D155/(1+B155)^$B$14:$F$14)+($F$13*D155*(1+C155))/(B155-C155)/(1+B155)^$F$14-$B$15+$B$16)/$B$17</f>
        <v>1709.550252594318</v>
      </c>
      <c r="F155" s="304"/>
      <c r="G155" s="304"/>
      <c r="H155" s="304"/>
      <c r="I155" s="304"/>
      <c r="J155" s="304"/>
      <c r="K155" s="304"/>
      <c r="L155" s="304"/>
      <c r="M155" s="304"/>
      <c r="N155" s="304"/>
      <c r="O155" s="304"/>
      <c r="P155" s="304"/>
      <c r="Q155" s="304"/>
    </row>
    <row r="156" spans="1:17" ht="13.8" x14ac:dyDescent="0.3">
      <c r="A156" s="388">
        <f t="shared" si="9"/>
        <v>134</v>
      </c>
      <c r="B156" s="389">
        <f t="shared" ca="1" si="10"/>
        <v>0.13992735076135357</v>
      </c>
      <c r="C156" s="389">
        <f t="shared" ca="1" si="11"/>
        <v>5.1828466005510533E-2</v>
      </c>
      <c r="D156" s="390">
        <f t="shared" ca="1" si="12"/>
        <v>0.80302380674497564</v>
      </c>
      <c r="E156" s="391" cm="1">
        <f t="array" aca="1" ref="E156" ca="1">(SUMPRODUCT($B$13:$F$13*D156/(1+B156)^$B$14:$F$14)+($F$13*D156*(1+C156))/(B156-C156)/(1+B156)^$F$14-$B$15+$B$16)/$B$17</f>
        <v>949.55075783738778</v>
      </c>
      <c r="F156" s="304"/>
      <c r="G156" s="304"/>
      <c r="H156" s="304"/>
      <c r="I156" s="304"/>
      <c r="J156" s="304"/>
      <c r="K156" s="304"/>
      <c r="L156" s="304"/>
      <c r="M156" s="304"/>
      <c r="N156" s="304"/>
      <c r="O156" s="304"/>
      <c r="P156" s="304"/>
      <c r="Q156" s="304"/>
    </row>
    <row r="157" spans="1:17" ht="13.8" x14ac:dyDescent="0.3">
      <c r="A157" s="388">
        <f t="shared" si="9"/>
        <v>135</v>
      </c>
      <c r="B157" s="389">
        <f t="shared" ca="1" si="10"/>
        <v>0.1004718610139267</v>
      </c>
      <c r="C157" s="389">
        <f t="shared" ca="1" si="11"/>
        <v>5.5173564138607051E-2</v>
      </c>
      <c r="D157" s="390">
        <f t="shared" ca="1" si="12"/>
        <v>0.9834638075307599</v>
      </c>
      <c r="E157" s="391" cm="1">
        <f t="array" aca="1" ref="E157" ca="1">(SUMPRODUCT($B$13:$F$13*D157/(1+B157)^$B$14:$F$14)+($F$13*D157*(1+C157))/(B157-C157)/(1+B157)^$F$14-$B$15+$B$16)/$B$17</f>
        <v>2382.905867395541</v>
      </c>
      <c r="F157" s="304"/>
      <c r="G157" s="304"/>
      <c r="H157" s="304"/>
      <c r="I157" s="304"/>
      <c r="J157" s="304"/>
      <c r="K157" s="304"/>
      <c r="L157" s="304"/>
      <c r="M157" s="304"/>
      <c r="N157" s="304"/>
      <c r="O157" s="304"/>
      <c r="P157" s="304"/>
      <c r="Q157" s="304"/>
    </row>
    <row r="158" spans="1:17" ht="13.8" x14ac:dyDescent="0.3">
      <c r="A158" s="388">
        <f t="shared" si="9"/>
        <v>136</v>
      </c>
      <c r="B158" s="389">
        <f t="shared" ca="1" si="10"/>
        <v>0.1014606481888643</v>
      </c>
      <c r="C158" s="389">
        <f t="shared" ca="1" si="11"/>
        <v>4.3259547177325282E-2</v>
      </c>
      <c r="D158" s="390">
        <f t="shared" ca="1" si="12"/>
        <v>1.0294058187321709</v>
      </c>
      <c r="E158" s="391" cm="1">
        <f t="array" aca="1" ref="E158" ca="1">(SUMPRODUCT($B$13:$F$13*D158/(1+B158)^$B$14:$F$14)+($F$13*D158*(1+C158))/(B158-C158)/(1+B158)^$F$14-$B$15+$B$16)/$B$17</f>
        <v>1987.6822170902058</v>
      </c>
      <c r="F158" s="304"/>
      <c r="G158" s="304"/>
      <c r="H158" s="304"/>
      <c r="I158" s="304"/>
      <c r="J158" s="304"/>
      <c r="K158" s="304"/>
      <c r="L158" s="304"/>
      <c r="M158" s="304"/>
      <c r="N158" s="304"/>
      <c r="O158" s="304"/>
      <c r="P158" s="304"/>
      <c r="Q158" s="304"/>
    </row>
    <row r="159" spans="1:17" ht="13.8" x14ac:dyDescent="0.3">
      <c r="A159" s="388">
        <f t="shared" si="9"/>
        <v>137</v>
      </c>
      <c r="B159" s="389">
        <f t="shared" ca="1" si="10"/>
        <v>0.12488826079369619</v>
      </c>
      <c r="C159" s="389">
        <f t="shared" ca="1" si="11"/>
        <v>3.9728518087382252E-2</v>
      </c>
      <c r="D159" s="390">
        <f t="shared" ca="1" si="12"/>
        <v>1.0724350426658871</v>
      </c>
      <c r="E159" s="391" cm="1">
        <f t="array" aca="1" ref="E159" ca="1">(SUMPRODUCT($B$13:$F$13*D159/(1+B159)^$B$14:$F$14)+($F$13*D159*(1+C159))/(B159-C159)/(1+B159)^$F$14-$B$15+$B$16)/$B$17</f>
        <v>1384.9537395586897</v>
      </c>
      <c r="F159" s="304"/>
      <c r="G159" s="304"/>
      <c r="H159" s="304"/>
      <c r="I159" s="304"/>
      <c r="J159" s="304"/>
      <c r="K159" s="304"/>
      <c r="L159" s="304"/>
      <c r="M159" s="304"/>
      <c r="N159" s="304"/>
      <c r="O159" s="304"/>
      <c r="P159" s="304"/>
      <c r="Q159" s="304"/>
    </row>
    <row r="160" spans="1:17" ht="13.8" x14ac:dyDescent="0.3">
      <c r="A160" s="388">
        <f t="shared" si="9"/>
        <v>138</v>
      </c>
      <c r="B160" s="389">
        <f t="shared" ca="1" si="10"/>
        <v>0.11958213499369971</v>
      </c>
      <c r="C160" s="389">
        <f t="shared" ca="1" si="11"/>
        <v>5.1695694352116989E-2</v>
      </c>
      <c r="D160" s="390">
        <f t="shared" ca="1" si="12"/>
        <v>1.069725552361986</v>
      </c>
      <c r="E160" s="391" cm="1">
        <f t="array" aca="1" ref="E160" ca="1">(SUMPRODUCT($B$13:$F$13*D160/(1+B160)^$B$14:$F$14)+($F$13*D160*(1+C160))/(B160-C160)/(1+B160)^$F$14-$B$15+$B$16)/$B$17</f>
        <v>1703.738528576315</v>
      </c>
      <c r="F160" s="304"/>
      <c r="G160" s="304"/>
      <c r="H160" s="304"/>
      <c r="I160" s="304"/>
      <c r="J160" s="304"/>
      <c r="K160" s="304"/>
      <c r="L160" s="304"/>
      <c r="M160" s="304"/>
      <c r="N160" s="304"/>
      <c r="O160" s="304"/>
      <c r="P160" s="304"/>
      <c r="Q160" s="304"/>
    </row>
    <row r="161" spans="1:17" ht="13.8" x14ac:dyDescent="0.3">
      <c r="A161" s="388">
        <f t="shared" si="9"/>
        <v>139</v>
      </c>
      <c r="B161" s="389">
        <f t="shared" ca="1" si="10"/>
        <v>0.12259411030373675</v>
      </c>
      <c r="C161" s="389">
        <f t="shared" ca="1" si="11"/>
        <v>4.6073243831385273E-2</v>
      </c>
      <c r="D161" s="390">
        <f t="shared" ca="1" si="12"/>
        <v>1.0531490095151324</v>
      </c>
      <c r="E161" s="391" cm="1">
        <f t="array" aca="1" ref="E161" ca="1">(SUMPRODUCT($B$13:$F$13*D161/(1+B161)^$B$14:$F$14)+($F$13*D161*(1+C161))/(B161-C161)/(1+B161)^$F$14-$B$15+$B$16)/$B$17</f>
        <v>1498.4013827833696</v>
      </c>
      <c r="F161" s="304"/>
      <c r="G161" s="304"/>
      <c r="H161" s="304"/>
      <c r="I161" s="304"/>
      <c r="J161" s="304"/>
      <c r="K161" s="304"/>
      <c r="L161" s="304"/>
      <c r="M161" s="304"/>
      <c r="N161" s="304"/>
      <c r="O161" s="304"/>
      <c r="P161" s="304"/>
      <c r="Q161" s="304"/>
    </row>
    <row r="162" spans="1:17" ht="13.8" x14ac:dyDescent="0.3">
      <c r="A162" s="388">
        <f t="shared" si="9"/>
        <v>140</v>
      </c>
      <c r="B162" s="389">
        <f t="shared" ca="1" si="10"/>
        <v>0.11403522142366462</v>
      </c>
      <c r="C162" s="389">
        <f t="shared" ca="1" si="11"/>
        <v>5.7684799666997438E-2</v>
      </c>
      <c r="D162" s="390">
        <f t="shared" ca="1" si="12"/>
        <v>1.0138645107471969</v>
      </c>
      <c r="E162" s="391" cm="1">
        <f t="array" aca="1" ref="E162" ca="1">(SUMPRODUCT($B$13:$F$13*D162/(1+B162)^$B$14:$F$14)+($F$13*D162*(1+C162))/(B162-C162)/(1+B162)^$F$14-$B$15+$B$16)/$B$17</f>
        <v>1932.6508522954803</v>
      </c>
      <c r="F162" s="304"/>
      <c r="G162" s="304"/>
      <c r="H162" s="304"/>
      <c r="I162" s="304"/>
      <c r="J162" s="304"/>
      <c r="K162" s="304"/>
      <c r="L162" s="304"/>
      <c r="M162" s="304"/>
      <c r="N162" s="304"/>
      <c r="O162" s="304"/>
      <c r="P162" s="304"/>
      <c r="Q162" s="304"/>
    </row>
    <row r="163" spans="1:17" ht="13.8" x14ac:dyDescent="0.3">
      <c r="A163" s="388">
        <f t="shared" si="9"/>
        <v>141</v>
      </c>
      <c r="B163" s="389">
        <f t="shared" ca="1" si="10"/>
        <v>0.12360476846271393</v>
      </c>
      <c r="C163" s="389">
        <f t="shared" ca="1" si="11"/>
        <v>3.9277859031325732E-2</v>
      </c>
      <c r="D163" s="390">
        <f t="shared" ca="1" si="12"/>
        <v>0.96233951371714599</v>
      </c>
      <c r="E163" s="391" cm="1">
        <f t="array" aca="1" ref="E163" ca="1">(SUMPRODUCT($B$13:$F$13*D163/(1+B163)^$B$14:$F$14)+($F$13*D163*(1+C163))/(B163-C163)/(1+B163)^$F$14-$B$15+$B$16)/$B$17</f>
        <v>1253.2726572994918</v>
      </c>
      <c r="F163" s="304"/>
      <c r="G163" s="304"/>
      <c r="H163" s="304"/>
      <c r="I163" s="304"/>
      <c r="J163" s="304"/>
      <c r="K163" s="304"/>
      <c r="L163" s="304"/>
      <c r="M163" s="304"/>
      <c r="N163" s="304"/>
      <c r="O163" s="304"/>
      <c r="P163" s="304"/>
      <c r="Q163" s="304"/>
    </row>
    <row r="164" spans="1:17" ht="13.8" x14ac:dyDescent="0.3">
      <c r="A164" s="388">
        <f t="shared" si="9"/>
        <v>142</v>
      </c>
      <c r="B164" s="389">
        <f t="shared" ca="1" si="10"/>
        <v>0.1381846912902307</v>
      </c>
      <c r="C164" s="389">
        <f t="shared" ca="1" si="11"/>
        <v>5.0552889346592238E-2</v>
      </c>
      <c r="D164" s="390">
        <f t="shared" ca="1" si="12"/>
        <v>1.0394141682200255</v>
      </c>
      <c r="E164" s="391" cm="1">
        <f t="array" aca="1" ref="E164" ca="1">(SUMPRODUCT($B$13:$F$13*D164/(1+B164)^$B$14:$F$14)+($F$13*D164*(1+C164))/(B164-C164)/(1+B164)^$F$14-$B$15+$B$16)/$B$17</f>
        <v>1255.4031626991177</v>
      </c>
      <c r="F164" s="304"/>
      <c r="G164" s="304"/>
      <c r="H164" s="304"/>
      <c r="I164" s="304"/>
      <c r="J164" s="304"/>
      <c r="K164" s="304"/>
      <c r="L164" s="304"/>
      <c r="M164" s="304"/>
      <c r="N164" s="304"/>
      <c r="O164" s="304"/>
      <c r="P164" s="304"/>
      <c r="Q164" s="304"/>
    </row>
    <row r="165" spans="1:17" ht="13.8" x14ac:dyDescent="0.3">
      <c r="A165" s="388">
        <f t="shared" si="9"/>
        <v>143</v>
      </c>
      <c r="B165" s="389">
        <f t="shared" ca="1" si="10"/>
        <v>0.12118797066781921</v>
      </c>
      <c r="C165" s="389">
        <f t="shared" ca="1" si="11"/>
        <v>4.156932866439747E-2</v>
      </c>
      <c r="D165" s="390">
        <f t="shared" ca="1" si="12"/>
        <v>1.134948341777732</v>
      </c>
      <c r="E165" s="391" cm="1">
        <f t="array" aca="1" ref="E165" ca="1">(SUMPRODUCT($B$13:$F$13*D165/(1+B165)^$B$14:$F$14)+($F$13*D165*(1+C165))/(B165-C165)/(1+B165)^$F$14-$B$15+$B$16)/$B$17</f>
        <v>1572.0774371400012</v>
      </c>
      <c r="F165" s="304"/>
      <c r="G165" s="304"/>
      <c r="H165" s="304"/>
      <c r="I165" s="304"/>
      <c r="J165" s="304"/>
      <c r="K165" s="304"/>
      <c r="L165" s="304"/>
      <c r="M165" s="304"/>
      <c r="N165" s="304"/>
      <c r="O165" s="304"/>
      <c r="P165" s="304"/>
      <c r="Q165" s="304"/>
    </row>
    <row r="166" spans="1:17" ht="13.8" x14ac:dyDescent="0.3">
      <c r="A166" s="388">
        <f t="shared" si="9"/>
        <v>144</v>
      </c>
      <c r="B166" s="389">
        <f t="shared" ca="1" si="10"/>
        <v>0.13657894837770287</v>
      </c>
      <c r="C166" s="389">
        <f t="shared" ca="1" si="11"/>
        <v>5.4171274683350139E-2</v>
      </c>
      <c r="D166" s="390">
        <f t="shared" ca="1" si="12"/>
        <v>1.0019820802659096</v>
      </c>
      <c r="E166" s="391" cm="1">
        <f t="array" aca="1" ref="E166" ca="1">(SUMPRODUCT($B$13:$F$13*D166/(1+B166)^$B$14:$F$14)+($F$13*D166*(1+C166))/(B166-C166)/(1+B166)^$F$14-$B$15+$B$16)/$B$17</f>
        <v>1278.6797103810688</v>
      </c>
      <c r="F166" s="304"/>
      <c r="G166" s="304"/>
      <c r="H166" s="304"/>
      <c r="I166" s="304"/>
      <c r="J166" s="304"/>
      <c r="K166" s="304"/>
      <c r="L166" s="304"/>
      <c r="M166" s="304"/>
      <c r="N166" s="304"/>
      <c r="O166" s="304"/>
      <c r="P166" s="304"/>
      <c r="Q166" s="304"/>
    </row>
    <row r="167" spans="1:17" ht="13.8" x14ac:dyDescent="0.3">
      <c r="A167" s="388">
        <f t="shared" si="9"/>
        <v>145</v>
      </c>
      <c r="B167" s="389">
        <f t="shared" ca="1" si="10"/>
        <v>0.12262374995011695</v>
      </c>
      <c r="C167" s="389">
        <f t="shared" ca="1" si="11"/>
        <v>4.9399779785229081E-2</v>
      </c>
      <c r="D167" s="390">
        <f t="shared" ca="1" si="12"/>
        <v>1.0276460124754687</v>
      </c>
      <c r="E167" s="391" cm="1">
        <f t="array" aca="1" ref="E167" ca="1">(SUMPRODUCT($B$13:$F$13*D167/(1+B167)^$B$14:$F$14)+($F$13*D167*(1+C167))/(B167-C167)/(1+B167)^$F$14-$B$15+$B$16)/$B$17</f>
        <v>1516.8005946016688</v>
      </c>
      <c r="F167" s="304"/>
      <c r="G167" s="304"/>
      <c r="H167" s="304"/>
      <c r="I167" s="304"/>
      <c r="J167" s="304"/>
      <c r="K167" s="304"/>
      <c r="L167" s="304"/>
      <c r="M167" s="304"/>
      <c r="N167" s="304"/>
      <c r="O167" s="304"/>
      <c r="P167" s="304"/>
      <c r="Q167" s="304"/>
    </row>
    <row r="168" spans="1:17" ht="13.8" x14ac:dyDescent="0.3">
      <c r="A168" s="388">
        <f t="shared" si="9"/>
        <v>146</v>
      </c>
      <c r="B168" s="389">
        <f t="shared" ca="1" si="10"/>
        <v>0.11953543380429746</v>
      </c>
      <c r="C168" s="389">
        <f t="shared" ca="1" si="11"/>
        <v>4.929907597107825E-2</v>
      </c>
      <c r="D168" s="390">
        <f t="shared" ca="1" si="12"/>
        <v>0.9700432348312773</v>
      </c>
      <c r="E168" s="391" cm="1">
        <f t="array" aca="1" ref="E168" ca="1">(SUMPRODUCT($B$13:$F$13*D168/(1+B168)^$B$14:$F$14)+($F$13*D168*(1+C168))/(B168-C168)/(1+B168)^$F$14-$B$15+$B$16)/$B$17</f>
        <v>1496.0675460884511</v>
      </c>
      <c r="F168" s="304"/>
      <c r="G168" s="304"/>
      <c r="H168" s="304"/>
      <c r="I168" s="304"/>
      <c r="J168" s="304"/>
      <c r="K168" s="304"/>
      <c r="L168" s="304"/>
      <c r="M168" s="304"/>
      <c r="N168" s="304"/>
      <c r="O168" s="304"/>
      <c r="P168" s="304"/>
      <c r="Q168" s="304"/>
    </row>
    <row r="169" spans="1:17" ht="13.8" x14ac:dyDescent="0.3">
      <c r="A169" s="388">
        <f t="shared" si="9"/>
        <v>147</v>
      </c>
      <c r="B169" s="389">
        <f t="shared" ca="1" si="10"/>
        <v>0.11650479790483154</v>
      </c>
      <c r="C169" s="389">
        <f t="shared" ca="1" si="11"/>
        <v>5.4062013780238838E-2</v>
      </c>
      <c r="D169" s="390">
        <f t="shared" ca="1" si="12"/>
        <v>0.95882185752206472</v>
      </c>
      <c r="E169" s="391" cm="1">
        <f t="array" aca="1" ref="E169" ca="1">(SUMPRODUCT($B$13:$F$13*D169/(1+B169)^$B$14:$F$14)+($F$13*D169*(1+C169))/(B169-C169)/(1+B169)^$F$14-$B$15+$B$16)/$B$17</f>
        <v>1653.7052926368081</v>
      </c>
      <c r="F169" s="304"/>
      <c r="G169" s="304"/>
      <c r="H169" s="304"/>
      <c r="I169" s="304"/>
      <c r="J169" s="304"/>
      <c r="K169" s="304"/>
      <c r="L169" s="304"/>
      <c r="M169" s="304"/>
      <c r="N169" s="304"/>
      <c r="O169" s="304"/>
      <c r="P169" s="304"/>
      <c r="Q169" s="304"/>
    </row>
    <row r="170" spans="1:17" ht="13.8" x14ac:dyDescent="0.3">
      <c r="A170" s="388">
        <f t="shared" si="9"/>
        <v>148</v>
      </c>
      <c r="B170" s="389">
        <f t="shared" ca="1" si="10"/>
        <v>0.1184710045846603</v>
      </c>
      <c r="C170" s="389">
        <f t="shared" ca="1" si="11"/>
        <v>5.3667025422468186E-2</v>
      </c>
      <c r="D170" s="390">
        <f t="shared" ca="1" si="12"/>
        <v>0.97591278579726459</v>
      </c>
      <c r="E170" s="391" cm="1">
        <f t="array" aca="1" ref="E170" ca="1">(SUMPRODUCT($B$13:$F$13*D170/(1+B170)^$B$14:$F$14)+($F$13*D170*(1+C170))/(B170-C170)/(1+B170)^$F$14-$B$15+$B$16)/$B$17</f>
        <v>1619.8992696652533</v>
      </c>
      <c r="F170" s="304"/>
      <c r="G170" s="304"/>
      <c r="H170" s="304"/>
      <c r="I170" s="304"/>
      <c r="J170" s="304"/>
      <c r="K170" s="304"/>
      <c r="L170" s="304"/>
      <c r="M170" s="304"/>
      <c r="N170" s="304"/>
      <c r="O170" s="304"/>
      <c r="P170" s="304"/>
      <c r="Q170" s="304"/>
    </row>
    <row r="171" spans="1:17" ht="13.8" x14ac:dyDescent="0.3">
      <c r="A171" s="388">
        <f t="shared" si="9"/>
        <v>149</v>
      </c>
      <c r="B171" s="389">
        <f t="shared" ca="1" si="10"/>
        <v>0.10230627606605103</v>
      </c>
      <c r="C171" s="389">
        <f t="shared" ca="1" si="11"/>
        <v>4.9308624880739255E-2</v>
      </c>
      <c r="D171" s="390">
        <f t="shared" ca="1" si="12"/>
        <v>0.89829086827071469</v>
      </c>
      <c r="E171" s="391" cm="1">
        <f t="array" aca="1" ref="E171" ca="1">(SUMPRODUCT($B$13:$F$13*D171/(1+B171)^$B$14:$F$14)+($F$13*D171*(1+C171))/(B171-C171)/(1+B171)^$F$14-$B$15+$B$16)/$B$17</f>
        <v>1873.7960337576214</v>
      </c>
      <c r="F171" s="304"/>
      <c r="G171" s="304"/>
      <c r="H171" s="304"/>
      <c r="I171" s="304"/>
      <c r="J171" s="304"/>
      <c r="K171" s="304"/>
      <c r="L171" s="304"/>
      <c r="M171" s="304"/>
      <c r="N171" s="304"/>
      <c r="O171" s="304"/>
      <c r="P171" s="304"/>
      <c r="Q171" s="304"/>
    </row>
    <row r="172" spans="1:17" ht="13.8" x14ac:dyDescent="0.3">
      <c r="A172" s="388">
        <f t="shared" si="9"/>
        <v>150</v>
      </c>
      <c r="B172" s="389">
        <f t="shared" ca="1" si="10"/>
        <v>0.13788981268713013</v>
      </c>
      <c r="C172" s="389">
        <f t="shared" ca="1" si="11"/>
        <v>5.7496778202654204E-2</v>
      </c>
      <c r="D172" s="390">
        <f t="shared" ca="1" si="12"/>
        <v>0.95350386196392278</v>
      </c>
      <c r="E172" s="391" cm="1">
        <f t="array" aca="1" ref="E172" ca="1">(SUMPRODUCT($B$13:$F$13*D172/(1+B172)^$B$14:$F$14)+($F$13*D172*(1+C172))/(B172-C172)/(1+B172)^$F$14-$B$15+$B$16)/$B$17</f>
        <v>1235.0240576922724</v>
      </c>
      <c r="F172" s="304"/>
      <c r="G172" s="304"/>
      <c r="H172" s="304"/>
      <c r="I172" s="304"/>
      <c r="J172" s="304"/>
      <c r="K172" s="304"/>
      <c r="L172" s="304"/>
      <c r="M172" s="304"/>
      <c r="N172" s="304"/>
      <c r="O172" s="304"/>
      <c r="P172" s="304"/>
      <c r="Q172" s="304"/>
    </row>
    <row r="173" spans="1:17" ht="13.8" x14ac:dyDescent="0.3">
      <c r="A173" s="388">
        <f t="shared" si="9"/>
        <v>151</v>
      </c>
      <c r="B173" s="389">
        <f t="shared" ca="1" si="10"/>
        <v>0.12066194289232757</v>
      </c>
      <c r="C173" s="389">
        <f t="shared" ca="1" si="11"/>
        <v>4.6496350309233325E-2</v>
      </c>
      <c r="D173" s="390">
        <f t="shared" ca="1" si="12"/>
        <v>1.0022152653882928</v>
      </c>
      <c r="E173" s="391" cm="1">
        <f t="array" aca="1" ref="E173" ca="1">(SUMPRODUCT($B$13:$F$13*D173/(1+B173)^$B$14:$F$14)+($F$13*D173*(1+C173))/(B173-C173)/(1+B173)^$F$14-$B$15+$B$16)/$B$17</f>
        <v>1471.2287380325165</v>
      </c>
      <c r="F173" s="304"/>
      <c r="G173" s="304"/>
      <c r="H173" s="304"/>
      <c r="I173" s="304"/>
      <c r="J173" s="304"/>
      <c r="K173" s="304"/>
      <c r="L173" s="304"/>
      <c r="M173" s="304"/>
      <c r="N173" s="304"/>
      <c r="O173" s="304"/>
      <c r="P173" s="304"/>
      <c r="Q173" s="304"/>
    </row>
    <row r="174" spans="1:17" ht="13.8" x14ac:dyDescent="0.3">
      <c r="A174" s="388">
        <f t="shared" si="9"/>
        <v>152</v>
      </c>
      <c r="B174" s="389">
        <f t="shared" ca="1" si="10"/>
        <v>0.13906616565678473</v>
      </c>
      <c r="C174" s="389">
        <f t="shared" ca="1" si="11"/>
        <v>5.3863933173838294E-2</v>
      </c>
      <c r="D174" s="390">
        <f t="shared" ca="1" si="12"/>
        <v>1.0814337693746334</v>
      </c>
      <c r="E174" s="391" cm="1">
        <f t="array" aca="1" ref="E174" ca="1">(SUMPRODUCT($B$13:$F$13*D174/(1+B174)^$B$14:$F$14)+($F$13*D174*(1+C174))/(B174-C174)/(1+B174)^$F$14-$B$15+$B$16)/$B$17</f>
        <v>1335.3283044570064</v>
      </c>
      <c r="F174" s="304"/>
      <c r="G174" s="304"/>
      <c r="H174" s="304"/>
      <c r="I174" s="304"/>
      <c r="J174" s="304"/>
      <c r="K174" s="304"/>
      <c r="L174" s="304"/>
      <c r="M174" s="304"/>
      <c r="N174" s="304"/>
      <c r="O174" s="304"/>
      <c r="P174" s="304"/>
      <c r="Q174" s="304"/>
    </row>
    <row r="175" spans="1:17" ht="13.8" x14ac:dyDescent="0.3">
      <c r="A175" s="388">
        <f t="shared" si="9"/>
        <v>153</v>
      </c>
      <c r="B175" s="389">
        <f t="shared" ca="1" si="10"/>
        <v>0.1154110159374747</v>
      </c>
      <c r="C175" s="389">
        <f t="shared" ca="1" si="11"/>
        <v>5.5006333505490543E-2</v>
      </c>
      <c r="D175" s="390">
        <f t="shared" ca="1" si="12"/>
        <v>1.00692293000248</v>
      </c>
      <c r="E175" s="391" cm="1">
        <f t="array" aca="1" ref="E175" ca="1">(SUMPRODUCT($B$13:$F$13*D175/(1+B175)^$B$14:$F$14)+($F$13*D175*(1+C175))/(B175-C175)/(1+B175)^$F$14-$B$15+$B$16)/$B$17</f>
        <v>1796.811114478443</v>
      </c>
      <c r="F175" s="304"/>
      <c r="G175" s="304"/>
      <c r="H175" s="304"/>
      <c r="I175" s="304"/>
      <c r="J175" s="304"/>
      <c r="K175" s="304"/>
      <c r="L175" s="304"/>
      <c r="M175" s="304"/>
      <c r="N175" s="304"/>
      <c r="O175" s="304"/>
      <c r="P175" s="304"/>
      <c r="Q175" s="304"/>
    </row>
    <row r="176" spans="1:17" ht="13.8" x14ac:dyDescent="0.3">
      <c r="A176" s="388">
        <f t="shared" si="9"/>
        <v>154</v>
      </c>
      <c r="B176" s="389">
        <f t="shared" ca="1" si="10"/>
        <v>0.12832357713106474</v>
      </c>
      <c r="C176" s="389">
        <f t="shared" ca="1" si="11"/>
        <v>4.4580950589286621E-2</v>
      </c>
      <c r="D176" s="390">
        <f t="shared" ca="1" si="12"/>
        <v>1.0697779376648477</v>
      </c>
      <c r="E176" s="391" cm="1">
        <f t="array" aca="1" ref="E176" ca="1">(SUMPRODUCT($B$13:$F$13*D176/(1+B176)^$B$14:$F$14)+($F$13*D176*(1+C176))/(B176-C176)/(1+B176)^$F$14-$B$15+$B$16)/$B$17</f>
        <v>1385.750460979518</v>
      </c>
      <c r="F176" s="304"/>
      <c r="G176" s="304"/>
      <c r="H176" s="304"/>
      <c r="I176" s="304"/>
      <c r="J176" s="304"/>
      <c r="K176" s="304"/>
      <c r="L176" s="304"/>
      <c r="M176" s="304"/>
      <c r="N176" s="304"/>
      <c r="O176" s="304"/>
      <c r="P176" s="304"/>
      <c r="Q176" s="304"/>
    </row>
    <row r="177" spans="1:17" ht="13.8" x14ac:dyDescent="0.3">
      <c r="A177" s="388">
        <f t="shared" si="9"/>
        <v>155</v>
      </c>
      <c r="B177" s="389">
        <f t="shared" ca="1" si="10"/>
        <v>0.12470473121066042</v>
      </c>
      <c r="C177" s="389">
        <f t="shared" ca="1" si="11"/>
        <v>5.899335650144287E-2</v>
      </c>
      <c r="D177" s="390">
        <f t="shared" ca="1" si="12"/>
        <v>1.0726879622209533</v>
      </c>
      <c r="E177" s="391" cm="1">
        <f t="array" aca="1" ref="E177" ca="1">(SUMPRODUCT($B$13:$F$13*D177/(1+B177)^$B$14:$F$14)+($F$13*D177*(1+C177))/(B177-C177)/(1+B177)^$F$14-$B$15+$B$16)/$B$17</f>
        <v>1728.831826114068</v>
      </c>
      <c r="F177" s="304"/>
      <c r="G177" s="304"/>
      <c r="H177" s="304"/>
      <c r="I177" s="304"/>
      <c r="J177" s="304"/>
      <c r="K177" s="304"/>
      <c r="L177" s="304"/>
      <c r="M177" s="304"/>
      <c r="N177" s="304"/>
      <c r="O177" s="304"/>
      <c r="P177" s="304"/>
      <c r="Q177" s="304"/>
    </row>
    <row r="178" spans="1:17" ht="13.8" x14ac:dyDescent="0.3">
      <c r="A178" s="388">
        <f t="shared" si="9"/>
        <v>156</v>
      </c>
      <c r="B178" s="389">
        <f t="shared" ca="1" si="10"/>
        <v>0.14924848766181764</v>
      </c>
      <c r="C178" s="389">
        <f t="shared" ca="1" si="11"/>
        <v>3.729557361333713E-2</v>
      </c>
      <c r="D178" s="390">
        <f t="shared" ca="1" si="12"/>
        <v>1.0474041993649053</v>
      </c>
      <c r="E178" s="391" cm="1">
        <f t="array" aca="1" ref="E178" ca="1">(SUMPRODUCT($B$13:$F$13*D178/(1+B178)^$B$14:$F$14)+($F$13*D178*(1+C178))/(B178-C178)/(1+B178)^$F$14-$B$15+$B$16)/$B$17</f>
        <v>1002.1975848850052</v>
      </c>
      <c r="F178" s="304"/>
      <c r="G178" s="304"/>
      <c r="H178" s="304"/>
      <c r="I178" s="304"/>
      <c r="J178" s="304"/>
      <c r="K178" s="304"/>
      <c r="L178" s="304"/>
      <c r="M178" s="304"/>
      <c r="N178" s="304"/>
      <c r="O178" s="304"/>
      <c r="P178" s="304"/>
      <c r="Q178" s="304"/>
    </row>
    <row r="179" spans="1:17" ht="13.8" x14ac:dyDescent="0.3">
      <c r="A179" s="388">
        <f t="shared" si="9"/>
        <v>157</v>
      </c>
      <c r="B179" s="389">
        <f t="shared" ca="1" si="10"/>
        <v>0.13384608980856333</v>
      </c>
      <c r="C179" s="389">
        <f t="shared" ca="1" si="11"/>
        <v>6.6529845028561629E-2</v>
      </c>
      <c r="D179" s="390">
        <f t="shared" ca="1" si="12"/>
        <v>0.98407202456255294</v>
      </c>
      <c r="E179" s="391" cm="1">
        <f t="array" aca="1" ref="E179" ca="1">(SUMPRODUCT($B$13:$F$13*D179/(1+B179)^$B$14:$F$14)+($F$13*D179*(1+C179))/(B179-C179)/(1+B179)^$F$14-$B$15+$B$16)/$B$17</f>
        <v>1504.6657760635314</v>
      </c>
      <c r="F179" s="304"/>
      <c r="G179" s="304"/>
      <c r="H179" s="304"/>
      <c r="I179" s="304"/>
      <c r="J179" s="304"/>
      <c r="K179" s="304"/>
      <c r="L179" s="304"/>
      <c r="M179" s="304"/>
      <c r="N179" s="304"/>
      <c r="O179" s="304"/>
      <c r="P179" s="304"/>
      <c r="Q179" s="304"/>
    </row>
    <row r="180" spans="1:17" ht="13.8" x14ac:dyDescent="0.3">
      <c r="A180" s="388">
        <f t="shared" si="9"/>
        <v>158</v>
      </c>
      <c r="B180" s="389">
        <f t="shared" ca="1" si="10"/>
        <v>0.11457115476767547</v>
      </c>
      <c r="C180" s="389">
        <f t="shared" ca="1" si="11"/>
        <v>6.4893364354870656E-2</v>
      </c>
      <c r="D180" s="390">
        <f t="shared" ca="1" si="12"/>
        <v>1.0034704775095737</v>
      </c>
      <c r="E180" s="391" cm="1">
        <f t="array" aca="1" ref="E180" ca="1">(SUMPRODUCT($B$13:$F$13*D180/(1+B180)^$B$14:$F$14)+($F$13*D180*(1+C180))/(B180-C180)/(1+B180)^$F$14-$B$15+$B$16)/$B$17</f>
        <v>2136.4518552040072</v>
      </c>
      <c r="F180" s="304"/>
      <c r="G180" s="304"/>
      <c r="H180" s="304"/>
      <c r="I180" s="304"/>
      <c r="J180" s="304"/>
      <c r="K180" s="304"/>
      <c r="L180" s="304"/>
      <c r="M180" s="304"/>
      <c r="N180" s="304"/>
      <c r="O180" s="304"/>
      <c r="P180" s="304"/>
      <c r="Q180" s="304"/>
    </row>
    <row r="181" spans="1:17" ht="13.8" x14ac:dyDescent="0.3">
      <c r="A181" s="388">
        <f t="shared" si="9"/>
        <v>159</v>
      </c>
      <c r="B181" s="389">
        <f t="shared" ca="1" si="10"/>
        <v>0.11495002594828227</v>
      </c>
      <c r="C181" s="389">
        <f t="shared" ca="1" si="11"/>
        <v>4.5381913925475394E-2</v>
      </c>
      <c r="D181" s="390">
        <f t="shared" ca="1" si="12"/>
        <v>1.0005967295817724</v>
      </c>
      <c r="E181" s="391" cm="1">
        <f t="array" aca="1" ref="E181" ca="1">(SUMPRODUCT($B$13:$F$13*D181/(1+B181)^$B$14:$F$14)+($F$13*D181*(1+C181))/(B181-C181)/(1+B181)^$F$14-$B$15+$B$16)/$B$17</f>
        <v>1580.6927683722809</v>
      </c>
      <c r="F181" s="304"/>
      <c r="G181" s="304"/>
      <c r="H181" s="304"/>
      <c r="I181" s="304"/>
      <c r="J181" s="304"/>
      <c r="K181" s="304"/>
      <c r="L181" s="304"/>
      <c r="M181" s="304"/>
      <c r="N181" s="304"/>
      <c r="O181" s="304"/>
      <c r="P181" s="304"/>
      <c r="Q181" s="304"/>
    </row>
    <row r="182" spans="1:17" ht="13.8" x14ac:dyDescent="0.3">
      <c r="A182" s="388">
        <f t="shared" si="9"/>
        <v>160</v>
      </c>
      <c r="B182" s="389">
        <f t="shared" ca="1" si="10"/>
        <v>0.12165225154564778</v>
      </c>
      <c r="C182" s="389">
        <f t="shared" ca="1" si="11"/>
        <v>4.7419552261524521E-2</v>
      </c>
      <c r="D182" s="390">
        <f t="shared" ca="1" si="12"/>
        <v>0.88570673390596522</v>
      </c>
      <c r="E182" s="391" cm="1">
        <f t="array" aca="1" ref="E182" ca="1">(SUMPRODUCT($B$13:$F$13*D182/(1+B182)^$B$14:$F$14)+($F$13*D182*(1+C182))/(B182-C182)/(1+B182)^$F$14-$B$15+$B$16)/$B$17</f>
        <v>1289.5456680233005</v>
      </c>
      <c r="F182" s="304"/>
      <c r="G182" s="304"/>
      <c r="H182" s="304"/>
      <c r="I182" s="304"/>
      <c r="J182" s="304"/>
      <c r="K182" s="304"/>
      <c r="L182" s="304"/>
      <c r="M182" s="304"/>
      <c r="N182" s="304"/>
      <c r="O182" s="304"/>
      <c r="P182" s="304"/>
      <c r="Q182" s="304"/>
    </row>
    <row r="183" spans="1:17" ht="13.8" x14ac:dyDescent="0.3">
      <c r="A183" s="388">
        <f t="shared" si="9"/>
        <v>161</v>
      </c>
      <c r="B183" s="389">
        <f t="shared" ca="1" si="10"/>
        <v>0.13429467501496772</v>
      </c>
      <c r="C183" s="389">
        <f t="shared" ca="1" si="11"/>
        <v>4.7127290326113194E-2</v>
      </c>
      <c r="D183" s="390">
        <f t="shared" ca="1" si="12"/>
        <v>0.94294517869985994</v>
      </c>
      <c r="E183" s="391" cm="1">
        <f t="array" aca="1" ref="E183" ca="1">(SUMPRODUCT($B$13:$F$13*D183/(1+B183)^$B$14:$F$14)+($F$13*D183*(1+C183))/(B183-C183)/(1+B183)^$F$14-$B$15+$B$16)/$B$17</f>
        <v>1153.5930956085458</v>
      </c>
      <c r="F183" s="304"/>
      <c r="G183" s="304"/>
      <c r="H183" s="304"/>
      <c r="I183" s="304"/>
      <c r="J183" s="304"/>
      <c r="K183" s="304"/>
      <c r="L183" s="304"/>
      <c r="M183" s="304"/>
      <c r="N183" s="304"/>
      <c r="O183" s="304"/>
      <c r="P183" s="304"/>
      <c r="Q183" s="304"/>
    </row>
    <row r="184" spans="1:17" ht="13.8" x14ac:dyDescent="0.3">
      <c r="A184" s="388">
        <f t="shared" si="9"/>
        <v>162</v>
      </c>
      <c r="B184" s="389">
        <f t="shared" ca="1" si="10"/>
        <v>0.1260862404066258</v>
      </c>
      <c r="C184" s="389">
        <f t="shared" ca="1" si="11"/>
        <v>6.187495342510841E-2</v>
      </c>
      <c r="D184" s="390">
        <f t="shared" ca="1" si="12"/>
        <v>1.1752165553773026</v>
      </c>
      <c r="E184" s="391" cm="1">
        <f t="array" aca="1" ref="E184" ca="1">(SUMPRODUCT($B$13:$F$13*D184/(1+B184)^$B$14:$F$14)+($F$13*D184*(1+C184))/(B184-C184)/(1+B184)^$F$14-$B$15+$B$16)/$B$17</f>
        <v>1928.497202200311</v>
      </c>
      <c r="F184" s="304"/>
      <c r="G184" s="304"/>
      <c r="H184" s="304"/>
      <c r="I184" s="304"/>
      <c r="J184" s="304"/>
      <c r="K184" s="304"/>
      <c r="L184" s="304"/>
      <c r="M184" s="304"/>
      <c r="N184" s="304"/>
      <c r="O184" s="304"/>
      <c r="P184" s="304"/>
      <c r="Q184" s="304"/>
    </row>
    <row r="185" spans="1:17" ht="13.8" x14ac:dyDescent="0.3">
      <c r="A185" s="388">
        <f t="shared" si="9"/>
        <v>163</v>
      </c>
      <c r="B185" s="389">
        <f t="shared" ca="1" si="10"/>
        <v>0.12559608778217485</v>
      </c>
      <c r="C185" s="389">
        <f t="shared" ca="1" si="11"/>
        <v>5.1908117283621089E-2</v>
      </c>
      <c r="D185" s="390">
        <f t="shared" ca="1" si="12"/>
        <v>1.0770668162346977</v>
      </c>
      <c r="E185" s="391" cm="1">
        <f t="array" aca="1" ref="E185" ca="1">(SUMPRODUCT($B$13:$F$13*D185/(1+B185)^$B$14:$F$14)+($F$13*D185*(1+C185))/(B185-C185)/(1+B185)^$F$14-$B$15+$B$16)/$B$17</f>
        <v>1568.5011996290898</v>
      </c>
      <c r="F185" s="304"/>
      <c r="G185" s="304"/>
      <c r="H185" s="304"/>
      <c r="I185" s="304"/>
      <c r="J185" s="304"/>
      <c r="K185" s="304"/>
      <c r="L185" s="304"/>
      <c r="M185" s="304"/>
      <c r="N185" s="304"/>
      <c r="O185" s="304"/>
      <c r="P185" s="304"/>
      <c r="Q185" s="304"/>
    </row>
    <row r="186" spans="1:17" ht="13.8" x14ac:dyDescent="0.3">
      <c r="A186" s="388">
        <f t="shared" si="9"/>
        <v>164</v>
      </c>
      <c r="B186" s="389">
        <f t="shared" ca="1" si="10"/>
        <v>0.12105644890199184</v>
      </c>
      <c r="C186" s="389">
        <f t="shared" ca="1" si="11"/>
        <v>3.3072924054470751E-2</v>
      </c>
      <c r="D186" s="390">
        <f t="shared" ca="1" si="12"/>
        <v>1.0380276820635341</v>
      </c>
      <c r="E186" s="391" cm="1">
        <f t="array" aca="1" ref="E186" ca="1">(SUMPRODUCT($B$13:$F$13*D186/(1+B186)^$B$14:$F$14)+($F$13*D186*(1+C186))/(B186-C186)/(1+B186)^$F$14-$B$15+$B$16)/$B$17</f>
        <v>1319.032128558704</v>
      </c>
      <c r="F186" s="304"/>
      <c r="G186" s="304"/>
      <c r="H186" s="304"/>
      <c r="I186" s="304"/>
      <c r="J186" s="304"/>
      <c r="K186" s="304"/>
      <c r="L186" s="304"/>
      <c r="M186" s="304"/>
      <c r="N186" s="304"/>
      <c r="O186" s="304"/>
      <c r="P186" s="304"/>
      <c r="Q186" s="304"/>
    </row>
    <row r="187" spans="1:17" ht="13.8" x14ac:dyDescent="0.3">
      <c r="A187" s="388">
        <f t="shared" si="9"/>
        <v>165</v>
      </c>
      <c r="B187" s="389">
        <f t="shared" ca="1" si="10"/>
        <v>0.12552158148392908</v>
      </c>
      <c r="C187" s="389">
        <f t="shared" ca="1" si="11"/>
        <v>3.855207524403316E-2</v>
      </c>
      <c r="D187" s="390">
        <f t="shared" ca="1" si="12"/>
        <v>1.0770419411324121</v>
      </c>
      <c r="E187" s="391" cm="1">
        <f t="array" aca="1" ref="E187" ca="1">(SUMPRODUCT($B$13:$F$13*D187/(1+B187)^$B$14:$F$14)+($F$13*D187*(1+C187))/(B187-C187)/(1+B187)^$F$14-$B$15+$B$16)/$B$17</f>
        <v>1364.1839932323192</v>
      </c>
      <c r="F187" s="304"/>
      <c r="G187" s="304"/>
      <c r="H187" s="304"/>
      <c r="I187" s="304"/>
      <c r="J187" s="304"/>
      <c r="K187" s="304"/>
      <c r="L187" s="304"/>
      <c r="M187" s="304"/>
      <c r="N187" s="304"/>
      <c r="O187" s="304"/>
      <c r="P187" s="304"/>
      <c r="Q187" s="304"/>
    </row>
    <row r="188" spans="1:17" ht="13.8" x14ac:dyDescent="0.3">
      <c r="A188" s="388">
        <f t="shared" si="9"/>
        <v>166</v>
      </c>
      <c r="B188" s="389">
        <f t="shared" ca="1" si="10"/>
        <v>0.12108254103061777</v>
      </c>
      <c r="C188" s="389">
        <f t="shared" ca="1" si="11"/>
        <v>4.218978021788039E-2</v>
      </c>
      <c r="D188" s="390">
        <f t="shared" ca="1" si="12"/>
        <v>0.85997028280187016</v>
      </c>
      <c r="E188" s="391" cm="1">
        <f t="array" aca="1" ref="E188" ca="1">(SUMPRODUCT($B$13:$F$13*D188/(1+B188)^$B$14:$F$14)+($F$13*D188*(1+C188))/(B188-C188)/(1+B188)^$F$14-$B$15+$B$16)/$B$17</f>
        <v>1189.3238019311334</v>
      </c>
      <c r="F188" s="304"/>
      <c r="G188" s="304"/>
      <c r="H188" s="304"/>
      <c r="I188" s="304"/>
      <c r="J188" s="304"/>
      <c r="K188" s="304"/>
      <c r="L188" s="304"/>
      <c r="M188" s="304"/>
      <c r="N188" s="304"/>
      <c r="O188" s="304"/>
      <c r="P188" s="304"/>
      <c r="Q188" s="304"/>
    </row>
    <row r="189" spans="1:17" ht="13.8" x14ac:dyDescent="0.3">
      <c r="A189" s="388">
        <f t="shared" si="9"/>
        <v>167</v>
      </c>
      <c r="B189" s="389">
        <f t="shared" ca="1" si="10"/>
        <v>0.11457928958334382</v>
      </c>
      <c r="C189" s="389">
        <f t="shared" ca="1" si="11"/>
        <v>4.9735595574378823E-2</v>
      </c>
      <c r="D189" s="390">
        <f t="shared" ca="1" si="12"/>
        <v>1.0467657128060086</v>
      </c>
      <c r="E189" s="391" cm="1">
        <f t="array" aca="1" ref="E189" ca="1">(SUMPRODUCT($B$13:$F$13*D189/(1+B189)^$B$14:$F$14)+($F$13*D189*(1+C189))/(B189-C189)/(1+B189)^$F$14-$B$15+$B$16)/$B$17</f>
        <v>1762.0401221856964</v>
      </c>
      <c r="F189" s="304"/>
      <c r="G189" s="304"/>
      <c r="H189" s="304"/>
      <c r="I189" s="304"/>
      <c r="J189" s="304"/>
      <c r="K189" s="304"/>
      <c r="L189" s="304"/>
      <c r="M189" s="304"/>
      <c r="N189" s="304"/>
      <c r="O189" s="304"/>
      <c r="P189" s="304"/>
      <c r="Q189" s="304"/>
    </row>
    <row r="190" spans="1:17" ht="13.8" x14ac:dyDescent="0.3">
      <c r="A190" s="388">
        <f t="shared" si="9"/>
        <v>168</v>
      </c>
      <c r="B190" s="389">
        <f t="shared" ca="1" si="10"/>
        <v>0.12025280532288914</v>
      </c>
      <c r="C190" s="389">
        <f t="shared" ca="1" si="11"/>
        <v>4.1781998302649191E-2</v>
      </c>
      <c r="D190" s="390">
        <f t="shared" ca="1" si="12"/>
        <v>1.0490831855925877</v>
      </c>
      <c r="E190" s="391" cm="1">
        <f t="array" aca="1" ref="E190" ca="1">(SUMPRODUCT($B$13:$F$13*D190/(1+B190)^$B$14:$F$14)+($F$13*D190*(1+C190))/(B190-C190)/(1+B190)^$F$14-$B$15+$B$16)/$B$17</f>
        <v>1471.8689627620897</v>
      </c>
      <c r="F190" s="304"/>
      <c r="G190" s="304"/>
      <c r="H190" s="304"/>
      <c r="I190" s="304"/>
      <c r="J190" s="304"/>
      <c r="K190" s="304"/>
      <c r="L190" s="304"/>
      <c r="M190" s="304"/>
      <c r="N190" s="304"/>
      <c r="O190" s="304"/>
      <c r="P190" s="304"/>
      <c r="Q190" s="304"/>
    </row>
    <row r="191" spans="1:17" ht="13.8" x14ac:dyDescent="0.3">
      <c r="A191" s="388">
        <f t="shared" si="9"/>
        <v>169</v>
      </c>
      <c r="B191" s="389">
        <f t="shared" ca="1" si="10"/>
        <v>0.1283438420869002</v>
      </c>
      <c r="C191" s="389">
        <f t="shared" ca="1" si="11"/>
        <v>5.3269360086415501E-2</v>
      </c>
      <c r="D191" s="390">
        <f t="shared" ca="1" si="12"/>
        <v>0.95780677222377686</v>
      </c>
      <c r="E191" s="391" cm="1">
        <f t="array" aca="1" ref="E191" ca="1">(SUMPRODUCT($B$13:$F$13*D191/(1+B191)^$B$14:$F$14)+($F$13*D191*(1+C191))/(B191-C191)/(1+B191)^$F$14-$B$15+$B$16)/$B$17</f>
        <v>1355.6075818182715</v>
      </c>
      <c r="F191" s="304"/>
      <c r="G191" s="304"/>
      <c r="H191" s="304"/>
      <c r="I191" s="304"/>
      <c r="J191" s="304"/>
      <c r="K191" s="304"/>
      <c r="L191" s="304"/>
      <c r="M191" s="304"/>
      <c r="N191" s="304"/>
      <c r="O191" s="304"/>
      <c r="P191" s="304"/>
      <c r="Q191" s="304"/>
    </row>
    <row r="192" spans="1:17" ht="13.8" x14ac:dyDescent="0.3">
      <c r="A192" s="388">
        <f t="shared" si="9"/>
        <v>170</v>
      </c>
      <c r="B192" s="389">
        <f t="shared" ca="1" si="10"/>
        <v>0.12129932763900894</v>
      </c>
      <c r="C192" s="389">
        <f t="shared" ca="1" si="11"/>
        <v>5.1401689132115409E-2</v>
      </c>
      <c r="D192" s="390">
        <f t="shared" ca="1" si="12"/>
        <v>0.9369277291227992</v>
      </c>
      <c r="E192" s="391" cm="1">
        <f t="array" aca="1" ref="E192" ca="1">(SUMPRODUCT($B$13:$F$13*D192/(1+B192)^$B$14:$F$14)+($F$13*D192*(1+C192))/(B192-C192)/(1+B192)^$F$14-$B$15+$B$16)/$B$17</f>
        <v>1441.202106336581</v>
      </c>
      <c r="F192" s="304"/>
      <c r="G192" s="304"/>
      <c r="H192" s="304"/>
      <c r="I192" s="304"/>
      <c r="J192" s="304"/>
      <c r="K192" s="304"/>
      <c r="L192" s="304"/>
      <c r="M192" s="304"/>
      <c r="N192" s="304"/>
      <c r="O192" s="304"/>
      <c r="P192" s="304"/>
      <c r="Q192" s="304"/>
    </row>
    <row r="193" spans="1:17" ht="13.8" x14ac:dyDescent="0.3">
      <c r="A193" s="388">
        <f t="shared" si="9"/>
        <v>171</v>
      </c>
      <c r="B193" s="389">
        <f t="shared" ca="1" si="10"/>
        <v>0.12782741212658022</v>
      </c>
      <c r="C193" s="389">
        <f t="shared" ca="1" si="11"/>
        <v>4.6019765952787658E-2</v>
      </c>
      <c r="D193" s="390">
        <f t="shared" ca="1" si="12"/>
        <v>1.12925521610003</v>
      </c>
      <c r="E193" s="391" cm="1">
        <f t="array" aca="1" ref="E193" ca="1">(SUMPRODUCT($B$13:$F$13*D193/(1+B193)^$B$14:$F$14)+($F$13*D193*(1+C193))/(B193-C193)/(1+B193)^$F$14-$B$15+$B$16)/$B$17</f>
        <v>1496.7599756007958</v>
      </c>
      <c r="F193" s="304"/>
      <c r="G193" s="304"/>
      <c r="H193" s="304"/>
      <c r="I193" s="304"/>
      <c r="J193" s="304"/>
      <c r="K193" s="304"/>
      <c r="L193" s="304"/>
      <c r="M193" s="304"/>
      <c r="N193" s="304"/>
      <c r="O193" s="304"/>
      <c r="P193" s="304"/>
      <c r="Q193" s="304"/>
    </row>
    <row r="194" spans="1:17" ht="13.8" x14ac:dyDescent="0.3">
      <c r="A194" s="388">
        <f t="shared" si="9"/>
        <v>172</v>
      </c>
      <c r="B194" s="389">
        <f t="shared" ca="1" si="10"/>
        <v>0.13057904558903327</v>
      </c>
      <c r="C194" s="389">
        <f t="shared" ca="1" si="11"/>
        <v>6.1493049645647696E-2</v>
      </c>
      <c r="D194" s="390">
        <f t="shared" ca="1" si="12"/>
        <v>0.97247996314680585</v>
      </c>
      <c r="E194" s="391" cm="1">
        <f t="array" aca="1" ref="E194" ca="1">(SUMPRODUCT($B$13:$F$13*D194/(1+B194)^$B$14:$F$14)+($F$13*D194*(1+C194))/(B194-C194)/(1+B194)^$F$14-$B$15+$B$16)/$B$17</f>
        <v>1468.5745189721208</v>
      </c>
      <c r="F194" s="304"/>
      <c r="G194" s="304"/>
      <c r="H194" s="304"/>
      <c r="I194" s="304"/>
      <c r="J194" s="304"/>
      <c r="K194" s="304"/>
      <c r="L194" s="304"/>
      <c r="M194" s="304"/>
      <c r="N194" s="304"/>
      <c r="O194" s="304"/>
      <c r="P194" s="304"/>
      <c r="Q194" s="304"/>
    </row>
    <row r="195" spans="1:17" ht="13.8" x14ac:dyDescent="0.3">
      <c r="A195" s="388">
        <f t="shared" si="9"/>
        <v>173</v>
      </c>
      <c r="B195" s="389">
        <f t="shared" ca="1" si="10"/>
        <v>0.11640517351168267</v>
      </c>
      <c r="C195" s="389">
        <f t="shared" ca="1" si="11"/>
        <v>4.6516118231744695E-2</v>
      </c>
      <c r="D195" s="390">
        <f t="shared" ca="1" si="12"/>
        <v>1.0287600999634106</v>
      </c>
      <c r="E195" s="391" cm="1">
        <f t="array" aca="1" ref="E195" ca="1">(SUMPRODUCT($B$13:$F$13*D195/(1+B195)^$B$14:$F$14)+($F$13*D195*(1+C195))/(B195-C195)/(1+B195)^$F$14-$B$15+$B$16)/$B$17</f>
        <v>1612.4822937500435</v>
      </c>
      <c r="F195" s="304"/>
      <c r="G195" s="304"/>
      <c r="H195" s="304"/>
      <c r="I195" s="304"/>
      <c r="J195" s="304"/>
      <c r="K195" s="304"/>
      <c r="L195" s="304"/>
      <c r="M195" s="304"/>
      <c r="N195" s="304"/>
      <c r="O195" s="304"/>
      <c r="P195" s="304"/>
      <c r="Q195" s="304"/>
    </row>
    <row r="196" spans="1:17" ht="13.8" x14ac:dyDescent="0.3">
      <c r="A196" s="388">
        <f t="shared" si="9"/>
        <v>174</v>
      </c>
      <c r="B196" s="389">
        <f t="shared" ca="1" si="10"/>
        <v>0.1263423763989393</v>
      </c>
      <c r="C196" s="389">
        <f t="shared" ca="1" si="11"/>
        <v>4.6706774485163347E-2</v>
      </c>
      <c r="D196" s="390">
        <f t="shared" ca="1" si="12"/>
        <v>0.99980654002486469</v>
      </c>
      <c r="E196" s="391" cm="1">
        <f t="array" aca="1" ref="E196" ca="1">(SUMPRODUCT($B$13:$F$13*D196/(1+B196)^$B$14:$F$14)+($F$13*D196*(1+C196))/(B196-C196)/(1+B196)^$F$14-$B$15+$B$16)/$B$17</f>
        <v>1356.4644293817755</v>
      </c>
      <c r="F196" s="304"/>
      <c r="G196" s="304"/>
      <c r="H196" s="304"/>
      <c r="I196" s="304"/>
      <c r="J196" s="304"/>
      <c r="K196" s="304"/>
      <c r="L196" s="304"/>
      <c r="M196" s="304"/>
      <c r="N196" s="304"/>
      <c r="O196" s="304"/>
      <c r="P196" s="304"/>
      <c r="Q196" s="304"/>
    </row>
    <row r="197" spans="1:17" ht="13.8" x14ac:dyDescent="0.3">
      <c r="A197" s="388">
        <f t="shared" si="9"/>
        <v>175</v>
      </c>
      <c r="B197" s="389">
        <f t="shared" ca="1" si="10"/>
        <v>0.12396457621788376</v>
      </c>
      <c r="C197" s="389">
        <f t="shared" ca="1" si="11"/>
        <v>3.8974599821927997E-2</v>
      </c>
      <c r="D197" s="390">
        <f t="shared" ca="1" si="12"/>
        <v>0.94505803140266875</v>
      </c>
      <c r="E197" s="391" cm="1">
        <f t="array" aca="1" ref="E197" ca="1">(SUMPRODUCT($B$13:$F$13*D197/(1+B197)^$B$14:$F$14)+($F$13*D197*(1+C197))/(B197-C197)/(1+B197)^$F$14-$B$15+$B$16)/$B$17</f>
        <v>1220.4425977624394</v>
      </c>
      <c r="F197" s="304"/>
      <c r="G197" s="304"/>
      <c r="H197" s="304"/>
      <c r="I197" s="304"/>
      <c r="J197" s="304"/>
      <c r="K197" s="304"/>
      <c r="L197" s="304"/>
      <c r="M197" s="304"/>
      <c r="N197" s="304"/>
      <c r="O197" s="304"/>
      <c r="P197" s="304"/>
      <c r="Q197" s="304"/>
    </row>
    <row r="198" spans="1:17" ht="13.8" x14ac:dyDescent="0.3">
      <c r="A198" s="388">
        <f t="shared" si="9"/>
        <v>176</v>
      </c>
      <c r="B198" s="389">
        <f t="shared" ca="1" si="10"/>
        <v>0.14197216293246714</v>
      </c>
      <c r="C198" s="389">
        <f t="shared" ca="1" si="11"/>
        <v>5.4241951849051229E-2</v>
      </c>
      <c r="D198" s="390">
        <f t="shared" ca="1" si="12"/>
        <v>0.86426668567911902</v>
      </c>
      <c r="E198" s="391" cm="1">
        <f t="array" aca="1" ref="E198" ca="1">(SUMPRODUCT($B$13:$F$13*D198/(1+B198)^$B$14:$F$14)+($F$13*D198*(1+C198))/(B198-C198)/(1+B198)^$F$14-$B$15+$B$16)/$B$17</f>
        <v>1022.5822079695248</v>
      </c>
      <c r="F198" s="304"/>
      <c r="G198" s="304"/>
      <c r="H198" s="304"/>
      <c r="I198" s="304"/>
      <c r="J198" s="304"/>
      <c r="K198" s="304"/>
      <c r="L198" s="304"/>
      <c r="M198" s="304"/>
      <c r="N198" s="304"/>
      <c r="O198" s="304"/>
      <c r="P198" s="304"/>
      <c r="Q198" s="304"/>
    </row>
    <row r="199" spans="1:17" ht="13.8" x14ac:dyDescent="0.3">
      <c r="A199" s="388">
        <f t="shared" si="9"/>
        <v>177</v>
      </c>
      <c r="B199" s="389">
        <f t="shared" ca="1" si="10"/>
        <v>0.10005559195079949</v>
      </c>
      <c r="C199" s="389">
        <f t="shared" ca="1" si="11"/>
        <v>4.8125770268722015E-2</v>
      </c>
      <c r="D199" s="390">
        <f t="shared" ca="1" si="12"/>
        <v>0.90543437096775126</v>
      </c>
      <c r="E199" s="391" cm="1">
        <f t="array" aca="1" ref="E199" ca="1">(SUMPRODUCT($B$13:$F$13*D199/(1+B199)^$B$14:$F$14)+($F$13*D199*(1+C199))/(B199-C199)/(1+B199)^$F$14-$B$15+$B$16)/$B$17</f>
        <v>1938.2526760195135</v>
      </c>
      <c r="F199" s="304"/>
      <c r="G199" s="304"/>
      <c r="H199" s="304"/>
      <c r="I199" s="304"/>
      <c r="J199" s="304"/>
      <c r="K199" s="304"/>
      <c r="L199" s="304"/>
      <c r="M199" s="304"/>
      <c r="N199" s="304"/>
      <c r="O199" s="304"/>
      <c r="P199" s="304"/>
      <c r="Q199" s="304"/>
    </row>
    <row r="200" spans="1:17" ht="13.8" x14ac:dyDescent="0.3">
      <c r="A200" s="388">
        <f t="shared" si="9"/>
        <v>178</v>
      </c>
      <c r="B200" s="389">
        <f t="shared" ca="1" si="10"/>
        <v>0.12245670503667939</v>
      </c>
      <c r="C200" s="389">
        <f t="shared" ca="1" si="11"/>
        <v>4.5359023653640251E-2</v>
      </c>
      <c r="D200" s="390">
        <f t="shared" ca="1" si="12"/>
        <v>0.90894236424604746</v>
      </c>
      <c r="E200" s="391" cm="1">
        <f t="array" aca="1" ref="E200" ca="1">(SUMPRODUCT($B$13:$F$13*D200/(1+B200)^$B$14:$F$14)+($F$13*D200*(1+C200))/(B200-C200)/(1+B200)^$F$14-$B$15+$B$16)/$B$17</f>
        <v>1279.0563137576949</v>
      </c>
      <c r="F200" s="304"/>
      <c r="G200" s="304"/>
      <c r="H200" s="304"/>
      <c r="I200" s="304"/>
      <c r="J200" s="304"/>
      <c r="K200" s="304"/>
      <c r="L200" s="304"/>
      <c r="M200" s="304"/>
      <c r="N200" s="304"/>
      <c r="O200" s="304"/>
      <c r="P200" s="304"/>
      <c r="Q200" s="304"/>
    </row>
    <row r="201" spans="1:17" ht="13.8" x14ac:dyDescent="0.3">
      <c r="A201" s="388">
        <f t="shared" si="9"/>
        <v>179</v>
      </c>
      <c r="B201" s="389">
        <f t="shared" ca="1" si="10"/>
        <v>0.1169260075714766</v>
      </c>
      <c r="C201" s="389">
        <f t="shared" ca="1" si="11"/>
        <v>5.17889286694172E-2</v>
      </c>
      <c r="D201" s="390">
        <f t="shared" ca="1" si="12"/>
        <v>1.0112198232284437</v>
      </c>
      <c r="E201" s="391" cm="1">
        <f t="array" aca="1" ref="E201" ca="1">(SUMPRODUCT($B$13:$F$13*D201/(1+B201)^$B$14:$F$14)+($F$13*D201*(1+C201))/(B201-C201)/(1+B201)^$F$14-$B$15+$B$16)/$B$17</f>
        <v>1681.1013020976263</v>
      </c>
      <c r="F201" s="304"/>
      <c r="G201" s="304"/>
      <c r="H201" s="304"/>
      <c r="I201" s="304"/>
      <c r="J201" s="304"/>
      <c r="K201" s="304"/>
      <c r="L201" s="304"/>
      <c r="M201" s="304"/>
      <c r="N201" s="304"/>
      <c r="O201" s="304"/>
      <c r="P201" s="304"/>
      <c r="Q201" s="304"/>
    </row>
    <row r="202" spans="1:17" ht="13.8" x14ac:dyDescent="0.3">
      <c r="A202" s="388">
        <f t="shared" si="9"/>
        <v>180</v>
      </c>
      <c r="B202" s="389">
        <f t="shared" ca="1" si="10"/>
        <v>0.10136942071493658</v>
      </c>
      <c r="C202" s="389">
        <f t="shared" ca="1" si="11"/>
        <v>4.7084264353013758E-2</v>
      </c>
      <c r="D202" s="390">
        <f t="shared" ca="1" si="12"/>
        <v>1.0461442262527962</v>
      </c>
      <c r="E202" s="391" cm="1">
        <f t="array" aca="1" ref="E202" ca="1">(SUMPRODUCT($B$13:$F$13*D202/(1+B202)^$B$14:$F$14)+($F$13*D202*(1+C202))/(B202-C202)/(1+B202)^$F$14-$B$15+$B$16)/$B$17</f>
        <v>2150.2628579266393</v>
      </c>
      <c r="F202" s="304"/>
      <c r="G202" s="304"/>
      <c r="H202" s="304"/>
      <c r="I202" s="304"/>
      <c r="J202" s="304"/>
      <c r="K202" s="304"/>
      <c r="L202" s="304"/>
      <c r="M202" s="304"/>
      <c r="N202" s="304"/>
      <c r="O202" s="304"/>
      <c r="P202" s="304"/>
      <c r="Q202" s="304"/>
    </row>
    <row r="203" spans="1:17" ht="13.8" x14ac:dyDescent="0.3">
      <c r="A203" s="388">
        <f t="shared" si="9"/>
        <v>181</v>
      </c>
      <c r="B203" s="389">
        <f t="shared" ca="1" si="10"/>
        <v>0.13717085974752435</v>
      </c>
      <c r="C203" s="389">
        <f t="shared" ca="1" si="11"/>
        <v>4.2898536032315276E-2</v>
      </c>
      <c r="D203" s="390">
        <f t="shared" ca="1" si="12"/>
        <v>1.0320836116119787</v>
      </c>
      <c r="E203" s="391" cm="1">
        <f t="array" aca="1" ref="E203" ca="1">(SUMPRODUCT($B$13:$F$13*D203/(1+B203)^$B$14:$F$14)+($F$13*D203*(1+C203))/(B203-C203)/(1+B203)^$F$14-$B$15+$B$16)/$B$17</f>
        <v>1176.9855564547686</v>
      </c>
      <c r="F203" s="304"/>
      <c r="G203" s="304"/>
      <c r="H203" s="304"/>
      <c r="I203" s="304"/>
      <c r="J203" s="304"/>
      <c r="K203" s="304"/>
      <c r="L203" s="304"/>
      <c r="M203" s="304"/>
      <c r="N203" s="304"/>
      <c r="O203" s="304"/>
      <c r="P203" s="304"/>
      <c r="Q203" s="304"/>
    </row>
    <row r="204" spans="1:17" ht="13.8" x14ac:dyDescent="0.3">
      <c r="A204" s="388">
        <f t="shared" si="9"/>
        <v>182</v>
      </c>
      <c r="B204" s="389">
        <f t="shared" ca="1" si="10"/>
        <v>0.10131568443191213</v>
      </c>
      <c r="C204" s="389">
        <f t="shared" ca="1" si="11"/>
        <v>3.9995090677933616E-2</v>
      </c>
      <c r="D204" s="390">
        <f t="shared" ca="1" si="12"/>
        <v>0.96306000217590559</v>
      </c>
      <c r="E204" s="391" cm="1">
        <f t="array" aca="1" ref="E204" ca="1">(SUMPRODUCT($B$13:$F$13*D204/(1+B204)^$B$14:$F$14)+($F$13*D204*(1+C204))/(B204-C204)/(1+B204)^$F$14-$B$15+$B$16)/$B$17</f>
        <v>1773.7118164585509</v>
      </c>
      <c r="F204" s="304"/>
      <c r="G204" s="304"/>
      <c r="H204" s="304"/>
      <c r="I204" s="304"/>
      <c r="J204" s="304"/>
      <c r="K204" s="304"/>
      <c r="L204" s="304"/>
      <c r="M204" s="304"/>
      <c r="N204" s="304"/>
      <c r="O204" s="304"/>
      <c r="P204" s="304"/>
      <c r="Q204" s="304"/>
    </row>
    <row r="205" spans="1:17" ht="13.8" x14ac:dyDescent="0.3">
      <c r="A205" s="388">
        <f t="shared" si="9"/>
        <v>183</v>
      </c>
      <c r="B205" s="389">
        <f t="shared" ca="1" si="10"/>
        <v>0.12898019737550107</v>
      </c>
      <c r="C205" s="389">
        <f t="shared" ca="1" si="11"/>
        <v>5.557821024085053E-2</v>
      </c>
      <c r="D205" s="390">
        <f t="shared" ca="1" si="12"/>
        <v>0.90067416268182809</v>
      </c>
      <c r="E205" s="391" cm="1">
        <f t="array" aca="1" ref="E205" ca="1">(SUMPRODUCT($B$13:$F$13*D205/(1+B205)^$B$14:$F$14)+($F$13*D205*(1+C205))/(B205-C205)/(1+B205)^$F$14-$B$15+$B$16)/$B$17</f>
        <v>1294.1049696732175</v>
      </c>
      <c r="F205" s="304"/>
      <c r="G205" s="304"/>
      <c r="H205" s="304"/>
      <c r="I205" s="304"/>
      <c r="J205" s="304"/>
      <c r="K205" s="304"/>
      <c r="L205" s="304"/>
      <c r="M205" s="304"/>
      <c r="N205" s="304"/>
      <c r="O205" s="304"/>
      <c r="P205" s="304"/>
      <c r="Q205" s="304"/>
    </row>
    <row r="206" spans="1:17" ht="13.8" x14ac:dyDescent="0.3">
      <c r="A206" s="388">
        <f t="shared" si="9"/>
        <v>184</v>
      </c>
      <c r="B206" s="389">
        <f t="shared" ca="1" si="10"/>
        <v>0.12266862543904725</v>
      </c>
      <c r="C206" s="389">
        <f t="shared" ca="1" si="11"/>
        <v>5.3716241582182411E-2</v>
      </c>
      <c r="D206" s="390">
        <f t="shared" ca="1" si="12"/>
        <v>0.94706711257243703</v>
      </c>
      <c r="E206" s="391" cm="1">
        <f t="array" aca="1" ref="E206" ca="1">(SUMPRODUCT($B$13:$F$13*D206/(1+B206)^$B$14:$F$14)+($F$13*D206*(1+C206))/(B206-C206)/(1+B206)^$F$14-$B$15+$B$16)/$B$17</f>
        <v>1468.0995568572689</v>
      </c>
      <c r="F206" s="304"/>
      <c r="G206" s="304"/>
      <c r="H206" s="304"/>
      <c r="I206" s="304"/>
      <c r="J206" s="304"/>
      <c r="K206" s="304"/>
      <c r="L206" s="304"/>
      <c r="M206" s="304"/>
      <c r="N206" s="304"/>
      <c r="O206" s="304"/>
      <c r="P206" s="304"/>
      <c r="Q206" s="304"/>
    </row>
    <row r="207" spans="1:17" ht="13.8" x14ac:dyDescent="0.3">
      <c r="A207" s="388">
        <f t="shared" si="9"/>
        <v>185</v>
      </c>
      <c r="B207" s="389">
        <f t="shared" ca="1" si="10"/>
        <v>0.1347549142936528</v>
      </c>
      <c r="C207" s="389">
        <f t="shared" ca="1" si="11"/>
        <v>4.4562889528763847E-2</v>
      </c>
      <c r="D207" s="390">
        <f t="shared" ca="1" si="12"/>
        <v>0.92640848331333903</v>
      </c>
      <c r="E207" s="391" cm="1">
        <f t="array" aca="1" ref="E207" ca="1">(SUMPRODUCT($B$13:$F$13*D207/(1+B207)^$B$14:$F$14)+($F$13*D207*(1+C207))/(B207-C207)/(1+B207)^$F$14-$B$15+$B$16)/$B$17</f>
        <v>1099.1826604174264</v>
      </c>
      <c r="F207" s="304"/>
      <c r="G207" s="304"/>
      <c r="H207" s="304"/>
      <c r="I207" s="304"/>
      <c r="J207" s="304"/>
      <c r="K207" s="304"/>
      <c r="L207" s="304"/>
      <c r="M207" s="304"/>
      <c r="N207" s="304"/>
      <c r="O207" s="304"/>
      <c r="P207" s="304"/>
      <c r="Q207" s="304"/>
    </row>
    <row r="208" spans="1:17" ht="13.8" x14ac:dyDescent="0.3">
      <c r="A208" s="388">
        <f t="shared" si="9"/>
        <v>186</v>
      </c>
      <c r="B208" s="389">
        <f t="shared" ca="1" si="10"/>
        <v>0.13329614615907276</v>
      </c>
      <c r="C208" s="389">
        <f t="shared" ca="1" si="11"/>
        <v>4.6413100561805899E-2</v>
      </c>
      <c r="D208" s="390">
        <f t="shared" ca="1" si="12"/>
        <v>1.1369454443307845</v>
      </c>
      <c r="E208" s="391" cm="1">
        <f t="array" aca="1" ref="E208" ca="1">(SUMPRODUCT($B$13:$F$13*D208/(1+B208)^$B$14:$F$14)+($F$13*D208*(1+C208))/(B208-C208)/(1+B208)^$F$14-$B$15+$B$16)/$B$17</f>
        <v>1408.9230644972765</v>
      </c>
      <c r="F208" s="304"/>
      <c r="G208" s="304"/>
      <c r="H208" s="304"/>
      <c r="I208" s="304"/>
      <c r="J208" s="304"/>
      <c r="K208" s="304"/>
      <c r="L208" s="304"/>
      <c r="M208" s="304"/>
      <c r="N208" s="304"/>
      <c r="O208" s="304"/>
      <c r="P208" s="304"/>
      <c r="Q208" s="304"/>
    </row>
    <row r="209" spans="1:17" ht="13.8" x14ac:dyDescent="0.3">
      <c r="A209" s="388">
        <f t="shared" si="9"/>
        <v>187</v>
      </c>
      <c r="B209" s="389">
        <f t="shared" ca="1" si="10"/>
        <v>0.1246177801089064</v>
      </c>
      <c r="C209" s="389">
        <f t="shared" ca="1" si="11"/>
        <v>4.6014995899082978E-2</v>
      </c>
      <c r="D209" s="390">
        <f t="shared" ca="1" si="12"/>
        <v>1.0578996789328825</v>
      </c>
      <c r="E209" s="391" cm="1">
        <f t="array" aca="1" ref="E209" ca="1">(SUMPRODUCT($B$13:$F$13*D209/(1+B209)^$B$14:$F$14)+($F$13*D209*(1+C209))/(B209-C209)/(1+B209)^$F$14-$B$15+$B$16)/$B$17</f>
        <v>1462.0082820748905</v>
      </c>
      <c r="F209" s="304"/>
      <c r="G209" s="304"/>
      <c r="H209" s="304"/>
      <c r="I209" s="304"/>
      <c r="J209" s="304"/>
      <c r="K209" s="304"/>
      <c r="L209" s="304"/>
      <c r="M209" s="304"/>
      <c r="N209" s="304"/>
      <c r="O209" s="304"/>
      <c r="P209" s="304"/>
      <c r="Q209" s="304"/>
    </row>
    <row r="210" spans="1:17" ht="13.8" x14ac:dyDescent="0.3">
      <c r="A210" s="388">
        <f t="shared" si="9"/>
        <v>188</v>
      </c>
      <c r="B210" s="389">
        <f t="shared" ca="1" si="10"/>
        <v>0.13504748705328462</v>
      </c>
      <c r="C210" s="389">
        <f t="shared" ca="1" si="11"/>
        <v>5.1625024853930584E-2</v>
      </c>
      <c r="D210" s="390">
        <f t="shared" ca="1" si="12"/>
        <v>0.98931276828335457</v>
      </c>
      <c r="E210" s="391" cm="1">
        <f t="array" aca="1" ref="E210" ca="1">(SUMPRODUCT($B$13:$F$13*D210/(1+B210)^$B$14:$F$14)+($F$13*D210*(1+C210))/(B210-C210)/(1+B210)^$F$14-$B$15+$B$16)/$B$17</f>
        <v>1255.0500742709808</v>
      </c>
      <c r="F210" s="304"/>
      <c r="G210" s="304"/>
      <c r="H210" s="304"/>
      <c r="I210" s="304"/>
      <c r="J210" s="304"/>
      <c r="K210" s="304"/>
      <c r="L210" s="304"/>
      <c r="M210" s="304"/>
      <c r="N210" s="304"/>
      <c r="O210" s="304"/>
      <c r="P210" s="304"/>
      <c r="Q210" s="304"/>
    </row>
    <row r="211" spans="1:17" ht="13.8" x14ac:dyDescent="0.3">
      <c r="A211" s="388">
        <f t="shared" si="9"/>
        <v>189</v>
      </c>
      <c r="B211" s="389">
        <f t="shared" ca="1" si="10"/>
        <v>0.12120149020401011</v>
      </c>
      <c r="C211" s="389">
        <f t="shared" ca="1" si="11"/>
        <v>6.4981311494177227E-2</v>
      </c>
      <c r="D211" s="390">
        <f t="shared" ca="1" si="12"/>
        <v>1.0018791541690468</v>
      </c>
      <c r="E211" s="391" cm="1">
        <f t="array" aca="1" ref="E211" ca="1">(SUMPRODUCT($B$13:$F$13*D211/(1+B211)^$B$14:$F$14)+($F$13*D211*(1+C211))/(B211-C211)/(1+B211)^$F$14-$B$15+$B$16)/$B$17</f>
        <v>1869.2198184706974</v>
      </c>
      <c r="F211" s="304"/>
      <c r="G211" s="304"/>
      <c r="H211" s="304"/>
      <c r="I211" s="304"/>
      <c r="J211" s="304"/>
      <c r="K211" s="304"/>
      <c r="L211" s="304"/>
      <c r="M211" s="304"/>
      <c r="N211" s="304"/>
      <c r="O211" s="304"/>
      <c r="P211" s="304"/>
      <c r="Q211" s="304"/>
    </row>
    <row r="212" spans="1:17" ht="13.8" x14ac:dyDescent="0.3">
      <c r="A212" s="388">
        <f t="shared" si="9"/>
        <v>190</v>
      </c>
      <c r="B212" s="389">
        <f t="shared" ca="1" si="10"/>
        <v>0.12704791198905871</v>
      </c>
      <c r="C212" s="389">
        <f t="shared" ca="1" si="11"/>
        <v>5.901160962703126E-2</v>
      </c>
      <c r="D212" s="390">
        <f t="shared" ca="1" si="12"/>
        <v>1.0670892095954243</v>
      </c>
      <c r="E212" s="391" cm="1">
        <f t="array" aca="1" ref="E212" ca="1">(SUMPRODUCT($B$13:$F$13*D212/(1+B212)^$B$14:$F$14)+($F$13*D212*(1+C212))/(B212-C212)/(1+B212)^$F$14-$B$15+$B$16)/$B$17</f>
        <v>1656.0948375335231</v>
      </c>
      <c r="F212" s="304"/>
      <c r="G212" s="304"/>
      <c r="H212" s="304"/>
      <c r="I212" s="304"/>
      <c r="J212" s="304"/>
      <c r="K212" s="304"/>
      <c r="L212" s="304"/>
      <c r="M212" s="304"/>
      <c r="N212" s="304"/>
      <c r="O212" s="304"/>
      <c r="P212" s="304"/>
      <c r="Q212" s="304"/>
    </row>
    <row r="213" spans="1:17" ht="13.8" x14ac:dyDescent="0.3">
      <c r="A213" s="388">
        <f t="shared" si="9"/>
        <v>191</v>
      </c>
      <c r="B213" s="389">
        <f t="shared" ca="1" si="10"/>
        <v>0.10837387146157872</v>
      </c>
      <c r="C213" s="389">
        <f t="shared" ca="1" si="11"/>
        <v>5.3360545244946628E-2</v>
      </c>
      <c r="D213" s="390">
        <f t="shared" ca="1" si="12"/>
        <v>1.0272110986259382</v>
      </c>
      <c r="E213" s="391" cm="1">
        <f t="array" aca="1" ref="E213" ca="1">(SUMPRODUCT($B$13:$F$13*D213/(1+B213)^$B$14:$F$14)+($F$13*D213*(1+C213))/(B213-C213)/(1+B213)^$F$14-$B$15+$B$16)/$B$17</f>
        <v>2038.2115044932632</v>
      </c>
      <c r="F213" s="304"/>
      <c r="G213" s="304"/>
      <c r="H213" s="304"/>
      <c r="I213" s="304"/>
      <c r="J213" s="304"/>
      <c r="K213" s="304"/>
      <c r="L213" s="304"/>
      <c r="M213" s="304"/>
      <c r="N213" s="304"/>
      <c r="O213" s="304"/>
      <c r="P213" s="304"/>
      <c r="Q213" s="304"/>
    </row>
    <row r="214" spans="1:17" ht="13.8" x14ac:dyDescent="0.3">
      <c r="A214" s="388">
        <f t="shared" si="9"/>
        <v>192</v>
      </c>
      <c r="B214" s="389">
        <f t="shared" ca="1" si="10"/>
        <v>0.12106252659429484</v>
      </c>
      <c r="C214" s="389">
        <f t="shared" ca="1" si="11"/>
        <v>4.5905132559807667E-2</v>
      </c>
      <c r="D214" s="390">
        <f t="shared" ca="1" si="12"/>
        <v>1.0005517709260805</v>
      </c>
      <c r="E214" s="391" cm="1">
        <f t="array" aca="1" ref="E214" ca="1">(SUMPRODUCT($B$13:$F$13*D214/(1+B214)^$B$14:$F$14)+($F$13*D214*(1+C214))/(B214-C214)/(1+B214)^$F$14-$B$15+$B$16)/$B$17</f>
        <v>1450.2554372941579</v>
      </c>
      <c r="F214" s="304"/>
      <c r="G214" s="304"/>
      <c r="H214" s="304"/>
      <c r="I214" s="304"/>
      <c r="J214" s="304"/>
      <c r="K214" s="304"/>
      <c r="L214" s="304"/>
      <c r="M214" s="304"/>
      <c r="N214" s="304"/>
      <c r="O214" s="304"/>
      <c r="P214" s="304"/>
      <c r="Q214" s="304"/>
    </row>
    <row r="215" spans="1:17" ht="13.8" x14ac:dyDescent="0.3">
      <c r="A215" s="388">
        <f t="shared" si="9"/>
        <v>193</v>
      </c>
      <c r="B215" s="389">
        <f t="shared" ca="1" si="10"/>
        <v>0.12639701715217375</v>
      </c>
      <c r="C215" s="389">
        <f t="shared" ca="1" si="11"/>
        <v>4.1152824855505539E-2</v>
      </c>
      <c r="D215" s="390">
        <f t="shared" ca="1" si="12"/>
        <v>0.89782267785338354</v>
      </c>
      <c r="E215" s="391" cm="1">
        <f t="array" aca="1" ref="E215" ca="1">(SUMPRODUCT($B$13:$F$13*D215/(1+B215)^$B$14:$F$14)+($F$13*D215*(1+C215))/(B215-C215)/(1+B215)^$F$14-$B$15+$B$16)/$B$17</f>
        <v>1145.2273188380943</v>
      </c>
      <c r="F215" s="304"/>
      <c r="G215" s="304"/>
      <c r="H215" s="304"/>
      <c r="I215" s="304"/>
      <c r="J215" s="304"/>
      <c r="K215" s="304"/>
      <c r="L215" s="304"/>
      <c r="M215" s="304"/>
      <c r="N215" s="304"/>
      <c r="O215" s="304"/>
      <c r="P215" s="304"/>
      <c r="Q215" s="304"/>
    </row>
    <row r="216" spans="1:17" ht="13.8" x14ac:dyDescent="0.3">
      <c r="A216" s="388">
        <f t="shared" ref="A216:A279" si="13">ROW()-22</f>
        <v>194</v>
      </c>
      <c r="B216" s="389">
        <f t="shared" ref="B216:B279" ca="1" si="14">_xlfn.NORM.INV(RAND(),$B$6,$C$6)</f>
        <v>0.10648716915110776</v>
      </c>
      <c r="C216" s="389">
        <f t="shared" ref="C216:C279" ca="1" si="15">MIN(_xlfn.NORM.INV(RAND(),$B$7,$C$7),B216-0.005)</f>
        <v>5.0365194875318368E-2</v>
      </c>
      <c r="D216" s="390">
        <f t="shared" ref="D216:D279" ca="1" si="16">_xlfn.NORM.INV(RAND(),$B$8,$C$8)</f>
        <v>0.95181098992270552</v>
      </c>
      <c r="E216" s="391" cm="1">
        <f t="array" aca="1" ref="E216" ca="1">(SUMPRODUCT($B$13:$F$13*D216/(1+B216)^$B$14:$F$14)+($F$13*D216*(1+C216))/(B216-C216)/(1+B216)^$F$14-$B$15+$B$16)/$B$17</f>
        <v>1863.420817091687</v>
      </c>
      <c r="F216" s="304"/>
      <c r="G216" s="304"/>
      <c r="H216" s="304"/>
      <c r="I216" s="304"/>
      <c r="J216" s="304"/>
      <c r="K216" s="304"/>
      <c r="L216" s="304"/>
      <c r="M216" s="304"/>
      <c r="N216" s="304"/>
      <c r="O216" s="304"/>
      <c r="P216" s="304"/>
      <c r="Q216" s="304"/>
    </row>
    <row r="217" spans="1:17" ht="13.8" x14ac:dyDescent="0.3">
      <c r="A217" s="388">
        <f t="shared" si="13"/>
        <v>195</v>
      </c>
      <c r="B217" s="389">
        <f t="shared" ca="1" si="14"/>
        <v>0.12694538156195467</v>
      </c>
      <c r="C217" s="389">
        <f t="shared" ca="1" si="15"/>
        <v>4.5638112180713154E-2</v>
      </c>
      <c r="D217" s="390">
        <f t="shared" ca="1" si="16"/>
        <v>0.94410238411246472</v>
      </c>
      <c r="E217" s="391" cm="1">
        <f t="array" aca="1" ref="E217" ca="1">(SUMPRODUCT($B$13:$F$13*D217/(1+B217)^$B$14:$F$14)+($F$13*D217*(1+C217))/(B217-C217)/(1+B217)^$F$14-$B$15+$B$16)/$B$17</f>
        <v>1253.5408254728031</v>
      </c>
      <c r="F217" s="304"/>
      <c r="G217" s="304"/>
      <c r="H217" s="304"/>
      <c r="I217" s="304"/>
      <c r="J217" s="304"/>
      <c r="K217" s="304"/>
      <c r="L217" s="304"/>
      <c r="M217" s="304"/>
      <c r="N217" s="304"/>
      <c r="O217" s="304"/>
      <c r="P217" s="304"/>
      <c r="Q217" s="304"/>
    </row>
    <row r="218" spans="1:17" ht="13.8" x14ac:dyDescent="0.3">
      <c r="A218" s="388">
        <f t="shared" si="13"/>
        <v>196</v>
      </c>
      <c r="B218" s="389">
        <f t="shared" ca="1" si="14"/>
        <v>0.12232438105740334</v>
      </c>
      <c r="C218" s="389">
        <f t="shared" ca="1" si="15"/>
        <v>4.3847199564119727E-2</v>
      </c>
      <c r="D218" s="390">
        <f t="shared" ca="1" si="16"/>
        <v>0.88785828654942189</v>
      </c>
      <c r="E218" s="391" cm="1">
        <f t="array" aca="1" ref="E218" ca="1">(SUMPRODUCT($B$13:$F$13*D218/(1+B218)^$B$14:$F$14)+($F$13*D218*(1+C218))/(B218-C218)/(1+B218)^$F$14-$B$15+$B$16)/$B$17</f>
        <v>1230.0579478857835</v>
      </c>
      <c r="F218" s="304"/>
      <c r="G218" s="304"/>
      <c r="H218" s="304"/>
      <c r="I218" s="304"/>
      <c r="J218" s="304"/>
      <c r="K218" s="304"/>
      <c r="L218" s="304"/>
      <c r="M218" s="304"/>
      <c r="N218" s="304"/>
      <c r="O218" s="304"/>
      <c r="P218" s="304"/>
      <c r="Q218" s="304"/>
    </row>
    <row r="219" spans="1:17" ht="13.8" x14ac:dyDescent="0.3">
      <c r="A219" s="388">
        <f t="shared" si="13"/>
        <v>197</v>
      </c>
      <c r="B219" s="389">
        <f t="shared" ca="1" si="14"/>
        <v>0.14322876592300529</v>
      </c>
      <c r="C219" s="389">
        <f t="shared" ca="1" si="15"/>
        <v>4.5379624618914885E-2</v>
      </c>
      <c r="D219" s="390">
        <f t="shared" ca="1" si="16"/>
        <v>0.94768125512405699</v>
      </c>
      <c r="E219" s="391" cm="1">
        <f t="array" aca="1" ref="E219" ca="1">(SUMPRODUCT($B$13:$F$13*D219/(1+B219)^$B$14:$F$14)+($F$13*D219*(1+C219))/(B219-C219)/(1+B219)^$F$14-$B$15+$B$16)/$B$17</f>
        <v>1024.7966170096754</v>
      </c>
      <c r="F219" s="304"/>
      <c r="G219" s="304"/>
      <c r="H219" s="304"/>
      <c r="I219" s="304"/>
      <c r="J219" s="304"/>
      <c r="K219" s="304"/>
      <c r="L219" s="304"/>
      <c r="M219" s="304"/>
      <c r="N219" s="304"/>
      <c r="O219" s="304"/>
      <c r="P219" s="304"/>
      <c r="Q219" s="304"/>
    </row>
    <row r="220" spans="1:17" ht="13.8" x14ac:dyDescent="0.3">
      <c r="A220" s="388">
        <f t="shared" si="13"/>
        <v>198</v>
      </c>
      <c r="B220" s="389">
        <f t="shared" ca="1" si="14"/>
        <v>0.11599239181361068</v>
      </c>
      <c r="C220" s="389">
        <f t="shared" ca="1" si="15"/>
        <v>5.6895854409653279E-2</v>
      </c>
      <c r="D220" s="390">
        <f t="shared" ca="1" si="16"/>
        <v>1.0817457943354165</v>
      </c>
      <c r="E220" s="391" cm="1">
        <f t="array" aca="1" ref="E220" ca="1">(SUMPRODUCT($B$13:$F$13*D220/(1+B220)^$B$14:$F$14)+($F$13*D220*(1+C220))/(B220-C220)/(1+B220)^$F$14-$B$15+$B$16)/$B$17</f>
        <v>1967.7399337239665</v>
      </c>
      <c r="F220" s="304"/>
      <c r="G220" s="304"/>
      <c r="H220" s="304"/>
      <c r="I220" s="304"/>
      <c r="J220" s="304"/>
      <c r="K220" s="304"/>
      <c r="L220" s="304"/>
      <c r="M220" s="304"/>
      <c r="N220" s="304"/>
      <c r="O220" s="304"/>
      <c r="P220" s="304"/>
      <c r="Q220" s="304"/>
    </row>
    <row r="221" spans="1:17" ht="13.8" x14ac:dyDescent="0.3">
      <c r="A221" s="388">
        <f t="shared" si="13"/>
        <v>199</v>
      </c>
      <c r="B221" s="389">
        <f t="shared" ca="1" si="14"/>
        <v>0.12554861995596209</v>
      </c>
      <c r="C221" s="389">
        <f t="shared" ca="1" si="15"/>
        <v>6.5966710151604102E-2</v>
      </c>
      <c r="D221" s="390">
        <f t="shared" ca="1" si="16"/>
        <v>1.0310221456418505</v>
      </c>
      <c r="E221" s="391" cm="1">
        <f t="array" aca="1" ref="E221" ca="1">(SUMPRODUCT($B$13:$F$13*D221/(1+B221)^$B$14:$F$14)+($F$13*D221*(1+C221))/(B221-C221)/(1+B221)^$F$14-$B$15+$B$16)/$B$17</f>
        <v>1803.3285722442488</v>
      </c>
      <c r="F221" s="304"/>
      <c r="G221" s="304"/>
      <c r="H221" s="304"/>
      <c r="I221" s="304"/>
      <c r="J221" s="304"/>
      <c r="K221" s="304"/>
      <c r="L221" s="304"/>
      <c r="M221" s="304"/>
      <c r="N221" s="304"/>
      <c r="O221" s="304"/>
      <c r="P221" s="304"/>
      <c r="Q221" s="304"/>
    </row>
    <row r="222" spans="1:17" ht="13.8" x14ac:dyDescent="0.3">
      <c r="A222" s="388">
        <f t="shared" si="13"/>
        <v>200</v>
      </c>
      <c r="B222" s="389">
        <f t="shared" ca="1" si="14"/>
        <v>0.13372527476643928</v>
      </c>
      <c r="C222" s="389">
        <f t="shared" ca="1" si="15"/>
        <v>5.7742851472678915E-2</v>
      </c>
      <c r="D222" s="390">
        <f t="shared" ca="1" si="16"/>
        <v>0.96568622140900584</v>
      </c>
      <c r="E222" s="391" cm="1">
        <f t="array" aca="1" ref="E222" ca="1">(SUMPRODUCT($B$13:$F$13*D222/(1+B222)^$B$14:$F$14)+($F$13*D222*(1+C222))/(B222-C222)/(1+B222)^$F$14-$B$15+$B$16)/$B$17</f>
        <v>1330.2218393200947</v>
      </c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</row>
    <row r="223" spans="1:17" ht="13.8" x14ac:dyDescent="0.3">
      <c r="A223" s="388">
        <f t="shared" si="13"/>
        <v>201</v>
      </c>
      <c r="B223" s="389">
        <f t="shared" ca="1" si="14"/>
        <v>0.11492295725212104</v>
      </c>
      <c r="C223" s="389">
        <f t="shared" ca="1" si="15"/>
        <v>5.2523095793390907E-2</v>
      </c>
      <c r="D223" s="390">
        <f t="shared" ca="1" si="16"/>
        <v>1.0241074051527042</v>
      </c>
      <c r="E223" s="391" cm="1">
        <f t="array" aca="1" ref="E223" ca="1">(SUMPRODUCT($B$13:$F$13*D223/(1+B223)^$B$14:$F$14)+($F$13*D223*(1+C223))/(B223-C223)/(1+B223)^$F$14-$B$15+$B$16)/$B$17</f>
        <v>1779.6986205680071</v>
      </c>
      <c r="F223" s="304"/>
      <c r="G223" s="304"/>
      <c r="H223" s="304"/>
      <c r="I223" s="304"/>
      <c r="J223" s="304"/>
      <c r="K223" s="304"/>
      <c r="L223" s="304"/>
      <c r="M223" s="304"/>
      <c r="N223" s="304"/>
      <c r="O223" s="304"/>
      <c r="P223" s="304"/>
      <c r="Q223" s="304"/>
    </row>
    <row r="224" spans="1:17" ht="13.8" x14ac:dyDescent="0.3">
      <c r="A224" s="388">
        <f t="shared" si="13"/>
        <v>202</v>
      </c>
      <c r="B224" s="389">
        <f t="shared" ca="1" si="14"/>
        <v>0.11333408517622369</v>
      </c>
      <c r="C224" s="389">
        <f t="shared" ca="1" si="15"/>
        <v>4.9442576920504959E-2</v>
      </c>
      <c r="D224" s="390">
        <f t="shared" ca="1" si="16"/>
        <v>0.84198592858059262</v>
      </c>
      <c r="E224" s="391" cm="1">
        <f t="array" aca="1" ref="E224" ca="1">(SUMPRODUCT($B$13:$F$13*D224/(1+B224)^$B$14:$F$14)+($F$13*D224*(1+C224))/(B224-C224)/(1+B224)^$F$14-$B$15+$B$16)/$B$17</f>
        <v>1432.2358842788417</v>
      </c>
      <c r="F224" s="304"/>
      <c r="G224" s="304"/>
      <c r="H224" s="304"/>
      <c r="I224" s="304"/>
      <c r="J224" s="304"/>
      <c r="K224" s="304"/>
      <c r="L224" s="304"/>
      <c r="M224" s="304"/>
      <c r="N224" s="304"/>
      <c r="O224" s="304"/>
      <c r="P224" s="304"/>
      <c r="Q224" s="304"/>
    </row>
    <row r="225" spans="1:17" ht="13.8" x14ac:dyDescent="0.3">
      <c r="A225" s="388">
        <f t="shared" si="13"/>
        <v>203</v>
      </c>
      <c r="B225" s="389">
        <f t="shared" ca="1" si="14"/>
        <v>0.12116938710888665</v>
      </c>
      <c r="C225" s="389">
        <f t="shared" ca="1" si="15"/>
        <v>4.499789909366899E-2</v>
      </c>
      <c r="D225" s="390">
        <f t="shared" ca="1" si="16"/>
        <v>1.0063974751329878</v>
      </c>
      <c r="E225" s="391" cm="1">
        <f t="array" aca="1" ref="E225" ca="1">(SUMPRODUCT($B$13:$F$13*D225/(1+B225)^$B$14:$F$14)+($F$13*D225*(1+C225))/(B225-C225)/(1+B225)^$F$14-$B$15+$B$16)/$B$17</f>
        <v>1441.9239273731807</v>
      </c>
      <c r="F225" s="304"/>
      <c r="G225" s="304"/>
      <c r="H225" s="304"/>
      <c r="I225" s="304"/>
      <c r="J225" s="304"/>
      <c r="K225" s="304"/>
      <c r="L225" s="304"/>
      <c r="M225" s="304"/>
      <c r="N225" s="304"/>
      <c r="O225" s="304"/>
      <c r="P225" s="304"/>
      <c r="Q225" s="304"/>
    </row>
    <row r="226" spans="1:17" ht="13.8" x14ac:dyDescent="0.3">
      <c r="A226" s="388">
        <f t="shared" si="13"/>
        <v>204</v>
      </c>
      <c r="B226" s="389">
        <f t="shared" ca="1" si="14"/>
        <v>0.1309137110860035</v>
      </c>
      <c r="C226" s="389">
        <f t="shared" ca="1" si="15"/>
        <v>4.7594593291993767E-2</v>
      </c>
      <c r="D226" s="390">
        <f t="shared" ca="1" si="16"/>
        <v>1.0300555616941558</v>
      </c>
      <c r="E226" s="391" cm="1">
        <f t="array" aca="1" ref="E226" ca="1">(SUMPRODUCT($B$13:$F$13*D226/(1+B226)^$B$14:$F$14)+($F$13*D226*(1+C226))/(B226-C226)/(1+B226)^$F$14-$B$15+$B$16)/$B$17</f>
        <v>1327.2730358347148</v>
      </c>
      <c r="F226" s="304"/>
      <c r="G226" s="304"/>
      <c r="H226" s="304"/>
      <c r="I226" s="304"/>
      <c r="J226" s="304"/>
      <c r="K226" s="304"/>
      <c r="L226" s="304"/>
      <c r="M226" s="304"/>
      <c r="N226" s="304"/>
      <c r="O226" s="304"/>
      <c r="P226" s="304"/>
      <c r="Q226" s="304"/>
    </row>
    <row r="227" spans="1:17" ht="13.8" x14ac:dyDescent="0.3">
      <c r="A227" s="388">
        <f t="shared" si="13"/>
        <v>205</v>
      </c>
      <c r="B227" s="389">
        <f t="shared" ca="1" si="14"/>
        <v>0.11899306161837932</v>
      </c>
      <c r="C227" s="389">
        <f t="shared" ca="1" si="15"/>
        <v>5.0122675543711158E-2</v>
      </c>
      <c r="D227" s="390">
        <f t="shared" ca="1" si="16"/>
        <v>1.1538403232608694</v>
      </c>
      <c r="E227" s="391" cm="1">
        <f t="array" aca="1" ref="E227" ca="1">(SUMPRODUCT($B$13:$F$13*D227/(1+B227)^$B$14:$F$14)+($F$13*D227*(1+C227))/(B227-C227)/(1+B227)^$F$14-$B$15+$B$16)/$B$17</f>
        <v>1822.1770201175034</v>
      </c>
      <c r="F227" s="304"/>
      <c r="G227" s="304"/>
      <c r="H227" s="304"/>
      <c r="I227" s="304"/>
      <c r="J227" s="304"/>
      <c r="K227" s="304"/>
      <c r="L227" s="304"/>
      <c r="M227" s="304"/>
      <c r="N227" s="304"/>
      <c r="O227" s="304"/>
      <c r="P227" s="304"/>
      <c r="Q227" s="304"/>
    </row>
    <row r="228" spans="1:17" ht="13.8" x14ac:dyDescent="0.3">
      <c r="A228" s="388">
        <f t="shared" si="13"/>
        <v>206</v>
      </c>
      <c r="B228" s="389">
        <f t="shared" ca="1" si="14"/>
        <v>0.12205732814450333</v>
      </c>
      <c r="C228" s="389">
        <f t="shared" ca="1" si="15"/>
        <v>4.4471176164416239E-2</v>
      </c>
      <c r="D228" s="390">
        <f t="shared" ca="1" si="16"/>
        <v>1.0862411234415328</v>
      </c>
      <c r="E228" s="391" cm="1">
        <f t="array" aca="1" ref="E228" ca="1">(SUMPRODUCT($B$13:$F$13*D228/(1+B228)^$B$14:$F$14)+($F$13*D228*(1+C228))/(B228-C228)/(1+B228)^$F$14-$B$15+$B$16)/$B$17</f>
        <v>1531.5550159953859</v>
      </c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</row>
    <row r="229" spans="1:17" ht="13.8" x14ac:dyDescent="0.3">
      <c r="A229" s="388">
        <f t="shared" si="13"/>
        <v>207</v>
      </c>
      <c r="B229" s="389">
        <f t="shared" ca="1" si="14"/>
        <v>0.13339783491840917</v>
      </c>
      <c r="C229" s="389">
        <f t="shared" ca="1" si="15"/>
        <v>6.2294034666126166E-2</v>
      </c>
      <c r="D229" s="390">
        <f t="shared" ca="1" si="16"/>
        <v>1.0244891810729368</v>
      </c>
      <c r="E229" s="391" cm="1">
        <f t="array" aca="1" ref="E229" ca="1">(SUMPRODUCT($B$13:$F$13*D229/(1+B229)^$B$14:$F$14)+($F$13*D229*(1+C229))/(B229-C229)/(1+B229)^$F$14-$B$15+$B$16)/$B$17</f>
        <v>1498.2294507522299</v>
      </c>
      <c r="F229" s="304"/>
      <c r="G229" s="304"/>
      <c r="H229" s="304"/>
      <c r="I229" s="304"/>
      <c r="J229" s="304"/>
      <c r="K229" s="304"/>
      <c r="L229" s="304"/>
      <c r="M229" s="304"/>
      <c r="N229" s="304"/>
      <c r="O229" s="304"/>
      <c r="P229" s="304"/>
      <c r="Q229" s="304"/>
    </row>
    <row r="230" spans="1:17" ht="13.8" x14ac:dyDescent="0.3">
      <c r="A230" s="388">
        <f t="shared" si="13"/>
        <v>208</v>
      </c>
      <c r="B230" s="389">
        <f t="shared" ca="1" si="14"/>
        <v>0.11431345495075274</v>
      </c>
      <c r="C230" s="389">
        <f t="shared" ca="1" si="15"/>
        <v>6.0571531297012079E-2</v>
      </c>
      <c r="D230" s="390">
        <f t="shared" ca="1" si="16"/>
        <v>0.97968338082558359</v>
      </c>
      <c r="E230" s="391" cm="1">
        <f t="array" aca="1" ref="E230" ca="1">(SUMPRODUCT($B$13:$F$13*D230/(1+B230)^$B$14:$F$14)+($F$13*D230*(1+C230))/(B230-C230)/(1+B230)^$F$14-$B$15+$B$16)/$B$17</f>
        <v>1944.5091179653152</v>
      </c>
      <c r="F230" s="304"/>
      <c r="G230" s="304"/>
      <c r="H230" s="304"/>
      <c r="I230" s="304"/>
      <c r="J230" s="304"/>
      <c r="K230" s="304"/>
      <c r="L230" s="304"/>
      <c r="M230" s="304"/>
      <c r="N230" s="304"/>
      <c r="O230" s="304"/>
      <c r="P230" s="304"/>
      <c r="Q230" s="304"/>
    </row>
    <row r="231" spans="1:17" ht="13.8" x14ac:dyDescent="0.3">
      <c r="A231" s="388">
        <f t="shared" si="13"/>
        <v>209</v>
      </c>
      <c r="B231" s="389">
        <f t="shared" ca="1" si="14"/>
        <v>0.11851527450307983</v>
      </c>
      <c r="C231" s="389">
        <f t="shared" ca="1" si="15"/>
        <v>5.0923218403794795E-2</v>
      </c>
      <c r="D231" s="390">
        <f t="shared" ca="1" si="16"/>
        <v>0.91246023588907244</v>
      </c>
      <c r="E231" s="391" cm="1">
        <f t="array" aca="1" ref="E231" ca="1">(SUMPRODUCT($B$13:$F$13*D231/(1+B231)^$B$14:$F$14)+($F$13*D231*(1+C231))/(B231-C231)/(1+B231)^$F$14-$B$15+$B$16)/$B$17</f>
        <v>1456.7663250812614</v>
      </c>
      <c r="F231" s="304"/>
      <c r="G231" s="304"/>
      <c r="H231" s="304"/>
      <c r="I231" s="304"/>
      <c r="J231" s="304"/>
      <c r="K231" s="304"/>
      <c r="L231" s="304"/>
      <c r="M231" s="304"/>
      <c r="N231" s="304"/>
      <c r="O231" s="304"/>
      <c r="P231" s="304"/>
      <c r="Q231" s="304"/>
    </row>
    <row r="232" spans="1:17" ht="13.8" x14ac:dyDescent="0.3">
      <c r="A232" s="388">
        <f t="shared" si="13"/>
        <v>210</v>
      </c>
      <c r="B232" s="389">
        <f t="shared" ca="1" si="14"/>
        <v>0.12979167515120671</v>
      </c>
      <c r="C232" s="389">
        <f t="shared" ca="1" si="15"/>
        <v>6.0516207877282339E-2</v>
      </c>
      <c r="D232" s="390">
        <f t="shared" ca="1" si="16"/>
        <v>0.9367235053699684</v>
      </c>
      <c r="E232" s="391" cm="1">
        <f t="array" aca="1" ref="E232" ca="1">(SUMPRODUCT($B$13:$F$13*D232/(1+B232)^$B$14:$F$14)+($F$13*D232*(1+C232))/(B232-C232)/(1+B232)^$F$14-$B$15+$B$16)/$B$17</f>
        <v>1413.0367262118084</v>
      </c>
      <c r="F232" s="304"/>
      <c r="G232" s="304"/>
      <c r="H232" s="304"/>
      <c r="I232" s="304"/>
      <c r="J232" s="304"/>
      <c r="K232" s="304"/>
      <c r="L232" s="304"/>
      <c r="M232" s="304"/>
      <c r="N232" s="304"/>
      <c r="O232" s="304"/>
      <c r="P232" s="304"/>
      <c r="Q232" s="304"/>
    </row>
    <row r="233" spans="1:17" ht="13.8" x14ac:dyDescent="0.3">
      <c r="A233" s="388">
        <f t="shared" si="13"/>
        <v>211</v>
      </c>
      <c r="B233" s="389">
        <f t="shared" ca="1" si="14"/>
        <v>0.12701642740206037</v>
      </c>
      <c r="C233" s="389">
        <f t="shared" ca="1" si="15"/>
        <v>4.6708023041171082E-2</v>
      </c>
      <c r="D233" s="390">
        <f t="shared" ca="1" si="16"/>
        <v>0.88940118228298948</v>
      </c>
      <c r="E233" s="391" cm="1">
        <f t="array" aca="1" ref="E233" ca="1">(SUMPRODUCT($B$13:$F$13*D233/(1+B233)^$B$14:$F$14)+($F$13*D233*(1+C233))/(B233-C233)/(1+B233)^$F$14-$B$15+$B$16)/$B$17</f>
        <v>1190.3025385383326</v>
      </c>
      <c r="F233" s="304"/>
      <c r="G233" s="304"/>
      <c r="H233" s="304"/>
      <c r="I233" s="304"/>
      <c r="J233" s="304"/>
      <c r="K233" s="304"/>
      <c r="L233" s="304"/>
      <c r="M233" s="304"/>
      <c r="N233" s="304"/>
      <c r="O233" s="304"/>
      <c r="P233" s="304"/>
      <c r="Q233" s="304"/>
    </row>
    <row r="234" spans="1:17" ht="13.8" x14ac:dyDescent="0.3">
      <c r="A234" s="388">
        <f t="shared" si="13"/>
        <v>212</v>
      </c>
      <c r="B234" s="389">
        <f t="shared" ca="1" si="14"/>
        <v>0.1184790069595931</v>
      </c>
      <c r="C234" s="389">
        <f t="shared" ca="1" si="15"/>
        <v>4.3791297061916624E-2</v>
      </c>
      <c r="D234" s="390">
        <f t="shared" ca="1" si="16"/>
        <v>0.85783169087628885</v>
      </c>
      <c r="E234" s="391" cm="1">
        <f t="array" aca="1" ref="E234" ca="1">(SUMPRODUCT($B$13:$F$13*D234/(1+B234)^$B$14:$F$14)+($F$13*D234*(1+C234))/(B234-C234)/(1+B234)^$F$14-$B$15+$B$16)/$B$17</f>
        <v>1253.7042681216205</v>
      </c>
      <c r="F234" s="304"/>
      <c r="G234" s="304"/>
      <c r="H234" s="304"/>
      <c r="I234" s="304"/>
      <c r="J234" s="304"/>
      <c r="K234" s="304"/>
      <c r="L234" s="304"/>
      <c r="M234" s="304"/>
      <c r="N234" s="304"/>
      <c r="O234" s="304"/>
      <c r="P234" s="304"/>
      <c r="Q234" s="304"/>
    </row>
    <row r="235" spans="1:17" ht="13.8" x14ac:dyDescent="0.3">
      <c r="A235" s="388">
        <f t="shared" si="13"/>
        <v>213</v>
      </c>
      <c r="B235" s="389">
        <f t="shared" ca="1" si="14"/>
        <v>0.12785393572527171</v>
      </c>
      <c r="C235" s="389">
        <f t="shared" ca="1" si="15"/>
        <v>4.2625506198154556E-2</v>
      </c>
      <c r="D235" s="390">
        <f t="shared" ca="1" si="16"/>
        <v>0.892740839302127</v>
      </c>
      <c r="E235" s="391" cm="1">
        <f t="array" aca="1" ref="E235" ca="1">(SUMPRODUCT($B$13:$F$13*D235/(1+B235)^$B$14:$F$14)+($F$13*D235*(1+C235))/(B235-C235)/(1+B235)^$F$14-$B$15+$B$16)/$B$17</f>
        <v>1133.3719243196292</v>
      </c>
      <c r="F235" s="304"/>
      <c r="G235" s="304"/>
      <c r="H235" s="304"/>
      <c r="I235" s="304"/>
      <c r="J235" s="304"/>
      <c r="K235" s="304"/>
      <c r="L235" s="304"/>
      <c r="M235" s="304"/>
      <c r="N235" s="304"/>
      <c r="O235" s="304"/>
      <c r="P235" s="304"/>
      <c r="Q235" s="304"/>
    </row>
    <row r="236" spans="1:17" ht="13.8" x14ac:dyDescent="0.3">
      <c r="A236" s="388">
        <f t="shared" si="13"/>
        <v>214</v>
      </c>
      <c r="B236" s="389">
        <f t="shared" ca="1" si="14"/>
        <v>0.11189695088070779</v>
      </c>
      <c r="C236" s="389">
        <f t="shared" ca="1" si="15"/>
        <v>5.7480292392930496E-2</v>
      </c>
      <c r="D236" s="390">
        <f t="shared" ca="1" si="16"/>
        <v>0.77906568918876762</v>
      </c>
      <c r="E236" s="391" cm="1">
        <f t="array" aca="1" ref="E236" ca="1">(SUMPRODUCT($B$13:$F$13*D236/(1+B236)^$B$14:$F$14)+($F$13*D236*(1+C236))/(B236-C236)/(1+B236)^$F$14-$B$15+$B$16)/$B$17</f>
        <v>1531.5748109878891</v>
      </c>
      <c r="F236" s="304"/>
      <c r="G236" s="304"/>
      <c r="H236" s="304"/>
      <c r="I236" s="304"/>
      <c r="J236" s="304"/>
      <c r="K236" s="304"/>
      <c r="L236" s="304"/>
      <c r="M236" s="304"/>
      <c r="N236" s="304"/>
      <c r="O236" s="304"/>
      <c r="P236" s="304"/>
      <c r="Q236" s="304"/>
    </row>
    <row r="237" spans="1:17" ht="13.8" x14ac:dyDescent="0.3">
      <c r="A237" s="388">
        <f t="shared" si="13"/>
        <v>215</v>
      </c>
      <c r="B237" s="389">
        <f t="shared" ca="1" si="14"/>
        <v>0.11813895914086893</v>
      </c>
      <c r="C237" s="389">
        <f t="shared" ca="1" si="15"/>
        <v>4.3629332735641138E-2</v>
      </c>
      <c r="D237" s="390">
        <f t="shared" ca="1" si="16"/>
        <v>1.0929509713543444</v>
      </c>
      <c r="E237" s="391" cm="1">
        <f t="array" aca="1" ref="E237" ca="1">(SUMPRODUCT($B$13:$F$13*D237/(1+B237)^$B$14:$F$14)+($F$13*D237*(1+C237))/(B237-C237)/(1+B237)^$F$14-$B$15+$B$16)/$B$17</f>
        <v>1615.3953669376069</v>
      </c>
      <c r="F237" s="304"/>
      <c r="G237" s="304"/>
      <c r="H237" s="304"/>
      <c r="I237" s="304"/>
      <c r="J237" s="304"/>
      <c r="K237" s="304"/>
      <c r="L237" s="304"/>
      <c r="M237" s="304"/>
      <c r="N237" s="304"/>
      <c r="O237" s="304"/>
      <c r="P237" s="304"/>
      <c r="Q237" s="304"/>
    </row>
    <row r="238" spans="1:17" ht="13.8" x14ac:dyDescent="0.3">
      <c r="A238" s="388">
        <f t="shared" si="13"/>
        <v>216</v>
      </c>
      <c r="B238" s="389">
        <f t="shared" ca="1" si="14"/>
        <v>0.10187234809057893</v>
      </c>
      <c r="C238" s="389">
        <f t="shared" ca="1" si="15"/>
        <v>4.7005562688156421E-2</v>
      </c>
      <c r="D238" s="390">
        <f t="shared" ca="1" si="16"/>
        <v>0.98750676523673786</v>
      </c>
      <c r="E238" s="391" cm="1">
        <f t="array" aca="1" ref="E238" ca="1">(SUMPRODUCT($B$13:$F$13*D238/(1+B238)^$B$14:$F$14)+($F$13*D238*(1+C238))/(B238-C238)/(1+B238)^$F$14-$B$15+$B$16)/$B$17</f>
        <v>2004.5833763727685</v>
      </c>
      <c r="F238" s="304"/>
      <c r="G238" s="304"/>
      <c r="H238" s="304"/>
      <c r="I238" s="304"/>
      <c r="J238" s="304"/>
      <c r="K238" s="304"/>
      <c r="L238" s="304"/>
      <c r="M238" s="304"/>
      <c r="N238" s="304"/>
      <c r="O238" s="304"/>
      <c r="P238" s="304"/>
      <c r="Q238" s="304"/>
    </row>
    <row r="239" spans="1:17" ht="13.8" x14ac:dyDescent="0.3">
      <c r="A239" s="388">
        <f t="shared" si="13"/>
        <v>217</v>
      </c>
      <c r="B239" s="389">
        <f t="shared" ca="1" si="14"/>
        <v>0.12570719109136685</v>
      </c>
      <c r="C239" s="389">
        <f t="shared" ca="1" si="15"/>
        <v>5.7536640516743107E-2</v>
      </c>
      <c r="D239" s="390">
        <f t="shared" ca="1" si="16"/>
        <v>1.0907601332978796</v>
      </c>
      <c r="E239" s="391" cm="1">
        <f t="array" aca="1" ref="E239" ca="1">(SUMPRODUCT($B$13:$F$13*D239/(1+B239)^$B$14:$F$14)+($F$13*D239*(1+C239))/(B239-C239)/(1+B239)^$F$14-$B$15+$B$16)/$B$17</f>
        <v>1698.2594209108011</v>
      </c>
      <c r="F239" s="304"/>
      <c r="G239" s="304"/>
      <c r="H239" s="304"/>
      <c r="I239" s="304"/>
      <c r="J239" s="304"/>
      <c r="K239" s="304"/>
      <c r="L239" s="304"/>
      <c r="M239" s="304"/>
      <c r="N239" s="304"/>
      <c r="O239" s="304"/>
      <c r="P239" s="304"/>
      <c r="Q239" s="304"/>
    </row>
    <row r="240" spans="1:17" ht="13.8" x14ac:dyDescent="0.3">
      <c r="A240" s="388">
        <f t="shared" si="13"/>
        <v>218</v>
      </c>
      <c r="B240" s="389">
        <f t="shared" ca="1" si="14"/>
        <v>0.12726494416286724</v>
      </c>
      <c r="C240" s="389">
        <f t="shared" ca="1" si="15"/>
        <v>4.622857965192418E-2</v>
      </c>
      <c r="D240" s="390">
        <f t="shared" ca="1" si="16"/>
        <v>1.0796861698187608</v>
      </c>
      <c r="E240" s="391" cm="1">
        <f t="array" aca="1" ref="E240" ca="1">(SUMPRODUCT($B$13:$F$13*D240/(1+B240)^$B$14:$F$14)+($F$13*D240*(1+C240))/(B240-C240)/(1+B240)^$F$14-$B$15+$B$16)/$B$17</f>
        <v>1442.9751353989043</v>
      </c>
      <c r="F240" s="304"/>
      <c r="G240" s="304"/>
      <c r="H240" s="304"/>
      <c r="I240" s="304"/>
      <c r="J240" s="304"/>
      <c r="K240" s="304"/>
      <c r="L240" s="304"/>
      <c r="M240" s="304"/>
      <c r="N240" s="304"/>
      <c r="O240" s="304"/>
      <c r="P240" s="304"/>
      <c r="Q240" s="304"/>
    </row>
    <row r="241" spans="1:17" ht="13.8" x14ac:dyDescent="0.3">
      <c r="A241" s="388">
        <f t="shared" si="13"/>
        <v>219</v>
      </c>
      <c r="B241" s="389">
        <f t="shared" ca="1" si="14"/>
        <v>0.11480991404281767</v>
      </c>
      <c r="C241" s="389">
        <f t="shared" ca="1" si="15"/>
        <v>5.5777251387644104E-2</v>
      </c>
      <c r="D241" s="390">
        <f t="shared" ca="1" si="16"/>
        <v>1.0399439594112649</v>
      </c>
      <c r="E241" s="391" cm="1">
        <f t="array" aca="1" ref="E241" ca="1">(SUMPRODUCT($B$13:$F$13*D241/(1+B241)^$B$14:$F$14)+($F$13*D241*(1+C241))/(B241-C241)/(1+B241)^$F$14-$B$15+$B$16)/$B$17</f>
        <v>1898.9326008421569</v>
      </c>
      <c r="F241" s="304"/>
      <c r="G241" s="304"/>
      <c r="H241" s="304"/>
      <c r="I241" s="304"/>
      <c r="J241" s="304"/>
      <c r="K241" s="304"/>
      <c r="L241" s="304"/>
      <c r="M241" s="304"/>
      <c r="N241" s="304"/>
      <c r="O241" s="304"/>
      <c r="P241" s="304"/>
      <c r="Q241" s="304"/>
    </row>
    <row r="242" spans="1:17" ht="13.8" x14ac:dyDescent="0.3">
      <c r="A242" s="388">
        <f t="shared" si="13"/>
        <v>220</v>
      </c>
      <c r="B242" s="389">
        <f t="shared" ca="1" si="14"/>
        <v>0.12967875495796405</v>
      </c>
      <c r="C242" s="389">
        <f t="shared" ca="1" si="15"/>
        <v>3.9597842196087293E-2</v>
      </c>
      <c r="D242" s="390">
        <f t="shared" ca="1" si="16"/>
        <v>0.98094865018534638</v>
      </c>
      <c r="E242" s="391" cm="1">
        <f t="array" aca="1" ref="E242" ca="1">(SUMPRODUCT($B$13:$F$13*D242/(1+B242)^$B$14:$F$14)+($F$13*D242*(1+C242))/(B242-C242)/(1+B242)^$F$14-$B$15+$B$16)/$B$17</f>
        <v>1186.7609630925688</v>
      </c>
      <c r="F242" s="304"/>
      <c r="G242" s="304"/>
      <c r="H242" s="304"/>
      <c r="I242" s="304"/>
      <c r="J242" s="304"/>
      <c r="K242" s="304"/>
      <c r="L242" s="304"/>
      <c r="M242" s="304"/>
      <c r="N242" s="304"/>
      <c r="O242" s="304"/>
      <c r="P242" s="304"/>
      <c r="Q242" s="304"/>
    </row>
    <row r="243" spans="1:17" ht="13.8" x14ac:dyDescent="0.3">
      <c r="A243" s="388">
        <f t="shared" si="13"/>
        <v>221</v>
      </c>
      <c r="B243" s="389">
        <f t="shared" ca="1" si="14"/>
        <v>0.11693449444257123</v>
      </c>
      <c r="C243" s="389">
        <f t="shared" ca="1" si="15"/>
        <v>5.0336447859651912E-2</v>
      </c>
      <c r="D243" s="390">
        <f t="shared" ca="1" si="16"/>
        <v>0.92093032777707551</v>
      </c>
      <c r="E243" s="391" cm="1">
        <f t="array" aca="1" ref="E243" ca="1">(SUMPRODUCT($B$13:$F$13*D243/(1+B243)^$B$14:$F$14)+($F$13*D243*(1+C243))/(B243-C243)/(1+B243)^$F$14-$B$15+$B$16)/$B$17</f>
        <v>1497.455261743085</v>
      </c>
      <c r="F243" s="304"/>
      <c r="G243" s="304"/>
      <c r="H243" s="304"/>
      <c r="I243" s="304"/>
      <c r="J243" s="304"/>
      <c r="K243" s="304"/>
      <c r="L243" s="304"/>
      <c r="M243" s="304"/>
      <c r="N243" s="304"/>
      <c r="O243" s="304"/>
      <c r="P243" s="304"/>
      <c r="Q243" s="304"/>
    </row>
    <row r="244" spans="1:17" ht="13.8" x14ac:dyDescent="0.3">
      <c r="A244" s="388">
        <f t="shared" si="13"/>
        <v>222</v>
      </c>
      <c r="B244" s="389">
        <f t="shared" ca="1" si="14"/>
        <v>0.12497609022303874</v>
      </c>
      <c r="C244" s="389">
        <f t="shared" ca="1" si="15"/>
        <v>6.9122267307622304E-2</v>
      </c>
      <c r="D244" s="390">
        <f t="shared" ca="1" si="16"/>
        <v>1.0191880252488208</v>
      </c>
      <c r="E244" s="391" cm="1">
        <f t="array" aca="1" ref="E244" ca="1">(SUMPRODUCT($B$13:$F$13*D244/(1+B244)^$B$14:$F$14)+($F$13*D244*(1+C244))/(B244-C244)/(1+B244)^$F$14-$B$15+$B$16)/$B$17</f>
        <v>1890.2380246745029</v>
      </c>
      <c r="F244" s="304"/>
      <c r="G244" s="304"/>
      <c r="H244" s="304"/>
      <c r="I244" s="304"/>
      <c r="J244" s="304"/>
      <c r="K244" s="304"/>
      <c r="L244" s="304"/>
      <c r="M244" s="304"/>
      <c r="N244" s="304"/>
      <c r="O244" s="304"/>
      <c r="P244" s="304"/>
      <c r="Q244" s="304"/>
    </row>
    <row r="245" spans="1:17" ht="13.8" x14ac:dyDescent="0.3">
      <c r="A245" s="388">
        <f t="shared" si="13"/>
        <v>223</v>
      </c>
      <c r="B245" s="389">
        <f t="shared" ca="1" si="14"/>
        <v>0.12104334975225814</v>
      </c>
      <c r="C245" s="389">
        <f t="shared" ca="1" si="15"/>
        <v>4.7472349815444452E-2</v>
      </c>
      <c r="D245" s="390">
        <f t="shared" ca="1" si="16"/>
        <v>0.89426854321502181</v>
      </c>
      <c r="E245" s="391" cm="1">
        <f t="array" aca="1" ref="E245" ca="1">(SUMPRODUCT($B$13:$F$13*D245/(1+B245)^$B$14:$F$14)+($F$13*D245*(1+C245))/(B245-C245)/(1+B245)^$F$14-$B$15+$B$16)/$B$17</f>
        <v>1315.1094024308052</v>
      </c>
      <c r="F245" s="304"/>
      <c r="G245" s="304"/>
      <c r="H245" s="304"/>
      <c r="I245" s="304"/>
      <c r="J245" s="304"/>
      <c r="K245" s="304"/>
      <c r="L245" s="304"/>
      <c r="M245" s="304"/>
      <c r="N245" s="304"/>
      <c r="O245" s="304"/>
      <c r="P245" s="304"/>
      <c r="Q245" s="304"/>
    </row>
    <row r="246" spans="1:17" ht="13.8" x14ac:dyDescent="0.3">
      <c r="A246" s="388">
        <f t="shared" si="13"/>
        <v>224</v>
      </c>
      <c r="B246" s="389">
        <f t="shared" ca="1" si="14"/>
        <v>0.13014751781548292</v>
      </c>
      <c r="C246" s="389">
        <f t="shared" ca="1" si="15"/>
        <v>4.9932794433701327E-2</v>
      </c>
      <c r="D246" s="390">
        <f t="shared" ca="1" si="16"/>
        <v>1.0258878187147777</v>
      </c>
      <c r="E246" s="391" cm="1">
        <f t="array" aca="1" ref="E246" ca="1">(SUMPRODUCT($B$13:$F$13*D246/(1+B246)^$B$14:$F$14)+($F$13*D246*(1+C246))/(B246-C246)/(1+B246)^$F$14-$B$15+$B$16)/$B$17</f>
        <v>1367.9482186115436</v>
      </c>
      <c r="F246" s="304"/>
      <c r="G246" s="304"/>
      <c r="H246" s="304"/>
      <c r="I246" s="304"/>
      <c r="J246" s="304"/>
      <c r="K246" s="304"/>
      <c r="L246" s="304"/>
      <c r="M246" s="304"/>
      <c r="N246" s="304"/>
      <c r="O246" s="304"/>
      <c r="P246" s="304"/>
      <c r="Q246" s="304"/>
    </row>
    <row r="247" spans="1:17" ht="13.8" x14ac:dyDescent="0.3">
      <c r="A247" s="388">
        <f t="shared" si="13"/>
        <v>225</v>
      </c>
      <c r="B247" s="389">
        <f t="shared" ca="1" si="14"/>
        <v>0.11661299645915266</v>
      </c>
      <c r="C247" s="389">
        <f t="shared" ca="1" si="15"/>
        <v>5.2402964632786694E-2</v>
      </c>
      <c r="D247" s="390">
        <f t="shared" ca="1" si="16"/>
        <v>0.85484856418497646</v>
      </c>
      <c r="E247" s="391" cm="1">
        <f t="array" aca="1" ref="E247" ca="1">(SUMPRODUCT($B$13:$F$13*D247/(1+B247)^$B$14:$F$14)+($F$13*D247*(1+C247))/(B247-C247)/(1+B247)^$F$14-$B$15+$B$16)/$B$17</f>
        <v>1433.1258127878471</v>
      </c>
      <c r="F247" s="304"/>
      <c r="G247" s="304"/>
      <c r="H247" s="304"/>
      <c r="I247" s="304"/>
      <c r="J247" s="304"/>
      <c r="K247" s="304"/>
      <c r="L247" s="304"/>
      <c r="M247" s="304"/>
      <c r="N247" s="304"/>
      <c r="O247" s="304"/>
      <c r="P247" s="304"/>
      <c r="Q247" s="304"/>
    </row>
    <row r="248" spans="1:17" ht="13.8" x14ac:dyDescent="0.3">
      <c r="A248" s="388">
        <f t="shared" si="13"/>
        <v>226</v>
      </c>
      <c r="B248" s="389">
        <f t="shared" ca="1" si="14"/>
        <v>0.1358002663727014</v>
      </c>
      <c r="C248" s="389">
        <f t="shared" ca="1" si="15"/>
        <v>3.9095449627931864E-2</v>
      </c>
      <c r="D248" s="390">
        <f t="shared" ca="1" si="16"/>
        <v>0.90536704787306976</v>
      </c>
      <c r="E248" s="391" cm="1">
        <f t="array" aca="1" ref="E248" ca="1">(SUMPRODUCT($B$13:$F$13*D248/(1+B248)^$B$14:$F$14)+($F$13*D248*(1+C248))/(B248-C248)/(1+B248)^$F$14-$B$15+$B$16)/$B$17</f>
        <v>1009.6776862658224</v>
      </c>
      <c r="F248" s="304"/>
      <c r="G248" s="304"/>
      <c r="H248" s="304"/>
      <c r="I248" s="304"/>
      <c r="J248" s="304"/>
      <c r="K248" s="304"/>
      <c r="L248" s="304"/>
      <c r="M248" s="304"/>
      <c r="N248" s="304"/>
      <c r="O248" s="304"/>
      <c r="P248" s="304"/>
      <c r="Q248" s="304"/>
    </row>
    <row r="249" spans="1:17" ht="13.8" x14ac:dyDescent="0.3">
      <c r="A249" s="388">
        <f t="shared" si="13"/>
        <v>227</v>
      </c>
      <c r="B249" s="389">
        <f t="shared" ca="1" si="14"/>
        <v>0.12395935367755417</v>
      </c>
      <c r="C249" s="389">
        <f t="shared" ca="1" si="15"/>
        <v>5.7854908499862918E-2</v>
      </c>
      <c r="D249" s="390">
        <f t="shared" ca="1" si="16"/>
        <v>1.0215142196208744</v>
      </c>
      <c r="E249" s="391" cm="1">
        <f t="array" aca="1" ref="E249" ca="1">(SUMPRODUCT($B$13:$F$13*D249/(1+B249)^$B$14:$F$14)+($F$13*D249*(1+C249))/(B249-C249)/(1+B249)^$F$14-$B$15+$B$16)/$B$17</f>
        <v>1639.5059732503369</v>
      </c>
      <c r="F249" s="304"/>
      <c r="G249" s="304"/>
      <c r="H249" s="304"/>
      <c r="I249" s="304"/>
      <c r="J249" s="304"/>
      <c r="K249" s="304"/>
      <c r="L249" s="304"/>
      <c r="M249" s="304"/>
      <c r="N249" s="304"/>
      <c r="O249" s="304"/>
      <c r="P249" s="304"/>
      <c r="Q249" s="304"/>
    </row>
    <row r="250" spans="1:17" ht="13.8" x14ac:dyDescent="0.3">
      <c r="A250" s="388">
        <f t="shared" si="13"/>
        <v>228</v>
      </c>
      <c r="B250" s="389">
        <f t="shared" ca="1" si="14"/>
        <v>0.13561454051457911</v>
      </c>
      <c r="C250" s="389">
        <f t="shared" ca="1" si="15"/>
        <v>5.089015084077466E-2</v>
      </c>
      <c r="D250" s="390">
        <f t="shared" ca="1" si="16"/>
        <v>0.97115526316728984</v>
      </c>
      <c r="E250" s="391" cm="1">
        <f t="array" aca="1" ref="E250" ca="1">(SUMPRODUCT($B$13:$F$13*D250/(1+B250)^$B$14:$F$14)+($F$13*D250*(1+C250))/(B250-C250)/(1+B250)^$F$14-$B$15+$B$16)/$B$17</f>
        <v>1213.074506743244</v>
      </c>
      <c r="F250" s="304"/>
      <c r="G250" s="304"/>
      <c r="H250" s="304"/>
      <c r="I250" s="304"/>
      <c r="J250" s="304"/>
      <c r="K250" s="304"/>
      <c r="L250" s="304"/>
      <c r="M250" s="304"/>
      <c r="N250" s="304"/>
      <c r="O250" s="304"/>
      <c r="P250" s="304"/>
      <c r="Q250" s="304"/>
    </row>
    <row r="251" spans="1:17" ht="13.8" x14ac:dyDescent="0.3">
      <c r="A251" s="388">
        <f t="shared" si="13"/>
        <v>229</v>
      </c>
      <c r="B251" s="389">
        <f t="shared" ca="1" si="14"/>
        <v>0.1325229555784338</v>
      </c>
      <c r="C251" s="389">
        <f t="shared" ca="1" si="15"/>
        <v>5.6850918057184285E-2</v>
      </c>
      <c r="D251" s="390">
        <f t="shared" ca="1" si="16"/>
        <v>1.1380870647286443</v>
      </c>
      <c r="E251" s="391" cm="1">
        <f t="array" aca="1" ref="E251" ca="1">(SUMPRODUCT($B$13:$F$13*D251/(1+B251)^$B$14:$F$14)+($F$13*D251*(1+C251))/(B251-C251)/(1+B251)^$F$14-$B$15+$B$16)/$B$17</f>
        <v>1587.686355026847</v>
      </c>
      <c r="F251" s="304"/>
      <c r="G251" s="304"/>
      <c r="H251" s="304"/>
      <c r="I251" s="304"/>
      <c r="J251" s="304"/>
      <c r="K251" s="304"/>
      <c r="L251" s="304"/>
      <c r="M251" s="304"/>
      <c r="N251" s="304"/>
      <c r="O251" s="304"/>
      <c r="P251" s="304"/>
      <c r="Q251" s="304"/>
    </row>
    <row r="252" spans="1:17" ht="13.8" x14ac:dyDescent="0.3">
      <c r="A252" s="388">
        <f t="shared" si="13"/>
        <v>230</v>
      </c>
      <c r="B252" s="389">
        <f t="shared" ca="1" si="14"/>
        <v>0.10648206087790633</v>
      </c>
      <c r="C252" s="389">
        <f t="shared" ca="1" si="15"/>
        <v>4.6631096228620536E-2</v>
      </c>
      <c r="D252" s="390">
        <f t="shared" ca="1" si="16"/>
        <v>0.9010068598093266</v>
      </c>
      <c r="E252" s="391" cm="1">
        <f t="array" aca="1" ref="E252" ca="1">(SUMPRODUCT($B$13:$F$13*D252/(1+B252)^$B$14:$F$14)+($F$13*D252*(1+C252))/(B252-C252)/(1+B252)^$F$14-$B$15+$B$16)/$B$17</f>
        <v>1663.7269861201323</v>
      </c>
      <c r="F252" s="304"/>
      <c r="G252" s="304"/>
      <c r="H252" s="304"/>
      <c r="I252" s="304"/>
      <c r="J252" s="304"/>
      <c r="K252" s="304"/>
      <c r="L252" s="304"/>
      <c r="M252" s="304"/>
      <c r="N252" s="304"/>
      <c r="O252" s="304"/>
      <c r="P252" s="304"/>
      <c r="Q252" s="304"/>
    </row>
    <row r="253" spans="1:17" ht="13.8" x14ac:dyDescent="0.3">
      <c r="A253" s="388">
        <f t="shared" si="13"/>
        <v>231</v>
      </c>
      <c r="B253" s="389">
        <f t="shared" ca="1" si="14"/>
        <v>0.12002943856016865</v>
      </c>
      <c r="C253" s="389">
        <f t="shared" ca="1" si="15"/>
        <v>4.41172676182051E-2</v>
      </c>
      <c r="D253" s="390">
        <f t="shared" ca="1" si="16"/>
        <v>0.95304079264186714</v>
      </c>
      <c r="E253" s="391" cm="1">
        <f t="array" aca="1" ref="E253" ca="1">(SUMPRODUCT($B$13:$F$13*D253/(1+B253)^$B$14:$F$14)+($F$13*D253*(1+C253))/(B253-C253)/(1+B253)^$F$14-$B$15+$B$16)/$B$17</f>
        <v>1371.9482604047957</v>
      </c>
      <c r="F253" s="304"/>
      <c r="G253" s="304"/>
      <c r="H253" s="304"/>
      <c r="I253" s="304"/>
      <c r="J253" s="304"/>
      <c r="K253" s="304"/>
      <c r="L253" s="304"/>
      <c r="M253" s="304"/>
      <c r="N253" s="304"/>
      <c r="O253" s="304"/>
      <c r="P253" s="304"/>
      <c r="Q253" s="304"/>
    </row>
    <row r="254" spans="1:17" ht="13.8" x14ac:dyDescent="0.3">
      <c r="A254" s="388">
        <f t="shared" si="13"/>
        <v>232</v>
      </c>
      <c r="B254" s="389">
        <f t="shared" ca="1" si="14"/>
        <v>0.11153826785592945</v>
      </c>
      <c r="C254" s="389">
        <f t="shared" ca="1" si="15"/>
        <v>4.3187034059166074E-2</v>
      </c>
      <c r="D254" s="390">
        <f t="shared" ca="1" si="16"/>
        <v>0.9673632883037222</v>
      </c>
      <c r="E254" s="391" cm="1">
        <f t="array" aca="1" ref="E254" ca="1">(SUMPRODUCT($B$13:$F$13*D254/(1+B254)^$B$14:$F$14)+($F$13*D254*(1+C254))/(B254-C254)/(1+B254)^$F$14-$B$15+$B$16)/$B$17</f>
        <v>1567.3669679943596</v>
      </c>
      <c r="F254" s="304"/>
      <c r="G254" s="304"/>
      <c r="H254" s="304"/>
      <c r="I254" s="304"/>
      <c r="J254" s="304"/>
      <c r="K254" s="304"/>
      <c r="L254" s="304"/>
      <c r="M254" s="304"/>
      <c r="N254" s="304"/>
      <c r="O254" s="304"/>
      <c r="P254" s="304"/>
      <c r="Q254" s="304"/>
    </row>
    <row r="255" spans="1:17" ht="13.8" x14ac:dyDescent="0.3">
      <c r="A255" s="388">
        <f t="shared" si="13"/>
        <v>233</v>
      </c>
      <c r="B255" s="389">
        <f t="shared" ca="1" si="14"/>
        <v>0.12238178264166655</v>
      </c>
      <c r="C255" s="389">
        <f t="shared" ca="1" si="15"/>
        <v>5.6502421426771393E-2</v>
      </c>
      <c r="D255" s="390">
        <f t="shared" ca="1" si="16"/>
        <v>1.0728208029606678</v>
      </c>
      <c r="E255" s="391" cm="1">
        <f t="array" aca="1" ref="E255" ca="1">(SUMPRODUCT($B$13:$F$13*D255/(1+B255)^$B$14:$F$14)+($F$13*D255*(1+C255))/(B255-C255)/(1+B255)^$F$14-$B$15+$B$16)/$B$17</f>
        <v>1738.1198891163765</v>
      </c>
      <c r="F255" s="304"/>
      <c r="G255" s="304"/>
      <c r="H255" s="304"/>
      <c r="I255" s="304"/>
      <c r="J255" s="304"/>
      <c r="K255" s="304"/>
      <c r="L255" s="304"/>
      <c r="M255" s="304"/>
      <c r="N255" s="304"/>
      <c r="O255" s="304"/>
      <c r="P255" s="304"/>
      <c r="Q255" s="304"/>
    </row>
    <row r="256" spans="1:17" ht="13.8" x14ac:dyDescent="0.3">
      <c r="A256" s="388">
        <f t="shared" si="13"/>
        <v>234</v>
      </c>
      <c r="B256" s="389">
        <f t="shared" ca="1" si="14"/>
        <v>0.11312066222927042</v>
      </c>
      <c r="C256" s="389">
        <f t="shared" ca="1" si="15"/>
        <v>3.597633000546259E-2</v>
      </c>
      <c r="D256" s="390">
        <f t="shared" ca="1" si="16"/>
        <v>0.97737596450965059</v>
      </c>
      <c r="E256" s="391" cm="1">
        <f t="array" aca="1" ref="E256" ca="1">(SUMPRODUCT($B$13:$F$13*D256/(1+B256)^$B$14:$F$14)+($F$13*D256*(1+C256))/(B256-C256)/(1+B256)^$F$14-$B$15+$B$16)/$B$17</f>
        <v>1420.242070774146</v>
      </c>
      <c r="F256" s="304"/>
      <c r="G256" s="304"/>
      <c r="H256" s="304"/>
      <c r="I256" s="304"/>
      <c r="J256" s="304"/>
      <c r="K256" s="304"/>
      <c r="L256" s="304"/>
      <c r="M256" s="304"/>
      <c r="N256" s="304"/>
      <c r="O256" s="304"/>
      <c r="P256" s="304"/>
      <c r="Q256" s="304"/>
    </row>
    <row r="257" spans="1:17" ht="13.8" x14ac:dyDescent="0.3">
      <c r="A257" s="388">
        <f t="shared" si="13"/>
        <v>235</v>
      </c>
      <c r="B257" s="389">
        <f t="shared" ca="1" si="14"/>
        <v>0.12418361923530237</v>
      </c>
      <c r="C257" s="389">
        <f t="shared" ca="1" si="15"/>
        <v>4.2080627830866406E-2</v>
      </c>
      <c r="D257" s="390">
        <f t="shared" ca="1" si="16"/>
        <v>0.86199338317497476</v>
      </c>
      <c r="E257" s="391" cm="1">
        <f t="array" aca="1" ref="E257" ca="1">(SUMPRODUCT($B$13:$F$13*D257/(1+B257)^$B$14:$F$14)+($F$13*D257*(1+C257))/(B257-C257)/(1+B257)^$F$14-$B$15+$B$16)/$B$17</f>
        <v>1141.0613369902264</v>
      </c>
      <c r="F257" s="304"/>
      <c r="G257" s="304"/>
      <c r="H257" s="304"/>
      <c r="I257" s="304"/>
      <c r="J257" s="304"/>
      <c r="K257" s="304"/>
      <c r="L257" s="304"/>
      <c r="M257" s="304"/>
      <c r="N257" s="304"/>
      <c r="O257" s="304"/>
      <c r="P257" s="304"/>
      <c r="Q257" s="304"/>
    </row>
    <row r="258" spans="1:17" ht="13.8" x14ac:dyDescent="0.3">
      <c r="A258" s="388">
        <f t="shared" si="13"/>
        <v>236</v>
      </c>
      <c r="B258" s="389">
        <f t="shared" ca="1" si="14"/>
        <v>0.13790787121086562</v>
      </c>
      <c r="C258" s="389">
        <f t="shared" ca="1" si="15"/>
        <v>5.2178303322192712E-2</v>
      </c>
      <c r="D258" s="390">
        <f t="shared" ca="1" si="16"/>
        <v>0.864726649221641</v>
      </c>
      <c r="E258" s="391" cm="1">
        <f t="array" aca="1" ref="E258" ca="1">(SUMPRODUCT($B$13:$F$13*D258/(1+B258)^$B$14:$F$14)+($F$13*D258*(1+C258))/(B258-C258)/(1+B258)^$F$14-$B$15+$B$16)/$B$17</f>
        <v>1056.6095639889108</v>
      </c>
      <c r="F258" s="304"/>
      <c r="G258" s="304"/>
      <c r="H258" s="304"/>
      <c r="I258" s="304"/>
      <c r="J258" s="304"/>
      <c r="K258" s="304"/>
      <c r="L258" s="304"/>
      <c r="M258" s="304"/>
      <c r="N258" s="304"/>
      <c r="O258" s="304"/>
      <c r="P258" s="304"/>
      <c r="Q258" s="304"/>
    </row>
    <row r="259" spans="1:17" ht="13.8" x14ac:dyDescent="0.3">
      <c r="A259" s="388">
        <f t="shared" si="13"/>
        <v>237</v>
      </c>
      <c r="B259" s="389">
        <f t="shared" ca="1" si="14"/>
        <v>0.14093903629393345</v>
      </c>
      <c r="C259" s="389">
        <f t="shared" ca="1" si="15"/>
        <v>5.9063741423459201E-2</v>
      </c>
      <c r="D259" s="390">
        <f t="shared" ca="1" si="16"/>
        <v>1.0629245576381736</v>
      </c>
      <c r="E259" s="391" cm="1">
        <f t="array" aca="1" ref="E259" ca="1">(SUMPRODUCT($B$13:$F$13*D259/(1+B259)^$B$14:$F$14)+($F$13*D259*(1+C259))/(B259-C259)/(1+B259)^$F$14-$B$15+$B$16)/$B$17</f>
        <v>1348.1689945382664</v>
      </c>
      <c r="F259" s="304"/>
      <c r="G259" s="304"/>
      <c r="H259" s="304"/>
      <c r="I259" s="304"/>
      <c r="J259" s="304"/>
      <c r="K259" s="304"/>
      <c r="L259" s="304"/>
      <c r="M259" s="304"/>
      <c r="N259" s="304"/>
      <c r="O259" s="304"/>
      <c r="P259" s="304"/>
      <c r="Q259" s="304"/>
    </row>
    <row r="260" spans="1:17" ht="13.8" x14ac:dyDescent="0.3">
      <c r="A260" s="388">
        <f t="shared" si="13"/>
        <v>238</v>
      </c>
      <c r="B260" s="389">
        <f t="shared" ca="1" si="14"/>
        <v>0.10437767854542188</v>
      </c>
      <c r="C260" s="389">
        <f t="shared" ca="1" si="15"/>
        <v>5.8470214102350815E-2</v>
      </c>
      <c r="D260" s="390">
        <f t="shared" ca="1" si="16"/>
        <v>1.0428858932348619</v>
      </c>
      <c r="E260" s="391" cm="1">
        <f t="array" aca="1" ref="E260" ca="1">(SUMPRODUCT($B$13:$F$13*D260/(1+B260)^$B$14:$F$14)+($F$13*D260*(1+C260))/(B260-C260)/(1+B260)^$F$14-$B$15+$B$16)/$B$17</f>
        <v>2467.2839523770203</v>
      </c>
      <c r="F260" s="304"/>
      <c r="G260" s="304"/>
      <c r="H260" s="304"/>
      <c r="I260" s="304"/>
      <c r="J260" s="304"/>
      <c r="K260" s="304"/>
      <c r="L260" s="304"/>
      <c r="M260" s="304"/>
      <c r="N260" s="304"/>
      <c r="O260" s="304"/>
      <c r="P260" s="304"/>
      <c r="Q260" s="304"/>
    </row>
    <row r="261" spans="1:17" ht="13.8" x14ac:dyDescent="0.3">
      <c r="A261" s="388">
        <f t="shared" si="13"/>
        <v>239</v>
      </c>
      <c r="B261" s="389">
        <f t="shared" ca="1" si="14"/>
        <v>0.14471790489437561</v>
      </c>
      <c r="C261" s="389">
        <f t="shared" ca="1" si="15"/>
        <v>6.4487929815955025E-2</v>
      </c>
      <c r="D261" s="390">
        <f t="shared" ca="1" si="16"/>
        <v>1.0433232905162784</v>
      </c>
      <c r="E261" s="391" cm="1">
        <f t="array" aca="1" ref="E261" ca="1">(SUMPRODUCT($B$13:$F$13*D261/(1+B261)^$B$14:$F$14)+($F$13*D261*(1+C261))/(B261-C261)/(1+B261)^$F$14-$B$15+$B$16)/$B$17</f>
        <v>1329.3739758251327</v>
      </c>
      <c r="F261" s="304"/>
      <c r="G261" s="304"/>
      <c r="H261" s="304"/>
      <c r="I261" s="304"/>
      <c r="J261" s="304"/>
      <c r="K261" s="304"/>
      <c r="L261" s="304"/>
      <c r="M261" s="304"/>
      <c r="N261" s="304"/>
      <c r="O261" s="304"/>
      <c r="P261" s="304"/>
      <c r="Q261" s="304"/>
    </row>
    <row r="262" spans="1:17" ht="13.8" x14ac:dyDescent="0.3">
      <c r="A262" s="388">
        <f t="shared" si="13"/>
        <v>240</v>
      </c>
      <c r="B262" s="389">
        <f t="shared" ca="1" si="14"/>
        <v>0.13671772495579357</v>
      </c>
      <c r="C262" s="389">
        <f t="shared" ca="1" si="15"/>
        <v>5.2898662606449924E-2</v>
      </c>
      <c r="D262" s="390">
        <f t="shared" ca="1" si="16"/>
        <v>1.0581889488412524</v>
      </c>
      <c r="E262" s="391" cm="1">
        <f t="array" aca="1" ref="E262" ca="1">(SUMPRODUCT($B$13:$F$13*D262/(1+B262)^$B$14:$F$14)+($F$13*D262*(1+C262))/(B262-C262)/(1+B262)^$F$14-$B$15+$B$16)/$B$17</f>
        <v>1333.3762384825304</v>
      </c>
      <c r="F262" s="304"/>
      <c r="G262" s="304"/>
      <c r="H262" s="304"/>
      <c r="I262" s="304"/>
      <c r="J262" s="304"/>
      <c r="K262" s="304"/>
      <c r="L262" s="304"/>
      <c r="M262" s="304"/>
      <c r="N262" s="304"/>
      <c r="O262" s="304"/>
      <c r="P262" s="304"/>
      <c r="Q262" s="304"/>
    </row>
    <row r="263" spans="1:17" ht="13.8" x14ac:dyDescent="0.3">
      <c r="A263" s="388">
        <f t="shared" si="13"/>
        <v>241</v>
      </c>
      <c r="B263" s="389">
        <f t="shared" ca="1" si="14"/>
        <v>0.14969646392111277</v>
      </c>
      <c r="C263" s="389">
        <f t="shared" ca="1" si="15"/>
        <v>7.1381705837245832E-2</v>
      </c>
      <c r="D263" s="390">
        <f t="shared" ca="1" si="16"/>
        <v>0.88109092023510094</v>
      </c>
      <c r="E263" s="391" cm="1">
        <f t="array" aca="1" ref="E263" ca="1">(SUMPRODUCT($B$13:$F$13*D263/(1+B263)^$B$14:$F$14)+($F$13*D263*(1+C263))/(B263-C263)/(1+B263)^$F$14-$B$15+$B$16)/$B$17</f>
        <v>1120.7144768371072</v>
      </c>
      <c r="F263" s="304"/>
      <c r="G263" s="304"/>
      <c r="H263" s="304"/>
      <c r="I263" s="304"/>
      <c r="J263" s="304"/>
      <c r="K263" s="304"/>
      <c r="L263" s="304"/>
      <c r="M263" s="304"/>
      <c r="N263" s="304"/>
      <c r="O263" s="304"/>
      <c r="P263" s="304"/>
      <c r="Q263" s="304"/>
    </row>
    <row r="264" spans="1:17" ht="13.8" x14ac:dyDescent="0.3">
      <c r="A264" s="388">
        <f t="shared" si="13"/>
        <v>242</v>
      </c>
      <c r="B264" s="389">
        <f t="shared" ca="1" si="14"/>
        <v>0.11827031845081616</v>
      </c>
      <c r="C264" s="389">
        <f t="shared" ca="1" si="15"/>
        <v>4.196563169138158E-2</v>
      </c>
      <c r="D264" s="390">
        <f t="shared" ca="1" si="16"/>
        <v>0.96240366489348184</v>
      </c>
      <c r="E264" s="391" cm="1">
        <f t="array" aca="1" ref="E264" ca="1">(SUMPRODUCT($B$13:$F$13*D264/(1+B264)^$B$14:$F$14)+($F$13*D264*(1+C264))/(B264-C264)/(1+B264)^$F$14-$B$15+$B$16)/$B$17</f>
        <v>1387.631139788904</v>
      </c>
      <c r="F264" s="304"/>
      <c r="G264" s="304"/>
      <c r="H264" s="304"/>
      <c r="I264" s="304"/>
      <c r="J264" s="304"/>
      <c r="K264" s="304"/>
      <c r="L264" s="304"/>
      <c r="M264" s="304"/>
      <c r="N264" s="304"/>
      <c r="O264" s="304"/>
      <c r="P264" s="304"/>
      <c r="Q264" s="304"/>
    </row>
    <row r="265" spans="1:17" ht="13.8" x14ac:dyDescent="0.3">
      <c r="A265" s="388">
        <f t="shared" si="13"/>
        <v>243</v>
      </c>
      <c r="B265" s="389">
        <f t="shared" ca="1" si="14"/>
        <v>0.12848303178510492</v>
      </c>
      <c r="C265" s="389">
        <f t="shared" ca="1" si="15"/>
        <v>4.8056747577659022E-2</v>
      </c>
      <c r="D265" s="390">
        <f t="shared" ca="1" si="16"/>
        <v>1.0184700394811632</v>
      </c>
      <c r="E265" s="391" cm="1">
        <f t="array" aca="1" ref="E265" ca="1">(SUMPRODUCT($B$13:$F$13*D265/(1+B265)^$B$14:$F$14)+($F$13*D265*(1+C265))/(B265-C265)/(1+B265)^$F$14-$B$15+$B$16)/$B$17</f>
        <v>1361.8744266895108</v>
      </c>
      <c r="F265" s="304"/>
      <c r="G265" s="304"/>
      <c r="H265" s="304"/>
      <c r="I265" s="304"/>
      <c r="J265" s="304"/>
      <c r="K265" s="304"/>
      <c r="L265" s="304"/>
      <c r="M265" s="304"/>
      <c r="N265" s="304"/>
      <c r="O265" s="304"/>
      <c r="P265" s="304"/>
      <c r="Q265" s="304"/>
    </row>
    <row r="266" spans="1:17" ht="13.8" x14ac:dyDescent="0.3">
      <c r="A266" s="388">
        <f t="shared" si="13"/>
        <v>244</v>
      </c>
      <c r="B266" s="389">
        <f t="shared" ca="1" si="14"/>
        <v>0.13540106627082976</v>
      </c>
      <c r="C266" s="389">
        <f t="shared" ca="1" si="15"/>
        <v>5.0988060762151531E-2</v>
      </c>
      <c r="D266" s="390">
        <f t="shared" ca="1" si="16"/>
        <v>1.0394707876612626</v>
      </c>
      <c r="E266" s="391" cm="1">
        <f t="array" aca="1" ref="E266" ca="1">(SUMPRODUCT($B$13:$F$13*D266/(1+B266)^$B$14:$F$14)+($F$13*D266*(1+C266))/(B266-C266)/(1+B266)^$F$14-$B$15+$B$16)/$B$17</f>
        <v>1306.6426240545366</v>
      </c>
      <c r="F266" s="304"/>
      <c r="G266" s="304"/>
      <c r="H266" s="304"/>
      <c r="I266" s="304"/>
      <c r="J266" s="304"/>
      <c r="K266" s="304"/>
      <c r="L266" s="304"/>
      <c r="M266" s="304"/>
      <c r="N266" s="304"/>
      <c r="O266" s="304"/>
      <c r="P266" s="304"/>
      <c r="Q266" s="304"/>
    </row>
    <row r="267" spans="1:17" ht="13.8" x14ac:dyDescent="0.3">
      <c r="A267" s="388">
        <f t="shared" si="13"/>
        <v>245</v>
      </c>
      <c r="B267" s="389">
        <f t="shared" ca="1" si="14"/>
        <v>0.13084081890615826</v>
      </c>
      <c r="C267" s="389">
        <f t="shared" ca="1" si="15"/>
        <v>4.8611236704420038E-2</v>
      </c>
      <c r="D267" s="390">
        <f t="shared" ca="1" si="16"/>
        <v>0.96136687123181497</v>
      </c>
      <c r="E267" s="391" cm="1">
        <f t="array" aca="1" ref="E267" ca="1">(SUMPRODUCT($B$13:$F$13*D267/(1+B267)^$B$14:$F$14)+($F$13*D267*(1+C267))/(B267-C267)/(1+B267)^$F$14-$B$15+$B$16)/$B$17</f>
        <v>1249.6544699371873</v>
      </c>
      <c r="F267" s="304"/>
      <c r="G267" s="304"/>
      <c r="H267" s="304"/>
      <c r="I267" s="304"/>
      <c r="J267" s="304"/>
      <c r="K267" s="304"/>
      <c r="L267" s="304"/>
      <c r="M267" s="304"/>
      <c r="N267" s="304"/>
      <c r="O267" s="304"/>
      <c r="P267" s="304"/>
      <c r="Q267" s="304"/>
    </row>
    <row r="268" spans="1:17" ht="13.8" x14ac:dyDescent="0.3">
      <c r="A268" s="388">
        <f t="shared" si="13"/>
        <v>246</v>
      </c>
      <c r="B268" s="389">
        <f t="shared" ca="1" si="14"/>
        <v>0.12557503024281613</v>
      </c>
      <c r="C268" s="389">
        <f t="shared" ca="1" si="15"/>
        <v>3.6110627085824867E-2</v>
      </c>
      <c r="D268" s="390">
        <f t="shared" ca="1" si="16"/>
        <v>0.91090991532752741</v>
      </c>
      <c r="E268" s="391" cm="1">
        <f t="array" aca="1" ref="E268" ca="1">(SUMPRODUCT($B$13:$F$13*D268/(1+B268)^$B$14:$F$14)+($F$13*D268*(1+C268))/(B268-C268)/(1+B268)^$F$14-$B$15+$B$16)/$B$17</f>
        <v>1119.4596071361507</v>
      </c>
      <c r="F268" s="304"/>
      <c r="G268" s="304"/>
      <c r="H268" s="304"/>
      <c r="I268" s="304"/>
      <c r="J268" s="304"/>
      <c r="K268" s="304"/>
      <c r="L268" s="304"/>
      <c r="M268" s="304"/>
      <c r="N268" s="304"/>
      <c r="O268" s="304"/>
      <c r="P268" s="304"/>
      <c r="Q268" s="304"/>
    </row>
    <row r="269" spans="1:17" ht="13.8" x14ac:dyDescent="0.3">
      <c r="A269" s="388">
        <f t="shared" si="13"/>
        <v>247</v>
      </c>
      <c r="B269" s="389">
        <f t="shared" ca="1" si="14"/>
        <v>0.12745456449009002</v>
      </c>
      <c r="C269" s="389">
        <f t="shared" ca="1" si="15"/>
        <v>4.8587694181168484E-2</v>
      </c>
      <c r="D269" s="390">
        <f t="shared" ca="1" si="16"/>
        <v>1.0892803154022974</v>
      </c>
      <c r="E269" s="391" cm="1">
        <f t="array" aca="1" ref="E269" ca="1">(SUMPRODUCT($B$13:$F$13*D269/(1+B269)^$B$14:$F$14)+($F$13*D269*(1+C269))/(B269-C269)/(1+B269)^$F$14-$B$15+$B$16)/$B$17</f>
        <v>1489.0301024081582</v>
      </c>
      <c r="F269" s="304"/>
      <c r="G269" s="304"/>
      <c r="H269" s="304"/>
      <c r="I269" s="304"/>
      <c r="J269" s="304"/>
      <c r="K269" s="304"/>
      <c r="L269" s="304"/>
      <c r="M269" s="304"/>
      <c r="N269" s="304"/>
      <c r="O269" s="304"/>
      <c r="P269" s="304"/>
      <c r="Q269" s="304"/>
    </row>
    <row r="270" spans="1:17" ht="13.8" x14ac:dyDescent="0.3">
      <c r="A270" s="388">
        <f t="shared" si="13"/>
        <v>248</v>
      </c>
      <c r="B270" s="389">
        <f t="shared" ca="1" si="14"/>
        <v>0.11776903305195296</v>
      </c>
      <c r="C270" s="389">
        <f t="shared" ca="1" si="15"/>
        <v>4.9817468457137588E-2</v>
      </c>
      <c r="D270" s="390">
        <f t="shared" ca="1" si="16"/>
        <v>0.92758360496669401</v>
      </c>
      <c r="E270" s="391" cm="1">
        <f t="array" aca="1" ref="E270" ca="1">(SUMPRODUCT($B$13:$F$13*D270/(1+B270)^$B$14:$F$14)+($F$13*D270*(1+C270))/(B270-C270)/(1+B270)^$F$14-$B$15+$B$16)/$B$17</f>
        <v>1478.4478226816132</v>
      </c>
      <c r="F270" s="304"/>
      <c r="G270" s="304"/>
      <c r="H270" s="304"/>
      <c r="I270" s="304"/>
      <c r="J270" s="304"/>
      <c r="K270" s="304"/>
      <c r="L270" s="304"/>
      <c r="M270" s="304"/>
      <c r="N270" s="304"/>
      <c r="O270" s="304"/>
      <c r="P270" s="304"/>
      <c r="Q270" s="304"/>
    </row>
    <row r="271" spans="1:17" ht="13.8" x14ac:dyDescent="0.3">
      <c r="A271" s="388">
        <f t="shared" si="13"/>
        <v>249</v>
      </c>
      <c r="B271" s="389">
        <f t="shared" ca="1" si="14"/>
        <v>0.1134494670253125</v>
      </c>
      <c r="C271" s="389">
        <f t="shared" ca="1" si="15"/>
        <v>4.0174466930860457E-2</v>
      </c>
      <c r="D271" s="390">
        <f t="shared" ca="1" si="16"/>
        <v>1.2172600606366104</v>
      </c>
      <c r="E271" s="391" cm="1">
        <f t="array" aca="1" ref="E271" ca="1">(SUMPRODUCT($B$13:$F$13*D271/(1+B271)^$B$14:$F$14)+($F$13*D271*(1+C271))/(B271-C271)/(1+B271)^$F$14-$B$15+$B$16)/$B$17</f>
        <v>1858.1318768391234</v>
      </c>
      <c r="F271" s="304"/>
      <c r="G271" s="304"/>
      <c r="H271" s="304"/>
      <c r="I271" s="304"/>
      <c r="J271" s="304"/>
      <c r="K271" s="304"/>
      <c r="L271" s="304"/>
      <c r="M271" s="304"/>
      <c r="N271" s="304"/>
      <c r="O271" s="304"/>
      <c r="P271" s="304"/>
      <c r="Q271" s="304"/>
    </row>
    <row r="272" spans="1:17" ht="13.8" x14ac:dyDescent="0.3">
      <c r="A272" s="388">
        <f t="shared" si="13"/>
        <v>250</v>
      </c>
      <c r="B272" s="389">
        <f t="shared" ca="1" si="14"/>
        <v>0.11924259073608849</v>
      </c>
      <c r="C272" s="389">
        <f t="shared" ca="1" si="15"/>
        <v>4.164450096571521E-2</v>
      </c>
      <c r="D272" s="390">
        <f t="shared" ca="1" si="16"/>
        <v>1.0077057772911584</v>
      </c>
      <c r="E272" s="391" cm="1">
        <f t="array" aca="1" ref="E272" ca="1">(SUMPRODUCT($B$13:$F$13*D272/(1+B272)^$B$14:$F$14)+($F$13*D272*(1+C272))/(B272-C272)/(1+B272)^$F$14-$B$15+$B$16)/$B$17</f>
        <v>1430.0427101032162</v>
      </c>
      <c r="F272" s="304"/>
      <c r="G272" s="304"/>
      <c r="H272" s="304"/>
      <c r="I272" s="304"/>
      <c r="J272" s="304"/>
      <c r="K272" s="304"/>
      <c r="L272" s="304"/>
      <c r="M272" s="304"/>
      <c r="N272" s="304"/>
      <c r="O272" s="304"/>
      <c r="P272" s="304"/>
      <c r="Q272" s="304"/>
    </row>
    <row r="273" spans="1:17" ht="13.8" x14ac:dyDescent="0.3">
      <c r="A273" s="388">
        <f t="shared" si="13"/>
        <v>251</v>
      </c>
      <c r="B273" s="389">
        <f t="shared" ca="1" si="14"/>
        <v>0.10487386311186148</v>
      </c>
      <c r="C273" s="389">
        <f t="shared" ca="1" si="15"/>
        <v>2.9774515835054489E-2</v>
      </c>
      <c r="D273" s="390">
        <f t="shared" ca="1" si="16"/>
        <v>1.0606061271188265</v>
      </c>
      <c r="E273" s="391" cm="1">
        <f t="array" aca="1" ref="E273" ca="1">(SUMPRODUCT($B$13:$F$13*D273/(1+B273)^$B$14:$F$14)+($F$13*D273*(1+C273))/(B273-C273)/(1+B273)^$F$14-$B$15+$B$16)/$B$17</f>
        <v>1623.7797697706403</v>
      </c>
      <c r="F273" s="304"/>
      <c r="G273" s="304"/>
      <c r="H273" s="304"/>
      <c r="I273" s="304"/>
      <c r="J273" s="304"/>
      <c r="K273" s="304"/>
      <c r="L273" s="304"/>
      <c r="M273" s="304"/>
      <c r="N273" s="304"/>
      <c r="O273" s="304"/>
      <c r="P273" s="304"/>
      <c r="Q273" s="304"/>
    </row>
    <row r="274" spans="1:17" ht="13.8" x14ac:dyDescent="0.3">
      <c r="A274" s="388">
        <f t="shared" si="13"/>
        <v>252</v>
      </c>
      <c r="B274" s="389">
        <f t="shared" ca="1" si="14"/>
        <v>0.13569847911431709</v>
      </c>
      <c r="C274" s="389">
        <f t="shared" ca="1" si="15"/>
        <v>4.8892671050560561E-2</v>
      </c>
      <c r="D274" s="390">
        <f t="shared" ca="1" si="16"/>
        <v>1.0484292576220791</v>
      </c>
      <c r="E274" s="391" cm="1">
        <f t="array" aca="1" ref="E274" ca="1">(SUMPRODUCT($B$13:$F$13*D274/(1+B274)^$B$14:$F$14)+($F$13*D274*(1+C274))/(B274-C274)/(1+B274)^$F$14-$B$15+$B$16)/$B$17</f>
        <v>1286.7243852195907</v>
      </c>
      <c r="F274" s="304"/>
      <c r="G274" s="304"/>
      <c r="H274" s="304"/>
      <c r="I274" s="304"/>
      <c r="J274" s="304"/>
      <c r="K274" s="304"/>
      <c r="L274" s="304"/>
      <c r="M274" s="304"/>
      <c r="N274" s="304"/>
      <c r="O274" s="304"/>
      <c r="P274" s="304"/>
      <c r="Q274" s="304"/>
    </row>
    <row r="275" spans="1:17" ht="13.8" x14ac:dyDescent="0.3">
      <c r="A275" s="388">
        <f t="shared" si="13"/>
        <v>253</v>
      </c>
      <c r="B275" s="389">
        <f t="shared" ca="1" si="14"/>
        <v>0.10716498814791918</v>
      </c>
      <c r="C275" s="389">
        <f t="shared" ca="1" si="15"/>
        <v>5.3290279424513129E-2</v>
      </c>
      <c r="D275" s="390">
        <f t="shared" ca="1" si="16"/>
        <v>0.95783895267419428</v>
      </c>
      <c r="E275" s="391" cm="1">
        <f t="array" aca="1" ref="E275" ca="1">(SUMPRODUCT($B$13:$F$13*D275/(1+B275)^$B$14:$F$14)+($F$13*D275*(1+C275))/(B275-C275)/(1+B275)^$F$14-$B$15+$B$16)/$B$17</f>
        <v>1940.7529486509841</v>
      </c>
      <c r="F275" s="304"/>
      <c r="G275" s="304"/>
      <c r="H275" s="304"/>
      <c r="I275" s="304"/>
      <c r="J275" s="304"/>
      <c r="K275" s="304"/>
      <c r="L275" s="304"/>
      <c r="M275" s="304"/>
      <c r="N275" s="304"/>
      <c r="O275" s="304"/>
      <c r="P275" s="304"/>
      <c r="Q275" s="304"/>
    </row>
    <row r="276" spans="1:17" ht="13.8" x14ac:dyDescent="0.3">
      <c r="A276" s="388">
        <f t="shared" si="13"/>
        <v>254</v>
      </c>
      <c r="B276" s="389">
        <f t="shared" ca="1" si="14"/>
        <v>0.11576972347862938</v>
      </c>
      <c r="C276" s="389">
        <f t="shared" ca="1" si="15"/>
        <v>5.0676619969895295E-2</v>
      </c>
      <c r="D276" s="390">
        <f t="shared" ca="1" si="16"/>
        <v>0.9427385243109685</v>
      </c>
      <c r="E276" s="391" cm="1">
        <f t="array" aca="1" ref="E276" ca="1">(SUMPRODUCT($B$13:$F$13*D276/(1+B276)^$B$14:$F$14)+($F$13*D276*(1+C276))/(B276-C276)/(1+B276)^$F$14-$B$15+$B$16)/$B$17</f>
        <v>1570.8327318390084</v>
      </c>
      <c r="F276" s="304"/>
      <c r="G276" s="304"/>
      <c r="H276" s="304"/>
      <c r="I276" s="304"/>
      <c r="J276" s="304"/>
      <c r="K276" s="304"/>
      <c r="L276" s="304"/>
      <c r="M276" s="304"/>
      <c r="N276" s="304"/>
      <c r="O276" s="304"/>
      <c r="P276" s="304"/>
      <c r="Q276" s="304"/>
    </row>
    <row r="277" spans="1:17" ht="13.8" x14ac:dyDescent="0.3">
      <c r="A277" s="388">
        <f t="shared" si="13"/>
        <v>255</v>
      </c>
      <c r="B277" s="389">
        <f t="shared" ca="1" si="14"/>
        <v>0.11046022065974459</v>
      </c>
      <c r="C277" s="389">
        <f t="shared" ca="1" si="15"/>
        <v>4.5567302150432205E-2</v>
      </c>
      <c r="D277" s="390">
        <f t="shared" ca="1" si="16"/>
        <v>0.97529512184512135</v>
      </c>
      <c r="E277" s="391" cm="1">
        <f t="array" aca="1" ref="E277" ca="1">(SUMPRODUCT($B$13:$F$13*D277/(1+B277)^$B$14:$F$14)+($F$13*D277*(1+C277))/(B277-C277)/(1+B277)^$F$14-$B$15+$B$16)/$B$17</f>
        <v>1659.4593672564918</v>
      </c>
      <c r="F277" s="304"/>
      <c r="G277" s="304"/>
      <c r="H277" s="304"/>
      <c r="I277" s="304"/>
      <c r="J277" s="304"/>
      <c r="K277" s="304"/>
      <c r="L277" s="304"/>
      <c r="M277" s="304"/>
      <c r="N277" s="304"/>
      <c r="O277" s="304"/>
      <c r="P277" s="304"/>
      <c r="Q277" s="304"/>
    </row>
    <row r="278" spans="1:17" ht="13.8" x14ac:dyDescent="0.3">
      <c r="A278" s="388">
        <f t="shared" si="13"/>
        <v>256</v>
      </c>
      <c r="B278" s="389">
        <f t="shared" ca="1" si="14"/>
        <v>0.12881785646799299</v>
      </c>
      <c r="C278" s="389">
        <f t="shared" ca="1" si="15"/>
        <v>5.2276451474184339E-2</v>
      </c>
      <c r="D278" s="390">
        <f t="shared" ca="1" si="16"/>
        <v>0.77846967362766262</v>
      </c>
      <c r="E278" s="391" cm="1">
        <f t="array" aca="1" ref="E278" ca="1">(SUMPRODUCT($B$13:$F$13*D278/(1+B278)^$B$14:$F$14)+($F$13*D278*(1+C278))/(B278-C278)/(1+B278)^$F$14-$B$15+$B$16)/$B$17</f>
        <v>1073.2012652631072</v>
      </c>
      <c r="F278" s="304"/>
      <c r="G278" s="304"/>
      <c r="H278" s="304"/>
      <c r="I278" s="304"/>
      <c r="J278" s="304"/>
      <c r="K278" s="304"/>
      <c r="L278" s="304"/>
      <c r="M278" s="304"/>
      <c r="N278" s="304"/>
      <c r="O278" s="304"/>
      <c r="P278" s="304"/>
      <c r="Q278" s="304"/>
    </row>
    <row r="279" spans="1:17" ht="13.8" x14ac:dyDescent="0.3">
      <c r="A279" s="388">
        <f t="shared" si="13"/>
        <v>257</v>
      </c>
      <c r="B279" s="389">
        <f t="shared" ca="1" si="14"/>
        <v>0.13299946865381526</v>
      </c>
      <c r="C279" s="389">
        <f t="shared" ca="1" si="15"/>
        <v>6.0303487941691492E-2</v>
      </c>
      <c r="D279" s="390">
        <f t="shared" ca="1" si="16"/>
        <v>0.83586653606022743</v>
      </c>
      <c r="E279" s="391" cm="1">
        <f t="array" aca="1" ref="E279" ca="1">(SUMPRODUCT($B$13:$F$13*D279/(1+B279)^$B$14:$F$14)+($F$13*D279*(1+C279))/(B279-C279)/(1+B279)^$F$14-$B$15+$B$16)/$B$17</f>
        <v>1192.1506391357179</v>
      </c>
      <c r="F279" s="304"/>
      <c r="G279" s="304"/>
      <c r="H279" s="304"/>
      <c r="I279" s="304"/>
      <c r="J279" s="304"/>
      <c r="K279" s="304"/>
      <c r="L279" s="304"/>
      <c r="M279" s="304"/>
      <c r="N279" s="304"/>
      <c r="O279" s="304"/>
      <c r="P279" s="304"/>
      <c r="Q279" s="304"/>
    </row>
    <row r="280" spans="1:17" ht="13.8" x14ac:dyDescent="0.3">
      <c r="A280" s="388">
        <f t="shared" ref="A280:A343" si="17">ROW()-22</f>
        <v>258</v>
      </c>
      <c r="B280" s="389">
        <f t="shared" ref="B280:B343" ca="1" si="18">_xlfn.NORM.INV(RAND(),$B$6,$C$6)</f>
        <v>0.11636831946926399</v>
      </c>
      <c r="C280" s="389">
        <f t="shared" ref="C280:C343" ca="1" si="19">MIN(_xlfn.NORM.INV(RAND(),$B$7,$C$7),B280-0.005)</f>
        <v>5.3015642502102132E-2</v>
      </c>
      <c r="D280" s="390">
        <f t="shared" ref="D280:D343" ca="1" si="20">_xlfn.NORM.INV(RAND(),$B$8,$C$8)</f>
        <v>0.91832325354335187</v>
      </c>
      <c r="E280" s="391" cm="1">
        <f t="array" aca="1" ref="E280" ca="1">(SUMPRODUCT($B$13:$F$13*D280/(1+B280)^$B$14:$F$14)+($F$13*D280*(1+C280))/(B280-C280)/(1+B280)^$F$14-$B$15+$B$16)/$B$17</f>
        <v>1562.5861102803501</v>
      </c>
      <c r="F280" s="304"/>
      <c r="G280" s="304"/>
      <c r="H280" s="304"/>
      <c r="I280" s="304"/>
      <c r="J280" s="304"/>
      <c r="K280" s="304"/>
      <c r="L280" s="304"/>
      <c r="M280" s="304"/>
      <c r="N280" s="304"/>
      <c r="O280" s="304"/>
      <c r="P280" s="304"/>
      <c r="Q280" s="304"/>
    </row>
    <row r="281" spans="1:17" ht="13.8" x14ac:dyDescent="0.3">
      <c r="A281" s="388">
        <f t="shared" si="17"/>
        <v>259</v>
      </c>
      <c r="B281" s="389">
        <f t="shared" ca="1" si="18"/>
        <v>0.11547368726715479</v>
      </c>
      <c r="C281" s="389">
        <f t="shared" ca="1" si="19"/>
        <v>4.035685131147048E-2</v>
      </c>
      <c r="D281" s="390">
        <f t="shared" ca="1" si="20"/>
        <v>1.1748510018211133</v>
      </c>
      <c r="E281" s="391" cm="1">
        <f t="array" aca="1" ref="E281" ca="1">(SUMPRODUCT($B$13:$F$13*D281/(1+B281)^$B$14:$F$14)+($F$13*D281*(1+C281))/(B281-C281)/(1+B281)^$F$14-$B$15+$B$16)/$B$17</f>
        <v>1742.8513828738351</v>
      </c>
      <c r="F281" s="304"/>
      <c r="G281" s="304"/>
      <c r="H281" s="304"/>
      <c r="I281" s="304"/>
      <c r="J281" s="304"/>
      <c r="K281" s="304"/>
      <c r="L281" s="304"/>
      <c r="M281" s="304"/>
      <c r="N281" s="304"/>
      <c r="O281" s="304"/>
      <c r="P281" s="304"/>
      <c r="Q281" s="304"/>
    </row>
    <row r="282" spans="1:17" ht="13.8" x14ac:dyDescent="0.3">
      <c r="A282" s="388">
        <f t="shared" si="17"/>
        <v>260</v>
      </c>
      <c r="B282" s="389">
        <f t="shared" ca="1" si="18"/>
        <v>0.12201048611990475</v>
      </c>
      <c r="C282" s="389">
        <f t="shared" ca="1" si="19"/>
        <v>5.4948536647289381E-2</v>
      </c>
      <c r="D282" s="390">
        <f t="shared" ca="1" si="20"/>
        <v>1.0563862714920411</v>
      </c>
      <c r="E282" s="391" cm="1">
        <f t="array" aca="1" ref="E282" ca="1">(SUMPRODUCT($B$13:$F$13*D282/(1+B282)^$B$14:$F$14)+($F$13*D282*(1+C282))/(B282-C282)/(1+B282)^$F$14-$B$15+$B$16)/$B$17</f>
        <v>1686.5774766861289</v>
      </c>
      <c r="F282" s="304"/>
      <c r="G282" s="304"/>
      <c r="H282" s="304"/>
      <c r="I282" s="304"/>
      <c r="J282" s="304"/>
      <c r="K282" s="304"/>
      <c r="L282" s="304"/>
      <c r="M282" s="304"/>
      <c r="N282" s="304"/>
      <c r="O282" s="304"/>
      <c r="P282" s="304"/>
      <c r="Q282" s="304"/>
    </row>
    <row r="283" spans="1:17" ht="13.8" x14ac:dyDescent="0.3">
      <c r="A283" s="388">
        <f t="shared" si="17"/>
        <v>261</v>
      </c>
      <c r="B283" s="389">
        <f t="shared" ca="1" si="18"/>
        <v>0.11819444090777725</v>
      </c>
      <c r="C283" s="389">
        <f t="shared" ca="1" si="19"/>
        <v>4.3591805601283749E-2</v>
      </c>
      <c r="D283" s="390">
        <f t="shared" ca="1" si="20"/>
        <v>1.0794472395013863</v>
      </c>
      <c r="E283" s="391" cm="1">
        <f t="array" aca="1" ref="E283" ca="1">(SUMPRODUCT($B$13:$F$13*D283/(1+B283)^$B$14:$F$14)+($F$13*D283*(1+C283))/(B283-C283)/(1+B283)^$F$14-$B$15+$B$16)/$B$17</f>
        <v>1592.8688373786806</v>
      </c>
      <c r="F283" s="304"/>
      <c r="G283" s="304"/>
      <c r="H283" s="304"/>
      <c r="I283" s="304"/>
      <c r="J283" s="304"/>
      <c r="K283" s="304"/>
      <c r="L283" s="304"/>
      <c r="M283" s="304"/>
      <c r="N283" s="304"/>
      <c r="O283" s="304"/>
      <c r="P283" s="304"/>
      <c r="Q283" s="304"/>
    </row>
    <row r="284" spans="1:17" ht="13.8" x14ac:dyDescent="0.3">
      <c r="A284" s="388">
        <f t="shared" si="17"/>
        <v>262</v>
      </c>
      <c r="B284" s="389">
        <f t="shared" ca="1" si="18"/>
        <v>0.14362288721656019</v>
      </c>
      <c r="C284" s="389">
        <f t="shared" ca="1" si="19"/>
        <v>5.3680168751053997E-2</v>
      </c>
      <c r="D284" s="390">
        <f t="shared" ca="1" si="20"/>
        <v>0.89668310240594806</v>
      </c>
      <c r="E284" s="391" cm="1">
        <f t="array" aca="1" ref="E284" ca="1">(SUMPRODUCT($B$13:$F$13*D284/(1+B284)^$B$14:$F$14)+($F$13*D284*(1+C284))/(B284-C284)/(1+B284)^$F$14-$B$15+$B$16)/$B$17</f>
        <v>1035.4967303975691</v>
      </c>
      <c r="F284" s="304"/>
      <c r="G284" s="304"/>
      <c r="H284" s="304"/>
      <c r="I284" s="304"/>
      <c r="J284" s="304"/>
      <c r="K284" s="304"/>
      <c r="L284" s="304"/>
      <c r="M284" s="304"/>
      <c r="N284" s="304"/>
      <c r="O284" s="304"/>
      <c r="P284" s="304"/>
      <c r="Q284" s="304"/>
    </row>
    <row r="285" spans="1:17" ht="13.8" x14ac:dyDescent="0.3">
      <c r="A285" s="388">
        <f t="shared" si="17"/>
        <v>263</v>
      </c>
      <c r="B285" s="389">
        <f t="shared" ca="1" si="18"/>
        <v>0.13407102786055589</v>
      </c>
      <c r="C285" s="389">
        <f t="shared" ca="1" si="19"/>
        <v>4.2258505444094527E-2</v>
      </c>
      <c r="D285" s="390">
        <f t="shared" ca="1" si="20"/>
        <v>0.95682952753144157</v>
      </c>
      <c r="E285" s="391" cm="1">
        <f t="array" aca="1" ref="E285" ca="1">(SUMPRODUCT($B$13:$F$13*D285/(1+B285)^$B$14:$F$14)+($F$13*D285*(1+C285))/(B285-C285)/(1+B285)^$F$14-$B$15+$B$16)/$B$17</f>
        <v>1122.6027529312803</v>
      </c>
      <c r="F285" s="304"/>
      <c r="G285" s="304"/>
      <c r="H285" s="304"/>
      <c r="I285" s="304"/>
      <c r="J285" s="304"/>
      <c r="K285" s="304"/>
      <c r="L285" s="304"/>
      <c r="M285" s="304"/>
      <c r="N285" s="304"/>
      <c r="O285" s="304"/>
      <c r="P285" s="304"/>
      <c r="Q285" s="304"/>
    </row>
    <row r="286" spans="1:17" ht="13.8" x14ac:dyDescent="0.3">
      <c r="A286" s="388">
        <f t="shared" si="17"/>
        <v>264</v>
      </c>
      <c r="B286" s="389">
        <f t="shared" ca="1" si="18"/>
        <v>0.12525124666927032</v>
      </c>
      <c r="C286" s="389">
        <f t="shared" ca="1" si="19"/>
        <v>5.1028420844947506E-2</v>
      </c>
      <c r="D286" s="390">
        <f t="shared" ca="1" si="20"/>
        <v>0.95014693613607992</v>
      </c>
      <c r="E286" s="391" cm="1">
        <f t="array" aca="1" ref="E286" ca="1">(SUMPRODUCT($B$13:$F$13*D286/(1+B286)^$B$14:$F$14)+($F$13*D286*(1+C286))/(B286-C286)/(1+B286)^$F$14-$B$15+$B$16)/$B$17</f>
        <v>1371.0670923909095</v>
      </c>
      <c r="F286" s="304"/>
      <c r="G286" s="304"/>
      <c r="H286" s="304"/>
      <c r="I286" s="304"/>
      <c r="J286" s="304"/>
      <c r="K286" s="304"/>
      <c r="L286" s="304"/>
      <c r="M286" s="304"/>
      <c r="N286" s="304"/>
      <c r="O286" s="304"/>
      <c r="P286" s="304"/>
      <c r="Q286" s="304"/>
    </row>
    <row r="287" spans="1:17" ht="13.8" x14ac:dyDescent="0.3">
      <c r="A287" s="388">
        <f t="shared" si="17"/>
        <v>265</v>
      </c>
      <c r="B287" s="389">
        <f t="shared" ca="1" si="18"/>
        <v>0.11978651315668121</v>
      </c>
      <c r="C287" s="389">
        <f t="shared" ca="1" si="19"/>
        <v>6.4718573284354111E-2</v>
      </c>
      <c r="D287" s="390">
        <f t="shared" ca="1" si="20"/>
        <v>0.95161541588144916</v>
      </c>
      <c r="E287" s="391" cm="1">
        <f t="array" aca="1" ref="E287" ca="1">(SUMPRODUCT($B$13:$F$13*D287/(1+B287)^$B$14:$F$14)+($F$13*D287*(1+C287))/(B287-C287)/(1+B287)^$F$14-$B$15+$B$16)/$B$17</f>
        <v>1814.2972870347978</v>
      </c>
      <c r="F287" s="304"/>
      <c r="G287" s="304"/>
      <c r="H287" s="304"/>
      <c r="I287" s="304"/>
      <c r="J287" s="304"/>
      <c r="K287" s="304"/>
      <c r="L287" s="304"/>
      <c r="M287" s="304"/>
      <c r="N287" s="304"/>
      <c r="O287" s="304"/>
      <c r="P287" s="304"/>
      <c r="Q287" s="304"/>
    </row>
    <row r="288" spans="1:17" ht="13.8" x14ac:dyDescent="0.3">
      <c r="A288" s="388">
        <f t="shared" si="17"/>
        <v>266</v>
      </c>
      <c r="B288" s="389">
        <f t="shared" ca="1" si="18"/>
        <v>0.10412038255054015</v>
      </c>
      <c r="C288" s="389">
        <f t="shared" ca="1" si="19"/>
        <v>5.3050162051223794E-2</v>
      </c>
      <c r="D288" s="390">
        <f t="shared" ca="1" si="20"/>
        <v>1.0512879142534952</v>
      </c>
      <c r="E288" s="391" cm="1">
        <f t="array" aca="1" ref="E288" ca="1">(SUMPRODUCT($B$13:$F$13*D288/(1+B288)^$B$14:$F$14)+($F$13*D288*(1+C288))/(B288-C288)/(1+B288)^$F$14-$B$15+$B$16)/$B$17</f>
        <v>2261.6751727058977</v>
      </c>
      <c r="F288" s="304"/>
      <c r="G288" s="304"/>
      <c r="H288" s="304"/>
      <c r="I288" s="304"/>
      <c r="J288" s="304"/>
      <c r="K288" s="304"/>
      <c r="L288" s="304"/>
      <c r="M288" s="304"/>
      <c r="N288" s="304"/>
      <c r="O288" s="304"/>
      <c r="P288" s="304"/>
      <c r="Q288" s="304"/>
    </row>
    <row r="289" spans="1:17" ht="13.8" x14ac:dyDescent="0.3">
      <c r="A289" s="388">
        <f t="shared" si="17"/>
        <v>267</v>
      </c>
      <c r="B289" s="389">
        <f t="shared" ca="1" si="18"/>
        <v>0.11208099987423802</v>
      </c>
      <c r="C289" s="389">
        <f t="shared" ca="1" si="19"/>
        <v>6.2534581190447136E-2</v>
      </c>
      <c r="D289" s="390">
        <f t="shared" ca="1" si="20"/>
        <v>0.97098606287399059</v>
      </c>
      <c r="E289" s="391" cm="1">
        <f t="array" aca="1" ref="E289" ca="1">(SUMPRODUCT($B$13:$F$13*D289/(1+B289)^$B$14:$F$14)+($F$13*D289*(1+C289))/(B289-C289)/(1+B289)^$F$14-$B$15+$B$16)/$B$17</f>
        <v>2087.5956307118786</v>
      </c>
      <c r="F289" s="304"/>
      <c r="G289" s="304"/>
      <c r="H289" s="304"/>
      <c r="I289" s="304"/>
      <c r="J289" s="304"/>
      <c r="K289" s="304"/>
      <c r="L289" s="304"/>
      <c r="M289" s="304"/>
      <c r="N289" s="304"/>
      <c r="O289" s="304"/>
      <c r="P289" s="304"/>
      <c r="Q289" s="304"/>
    </row>
    <row r="290" spans="1:17" ht="13.8" x14ac:dyDescent="0.3">
      <c r="A290" s="388">
        <f t="shared" si="17"/>
        <v>268</v>
      </c>
      <c r="B290" s="389">
        <f t="shared" ca="1" si="18"/>
        <v>0.11482961637874002</v>
      </c>
      <c r="C290" s="389">
        <f t="shared" ca="1" si="19"/>
        <v>6.0075949469638443E-2</v>
      </c>
      <c r="D290" s="390">
        <f t="shared" ca="1" si="20"/>
        <v>1.0159040090595957</v>
      </c>
      <c r="E290" s="391" cm="1">
        <f t="array" aca="1" ref="E290" ca="1">(SUMPRODUCT($B$13:$F$13*D290/(1+B290)^$B$14:$F$14)+($F$13*D290*(1+C290))/(B290-C290)/(1+B290)^$F$14-$B$15+$B$16)/$B$17</f>
        <v>1981.5869060691266</v>
      </c>
      <c r="F290" s="304"/>
      <c r="G290" s="304"/>
      <c r="H290" s="304"/>
      <c r="I290" s="304"/>
      <c r="J290" s="304"/>
      <c r="K290" s="304"/>
      <c r="L290" s="304"/>
      <c r="M290" s="304"/>
      <c r="N290" s="304"/>
      <c r="O290" s="304"/>
      <c r="P290" s="304"/>
      <c r="Q290" s="304"/>
    </row>
    <row r="291" spans="1:17" ht="13.8" x14ac:dyDescent="0.3">
      <c r="A291" s="388">
        <f t="shared" si="17"/>
        <v>269</v>
      </c>
      <c r="B291" s="389">
        <f t="shared" ca="1" si="18"/>
        <v>0.13250337706779969</v>
      </c>
      <c r="C291" s="389">
        <f t="shared" ca="1" si="19"/>
        <v>4.6538262110259548E-2</v>
      </c>
      <c r="D291" s="390">
        <f t="shared" ca="1" si="20"/>
        <v>0.84357024407163161</v>
      </c>
      <c r="E291" s="391" cm="1">
        <f t="array" aca="1" ref="E291" ca="1">(SUMPRODUCT($B$13:$F$13*D291/(1+B291)^$B$14:$F$14)+($F$13*D291*(1+C291))/(B291-C291)/(1+B291)^$F$14-$B$15+$B$16)/$B$17</f>
        <v>1045.0019166418033</v>
      </c>
      <c r="F291" s="304"/>
      <c r="G291" s="304"/>
      <c r="H291" s="304"/>
      <c r="I291" s="304"/>
      <c r="J291" s="304"/>
      <c r="K291" s="304"/>
      <c r="L291" s="304"/>
      <c r="M291" s="304"/>
      <c r="N291" s="304"/>
      <c r="O291" s="304"/>
      <c r="P291" s="304"/>
      <c r="Q291" s="304"/>
    </row>
    <row r="292" spans="1:17" ht="13.8" x14ac:dyDescent="0.3">
      <c r="A292" s="388">
        <f t="shared" si="17"/>
        <v>270</v>
      </c>
      <c r="B292" s="389">
        <f t="shared" ca="1" si="18"/>
        <v>0.12138195532882953</v>
      </c>
      <c r="C292" s="389">
        <f t="shared" ca="1" si="19"/>
        <v>5.482198099272232E-2</v>
      </c>
      <c r="D292" s="390">
        <f t="shared" ca="1" si="20"/>
        <v>0.96181711512023127</v>
      </c>
      <c r="E292" s="391" cm="1">
        <f t="array" aca="1" ref="E292" ca="1">(SUMPRODUCT($B$13:$F$13*D292/(1+B292)^$B$14:$F$14)+($F$13*D292*(1+C292))/(B292-C292)/(1+B292)^$F$14-$B$15+$B$16)/$B$17</f>
        <v>1544.4946758553094</v>
      </c>
      <c r="F292" s="304"/>
      <c r="G292" s="304"/>
      <c r="H292" s="304"/>
      <c r="I292" s="304"/>
      <c r="J292" s="304"/>
      <c r="K292" s="304"/>
      <c r="L292" s="304"/>
      <c r="M292" s="304"/>
      <c r="N292" s="304"/>
      <c r="O292" s="304"/>
      <c r="P292" s="304"/>
      <c r="Q292" s="304"/>
    </row>
    <row r="293" spans="1:17" ht="13.8" x14ac:dyDescent="0.3">
      <c r="A293" s="388">
        <f t="shared" si="17"/>
        <v>271</v>
      </c>
      <c r="B293" s="389">
        <f t="shared" ca="1" si="18"/>
        <v>0.12839876623022911</v>
      </c>
      <c r="C293" s="389">
        <f t="shared" ca="1" si="19"/>
        <v>5.3267626771356984E-2</v>
      </c>
      <c r="D293" s="390">
        <f t="shared" ca="1" si="20"/>
        <v>0.91655086870173863</v>
      </c>
      <c r="E293" s="391" cm="1">
        <f t="array" aca="1" ref="E293" ca="1">(SUMPRODUCT($B$13:$F$13*D293/(1+B293)^$B$14:$F$14)+($F$13*D293*(1+C293))/(B293-C293)/(1+B293)^$F$14-$B$15+$B$16)/$B$17</f>
        <v>1294.1066612279699</v>
      </c>
      <c r="F293" s="304"/>
      <c r="G293" s="304"/>
      <c r="H293" s="304"/>
      <c r="I293" s="304"/>
      <c r="J293" s="304"/>
      <c r="K293" s="304"/>
      <c r="L293" s="304"/>
      <c r="M293" s="304"/>
      <c r="N293" s="304"/>
      <c r="O293" s="304"/>
      <c r="P293" s="304"/>
      <c r="Q293" s="304"/>
    </row>
    <row r="294" spans="1:17" ht="13.8" x14ac:dyDescent="0.3">
      <c r="A294" s="388">
        <f t="shared" si="17"/>
        <v>272</v>
      </c>
      <c r="B294" s="389">
        <f t="shared" ca="1" si="18"/>
        <v>0.13352255722233292</v>
      </c>
      <c r="C294" s="389">
        <f t="shared" ca="1" si="19"/>
        <v>4.9975078390252295E-2</v>
      </c>
      <c r="D294" s="390">
        <f t="shared" ca="1" si="20"/>
        <v>1.0302017768863929</v>
      </c>
      <c r="E294" s="391" cm="1">
        <f t="array" aca="1" ref="E294" ca="1">(SUMPRODUCT($B$13:$F$13*D294/(1+B294)^$B$14:$F$14)+($F$13*D294*(1+C294))/(B294-C294)/(1+B294)^$F$14-$B$15+$B$16)/$B$17</f>
        <v>1313.5483860764004</v>
      </c>
      <c r="F294" s="304"/>
      <c r="G294" s="304"/>
      <c r="H294" s="304"/>
      <c r="I294" s="304"/>
      <c r="J294" s="304"/>
      <c r="K294" s="304"/>
      <c r="L294" s="304"/>
      <c r="M294" s="304"/>
      <c r="N294" s="304"/>
      <c r="O294" s="304"/>
      <c r="P294" s="304"/>
      <c r="Q294" s="304"/>
    </row>
    <row r="295" spans="1:17" ht="13.8" x14ac:dyDescent="0.3">
      <c r="A295" s="388">
        <f t="shared" si="17"/>
        <v>273</v>
      </c>
      <c r="B295" s="389">
        <f t="shared" ca="1" si="18"/>
        <v>0.11250397211806656</v>
      </c>
      <c r="C295" s="389">
        <f t="shared" ca="1" si="19"/>
        <v>4.90124698027384E-2</v>
      </c>
      <c r="D295" s="390">
        <f t="shared" ca="1" si="20"/>
        <v>0.89141519416654336</v>
      </c>
      <c r="E295" s="391" cm="1">
        <f t="array" aca="1" ref="E295" ca="1">(SUMPRODUCT($B$13:$F$13*D295/(1+B295)^$B$14:$F$14)+($F$13*D295*(1+C295))/(B295-C295)/(1+B295)^$F$14-$B$15+$B$16)/$B$17</f>
        <v>1531.634958455867</v>
      </c>
      <c r="F295" s="304"/>
      <c r="G295" s="304"/>
      <c r="H295" s="304"/>
      <c r="I295" s="304"/>
      <c r="J295" s="304"/>
      <c r="K295" s="304"/>
      <c r="L295" s="304"/>
      <c r="M295" s="304"/>
      <c r="N295" s="304"/>
      <c r="O295" s="304"/>
      <c r="P295" s="304"/>
      <c r="Q295" s="304"/>
    </row>
    <row r="296" spans="1:17" ht="13.8" x14ac:dyDescent="0.3">
      <c r="A296" s="388">
        <f t="shared" si="17"/>
        <v>274</v>
      </c>
      <c r="B296" s="389">
        <f t="shared" ca="1" si="18"/>
        <v>0.12611271593074463</v>
      </c>
      <c r="C296" s="389">
        <f t="shared" ca="1" si="19"/>
        <v>5.4431749357358249E-2</v>
      </c>
      <c r="D296" s="390">
        <f t="shared" ca="1" si="20"/>
        <v>0.85410059508703284</v>
      </c>
      <c r="E296" s="391" cm="1">
        <f t="array" aca="1" ref="E296" ca="1">(SUMPRODUCT($B$13:$F$13*D296/(1+B296)^$B$14:$F$14)+($F$13*D296*(1+C296))/(B296-C296)/(1+B296)^$F$14-$B$15+$B$16)/$B$17</f>
        <v>1261.6140903051248</v>
      </c>
      <c r="F296" s="304"/>
      <c r="G296" s="304"/>
      <c r="H296" s="304"/>
      <c r="I296" s="304"/>
      <c r="J296" s="304"/>
      <c r="K296" s="304"/>
      <c r="L296" s="304"/>
      <c r="M296" s="304"/>
      <c r="N296" s="304"/>
      <c r="O296" s="304"/>
      <c r="P296" s="304"/>
      <c r="Q296" s="304"/>
    </row>
    <row r="297" spans="1:17" ht="13.8" x14ac:dyDescent="0.3">
      <c r="A297" s="388">
        <f t="shared" si="17"/>
        <v>275</v>
      </c>
      <c r="B297" s="389">
        <f t="shared" ca="1" si="18"/>
        <v>0.13393918163944474</v>
      </c>
      <c r="C297" s="389">
        <f t="shared" ca="1" si="19"/>
        <v>4.9828533040674215E-2</v>
      </c>
      <c r="D297" s="390">
        <f t="shared" ca="1" si="20"/>
        <v>1.1087952611888228</v>
      </c>
      <c r="E297" s="391" cm="1">
        <f t="array" aca="1" ref="E297" ca="1">(SUMPRODUCT($B$13:$F$13*D297/(1+B297)^$B$14:$F$14)+($F$13*D297*(1+C297))/(B297-C297)/(1+B297)^$F$14-$B$15+$B$16)/$B$17</f>
        <v>1407.6016315493139</v>
      </c>
      <c r="F297" s="304"/>
      <c r="G297" s="304"/>
      <c r="H297" s="304"/>
      <c r="I297" s="304"/>
      <c r="J297" s="304"/>
      <c r="K297" s="304"/>
      <c r="L297" s="304"/>
      <c r="M297" s="304"/>
      <c r="N297" s="304"/>
      <c r="O297" s="304"/>
      <c r="P297" s="304"/>
      <c r="Q297" s="304"/>
    </row>
    <row r="298" spans="1:17" ht="13.8" x14ac:dyDescent="0.3">
      <c r="A298" s="388">
        <f t="shared" si="17"/>
        <v>276</v>
      </c>
      <c r="B298" s="389">
        <f t="shared" ca="1" si="18"/>
        <v>0.13516115675971471</v>
      </c>
      <c r="C298" s="389">
        <f t="shared" ca="1" si="19"/>
        <v>6.7630219220506396E-2</v>
      </c>
      <c r="D298" s="390">
        <f t="shared" ca="1" si="20"/>
        <v>1.1312061262037671</v>
      </c>
      <c r="E298" s="391" cm="1">
        <f t="array" aca="1" ref="E298" ca="1">(SUMPRODUCT($B$13:$F$13*D298/(1+B298)^$B$14:$F$14)+($F$13*D298*(1+C298))/(B298-C298)/(1+B298)^$F$14-$B$15+$B$16)/$B$17</f>
        <v>1724.7788768959979</v>
      </c>
      <c r="F298" s="304"/>
      <c r="G298" s="304"/>
      <c r="H298" s="304"/>
      <c r="I298" s="304"/>
      <c r="J298" s="304"/>
      <c r="K298" s="304"/>
      <c r="L298" s="304"/>
      <c r="M298" s="304"/>
      <c r="N298" s="304"/>
      <c r="O298" s="304"/>
      <c r="P298" s="304"/>
      <c r="Q298" s="304"/>
    </row>
    <row r="299" spans="1:17" ht="13.8" x14ac:dyDescent="0.3">
      <c r="A299" s="388">
        <f t="shared" si="17"/>
        <v>277</v>
      </c>
      <c r="B299" s="389">
        <f t="shared" ca="1" si="18"/>
        <v>0.12510579266174315</v>
      </c>
      <c r="C299" s="389">
        <f t="shared" ca="1" si="19"/>
        <v>4.6225690264940229E-2</v>
      </c>
      <c r="D299" s="390">
        <f t="shared" ca="1" si="20"/>
        <v>1.0680808186638451</v>
      </c>
      <c r="E299" s="391" cm="1">
        <f t="array" aca="1" ref="E299" ca="1">(SUMPRODUCT($B$13:$F$13*D299/(1+B299)^$B$14:$F$14)+($F$13*D299*(1+C299))/(B299-C299)/(1+B299)^$F$14-$B$15+$B$16)/$B$17</f>
        <v>1469.8568584348891</v>
      </c>
      <c r="F299" s="304"/>
      <c r="G299" s="304"/>
      <c r="H299" s="304"/>
      <c r="I299" s="304"/>
      <c r="J299" s="304"/>
      <c r="K299" s="304"/>
      <c r="L299" s="304"/>
      <c r="M299" s="304"/>
      <c r="N299" s="304"/>
      <c r="O299" s="304"/>
      <c r="P299" s="304"/>
      <c r="Q299" s="304"/>
    </row>
    <row r="300" spans="1:17" ht="13.8" x14ac:dyDescent="0.3">
      <c r="A300" s="388">
        <f t="shared" si="17"/>
        <v>278</v>
      </c>
      <c r="B300" s="389">
        <f t="shared" ca="1" si="18"/>
        <v>0.12501688070523792</v>
      </c>
      <c r="C300" s="389">
        <f t="shared" ca="1" si="19"/>
        <v>3.9060025200957429E-2</v>
      </c>
      <c r="D300" s="390">
        <f t="shared" ca="1" si="20"/>
        <v>0.96569003387119834</v>
      </c>
      <c r="E300" s="391" cm="1">
        <f t="array" aca="1" ref="E300" ca="1">(SUMPRODUCT($B$13:$F$13*D300/(1+B300)^$B$14:$F$14)+($F$13*D300*(1+C300))/(B300-C300)/(1+B300)^$F$14-$B$15+$B$16)/$B$17</f>
        <v>1232.2051254514104</v>
      </c>
      <c r="F300" s="304"/>
      <c r="G300" s="304"/>
      <c r="H300" s="304"/>
      <c r="I300" s="304"/>
      <c r="J300" s="304"/>
      <c r="K300" s="304"/>
      <c r="L300" s="304"/>
      <c r="M300" s="304"/>
      <c r="N300" s="304"/>
      <c r="O300" s="304"/>
      <c r="P300" s="304"/>
      <c r="Q300" s="304"/>
    </row>
    <row r="301" spans="1:17" ht="13.8" x14ac:dyDescent="0.3">
      <c r="A301" s="388">
        <f t="shared" si="17"/>
        <v>279</v>
      </c>
      <c r="B301" s="389">
        <f t="shared" ca="1" si="18"/>
        <v>0.11718064713704503</v>
      </c>
      <c r="C301" s="389">
        <f t="shared" ca="1" si="19"/>
        <v>5.1682059181698617E-2</v>
      </c>
      <c r="D301" s="390">
        <f t="shared" ca="1" si="20"/>
        <v>0.93515361558980648</v>
      </c>
      <c r="E301" s="391" cm="1">
        <f t="array" aca="1" ref="E301" ca="1">(SUMPRODUCT($B$13:$F$13*D301/(1+B301)^$B$14:$F$14)+($F$13*D301*(1+C301))/(B301-C301)/(1+B301)^$F$14-$B$15+$B$16)/$B$17</f>
        <v>1542.3225462730588</v>
      </c>
      <c r="F301" s="304"/>
      <c r="G301" s="304"/>
      <c r="H301" s="304"/>
      <c r="I301" s="304"/>
      <c r="J301" s="304"/>
      <c r="K301" s="304"/>
      <c r="L301" s="304"/>
      <c r="M301" s="304"/>
      <c r="N301" s="304"/>
      <c r="O301" s="304"/>
      <c r="P301" s="304"/>
      <c r="Q301" s="304"/>
    </row>
    <row r="302" spans="1:17" ht="13.8" x14ac:dyDescent="0.3">
      <c r="A302" s="388">
        <f t="shared" si="17"/>
        <v>280</v>
      </c>
      <c r="B302" s="389">
        <f t="shared" ca="1" si="18"/>
        <v>0.12047580682725922</v>
      </c>
      <c r="C302" s="389">
        <f t="shared" ca="1" si="19"/>
        <v>5.0798292490525768E-2</v>
      </c>
      <c r="D302" s="390">
        <f t="shared" ca="1" si="20"/>
        <v>0.97449070606985477</v>
      </c>
      <c r="E302" s="391" cm="1">
        <f t="array" aca="1" ref="E302" ca="1">(SUMPRODUCT($B$13:$F$13*D302/(1+B302)^$B$14:$F$14)+($F$13*D302*(1+C302))/(B302-C302)/(1+B302)^$F$14-$B$15+$B$16)/$B$17</f>
        <v>1508.9756713331838</v>
      </c>
      <c r="F302" s="304"/>
      <c r="G302" s="304"/>
      <c r="H302" s="304"/>
      <c r="I302" s="304"/>
      <c r="J302" s="304"/>
      <c r="K302" s="304"/>
      <c r="L302" s="304"/>
      <c r="M302" s="304"/>
      <c r="N302" s="304"/>
      <c r="O302" s="304"/>
      <c r="P302" s="304"/>
      <c r="Q302" s="304"/>
    </row>
    <row r="303" spans="1:17" ht="13.8" x14ac:dyDescent="0.3">
      <c r="A303" s="388">
        <f t="shared" si="17"/>
        <v>281</v>
      </c>
      <c r="B303" s="389">
        <f t="shared" ca="1" si="18"/>
        <v>0.12532249376776972</v>
      </c>
      <c r="C303" s="389">
        <f t="shared" ca="1" si="19"/>
        <v>6.1064529018886954E-2</v>
      </c>
      <c r="D303" s="390">
        <f t="shared" ca="1" si="20"/>
        <v>0.89572897567045218</v>
      </c>
      <c r="E303" s="391" cm="1">
        <f t="array" aca="1" ref="E303" ca="1">(SUMPRODUCT($B$13:$F$13*D303/(1+B303)^$B$14:$F$14)+($F$13*D303*(1+C303))/(B303-C303)/(1+B303)^$F$14-$B$15+$B$16)/$B$17</f>
        <v>1461.2246836422908</v>
      </c>
      <c r="F303" s="304"/>
      <c r="G303" s="304"/>
      <c r="H303" s="304"/>
      <c r="I303" s="304"/>
      <c r="J303" s="304"/>
      <c r="K303" s="304"/>
      <c r="L303" s="304"/>
      <c r="M303" s="304"/>
      <c r="N303" s="304"/>
      <c r="O303" s="304"/>
      <c r="P303" s="304"/>
      <c r="Q303" s="304"/>
    </row>
    <row r="304" spans="1:17" ht="13.8" x14ac:dyDescent="0.3">
      <c r="A304" s="388">
        <f t="shared" si="17"/>
        <v>282</v>
      </c>
      <c r="B304" s="389">
        <f t="shared" ca="1" si="18"/>
        <v>0.11507335570665367</v>
      </c>
      <c r="C304" s="389">
        <f t="shared" ca="1" si="19"/>
        <v>5.2346799218002824E-2</v>
      </c>
      <c r="D304" s="390">
        <f t="shared" ca="1" si="20"/>
        <v>1.1204768063374728</v>
      </c>
      <c r="E304" s="391" cm="1">
        <f t="array" aca="1" ref="E304" ca="1">(SUMPRODUCT($B$13:$F$13*D304/(1+B304)^$B$14:$F$14)+($F$13*D304*(1+C304))/(B304-C304)/(1+B304)^$F$14-$B$15+$B$16)/$B$17</f>
        <v>1941.8156703825762</v>
      </c>
      <c r="F304" s="304"/>
      <c r="G304" s="304"/>
      <c r="H304" s="304"/>
      <c r="I304" s="304"/>
      <c r="J304" s="304"/>
      <c r="K304" s="304"/>
      <c r="L304" s="304"/>
      <c r="M304" s="304"/>
      <c r="N304" s="304"/>
      <c r="O304" s="304"/>
      <c r="P304" s="304"/>
      <c r="Q304" s="304"/>
    </row>
    <row r="305" spans="1:17" ht="13.8" x14ac:dyDescent="0.3">
      <c r="A305" s="388">
        <f t="shared" si="17"/>
        <v>283</v>
      </c>
      <c r="B305" s="389">
        <f t="shared" ca="1" si="18"/>
        <v>0.13021183231606648</v>
      </c>
      <c r="C305" s="389">
        <f t="shared" ca="1" si="19"/>
        <v>5.4243703014341491E-2</v>
      </c>
      <c r="D305" s="390">
        <f t="shared" ca="1" si="20"/>
        <v>1.1487859054490797</v>
      </c>
      <c r="E305" s="391" cm="1">
        <f t="array" aca="1" ref="E305" ca="1">(SUMPRODUCT($B$13:$F$13*D305/(1+B305)^$B$14:$F$14)+($F$13*D305*(1+C305))/(B305-C305)/(1+B305)^$F$14-$B$15+$B$16)/$B$17</f>
        <v>1609.4767322329487</v>
      </c>
      <c r="F305" s="304"/>
      <c r="G305" s="304"/>
      <c r="H305" s="304"/>
      <c r="I305" s="304"/>
      <c r="J305" s="304"/>
      <c r="K305" s="304"/>
      <c r="L305" s="304"/>
      <c r="M305" s="304"/>
      <c r="N305" s="304"/>
      <c r="O305" s="304"/>
      <c r="P305" s="304"/>
      <c r="Q305" s="304"/>
    </row>
    <row r="306" spans="1:17" ht="13.8" x14ac:dyDescent="0.3">
      <c r="A306" s="388">
        <f t="shared" si="17"/>
        <v>284</v>
      </c>
      <c r="B306" s="389">
        <f t="shared" ca="1" si="18"/>
        <v>0.13837889940606721</v>
      </c>
      <c r="C306" s="389">
        <f t="shared" ca="1" si="19"/>
        <v>4.9792249033540778E-2</v>
      </c>
      <c r="D306" s="390">
        <f t="shared" ca="1" si="20"/>
        <v>1.1508368167530192</v>
      </c>
      <c r="E306" s="391" cm="1">
        <f t="array" aca="1" ref="E306" ca="1">(SUMPRODUCT($B$13:$F$13*D306/(1+B306)^$B$14:$F$14)+($F$13*D306*(1+C306))/(B306-C306)/(1+B306)^$F$14-$B$15+$B$16)/$B$17</f>
        <v>1381.7862307650869</v>
      </c>
      <c r="F306" s="304"/>
      <c r="G306" s="304"/>
      <c r="H306" s="304"/>
      <c r="I306" s="304"/>
      <c r="J306" s="304"/>
      <c r="K306" s="304"/>
      <c r="L306" s="304"/>
      <c r="M306" s="304"/>
      <c r="N306" s="304"/>
      <c r="O306" s="304"/>
      <c r="P306" s="304"/>
      <c r="Q306" s="304"/>
    </row>
    <row r="307" spans="1:17" ht="13.8" x14ac:dyDescent="0.3">
      <c r="A307" s="388">
        <f t="shared" si="17"/>
        <v>285</v>
      </c>
      <c r="B307" s="389">
        <f t="shared" ca="1" si="18"/>
        <v>0.13139243607961221</v>
      </c>
      <c r="C307" s="389">
        <f t="shared" ca="1" si="19"/>
        <v>3.1800005259259828E-2</v>
      </c>
      <c r="D307" s="390">
        <f t="shared" ca="1" si="20"/>
        <v>0.94423660698399403</v>
      </c>
      <c r="E307" s="391" cm="1">
        <f t="array" aca="1" ref="E307" ca="1">(SUMPRODUCT($B$13:$F$13*D307/(1+B307)^$B$14:$F$14)+($F$13*D307*(1+C307))/(B307-C307)/(1+B307)^$F$14-$B$15+$B$16)/$B$17</f>
        <v>1044.3679637847279</v>
      </c>
      <c r="F307" s="304"/>
      <c r="G307" s="304"/>
      <c r="H307" s="304"/>
      <c r="I307" s="304"/>
      <c r="J307" s="304"/>
      <c r="K307" s="304"/>
      <c r="L307" s="304"/>
      <c r="M307" s="304"/>
      <c r="N307" s="304"/>
      <c r="O307" s="304"/>
      <c r="P307" s="304"/>
      <c r="Q307" s="304"/>
    </row>
    <row r="308" spans="1:17" ht="13.8" x14ac:dyDescent="0.3">
      <c r="A308" s="388">
        <f t="shared" si="17"/>
        <v>286</v>
      </c>
      <c r="B308" s="389">
        <f t="shared" ca="1" si="18"/>
        <v>0.11425274827577445</v>
      </c>
      <c r="C308" s="389">
        <f t="shared" ca="1" si="19"/>
        <v>4.8710943310238682E-2</v>
      </c>
      <c r="D308" s="390">
        <f t="shared" ca="1" si="20"/>
        <v>0.92725236615494999</v>
      </c>
      <c r="E308" s="391" cm="1">
        <f t="array" aca="1" ref="E308" ca="1">(SUMPRODUCT($B$13:$F$13*D308/(1+B308)^$B$14:$F$14)+($F$13*D308*(1+C308))/(B308-C308)/(1+B308)^$F$14-$B$15+$B$16)/$B$17</f>
        <v>1542.5876491024271</v>
      </c>
      <c r="F308" s="304"/>
      <c r="G308" s="304"/>
      <c r="H308" s="304"/>
      <c r="I308" s="304"/>
      <c r="J308" s="304"/>
      <c r="K308" s="304"/>
      <c r="L308" s="304"/>
      <c r="M308" s="304"/>
      <c r="N308" s="304"/>
      <c r="O308" s="304"/>
      <c r="P308" s="304"/>
      <c r="Q308" s="304"/>
    </row>
    <row r="309" spans="1:17" ht="13.8" x14ac:dyDescent="0.3">
      <c r="A309" s="388">
        <f t="shared" si="17"/>
        <v>287</v>
      </c>
      <c r="B309" s="389">
        <f t="shared" ca="1" si="18"/>
        <v>0.10530091037555167</v>
      </c>
      <c r="C309" s="389">
        <f t="shared" ca="1" si="19"/>
        <v>5.3842972499072189E-2</v>
      </c>
      <c r="D309" s="390">
        <f t="shared" ca="1" si="20"/>
        <v>0.91271298687203639</v>
      </c>
      <c r="E309" s="391" cm="1">
        <f t="array" aca="1" ref="E309" ca="1">(SUMPRODUCT($B$13:$F$13*D309/(1+B309)^$B$14:$F$14)+($F$13*D309*(1+C309))/(B309-C309)/(1+B309)^$F$14-$B$15+$B$16)/$B$17</f>
        <v>1936.4804814710371</v>
      </c>
      <c r="F309" s="304"/>
      <c r="G309" s="304"/>
      <c r="H309" s="304"/>
      <c r="I309" s="304"/>
      <c r="J309" s="304"/>
      <c r="K309" s="304"/>
      <c r="L309" s="304"/>
      <c r="M309" s="304"/>
      <c r="N309" s="304"/>
      <c r="O309" s="304"/>
      <c r="P309" s="304"/>
      <c r="Q309" s="304"/>
    </row>
    <row r="310" spans="1:17" ht="13.8" x14ac:dyDescent="0.3">
      <c r="A310" s="388">
        <f t="shared" si="17"/>
        <v>288</v>
      </c>
      <c r="B310" s="389">
        <f t="shared" ca="1" si="18"/>
        <v>0.11384910217511898</v>
      </c>
      <c r="C310" s="389">
        <f t="shared" ca="1" si="19"/>
        <v>5.425471133383309E-2</v>
      </c>
      <c r="D310" s="390">
        <f t="shared" ca="1" si="20"/>
        <v>1.2004743362172798</v>
      </c>
      <c r="E310" s="391" cm="1">
        <f t="array" aca="1" ref="E310" ca="1">(SUMPRODUCT($B$13:$F$13*D310/(1+B310)^$B$14:$F$14)+($F$13*D310*(1+C310))/(B310-C310)/(1+B310)^$F$14-$B$15+$B$16)/$B$17</f>
        <v>2187.9723749569353</v>
      </c>
      <c r="F310" s="304"/>
      <c r="G310" s="304"/>
      <c r="H310" s="304"/>
      <c r="I310" s="304"/>
      <c r="J310" s="304"/>
      <c r="K310" s="304"/>
      <c r="L310" s="304"/>
      <c r="M310" s="304"/>
      <c r="N310" s="304"/>
      <c r="O310" s="304"/>
      <c r="P310" s="304"/>
      <c r="Q310" s="304"/>
    </row>
    <row r="311" spans="1:17" ht="13.8" x14ac:dyDescent="0.3">
      <c r="A311" s="388">
        <f t="shared" si="17"/>
        <v>289</v>
      </c>
      <c r="B311" s="389">
        <f t="shared" ca="1" si="18"/>
        <v>0.10850528152745358</v>
      </c>
      <c r="C311" s="389">
        <f t="shared" ca="1" si="19"/>
        <v>5.2599948625407997E-2</v>
      </c>
      <c r="D311" s="390">
        <f t="shared" ca="1" si="20"/>
        <v>0.99108174245978164</v>
      </c>
      <c r="E311" s="391" cm="1">
        <f t="array" aca="1" ref="E311" ca="1">(SUMPRODUCT($B$13:$F$13*D311/(1+B311)^$B$14:$F$14)+($F$13*D311*(1+C311))/(B311-C311)/(1+B311)^$F$14-$B$15+$B$16)/$B$17</f>
        <v>1936.1139725593523</v>
      </c>
      <c r="F311" s="304"/>
      <c r="G311" s="304"/>
      <c r="H311" s="304"/>
      <c r="I311" s="304"/>
      <c r="J311" s="304"/>
      <c r="K311" s="304"/>
      <c r="L311" s="304"/>
      <c r="M311" s="304"/>
      <c r="N311" s="304"/>
      <c r="O311" s="304"/>
      <c r="P311" s="304"/>
      <c r="Q311" s="304"/>
    </row>
    <row r="312" spans="1:17" ht="13.8" x14ac:dyDescent="0.3">
      <c r="A312" s="388">
        <f t="shared" si="17"/>
        <v>290</v>
      </c>
      <c r="B312" s="389">
        <f t="shared" ca="1" si="18"/>
        <v>0.12601532281028682</v>
      </c>
      <c r="C312" s="389">
        <f t="shared" ca="1" si="19"/>
        <v>4.6622136548455893E-2</v>
      </c>
      <c r="D312" s="390">
        <f t="shared" ca="1" si="20"/>
        <v>1.0767140585687356</v>
      </c>
      <c r="E312" s="391" cm="1">
        <f t="array" aca="1" ref="E312" ca="1">(SUMPRODUCT($B$13:$F$13*D312/(1+B312)^$B$14:$F$14)+($F$13*D312*(1+C312))/(B312-C312)/(1+B312)^$F$14-$B$15+$B$16)/$B$17</f>
        <v>1469.7645804285344</v>
      </c>
      <c r="F312" s="304"/>
      <c r="G312" s="304"/>
      <c r="H312" s="304"/>
      <c r="I312" s="304"/>
      <c r="J312" s="304"/>
      <c r="K312" s="304"/>
      <c r="L312" s="304"/>
      <c r="M312" s="304"/>
      <c r="N312" s="304"/>
      <c r="O312" s="304"/>
      <c r="P312" s="304"/>
      <c r="Q312" s="304"/>
    </row>
    <row r="313" spans="1:17" ht="13.8" x14ac:dyDescent="0.3">
      <c r="A313" s="388">
        <f t="shared" si="17"/>
        <v>291</v>
      </c>
      <c r="B313" s="389">
        <f t="shared" ca="1" si="18"/>
        <v>0.12824515831019503</v>
      </c>
      <c r="C313" s="389">
        <f t="shared" ca="1" si="19"/>
        <v>5.3279507002640877E-2</v>
      </c>
      <c r="D313" s="390">
        <f t="shared" ca="1" si="20"/>
        <v>1.0341824283284375</v>
      </c>
      <c r="E313" s="391" cm="1">
        <f t="array" aca="1" ref="E313" ca="1">(SUMPRODUCT($B$13:$F$13*D313/(1+B313)^$B$14:$F$14)+($F$13*D313*(1+C313))/(B313-C313)/(1+B313)^$F$14-$B$15+$B$16)/$B$17</f>
        <v>1469.7715492089658</v>
      </c>
      <c r="F313" s="304"/>
      <c r="G313" s="304"/>
      <c r="H313" s="304"/>
      <c r="I313" s="304"/>
      <c r="J313" s="304"/>
      <c r="K313" s="304"/>
      <c r="L313" s="304"/>
      <c r="M313" s="304"/>
      <c r="N313" s="304"/>
      <c r="O313" s="304"/>
      <c r="P313" s="304"/>
      <c r="Q313" s="304"/>
    </row>
    <row r="314" spans="1:17" ht="13.8" x14ac:dyDescent="0.3">
      <c r="A314" s="388">
        <f t="shared" si="17"/>
        <v>292</v>
      </c>
      <c r="B314" s="389">
        <f t="shared" ca="1" si="18"/>
        <v>0.11273210430721289</v>
      </c>
      <c r="C314" s="389">
        <f t="shared" ca="1" si="19"/>
        <v>4.5436759960359827E-2</v>
      </c>
      <c r="D314" s="390">
        <f t="shared" ca="1" si="20"/>
        <v>0.86786657873984074</v>
      </c>
      <c r="E314" s="391" cm="1">
        <f t="array" aca="1" ref="E314" ca="1">(SUMPRODUCT($B$13:$F$13*D314/(1+B314)^$B$14:$F$14)+($F$13*D314*(1+C314))/(B314-C314)/(1+B314)^$F$14-$B$15+$B$16)/$B$17</f>
        <v>1414.8913595372428</v>
      </c>
      <c r="F314" s="304"/>
      <c r="G314" s="304"/>
      <c r="H314" s="304"/>
      <c r="I314" s="304"/>
      <c r="J314" s="304"/>
      <c r="K314" s="304"/>
      <c r="L314" s="304"/>
      <c r="M314" s="304"/>
      <c r="N314" s="304"/>
      <c r="O314" s="304"/>
      <c r="P314" s="304"/>
      <c r="Q314" s="304"/>
    </row>
    <row r="315" spans="1:17" ht="13.8" x14ac:dyDescent="0.3">
      <c r="A315" s="388">
        <f t="shared" si="17"/>
        <v>293</v>
      </c>
      <c r="B315" s="389">
        <f t="shared" ca="1" si="18"/>
        <v>0.13369235622525169</v>
      </c>
      <c r="C315" s="389">
        <f t="shared" ca="1" si="19"/>
        <v>4.6074362989078924E-2</v>
      </c>
      <c r="D315" s="390">
        <f t="shared" ca="1" si="20"/>
        <v>0.98516692086375179</v>
      </c>
      <c r="E315" s="391" cm="1">
        <f t="array" aca="1" ref="E315" ca="1">(SUMPRODUCT($B$13:$F$13*D315/(1+B315)^$B$14:$F$14)+($F$13*D315*(1+C315))/(B315-C315)/(1+B315)^$F$14-$B$15+$B$16)/$B$17</f>
        <v>1204.4847954217116</v>
      </c>
      <c r="F315" s="304"/>
      <c r="G315" s="304"/>
      <c r="H315" s="304"/>
      <c r="I315" s="304"/>
      <c r="J315" s="304"/>
      <c r="K315" s="304"/>
      <c r="L315" s="304"/>
      <c r="M315" s="304"/>
      <c r="N315" s="304"/>
      <c r="O315" s="304"/>
      <c r="P315" s="304"/>
      <c r="Q315" s="304"/>
    </row>
    <row r="316" spans="1:17" ht="13.8" x14ac:dyDescent="0.3">
      <c r="A316" s="388">
        <f t="shared" si="17"/>
        <v>294</v>
      </c>
      <c r="B316" s="389">
        <f t="shared" ca="1" si="18"/>
        <v>0.11369996185998801</v>
      </c>
      <c r="C316" s="389">
        <f t="shared" ca="1" si="19"/>
        <v>5.6202608328169035E-2</v>
      </c>
      <c r="D316" s="390">
        <f t="shared" ca="1" si="20"/>
        <v>1.0657799013167382</v>
      </c>
      <c r="E316" s="391" cm="1">
        <f t="array" aca="1" ref="E316" ca="1">(SUMPRODUCT($B$13:$F$13*D316/(1+B316)^$B$14:$F$14)+($F$13*D316*(1+C316))/(B316-C316)/(1+B316)^$F$14-$B$15+$B$16)/$B$17</f>
        <v>2000.2855540790235</v>
      </c>
      <c r="F316" s="304"/>
      <c r="G316" s="304"/>
      <c r="H316" s="304"/>
      <c r="I316" s="304"/>
      <c r="J316" s="304"/>
      <c r="K316" s="304"/>
      <c r="L316" s="304"/>
      <c r="M316" s="304"/>
      <c r="N316" s="304"/>
      <c r="O316" s="304"/>
      <c r="P316" s="304"/>
      <c r="Q316" s="304"/>
    </row>
    <row r="317" spans="1:17" ht="13.8" x14ac:dyDescent="0.3">
      <c r="A317" s="388">
        <f t="shared" si="17"/>
        <v>295</v>
      </c>
      <c r="B317" s="389">
        <f t="shared" ca="1" si="18"/>
        <v>0.11617711261420459</v>
      </c>
      <c r="C317" s="389">
        <f t="shared" ca="1" si="19"/>
        <v>4.9876806837671879E-2</v>
      </c>
      <c r="D317" s="390">
        <f t="shared" ca="1" si="20"/>
        <v>1.0916132706663608</v>
      </c>
      <c r="E317" s="391" cm="1">
        <f t="array" aca="1" ref="E317" ca="1">(SUMPRODUCT($B$13:$F$13*D317/(1+B317)^$B$14:$F$14)+($F$13*D317*(1+C317))/(B317-C317)/(1+B317)^$F$14-$B$15+$B$16)/$B$17</f>
        <v>1795.1202622552432</v>
      </c>
      <c r="F317" s="304"/>
      <c r="G317" s="304"/>
      <c r="H317" s="304"/>
      <c r="I317" s="304"/>
      <c r="J317" s="304"/>
      <c r="K317" s="304"/>
      <c r="L317" s="304"/>
      <c r="M317" s="304"/>
      <c r="N317" s="304"/>
      <c r="O317" s="304"/>
      <c r="P317" s="304"/>
      <c r="Q317" s="304"/>
    </row>
    <row r="318" spans="1:17" ht="13.8" x14ac:dyDescent="0.3">
      <c r="A318" s="388">
        <f t="shared" si="17"/>
        <v>296</v>
      </c>
      <c r="B318" s="389">
        <f t="shared" ca="1" si="18"/>
        <v>0.13252497224954984</v>
      </c>
      <c r="C318" s="389">
        <f t="shared" ca="1" si="19"/>
        <v>4.640166647316258E-2</v>
      </c>
      <c r="D318" s="390">
        <f t="shared" ca="1" si="20"/>
        <v>0.99884386560334459</v>
      </c>
      <c r="E318" s="391" cm="1">
        <f t="array" aca="1" ref="E318" ca="1">(SUMPRODUCT($B$13:$F$13*D318/(1+B318)^$B$14:$F$14)+($F$13*D318*(1+C318))/(B318-C318)/(1+B318)^$F$14-$B$15+$B$16)/$B$17</f>
        <v>1244.1028482120487</v>
      </c>
      <c r="F318" s="304"/>
      <c r="G318" s="304"/>
      <c r="H318" s="304"/>
      <c r="I318" s="304"/>
      <c r="J318" s="304"/>
      <c r="K318" s="304"/>
      <c r="L318" s="304"/>
      <c r="M318" s="304"/>
      <c r="N318" s="304"/>
      <c r="O318" s="304"/>
      <c r="P318" s="304"/>
      <c r="Q318" s="304"/>
    </row>
    <row r="319" spans="1:17" ht="13.8" x14ac:dyDescent="0.3">
      <c r="A319" s="388">
        <f t="shared" si="17"/>
        <v>297</v>
      </c>
      <c r="B319" s="389">
        <f t="shared" ca="1" si="18"/>
        <v>0.14179961124406093</v>
      </c>
      <c r="C319" s="389">
        <f t="shared" ca="1" si="19"/>
        <v>5.0069305137378263E-2</v>
      </c>
      <c r="D319" s="390">
        <f t="shared" ca="1" si="20"/>
        <v>1.048192307770023</v>
      </c>
      <c r="E319" s="391" cm="1">
        <f t="array" aca="1" ref="E319" ca="1">(SUMPRODUCT($B$13:$F$13*D319/(1+B319)^$B$14:$F$14)+($F$13*D319*(1+C319))/(B319-C319)/(1+B319)^$F$14-$B$15+$B$16)/$B$17</f>
        <v>1205.7046313944672</v>
      </c>
      <c r="F319" s="304"/>
      <c r="G319" s="304"/>
      <c r="H319" s="304"/>
      <c r="I319" s="304"/>
      <c r="J319" s="304"/>
      <c r="K319" s="304"/>
      <c r="L319" s="304"/>
      <c r="M319" s="304"/>
      <c r="N319" s="304"/>
      <c r="O319" s="304"/>
      <c r="P319" s="304"/>
      <c r="Q319" s="304"/>
    </row>
    <row r="320" spans="1:17" ht="13.8" x14ac:dyDescent="0.3">
      <c r="A320" s="388">
        <f t="shared" si="17"/>
        <v>298</v>
      </c>
      <c r="B320" s="389">
        <f t="shared" ca="1" si="18"/>
        <v>0.15047181243254307</v>
      </c>
      <c r="C320" s="389">
        <f t="shared" ca="1" si="19"/>
        <v>3.4933746543282469E-2</v>
      </c>
      <c r="D320" s="390">
        <f t="shared" ca="1" si="20"/>
        <v>1.1744365162542636</v>
      </c>
      <c r="E320" s="391" cm="1">
        <f t="array" aca="1" ref="E320" ca="1">(SUMPRODUCT($B$13:$F$13*D320/(1+B320)^$B$14:$F$14)+($F$13*D320*(1+C320))/(B320-C320)/(1+B320)^$F$14-$B$15+$B$16)/$B$17</f>
        <v>1097.7874608229097</v>
      </c>
      <c r="F320" s="304"/>
      <c r="G320" s="304"/>
      <c r="H320" s="304"/>
      <c r="I320" s="304"/>
      <c r="J320" s="304"/>
      <c r="K320" s="304"/>
      <c r="L320" s="304"/>
      <c r="M320" s="304"/>
      <c r="N320" s="304"/>
      <c r="O320" s="304"/>
      <c r="P320" s="304"/>
      <c r="Q320" s="304"/>
    </row>
    <row r="321" spans="1:17" ht="13.8" x14ac:dyDescent="0.3">
      <c r="A321" s="388">
        <f t="shared" si="17"/>
        <v>299</v>
      </c>
      <c r="B321" s="389">
        <f t="shared" ca="1" si="18"/>
        <v>0.13952984356029033</v>
      </c>
      <c r="C321" s="389">
        <f t="shared" ca="1" si="19"/>
        <v>5.9726068940852209E-2</v>
      </c>
      <c r="D321" s="390">
        <f t="shared" ca="1" si="20"/>
        <v>0.98045553078761283</v>
      </c>
      <c r="E321" s="391" cm="1">
        <f t="array" aca="1" ref="E321" ca="1">(SUMPRODUCT($B$13:$F$13*D321/(1+B321)^$B$14:$F$14)+($F$13*D321*(1+C321))/(B321-C321)/(1+B321)^$F$14-$B$15+$B$16)/$B$17</f>
        <v>1272.6069088368754</v>
      </c>
      <c r="F321" s="304"/>
      <c r="G321" s="304"/>
      <c r="H321" s="304"/>
      <c r="I321" s="304"/>
      <c r="J321" s="304"/>
      <c r="K321" s="304"/>
      <c r="L321" s="304"/>
      <c r="M321" s="304"/>
      <c r="N321" s="304"/>
      <c r="O321" s="304"/>
      <c r="P321" s="304"/>
      <c r="Q321" s="304"/>
    </row>
    <row r="322" spans="1:17" ht="13.8" x14ac:dyDescent="0.3">
      <c r="A322" s="388">
        <f t="shared" si="17"/>
        <v>300</v>
      </c>
      <c r="B322" s="389">
        <f t="shared" ca="1" si="18"/>
        <v>0.13226448248842868</v>
      </c>
      <c r="C322" s="389">
        <f t="shared" ca="1" si="19"/>
        <v>5.3922863127905223E-2</v>
      </c>
      <c r="D322" s="390">
        <f t="shared" ca="1" si="20"/>
        <v>0.90100521955123636</v>
      </c>
      <c r="E322" s="391" cm="1">
        <f t="array" aca="1" ref="E322" ca="1">(SUMPRODUCT($B$13:$F$13*D322/(1+B322)^$B$14:$F$14)+($F$13*D322*(1+C322))/(B322-C322)/(1+B322)^$F$14-$B$15+$B$16)/$B$17</f>
        <v>1211.6913289754141</v>
      </c>
      <c r="F322" s="304"/>
      <c r="G322" s="304"/>
      <c r="H322" s="304"/>
      <c r="I322" s="304"/>
      <c r="J322" s="304"/>
      <c r="K322" s="304"/>
      <c r="L322" s="304"/>
      <c r="M322" s="304"/>
      <c r="N322" s="304"/>
      <c r="O322" s="304"/>
      <c r="P322" s="304"/>
      <c r="Q322" s="304"/>
    </row>
    <row r="323" spans="1:17" ht="13.8" x14ac:dyDescent="0.3">
      <c r="A323" s="388">
        <f t="shared" si="17"/>
        <v>301</v>
      </c>
      <c r="B323" s="389">
        <f t="shared" ca="1" si="18"/>
        <v>0.11835143317228733</v>
      </c>
      <c r="C323" s="389">
        <f t="shared" ca="1" si="19"/>
        <v>4.4614571542747727E-2</v>
      </c>
      <c r="D323" s="390">
        <f t="shared" ca="1" si="20"/>
        <v>0.98322897806103504</v>
      </c>
      <c r="E323" s="391" cm="1">
        <f t="array" aca="1" ref="E323" ca="1">(SUMPRODUCT($B$13:$F$13*D323/(1+B323)^$B$14:$F$14)+($F$13*D323*(1+C323))/(B323-C323)/(1+B323)^$F$14-$B$15+$B$16)/$B$17</f>
        <v>1460.4488314017665</v>
      </c>
      <c r="F323" s="304"/>
      <c r="G323" s="304"/>
      <c r="H323" s="304"/>
      <c r="I323" s="304"/>
      <c r="J323" s="304"/>
      <c r="K323" s="304"/>
      <c r="L323" s="304"/>
      <c r="M323" s="304"/>
      <c r="N323" s="304"/>
      <c r="O323" s="304"/>
      <c r="P323" s="304"/>
      <c r="Q323" s="304"/>
    </row>
    <row r="324" spans="1:17" ht="13.8" x14ac:dyDescent="0.3">
      <c r="A324" s="388">
        <f t="shared" si="17"/>
        <v>302</v>
      </c>
      <c r="B324" s="389">
        <f t="shared" ca="1" si="18"/>
        <v>0.13090943879344286</v>
      </c>
      <c r="C324" s="389">
        <f t="shared" ca="1" si="19"/>
        <v>4.3473339877877173E-2</v>
      </c>
      <c r="D324" s="390">
        <f t="shared" ca="1" si="20"/>
        <v>0.98061521865087697</v>
      </c>
      <c r="E324" s="391" cm="1">
        <f t="array" aca="1" ref="E324" ca="1">(SUMPRODUCT($B$13:$F$13*D324/(1+B324)^$B$14:$F$14)+($F$13*D324*(1+C324))/(B324-C324)/(1+B324)^$F$14-$B$15+$B$16)/$B$17</f>
        <v>1211.3893002920486</v>
      </c>
      <c r="F324" s="304"/>
      <c r="G324" s="304"/>
      <c r="H324" s="304"/>
      <c r="I324" s="304"/>
      <c r="J324" s="304"/>
      <c r="K324" s="304"/>
      <c r="L324" s="304"/>
      <c r="M324" s="304"/>
      <c r="N324" s="304"/>
      <c r="O324" s="304"/>
      <c r="P324" s="304"/>
      <c r="Q324" s="304"/>
    </row>
    <row r="325" spans="1:17" ht="13.8" x14ac:dyDescent="0.3">
      <c r="A325" s="388">
        <f t="shared" si="17"/>
        <v>303</v>
      </c>
      <c r="B325" s="389">
        <f t="shared" ca="1" si="18"/>
        <v>0.11145434381972326</v>
      </c>
      <c r="C325" s="389">
        <f t="shared" ca="1" si="19"/>
        <v>4.6496336761097087E-2</v>
      </c>
      <c r="D325" s="390">
        <f t="shared" ca="1" si="20"/>
        <v>1.1956465035421331</v>
      </c>
      <c r="E325" s="391" cm="1">
        <f t="array" aca="1" ref="E325" ca="1">(SUMPRODUCT($B$13:$F$13*D325/(1+B325)^$B$14:$F$14)+($F$13*D325*(1+C325))/(B325-C325)/(1+B325)^$F$14-$B$15+$B$16)/$B$17</f>
        <v>2036.7807123346672</v>
      </c>
      <c r="F325" s="304"/>
      <c r="G325" s="304"/>
      <c r="H325" s="304"/>
      <c r="I325" s="304"/>
      <c r="J325" s="304"/>
      <c r="K325" s="304"/>
      <c r="L325" s="304"/>
      <c r="M325" s="304"/>
      <c r="N325" s="304"/>
      <c r="O325" s="304"/>
      <c r="P325" s="304"/>
      <c r="Q325" s="304"/>
    </row>
    <row r="326" spans="1:17" ht="13.8" x14ac:dyDescent="0.3">
      <c r="A326" s="388">
        <f t="shared" si="17"/>
        <v>304</v>
      </c>
      <c r="B326" s="389">
        <f t="shared" ca="1" si="18"/>
        <v>0.15103449108981068</v>
      </c>
      <c r="C326" s="389">
        <f t="shared" ca="1" si="19"/>
        <v>5.1787746646823181E-2</v>
      </c>
      <c r="D326" s="390">
        <f t="shared" ca="1" si="20"/>
        <v>1.049135395206519</v>
      </c>
      <c r="E326" s="391" cm="1">
        <f t="array" aca="1" ref="E326" ca="1">(SUMPRODUCT($B$13:$F$13*D326/(1+B326)^$B$14:$F$14)+($F$13*D326*(1+C326))/(B326-C326)/(1+B326)^$F$14-$B$15+$B$16)/$B$17</f>
        <v>1099.6309272746585</v>
      </c>
      <c r="F326" s="304"/>
      <c r="G326" s="304"/>
      <c r="H326" s="304"/>
      <c r="I326" s="304"/>
      <c r="J326" s="304"/>
      <c r="K326" s="304"/>
      <c r="L326" s="304"/>
      <c r="M326" s="304"/>
      <c r="N326" s="304"/>
      <c r="O326" s="304"/>
      <c r="P326" s="304"/>
      <c r="Q326" s="304"/>
    </row>
    <row r="327" spans="1:17" ht="13.8" x14ac:dyDescent="0.3">
      <c r="A327" s="388">
        <f t="shared" si="17"/>
        <v>305</v>
      </c>
      <c r="B327" s="389">
        <f t="shared" ca="1" si="18"/>
        <v>0.11713204477659475</v>
      </c>
      <c r="C327" s="389">
        <f t="shared" ca="1" si="19"/>
        <v>4.7571100461918085E-2</v>
      </c>
      <c r="D327" s="390">
        <f t="shared" ca="1" si="20"/>
        <v>1.1046895470183096</v>
      </c>
      <c r="E327" s="391" cm="1">
        <f t="array" aca="1" ref="E327" ca="1">(SUMPRODUCT($B$13:$F$13*D327/(1+B327)^$B$14:$F$14)+($F$13*D327*(1+C327))/(B327-C327)/(1+B327)^$F$14-$B$15+$B$16)/$B$17</f>
        <v>1737.9778196078723</v>
      </c>
      <c r="F327" s="304"/>
      <c r="G327" s="304"/>
      <c r="H327" s="304"/>
      <c r="I327" s="304"/>
      <c r="J327" s="304"/>
      <c r="K327" s="304"/>
      <c r="L327" s="304"/>
      <c r="M327" s="304"/>
      <c r="N327" s="304"/>
      <c r="O327" s="304"/>
      <c r="P327" s="304"/>
      <c r="Q327" s="304"/>
    </row>
    <row r="328" spans="1:17" ht="13.8" x14ac:dyDescent="0.3">
      <c r="A328" s="388">
        <f t="shared" si="17"/>
        <v>306</v>
      </c>
      <c r="B328" s="389">
        <f t="shared" ca="1" si="18"/>
        <v>0.12732736008175782</v>
      </c>
      <c r="C328" s="389">
        <f t="shared" ca="1" si="19"/>
        <v>5.6551559323215567E-2</v>
      </c>
      <c r="D328" s="390">
        <f t="shared" ca="1" si="20"/>
        <v>1.199313756779445</v>
      </c>
      <c r="E328" s="391" cm="1">
        <f t="array" aca="1" ref="E328" ca="1">(SUMPRODUCT($B$13:$F$13*D328/(1+B328)^$B$14:$F$14)+($F$13*D328*(1+C328))/(B328-C328)/(1+B328)^$F$14-$B$15+$B$16)/$B$17</f>
        <v>1803.3477450972975</v>
      </c>
      <c r="F328" s="304"/>
      <c r="G328" s="304"/>
      <c r="H328" s="304"/>
      <c r="I328" s="304"/>
      <c r="J328" s="304"/>
      <c r="K328" s="304"/>
      <c r="L328" s="304"/>
      <c r="M328" s="304"/>
      <c r="N328" s="304"/>
      <c r="O328" s="304"/>
      <c r="P328" s="304"/>
      <c r="Q328" s="304"/>
    </row>
    <row r="329" spans="1:17" ht="13.8" x14ac:dyDescent="0.3">
      <c r="A329" s="388">
        <f t="shared" si="17"/>
        <v>307</v>
      </c>
      <c r="B329" s="389">
        <f t="shared" ca="1" si="18"/>
        <v>0.11546575280860458</v>
      </c>
      <c r="C329" s="389">
        <f t="shared" ca="1" si="19"/>
        <v>4.8467226695668907E-2</v>
      </c>
      <c r="D329" s="390">
        <f t="shared" ca="1" si="20"/>
        <v>1.0692394347941232</v>
      </c>
      <c r="E329" s="391" cm="1">
        <f t="array" aca="1" ref="E329" ca="1">(SUMPRODUCT($B$13:$F$13*D329/(1+B329)^$B$14:$F$14)+($F$13*D329*(1+C329))/(B329-C329)/(1+B329)^$F$14-$B$15+$B$16)/$B$17</f>
        <v>1745.4606045410469</v>
      </c>
      <c r="F329" s="304"/>
      <c r="G329" s="304"/>
      <c r="H329" s="304"/>
      <c r="I329" s="304"/>
      <c r="J329" s="304"/>
      <c r="K329" s="304"/>
      <c r="L329" s="304"/>
      <c r="M329" s="304"/>
      <c r="N329" s="304"/>
      <c r="O329" s="304"/>
      <c r="P329" s="304"/>
      <c r="Q329" s="304"/>
    </row>
    <row r="330" spans="1:17" ht="13.8" x14ac:dyDescent="0.3">
      <c r="A330" s="388">
        <f t="shared" si="17"/>
        <v>308</v>
      </c>
      <c r="B330" s="389">
        <f t="shared" ca="1" si="18"/>
        <v>0.11710747337149019</v>
      </c>
      <c r="C330" s="389">
        <f t="shared" ca="1" si="19"/>
        <v>4.99286542416554E-2</v>
      </c>
      <c r="D330" s="390">
        <f t="shared" ca="1" si="20"/>
        <v>0.76827029384798018</v>
      </c>
      <c r="E330" s="391" cm="1">
        <f t="array" aca="1" ref="E330" ca="1">(SUMPRODUCT($B$13:$F$13*D330/(1+B330)^$B$14:$F$14)+($F$13*D330*(1+C330))/(B330-C330)/(1+B330)^$F$14-$B$15+$B$16)/$B$17</f>
        <v>1231.2460475216742</v>
      </c>
      <c r="F330" s="304"/>
      <c r="G330" s="304"/>
      <c r="H330" s="304"/>
      <c r="I330" s="304"/>
      <c r="J330" s="304"/>
      <c r="K330" s="304"/>
      <c r="L330" s="304"/>
      <c r="M330" s="304"/>
      <c r="N330" s="304"/>
      <c r="O330" s="304"/>
      <c r="P330" s="304"/>
      <c r="Q330" s="304"/>
    </row>
    <row r="331" spans="1:17" ht="13.8" x14ac:dyDescent="0.3">
      <c r="A331" s="388">
        <f t="shared" si="17"/>
        <v>309</v>
      </c>
      <c r="B331" s="389">
        <f t="shared" ca="1" si="18"/>
        <v>0.1374212728009265</v>
      </c>
      <c r="C331" s="389">
        <f t="shared" ca="1" si="19"/>
        <v>4.9521860280753047E-2</v>
      </c>
      <c r="D331" s="390">
        <f t="shared" ca="1" si="20"/>
        <v>0.91882398902517848</v>
      </c>
      <c r="E331" s="391" cm="1">
        <f t="array" aca="1" ref="E331" ca="1">(SUMPRODUCT($B$13:$F$13*D331/(1+B331)^$B$14:$F$14)+($F$13*D331*(1+C331))/(B331-C331)/(1+B331)^$F$14-$B$15+$B$16)/$B$17</f>
        <v>1104.0886474885269</v>
      </c>
      <c r="F331" s="304"/>
      <c r="G331" s="304"/>
      <c r="H331" s="304"/>
      <c r="I331" s="304"/>
      <c r="J331" s="304"/>
      <c r="K331" s="304"/>
      <c r="L331" s="304"/>
      <c r="M331" s="304"/>
      <c r="N331" s="304"/>
      <c r="O331" s="304"/>
      <c r="P331" s="304"/>
      <c r="Q331" s="304"/>
    </row>
    <row r="332" spans="1:17" ht="13.8" x14ac:dyDescent="0.3">
      <c r="A332" s="388">
        <f t="shared" si="17"/>
        <v>310</v>
      </c>
      <c r="B332" s="389">
        <f t="shared" ca="1" si="18"/>
        <v>0.1224534568186197</v>
      </c>
      <c r="C332" s="389">
        <f t="shared" ca="1" si="19"/>
        <v>5.1012022775142107E-2</v>
      </c>
      <c r="D332" s="390">
        <f t="shared" ca="1" si="20"/>
        <v>1.0514186139846557</v>
      </c>
      <c r="E332" s="391" cm="1">
        <f t="array" aca="1" ref="E332" ca="1">(SUMPRODUCT($B$13:$F$13*D332/(1+B332)^$B$14:$F$14)+($F$13*D332*(1+C332))/(B332-C332)/(1+B332)^$F$14-$B$15+$B$16)/$B$17</f>
        <v>1587.0184616534598</v>
      </c>
      <c r="F332" s="304"/>
      <c r="G332" s="304"/>
      <c r="H332" s="304"/>
      <c r="I332" s="304"/>
      <c r="J332" s="304"/>
      <c r="K332" s="304"/>
      <c r="L332" s="304"/>
      <c r="M332" s="304"/>
      <c r="N332" s="304"/>
      <c r="O332" s="304"/>
      <c r="P332" s="304"/>
      <c r="Q332" s="304"/>
    </row>
    <row r="333" spans="1:17" ht="13.8" x14ac:dyDescent="0.3">
      <c r="A333" s="388">
        <f t="shared" si="17"/>
        <v>311</v>
      </c>
      <c r="B333" s="389">
        <f t="shared" ca="1" si="18"/>
        <v>0.11738053343019667</v>
      </c>
      <c r="C333" s="389">
        <f t="shared" ca="1" si="19"/>
        <v>4.1996148839366199E-2</v>
      </c>
      <c r="D333" s="390">
        <f t="shared" ca="1" si="20"/>
        <v>0.92791660643847007</v>
      </c>
      <c r="E333" s="391" cm="1">
        <f t="array" aca="1" ref="E333" ca="1">(SUMPRODUCT($B$13:$F$13*D333/(1+B333)^$B$14:$F$14)+($F$13*D333*(1+C333))/(B333-C333)/(1+B333)^$F$14-$B$15+$B$16)/$B$17</f>
        <v>1354.025858735419</v>
      </c>
      <c r="F333" s="304"/>
      <c r="G333" s="304"/>
      <c r="H333" s="304"/>
      <c r="I333" s="304"/>
      <c r="J333" s="304"/>
      <c r="K333" s="304"/>
      <c r="L333" s="304"/>
      <c r="M333" s="304"/>
      <c r="N333" s="304"/>
      <c r="O333" s="304"/>
      <c r="P333" s="304"/>
      <c r="Q333" s="304"/>
    </row>
    <row r="334" spans="1:17" ht="13.8" x14ac:dyDescent="0.3">
      <c r="A334" s="388">
        <f t="shared" si="17"/>
        <v>312</v>
      </c>
      <c r="B334" s="389">
        <f t="shared" ca="1" si="18"/>
        <v>0.13918097367238197</v>
      </c>
      <c r="C334" s="389">
        <f t="shared" ca="1" si="19"/>
        <v>5.6425714333985383E-2</v>
      </c>
      <c r="D334" s="390">
        <f t="shared" ca="1" si="20"/>
        <v>1.0325438120366137</v>
      </c>
      <c r="E334" s="391" cm="1">
        <f t="array" aca="1" ref="E334" ca="1">(SUMPRODUCT($B$13:$F$13*D334/(1+B334)^$B$14:$F$14)+($F$13*D334*(1+C334))/(B334-C334)/(1+B334)^$F$14-$B$15+$B$16)/$B$17</f>
        <v>1303.7644079976017</v>
      </c>
      <c r="F334" s="304"/>
      <c r="G334" s="304"/>
      <c r="H334" s="304"/>
      <c r="I334" s="304"/>
      <c r="J334" s="304"/>
      <c r="K334" s="304"/>
      <c r="L334" s="304"/>
      <c r="M334" s="304"/>
      <c r="N334" s="304"/>
      <c r="O334" s="304"/>
      <c r="P334" s="304"/>
      <c r="Q334" s="304"/>
    </row>
    <row r="335" spans="1:17" ht="13.8" x14ac:dyDescent="0.3">
      <c r="A335" s="388">
        <f t="shared" si="17"/>
        <v>313</v>
      </c>
      <c r="B335" s="389">
        <f t="shared" ca="1" si="18"/>
        <v>0.131083000793384</v>
      </c>
      <c r="C335" s="389">
        <f t="shared" ca="1" si="19"/>
        <v>6.2165988838664511E-2</v>
      </c>
      <c r="D335" s="390">
        <f t="shared" ca="1" si="20"/>
        <v>0.93931847001363455</v>
      </c>
      <c r="E335" s="391" cm="1">
        <f t="array" aca="1" ref="E335" ca="1">(SUMPRODUCT($B$13:$F$13*D335/(1+B335)^$B$14:$F$14)+($F$13*D335*(1+C335))/(B335-C335)/(1+B335)^$F$14-$B$15+$B$16)/$B$17</f>
        <v>1417.598510926724</v>
      </c>
      <c r="F335" s="304"/>
      <c r="G335" s="304"/>
      <c r="H335" s="304"/>
      <c r="I335" s="304"/>
      <c r="J335" s="304"/>
      <c r="K335" s="304"/>
      <c r="L335" s="304"/>
      <c r="M335" s="304"/>
      <c r="N335" s="304"/>
      <c r="O335" s="304"/>
      <c r="P335" s="304"/>
      <c r="Q335" s="304"/>
    </row>
    <row r="336" spans="1:17" ht="13.8" x14ac:dyDescent="0.3">
      <c r="A336" s="388">
        <f t="shared" si="17"/>
        <v>314</v>
      </c>
      <c r="B336" s="389">
        <f t="shared" ca="1" si="18"/>
        <v>0.12667007753403711</v>
      </c>
      <c r="C336" s="389">
        <f t="shared" ca="1" si="19"/>
        <v>5.7493254872053388E-2</v>
      </c>
      <c r="D336" s="390">
        <f t="shared" ca="1" si="20"/>
        <v>0.84200251579825303</v>
      </c>
      <c r="E336" s="391" cm="1">
        <f t="array" aca="1" ref="E336" ca="1">(SUMPRODUCT($B$13:$F$13*D336/(1+B336)^$B$14:$F$14)+($F$13*D336*(1+C336))/(B336-C336)/(1+B336)^$F$14-$B$15+$B$16)/$B$17</f>
        <v>1279.6829224170262</v>
      </c>
      <c r="F336" s="304"/>
      <c r="G336" s="304"/>
      <c r="H336" s="304"/>
      <c r="I336" s="304"/>
      <c r="J336" s="304"/>
      <c r="K336" s="304"/>
      <c r="L336" s="304"/>
      <c r="M336" s="304"/>
      <c r="N336" s="304"/>
      <c r="O336" s="304"/>
      <c r="P336" s="304"/>
      <c r="Q336" s="304"/>
    </row>
    <row r="337" spans="1:17" ht="13.8" x14ac:dyDescent="0.3">
      <c r="A337" s="388">
        <f t="shared" si="17"/>
        <v>315</v>
      </c>
      <c r="B337" s="389">
        <f t="shared" ca="1" si="18"/>
        <v>0.12248779565422931</v>
      </c>
      <c r="C337" s="389">
        <f t="shared" ca="1" si="19"/>
        <v>3.8241622157597591E-2</v>
      </c>
      <c r="D337" s="390">
        <f t="shared" ca="1" si="20"/>
        <v>1.2179904164425033</v>
      </c>
      <c r="E337" s="391" cm="1">
        <f t="array" aca="1" ref="E337" ca="1">(SUMPRODUCT($B$13:$F$13*D337/(1+B337)^$B$14:$F$14)+($F$13*D337*(1+C337))/(B337-C337)/(1+B337)^$F$14-$B$15+$B$16)/$B$17</f>
        <v>1605.7878680693505</v>
      </c>
      <c r="F337" s="304"/>
      <c r="G337" s="304"/>
      <c r="H337" s="304"/>
      <c r="I337" s="304"/>
      <c r="J337" s="304"/>
      <c r="K337" s="304"/>
      <c r="L337" s="304"/>
      <c r="M337" s="304"/>
      <c r="N337" s="304"/>
      <c r="O337" s="304"/>
      <c r="P337" s="304"/>
      <c r="Q337" s="304"/>
    </row>
    <row r="338" spans="1:17" ht="13.8" x14ac:dyDescent="0.3">
      <c r="A338" s="388">
        <f t="shared" si="17"/>
        <v>316</v>
      </c>
      <c r="B338" s="389">
        <f t="shared" ca="1" si="18"/>
        <v>0.13192101410511606</v>
      </c>
      <c r="C338" s="389">
        <f t="shared" ca="1" si="19"/>
        <v>4.5039426019816683E-2</v>
      </c>
      <c r="D338" s="390">
        <f t="shared" ca="1" si="20"/>
        <v>0.98748279515225668</v>
      </c>
      <c r="E338" s="391" cm="1">
        <f t="array" aca="1" ref="E338" ca="1">(SUMPRODUCT($B$13:$F$13*D338/(1+B338)^$B$14:$F$14)+($F$13*D338*(1+C338))/(B338-C338)/(1+B338)^$F$14-$B$15+$B$16)/$B$17</f>
        <v>1222.7785126527117</v>
      </c>
      <c r="F338" s="304"/>
      <c r="G338" s="304"/>
      <c r="H338" s="304"/>
      <c r="I338" s="304"/>
      <c r="J338" s="304"/>
      <c r="K338" s="304"/>
      <c r="L338" s="304"/>
      <c r="M338" s="304"/>
      <c r="N338" s="304"/>
      <c r="O338" s="304"/>
      <c r="P338" s="304"/>
      <c r="Q338" s="304"/>
    </row>
    <row r="339" spans="1:17" ht="13.8" x14ac:dyDescent="0.3">
      <c r="A339" s="388">
        <f t="shared" si="17"/>
        <v>317</v>
      </c>
      <c r="B339" s="389">
        <f t="shared" ca="1" si="18"/>
        <v>0.1131946552909095</v>
      </c>
      <c r="C339" s="389">
        <f t="shared" ca="1" si="19"/>
        <v>4.1648164358517405E-2</v>
      </c>
      <c r="D339" s="390">
        <f t="shared" ca="1" si="20"/>
        <v>1.0063056260305676</v>
      </c>
      <c r="E339" s="391" cm="1">
        <f t="array" aca="1" ref="E339" ca="1">(SUMPRODUCT($B$13:$F$13*D339/(1+B339)^$B$14:$F$14)+($F$13*D339*(1+C339))/(B339-C339)/(1+B339)^$F$14-$B$15+$B$16)/$B$17</f>
        <v>1560.8286164419762</v>
      </c>
      <c r="F339" s="304"/>
      <c r="G339" s="304"/>
      <c r="H339" s="304"/>
      <c r="I339" s="304"/>
      <c r="J339" s="304"/>
      <c r="K339" s="304"/>
      <c r="L339" s="304"/>
      <c r="M339" s="304"/>
      <c r="N339" s="304"/>
      <c r="O339" s="304"/>
      <c r="P339" s="304"/>
      <c r="Q339" s="304"/>
    </row>
    <row r="340" spans="1:17" ht="13.8" x14ac:dyDescent="0.3">
      <c r="A340" s="388">
        <f t="shared" si="17"/>
        <v>318</v>
      </c>
      <c r="B340" s="389">
        <f t="shared" ca="1" si="18"/>
        <v>0.12022863156763383</v>
      </c>
      <c r="C340" s="389">
        <f t="shared" ca="1" si="19"/>
        <v>3.8135300362933854E-2</v>
      </c>
      <c r="D340" s="390">
        <f t="shared" ca="1" si="20"/>
        <v>0.91803621206045072</v>
      </c>
      <c r="E340" s="391" cm="1">
        <f t="array" aca="1" ref="E340" ca="1">(SUMPRODUCT($B$13:$F$13*D340/(1+B340)^$B$14:$F$14)+($F$13*D340*(1+C340))/(B340-C340)/(1+B340)^$F$14-$B$15+$B$16)/$B$17</f>
        <v>1234.002606843494</v>
      </c>
      <c r="F340" s="304"/>
      <c r="G340" s="304"/>
      <c r="H340" s="304"/>
      <c r="I340" s="304"/>
      <c r="J340" s="304"/>
      <c r="K340" s="304"/>
      <c r="L340" s="304"/>
      <c r="M340" s="304"/>
      <c r="N340" s="304"/>
      <c r="O340" s="304"/>
      <c r="P340" s="304"/>
      <c r="Q340" s="304"/>
    </row>
    <row r="341" spans="1:17" ht="13.8" x14ac:dyDescent="0.3">
      <c r="A341" s="388">
        <f t="shared" si="17"/>
        <v>319</v>
      </c>
      <c r="B341" s="389">
        <f t="shared" ca="1" si="18"/>
        <v>0.13093827624661697</v>
      </c>
      <c r="C341" s="389">
        <f t="shared" ca="1" si="19"/>
        <v>5.3370405443172217E-2</v>
      </c>
      <c r="D341" s="390">
        <f t="shared" ca="1" si="20"/>
        <v>0.98255256989841822</v>
      </c>
      <c r="E341" s="391" cm="1">
        <f t="array" aca="1" ref="E341" ca="1">(SUMPRODUCT($B$13:$F$13*D341/(1+B341)^$B$14:$F$14)+($F$13*D341*(1+C341))/(B341-C341)/(1+B341)^$F$14-$B$15+$B$16)/$B$17</f>
        <v>1342.5191101189143</v>
      </c>
      <c r="F341" s="304"/>
      <c r="G341" s="304"/>
      <c r="H341" s="304"/>
      <c r="I341" s="304"/>
      <c r="J341" s="304"/>
      <c r="K341" s="304"/>
      <c r="L341" s="304"/>
      <c r="M341" s="304"/>
      <c r="N341" s="304"/>
      <c r="O341" s="304"/>
      <c r="P341" s="304"/>
      <c r="Q341" s="304"/>
    </row>
    <row r="342" spans="1:17" ht="13.8" x14ac:dyDescent="0.3">
      <c r="A342" s="388">
        <f t="shared" si="17"/>
        <v>320</v>
      </c>
      <c r="B342" s="389">
        <f t="shared" ca="1" si="18"/>
        <v>0.10945268723520366</v>
      </c>
      <c r="C342" s="389">
        <f t="shared" ca="1" si="19"/>
        <v>4.8179176406279361E-2</v>
      </c>
      <c r="D342" s="390">
        <f t="shared" ca="1" si="20"/>
        <v>0.95681124411644425</v>
      </c>
      <c r="E342" s="391" cm="1">
        <f t="array" aca="1" ref="E342" ca="1">(SUMPRODUCT($B$13:$F$13*D342/(1+B342)^$B$14:$F$14)+($F$13*D342*(1+C342))/(B342-C342)/(1+B342)^$F$14-$B$15+$B$16)/$B$17</f>
        <v>1716.7034496547033</v>
      </c>
      <c r="F342" s="304"/>
      <c r="G342" s="304"/>
      <c r="H342" s="304"/>
      <c r="I342" s="304"/>
      <c r="J342" s="304"/>
      <c r="K342" s="304"/>
      <c r="L342" s="304"/>
      <c r="M342" s="304"/>
      <c r="N342" s="304"/>
      <c r="O342" s="304"/>
      <c r="P342" s="304"/>
      <c r="Q342" s="304"/>
    </row>
    <row r="343" spans="1:17" ht="13.8" x14ac:dyDescent="0.3">
      <c r="A343" s="388">
        <f t="shared" si="17"/>
        <v>321</v>
      </c>
      <c r="B343" s="389">
        <f t="shared" ca="1" si="18"/>
        <v>0.13127134936391641</v>
      </c>
      <c r="C343" s="389">
        <f t="shared" ca="1" si="19"/>
        <v>5.4707622445483522E-2</v>
      </c>
      <c r="D343" s="390">
        <f t="shared" ca="1" si="20"/>
        <v>0.90849722946035838</v>
      </c>
      <c r="E343" s="391" cm="1">
        <f t="array" aca="1" ref="E343" ca="1">(SUMPRODUCT($B$13:$F$13*D343/(1+B343)^$B$14:$F$14)+($F$13*D343*(1+C343))/(B343-C343)/(1+B343)^$F$14-$B$15+$B$16)/$B$17</f>
        <v>1250.2572905571874</v>
      </c>
      <c r="F343" s="304"/>
      <c r="G343" s="304"/>
      <c r="H343" s="304"/>
      <c r="I343" s="304"/>
      <c r="J343" s="304"/>
      <c r="K343" s="304"/>
      <c r="L343" s="304"/>
      <c r="M343" s="304"/>
      <c r="N343" s="304"/>
      <c r="O343" s="304"/>
      <c r="P343" s="304"/>
      <c r="Q343" s="304"/>
    </row>
    <row r="344" spans="1:17" ht="13.8" x14ac:dyDescent="0.3">
      <c r="A344" s="388">
        <f t="shared" ref="A344:A407" si="21">ROW()-22</f>
        <v>322</v>
      </c>
      <c r="B344" s="389">
        <f t="shared" ref="B344:B407" ca="1" si="22">_xlfn.NORM.INV(RAND(),$B$6,$C$6)</f>
        <v>0.12641225576153942</v>
      </c>
      <c r="C344" s="389">
        <f t="shared" ref="C344:C407" ca="1" si="23">MIN(_xlfn.NORM.INV(RAND(),$B$7,$C$7),B344-0.005)</f>
        <v>5.1562070008790276E-2</v>
      </c>
      <c r="D344" s="390">
        <f t="shared" ref="D344:D407" ca="1" si="24">_xlfn.NORM.INV(RAND(),$B$8,$C$8)</f>
        <v>1.0376503760840663</v>
      </c>
      <c r="E344" s="391" cm="1">
        <f t="array" aca="1" ref="E344" ca="1">(SUMPRODUCT($B$13:$F$13*D344/(1+B344)^$B$14:$F$14)+($F$13*D344*(1+C344))/(B344-C344)/(1+B344)^$F$14-$B$15+$B$16)/$B$17</f>
        <v>1485.4473574680621</v>
      </c>
      <c r="F344" s="304"/>
      <c r="G344" s="304"/>
      <c r="H344" s="304"/>
      <c r="I344" s="304"/>
      <c r="J344" s="304"/>
      <c r="K344" s="304"/>
      <c r="L344" s="304"/>
      <c r="M344" s="304"/>
      <c r="N344" s="304"/>
      <c r="O344" s="304"/>
      <c r="P344" s="304"/>
      <c r="Q344" s="304"/>
    </row>
    <row r="345" spans="1:17" ht="13.8" x14ac:dyDescent="0.3">
      <c r="A345" s="388">
        <f t="shared" si="21"/>
        <v>323</v>
      </c>
      <c r="B345" s="389">
        <f t="shared" ca="1" si="22"/>
        <v>0.11895443253697026</v>
      </c>
      <c r="C345" s="389">
        <f t="shared" ca="1" si="23"/>
        <v>3.9667739214676222E-2</v>
      </c>
      <c r="D345" s="390">
        <f t="shared" ca="1" si="24"/>
        <v>1.027475837724118</v>
      </c>
      <c r="E345" s="391" cm="1">
        <f t="array" aca="1" ref="E345" ca="1">(SUMPRODUCT($B$13:$F$13*D345/(1+B345)^$B$14:$F$14)+($F$13*D345*(1+C345))/(B345-C345)/(1+B345)^$F$14-$B$15+$B$16)/$B$17</f>
        <v>1433.955123135863</v>
      </c>
      <c r="F345" s="304"/>
      <c r="G345" s="304"/>
      <c r="H345" s="304"/>
      <c r="I345" s="304"/>
      <c r="J345" s="304"/>
      <c r="K345" s="304"/>
      <c r="L345" s="304"/>
      <c r="M345" s="304"/>
      <c r="N345" s="304"/>
      <c r="O345" s="304"/>
      <c r="P345" s="304"/>
      <c r="Q345" s="304"/>
    </row>
    <row r="346" spans="1:17" ht="13.8" x14ac:dyDescent="0.3">
      <c r="A346" s="388">
        <f t="shared" si="21"/>
        <v>324</v>
      </c>
      <c r="B346" s="389">
        <f t="shared" ca="1" si="22"/>
        <v>0.11916225314578759</v>
      </c>
      <c r="C346" s="389">
        <f t="shared" ca="1" si="23"/>
        <v>4.7418058295051149E-2</v>
      </c>
      <c r="D346" s="390">
        <f t="shared" ca="1" si="24"/>
        <v>1.0044938766229243</v>
      </c>
      <c r="E346" s="391" cm="1">
        <f t="array" aca="1" ref="E346" ca="1">(SUMPRODUCT($B$13:$F$13*D346/(1+B346)^$B$14:$F$14)+($F$13*D346*(1+C346))/(B346-C346)/(1+B346)^$F$14-$B$15+$B$16)/$B$17</f>
        <v>1524.6052951063875</v>
      </c>
      <c r="F346" s="304"/>
      <c r="G346" s="304"/>
      <c r="H346" s="304"/>
      <c r="I346" s="304"/>
      <c r="J346" s="304"/>
      <c r="K346" s="304"/>
      <c r="L346" s="304"/>
      <c r="M346" s="304"/>
      <c r="N346" s="304"/>
      <c r="O346" s="304"/>
      <c r="P346" s="304"/>
      <c r="Q346" s="304"/>
    </row>
    <row r="347" spans="1:17" ht="13.8" x14ac:dyDescent="0.3">
      <c r="A347" s="388">
        <f t="shared" si="21"/>
        <v>325</v>
      </c>
      <c r="B347" s="389">
        <f t="shared" ca="1" si="22"/>
        <v>0.1284619874551039</v>
      </c>
      <c r="C347" s="389">
        <f t="shared" ca="1" si="23"/>
        <v>3.6230915193789348E-2</v>
      </c>
      <c r="D347" s="390">
        <f t="shared" ca="1" si="24"/>
        <v>1.0251704884868174</v>
      </c>
      <c r="E347" s="391" cm="1">
        <f t="array" aca="1" ref="E347" ca="1">(SUMPRODUCT($B$13:$F$13*D347/(1+B347)^$B$14:$F$14)+($F$13*D347*(1+C347))/(B347-C347)/(1+B347)^$F$14-$B$15+$B$16)/$B$17</f>
        <v>1223.1026327072648</v>
      </c>
      <c r="F347" s="304"/>
      <c r="G347" s="304"/>
      <c r="H347" s="304"/>
      <c r="I347" s="304"/>
      <c r="J347" s="304"/>
      <c r="K347" s="304"/>
      <c r="L347" s="304"/>
      <c r="M347" s="304"/>
      <c r="N347" s="304"/>
      <c r="O347" s="304"/>
      <c r="P347" s="304"/>
      <c r="Q347" s="304"/>
    </row>
    <row r="348" spans="1:17" ht="13.8" x14ac:dyDescent="0.3">
      <c r="A348" s="388">
        <f t="shared" si="21"/>
        <v>326</v>
      </c>
      <c r="B348" s="389">
        <f t="shared" ca="1" si="22"/>
        <v>0.11400785769378817</v>
      </c>
      <c r="C348" s="389">
        <f t="shared" ca="1" si="23"/>
        <v>5.2524822005523983E-2</v>
      </c>
      <c r="D348" s="390">
        <f t="shared" ca="1" si="24"/>
        <v>1.0928236020205084</v>
      </c>
      <c r="E348" s="391" cm="1">
        <f t="array" aca="1" ref="E348" ca="1">(SUMPRODUCT($B$13:$F$13*D348/(1+B348)^$B$14:$F$14)+($F$13*D348*(1+C348))/(B348-C348)/(1+B348)^$F$14-$B$15+$B$16)/$B$17</f>
        <v>1932.823097839306</v>
      </c>
      <c r="F348" s="304"/>
      <c r="G348" s="304"/>
      <c r="H348" s="304"/>
      <c r="I348" s="304"/>
      <c r="J348" s="304"/>
      <c r="K348" s="304"/>
      <c r="L348" s="304"/>
      <c r="M348" s="304"/>
      <c r="N348" s="304"/>
      <c r="O348" s="304"/>
      <c r="P348" s="304"/>
      <c r="Q348" s="304"/>
    </row>
    <row r="349" spans="1:17" ht="13.8" x14ac:dyDescent="0.3">
      <c r="A349" s="388">
        <f t="shared" si="21"/>
        <v>327</v>
      </c>
      <c r="B349" s="389">
        <f t="shared" ca="1" si="22"/>
        <v>0.12314313952102379</v>
      </c>
      <c r="C349" s="389">
        <f t="shared" ca="1" si="23"/>
        <v>3.8609548214057758E-2</v>
      </c>
      <c r="D349" s="390">
        <f t="shared" ca="1" si="24"/>
        <v>0.98232529104620769</v>
      </c>
      <c r="E349" s="391" cm="1">
        <f t="array" aca="1" ref="E349" ca="1">(SUMPRODUCT($B$13:$F$13*D349/(1+B349)^$B$14:$F$14)+($F$13*D349*(1+C349))/(B349-C349)/(1+B349)^$F$14-$B$15+$B$16)/$B$17</f>
        <v>1279.5427225026219</v>
      </c>
      <c r="F349" s="304"/>
      <c r="G349" s="304"/>
      <c r="H349" s="304"/>
      <c r="I349" s="304"/>
      <c r="J349" s="304"/>
      <c r="K349" s="304"/>
      <c r="L349" s="304"/>
      <c r="M349" s="304"/>
      <c r="N349" s="304"/>
      <c r="O349" s="304"/>
      <c r="P349" s="304"/>
      <c r="Q349" s="304"/>
    </row>
    <row r="350" spans="1:17" ht="13.8" x14ac:dyDescent="0.3">
      <c r="A350" s="388">
        <f t="shared" si="21"/>
        <v>328</v>
      </c>
      <c r="B350" s="389">
        <f t="shared" ca="1" si="22"/>
        <v>0.12953487448931397</v>
      </c>
      <c r="C350" s="389">
        <f t="shared" ca="1" si="23"/>
        <v>6.1091124929137403E-2</v>
      </c>
      <c r="D350" s="390">
        <f t="shared" ca="1" si="24"/>
        <v>0.97874506034584696</v>
      </c>
      <c r="E350" s="391" cm="1">
        <f t="array" aca="1" ref="E350" ca="1">(SUMPRODUCT($B$13:$F$13*D350/(1+B350)^$B$14:$F$14)+($F$13*D350*(1+C350))/(B350-C350)/(1+B350)^$F$14-$B$15+$B$16)/$B$17</f>
        <v>1495.3038985314229</v>
      </c>
      <c r="F350" s="304"/>
      <c r="G350" s="304"/>
      <c r="H350" s="304"/>
      <c r="I350" s="304"/>
      <c r="J350" s="304"/>
      <c r="K350" s="304"/>
      <c r="L350" s="304"/>
      <c r="M350" s="304"/>
      <c r="N350" s="304"/>
      <c r="O350" s="304"/>
      <c r="P350" s="304"/>
      <c r="Q350" s="304"/>
    </row>
    <row r="351" spans="1:17" ht="13.8" x14ac:dyDescent="0.3">
      <c r="A351" s="388">
        <f t="shared" si="21"/>
        <v>329</v>
      </c>
      <c r="B351" s="389">
        <f t="shared" ca="1" si="22"/>
        <v>0.12221579399899905</v>
      </c>
      <c r="C351" s="389">
        <f t="shared" ca="1" si="23"/>
        <v>5.5163412843493451E-2</v>
      </c>
      <c r="D351" s="390">
        <f t="shared" ca="1" si="24"/>
        <v>0.99486021957645476</v>
      </c>
      <c r="E351" s="391" cm="1">
        <f t="array" aca="1" ref="E351" ca="1">(SUMPRODUCT($B$13:$F$13*D351/(1+B351)^$B$14:$F$14)+($F$13*D351*(1+C351))/(B351-C351)/(1+B351)^$F$14-$B$15+$B$16)/$B$17</f>
        <v>1584.7298822837367</v>
      </c>
      <c r="F351" s="304"/>
      <c r="G351" s="304"/>
      <c r="H351" s="304"/>
      <c r="I351" s="304"/>
      <c r="J351" s="304"/>
      <c r="K351" s="304"/>
      <c r="L351" s="304"/>
      <c r="M351" s="304"/>
      <c r="N351" s="304"/>
      <c r="O351" s="304"/>
      <c r="P351" s="304"/>
      <c r="Q351" s="304"/>
    </row>
    <row r="352" spans="1:17" ht="13.8" x14ac:dyDescent="0.3">
      <c r="A352" s="388">
        <f t="shared" si="21"/>
        <v>330</v>
      </c>
      <c r="B352" s="389">
        <f t="shared" ca="1" si="22"/>
        <v>0.12126922753772416</v>
      </c>
      <c r="C352" s="389">
        <f t="shared" ca="1" si="23"/>
        <v>4.7547753929905116E-2</v>
      </c>
      <c r="D352" s="390">
        <f t="shared" ca="1" si="24"/>
        <v>0.98964734317085745</v>
      </c>
      <c r="E352" s="391" cm="1">
        <f t="array" aca="1" ref="E352" ca="1">(SUMPRODUCT($B$13:$F$13*D352/(1+B352)^$B$14:$F$14)+($F$13*D352*(1+C352))/(B352-C352)/(1+B352)^$F$14-$B$15+$B$16)/$B$17</f>
        <v>1456.8302608014935</v>
      </c>
      <c r="F352" s="304"/>
      <c r="G352" s="304"/>
      <c r="H352" s="304"/>
      <c r="I352" s="304"/>
      <c r="J352" s="304"/>
      <c r="K352" s="304"/>
      <c r="L352" s="304"/>
      <c r="M352" s="304"/>
      <c r="N352" s="304"/>
      <c r="O352" s="304"/>
      <c r="P352" s="304"/>
      <c r="Q352" s="304"/>
    </row>
    <row r="353" spans="1:17" ht="13.8" x14ac:dyDescent="0.3">
      <c r="A353" s="388">
        <f t="shared" si="21"/>
        <v>331</v>
      </c>
      <c r="B353" s="389">
        <f t="shared" ca="1" si="22"/>
        <v>0.10593022176178954</v>
      </c>
      <c r="C353" s="389">
        <f t="shared" ca="1" si="23"/>
        <v>5.5076661388650486E-2</v>
      </c>
      <c r="D353" s="390">
        <f t="shared" ca="1" si="24"/>
        <v>1.0290592663043023</v>
      </c>
      <c r="E353" s="391" cm="1">
        <f t="array" aca="1" ref="E353" ca="1">(SUMPRODUCT($B$13:$F$13*D353/(1+B353)^$B$14:$F$14)+($F$13*D353*(1+C353))/(B353-C353)/(1+B353)^$F$14-$B$15+$B$16)/$B$17</f>
        <v>2208.1311978199606</v>
      </c>
      <c r="F353" s="304"/>
      <c r="G353" s="304"/>
      <c r="H353" s="304"/>
      <c r="I353" s="304"/>
      <c r="J353" s="304"/>
      <c r="K353" s="304"/>
      <c r="L353" s="304"/>
      <c r="M353" s="304"/>
      <c r="N353" s="304"/>
      <c r="O353" s="304"/>
      <c r="P353" s="304"/>
      <c r="Q353" s="304"/>
    </row>
    <row r="354" spans="1:17" ht="13.8" x14ac:dyDescent="0.3">
      <c r="A354" s="388">
        <f t="shared" si="21"/>
        <v>332</v>
      </c>
      <c r="B354" s="389">
        <f t="shared" ca="1" si="22"/>
        <v>0.13036821285961053</v>
      </c>
      <c r="C354" s="389">
        <f t="shared" ca="1" si="23"/>
        <v>4.0467800502505688E-2</v>
      </c>
      <c r="D354" s="390">
        <f t="shared" ca="1" si="24"/>
        <v>0.87358046905914932</v>
      </c>
      <c r="E354" s="391" cm="1">
        <f t="array" aca="1" ref="E354" ca="1">(SUMPRODUCT($B$13:$F$13*D354/(1+B354)^$B$14:$F$14)+($F$13*D354*(1+C354))/(B354-C354)/(1+B354)^$F$14-$B$15+$B$16)/$B$17</f>
        <v>1051.1176729291471</v>
      </c>
      <c r="F354" s="304"/>
      <c r="G354" s="304"/>
      <c r="H354" s="304"/>
      <c r="I354" s="304"/>
      <c r="J354" s="304"/>
      <c r="K354" s="304"/>
      <c r="L354" s="304"/>
      <c r="M354" s="304"/>
      <c r="N354" s="304"/>
      <c r="O354" s="304"/>
      <c r="P354" s="304"/>
      <c r="Q354" s="304"/>
    </row>
    <row r="355" spans="1:17" ht="13.8" x14ac:dyDescent="0.3">
      <c r="A355" s="388">
        <f t="shared" si="21"/>
        <v>333</v>
      </c>
      <c r="B355" s="389">
        <f t="shared" ca="1" si="22"/>
        <v>0.12774780856003926</v>
      </c>
      <c r="C355" s="389">
        <f t="shared" ca="1" si="23"/>
        <v>4.4386060496184654E-2</v>
      </c>
      <c r="D355" s="390">
        <f t="shared" ca="1" si="24"/>
        <v>1.1238774480100113</v>
      </c>
      <c r="E355" s="391" cm="1">
        <f t="array" aca="1" ref="E355" ca="1">(SUMPRODUCT($B$13:$F$13*D355/(1+B355)^$B$14:$F$14)+($F$13*D355*(1+C355))/(B355-C355)/(1+B355)^$F$14-$B$15+$B$16)/$B$17</f>
        <v>1466.4712208022158</v>
      </c>
      <c r="F355" s="304"/>
      <c r="G355" s="304"/>
      <c r="H355" s="304"/>
      <c r="I355" s="304"/>
      <c r="J355" s="304"/>
      <c r="K355" s="304"/>
      <c r="L355" s="304"/>
      <c r="M355" s="304"/>
      <c r="N355" s="304"/>
      <c r="O355" s="304"/>
      <c r="P355" s="304"/>
      <c r="Q355" s="304"/>
    </row>
    <row r="356" spans="1:17" ht="13.8" x14ac:dyDescent="0.3">
      <c r="A356" s="388">
        <f t="shared" si="21"/>
        <v>334</v>
      </c>
      <c r="B356" s="389">
        <f t="shared" ca="1" si="22"/>
        <v>0.11498290158058772</v>
      </c>
      <c r="C356" s="389">
        <f t="shared" ca="1" si="23"/>
        <v>4.5670669017259538E-2</v>
      </c>
      <c r="D356" s="390">
        <f t="shared" ca="1" si="24"/>
        <v>1.0752485248282591</v>
      </c>
      <c r="E356" s="391" cm="1">
        <f t="array" aca="1" ref="E356" ca="1">(SUMPRODUCT($B$13:$F$13*D356/(1+B356)^$B$14:$F$14)+($F$13*D356*(1+C356))/(B356-C356)/(1+B356)^$F$14-$B$15+$B$16)/$B$17</f>
        <v>1707.4069822252102</v>
      </c>
      <c r="F356" s="304"/>
      <c r="G356" s="304"/>
      <c r="H356" s="304"/>
      <c r="I356" s="304"/>
      <c r="J356" s="304"/>
      <c r="K356" s="304"/>
      <c r="L356" s="304"/>
      <c r="M356" s="304"/>
      <c r="N356" s="304"/>
      <c r="O356" s="304"/>
      <c r="P356" s="304"/>
      <c r="Q356" s="304"/>
    </row>
    <row r="357" spans="1:17" ht="13.8" x14ac:dyDescent="0.3">
      <c r="A357" s="388">
        <f t="shared" si="21"/>
        <v>335</v>
      </c>
      <c r="B357" s="389">
        <f t="shared" ca="1" si="22"/>
        <v>0.11257629482357226</v>
      </c>
      <c r="C357" s="389">
        <f t="shared" ca="1" si="23"/>
        <v>4.6177768905590326E-2</v>
      </c>
      <c r="D357" s="390">
        <f t="shared" ca="1" si="24"/>
        <v>0.97664509149104883</v>
      </c>
      <c r="E357" s="391" cm="1">
        <f t="array" aca="1" ref="E357" ca="1">(SUMPRODUCT($B$13:$F$13*D357/(1+B357)^$B$14:$F$14)+($F$13*D357*(1+C357))/(B357-C357)/(1+B357)^$F$14-$B$15+$B$16)/$B$17</f>
        <v>1617.7618380024187</v>
      </c>
      <c r="F357" s="304"/>
      <c r="G357" s="304"/>
      <c r="H357" s="304"/>
      <c r="I357" s="304"/>
      <c r="J357" s="304"/>
      <c r="K357" s="304"/>
      <c r="L357" s="304"/>
      <c r="M357" s="304"/>
      <c r="N357" s="304"/>
      <c r="O357" s="304"/>
      <c r="P357" s="304"/>
      <c r="Q357" s="304"/>
    </row>
    <row r="358" spans="1:17" ht="13.8" x14ac:dyDescent="0.3">
      <c r="A358" s="388">
        <f t="shared" si="21"/>
        <v>336</v>
      </c>
      <c r="B358" s="389">
        <f t="shared" ca="1" si="22"/>
        <v>0.11586512280269713</v>
      </c>
      <c r="C358" s="389">
        <f t="shared" ca="1" si="23"/>
        <v>5.2666658220180497E-2</v>
      </c>
      <c r="D358" s="390">
        <f t="shared" ca="1" si="24"/>
        <v>0.95160148184674576</v>
      </c>
      <c r="E358" s="391" cm="1">
        <f t="array" aca="1" ref="E358" ca="1">(SUMPRODUCT($B$13:$F$13*D358/(1+B358)^$B$14:$F$14)+($F$13*D358*(1+C358))/(B358-C358)/(1+B358)^$F$14-$B$15+$B$16)/$B$17</f>
        <v>1627.0499077427619</v>
      </c>
      <c r="F358" s="304"/>
      <c r="G358" s="304"/>
      <c r="H358" s="304"/>
      <c r="I358" s="304"/>
      <c r="J358" s="304"/>
      <c r="K358" s="304"/>
      <c r="L358" s="304"/>
      <c r="M358" s="304"/>
      <c r="N358" s="304"/>
      <c r="O358" s="304"/>
      <c r="P358" s="304"/>
      <c r="Q358" s="304"/>
    </row>
    <row r="359" spans="1:17" ht="13.8" x14ac:dyDescent="0.3">
      <c r="A359" s="388">
        <f t="shared" si="21"/>
        <v>337</v>
      </c>
      <c r="B359" s="389">
        <f t="shared" ca="1" si="22"/>
        <v>0.12887845578392107</v>
      </c>
      <c r="C359" s="389">
        <f t="shared" ca="1" si="23"/>
        <v>4.7603910348165523E-2</v>
      </c>
      <c r="D359" s="390">
        <f t="shared" ca="1" si="24"/>
        <v>1.1731838495857205</v>
      </c>
      <c r="E359" s="391" cm="1">
        <f t="array" aca="1" ref="E359" ca="1">(SUMPRODUCT($B$13:$F$13*D359/(1+B359)^$B$14:$F$14)+($F$13*D359*(1+C359))/(B359-C359)/(1+B359)^$F$14-$B$15+$B$16)/$B$17</f>
        <v>1560.1995552887138</v>
      </c>
      <c r="F359" s="304"/>
      <c r="G359" s="304"/>
      <c r="H359" s="304"/>
      <c r="I359" s="304"/>
      <c r="J359" s="304"/>
      <c r="K359" s="304"/>
      <c r="L359" s="304"/>
      <c r="M359" s="304"/>
      <c r="N359" s="304"/>
      <c r="O359" s="304"/>
      <c r="P359" s="304"/>
      <c r="Q359" s="304"/>
    </row>
    <row r="360" spans="1:17" ht="13.8" x14ac:dyDescent="0.3">
      <c r="A360" s="388">
        <f t="shared" si="21"/>
        <v>338</v>
      </c>
      <c r="B360" s="389">
        <f t="shared" ca="1" si="22"/>
        <v>0.13136010827167227</v>
      </c>
      <c r="C360" s="389">
        <f t="shared" ca="1" si="23"/>
        <v>4.3221200554445643E-2</v>
      </c>
      <c r="D360" s="390">
        <f t="shared" ca="1" si="24"/>
        <v>0.95484195871717881</v>
      </c>
      <c r="E360" s="391" cm="1">
        <f t="array" aca="1" ref="E360" ca="1">(SUMPRODUCT($B$13:$F$13*D360/(1+B360)^$B$14:$F$14)+($F$13*D360*(1+C360))/(B360-C360)/(1+B360)^$F$14-$B$15+$B$16)/$B$17</f>
        <v>1168.7889804828128</v>
      </c>
      <c r="F360" s="304"/>
      <c r="G360" s="304"/>
      <c r="H360" s="304"/>
      <c r="I360" s="304"/>
      <c r="J360" s="304"/>
      <c r="K360" s="304"/>
      <c r="L360" s="304"/>
      <c r="M360" s="304"/>
      <c r="N360" s="304"/>
      <c r="O360" s="304"/>
      <c r="P360" s="304"/>
      <c r="Q360" s="304"/>
    </row>
    <row r="361" spans="1:17" ht="13.8" x14ac:dyDescent="0.3">
      <c r="A361" s="388">
        <f t="shared" si="21"/>
        <v>339</v>
      </c>
      <c r="B361" s="389">
        <f t="shared" ca="1" si="22"/>
        <v>0.11332662789146185</v>
      </c>
      <c r="C361" s="389">
        <f t="shared" ca="1" si="23"/>
        <v>5.0136897346969536E-2</v>
      </c>
      <c r="D361" s="390">
        <f t="shared" ca="1" si="24"/>
        <v>1.0286573427299655</v>
      </c>
      <c r="E361" s="391" cm="1">
        <f t="array" aca="1" ref="E361" ca="1">(SUMPRODUCT($B$13:$F$13*D361/(1+B361)^$B$14:$F$14)+($F$13*D361*(1+C361))/(B361-C361)/(1+B361)^$F$14-$B$15+$B$16)/$B$17</f>
        <v>1777.4190108798923</v>
      </c>
      <c r="F361" s="304"/>
      <c r="G361" s="304"/>
      <c r="H361" s="304"/>
      <c r="I361" s="304"/>
      <c r="J361" s="304"/>
      <c r="K361" s="304"/>
      <c r="L361" s="304"/>
      <c r="M361" s="304"/>
      <c r="N361" s="304"/>
      <c r="O361" s="304"/>
      <c r="P361" s="304"/>
      <c r="Q361" s="304"/>
    </row>
    <row r="362" spans="1:17" ht="13.8" x14ac:dyDescent="0.3">
      <c r="A362" s="388">
        <f t="shared" si="21"/>
        <v>340</v>
      </c>
      <c r="B362" s="389">
        <f t="shared" ca="1" si="22"/>
        <v>0.11167373881716727</v>
      </c>
      <c r="C362" s="389">
        <f t="shared" ca="1" si="23"/>
        <v>5.0880501371675289E-2</v>
      </c>
      <c r="D362" s="390">
        <f t="shared" ca="1" si="24"/>
        <v>0.89294794514893039</v>
      </c>
      <c r="E362" s="391" cm="1">
        <f t="array" aca="1" ref="E362" ca="1">(SUMPRODUCT($B$13:$F$13*D362/(1+B362)^$B$14:$F$14)+($F$13*D362*(1+C362))/(B362-C362)/(1+B362)^$F$14-$B$15+$B$16)/$B$17</f>
        <v>1598.4406578539713</v>
      </c>
      <c r="F362" s="304"/>
      <c r="G362" s="304"/>
      <c r="H362" s="304"/>
      <c r="I362" s="304"/>
      <c r="J362" s="304"/>
      <c r="K362" s="304"/>
      <c r="L362" s="304"/>
      <c r="M362" s="304"/>
      <c r="N362" s="304"/>
      <c r="O362" s="304"/>
      <c r="P362" s="304"/>
      <c r="Q362" s="304"/>
    </row>
    <row r="363" spans="1:17" ht="13.8" x14ac:dyDescent="0.3">
      <c r="A363" s="388">
        <f t="shared" si="21"/>
        <v>341</v>
      </c>
      <c r="B363" s="389">
        <f t="shared" ca="1" si="22"/>
        <v>0.12499105087149441</v>
      </c>
      <c r="C363" s="389">
        <f t="shared" ca="1" si="23"/>
        <v>4.8742199628009464E-2</v>
      </c>
      <c r="D363" s="390">
        <f t="shared" ca="1" si="24"/>
        <v>0.93550638325689794</v>
      </c>
      <c r="E363" s="391" cm="1">
        <f t="array" aca="1" ref="E363" ca="1">(SUMPRODUCT($B$13:$F$13*D363/(1+B363)^$B$14:$F$14)+($F$13*D363*(1+C363))/(B363-C363)/(1+B363)^$F$14-$B$15+$B$16)/$B$17</f>
        <v>1319.5738426002617</v>
      </c>
      <c r="F363" s="304"/>
      <c r="G363" s="304"/>
      <c r="H363" s="304"/>
      <c r="I363" s="304"/>
      <c r="J363" s="304"/>
      <c r="K363" s="304"/>
      <c r="L363" s="304"/>
      <c r="M363" s="304"/>
      <c r="N363" s="304"/>
      <c r="O363" s="304"/>
      <c r="P363" s="304"/>
      <c r="Q363" s="304"/>
    </row>
    <row r="364" spans="1:17" ht="13.8" x14ac:dyDescent="0.3">
      <c r="A364" s="388">
        <f t="shared" si="21"/>
        <v>342</v>
      </c>
      <c r="B364" s="389">
        <f t="shared" ca="1" si="22"/>
        <v>0.13394667884569161</v>
      </c>
      <c r="C364" s="389">
        <f t="shared" ca="1" si="23"/>
        <v>5.7635473373703942E-2</v>
      </c>
      <c r="D364" s="390">
        <f t="shared" ca="1" si="24"/>
        <v>0.98450152021808557</v>
      </c>
      <c r="E364" s="391" cm="1">
        <f t="array" aca="1" ref="E364" ca="1">(SUMPRODUCT($B$13:$F$13*D364/(1+B364)^$B$14:$F$14)+($F$13*D364*(1+C364))/(B364-C364)/(1+B364)^$F$14-$B$15+$B$16)/$B$17</f>
        <v>1351.1351799626589</v>
      </c>
      <c r="F364" s="304"/>
      <c r="G364" s="304"/>
      <c r="H364" s="304"/>
      <c r="I364" s="304"/>
      <c r="J364" s="304"/>
      <c r="K364" s="304"/>
      <c r="L364" s="304"/>
      <c r="M364" s="304"/>
      <c r="N364" s="304"/>
      <c r="O364" s="304"/>
      <c r="P364" s="304"/>
      <c r="Q364" s="304"/>
    </row>
    <row r="365" spans="1:17" ht="13.8" x14ac:dyDescent="0.3">
      <c r="A365" s="388">
        <f t="shared" si="21"/>
        <v>343</v>
      </c>
      <c r="B365" s="389">
        <f t="shared" ca="1" si="22"/>
        <v>0.10782136031657889</v>
      </c>
      <c r="C365" s="389">
        <f t="shared" ca="1" si="23"/>
        <v>5.1999762258843243E-2</v>
      </c>
      <c r="D365" s="390">
        <f t="shared" ca="1" si="24"/>
        <v>1.1097417406829342</v>
      </c>
      <c r="E365" s="391" cm="1">
        <f t="array" aca="1" ref="E365" ca="1">(SUMPRODUCT($B$13:$F$13*D365/(1+B365)^$B$14:$F$14)+($F$13*D365*(1+C365))/(B365-C365)/(1+B365)^$F$14-$B$15+$B$16)/$B$17</f>
        <v>2181.3636886091294</v>
      </c>
      <c r="F365" s="304"/>
      <c r="G365" s="304"/>
      <c r="H365" s="304"/>
      <c r="I365" s="304"/>
      <c r="J365" s="304"/>
      <c r="K365" s="304"/>
      <c r="L365" s="304"/>
      <c r="M365" s="304"/>
      <c r="N365" s="304"/>
      <c r="O365" s="304"/>
      <c r="P365" s="304"/>
      <c r="Q365" s="304"/>
    </row>
    <row r="366" spans="1:17" ht="13.8" x14ac:dyDescent="0.3">
      <c r="A366" s="388">
        <f t="shared" si="21"/>
        <v>344</v>
      </c>
      <c r="B366" s="389">
        <f t="shared" ca="1" si="22"/>
        <v>0.14319238032252782</v>
      </c>
      <c r="C366" s="389">
        <f t="shared" ca="1" si="23"/>
        <v>5.2034921255999726E-2</v>
      </c>
      <c r="D366" s="390">
        <f t="shared" ca="1" si="24"/>
        <v>1.2086185084041474</v>
      </c>
      <c r="E366" s="391" cm="1">
        <f t="array" aca="1" ref="E366" ca="1">(SUMPRODUCT($B$13:$F$13*D366/(1+B366)^$B$14:$F$14)+($F$13*D366*(1+C366))/(B366-C366)/(1+B366)^$F$14-$B$15+$B$16)/$B$17</f>
        <v>1398.649342556804</v>
      </c>
      <c r="F366" s="304"/>
      <c r="G366" s="304"/>
      <c r="H366" s="304"/>
      <c r="I366" s="304"/>
      <c r="J366" s="304"/>
      <c r="K366" s="304"/>
      <c r="L366" s="304"/>
      <c r="M366" s="304"/>
      <c r="N366" s="304"/>
      <c r="O366" s="304"/>
      <c r="P366" s="304"/>
      <c r="Q366" s="304"/>
    </row>
    <row r="367" spans="1:17" ht="13.8" x14ac:dyDescent="0.3">
      <c r="A367" s="388">
        <f t="shared" si="21"/>
        <v>345</v>
      </c>
      <c r="B367" s="389">
        <f t="shared" ca="1" si="22"/>
        <v>0.12699178154065277</v>
      </c>
      <c r="C367" s="389">
        <f t="shared" ca="1" si="23"/>
        <v>5.3983756645232119E-2</v>
      </c>
      <c r="D367" s="390">
        <f t="shared" ca="1" si="24"/>
        <v>0.83920327270601547</v>
      </c>
      <c r="E367" s="391" cm="1">
        <f t="array" aca="1" ref="E367" ca="1">(SUMPRODUCT($B$13:$F$13*D367/(1+B367)^$B$14:$F$14)+($F$13*D367*(1+C367))/(B367-C367)/(1+B367)^$F$14-$B$15+$B$16)/$B$17</f>
        <v>1215.8668836530919</v>
      </c>
      <c r="F367" s="304"/>
      <c r="G367" s="304"/>
      <c r="H367" s="304"/>
      <c r="I367" s="304"/>
      <c r="J367" s="304"/>
      <c r="K367" s="304"/>
      <c r="L367" s="304"/>
      <c r="M367" s="304"/>
      <c r="N367" s="304"/>
      <c r="O367" s="304"/>
      <c r="P367" s="304"/>
      <c r="Q367" s="304"/>
    </row>
    <row r="368" spans="1:17" ht="13.8" x14ac:dyDescent="0.3">
      <c r="A368" s="388">
        <f t="shared" si="21"/>
        <v>346</v>
      </c>
      <c r="B368" s="389">
        <f t="shared" ca="1" si="22"/>
        <v>0.10512120872429308</v>
      </c>
      <c r="C368" s="389">
        <f t="shared" ca="1" si="23"/>
        <v>4.4087548249675576E-2</v>
      </c>
      <c r="D368" s="390">
        <f t="shared" ca="1" si="24"/>
        <v>0.85461290578574389</v>
      </c>
      <c r="E368" s="391" cm="1">
        <f t="array" aca="1" ref="E368" ca="1">(SUMPRODUCT($B$13:$F$13*D368/(1+B368)^$B$14:$F$14)+($F$13*D368*(1+C368))/(B368-C368)/(1+B368)^$F$14-$B$15+$B$16)/$B$17</f>
        <v>1555.5206759016899</v>
      </c>
      <c r="F368" s="304"/>
      <c r="G368" s="304"/>
      <c r="H368" s="304"/>
      <c r="I368" s="304"/>
      <c r="J368" s="304"/>
      <c r="K368" s="304"/>
      <c r="L368" s="304"/>
      <c r="M368" s="304"/>
      <c r="N368" s="304"/>
      <c r="O368" s="304"/>
      <c r="P368" s="304"/>
      <c r="Q368" s="304"/>
    </row>
    <row r="369" spans="1:17" ht="13.8" x14ac:dyDescent="0.3">
      <c r="A369" s="388">
        <f t="shared" si="21"/>
        <v>347</v>
      </c>
      <c r="B369" s="389">
        <f t="shared" ca="1" si="22"/>
        <v>0.12191790832865275</v>
      </c>
      <c r="C369" s="389">
        <f t="shared" ca="1" si="23"/>
        <v>4.6921852680832557E-2</v>
      </c>
      <c r="D369" s="390">
        <f t="shared" ca="1" si="24"/>
        <v>0.85165177666545211</v>
      </c>
      <c r="E369" s="391" cm="1">
        <f t="array" aca="1" ref="E369" ca="1">(SUMPRODUCT($B$13:$F$13*D369/(1+B369)^$B$14:$F$14)+($F$13*D369*(1+C369))/(B369-C369)/(1+B369)^$F$14-$B$15+$B$16)/$B$17</f>
        <v>1226.2406086390513</v>
      </c>
      <c r="F369" s="304"/>
      <c r="G369" s="304"/>
      <c r="H369" s="304"/>
      <c r="I369" s="304"/>
      <c r="J369" s="304"/>
      <c r="K369" s="304"/>
      <c r="L369" s="304"/>
      <c r="M369" s="304"/>
      <c r="N369" s="304"/>
      <c r="O369" s="304"/>
      <c r="P369" s="304"/>
      <c r="Q369" s="304"/>
    </row>
    <row r="370" spans="1:17" ht="13.8" x14ac:dyDescent="0.3">
      <c r="A370" s="388">
        <f t="shared" si="21"/>
        <v>348</v>
      </c>
      <c r="B370" s="389">
        <f t="shared" ca="1" si="22"/>
        <v>0.13815377654316169</v>
      </c>
      <c r="C370" s="389">
        <f t="shared" ca="1" si="23"/>
        <v>5.6325443055489761E-2</v>
      </c>
      <c r="D370" s="390">
        <f t="shared" ca="1" si="24"/>
        <v>1.1676169539654111</v>
      </c>
      <c r="E370" s="391" cm="1">
        <f t="array" aca="1" ref="E370" ca="1">(SUMPRODUCT($B$13:$F$13*D370/(1+B370)^$B$14:$F$14)+($F$13*D370*(1+C370))/(B370-C370)/(1+B370)^$F$14-$B$15+$B$16)/$B$17</f>
        <v>1499.358885785769</v>
      </c>
      <c r="F370" s="304"/>
      <c r="G370" s="304"/>
      <c r="H370" s="304"/>
      <c r="I370" s="304"/>
      <c r="J370" s="304"/>
      <c r="K370" s="304"/>
      <c r="L370" s="304"/>
      <c r="M370" s="304"/>
      <c r="N370" s="304"/>
      <c r="O370" s="304"/>
      <c r="P370" s="304"/>
      <c r="Q370" s="304"/>
    </row>
    <row r="371" spans="1:17" ht="13.8" x14ac:dyDescent="0.3">
      <c r="A371" s="388">
        <f t="shared" si="21"/>
        <v>349</v>
      </c>
      <c r="B371" s="389">
        <f t="shared" ca="1" si="22"/>
        <v>0.14809317727961488</v>
      </c>
      <c r="C371" s="389">
        <f t="shared" ca="1" si="23"/>
        <v>5.4607117965591534E-2</v>
      </c>
      <c r="D371" s="390">
        <f t="shared" ca="1" si="24"/>
        <v>1.0821372106690637</v>
      </c>
      <c r="E371" s="391" cm="1">
        <f t="array" aca="1" ref="E371" ca="1">(SUMPRODUCT($B$13:$F$13*D371/(1+B371)^$B$14:$F$14)+($F$13*D371*(1+C371))/(B371-C371)/(1+B371)^$F$14-$B$15+$B$16)/$B$17</f>
        <v>1203.2819834878483</v>
      </c>
      <c r="F371" s="304"/>
      <c r="G371" s="304"/>
      <c r="H371" s="304"/>
      <c r="I371" s="304"/>
      <c r="J371" s="304"/>
      <c r="K371" s="304"/>
      <c r="L371" s="304"/>
      <c r="M371" s="304"/>
      <c r="N371" s="304"/>
      <c r="O371" s="304"/>
      <c r="P371" s="304"/>
      <c r="Q371" s="304"/>
    </row>
    <row r="372" spans="1:17" ht="13.8" x14ac:dyDescent="0.3">
      <c r="A372" s="388">
        <f t="shared" si="21"/>
        <v>350</v>
      </c>
      <c r="B372" s="389">
        <f t="shared" ca="1" si="22"/>
        <v>0.10938155637652805</v>
      </c>
      <c r="C372" s="389">
        <f t="shared" ca="1" si="23"/>
        <v>4.9779957865692705E-2</v>
      </c>
      <c r="D372" s="390">
        <f t="shared" ca="1" si="24"/>
        <v>0.76401629000279059</v>
      </c>
      <c r="E372" s="391" cm="1">
        <f t="array" aca="1" ref="E372" ca="1">(SUMPRODUCT($B$13:$F$13*D372/(1+B372)^$B$14:$F$14)+($F$13*D372*(1+C372))/(B372-C372)/(1+B372)^$F$14-$B$15+$B$16)/$B$17</f>
        <v>1395.3755626063064</v>
      </c>
      <c r="F372" s="304"/>
      <c r="G372" s="304"/>
      <c r="H372" s="304"/>
      <c r="I372" s="304"/>
      <c r="J372" s="304"/>
      <c r="K372" s="304"/>
      <c r="L372" s="304"/>
      <c r="M372" s="304"/>
      <c r="N372" s="304"/>
      <c r="O372" s="304"/>
      <c r="P372" s="304"/>
      <c r="Q372" s="304"/>
    </row>
    <row r="373" spans="1:17" ht="13.8" x14ac:dyDescent="0.3">
      <c r="A373" s="388">
        <f t="shared" si="21"/>
        <v>351</v>
      </c>
      <c r="B373" s="389">
        <f t="shared" ca="1" si="22"/>
        <v>0.11436606287401999</v>
      </c>
      <c r="C373" s="389">
        <f t="shared" ca="1" si="23"/>
        <v>5.0964138814714163E-2</v>
      </c>
      <c r="D373" s="390">
        <f t="shared" ca="1" si="24"/>
        <v>0.92258211377233623</v>
      </c>
      <c r="E373" s="391" cm="1">
        <f t="array" aca="1" ref="E373" ca="1">(SUMPRODUCT($B$13:$F$13*D373/(1+B373)^$B$14:$F$14)+($F$13*D373*(1+C373))/(B373-C373)/(1+B373)^$F$14-$B$15+$B$16)/$B$17</f>
        <v>1579.2185362615539</v>
      </c>
      <c r="F373" s="304"/>
      <c r="G373" s="304"/>
      <c r="H373" s="304"/>
      <c r="I373" s="304"/>
      <c r="J373" s="304"/>
      <c r="K373" s="304"/>
      <c r="L373" s="304"/>
      <c r="M373" s="304"/>
      <c r="N373" s="304"/>
      <c r="O373" s="304"/>
      <c r="P373" s="304"/>
      <c r="Q373" s="304"/>
    </row>
    <row r="374" spans="1:17" ht="13.8" x14ac:dyDescent="0.3">
      <c r="A374" s="388">
        <f t="shared" si="21"/>
        <v>352</v>
      </c>
      <c r="B374" s="389">
        <f t="shared" ca="1" si="22"/>
        <v>0.11648720048570838</v>
      </c>
      <c r="C374" s="389">
        <f t="shared" ca="1" si="23"/>
        <v>5.1625694664778482E-2</v>
      </c>
      <c r="D374" s="390">
        <f t="shared" ca="1" si="24"/>
        <v>1.0356708129609755</v>
      </c>
      <c r="E374" s="391" cm="1">
        <f t="array" aca="1" ref="E374" ca="1">(SUMPRODUCT($B$13:$F$13*D374/(1+B374)^$B$14:$F$14)+($F$13*D374*(1+C374))/(B374-C374)/(1+B374)^$F$14-$B$15+$B$16)/$B$17</f>
        <v>1731.7249687459907</v>
      </c>
      <c r="F374" s="304"/>
      <c r="G374" s="304"/>
      <c r="H374" s="304"/>
      <c r="I374" s="304"/>
      <c r="J374" s="304"/>
      <c r="K374" s="304"/>
      <c r="L374" s="304"/>
      <c r="M374" s="304"/>
      <c r="N374" s="304"/>
      <c r="O374" s="304"/>
      <c r="P374" s="304"/>
      <c r="Q374" s="304"/>
    </row>
    <row r="375" spans="1:17" ht="13.8" x14ac:dyDescent="0.3">
      <c r="A375" s="388">
        <f t="shared" si="21"/>
        <v>353</v>
      </c>
      <c r="B375" s="389">
        <f t="shared" ca="1" si="22"/>
        <v>0.13195437844255259</v>
      </c>
      <c r="C375" s="389">
        <f t="shared" ca="1" si="23"/>
        <v>4.865189539444683E-2</v>
      </c>
      <c r="D375" s="390">
        <f t="shared" ca="1" si="24"/>
        <v>0.8556263707248265</v>
      </c>
      <c r="E375" s="391" cm="1">
        <f t="array" aca="1" ref="E375" ca="1">(SUMPRODUCT($B$13:$F$13*D375/(1+B375)^$B$14:$F$14)+($F$13*D375*(1+C375))/(B375-C375)/(1+B375)^$F$14-$B$15+$B$16)/$B$17</f>
        <v>1091.0263131016334</v>
      </c>
      <c r="F375" s="304"/>
      <c r="G375" s="304"/>
      <c r="H375" s="304"/>
      <c r="I375" s="304"/>
      <c r="J375" s="304"/>
      <c r="K375" s="304"/>
      <c r="L375" s="304"/>
      <c r="M375" s="304"/>
      <c r="N375" s="304"/>
      <c r="O375" s="304"/>
      <c r="P375" s="304"/>
      <c r="Q375" s="304"/>
    </row>
    <row r="376" spans="1:17" ht="13.8" x14ac:dyDescent="0.3">
      <c r="A376" s="388">
        <f t="shared" si="21"/>
        <v>354</v>
      </c>
      <c r="B376" s="389">
        <f t="shared" ca="1" si="22"/>
        <v>0.13787363430306715</v>
      </c>
      <c r="C376" s="389">
        <f t="shared" ca="1" si="23"/>
        <v>4.7420112811669454E-2</v>
      </c>
      <c r="D376" s="390">
        <f t="shared" ca="1" si="24"/>
        <v>1.1613284490389739</v>
      </c>
      <c r="E376" s="391" cm="1">
        <f t="array" aca="1" ref="E376" ca="1">(SUMPRODUCT($B$13:$F$13*D376/(1+B376)^$B$14:$F$14)+($F$13*D376*(1+C376))/(B376-C376)/(1+B376)^$F$14-$B$15+$B$16)/$B$17</f>
        <v>1373.2006045039971</v>
      </c>
      <c r="F376" s="304"/>
      <c r="G376" s="304"/>
      <c r="H376" s="304"/>
      <c r="I376" s="304"/>
      <c r="J376" s="304"/>
      <c r="K376" s="304"/>
      <c r="L376" s="304"/>
      <c r="M376" s="304"/>
      <c r="N376" s="304"/>
      <c r="O376" s="304"/>
      <c r="P376" s="304"/>
      <c r="Q376" s="304"/>
    </row>
    <row r="377" spans="1:17" ht="13.8" x14ac:dyDescent="0.3">
      <c r="A377" s="388">
        <f t="shared" si="21"/>
        <v>355</v>
      </c>
      <c r="B377" s="389">
        <f t="shared" ca="1" si="22"/>
        <v>0.11180300055060036</v>
      </c>
      <c r="C377" s="389">
        <f t="shared" ca="1" si="23"/>
        <v>5.7157943827746659E-2</v>
      </c>
      <c r="D377" s="390">
        <f t="shared" ca="1" si="24"/>
        <v>0.94247000924619917</v>
      </c>
      <c r="E377" s="391" cm="1">
        <f t="array" aca="1" ref="E377" ca="1">(SUMPRODUCT($B$13:$F$13*D377/(1+B377)^$B$14:$F$14)+($F$13*D377*(1+C377))/(B377-C377)/(1+B377)^$F$14-$B$15+$B$16)/$B$17</f>
        <v>1856.4058209683651</v>
      </c>
      <c r="F377" s="304"/>
      <c r="G377" s="304"/>
      <c r="H377" s="304"/>
      <c r="I377" s="304"/>
      <c r="J377" s="304"/>
      <c r="K377" s="304"/>
      <c r="L377" s="304"/>
      <c r="M377" s="304"/>
      <c r="N377" s="304"/>
      <c r="O377" s="304"/>
      <c r="P377" s="304"/>
      <c r="Q377" s="304"/>
    </row>
    <row r="378" spans="1:17" ht="13.8" x14ac:dyDescent="0.3">
      <c r="A378" s="388">
        <f t="shared" si="21"/>
        <v>356</v>
      </c>
      <c r="B378" s="389">
        <f t="shared" ca="1" si="22"/>
        <v>0.11308156127957202</v>
      </c>
      <c r="C378" s="389">
        <f t="shared" ca="1" si="23"/>
        <v>4.2702318842408361E-2</v>
      </c>
      <c r="D378" s="390">
        <f t="shared" ca="1" si="24"/>
        <v>1.0066198803140134</v>
      </c>
      <c r="E378" s="391" cm="1">
        <f t="array" aca="1" ref="E378" ca="1">(SUMPRODUCT($B$13:$F$13*D378/(1+B378)^$B$14:$F$14)+($F$13*D378*(1+C378))/(B378-C378)/(1+B378)^$F$14-$B$15+$B$16)/$B$17</f>
        <v>1584.2002452913123</v>
      </c>
      <c r="F378" s="304"/>
      <c r="G378" s="304"/>
      <c r="H378" s="304"/>
      <c r="I378" s="304"/>
      <c r="J378" s="304"/>
      <c r="K378" s="304"/>
      <c r="L378" s="304"/>
      <c r="M378" s="304"/>
      <c r="N378" s="304"/>
      <c r="O378" s="304"/>
      <c r="P378" s="304"/>
      <c r="Q378" s="304"/>
    </row>
    <row r="379" spans="1:17" ht="13.8" x14ac:dyDescent="0.3">
      <c r="A379" s="388">
        <f t="shared" si="21"/>
        <v>357</v>
      </c>
      <c r="B379" s="389">
        <f t="shared" ca="1" si="22"/>
        <v>0.10312700042997493</v>
      </c>
      <c r="C379" s="389">
        <f t="shared" ca="1" si="23"/>
        <v>5.2500008685455193E-2</v>
      </c>
      <c r="D379" s="390">
        <f t="shared" ca="1" si="24"/>
        <v>1.0856745695080627</v>
      </c>
      <c r="E379" s="391" cm="1">
        <f t="array" aca="1" ref="E379" ca="1">(SUMPRODUCT($B$13:$F$13*D379/(1+B379)^$B$14:$F$14)+($F$13*D379*(1+C379))/(B379-C379)/(1+B379)^$F$14-$B$15+$B$16)/$B$17</f>
        <v>2363.2394893314472</v>
      </c>
      <c r="F379" s="304"/>
      <c r="G379" s="304"/>
      <c r="H379" s="304"/>
      <c r="I379" s="304"/>
      <c r="J379" s="304"/>
      <c r="K379" s="304"/>
      <c r="L379" s="304"/>
      <c r="M379" s="304"/>
      <c r="N379" s="304"/>
      <c r="O379" s="304"/>
      <c r="P379" s="304"/>
      <c r="Q379" s="304"/>
    </row>
    <row r="380" spans="1:17" ht="13.8" x14ac:dyDescent="0.3">
      <c r="A380" s="388">
        <f t="shared" si="21"/>
        <v>358</v>
      </c>
      <c r="B380" s="389">
        <f t="shared" ca="1" si="22"/>
        <v>0.13445036047201048</v>
      </c>
      <c r="C380" s="389">
        <f t="shared" ca="1" si="23"/>
        <v>3.6551073134153719E-2</v>
      </c>
      <c r="D380" s="390">
        <f t="shared" ca="1" si="24"/>
        <v>0.9262670374313422</v>
      </c>
      <c r="E380" s="391" cm="1">
        <f t="array" aca="1" ref="E380" ca="1">(SUMPRODUCT($B$13:$F$13*D380/(1+B380)^$B$14:$F$14)+($F$13*D380*(1+C380))/(B380-C380)/(1+B380)^$F$14-$B$15+$B$16)/$B$17</f>
        <v>1028.085529830216</v>
      </c>
      <c r="F380" s="304"/>
      <c r="G380" s="304"/>
      <c r="H380" s="304"/>
      <c r="I380" s="304"/>
      <c r="J380" s="304"/>
      <c r="K380" s="304"/>
      <c r="L380" s="304"/>
      <c r="M380" s="304"/>
      <c r="N380" s="304"/>
      <c r="O380" s="304"/>
      <c r="P380" s="304"/>
      <c r="Q380" s="304"/>
    </row>
    <row r="381" spans="1:17" ht="13.8" x14ac:dyDescent="0.3">
      <c r="A381" s="388">
        <f t="shared" si="21"/>
        <v>359</v>
      </c>
      <c r="B381" s="389">
        <f t="shared" ca="1" si="22"/>
        <v>0.1182797174004684</v>
      </c>
      <c r="C381" s="389">
        <f t="shared" ca="1" si="23"/>
        <v>2.9595397018805859E-2</v>
      </c>
      <c r="D381" s="390">
        <f t="shared" ca="1" si="24"/>
        <v>0.87749531800372682</v>
      </c>
      <c r="E381" s="391" cm="1">
        <f t="array" aca="1" ref="E381" ca="1">(SUMPRODUCT($B$13:$F$13*D381/(1+B381)^$B$14:$F$14)+($F$13*D381*(1+C381))/(B381-C381)/(1+B381)^$F$14-$B$15+$B$16)/$B$17</f>
        <v>1110.2138674003688</v>
      </c>
      <c r="F381" s="304"/>
      <c r="G381" s="304"/>
      <c r="H381" s="304"/>
      <c r="I381" s="304"/>
      <c r="J381" s="304"/>
      <c r="K381" s="304"/>
      <c r="L381" s="304"/>
      <c r="M381" s="304"/>
      <c r="N381" s="304"/>
      <c r="O381" s="304"/>
      <c r="P381" s="304"/>
      <c r="Q381" s="304"/>
    </row>
    <row r="382" spans="1:17" ht="13.8" x14ac:dyDescent="0.3">
      <c r="A382" s="388">
        <f t="shared" si="21"/>
        <v>360</v>
      </c>
      <c r="B382" s="389">
        <f t="shared" ca="1" si="22"/>
        <v>0.12866349032934563</v>
      </c>
      <c r="C382" s="389">
        <f t="shared" ca="1" si="23"/>
        <v>4.2271099281282441E-2</v>
      </c>
      <c r="D382" s="390">
        <f t="shared" ca="1" si="24"/>
        <v>0.91437158192589751</v>
      </c>
      <c r="E382" s="391" cm="1">
        <f t="array" aca="1" ref="E382" ca="1">(SUMPRODUCT($B$13:$F$13*D382/(1+B382)^$B$14:$F$14)+($F$13*D382*(1+C382))/(B382-C382)/(1+B382)^$F$14-$B$15+$B$16)/$B$17</f>
        <v>1145.8769449600463</v>
      </c>
      <c r="F382" s="304"/>
      <c r="G382" s="304"/>
      <c r="H382" s="304"/>
      <c r="I382" s="304"/>
      <c r="J382" s="304"/>
      <c r="K382" s="304"/>
      <c r="L382" s="304"/>
      <c r="M382" s="304"/>
      <c r="N382" s="304"/>
      <c r="O382" s="304"/>
      <c r="P382" s="304"/>
      <c r="Q382" s="304"/>
    </row>
    <row r="383" spans="1:17" ht="13.8" x14ac:dyDescent="0.3">
      <c r="A383" s="388">
        <f t="shared" si="21"/>
        <v>361</v>
      </c>
      <c r="B383" s="389">
        <f t="shared" ca="1" si="22"/>
        <v>0.1040659123790251</v>
      </c>
      <c r="C383" s="389">
        <f t="shared" ca="1" si="23"/>
        <v>4.2122451037600095E-2</v>
      </c>
      <c r="D383" s="390">
        <f t="shared" ca="1" si="24"/>
        <v>0.88915495366088304</v>
      </c>
      <c r="E383" s="391" cm="1">
        <f t="array" aca="1" ref="E383" ca="1">(SUMPRODUCT($B$13:$F$13*D383/(1+B383)^$B$14:$F$14)+($F$13*D383*(1+C383))/(B383-C383)/(1+B383)^$F$14-$B$15+$B$16)/$B$17</f>
        <v>1604.8657822471557</v>
      </c>
      <c r="F383" s="304"/>
      <c r="G383" s="304"/>
      <c r="H383" s="304"/>
      <c r="I383" s="304"/>
      <c r="J383" s="304"/>
      <c r="K383" s="304"/>
      <c r="L383" s="304"/>
      <c r="M383" s="304"/>
      <c r="N383" s="304"/>
      <c r="O383" s="304"/>
      <c r="P383" s="304"/>
      <c r="Q383" s="304"/>
    </row>
    <row r="384" spans="1:17" ht="13.8" x14ac:dyDescent="0.3">
      <c r="A384" s="388">
        <f t="shared" si="21"/>
        <v>362</v>
      </c>
      <c r="B384" s="389">
        <f t="shared" ca="1" si="22"/>
        <v>0.12271557162376752</v>
      </c>
      <c r="C384" s="389">
        <f t="shared" ca="1" si="23"/>
        <v>4.5621016905544619E-2</v>
      </c>
      <c r="D384" s="390">
        <f t="shared" ca="1" si="24"/>
        <v>0.74502015676990285</v>
      </c>
      <c r="E384" s="391" cm="1">
        <f t="array" aca="1" ref="E384" ca="1">(SUMPRODUCT($B$13:$F$13*D384/(1+B384)^$B$14:$F$14)+($F$13*D384*(1+C384))/(B384-C384)/(1+B384)^$F$14-$B$15+$B$16)/$B$17</f>
        <v>1038.9809685429434</v>
      </c>
      <c r="F384" s="304"/>
      <c r="G384" s="304"/>
      <c r="H384" s="304"/>
      <c r="I384" s="304"/>
      <c r="J384" s="304"/>
      <c r="K384" s="304"/>
      <c r="L384" s="304"/>
      <c r="M384" s="304"/>
      <c r="N384" s="304"/>
      <c r="O384" s="304"/>
      <c r="P384" s="304"/>
      <c r="Q384" s="304"/>
    </row>
    <row r="385" spans="1:17" ht="13.8" x14ac:dyDescent="0.3">
      <c r="A385" s="388">
        <f t="shared" si="21"/>
        <v>363</v>
      </c>
      <c r="B385" s="389">
        <f t="shared" ca="1" si="22"/>
        <v>0.12058164083308207</v>
      </c>
      <c r="C385" s="389">
        <f t="shared" ca="1" si="23"/>
        <v>3.8774038144543749E-2</v>
      </c>
      <c r="D385" s="390">
        <f t="shared" ca="1" si="24"/>
        <v>0.9921906183144229</v>
      </c>
      <c r="E385" s="391" cm="1">
        <f t="array" aca="1" ref="E385" ca="1">(SUMPRODUCT($B$13:$F$13*D385/(1+B385)^$B$14:$F$14)+($F$13*D385*(1+C385))/(B385-C385)/(1+B385)^$F$14-$B$15+$B$16)/$B$17</f>
        <v>1339.9415344313511</v>
      </c>
      <c r="F385" s="304"/>
      <c r="G385" s="304"/>
      <c r="H385" s="304"/>
      <c r="I385" s="304"/>
      <c r="J385" s="304"/>
      <c r="K385" s="304"/>
      <c r="L385" s="304"/>
      <c r="M385" s="304"/>
      <c r="N385" s="304"/>
      <c r="O385" s="304"/>
      <c r="P385" s="304"/>
      <c r="Q385" s="304"/>
    </row>
    <row r="386" spans="1:17" ht="13.8" x14ac:dyDescent="0.3">
      <c r="A386" s="388">
        <f t="shared" si="21"/>
        <v>364</v>
      </c>
      <c r="B386" s="389">
        <f t="shared" ca="1" si="22"/>
        <v>0.11636237756154602</v>
      </c>
      <c r="C386" s="389">
        <f t="shared" ca="1" si="23"/>
        <v>4.8547589082566803E-2</v>
      </c>
      <c r="D386" s="390">
        <f t="shared" ca="1" si="24"/>
        <v>0.97665373090360552</v>
      </c>
      <c r="E386" s="391" cm="1">
        <f t="array" aca="1" ref="E386" ca="1">(SUMPRODUCT($B$13:$F$13*D386/(1+B386)^$B$14:$F$14)+($F$13*D386*(1+C386))/(B386-C386)/(1+B386)^$F$14-$B$15+$B$16)/$B$17</f>
        <v>1569.0151032176111</v>
      </c>
      <c r="F386" s="304"/>
      <c r="G386" s="304"/>
      <c r="H386" s="304"/>
      <c r="I386" s="304"/>
      <c r="J386" s="304"/>
      <c r="K386" s="304"/>
      <c r="L386" s="304"/>
      <c r="M386" s="304"/>
      <c r="N386" s="304"/>
      <c r="O386" s="304"/>
      <c r="P386" s="304"/>
      <c r="Q386" s="304"/>
    </row>
    <row r="387" spans="1:17" ht="13.8" x14ac:dyDescent="0.3">
      <c r="A387" s="388">
        <f t="shared" si="21"/>
        <v>365</v>
      </c>
      <c r="B387" s="389">
        <f t="shared" ca="1" si="22"/>
        <v>0.11329469505670786</v>
      </c>
      <c r="C387" s="389">
        <f t="shared" ca="1" si="23"/>
        <v>4.5946861879098889E-2</v>
      </c>
      <c r="D387" s="390">
        <f t="shared" ca="1" si="24"/>
        <v>1.0707764412222862</v>
      </c>
      <c r="E387" s="391" cm="1">
        <f t="array" aca="1" ref="E387" ca="1">(SUMPRODUCT($B$13:$F$13*D387/(1+B387)^$B$14:$F$14)+($F$13*D387*(1+C387))/(B387-C387)/(1+B387)^$F$14-$B$15+$B$16)/$B$17</f>
        <v>1752.4295251902238</v>
      </c>
      <c r="F387" s="304"/>
      <c r="G387" s="304"/>
      <c r="H387" s="304"/>
      <c r="I387" s="304"/>
      <c r="J387" s="304"/>
      <c r="K387" s="304"/>
      <c r="L387" s="304"/>
      <c r="M387" s="304"/>
      <c r="N387" s="304"/>
      <c r="O387" s="304"/>
      <c r="P387" s="304"/>
      <c r="Q387" s="304"/>
    </row>
    <row r="388" spans="1:17" ht="13.8" x14ac:dyDescent="0.3">
      <c r="A388" s="388">
        <f t="shared" si="21"/>
        <v>366</v>
      </c>
      <c r="B388" s="389">
        <f t="shared" ca="1" si="22"/>
        <v>0.11203258137672413</v>
      </c>
      <c r="C388" s="389">
        <f t="shared" ca="1" si="23"/>
        <v>5.5440805521674137E-2</v>
      </c>
      <c r="D388" s="390">
        <f t="shared" ca="1" si="24"/>
        <v>0.8925093913216271</v>
      </c>
      <c r="E388" s="391" cm="1">
        <f t="array" aca="1" ref="E388" ca="1">(SUMPRODUCT($B$13:$F$13*D388/(1+B388)^$B$14:$F$14)+($F$13*D388*(1+C388))/(B388-C388)/(1+B388)^$F$14-$B$15+$B$16)/$B$17</f>
        <v>1700.2823756341938</v>
      </c>
      <c r="F388" s="304"/>
      <c r="G388" s="304"/>
      <c r="H388" s="304"/>
      <c r="I388" s="304"/>
      <c r="J388" s="304"/>
      <c r="K388" s="304"/>
      <c r="L388" s="304"/>
      <c r="M388" s="304"/>
      <c r="N388" s="304"/>
      <c r="O388" s="304"/>
      <c r="P388" s="304"/>
      <c r="Q388" s="304"/>
    </row>
    <row r="389" spans="1:17" ht="13.8" x14ac:dyDescent="0.3">
      <c r="A389" s="388">
        <f t="shared" si="21"/>
        <v>367</v>
      </c>
      <c r="B389" s="389">
        <f t="shared" ca="1" si="22"/>
        <v>0.11906923858835812</v>
      </c>
      <c r="C389" s="389">
        <f t="shared" ca="1" si="23"/>
        <v>4.9055902205410312E-2</v>
      </c>
      <c r="D389" s="390">
        <f t="shared" ca="1" si="24"/>
        <v>1.0224351367347837</v>
      </c>
      <c r="E389" s="391" cm="1">
        <f t="array" aca="1" ref="E389" ca="1">(SUMPRODUCT($B$13:$F$13*D389/(1+B389)^$B$14:$F$14)+($F$13*D389*(1+C389))/(B389-C389)/(1+B389)^$F$14-$B$15+$B$16)/$B$17</f>
        <v>1586.1504169657858</v>
      </c>
      <c r="F389" s="304"/>
      <c r="G389" s="304"/>
      <c r="H389" s="304"/>
      <c r="I389" s="304"/>
      <c r="J389" s="304"/>
      <c r="K389" s="304"/>
      <c r="L389" s="304"/>
      <c r="M389" s="304"/>
      <c r="N389" s="304"/>
      <c r="O389" s="304"/>
      <c r="P389" s="304"/>
      <c r="Q389" s="304"/>
    </row>
    <row r="390" spans="1:17" ht="13.8" x14ac:dyDescent="0.3">
      <c r="A390" s="388">
        <f t="shared" si="21"/>
        <v>368</v>
      </c>
      <c r="B390" s="389">
        <f t="shared" ca="1" si="22"/>
        <v>0.10821384831504183</v>
      </c>
      <c r="C390" s="389">
        <f t="shared" ca="1" si="23"/>
        <v>5.216393126678847E-2</v>
      </c>
      <c r="D390" s="390">
        <f t="shared" ca="1" si="24"/>
        <v>0.96010307182554211</v>
      </c>
      <c r="E390" s="391" cm="1">
        <f t="array" aca="1" ref="E390" ca="1">(SUMPRODUCT($B$13:$F$13*D390/(1+B390)^$B$14:$F$14)+($F$13*D390*(1+C390))/(B390-C390)/(1+B390)^$F$14-$B$15+$B$16)/$B$17</f>
        <v>1871.5968017638825</v>
      </c>
      <c r="F390" s="304"/>
      <c r="G390" s="304"/>
      <c r="H390" s="304"/>
      <c r="I390" s="304"/>
      <c r="J390" s="304"/>
      <c r="K390" s="304"/>
      <c r="L390" s="304"/>
      <c r="M390" s="304"/>
      <c r="N390" s="304"/>
      <c r="O390" s="304"/>
      <c r="P390" s="304"/>
      <c r="Q390" s="304"/>
    </row>
    <row r="391" spans="1:17" ht="13.8" x14ac:dyDescent="0.3">
      <c r="A391" s="388">
        <f t="shared" si="21"/>
        <v>369</v>
      </c>
      <c r="B391" s="389">
        <f t="shared" ca="1" si="22"/>
        <v>0.13030388631064188</v>
      </c>
      <c r="C391" s="389">
        <f t="shared" ca="1" si="23"/>
        <v>5.5234239577196358E-2</v>
      </c>
      <c r="D391" s="390">
        <f t="shared" ca="1" si="24"/>
        <v>0.8743323951439248</v>
      </c>
      <c r="E391" s="391" cm="1">
        <f t="array" aca="1" ref="E391" ca="1">(SUMPRODUCT($B$13:$F$13*D391/(1+B391)^$B$14:$F$14)+($F$13*D391*(1+C391))/(B391-C391)/(1+B391)^$F$14-$B$15+$B$16)/$B$17</f>
        <v>1225.6820249251725</v>
      </c>
      <c r="F391" s="304"/>
      <c r="G391" s="304"/>
      <c r="H391" s="304"/>
      <c r="I391" s="304"/>
      <c r="J391" s="304"/>
      <c r="K391" s="304"/>
      <c r="L391" s="304"/>
      <c r="M391" s="304"/>
      <c r="N391" s="304"/>
      <c r="O391" s="304"/>
      <c r="P391" s="304"/>
      <c r="Q391" s="304"/>
    </row>
    <row r="392" spans="1:17" ht="13.8" x14ac:dyDescent="0.3">
      <c r="A392" s="388">
        <f t="shared" si="21"/>
        <v>370</v>
      </c>
      <c r="B392" s="389">
        <f t="shared" ca="1" si="22"/>
        <v>0.1183541490502887</v>
      </c>
      <c r="C392" s="389">
        <f t="shared" ca="1" si="23"/>
        <v>5.2788360238072859E-2</v>
      </c>
      <c r="D392" s="390">
        <f t="shared" ca="1" si="24"/>
        <v>0.9961688376234008</v>
      </c>
      <c r="E392" s="391" cm="1">
        <f t="array" aca="1" ref="E392" ca="1">(SUMPRODUCT($B$13:$F$13*D392/(1+B392)^$B$14:$F$14)+($F$13*D392*(1+C392))/(B392-C392)/(1+B392)^$F$14-$B$15+$B$16)/$B$17</f>
        <v>1638.3628231909966</v>
      </c>
      <c r="F392" s="304"/>
      <c r="G392" s="304"/>
      <c r="H392" s="304"/>
      <c r="I392" s="304"/>
      <c r="J392" s="304"/>
      <c r="K392" s="304"/>
      <c r="L392" s="304"/>
      <c r="M392" s="304"/>
      <c r="N392" s="304"/>
      <c r="O392" s="304"/>
      <c r="P392" s="304"/>
      <c r="Q392" s="304"/>
    </row>
    <row r="393" spans="1:17" ht="13.8" x14ac:dyDescent="0.3">
      <c r="A393" s="388">
        <f t="shared" si="21"/>
        <v>371</v>
      </c>
      <c r="B393" s="389">
        <f t="shared" ca="1" si="22"/>
        <v>0.129926131030105</v>
      </c>
      <c r="C393" s="389">
        <f t="shared" ca="1" si="23"/>
        <v>5.2822283116724211E-2</v>
      </c>
      <c r="D393" s="390">
        <f t="shared" ca="1" si="24"/>
        <v>0.78470556501475119</v>
      </c>
      <c r="E393" s="391" cm="1">
        <f t="array" aca="1" ref="E393" ca="1">(SUMPRODUCT($B$13:$F$13*D393/(1+B393)^$B$14:$F$14)+($F$13*D393*(1+C393))/(B393-C393)/(1+B393)^$F$14-$B$15+$B$16)/$B$17</f>
        <v>1071.5764534946393</v>
      </c>
      <c r="F393" s="304"/>
      <c r="G393" s="304"/>
      <c r="H393" s="304"/>
      <c r="I393" s="304"/>
      <c r="J393" s="304"/>
      <c r="K393" s="304"/>
      <c r="L393" s="304"/>
      <c r="M393" s="304"/>
      <c r="N393" s="304"/>
      <c r="O393" s="304"/>
      <c r="P393" s="304"/>
      <c r="Q393" s="304"/>
    </row>
    <row r="394" spans="1:17" ht="13.8" x14ac:dyDescent="0.3">
      <c r="A394" s="388">
        <f t="shared" si="21"/>
        <v>372</v>
      </c>
      <c r="B394" s="389">
        <f t="shared" ca="1" si="22"/>
        <v>0.11734885666480736</v>
      </c>
      <c r="C394" s="389">
        <f t="shared" ca="1" si="23"/>
        <v>6.1141685329093684E-2</v>
      </c>
      <c r="D394" s="390">
        <f t="shared" ca="1" si="24"/>
        <v>1.0917321685651491</v>
      </c>
      <c r="E394" s="391" cm="1">
        <f t="array" aca="1" ref="E394" ca="1">(SUMPRODUCT($B$13:$F$13*D394/(1+B394)^$B$14:$F$14)+($F$13*D394*(1+C394))/(B394-C394)/(1+B394)^$F$14-$B$15+$B$16)/$B$17</f>
        <v>2067.1123472759323</v>
      </c>
      <c r="F394" s="304"/>
      <c r="G394" s="304"/>
      <c r="H394" s="304"/>
      <c r="I394" s="304"/>
      <c r="J394" s="304"/>
      <c r="K394" s="304"/>
      <c r="L394" s="304"/>
      <c r="M394" s="304"/>
      <c r="N394" s="304"/>
      <c r="O394" s="304"/>
      <c r="P394" s="304"/>
      <c r="Q394" s="304"/>
    </row>
    <row r="395" spans="1:17" ht="13.8" x14ac:dyDescent="0.3">
      <c r="A395" s="388">
        <f t="shared" si="21"/>
        <v>373</v>
      </c>
      <c r="B395" s="389">
        <f t="shared" ca="1" si="22"/>
        <v>0.13809730284264632</v>
      </c>
      <c r="C395" s="389">
        <f t="shared" ca="1" si="23"/>
        <v>4.7012591528192954E-2</v>
      </c>
      <c r="D395" s="390">
        <f t="shared" ca="1" si="24"/>
        <v>1.0868827389705922</v>
      </c>
      <c r="E395" s="391" cm="1">
        <f t="array" aca="1" ref="E395" ca="1">(SUMPRODUCT($B$13:$F$13*D395/(1+B395)^$B$14:$F$14)+($F$13*D395*(1+C395))/(B395-C395)/(1+B395)^$F$14-$B$15+$B$16)/$B$17</f>
        <v>1273.9046950849374</v>
      </c>
      <c r="F395" s="304"/>
      <c r="G395" s="304"/>
      <c r="H395" s="304"/>
      <c r="I395" s="304"/>
      <c r="J395" s="304"/>
      <c r="K395" s="304"/>
      <c r="L395" s="304"/>
      <c r="M395" s="304"/>
      <c r="N395" s="304"/>
      <c r="O395" s="304"/>
      <c r="P395" s="304"/>
      <c r="Q395" s="304"/>
    </row>
    <row r="396" spans="1:17" ht="13.8" x14ac:dyDescent="0.3">
      <c r="A396" s="388">
        <f t="shared" si="21"/>
        <v>374</v>
      </c>
      <c r="B396" s="389">
        <f t="shared" ca="1" si="22"/>
        <v>0.12500409885114949</v>
      </c>
      <c r="C396" s="389">
        <f t="shared" ca="1" si="23"/>
        <v>4.2377822089446723E-2</v>
      </c>
      <c r="D396" s="390">
        <f t="shared" ca="1" si="24"/>
        <v>1.1038854562351568</v>
      </c>
      <c r="E396" s="391" cm="1">
        <f t="array" aca="1" ref="E396" ca="1">(SUMPRODUCT($B$13:$F$13*D396/(1+B396)^$B$14:$F$14)+($F$13*D396*(1+C396))/(B396-C396)/(1+B396)^$F$14-$B$15+$B$16)/$B$17</f>
        <v>1462.941680904949</v>
      </c>
      <c r="F396" s="304"/>
      <c r="G396" s="304"/>
      <c r="H396" s="304"/>
      <c r="I396" s="304"/>
      <c r="J396" s="304"/>
      <c r="K396" s="304"/>
      <c r="L396" s="304"/>
      <c r="M396" s="304"/>
      <c r="N396" s="304"/>
      <c r="O396" s="304"/>
      <c r="P396" s="304"/>
      <c r="Q396" s="304"/>
    </row>
    <row r="397" spans="1:17" ht="13.8" x14ac:dyDescent="0.3">
      <c r="A397" s="388">
        <f t="shared" si="21"/>
        <v>375</v>
      </c>
      <c r="B397" s="389">
        <f t="shared" ca="1" si="22"/>
        <v>0.1342314327780382</v>
      </c>
      <c r="C397" s="389">
        <f t="shared" ca="1" si="23"/>
        <v>4.5448583259094177E-2</v>
      </c>
      <c r="D397" s="390">
        <f t="shared" ca="1" si="24"/>
        <v>1.1159060956374298</v>
      </c>
      <c r="E397" s="391" cm="1">
        <f t="array" aca="1" ref="E397" ca="1">(SUMPRODUCT($B$13:$F$13*D397/(1+B397)^$B$14:$F$14)+($F$13*D397*(1+C397))/(B397-C397)/(1+B397)^$F$14-$B$15+$B$16)/$B$17</f>
        <v>1353.4295237707886</v>
      </c>
      <c r="F397" s="304"/>
      <c r="G397" s="304"/>
      <c r="H397" s="304"/>
      <c r="I397" s="304"/>
      <c r="J397" s="304"/>
      <c r="K397" s="304"/>
      <c r="L397" s="304"/>
      <c r="M397" s="304"/>
      <c r="N397" s="304"/>
      <c r="O397" s="304"/>
      <c r="P397" s="304"/>
      <c r="Q397" s="304"/>
    </row>
    <row r="398" spans="1:17" ht="13.8" x14ac:dyDescent="0.3">
      <c r="A398" s="388">
        <f t="shared" si="21"/>
        <v>376</v>
      </c>
      <c r="B398" s="389">
        <f t="shared" ca="1" si="22"/>
        <v>0.13013119170821857</v>
      </c>
      <c r="C398" s="389">
        <f t="shared" ca="1" si="23"/>
        <v>5.6070890518431893E-2</v>
      </c>
      <c r="D398" s="390">
        <f t="shared" ca="1" si="24"/>
        <v>0.95191560826351806</v>
      </c>
      <c r="E398" s="391" cm="1">
        <f t="array" aca="1" ref="E398" ca="1">(SUMPRODUCT($B$13:$F$13*D398/(1+B398)^$B$14:$F$14)+($F$13*D398*(1+C398))/(B398-C398)/(1+B398)^$F$14-$B$15+$B$16)/$B$17</f>
        <v>1355.0012251362209</v>
      </c>
      <c r="F398" s="304"/>
      <c r="G398" s="304"/>
      <c r="H398" s="304"/>
      <c r="I398" s="304"/>
      <c r="J398" s="304"/>
      <c r="K398" s="304"/>
      <c r="L398" s="304"/>
      <c r="M398" s="304"/>
      <c r="N398" s="304"/>
      <c r="O398" s="304"/>
      <c r="P398" s="304"/>
      <c r="Q398" s="304"/>
    </row>
    <row r="399" spans="1:17" ht="13.8" x14ac:dyDescent="0.3">
      <c r="A399" s="388">
        <f t="shared" si="21"/>
        <v>377</v>
      </c>
      <c r="B399" s="389">
        <f t="shared" ca="1" si="22"/>
        <v>0.13504272094475464</v>
      </c>
      <c r="C399" s="389">
        <f t="shared" ca="1" si="23"/>
        <v>4.8915900281948921E-2</v>
      </c>
      <c r="D399" s="390">
        <f t="shared" ca="1" si="24"/>
        <v>1.0214903445317056</v>
      </c>
      <c r="E399" s="391" cm="1">
        <f t="array" aca="1" ref="E399" ca="1">(SUMPRODUCT($B$13:$F$13*D399/(1+B399)^$B$14:$F$14)+($F$13*D399*(1+C399))/(B399-C399)/(1+B399)^$F$14-$B$15+$B$16)/$B$17</f>
        <v>1263.2730283927733</v>
      </c>
      <c r="F399" s="304"/>
      <c r="G399" s="304"/>
      <c r="H399" s="304"/>
      <c r="I399" s="304"/>
      <c r="J399" s="304"/>
      <c r="K399" s="304"/>
      <c r="L399" s="304"/>
      <c r="M399" s="304"/>
      <c r="N399" s="304"/>
      <c r="O399" s="304"/>
      <c r="P399" s="304"/>
      <c r="Q399" s="304"/>
    </row>
    <row r="400" spans="1:17" ht="13.8" x14ac:dyDescent="0.3">
      <c r="A400" s="388">
        <f t="shared" si="21"/>
        <v>378</v>
      </c>
      <c r="B400" s="389">
        <f t="shared" ca="1" si="22"/>
        <v>0.13451288173439963</v>
      </c>
      <c r="C400" s="389">
        <f t="shared" ca="1" si="23"/>
        <v>5.7157973076953299E-2</v>
      </c>
      <c r="D400" s="390">
        <f t="shared" ca="1" si="24"/>
        <v>0.85011106255126723</v>
      </c>
      <c r="E400" s="391" cm="1">
        <f t="array" aca="1" ref="E400" ca="1">(SUMPRODUCT($B$13:$F$13*D400/(1+B400)^$B$14:$F$14)+($F$13*D400*(1+C400))/(B400-C400)/(1+B400)^$F$14-$B$15+$B$16)/$B$17</f>
        <v>1144.7395391176315</v>
      </c>
      <c r="F400" s="304"/>
      <c r="G400" s="304"/>
      <c r="H400" s="304"/>
      <c r="I400" s="304"/>
      <c r="J400" s="304"/>
      <c r="K400" s="304"/>
      <c r="L400" s="304"/>
      <c r="M400" s="304"/>
      <c r="N400" s="304"/>
      <c r="O400" s="304"/>
      <c r="P400" s="304"/>
      <c r="Q400" s="304"/>
    </row>
    <row r="401" spans="1:17" ht="13.8" x14ac:dyDescent="0.3">
      <c r="A401" s="388">
        <f t="shared" si="21"/>
        <v>379</v>
      </c>
      <c r="B401" s="389">
        <f t="shared" ca="1" si="22"/>
        <v>0.1076395836706255</v>
      </c>
      <c r="C401" s="389">
        <f t="shared" ca="1" si="23"/>
        <v>5.1773279838963938E-2</v>
      </c>
      <c r="D401" s="390">
        <f t="shared" ca="1" si="24"/>
        <v>1.0776734983121974</v>
      </c>
      <c r="E401" s="391" cm="1">
        <f t="array" aca="1" ref="E401" ca="1">(SUMPRODUCT($B$13:$F$13*D401/(1+B401)^$B$14:$F$14)+($F$13*D401*(1+C401))/(B401-C401)/(1+B401)^$F$14-$B$15+$B$16)/$B$17</f>
        <v>2116.7096796814226</v>
      </c>
      <c r="F401" s="304"/>
      <c r="G401" s="304"/>
      <c r="H401" s="304"/>
      <c r="I401" s="304"/>
      <c r="J401" s="304"/>
      <c r="K401" s="304"/>
      <c r="L401" s="304"/>
      <c r="M401" s="304"/>
      <c r="N401" s="304"/>
      <c r="O401" s="304"/>
      <c r="P401" s="304"/>
      <c r="Q401" s="304"/>
    </row>
    <row r="402" spans="1:17" ht="13.8" x14ac:dyDescent="0.3">
      <c r="A402" s="388">
        <f t="shared" si="21"/>
        <v>380</v>
      </c>
      <c r="B402" s="389">
        <f t="shared" ca="1" si="22"/>
        <v>0.12190731702296786</v>
      </c>
      <c r="C402" s="389">
        <f t="shared" ca="1" si="23"/>
        <v>5.1880866949786809E-2</v>
      </c>
      <c r="D402" s="390">
        <f t="shared" ca="1" si="24"/>
        <v>0.98339592210065907</v>
      </c>
      <c r="E402" s="391" cm="1">
        <f t="array" aca="1" ref="E402" ca="1">(SUMPRODUCT($B$13:$F$13*D402/(1+B402)^$B$14:$F$14)+($F$13*D402*(1+C402))/(B402-C402)/(1+B402)^$F$14-$B$15+$B$16)/$B$17</f>
        <v>1509.6783011352934</v>
      </c>
      <c r="F402" s="304"/>
      <c r="G402" s="304"/>
      <c r="H402" s="304"/>
      <c r="I402" s="304"/>
      <c r="J402" s="304"/>
      <c r="K402" s="304"/>
      <c r="L402" s="304"/>
      <c r="M402" s="304"/>
      <c r="N402" s="304"/>
      <c r="O402" s="304"/>
      <c r="P402" s="304"/>
      <c r="Q402" s="304"/>
    </row>
    <row r="403" spans="1:17" ht="13.8" x14ac:dyDescent="0.3">
      <c r="A403" s="388">
        <f t="shared" si="21"/>
        <v>381</v>
      </c>
      <c r="B403" s="389">
        <f t="shared" ca="1" si="22"/>
        <v>0.12536559168402314</v>
      </c>
      <c r="C403" s="389">
        <f t="shared" ca="1" si="23"/>
        <v>5.0029778858137475E-2</v>
      </c>
      <c r="D403" s="390">
        <f t="shared" ca="1" si="24"/>
        <v>1.0388268371263669</v>
      </c>
      <c r="E403" s="391" cm="1">
        <f t="array" aca="1" ref="E403" ca="1">(SUMPRODUCT($B$13:$F$13*D403/(1+B403)^$B$14:$F$14)+($F$13*D403*(1+C403))/(B403-C403)/(1+B403)^$F$14-$B$15+$B$16)/$B$17</f>
        <v>1483.951621268847</v>
      </c>
      <c r="F403" s="304"/>
      <c r="G403" s="304"/>
      <c r="H403" s="304"/>
      <c r="I403" s="304"/>
      <c r="J403" s="304"/>
      <c r="K403" s="304"/>
      <c r="L403" s="304"/>
      <c r="M403" s="304"/>
      <c r="N403" s="304"/>
      <c r="O403" s="304"/>
      <c r="P403" s="304"/>
      <c r="Q403" s="304"/>
    </row>
    <row r="404" spans="1:17" ht="13.8" x14ac:dyDescent="0.3">
      <c r="A404" s="388">
        <f t="shared" si="21"/>
        <v>382</v>
      </c>
      <c r="B404" s="389">
        <f t="shared" ca="1" si="22"/>
        <v>0.12283715638968459</v>
      </c>
      <c r="C404" s="389">
        <f t="shared" ca="1" si="23"/>
        <v>4.4459698820350384E-2</v>
      </c>
      <c r="D404" s="390">
        <f t="shared" ca="1" si="24"/>
        <v>1.0030256151617629</v>
      </c>
      <c r="E404" s="391" cm="1">
        <f t="array" aca="1" ref="E404" ca="1">(SUMPRODUCT($B$13:$F$13*D404/(1+B404)^$B$14:$F$14)+($F$13*D404*(1+C404))/(B404-C404)/(1+B404)^$F$14-$B$15+$B$16)/$B$17</f>
        <v>1394.994856446004</v>
      </c>
      <c r="F404" s="304"/>
      <c r="G404" s="304"/>
      <c r="H404" s="304"/>
      <c r="I404" s="304"/>
      <c r="J404" s="304"/>
      <c r="K404" s="304"/>
      <c r="L404" s="304"/>
      <c r="M404" s="304"/>
      <c r="N404" s="304"/>
      <c r="O404" s="304"/>
      <c r="P404" s="304"/>
      <c r="Q404" s="304"/>
    </row>
    <row r="405" spans="1:17" ht="13.8" x14ac:dyDescent="0.3">
      <c r="A405" s="388">
        <f t="shared" si="21"/>
        <v>383</v>
      </c>
      <c r="B405" s="389">
        <f t="shared" ca="1" si="22"/>
        <v>0.1153343487095134</v>
      </c>
      <c r="C405" s="389">
        <f t="shared" ca="1" si="23"/>
        <v>4.4107876019064254E-2</v>
      </c>
      <c r="D405" s="390">
        <f t="shared" ca="1" si="24"/>
        <v>1.0759357008914967</v>
      </c>
      <c r="E405" s="391" cm="1">
        <f t="array" aca="1" ref="E405" ca="1">(SUMPRODUCT($B$13:$F$13*D405/(1+B405)^$B$14:$F$14)+($F$13*D405*(1+C405))/(B405-C405)/(1+B405)^$F$14-$B$15+$B$16)/$B$17</f>
        <v>1667.0258155608535</v>
      </c>
      <c r="F405" s="304"/>
      <c r="G405" s="304"/>
      <c r="H405" s="304"/>
      <c r="I405" s="304"/>
      <c r="J405" s="304"/>
      <c r="K405" s="304"/>
      <c r="L405" s="304"/>
      <c r="M405" s="304"/>
      <c r="N405" s="304"/>
      <c r="O405" s="304"/>
      <c r="P405" s="304"/>
      <c r="Q405" s="304"/>
    </row>
    <row r="406" spans="1:17" ht="13.8" x14ac:dyDescent="0.3">
      <c r="A406" s="388">
        <f t="shared" si="21"/>
        <v>384</v>
      </c>
      <c r="B406" s="389">
        <f t="shared" ca="1" si="22"/>
        <v>0.12239818940270643</v>
      </c>
      <c r="C406" s="389">
        <f t="shared" ca="1" si="23"/>
        <v>4.4879766903916748E-2</v>
      </c>
      <c r="D406" s="390">
        <f t="shared" ca="1" si="24"/>
        <v>0.91393198288183664</v>
      </c>
      <c r="E406" s="391" cm="1">
        <f t="array" aca="1" ref="E406" ca="1">(SUMPRODUCT($B$13:$F$13*D406/(1+B406)^$B$14:$F$14)+($F$13*D406*(1+C406))/(B406-C406)/(1+B406)^$F$14-$B$15+$B$16)/$B$17</f>
        <v>1280.6198427713603</v>
      </c>
      <c r="F406" s="304"/>
      <c r="G406" s="304"/>
      <c r="H406" s="304"/>
      <c r="I406" s="304"/>
      <c r="J406" s="304"/>
      <c r="K406" s="304"/>
      <c r="L406" s="304"/>
      <c r="M406" s="304"/>
      <c r="N406" s="304"/>
      <c r="O406" s="304"/>
      <c r="P406" s="304"/>
      <c r="Q406" s="304"/>
    </row>
    <row r="407" spans="1:17" ht="13.8" x14ac:dyDescent="0.3">
      <c r="A407" s="388">
        <f t="shared" si="21"/>
        <v>385</v>
      </c>
      <c r="B407" s="389">
        <f t="shared" ca="1" si="22"/>
        <v>0.12436591608289077</v>
      </c>
      <c r="C407" s="389">
        <f t="shared" ca="1" si="23"/>
        <v>5.5009569901894304E-2</v>
      </c>
      <c r="D407" s="390">
        <f t="shared" ca="1" si="24"/>
        <v>1.1147623022353412</v>
      </c>
      <c r="E407" s="391" cm="1">
        <f t="array" aca="1" ref="E407" ca="1">(SUMPRODUCT($B$13:$F$13*D407/(1+B407)^$B$14:$F$14)+($F$13*D407*(1+C407))/(B407-C407)/(1+B407)^$F$14-$B$15+$B$16)/$B$17</f>
        <v>1718.4011059333586</v>
      </c>
      <c r="F407" s="304"/>
      <c r="G407" s="304"/>
      <c r="H407" s="304"/>
      <c r="I407" s="304"/>
      <c r="J407" s="304"/>
      <c r="K407" s="304"/>
      <c r="L407" s="304"/>
      <c r="M407" s="304"/>
      <c r="N407" s="304"/>
      <c r="O407" s="304"/>
      <c r="P407" s="304"/>
      <c r="Q407" s="304"/>
    </row>
    <row r="408" spans="1:17" ht="13.8" x14ac:dyDescent="0.3">
      <c r="A408" s="388">
        <f t="shared" ref="A408:A471" si="25">ROW()-22</f>
        <v>386</v>
      </c>
      <c r="B408" s="389">
        <f t="shared" ref="B408:B471" ca="1" si="26">_xlfn.NORM.INV(RAND(),$B$6,$C$6)</f>
        <v>0.11231035565089584</v>
      </c>
      <c r="C408" s="389">
        <f t="shared" ref="C408:C471" ca="1" si="27">MIN(_xlfn.NORM.INV(RAND(),$B$7,$C$7),B408-0.005)</f>
        <v>5.2481884118309501E-2</v>
      </c>
      <c r="D408" s="390">
        <f t="shared" ref="D408:D471" ca="1" si="28">_xlfn.NORM.INV(RAND(),$B$8,$C$8)</f>
        <v>1.2372584924659709</v>
      </c>
      <c r="E408" s="391" cm="1">
        <f t="array" aca="1" ref="E408" ca="1">(SUMPRODUCT($B$13:$F$13*D408/(1+B408)^$B$14:$F$14)+($F$13*D408*(1+C408))/(B408-C408)/(1+B408)^$F$14-$B$15+$B$16)/$B$17</f>
        <v>2259.9507794519691</v>
      </c>
      <c r="F408" s="304"/>
      <c r="G408" s="304"/>
      <c r="H408" s="304"/>
      <c r="I408" s="304"/>
      <c r="J408" s="304"/>
      <c r="K408" s="304"/>
      <c r="L408" s="304"/>
      <c r="M408" s="304"/>
      <c r="N408" s="304"/>
      <c r="O408" s="304"/>
      <c r="P408" s="304"/>
      <c r="Q408" s="304"/>
    </row>
    <row r="409" spans="1:17" ht="13.8" x14ac:dyDescent="0.3">
      <c r="A409" s="388">
        <f t="shared" si="25"/>
        <v>387</v>
      </c>
      <c r="B409" s="389">
        <f t="shared" ca="1" si="26"/>
        <v>0.11158096615541627</v>
      </c>
      <c r="C409" s="389">
        <f t="shared" ca="1" si="27"/>
        <v>3.0147852711318108E-2</v>
      </c>
      <c r="D409" s="390">
        <f t="shared" ca="1" si="28"/>
        <v>1.1051882782114626</v>
      </c>
      <c r="E409" s="391" cm="1">
        <f t="array" aca="1" ref="E409" ca="1">(SUMPRODUCT($B$13:$F$13*D409/(1+B409)^$B$14:$F$14)+($F$13*D409*(1+C409))/(B409-C409)/(1+B409)^$F$14-$B$15+$B$16)/$B$17</f>
        <v>1547.7336476058938</v>
      </c>
      <c r="F409" s="304"/>
      <c r="G409" s="304"/>
      <c r="H409" s="304"/>
      <c r="I409" s="304"/>
      <c r="J409" s="304"/>
      <c r="K409" s="304"/>
      <c r="L409" s="304"/>
      <c r="M409" s="304"/>
      <c r="N409" s="304"/>
      <c r="O409" s="304"/>
      <c r="P409" s="304"/>
      <c r="Q409" s="304"/>
    </row>
    <row r="410" spans="1:17" ht="13.8" x14ac:dyDescent="0.3">
      <c r="A410" s="388">
        <f t="shared" si="25"/>
        <v>388</v>
      </c>
      <c r="B410" s="389">
        <f t="shared" ca="1" si="26"/>
        <v>0.12488751307632866</v>
      </c>
      <c r="C410" s="389">
        <f t="shared" ca="1" si="27"/>
        <v>5.4434331546498509E-2</v>
      </c>
      <c r="D410" s="390">
        <f t="shared" ca="1" si="28"/>
        <v>1.0219356811128062</v>
      </c>
      <c r="E410" s="391" cm="1">
        <f t="array" aca="1" ref="E410" ca="1">(SUMPRODUCT($B$13:$F$13*D410/(1+B410)^$B$14:$F$14)+($F$13*D410*(1+C410))/(B410-C410)/(1+B410)^$F$14-$B$15+$B$16)/$B$17</f>
        <v>1547.6535668485785</v>
      </c>
      <c r="F410" s="304"/>
      <c r="G410" s="304"/>
      <c r="H410" s="304"/>
      <c r="I410" s="304"/>
      <c r="J410" s="304"/>
      <c r="K410" s="304"/>
      <c r="L410" s="304"/>
      <c r="M410" s="304"/>
      <c r="N410" s="304"/>
      <c r="O410" s="304"/>
      <c r="P410" s="304"/>
      <c r="Q410" s="304"/>
    </row>
    <row r="411" spans="1:17" ht="13.8" x14ac:dyDescent="0.3">
      <c r="A411" s="388">
        <f t="shared" si="25"/>
        <v>389</v>
      </c>
      <c r="B411" s="389">
        <f t="shared" ca="1" si="26"/>
        <v>0.13772522709997145</v>
      </c>
      <c r="C411" s="389">
        <f t="shared" ca="1" si="27"/>
        <v>3.7987859041368782E-2</v>
      </c>
      <c r="D411" s="390">
        <f t="shared" ca="1" si="28"/>
        <v>1.0037331568970536</v>
      </c>
      <c r="E411" s="391" cm="1">
        <f t="array" aca="1" ref="E411" ca="1">(SUMPRODUCT($B$13:$F$13*D411/(1+B411)^$B$14:$F$14)+($F$13*D411*(1+C411))/(B411-C411)/(1+B411)^$F$14-$B$15+$B$16)/$B$17</f>
        <v>1089.9792424803888</v>
      </c>
      <c r="F411" s="304"/>
      <c r="G411" s="304"/>
      <c r="H411" s="304"/>
      <c r="I411" s="304"/>
      <c r="J411" s="304"/>
      <c r="K411" s="304"/>
      <c r="L411" s="304"/>
      <c r="M411" s="304"/>
      <c r="N411" s="304"/>
      <c r="O411" s="304"/>
      <c r="P411" s="304"/>
      <c r="Q411" s="304"/>
    </row>
    <row r="412" spans="1:17" ht="13.8" x14ac:dyDescent="0.3">
      <c r="A412" s="388">
        <f t="shared" si="25"/>
        <v>390</v>
      </c>
      <c r="B412" s="389">
        <f t="shared" ca="1" si="26"/>
        <v>0.14071855428998464</v>
      </c>
      <c r="C412" s="389">
        <f t="shared" ca="1" si="27"/>
        <v>5.0129383463050792E-2</v>
      </c>
      <c r="D412" s="390">
        <f t="shared" ca="1" si="28"/>
        <v>0.89388979916377909</v>
      </c>
      <c r="E412" s="391" cm="1">
        <f t="array" aca="1" ref="E412" ca="1">(SUMPRODUCT($B$13:$F$13*D412/(1+B412)^$B$14:$F$14)+($F$13*D412*(1+C412))/(B412-C412)/(1+B412)^$F$14-$B$15+$B$16)/$B$17</f>
        <v>1035.4021906008168</v>
      </c>
      <c r="F412" s="304"/>
      <c r="G412" s="304"/>
      <c r="H412" s="304"/>
      <c r="I412" s="304"/>
      <c r="J412" s="304"/>
      <c r="K412" s="304"/>
      <c r="L412" s="304"/>
      <c r="M412" s="304"/>
      <c r="N412" s="304"/>
      <c r="O412" s="304"/>
      <c r="P412" s="304"/>
      <c r="Q412" s="304"/>
    </row>
    <row r="413" spans="1:17" ht="13.8" x14ac:dyDescent="0.3">
      <c r="A413" s="388">
        <f t="shared" si="25"/>
        <v>391</v>
      </c>
      <c r="B413" s="389">
        <f t="shared" ca="1" si="26"/>
        <v>0.10810967825514868</v>
      </c>
      <c r="C413" s="389">
        <f t="shared" ca="1" si="27"/>
        <v>5.894115848936498E-2</v>
      </c>
      <c r="D413" s="390">
        <f t="shared" ca="1" si="28"/>
        <v>0.87864774962539394</v>
      </c>
      <c r="E413" s="391" cm="1">
        <f t="array" aca="1" ref="E413" ca="1">(SUMPRODUCT($B$13:$F$13*D413/(1+B413)^$B$14:$F$14)+($F$13*D413*(1+C413))/(B413-C413)/(1+B413)^$F$14-$B$15+$B$16)/$B$17</f>
        <v>1922.5394321457584</v>
      </c>
      <c r="F413" s="304"/>
      <c r="G413" s="304"/>
      <c r="H413" s="304"/>
      <c r="I413" s="304"/>
      <c r="J413" s="304"/>
      <c r="K413" s="304"/>
      <c r="L413" s="304"/>
      <c r="M413" s="304"/>
      <c r="N413" s="304"/>
      <c r="O413" s="304"/>
      <c r="P413" s="304"/>
      <c r="Q413" s="304"/>
    </row>
    <row r="414" spans="1:17" ht="13.8" x14ac:dyDescent="0.3">
      <c r="A414" s="388">
        <f t="shared" si="25"/>
        <v>392</v>
      </c>
      <c r="B414" s="389">
        <f t="shared" ca="1" si="26"/>
        <v>0.11743654541700475</v>
      </c>
      <c r="C414" s="389">
        <f t="shared" ca="1" si="27"/>
        <v>5.2474231114086903E-2</v>
      </c>
      <c r="D414" s="390">
        <f t="shared" ca="1" si="28"/>
        <v>0.92352688856900167</v>
      </c>
      <c r="E414" s="391" cm="1">
        <f t="array" aca="1" ref="E414" ca="1">(SUMPRODUCT($B$13:$F$13*D414/(1+B414)^$B$14:$F$14)+($F$13*D414*(1+C414))/(B414-C414)/(1+B414)^$F$14-$B$15+$B$16)/$B$17</f>
        <v>1532.2569500522427</v>
      </c>
      <c r="F414" s="304"/>
      <c r="G414" s="304"/>
      <c r="H414" s="304"/>
      <c r="I414" s="304"/>
      <c r="J414" s="304"/>
      <c r="K414" s="304"/>
      <c r="L414" s="304"/>
      <c r="M414" s="304"/>
      <c r="N414" s="304"/>
      <c r="O414" s="304"/>
      <c r="P414" s="304"/>
      <c r="Q414" s="304"/>
    </row>
    <row r="415" spans="1:17" ht="13.8" x14ac:dyDescent="0.3">
      <c r="A415" s="388">
        <f t="shared" si="25"/>
        <v>393</v>
      </c>
      <c r="B415" s="389">
        <f t="shared" ca="1" si="26"/>
        <v>0.11317726699587424</v>
      </c>
      <c r="C415" s="389">
        <f t="shared" ca="1" si="27"/>
        <v>4.6049265997061835E-2</v>
      </c>
      <c r="D415" s="390">
        <f t="shared" ca="1" si="28"/>
        <v>0.95587387495266496</v>
      </c>
      <c r="E415" s="391" cm="1">
        <f t="array" aca="1" ref="E415" ca="1">(SUMPRODUCT($B$13:$F$13*D415/(1+B415)^$B$14:$F$14)+($F$13*D415*(1+C415))/(B415-C415)/(1+B415)^$F$14-$B$15+$B$16)/$B$17</f>
        <v>1564.3151566132908</v>
      </c>
      <c r="F415" s="304"/>
      <c r="G415" s="304"/>
      <c r="H415" s="304"/>
      <c r="I415" s="304"/>
      <c r="J415" s="304"/>
      <c r="K415" s="304"/>
      <c r="L415" s="304"/>
      <c r="M415" s="304"/>
      <c r="N415" s="304"/>
      <c r="O415" s="304"/>
      <c r="P415" s="304"/>
      <c r="Q415" s="304"/>
    </row>
    <row r="416" spans="1:17" ht="13.8" x14ac:dyDescent="0.3">
      <c r="A416" s="388">
        <f t="shared" si="25"/>
        <v>394</v>
      </c>
      <c r="B416" s="389">
        <f t="shared" ca="1" si="26"/>
        <v>0.10400275748164915</v>
      </c>
      <c r="C416" s="389">
        <f t="shared" ca="1" si="27"/>
        <v>4.2983607111965541E-2</v>
      </c>
      <c r="D416" s="390">
        <f t="shared" ca="1" si="28"/>
        <v>0.94208701696057218</v>
      </c>
      <c r="E416" s="391" cm="1">
        <f t="array" aca="1" ref="E416" ca="1">(SUMPRODUCT($B$13:$F$13*D416/(1+B416)^$B$14:$F$14)+($F$13*D416*(1+C416))/(B416-C416)/(1+B416)^$F$14-$B$15+$B$16)/$B$17</f>
        <v>1726.2833789702177</v>
      </c>
      <c r="F416" s="304"/>
      <c r="G416" s="304"/>
      <c r="H416" s="304"/>
      <c r="I416" s="304"/>
      <c r="J416" s="304"/>
      <c r="K416" s="304"/>
      <c r="L416" s="304"/>
      <c r="M416" s="304"/>
      <c r="N416" s="304"/>
      <c r="O416" s="304"/>
      <c r="P416" s="304"/>
      <c r="Q416" s="304"/>
    </row>
    <row r="417" spans="1:17" ht="13.8" x14ac:dyDescent="0.3">
      <c r="A417" s="388">
        <f t="shared" si="25"/>
        <v>395</v>
      </c>
      <c r="B417" s="389">
        <f t="shared" ca="1" si="26"/>
        <v>0.12444180774579955</v>
      </c>
      <c r="C417" s="389">
        <f t="shared" ca="1" si="27"/>
        <v>6.1111889042055716E-2</v>
      </c>
      <c r="D417" s="390">
        <f t="shared" ca="1" si="28"/>
        <v>0.9201556083253507</v>
      </c>
      <c r="E417" s="391" cm="1">
        <f t="array" aca="1" ref="E417" ca="1">(SUMPRODUCT($B$13:$F$13*D417/(1+B417)^$B$14:$F$14)+($F$13*D417*(1+C417))/(B417-C417)/(1+B417)^$F$14-$B$15+$B$16)/$B$17</f>
        <v>1525.9413519690575</v>
      </c>
      <c r="F417" s="304"/>
      <c r="G417" s="304"/>
      <c r="H417" s="304"/>
      <c r="I417" s="304"/>
      <c r="J417" s="304"/>
      <c r="K417" s="304"/>
      <c r="L417" s="304"/>
      <c r="M417" s="304"/>
      <c r="N417" s="304"/>
      <c r="O417" s="304"/>
      <c r="P417" s="304"/>
      <c r="Q417" s="304"/>
    </row>
    <row r="418" spans="1:17" ht="13.8" x14ac:dyDescent="0.3">
      <c r="A418" s="388">
        <f t="shared" si="25"/>
        <v>396</v>
      </c>
      <c r="B418" s="389">
        <f t="shared" ca="1" si="26"/>
        <v>0.12262434172659586</v>
      </c>
      <c r="C418" s="389">
        <f t="shared" ca="1" si="27"/>
        <v>5.3058545076337393E-2</v>
      </c>
      <c r="D418" s="390">
        <f t="shared" ca="1" si="28"/>
        <v>1.0242266209948343</v>
      </c>
      <c r="E418" s="391" cm="1">
        <f t="array" aca="1" ref="E418" ca="1">(SUMPRODUCT($B$13:$F$13*D418/(1+B418)^$B$14:$F$14)+($F$13*D418*(1+C418))/(B418-C418)/(1+B418)^$F$14-$B$15+$B$16)/$B$17</f>
        <v>1579.6818987715337</v>
      </c>
      <c r="F418" s="304"/>
      <c r="G418" s="304"/>
      <c r="H418" s="304"/>
      <c r="I418" s="304"/>
      <c r="J418" s="304"/>
      <c r="K418" s="304"/>
      <c r="L418" s="304"/>
      <c r="M418" s="304"/>
      <c r="N418" s="304"/>
      <c r="O418" s="304"/>
      <c r="P418" s="304"/>
      <c r="Q418" s="304"/>
    </row>
    <row r="419" spans="1:17" ht="13.8" x14ac:dyDescent="0.3">
      <c r="A419" s="388">
        <f t="shared" si="25"/>
        <v>397</v>
      </c>
      <c r="B419" s="389">
        <f t="shared" ca="1" si="26"/>
        <v>0.11612984822202085</v>
      </c>
      <c r="C419" s="389">
        <f t="shared" ca="1" si="27"/>
        <v>4.550105921068253E-2</v>
      </c>
      <c r="D419" s="390">
        <f t="shared" ca="1" si="28"/>
        <v>1.0148302993969318</v>
      </c>
      <c r="E419" s="391" cm="1">
        <f t="array" aca="1" ref="E419" ca="1">(SUMPRODUCT($B$13:$F$13*D419/(1+B419)^$B$14:$F$14)+($F$13*D419*(1+C419))/(B419-C419)/(1+B419)^$F$14-$B$15+$B$16)/$B$17</f>
        <v>1577.0328558537187</v>
      </c>
      <c r="F419" s="304"/>
      <c r="G419" s="304"/>
      <c r="H419" s="304"/>
      <c r="I419" s="304"/>
      <c r="J419" s="304"/>
      <c r="K419" s="304"/>
      <c r="L419" s="304"/>
      <c r="M419" s="304"/>
      <c r="N419" s="304"/>
      <c r="O419" s="304"/>
      <c r="P419" s="304"/>
      <c r="Q419" s="304"/>
    </row>
    <row r="420" spans="1:17" ht="13.8" x14ac:dyDescent="0.3">
      <c r="A420" s="388">
        <f t="shared" si="25"/>
        <v>398</v>
      </c>
      <c r="B420" s="389">
        <f t="shared" ca="1" si="26"/>
        <v>0.11666824349129726</v>
      </c>
      <c r="C420" s="389">
        <f t="shared" ca="1" si="27"/>
        <v>6.069100823087055E-2</v>
      </c>
      <c r="D420" s="390">
        <f t="shared" ca="1" si="28"/>
        <v>0.99078906215244245</v>
      </c>
      <c r="E420" s="391" cm="1">
        <f t="array" aca="1" ref="E420" ca="1">(SUMPRODUCT($B$13:$F$13*D420/(1+B420)^$B$14:$F$14)+($F$13*D420*(1+C420))/(B420-C420)/(1+B420)^$F$14-$B$15+$B$16)/$B$17</f>
        <v>1882.5656815309503</v>
      </c>
      <c r="F420" s="304"/>
      <c r="G420" s="304"/>
      <c r="H420" s="304"/>
      <c r="I420" s="304"/>
      <c r="J420" s="304"/>
      <c r="K420" s="304"/>
      <c r="L420" s="304"/>
      <c r="M420" s="304"/>
      <c r="N420" s="304"/>
      <c r="O420" s="304"/>
      <c r="P420" s="304"/>
      <c r="Q420" s="304"/>
    </row>
    <row r="421" spans="1:17" ht="13.8" x14ac:dyDescent="0.3">
      <c r="A421" s="388">
        <f t="shared" si="25"/>
        <v>399</v>
      </c>
      <c r="B421" s="389">
        <f t="shared" ca="1" si="26"/>
        <v>0.1136854548235168</v>
      </c>
      <c r="C421" s="389">
        <f t="shared" ca="1" si="27"/>
        <v>5.2324710313793731E-2</v>
      </c>
      <c r="D421" s="390">
        <f t="shared" ca="1" si="28"/>
        <v>0.97093677139279888</v>
      </c>
      <c r="E421" s="391" cm="1">
        <f t="array" aca="1" ref="E421" ca="1">(SUMPRODUCT($B$13:$F$13*D421/(1+B421)^$B$14:$F$14)+($F$13*D421*(1+C421))/(B421-C421)/(1+B421)^$F$14-$B$15+$B$16)/$B$17</f>
        <v>1716.7433257334183</v>
      </c>
      <c r="F421" s="304"/>
      <c r="G421" s="304"/>
      <c r="H421" s="304"/>
      <c r="I421" s="304"/>
      <c r="J421" s="304"/>
      <c r="K421" s="304"/>
      <c r="L421" s="304"/>
      <c r="M421" s="304"/>
      <c r="N421" s="304"/>
      <c r="O421" s="304"/>
      <c r="P421" s="304"/>
      <c r="Q421" s="304"/>
    </row>
    <row r="422" spans="1:17" ht="13.8" x14ac:dyDescent="0.3">
      <c r="A422" s="388">
        <f t="shared" si="25"/>
        <v>400</v>
      </c>
      <c r="B422" s="389">
        <f t="shared" ca="1" si="26"/>
        <v>0.11134983706555154</v>
      </c>
      <c r="C422" s="389">
        <f t="shared" ca="1" si="27"/>
        <v>5.346755458909707E-2</v>
      </c>
      <c r="D422" s="390">
        <f t="shared" ca="1" si="28"/>
        <v>1.0268274562547226</v>
      </c>
      <c r="E422" s="391" cm="1">
        <f t="array" aca="1" ref="E422" ca="1">(SUMPRODUCT($B$13:$F$13*D422/(1+B422)^$B$14:$F$14)+($F$13*D422*(1+C422))/(B422-C422)/(1+B422)^$F$14-$B$15+$B$16)/$B$17</f>
        <v>1928.8080654542762</v>
      </c>
      <c r="F422" s="304"/>
      <c r="G422" s="304"/>
      <c r="H422" s="304"/>
      <c r="I422" s="304"/>
      <c r="J422" s="304"/>
      <c r="K422" s="304"/>
      <c r="L422" s="304"/>
      <c r="M422" s="304"/>
      <c r="N422" s="304"/>
      <c r="O422" s="304"/>
      <c r="P422" s="304"/>
      <c r="Q422" s="304"/>
    </row>
    <row r="423" spans="1:17" ht="13.8" x14ac:dyDescent="0.3">
      <c r="A423" s="388">
        <f t="shared" si="25"/>
        <v>401</v>
      </c>
      <c r="B423" s="389">
        <f t="shared" ca="1" si="26"/>
        <v>0.13852038663441146</v>
      </c>
      <c r="C423" s="389">
        <f t="shared" ca="1" si="27"/>
        <v>4.3290349045220708E-2</v>
      </c>
      <c r="D423" s="390">
        <f t="shared" ca="1" si="28"/>
        <v>0.98186897314877608</v>
      </c>
      <c r="E423" s="391" cm="1">
        <f t="array" aca="1" ref="E423" ca="1">(SUMPRODUCT($B$13:$F$13*D423/(1+B423)^$B$14:$F$14)+($F$13*D423*(1+C423))/(B423-C423)/(1+B423)^$F$14-$B$15+$B$16)/$B$17</f>
        <v>1103.486147961197</v>
      </c>
      <c r="F423" s="304"/>
      <c r="G423" s="304"/>
      <c r="H423" s="304"/>
      <c r="I423" s="304"/>
      <c r="J423" s="304"/>
      <c r="K423" s="304"/>
      <c r="L423" s="304"/>
      <c r="M423" s="304"/>
      <c r="N423" s="304"/>
      <c r="O423" s="304"/>
      <c r="P423" s="304"/>
      <c r="Q423" s="304"/>
    </row>
    <row r="424" spans="1:17" ht="13.8" x14ac:dyDescent="0.3">
      <c r="A424" s="388">
        <f t="shared" si="25"/>
        <v>402</v>
      </c>
      <c r="B424" s="389">
        <f t="shared" ca="1" si="26"/>
        <v>0.12854575769656715</v>
      </c>
      <c r="C424" s="389">
        <f t="shared" ca="1" si="27"/>
        <v>4.9466311181990762E-2</v>
      </c>
      <c r="D424" s="390">
        <f t="shared" ca="1" si="28"/>
        <v>0.93262982475681355</v>
      </c>
      <c r="E424" s="391" cm="1">
        <f t="array" aca="1" ref="E424" ca="1">(SUMPRODUCT($B$13:$F$13*D424/(1+B424)^$B$14:$F$14)+($F$13*D424*(1+C424))/(B424-C424)/(1+B424)^$F$14-$B$15+$B$16)/$B$17</f>
        <v>1260.7646688141629</v>
      </c>
      <c r="F424" s="304"/>
      <c r="G424" s="304"/>
      <c r="H424" s="304"/>
      <c r="I424" s="304"/>
      <c r="J424" s="304"/>
      <c r="K424" s="304"/>
      <c r="L424" s="304"/>
      <c r="M424" s="304"/>
      <c r="N424" s="304"/>
      <c r="O424" s="304"/>
      <c r="P424" s="304"/>
      <c r="Q424" s="304"/>
    </row>
    <row r="425" spans="1:17" ht="13.8" x14ac:dyDescent="0.3">
      <c r="A425" s="388">
        <f t="shared" si="25"/>
        <v>403</v>
      </c>
      <c r="B425" s="389">
        <f t="shared" ca="1" si="26"/>
        <v>0.13976204965628108</v>
      </c>
      <c r="C425" s="389">
        <f t="shared" ca="1" si="27"/>
        <v>4.4044064601861332E-2</v>
      </c>
      <c r="D425" s="390">
        <f t="shared" ca="1" si="28"/>
        <v>1.0146789418765474</v>
      </c>
      <c r="E425" s="391" cm="1">
        <f t="array" aca="1" ref="E425" ca="1">(SUMPRODUCT($B$13:$F$13*D425/(1+B425)^$B$14:$F$14)+($F$13*D425*(1+C425))/(B425-C425)/(1+B425)^$F$14-$B$15+$B$16)/$B$17</f>
        <v>1132.7689229668777</v>
      </c>
      <c r="F425" s="304"/>
      <c r="G425" s="304"/>
      <c r="H425" s="304"/>
      <c r="I425" s="304"/>
      <c r="J425" s="304"/>
      <c r="K425" s="304"/>
      <c r="L425" s="304"/>
      <c r="M425" s="304"/>
      <c r="N425" s="304"/>
      <c r="O425" s="304"/>
      <c r="P425" s="304"/>
      <c r="Q425" s="304"/>
    </row>
    <row r="426" spans="1:17" ht="13.8" x14ac:dyDescent="0.3">
      <c r="A426" s="388">
        <f t="shared" si="25"/>
        <v>404</v>
      </c>
      <c r="B426" s="389">
        <f t="shared" ca="1" si="26"/>
        <v>0.11946903830448338</v>
      </c>
      <c r="C426" s="389">
        <f t="shared" ca="1" si="27"/>
        <v>6.1154982527525173E-2</v>
      </c>
      <c r="D426" s="390">
        <f t="shared" ca="1" si="28"/>
        <v>0.79344571518469564</v>
      </c>
      <c r="E426" s="391" cm="1">
        <f t="array" aca="1" ref="E426" ca="1">(SUMPRODUCT($B$13:$F$13*D426/(1+B426)^$B$14:$F$14)+($F$13*D426*(1+C426))/(B426-C426)/(1+B426)^$F$14-$B$15+$B$16)/$B$17</f>
        <v>1431.3700761224277</v>
      </c>
      <c r="F426" s="304"/>
      <c r="G426" s="304"/>
      <c r="H426" s="304"/>
      <c r="I426" s="304"/>
      <c r="J426" s="304"/>
      <c r="K426" s="304"/>
      <c r="L426" s="304"/>
      <c r="M426" s="304"/>
      <c r="N426" s="304"/>
      <c r="O426" s="304"/>
      <c r="P426" s="304"/>
      <c r="Q426" s="304"/>
    </row>
    <row r="427" spans="1:17" ht="13.8" x14ac:dyDescent="0.3">
      <c r="A427" s="388">
        <f t="shared" si="25"/>
        <v>405</v>
      </c>
      <c r="B427" s="389">
        <f t="shared" ca="1" si="26"/>
        <v>0.1277999971749004</v>
      </c>
      <c r="C427" s="389">
        <f t="shared" ca="1" si="27"/>
        <v>5.3784624114370523E-2</v>
      </c>
      <c r="D427" s="390">
        <f t="shared" ca="1" si="28"/>
        <v>0.9703096986143096</v>
      </c>
      <c r="E427" s="391" cm="1">
        <f t="array" aca="1" ref="E427" ca="1">(SUMPRODUCT($B$13:$F$13*D427/(1+B427)^$B$14:$F$14)+($F$13*D427*(1+C427))/(B427-C427)/(1+B427)^$F$14-$B$15+$B$16)/$B$17</f>
        <v>1393.1386792420974</v>
      </c>
      <c r="F427" s="304"/>
      <c r="G427" s="304"/>
      <c r="H427" s="304"/>
      <c r="I427" s="304"/>
      <c r="J427" s="304"/>
      <c r="K427" s="304"/>
      <c r="L427" s="304"/>
      <c r="M427" s="304"/>
      <c r="N427" s="304"/>
      <c r="O427" s="304"/>
      <c r="P427" s="304"/>
      <c r="Q427" s="304"/>
    </row>
    <row r="428" spans="1:17" ht="13.8" x14ac:dyDescent="0.3">
      <c r="A428" s="388">
        <f t="shared" si="25"/>
        <v>406</v>
      </c>
      <c r="B428" s="389">
        <f t="shared" ca="1" si="26"/>
        <v>0.11108746941745593</v>
      </c>
      <c r="C428" s="389">
        <f t="shared" ca="1" si="27"/>
        <v>4.976870986343547E-2</v>
      </c>
      <c r="D428" s="390">
        <f t="shared" ca="1" si="28"/>
        <v>0.89826336000861229</v>
      </c>
      <c r="E428" s="391" cm="1">
        <f t="array" aca="1" ref="E428" ca="1">(SUMPRODUCT($B$13:$F$13*D428/(1+B428)^$B$14:$F$14)+($F$13*D428*(1+C428))/(B428-C428)/(1+B428)^$F$14-$B$15+$B$16)/$B$17</f>
        <v>1599.1378601270771</v>
      </c>
      <c r="F428" s="304"/>
      <c r="G428" s="304"/>
      <c r="H428" s="304"/>
      <c r="I428" s="304"/>
      <c r="J428" s="304"/>
      <c r="K428" s="304"/>
      <c r="L428" s="304"/>
      <c r="M428" s="304"/>
      <c r="N428" s="304"/>
      <c r="O428" s="304"/>
      <c r="P428" s="304"/>
      <c r="Q428" s="304"/>
    </row>
    <row r="429" spans="1:17" ht="13.8" x14ac:dyDescent="0.3">
      <c r="A429" s="388">
        <f t="shared" si="25"/>
        <v>407</v>
      </c>
      <c r="B429" s="389">
        <f t="shared" ca="1" si="26"/>
        <v>0.11586159744926608</v>
      </c>
      <c r="C429" s="389">
        <f t="shared" ca="1" si="27"/>
        <v>4.005975420115606E-2</v>
      </c>
      <c r="D429" s="390">
        <f t="shared" ca="1" si="28"/>
        <v>1.0365517911663817</v>
      </c>
      <c r="E429" s="391" cm="1">
        <f t="array" aca="1" ref="E429" ca="1">(SUMPRODUCT($B$13:$F$13*D429/(1+B429)^$B$14:$F$14)+($F$13*D429*(1+C429))/(B429-C429)/(1+B429)^$F$14-$B$15+$B$16)/$B$17</f>
        <v>1518.3766182437696</v>
      </c>
      <c r="F429" s="304"/>
      <c r="G429" s="304"/>
      <c r="H429" s="304"/>
      <c r="I429" s="304"/>
      <c r="J429" s="304"/>
      <c r="K429" s="304"/>
      <c r="L429" s="304"/>
      <c r="M429" s="304"/>
      <c r="N429" s="304"/>
      <c r="O429" s="304"/>
      <c r="P429" s="304"/>
      <c r="Q429" s="304"/>
    </row>
    <row r="430" spans="1:17" ht="13.8" x14ac:dyDescent="0.3">
      <c r="A430" s="388">
        <f t="shared" si="25"/>
        <v>408</v>
      </c>
      <c r="B430" s="389">
        <f t="shared" ca="1" si="26"/>
        <v>0.11707214023448692</v>
      </c>
      <c r="C430" s="389">
        <f t="shared" ca="1" si="27"/>
        <v>4.730864356769781E-2</v>
      </c>
      <c r="D430" s="390">
        <f t="shared" ca="1" si="28"/>
        <v>0.96087224478184197</v>
      </c>
      <c r="E430" s="391" cm="1">
        <f t="array" aca="1" ref="E430" ca="1">(SUMPRODUCT($B$13:$F$13*D430/(1+B430)^$B$14:$F$14)+($F$13*D430*(1+C430))/(B430-C430)/(1+B430)^$F$14-$B$15+$B$16)/$B$17</f>
        <v>1502.036640848936</v>
      </c>
      <c r="F430" s="304"/>
      <c r="G430" s="304"/>
      <c r="H430" s="304"/>
      <c r="I430" s="304"/>
      <c r="J430" s="304"/>
      <c r="K430" s="304"/>
      <c r="L430" s="304"/>
      <c r="M430" s="304"/>
      <c r="N430" s="304"/>
      <c r="O430" s="304"/>
      <c r="P430" s="304"/>
      <c r="Q430" s="304"/>
    </row>
    <row r="431" spans="1:17" ht="13.8" x14ac:dyDescent="0.3">
      <c r="A431" s="388">
        <f t="shared" si="25"/>
        <v>409</v>
      </c>
      <c r="B431" s="389">
        <f t="shared" ca="1" si="26"/>
        <v>0.14000388986547355</v>
      </c>
      <c r="C431" s="389">
        <f t="shared" ca="1" si="27"/>
        <v>4.185227157210944E-2</v>
      </c>
      <c r="D431" s="390">
        <f t="shared" ca="1" si="28"/>
        <v>0.9880735557400353</v>
      </c>
      <c r="E431" s="391" cm="1">
        <f t="array" aca="1" ref="E431" ca="1">(SUMPRODUCT($B$13:$F$13*D431/(1+B431)^$B$14:$F$14)+($F$13*D431*(1+C431))/(B431-C431)/(1+B431)^$F$14-$B$15+$B$16)/$B$17</f>
        <v>1078.6117680468353</v>
      </c>
      <c r="F431" s="304"/>
      <c r="G431" s="304"/>
      <c r="H431" s="304"/>
      <c r="I431" s="304"/>
      <c r="J431" s="304"/>
      <c r="K431" s="304"/>
      <c r="L431" s="304"/>
      <c r="M431" s="304"/>
      <c r="N431" s="304"/>
      <c r="O431" s="304"/>
      <c r="P431" s="304"/>
      <c r="Q431" s="304"/>
    </row>
    <row r="432" spans="1:17" ht="13.8" x14ac:dyDescent="0.3">
      <c r="A432" s="388">
        <f t="shared" si="25"/>
        <v>410</v>
      </c>
      <c r="B432" s="389">
        <f t="shared" ca="1" si="26"/>
        <v>0.12303844581317662</v>
      </c>
      <c r="C432" s="389">
        <f t="shared" ca="1" si="27"/>
        <v>5.1311311514943933E-2</v>
      </c>
      <c r="D432" s="390">
        <f t="shared" ca="1" si="28"/>
        <v>0.88745781615212216</v>
      </c>
      <c r="E432" s="391" cm="1">
        <f t="array" aca="1" ref="E432" ca="1">(SUMPRODUCT($B$13:$F$13*D432/(1+B432)^$B$14:$F$14)+($F$13*D432*(1+C432))/(B432-C432)/(1+B432)^$F$14-$B$15+$B$16)/$B$17</f>
        <v>1325.0431153495515</v>
      </c>
      <c r="F432" s="304"/>
      <c r="G432" s="304"/>
      <c r="H432" s="304"/>
      <c r="I432" s="304"/>
      <c r="J432" s="304"/>
      <c r="K432" s="304"/>
      <c r="L432" s="304"/>
      <c r="M432" s="304"/>
      <c r="N432" s="304"/>
      <c r="O432" s="304"/>
      <c r="P432" s="304"/>
      <c r="Q432" s="304"/>
    </row>
    <row r="433" spans="1:17" ht="13.8" x14ac:dyDescent="0.3">
      <c r="A433" s="388">
        <f t="shared" si="25"/>
        <v>411</v>
      </c>
      <c r="B433" s="389">
        <f t="shared" ca="1" si="26"/>
        <v>0.12909913514168891</v>
      </c>
      <c r="C433" s="389">
        <f t="shared" ca="1" si="27"/>
        <v>4.8847082057015122E-2</v>
      </c>
      <c r="D433" s="390">
        <f t="shared" ca="1" si="28"/>
        <v>0.96014597391104617</v>
      </c>
      <c r="E433" s="391" cm="1">
        <f t="array" aca="1" ref="E433" ca="1">(SUMPRODUCT($B$13:$F$13*D433/(1+B433)^$B$14:$F$14)+($F$13*D433*(1+C433))/(B433-C433)/(1+B433)^$F$14-$B$15+$B$16)/$B$17</f>
        <v>1281.0021243369383</v>
      </c>
      <c r="F433" s="304"/>
      <c r="G433" s="304"/>
      <c r="H433" s="304"/>
      <c r="I433" s="304"/>
      <c r="J433" s="304"/>
      <c r="K433" s="304"/>
      <c r="L433" s="304"/>
      <c r="M433" s="304"/>
      <c r="N433" s="304"/>
      <c r="O433" s="304"/>
      <c r="P433" s="304"/>
      <c r="Q433" s="304"/>
    </row>
    <row r="434" spans="1:17" ht="13.8" x14ac:dyDescent="0.3">
      <c r="A434" s="388">
        <f t="shared" si="25"/>
        <v>412</v>
      </c>
      <c r="B434" s="389">
        <f t="shared" ca="1" si="26"/>
        <v>0.13792195712123628</v>
      </c>
      <c r="C434" s="389">
        <f t="shared" ca="1" si="27"/>
        <v>5.5848854008834839E-2</v>
      </c>
      <c r="D434" s="390">
        <f t="shared" ca="1" si="28"/>
        <v>1.0917497636702833</v>
      </c>
      <c r="E434" s="391" cm="1">
        <f t="array" aca="1" ref="E434" ca="1">(SUMPRODUCT($B$13:$F$13*D434/(1+B434)^$B$14:$F$14)+($F$13*D434*(1+C434))/(B434-C434)/(1+B434)^$F$14-$B$15+$B$16)/$B$17</f>
        <v>1396.3647326810417</v>
      </c>
      <c r="F434" s="304"/>
      <c r="G434" s="304"/>
      <c r="H434" s="304"/>
      <c r="I434" s="304"/>
      <c r="J434" s="304"/>
      <c r="K434" s="304"/>
      <c r="L434" s="304"/>
      <c r="M434" s="304"/>
      <c r="N434" s="304"/>
      <c r="O434" s="304"/>
      <c r="P434" s="304"/>
      <c r="Q434" s="304"/>
    </row>
    <row r="435" spans="1:17" ht="13.8" x14ac:dyDescent="0.3">
      <c r="A435" s="388">
        <f t="shared" si="25"/>
        <v>413</v>
      </c>
      <c r="B435" s="389">
        <f t="shared" ca="1" si="26"/>
        <v>0.1114601551304584</v>
      </c>
      <c r="C435" s="389">
        <f t="shared" ca="1" si="27"/>
        <v>4.8367361945561634E-2</v>
      </c>
      <c r="D435" s="390">
        <f t="shared" ca="1" si="28"/>
        <v>0.89168292735934729</v>
      </c>
      <c r="E435" s="391" cm="1">
        <f t="array" aca="1" ref="E435" ca="1">(SUMPRODUCT($B$13:$F$13*D435/(1+B435)^$B$14:$F$14)+($F$13*D435*(1+C435))/(B435-C435)/(1+B435)^$F$14-$B$15+$B$16)/$B$17</f>
        <v>1545.8595897855771</v>
      </c>
      <c r="F435" s="304"/>
      <c r="G435" s="304"/>
      <c r="H435" s="304"/>
      <c r="I435" s="304"/>
      <c r="J435" s="304"/>
      <c r="K435" s="304"/>
      <c r="L435" s="304"/>
      <c r="M435" s="304"/>
      <c r="N435" s="304"/>
      <c r="O435" s="304"/>
      <c r="P435" s="304"/>
      <c r="Q435" s="304"/>
    </row>
    <row r="436" spans="1:17" ht="13.8" x14ac:dyDescent="0.3">
      <c r="A436" s="388">
        <f t="shared" si="25"/>
        <v>414</v>
      </c>
      <c r="B436" s="389">
        <f t="shared" ca="1" si="26"/>
        <v>0.12027464744843375</v>
      </c>
      <c r="C436" s="389">
        <f t="shared" ca="1" si="27"/>
        <v>5.8005388549435849E-2</v>
      </c>
      <c r="D436" s="390">
        <f t="shared" ca="1" si="28"/>
        <v>0.85872685341887522</v>
      </c>
      <c r="E436" s="391" cm="1">
        <f t="array" aca="1" ref="E436" ca="1">(SUMPRODUCT($B$13:$F$13*D436/(1+B436)^$B$14:$F$14)+($F$13*D436*(1+C436))/(B436-C436)/(1+B436)^$F$14-$B$15+$B$16)/$B$17</f>
        <v>1461.7257740794862</v>
      </c>
      <c r="F436" s="304"/>
      <c r="G436" s="304"/>
      <c r="H436" s="304"/>
      <c r="I436" s="304"/>
      <c r="J436" s="304"/>
      <c r="K436" s="304"/>
      <c r="L436" s="304"/>
      <c r="M436" s="304"/>
      <c r="N436" s="304"/>
      <c r="O436" s="304"/>
      <c r="P436" s="304"/>
      <c r="Q436" s="304"/>
    </row>
    <row r="437" spans="1:17" ht="13.8" x14ac:dyDescent="0.3">
      <c r="A437" s="388">
        <f t="shared" si="25"/>
        <v>415</v>
      </c>
      <c r="B437" s="389">
        <f t="shared" ca="1" si="26"/>
        <v>0.12738116472809038</v>
      </c>
      <c r="C437" s="389">
        <f t="shared" ca="1" si="27"/>
        <v>5.9957733091576135E-2</v>
      </c>
      <c r="D437" s="390">
        <f t="shared" ca="1" si="28"/>
        <v>1.0246944332852481</v>
      </c>
      <c r="E437" s="391" cm="1">
        <f t="array" aca="1" ref="E437" ca="1">(SUMPRODUCT($B$13:$F$13*D437/(1+B437)^$B$14:$F$14)+($F$13*D437*(1+C437))/(B437-C437)/(1+B437)^$F$14-$B$15+$B$16)/$B$17</f>
        <v>1599.1952379715351</v>
      </c>
      <c r="F437" s="304"/>
      <c r="G437" s="304"/>
      <c r="H437" s="304"/>
      <c r="I437" s="304"/>
      <c r="J437" s="304"/>
      <c r="K437" s="304"/>
      <c r="L437" s="304"/>
      <c r="M437" s="304"/>
      <c r="N437" s="304"/>
      <c r="O437" s="304"/>
      <c r="P437" s="304"/>
      <c r="Q437" s="304"/>
    </row>
    <row r="438" spans="1:17" ht="13.8" x14ac:dyDescent="0.3">
      <c r="A438" s="388">
        <f t="shared" si="25"/>
        <v>416</v>
      </c>
      <c r="B438" s="389">
        <f t="shared" ca="1" si="26"/>
        <v>0.14532889421954526</v>
      </c>
      <c r="C438" s="389">
        <f t="shared" ca="1" si="27"/>
        <v>5.8422555620005368E-2</v>
      </c>
      <c r="D438" s="390">
        <f t="shared" ca="1" si="28"/>
        <v>0.92605215385555384</v>
      </c>
      <c r="E438" s="391" cm="1">
        <f t="array" aca="1" ref="E438" ca="1">(SUMPRODUCT($B$13:$F$13*D438/(1+B438)^$B$14:$F$14)+($F$13*D438*(1+C438))/(B438-C438)/(1+B438)^$F$14-$B$15+$B$16)/$B$17</f>
        <v>1096.1698909211168</v>
      </c>
      <c r="F438" s="304"/>
      <c r="G438" s="304"/>
      <c r="H438" s="304"/>
      <c r="I438" s="304"/>
      <c r="J438" s="304"/>
      <c r="K438" s="304"/>
      <c r="L438" s="304"/>
      <c r="M438" s="304"/>
      <c r="N438" s="304"/>
      <c r="O438" s="304"/>
      <c r="P438" s="304"/>
      <c r="Q438" s="304"/>
    </row>
    <row r="439" spans="1:17" ht="13.8" x14ac:dyDescent="0.3">
      <c r="A439" s="388">
        <f t="shared" si="25"/>
        <v>417</v>
      </c>
      <c r="B439" s="389">
        <f t="shared" ca="1" si="26"/>
        <v>0.11347158766141227</v>
      </c>
      <c r="C439" s="389">
        <f t="shared" ca="1" si="27"/>
        <v>5.4363745221101989E-2</v>
      </c>
      <c r="D439" s="390">
        <f t="shared" ca="1" si="28"/>
        <v>0.98327027648213894</v>
      </c>
      <c r="E439" s="391" cm="1">
        <f t="array" aca="1" ref="E439" ca="1">(SUMPRODUCT($B$13:$F$13*D439/(1+B439)^$B$14:$F$14)+($F$13*D439*(1+C439))/(B439-C439)/(1+B439)^$F$14-$B$15+$B$16)/$B$17</f>
        <v>1798.6519433276076</v>
      </c>
      <c r="F439" s="304"/>
      <c r="G439" s="304"/>
      <c r="H439" s="304"/>
      <c r="I439" s="304"/>
      <c r="J439" s="304"/>
      <c r="K439" s="304"/>
      <c r="L439" s="304"/>
      <c r="M439" s="304"/>
      <c r="N439" s="304"/>
      <c r="O439" s="304"/>
      <c r="P439" s="304"/>
      <c r="Q439" s="304"/>
    </row>
    <row r="440" spans="1:17" ht="13.8" x14ac:dyDescent="0.3">
      <c r="A440" s="388">
        <f t="shared" si="25"/>
        <v>418</v>
      </c>
      <c r="B440" s="389">
        <f t="shared" ca="1" si="26"/>
        <v>0.1255849346908344</v>
      </c>
      <c r="C440" s="389">
        <f t="shared" ca="1" si="27"/>
        <v>4.6067181701624674E-2</v>
      </c>
      <c r="D440" s="390">
        <f t="shared" ca="1" si="28"/>
        <v>0.88649846264003129</v>
      </c>
      <c r="E440" s="391" cm="1">
        <f t="array" aca="1" ref="E440" ca="1">(SUMPRODUCT($B$13:$F$13*D440/(1+B440)^$B$14:$F$14)+($F$13*D440*(1+C440))/(B440-C440)/(1+B440)^$F$14-$B$15+$B$16)/$B$17</f>
        <v>1201.7698205079059</v>
      </c>
      <c r="F440" s="304"/>
      <c r="G440" s="304"/>
      <c r="H440" s="304"/>
      <c r="I440" s="304"/>
      <c r="J440" s="304"/>
      <c r="K440" s="304"/>
      <c r="L440" s="304"/>
      <c r="M440" s="304"/>
      <c r="N440" s="304"/>
      <c r="O440" s="304"/>
      <c r="P440" s="304"/>
      <c r="Q440" s="304"/>
    </row>
    <row r="441" spans="1:17" ht="13.8" x14ac:dyDescent="0.3">
      <c r="A441" s="388">
        <f t="shared" si="25"/>
        <v>419</v>
      </c>
      <c r="B441" s="389">
        <f t="shared" ca="1" si="26"/>
        <v>0.12328847104321528</v>
      </c>
      <c r="C441" s="389">
        <f t="shared" ca="1" si="27"/>
        <v>5.1876794640861465E-2</v>
      </c>
      <c r="D441" s="390">
        <f t="shared" ca="1" si="28"/>
        <v>0.96047652921235072</v>
      </c>
      <c r="E441" s="391" cm="1">
        <f t="array" aca="1" ref="E441" ca="1">(SUMPRODUCT($B$13:$F$13*D441/(1+B441)^$B$14:$F$14)+($F$13*D441*(1+C441))/(B441-C441)/(1+B441)^$F$14-$B$15+$B$16)/$B$17</f>
        <v>1442.2860130100669</v>
      </c>
      <c r="F441" s="304"/>
      <c r="G441" s="304"/>
      <c r="H441" s="304"/>
      <c r="I441" s="304"/>
      <c r="J441" s="304"/>
      <c r="K441" s="304"/>
      <c r="L441" s="304"/>
      <c r="M441" s="304"/>
      <c r="N441" s="304"/>
      <c r="O441" s="304"/>
      <c r="P441" s="304"/>
      <c r="Q441" s="304"/>
    </row>
    <row r="442" spans="1:17" ht="13.8" x14ac:dyDescent="0.3">
      <c r="A442" s="388">
        <f t="shared" si="25"/>
        <v>420</v>
      </c>
      <c r="B442" s="389">
        <f t="shared" ca="1" si="26"/>
        <v>0.12009074922589387</v>
      </c>
      <c r="C442" s="389">
        <f t="shared" ca="1" si="27"/>
        <v>6.7509939647361669E-2</v>
      </c>
      <c r="D442" s="390">
        <f t="shared" ca="1" si="28"/>
        <v>0.83863111266346091</v>
      </c>
      <c r="E442" s="391" cm="1">
        <f t="array" aca="1" ref="E442" ca="1">(SUMPRODUCT($B$13:$F$13*D442/(1+B442)^$B$14:$F$14)+($F$13*D442*(1+C442))/(B442-C442)/(1+B442)^$F$14-$B$15+$B$16)/$B$17</f>
        <v>1658.9148548274263</v>
      </c>
      <c r="F442" s="304"/>
      <c r="G442" s="304"/>
      <c r="H442" s="304"/>
      <c r="I442" s="304"/>
      <c r="J442" s="304"/>
      <c r="K442" s="304"/>
      <c r="L442" s="304"/>
      <c r="M442" s="304"/>
      <c r="N442" s="304"/>
      <c r="O442" s="304"/>
      <c r="P442" s="304"/>
      <c r="Q442" s="304"/>
    </row>
    <row r="443" spans="1:17" ht="13.8" x14ac:dyDescent="0.3">
      <c r="A443" s="388">
        <f t="shared" si="25"/>
        <v>421</v>
      </c>
      <c r="B443" s="389">
        <f t="shared" ca="1" si="26"/>
        <v>0.1442259366135554</v>
      </c>
      <c r="C443" s="389">
        <f t="shared" ca="1" si="27"/>
        <v>4.4969983291309606E-2</v>
      </c>
      <c r="D443" s="390">
        <f t="shared" ca="1" si="28"/>
        <v>0.98832773495460902</v>
      </c>
      <c r="E443" s="391" cm="1">
        <f t="array" aca="1" ref="E443" ca="1">(SUMPRODUCT($B$13:$F$13*D443/(1+B443)^$B$14:$F$14)+($F$13*D443*(1+C443))/(B443-C443)/(1+B443)^$F$14-$B$15+$B$16)/$B$17</f>
        <v>1055.1228306648536</v>
      </c>
      <c r="F443" s="304"/>
      <c r="G443" s="304"/>
      <c r="H443" s="304"/>
      <c r="I443" s="304"/>
      <c r="J443" s="304"/>
      <c r="K443" s="304"/>
      <c r="L443" s="304"/>
      <c r="M443" s="304"/>
      <c r="N443" s="304"/>
      <c r="O443" s="304"/>
      <c r="P443" s="304"/>
      <c r="Q443" s="304"/>
    </row>
    <row r="444" spans="1:17" ht="13.8" x14ac:dyDescent="0.3">
      <c r="A444" s="388">
        <f t="shared" si="25"/>
        <v>422</v>
      </c>
      <c r="B444" s="389">
        <f t="shared" ca="1" si="26"/>
        <v>0.12330317097106845</v>
      </c>
      <c r="C444" s="389">
        <f t="shared" ca="1" si="27"/>
        <v>4.8728908802402833E-2</v>
      </c>
      <c r="D444" s="390">
        <f t="shared" ca="1" si="28"/>
        <v>0.87961231066179812</v>
      </c>
      <c r="E444" s="391" cm="1">
        <f t="array" aca="1" ref="E444" ca="1">(SUMPRODUCT($B$13:$F$13*D444/(1+B444)^$B$14:$F$14)+($F$13*D444*(1+C444))/(B444-C444)/(1+B444)^$F$14-$B$15+$B$16)/$B$17</f>
        <v>1268.54755309967</v>
      </c>
      <c r="F444" s="304"/>
      <c r="G444" s="304"/>
      <c r="H444" s="304"/>
      <c r="I444" s="304"/>
      <c r="J444" s="304"/>
      <c r="K444" s="304"/>
      <c r="L444" s="304"/>
      <c r="M444" s="304"/>
      <c r="N444" s="304"/>
      <c r="O444" s="304"/>
      <c r="P444" s="304"/>
      <c r="Q444" s="304"/>
    </row>
    <row r="445" spans="1:17" ht="13.8" x14ac:dyDescent="0.3">
      <c r="A445" s="388">
        <f t="shared" si="25"/>
        <v>423</v>
      </c>
      <c r="B445" s="389">
        <f t="shared" ca="1" si="26"/>
        <v>0.11628334029994895</v>
      </c>
      <c r="C445" s="389">
        <f t="shared" ca="1" si="27"/>
        <v>4.401572893646765E-2</v>
      </c>
      <c r="D445" s="390">
        <f t="shared" ca="1" si="28"/>
        <v>0.84055094677405917</v>
      </c>
      <c r="E445" s="391" cm="1">
        <f t="array" aca="1" ref="E445" ca="1">(SUMPRODUCT($B$13:$F$13*D445/(1+B445)^$B$14:$F$14)+($F$13*D445*(1+C445))/(B445-C445)/(1+B445)^$F$14-$B$15+$B$16)/$B$17</f>
        <v>1271.8820313656377</v>
      </c>
      <c r="F445" s="304"/>
      <c r="G445" s="304"/>
      <c r="H445" s="304"/>
      <c r="I445" s="304"/>
      <c r="J445" s="304"/>
      <c r="K445" s="304"/>
      <c r="L445" s="304"/>
      <c r="M445" s="304"/>
      <c r="N445" s="304"/>
      <c r="O445" s="304"/>
      <c r="P445" s="304"/>
      <c r="Q445" s="304"/>
    </row>
    <row r="446" spans="1:17" ht="13.8" x14ac:dyDescent="0.3">
      <c r="A446" s="388">
        <f t="shared" si="25"/>
        <v>424</v>
      </c>
      <c r="B446" s="389">
        <f t="shared" ca="1" si="26"/>
        <v>0.10744918555675659</v>
      </c>
      <c r="C446" s="389">
        <f t="shared" ca="1" si="27"/>
        <v>4.5613014216639713E-2</v>
      </c>
      <c r="D446" s="390">
        <f t="shared" ca="1" si="28"/>
        <v>0.75041253353029236</v>
      </c>
      <c r="E446" s="391" cm="1">
        <f t="array" aca="1" ref="E446" ca="1">(SUMPRODUCT($B$13:$F$13*D446/(1+B446)^$B$14:$F$14)+($F$13*D446*(1+C446))/(B446-C446)/(1+B446)^$F$14-$B$15+$B$16)/$B$17</f>
        <v>1334.1231107257058</v>
      </c>
      <c r="F446" s="304"/>
      <c r="G446" s="304"/>
      <c r="H446" s="304"/>
      <c r="I446" s="304"/>
      <c r="J446" s="304"/>
      <c r="K446" s="304"/>
      <c r="L446" s="304"/>
      <c r="M446" s="304"/>
      <c r="N446" s="304"/>
      <c r="O446" s="304"/>
      <c r="P446" s="304"/>
      <c r="Q446" s="304"/>
    </row>
    <row r="447" spans="1:17" ht="13.8" x14ac:dyDescent="0.3">
      <c r="A447" s="388">
        <f t="shared" si="25"/>
        <v>425</v>
      </c>
      <c r="B447" s="389">
        <f t="shared" ca="1" si="26"/>
        <v>0.11754777239358778</v>
      </c>
      <c r="C447" s="389">
        <f t="shared" ca="1" si="27"/>
        <v>5.7260580408472456E-2</v>
      </c>
      <c r="D447" s="390">
        <f t="shared" ca="1" si="28"/>
        <v>1.0469303143568798</v>
      </c>
      <c r="E447" s="391" cm="1">
        <f t="array" aca="1" ref="E447" ca="1">(SUMPRODUCT($B$13:$F$13*D447/(1+B447)^$B$14:$F$14)+($F$13*D447*(1+C447))/(B447-C447)/(1+B447)^$F$14-$B$15+$B$16)/$B$17</f>
        <v>1860.3822932842529</v>
      </c>
      <c r="F447" s="304"/>
      <c r="G447" s="304"/>
      <c r="H447" s="304"/>
      <c r="I447" s="304"/>
      <c r="J447" s="304"/>
      <c r="K447" s="304"/>
      <c r="L447" s="304"/>
      <c r="M447" s="304"/>
      <c r="N447" s="304"/>
      <c r="O447" s="304"/>
      <c r="P447" s="304"/>
      <c r="Q447" s="304"/>
    </row>
    <row r="448" spans="1:17" ht="13.8" x14ac:dyDescent="0.3">
      <c r="A448" s="388">
        <f t="shared" si="25"/>
        <v>426</v>
      </c>
      <c r="B448" s="389">
        <f t="shared" ca="1" si="26"/>
        <v>0.13207834910980432</v>
      </c>
      <c r="C448" s="389">
        <f t="shared" ca="1" si="27"/>
        <v>4.2533831028528001E-2</v>
      </c>
      <c r="D448" s="390">
        <f t="shared" ca="1" si="28"/>
        <v>0.97700705636564456</v>
      </c>
      <c r="E448" s="391" cm="1">
        <f t="array" aca="1" ref="E448" ca="1">(SUMPRODUCT($B$13:$F$13*D448/(1+B448)^$B$14:$F$14)+($F$13*D448*(1+C448))/(B448-C448)/(1+B448)^$F$14-$B$15+$B$16)/$B$17</f>
        <v>1178.6954401455</v>
      </c>
      <c r="F448" s="304"/>
      <c r="G448" s="304"/>
      <c r="H448" s="304"/>
      <c r="I448" s="304"/>
      <c r="J448" s="304"/>
      <c r="K448" s="304"/>
      <c r="L448" s="304"/>
      <c r="M448" s="304"/>
      <c r="N448" s="304"/>
      <c r="O448" s="304"/>
      <c r="P448" s="304"/>
      <c r="Q448" s="304"/>
    </row>
    <row r="449" spans="1:17" ht="13.8" x14ac:dyDescent="0.3">
      <c r="A449" s="388">
        <f t="shared" si="25"/>
        <v>427</v>
      </c>
      <c r="B449" s="389">
        <f t="shared" ca="1" si="26"/>
        <v>0.13142827158464315</v>
      </c>
      <c r="C449" s="389">
        <f t="shared" ca="1" si="27"/>
        <v>4.2706664138295491E-2</v>
      </c>
      <c r="D449" s="390">
        <f t="shared" ca="1" si="28"/>
        <v>1.0508186978738165</v>
      </c>
      <c r="E449" s="391" cm="1">
        <f t="array" aca="1" ref="E449" ca="1">(SUMPRODUCT($B$13:$F$13*D449/(1+B449)^$B$14:$F$14)+($F$13*D449*(1+C449))/(B449-C449)/(1+B449)^$F$14-$B$15+$B$16)/$B$17</f>
        <v>1283.7293823529626</v>
      </c>
      <c r="F449" s="304"/>
      <c r="G449" s="304"/>
      <c r="H449" s="304"/>
      <c r="I449" s="304"/>
      <c r="J449" s="304"/>
      <c r="K449" s="304"/>
      <c r="L449" s="304"/>
      <c r="M449" s="304"/>
      <c r="N449" s="304"/>
      <c r="O449" s="304"/>
      <c r="P449" s="304"/>
      <c r="Q449" s="304"/>
    </row>
    <row r="450" spans="1:17" ht="13.8" x14ac:dyDescent="0.3">
      <c r="A450" s="388">
        <f t="shared" si="25"/>
        <v>428</v>
      </c>
      <c r="B450" s="389">
        <f t="shared" ca="1" si="26"/>
        <v>0.12379054515256048</v>
      </c>
      <c r="C450" s="389">
        <f t="shared" ca="1" si="27"/>
        <v>5.2108705275266787E-2</v>
      </c>
      <c r="D450" s="390">
        <f t="shared" ca="1" si="28"/>
        <v>0.98916667096577682</v>
      </c>
      <c r="E450" s="391" cm="1">
        <f t="array" aca="1" ref="E450" ca="1">(SUMPRODUCT($B$13:$F$13*D450/(1+B450)^$B$14:$F$14)+($F$13*D450*(1+C450))/(B450-C450)/(1+B450)^$F$14-$B$15+$B$16)/$B$17</f>
        <v>1479.5824743881994</v>
      </c>
      <c r="F450" s="304"/>
      <c r="G450" s="304"/>
      <c r="H450" s="304"/>
      <c r="I450" s="304"/>
      <c r="J450" s="304"/>
      <c r="K450" s="304"/>
      <c r="L450" s="304"/>
      <c r="M450" s="304"/>
      <c r="N450" s="304"/>
      <c r="O450" s="304"/>
      <c r="P450" s="304"/>
      <c r="Q450" s="304"/>
    </row>
    <row r="451" spans="1:17" ht="13.8" x14ac:dyDescent="0.3">
      <c r="A451" s="388">
        <f t="shared" si="25"/>
        <v>429</v>
      </c>
      <c r="B451" s="389">
        <f t="shared" ca="1" si="26"/>
        <v>0.13989413334879031</v>
      </c>
      <c r="C451" s="389">
        <f t="shared" ca="1" si="27"/>
        <v>3.8646129511159269E-2</v>
      </c>
      <c r="D451" s="390">
        <f t="shared" ca="1" si="28"/>
        <v>1.0256897021780298</v>
      </c>
      <c r="E451" s="391" cm="1">
        <f t="array" aca="1" ref="E451" ca="1">(SUMPRODUCT($B$13:$F$13*D451/(1+B451)^$B$14:$F$14)+($F$13*D451*(1+C451))/(B451-C451)/(1+B451)^$F$14-$B$15+$B$16)/$B$17</f>
        <v>1093.9189828862277</v>
      </c>
      <c r="F451" s="304"/>
      <c r="G451" s="304"/>
      <c r="H451" s="304"/>
      <c r="I451" s="304"/>
      <c r="J451" s="304"/>
      <c r="K451" s="304"/>
      <c r="L451" s="304"/>
      <c r="M451" s="304"/>
      <c r="N451" s="304"/>
      <c r="O451" s="304"/>
      <c r="P451" s="304"/>
      <c r="Q451" s="304"/>
    </row>
    <row r="452" spans="1:17" ht="13.8" x14ac:dyDescent="0.3">
      <c r="A452" s="388">
        <f t="shared" si="25"/>
        <v>430</v>
      </c>
      <c r="B452" s="389">
        <f t="shared" ca="1" si="26"/>
        <v>0.11740557027447415</v>
      </c>
      <c r="C452" s="389">
        <f t="shared" ca="1" si="27"/>
        <v>5.4881271944525523E-2</v>
      </c>
      <c r="D452" s="390">
        <f t="shared" ca="1" si="28"/>
        <v>0.98386118316695637</v>
      </c>
      <c r="E452" s="391" cm="1">
        <f t="array" aca="1" ref="E452" ca="1">(SUMPRODUCT($B$13:$F$13*D452/(1+B452)^$B$14:$F$14)+($F$13*D452*(1+C452))/(B452-C452)/(1+B452)^$F$14-$B$15+$B$16)/$B$17</f>
        <v>1691.2522487352555</v>
      </c>
      <c r="F452" s="304"/>
      <c r="G452" s="304"/>
      <c r="H452" s="304"/>
      <c r="I452" s="304"/>
      <c r="J452" s="304"/>
      <c r="K452" s="304"/>
      <c r="L452" s="304"/>
      <c r="M452" s="304"/>
      <c r="N452" s="304"/>
      <c r="O452" s="304"/>
      <c r="P452" s="304"/>
      <c r="Q452" s="304"/>
    </row>
    <row r="453" spans="1:17" ht="13.8" x14ac:dyDescent="0.3">
      <c r="A453" s="388">
        <f t="shared" si="25"/>
        <v>431</v>
      </c>
      <c r="B453" s="389">
        <f t="shared" ca="1" si="26"/>
        <v>0.12001347809804876</v>
      </c>
      <c r="C453" s="389">
        <f t="shared" ca="1" si="27"/>
        <v>6.906994708125376E-2</v>
      </c>
      <c r="D453" s="390">
        <f t="shared" ca="1" si="28"/>
        <v>1.0241108795352696</v>
      </c>
      <c r="E453" s="391" cm="1">
        <f t="array" aca="1" ref="E453" ca="1">(SUMPRODUCT($B$13:$F$13*D453/(1+B453)^$B$14:$F$14)+($F$13*D453*(1+C453))/(B453-C453)/(1+B453)^$F$14-$B$15+$B$16)/$B$17</f>
        <v>2095.2870839696257</v>
      </c>
      <c r="F453" s="304"/>
      <c r="G453" s="304"/>
      <c r="H453" s="304"/>
      <c r="I453" s="304"/>
      <c r="J453" s="304"/>
      <c r="K453" s="304"/>
      <c r="L453" s="304"/>
      <c r="M453" s="304"/>
      <c r="N453" s="304"/>
      <c r="O453" s="304"/>
      <c r="P453" s="304"/>
      <c r="Q453" s="304"/>
    </row>
    <row r="454" spans="1:17" ht="13.8" x14ac:dyDescent="0.3">
      <c r="A454" s="388">
        <f t="shared" si="25"/>
        <v>432</v>
      </c>
      <c r="B454" s="389">
        <f t="shared" ca="1" si="26"/>
        <v>0.11250532850801587</v>
      </c>
      <c r="C454" s="389">
        <f t="shared" ca="1" si="27"/>
        <v>5.0636843206591502E-2</v>
      </c>
      <c r="D454" s="390">
        <f t="shared" ca="1" si="28"/>
        <v>1.038067488073307</v>
      </c>
      <c r="E454" s="391" cm="1">
        <f t="array" aca="1" ref="E454" ca="1">(SUMPRODUCT($B$13:$F$13*D454/(1+B454)^$B$14:$F$14)+($F$13*D454*(1+C454))/(B454-C454)/(1+B454)^$F$14-$B$15+$B$16)/$B$17</f>
        <v>1832.4893253583341</v>
      </c>
      <c r="F454" s="304"/>
      <c r="G454" s="304"/>
      <c r="H454" s="304"/>
      <c r="I454" s="304"/>
      <c r="J454" s="304"/>
      <c r="K454" s="304"/>
      <c r="L454" s="304"/>
      <c r="M454" s="304"/>
      <c r="N454" s="304"/>
      <c r="O454" s="304"/>
      <c r="P454" s="304"/>
      <c r="Q454" s="304"/>
    </row>
    <row r="455" spans="1:17" ht="13.8" x14ac:dyDescent="0.3">
      <c r="A455" s="388">
        <f t="shared" si="25"/>
        <v>433</v>
      </c>
      <c r="B455" s="389">
        <f t="shared" ca="1" si="26"/>
        <v>0.12106937413390291</v>
      </c>
      <c r="C455" s="389">
        <f t="shared" ca="1" si="27"/>
        <v>5.1309678550417459E-2</v>
      </c>
      <c r="D455" s="390">
        <f t="shared" ca="1" si="28"/>
        <v>1.0752748852990308</v>
      </c>
      <c r="E455" s="391" cm="1">
        <f t="array" aca="1" ref="E455" ca="1">(SUMPRODUCT($B$13:$F$13*D455/(1+B455)^$B$14:$F$14)+($F$13*D455*(1+C455))/(B455-C455)/(1+B455)^$F$14-$B$15+$B$16)/$B$17</f>
        <v>1665.0837403784844</v>
      </c>
      <c r="F455" s="304"/>
      <c r="G455" s="304"/>
      <c r="H455" s="304"/>
      <c r="I455" s="304"/>
      <c r="J455" s="304"/>
      <c r="K455" s="304"/>
      <c r="L455" s="304"/>
      <c r="M455" s="304"/>
      <c r="N455" s="304"/>
      <c r="O455" s="304"/>
      <c r="P455" s="304"/>
      <c r="Q455" s="304"/>
    </row>
    <row r="456" spans="1:17" ht="13.8" x14ac:dyDescent="0.3">
      <c r="A456" s="388">
        <f t="shared" si="25"/>
        <v>434</v>
      </c>
      <c r="B456" s="389">
        <f t="shared" ca="1" si="26"/>
        <v>0.11460925730957576</v>
      </c>
      <c r="C456" s="389">
        <f t="shared" ca="1" si="27"/>
        <v>5.2219025854513802E-2</v>
      </c>
      <c r="D456" s="390">
        <f t="shared" ca="1" si="28"/>
        <v>1.047880038326467</v>
      </c>
      <c r="E456" s="391" cm="1">
        <f t="array" aca="1" ref="E456" ca="1">(SUMPRODUCT($B$13:$F$13*D456/(1+B456)^$B$14:$F$14)+($F$13*D456*(1+C456))/(B456-C456)/(1+B456)^$F$14-$B$15+$B$16)/$B$17</f>
        <v>1824.2126041663369</v>
      </c>
      <c r="F456" s="304"/>
      <c r="G456" s="304"/>
      <c r="H456" s="304"/>
      <c r="I456" s="304"/>
      <c r="J456" s="304"/>
      <c r="K456" s="304"/>
      <c r="L456" s="304"/>
      <c r="M456" s="304"/>
      <c r="N456" s="304"/>
      <c r="O456" s="304"/>
      <c r="P456" s="304"/>
      <c r="Q456" s="304"/>
    </row>
    <row r="457" spans="1:17" ht="13.8" x14ac:dyDescent="0.3">
      <c r="A457" s="388">
        <f t="shared" si="25"/>
        <v>435</v>
      </c>
      <c r="B457" s="389">
        <f t="shared" ca="1" si="26"/>
        <v>0.11427817883290385</v>
      </c>
      <c r="C457" s="389">
        <f t="shared" ca="1" si="27"/>
        <v>3.7206838722840613E-2</v>
      </c>
      <c r="D457" s="390">
        <f t="shared" ca="1" si="28"/>
        <v>0.89310146750971797</v>
      </c>
      <c r="E457" s="391" cm="1">
        <f t="array" aca="1" ref="E457" ca="1">(SUMPRODUCT($B$13:$F$13*D457/(1+B457)^$B$14:$F$14)+($F$13*D457*(1+C457))/(B457-C457)/(1+B457)^$F$14-$B$15+$B$16)/$B$17</f>
        <v>1289.8858033002591</v>
      </c>
      <c r="F457" s="304"/>
      <c r="G457" s="304"/>
      <c r="H457" s="304"/>
      <c r="I457" s="304"/>
      <c r="J457" s="304"/>
      <c r="K457" s="304"/>
      <c r="L457" s="304"/>
      <c r="M457" s="304"/>
      <c r="N457" s="304"/>
      <c r="O457" s="304"/>
      <c r="P457" s="304"/>
      <c r="Q457" s="304"/>
    </row>
    <row r="458" spans="1:17" ht="13.8" x14ac:dyDescent="0.3">
      <c r="A458" s="388">
        <f t="shared" si="25"/>
        <v>436</v>
      </c>
      <c r="B458" s="389">
        <f t="shared" ca="1" si="26"/>
        <v>0.11439366321190338</v>
      </c>
      <c r="C458" s="389">
        <f t="shared" ca="1" si="27"/>
        <v>4.4269952323281563E-2</v>
      </c>
      <c r="D458" s="390">
        <f t="shared" ca="1" si="28"/>
        <v>0.92181821739986392</v>
      </c>
      <c r="E458" s="391" cm="1">
        <f t="array" aca="1" ref="E458" ca="1">(SUMPRODUCT($B$13:$F$13*D458/(1+B458)^$B$14:$F$14)+($F$13*D458*(1+C458))/(B458-C458)/(1+B458)^$F$14-$B$15+$B$16)/$B$17</f>
        <v>1445.1344240836743</v>
      </c>
      <c r="F458" s="304"/>
      <c r="G458" s="304"/>
      <c r="H458" s="304"/>
      <c r="I458" s="304"/>
      <c r="J458" s="304"/>
      <c r="K458" s="304"/>
      <c r="L458" s="304"/>
      <c r="M458" s="304"/>
      <c r="N458" s="304"/>
      <c r="O458" s="304"/>
      <c r="P458" s="304"/>
      <c r="Q458" s="304"/>
    </row>
    <row r="459" spans="1:17" ht="13.8" x14ac:dyDescent="0.3">
      <c r="A459" s="388">
        <f t="shared" si="25"/>
        <v>437</v>
      </c>
      <c r="B459" s="389">
        <f t="shared" ca="1" si="26"/>
        <v>0.12400814420025091</v>
      </c>
      <c r="C459" s="389">
        <f t="shared" ca="1" si="27"/>
        <v>4.953200101242837E-2</v>
      </c>
      <c r="D459" s="390">
        <f t="shared" ca="1" si="28"/>
        <v>1.1210928092704928</v>
      </c>
      <c r="E459" s="391" cm="1">
        <f t="array" aca="1" ref="E459" ca="1">(SUMPRODUCT($B$13:$F$13*D459/(1+B459)^$B$14:$F$14)+($F$13*D459*(1+C459))/(B459-C459)/(1+B459)^$F$14-$B$15+$B$16)/$B$17</f>
        <v>1628.0141613101744</v>
      </c>
      <c r="F459" s="304"/>
      <c r="G459" s="304"/>
      <c r="H459" s="304"/>
      <c r="I459" s="304"/>
      <c r="J459" s="304"/>
      <c r="K459" s="304"/>
      <c r="L459" s="304"/>
      <c r="M459" s="304"/>
      <c r="N459" s="304"/>
      <c r="O459" s="304"/>
      <c r="P459" s="304"/>
      <c r="Q459" s="304"/>
    </row>
    <row r="460" spans="1:17" ht="13.8" x14ac:dyDescent="0.3">
      <c r="A460" s="388">
        <f t="shared" si="25"/>
        <v>438</v>
      </c>
      <c r="B460" s="389">
        <f t="shared" ca="1" si="26"/>
        <v>0.13960655162601815</v>
      </c>
      <c r="C460" s="389">
        <f t="shared" ca="1" si="27"/>
        <v>4.0256044100463829E-2</v>
      </c>
      <c r="D460" s="390">
        <f t="shared" ca="1" si="28"/>
        <v>1.1442575124610912</v>
      </c>
      <c r="E460" s="391" cm="1">
        <f t="array" aca="1" ref="E460" ca="1">(SUMPRODUCT($B$13:$F$13*D460/(1+B460)^$B$14:$F$14)+($F$13*D460*(1+C460))/(B460-C460)/(1+B460)^$F$14-$B$15+$B$16)/$B$17</f>
        <v>1245.8568780740079</v>
      </c>
      <c r="F460" s="304"/>
      <c r="G460" s="304"/>
      <c r="H460" s="304"/>
      <c r="I460" s="304"/>
      <c r="J460" s="304"/>
      <c r="K460" s="304"/>
      <c r="L460" s="304"/>
      <c r="M460" s="304"/>
      <c r="N460" s="304"/>
      <c r="O460" s="304"/>
      <c r="P460" s="304"/>
      <c r="Q460" s="304"/>
    </row>
    <row r="461" spans="1:17" ht="13.8" x14ac:dyDescent="0.3">
      <c r="A461" s="388">
        <f t="shared" si="25"/>
        <v>439</v>
      </c>
      <c r="B461" s="389">
        <f t="shared" ca="1" si="26"/>
        <v>0.13579789618095586</v>
      </c>
      <c r="C461" s="389">
        <f t="shared" ca="1" si="27"/>
        <v>3.8509315703808819E-2</v>
      </c>
      <c r="D461" s="390">
        <f t="shared" ca="1" si="28"/>
        <v>1.0948256810245149</v>
      </c>
      <c r="E461" s="391" cm="1">
        <f t="array" aca="1" ref="E461" ca="1">(SUMPRODUCT($B$13:$F$13*D461/(1+B461)^$B$14:$F$14)+($F$13*D461*(1+C461))/(B461-C461)/(1+B461)^$F$14-$B$15+$B$16)/$B$17</f>
        <v>1224.8973536037036</v>
      </c>
      <c r="F461" s="304"/>
      <c r="G461" s="304"/>
      <c r="H461" s="304"/>
      <c r="I461" s="304"/>
      <c r="J461" s="304"/>
      <c r="K461" s="304"/>
      <c r="L461" s="304"/>
      <c r="M461" s="304"/>
      <c r="N461" s="304"/>
      <c r="O461" s="304"/>
      <c r="P461" s="304"/>
      <c r="Q461" s="304"/>
    </row>
    <row r="462" spans="1:17" ht="13.8" x14ac:dyDescent="0.3">
      <c r="A462" s="388">
        <f t="shared" si="25"/>
        <v>440</v>
      </c>
      <c r="B462" s="389">
        <f t="shared" ca="1" si="26"/>
        <v>0.10205932852192416</v>
      </c>
      <c r="C462" s="389">
        <f t="shared" ca="1" si="27"/>
        <v>4.5678793829987137E-2</v>
      </c>
      <c r="D462" s="390">
        <f t="shared" ca="1" si="28"/>
        <v>0.94778858684765876</v>
      </c>
      <c r="E462" s="391" cm="1">
        <f t="array" aca="1" ref="E462" ca="1">(SUMPRODUCT($B$13:$F$13*D462/(1+B462)^$B$14:$F$14)+($F$13*D462*(1+C462))/(B462-C462)/(1+B462)^$F$14-$B$15+$B$16)/$B$17</f>
        <v>1874.8692202530151</v>
      </c>
      <c r="F462" s="304"/>
      <c r="G462" s="304"/>
      <c r="H462" s="304"/>
      <c r="I462" s="304"/>
      <c r="J462" s="304"/>
      <c r="K462" s="304"/>
      <c r="L462" s="304"/>
      <c r="M462" s="304"/>
      <c r="N462" s="304"/>
      <c r="O462" s="304"/>
      <c r="P462" s="304"/>
      <c r="Q462" s="304"/>
    </row>
    <row r="463" spans="1:17" ht="13.8" x14ac:dyDescent="0.3">
      <c r="A463" s="388">
        <f t="shared" si="25"/>
        <v>441</v>
      </c>
      <c r="B463" s="389">
        <f t="shared" ca="1" si="26"/>
        <v>0.13139089814757302</v>
      </c>
      <c r="C463" s="389">
        <f t="shared" ca="1" si="27"/>
        <v>4.6221613325384339E-2</v>
      </c>
      <c r="D463" s="390">
        <f t="shared" ca="1" si="28"/>
        <v>1.1002059745812485</v>
      </c>
      <c r="E463" s="391" cm="1">
        <f t="array" aca="1" ref="E463" ca="1">(SUMPRODUCT($B$13:$F$13*D463/(1+B463)^$B$14:$F$14)+($F$13*D463*(1+C463))/(B463-C463)/(1+B463)^$F$14-$B$15+$B$16)/$B$17</f>
        <v>1392.9670096222599</v>
      </c>
      <c r="F463" s="304"/>
      <c r="G463" s="304"/>
      <c r="H463" s="304"/>
      <c r="I463" s="304"/>
      <c r="J463" s="304"/>
      <c r="K463" s="304"/>
      <c r="L463" s="304"/>
      <c r="M463" s="304"/>
      <c r="N463" s="304"/>
      <c r="O463" s="304"/>
      <c r="P463" s="304"/>
      <c r="Q463" s="304"/>
    </row>
    <row r="464" spans="1:17" ht="13.8" x14ac:dyDescent="0.3">
      <c r="A464" s="388">
        <f t="shared" si="25"/>
        <v>442</v>
      </c>
      <c r="B464" s="389">
        <f t="shared" ca="1" si="26"/>
        <v>0.12004496936368057</v>
      </c>
      <c r="C464" s="389">
        <f t="shared" ca="1" si="27"/>
        <v>5.3871997916076081E-2</v>
      </c>
      <c r="D464" s="390">
        <f t="shared" ca="1" si="28"/>
        <v>0.85183938301614481</v>
      </c>
      <c r="E464" s="391" cm="1">
        <f t="array" aca="1" ref="E464" ca="1">(SUMPRODUCT($B$13:$F$13*D464/(1+B464)^$B$14:$F$14)+($F$13*D464*(1+C464))/(B464-C464)/(1+B464)^$F$14-$B$15+$B$16)/$B$17</f>
        <v>1375.3533763523717</v>
      </c>
      <c r="F464" s="304"/>
      <c r="G464" s="304"/>
      <c r="H464" s="304"/>
      <c r="I464" s="304"/>
      <c r="J464" s="304"/>
      <c r="K464" s="304"/>
      <c r="L464" s="304"/>
      <c r="M464" s="304"/>
      <c r="N464" s="304"/>
      <c r="O464" s="304"/>
      <c r="P464" s="304"/>
      <c r="Q464" s="304"/>
    </row>
    <row r="465" spans="1:17" ht="13.8" x14ac:dyDescent="0.3">
      <c r="A465" s="388">
        <f t="shared" si="25"/>
        <v>443</v>
      </c>
      <c r="B465" s="389">
        <f t="shared" ca="1" si="26"/>
        <v>0.14285602003531861</v>
      </c>
      <c r="C465" s="389">
        <f t="shared" ca="1" si="27"/>
        <v>5.2656558609764204E-2</v>
      </c>
      <c r="D465" s="390">
        <f t="shared" ca="1" si="28"/>
        <v>1.0701605104249687</v>
      </c>
      <c r="E465" s="391" cm="1">
        <f t="array" aca="1" ref="E465" ca="1">(SUMPRODUCT($B$13:$F$13*D465/(1+B465)^$B$14:$F$14)+($F$13*D465*(1+C465))/(B465-C465)/(1+B465)^$F$14-$B$15+$B$16)/$B$17</f>
        <v>1245.0696774744877</v>
      </c>
      <c r="F465" s="304"/>
      <c r="G465" s="304"/>
      <c r="H465" s="304"/>
      <c r="I465" s="304"/>
      <c r="J465" s="304"/>
      <c r="K465" s="304"/>
      <c r="L465" s="304"/>
      <c r="M465" s="304"/>
      <c r="N465" s="304"/>
      <c r="O465" s="304"/>
      <c r="P465" s="304"/>
      <c r="Q465" s="304"/>
    </row>
    <row r="466" spans="1:17" ht="13.8" x14ac:dyDescent="0.3">
      <c r="A466" s="388">
        <f t="shared" si="25"/>
        <v>444</v>
      </c>
      <c r="B466" s="389">
        <f t="shared" ca="1" si="26"/>
        <v>0.12187912618621397</v>
      </c>
      <c r="C466" s="389">
        <f t="shared" ca="1" si="27"/>
        <v>5.2444347577220177E-2</v>
      </c>
      <c r="D466" s="390">
        <f t="shared" ca="1" si="28"/>
        <v>0.8562739045281067</v>
      </c>
      <c r="E466" s="391" cm="1">
        <f t="array" aca="1" ref="E466" ca="1">(SUMPRODUCT($B$13:$F$13*D466/(1+B466)^$B$14:$F$14)+($F$13*D466*(1+C466))/(B466-C466)/(1+B466)^$F$14-$B$15+$B$16)/$B$17</f>
        <v>1318.1697412493463</v>
      </c>
      <c r="F466" s="304"/>
      <c r="G466" s="304"/>
      <c r="H466" s="304"/>
      <c r="I466" s="304"/>
      <c r="J466" s="304"/>
      <c r="K466" s="304"/>
      <c r="L466" s="304"/>
      <c r="M466" s="304"/>
      <c r="N466" s="304"/>
      <c r="O466" s="304"/>
      <c r="P466" s="304"/>
      <c r="Q466" s="304"/>
    </row>
    <row r="467" spans="1:17" ht="13.8" x14ac:dyDescent="0.3">
      <c r="A467" s="388">
        <f t="shared" si="25"/>
        <v>445</v>
      </c>
      <c r="B467" s="389">
        <f t="shared" ca="1" si="26"/>
        <v>0.11384489918866098</v>
      </c>
      <c r="C467" s="389">
        <f t="shared" ca="1" si="27"/>
        <v>5.6834428774892892E-2</v>
      </c>
      <c r="D467" s="390">
        <f t="shared" ca="1" si="28"/>
        <v>0.97439479868008327</v>
      </c>
      <c r="E467" s="391" cm="1">
        <f t="array" aca="1" ref="E467" ca="1">(SUMPRODUCT($B$13:$F$13*D467/(1+B467)^$B$14:$F$14)+($F$13*D467*(1+C467))/(B467-C467)/(1+B467)^$F$14-$B$15+$B$16)/$B$17</f>
        <v>1837.6309632909788</v>
      </c>
      <c r="F467" s="304"/>
      <c r="G467" s="304"/>
      <c r="H467" s="304"/>
      <c r="I467" s="304"/>
      <c r="J467" s="304"/>
      <c r="K467" s="304"/>
      <c r="L467" s="304"/>
      <c r="M467" s="304"/>
      <c r="N467" s="304"/>
      <c r="O467" s="304"/>
      <c r="P467" s="304"/>
      <c r="Q467" s="304"/>
    </row>
    <row r="468" spans="1:17" ht="13.8" x14ac:dyDescent="0.3">
      <c r="A468" s="388">
        <f t="shared" si="25"/>
        <v>446</v>
      </c>
      <c r="B468" s="389">
        <f t="shared" ca="1" si="26"/>
        <v>0.12732659295383428</v>
      </c>
      <c r="C468" s="389">
        <f t="shared" ca="1" si="27"/>
        <v>4.5052404104545161E-2</v>
      </c>
      <c r="D468" s="390">
        <f t="shared" ca="1" si="28"/>
        <v>0.99872544118491058</v>
      </c>
      <c r="E468" s="391" cm="1">
        <f t="array" aca="1" ref="E468" ca="1">(SUMPRODUCT($B$13:$F$13*D468/(1+B468)^$B$14:$F$14)+($F$13*D468*(1+C468))/(B468-C468)/(1+B468)^$F$14-$B$15+$B$16)/$B$17</f>
        <v>1314.0490391844094</v>
      </c>
      <c r="F468" s="304"/>
      <c r="G468" s="304"/>
      <c r="H468" s="304"/>
      <c r="I468" s="304"/>
      <c r="J468" s="304"/>
      <c r="K468" s="304"/>
      <c r="L468" s="304"/>
      <c r="M468" s="304"/>
      <c r="N468" s="304"/>
      <c r="O468" s="304"/>
      <c r="P468" s="304"/>
      <c r="Q468" s="304"/>
    </row>
    <row r="469" spans="1:17" ht="13.8" x14ac:dyDescent="0.3">
      <c r="A469" s="388">
        <f t="shared" si="25"/>
        <v>447</v>
      </c>
      <c r="B469" s="389">
        <f t="shared" ca="1" si="26"/>
        <v>0.12177988865607943</v>
      </c>
      <c r="C469" s="389">
        <f t="shared" ca="1" si="27"/>
        <v>5.3633040163948764E-2</v>
      </c>
      <c r="D469" s="390">
        <f t="shared" ca="1" si="28"/>
        <v>1.056902487860425</v>
      </c>
      <c r="E469" s="391" cm="1">
        <f t="array" aca="1" ref="E469" ca="1">(SUMPRODUCT($B$13:$F$13*D469/(1+B469)^$B$14:$F$14)+($F$13*D469*(1+C469))/(B469-C469)/(1+B469)^$F$14-$B$15+$B$16)/$B$17</f>
        <v>1665.3835732007155</v>
      </c>
      <c r="F469" s="304"/>
      <c r="G469" s="304"/>
      <c r="H469" s="304"/>
      <c r="I469" s="304"/>
      <c r="J469" s="304"/>
      <c r="K469" s="304"/>
      <c r="L469" s="304"/>
      <c r="M469" s="304"/>
      <c r="N469" s="304"/>
      <c r="O469" s="304"/>
      <c r="P469" s="304"/>
      <c r="Q469" s="304"/>
    </row>
    <row r="470" spans="1:17" ht="13.8" x14ac:dyDescent="0.3">
      <c r="A470" s="388">
        <f t="shared" si="25"/>
        <v>448</v>
      </c>
      <c r="B470" s="389">
        <f t="shared" ca="1" si="26"/>
        <v>0.1070379068838663</v>
      </c>
      <c r="C470" s="389">
        <f t="shared" ca="1" si="27"/>
        <v>5.7230461862525971E-2</v>
      </c>
      <c r="D470" s="390">
        <f t="shared" ca="1" si="28"/>
        <v>1.1712596999537939</v>
      </c>
      <c r="E470" s="391" cm="1">
        <f t="array" aca="1" ref="E470" ca="1">(SUMPRODUCT($B$13:$F$13*D470/(1+B470)^$B$14:$F$14)+($F$13*D470*(1+C470))/(B470-C470)/(1+B470)^$F$14-$B$15+$B$16)/$B$17</f>
        <v>2557.8818583855741</v>
      </c>
      <c r="F470" s="304"/>
      <c r="G470" s="304"/>
      <c r="H470" s="304"/>
      <c r="I470" s="304"/>
      <c r="J470" s="304"/>
      <c r="K470" s="304"/>
      <c r="L470" s="304"/>
      <c r="M470" s="304"/>
      <c r="N470" s="304"/>
      <c r="O470" s="304"/>
      <c r="P470" s="304"/>
      <c r="Q470" s="304"/>
    </row>
    <row r="471" spans="1:17" ht="13.8" x14ac:dyDescent="0.3">
      <c r="A471" s="388">
        <f t="shared" si="25"/>
        <v>449</v>
      </c>
      <c r="B471" s="389">
        <f t="shared" ca="1" si="26"/>
        <v>0.13221270900516399</v>
      </c>
      <c r="C471" s="389">
        <f t="shared" ca="1" si="27"/>
        <v>4.7493291324845616E-2</v>
      </c>
      <c r="D471" s="390">
        <f t="shared" ca="1" si="28"/>
        <v>1.0850731477641322</v>
      </c>
      <c r="E471" s="391" cm="1">
        <f t="array" aca="1" ref="E471" ca="1">(SUMPRODUCT($B$13:$F$13*D471/(1+B471)^$B$14:$F$14)+($F$13*D471*(1+C471))/(B471-C471)/(1+B471)^$F$14-$B$15+$B$16)/$B$17</f>
        <v>1375.6664575036143</v>
      </c>
      <c r="F471" s="304"/>
      <c r="G471" s="304"/>
      <c r="H471" s="304"/>
      <c r="I471" s="304"/>
      <c r="J471" s="304"/>
      <c r="K471" s="304"/>
      <c r="L471" s="304"/>
      <c r="M471" s="304"/>
      <c r="N471" s="304"/>
      <c r="O471" s="304"/>
      <c r="P471" s="304"/>
      <c r="Q471" s="304"/>
    </row>
    <row r="472" spans="1:17" ht="13.8" x14ac:dyDescent="0.3">
      <c r="A472" s="388">
        <f t="shared" ref="A472:A535" si="29">ROW()-22</f>
        <v>450</v>
      </c>
      <c r="B472" s="389">
        <f t="shared" ref="B472:B535" ca="1" si="30">_xlfn.NORM.INV(RAND(),$B$6,$C$6)</f>
        <v>0.11683839771406647</v>
      </c>
      <c r="C472" s="389">
        <f t="shared" ref="C472:C535" ca="1" si="31">MIN(_xlfn.NORM.INV(RAND(),$B$7,$C$7),B472-0.005)</f>
        <v>4.919869556840116E-2</v>
      </c>
      <c r="D472" s="390">
        <f t="shared" ref="D472:D535" ca="1" si="32">_xlfn.NORM.INV(RAND(),$B$8,$C$8)</f>
        <v>0.92045544578408878</v>
      </c>
      <c r="E472" s="391" cm="1">
        <f t="array" aca="1" ref="E472" ca="1">(SUMPRODUCT($B$13:$F$13*D472/(1+B472)^$B$14:$F$14)+($F$13*D472*(1+C472))/(B472-C472)/(1+B472)^$F$14-$B$15+$B$16)/$B$17</f>
        <v>1477.0388102094853</v>
      </c>
      <c r="F472" s="304"/>
      <c r="G472" s="304"/>
      <c r="H472" s="304"/>
      <c r="I472" s="304"/>
      <c r="J472" s="304"/>
      <c r="K472" s="304"/>
      <c r="L472" s="304"/>
      <c r="M472" s="304"/>
      <c r="N472" s="304"/>
      <c r="O472" s="304"/>
      <c r="P472" s="304"/>
      <c r="Q472" s="304"/>
    </row>
    <row r="473" spans="1:17" ht="13.8" x14ac:dyDescent="0.3">
      <c r="A473" s="388">
        <f t="shared" si="29"/>
        <v>451</v>
      </c>
      <c r="B473" s="389">
        <f t="shared" ca="1" si="30"/>
        <v>0.12004047531025258</v>
      </c>
      <c r="C473" s="389">
        <f t="shared" ca="1" si="31"/>
        <v>5.6705030802918714E-2</v>
      </c>
      <c r="D473" s="390">
        <f t="shared" ca="1" si="32"/>
        <v>0.8053969618274357</v>
      </c>
      <c r="E473" s="391" cm="1">
        <f t="array" aca="1" ref="E473" ca="1">(SUMPRODUCT($B$13:$F$13*D473/(1+B473)^$B$14:$F$14)+($F$13*D473*(1+C473))/(B473-C473)/(1+B473)^$F$14-$B$15+$B$16)/$B$17</f>
        <v>1348.7083674132239</v>
      </c>
      <c r="F473" s="304"/>
      <c r="G473" s="304"/>
      <c r="H473" s="304"/>
      <c r="I473" s="304"/>
      <c r="J473" s="304"/>
      <c r="K473" s="304"/>
      <c r="L473" s="304"/>
      <c r="M473" s="304"/>
      <c r="N473" s="304"/>
      <c r="O473" s="304"/>
      <c r="P473" s="304"/>
      <c r="Q473" s="304"/>
    </row>
    <row r="474" spans="1:17" ht="13.8" x14ac:dyDescent="0.3">
      <c r="A474" s="388">
        <f t="shared" si="29"/>
        <v>452</v>
      </c>
      <c r="B474" s="389">
        <f t="shared" ca="1" si="30"/>
        <v>0.12475953391283599</v>
      </c>
      <c r="C474" s="389">
        <f t="shared" ca="1" si="31"/>
        <v>4.5785330250567337E-2</v>
      </c>
      <c r="D474" s="390">
        <f t="shared" ca="1" si="32"/>
        <v>1.1112330965193005</v>
      </c>
      <c r="E474" s="391" cm="1">
        <f t="array" aca="1" ref="E474" ca="1">(SUMPRODUCT($B$13:$F$13*D474/(1+B474)^$B$14:$F$14)+($F$13*D474*(1+C474))/(B474-C474)/(1+B474)^$F$14-$B$15+$B$16)/$B$17</f>
        <v>1531.3056046673778</v>
      </c>
      <c r="F474" s="304"/>
      <c r="G474" s="304"/>
      <c r="H474" s="304"/>
      <c r="I474" s="304"/>
      <c r="J474" s="304"/>
      <c r="K474" s="304"/>
      <c r="L474" s="304"/>
      <c r="M474" s="304"/>
      <c r="N474" s="304"/>
      <c r="O474" s="304"/>
      <c r="P474" s="304"/>
      <c r="Q474" s="304"/>
    </row>
    <row r="475" spans="1:17" ht="13.8" x14ac:dyDescent="0.3">
      <c r="A475" s="388">
        <f t="shared" si="29"/>
        <v>453</v>
      </c>
      <c r="B475" s="389">
        <f t="shared" ca="1" si="30"/>
        <v>0.11992271910049172</v>
      </c>
      <c r="C475" s="389">
        <f t="shared" ca="1" si="31"/>
        <v>5.3582519002972333E-2</v>
      </c>
      <c r="D475" s="390">
        <f t="shared" ca="1" si="32"/>
        <v>0.84578590099728423</v>
      </c>
      <c r="E475" s="391" cm="1">
        <f t="array" aca="1" ref="E475" ca="1">(SUMPRODUCT($B$13:$F$13*D475/(1+B475)^$B$14:$F$14)+($F$13*D475*(1+C475))/(B475-C475)/(1+B475)^$F$14-$B$15+$B$16)/$B$17</f>
        <v>1362.7733007460547</v>
      </c>
      <c r="F475" s="304"/>
      <c r="G475" s="304"/>
      <c r="H475" s="304"/>
      <c r="I475" s="304"/>
      <c r="J475" s="304"/>
      <c r="K475" s="304"/>
      <c r="L475" s="304"/>
      <c r="M475" s="304"/>
      <c r="N475" s="304"/>
      <c r="O475" s="304"/>
      <c r="P475" s="304"/>
      <c r="Q475" s="304"/>
    </row>
    <row r="476" spans="1:17" ht="13.8" x14ac:dyDescent="0.3">
      <c r="A476" s="388">
        <f t="shared" si="29"/>
        <v>454</v>
      </c>
      <c r="B476" s="389">
        <f t="shared" ca="1" si="30"/>
        <v>0.11931046190908846</v>
      </c>
      <c r="C476" s="389">
        <f t="shared" ca="1" si="31"/>
        <v>5.1979778642905164E-2</v>
      </c>
      <c r="D476" s="390">
        <f t="shared" ca="1" si="32"/>
        <v>1.1219118383526698</v>
      </c>
      <c r="E476" s="391" cm="1">
        <f t="array" aca="1" ref="E476" ca="1">(SUMPRODUCT($B$13:$F$13*D476/(1+B476)^$B$14:$F$14)+($F$13*D476*(1+C476))/(B476-C476)/(1+B476)^$F$14-$B$15+$B$16)/$B$17</f>
        <v>1803.5020841381108</v>
      </c>
      <c r="F476" s="304"/>
      <c r="G476" s="304"/>
      <c r="H476" s="304"/>
      <c r="I476" s="304"/>
      <c r="J476" s="304"/>
      <c r="K476" s="304"/>
      <c r="L476" s="304"/>
      <c r="M476" s="304"/>
      <c r="N476" s="304"/>
      <c r="O476" s="304"/>
      <c r="P476" s="304"/>
      <c r="Q476" s="304"/>
    </row>
    <row r="477" spans="1:17" ht="13.8" x14ac:dyDescent="0.3">
      <c r="A477" s="388">
        <f t="shared" si="29"/>
        <v>455</v>
      </c>
      <c r="B477" s="389">
        <f t="shared" ca="1" si="30"/>
        <v>0.12488481178277101</v>
      </c>
      <c r="C477" s="389">
        <f t="shared" ca="1" si="31"/>
        <v>5.5871670151821665E-2</v>
      </c>
      <c r="D477" s="390">
        <f t="shared" ca="1" si="32"/>
        <v>0.96981043688810398</v>
      </c>
      <c r="E477" s="391" cm="1">
        <f t="array" aca="1" ref="E477" ca="1">(SUMPRODUCT($B$13:$F$13*D477/(1+B477)^$B$14:$F$14)+($F$13*D477*(1+C477))/(B477-C477)/(1+B477)^$F$14-$B$15+$B$16)/$B$17</f>
        <v>1492.6923359145192</v>
      </c>
      <c r="F477" s="304"/>
      <c r="G477" s="304"/>
      <c r="H477" s="304"/>
      <c r="I477" s="304"/>
      <c r="J477" s="304"/>
      <c r="K477" s="304"/>
      <c r="L477" s="304"/>
      <c r="M477" s="304"/>
      <c r="N477" s="304"/>
      <c r="O477" s="304"/>
      <c r="P477" s="304"/>
      <c r="Q477" s="304"/>
    </row>
    <row r="478" spans="1:17" ht="13.8" x14ac:dyDescent="0.3">
      <c r="A478" s="388">
        <f t="shared" si="29"/>
        <v>456</v>
      </c>
      <c r="B478" s="389">
        <f t="shared" ca="1" si="30"/>
        <v>0.12295773398770518</v>
      </c>
      <c r="C478" s="389">
        <f t="shared" ca="1" si="31"/>
        <v>5.3984070470573874E-2</v>
      </c>
      <c r="D478" s="390">
        <f t="shared" ca="1" si="32"/>
        <v>0.85390410604353884</v>
      </c>
      <c r="E478" s="391" cm="1">
        <f t="array" aca="1" ref="E478" ca="1">(SUMPRODUCT($B$13:$F$13*D478/(1+B478)^$B$14:$F$14)+($F$13*D478*(1+C478))/(B478-C478)/(1+B478)^$F$14-$B$15+$B$16)/$B$17</f>
        <v>1317.4243958623458</v>
      </c>
      <c r="F478" s="304"/>
      <c r="G478" s="304"/>
      <c r="H478" s="304"/>
      <c r="I478" s="304"/>
      <c r="J478" s="304"/>
      <c r="K478" s="304"/>
      <c r="L478" s="304"/>
      <c r="M478" s="304"/>
      <c r="N478" s="304"/>
      <c r="O478" s="304"/>
      <c r="P478" s="304"/>
      <c r="Q478" s="304"/>
    </row>
    <row r="479" spans="1:17" ht="13.8" x14ac:dyDescent="0.3">
      <c r="A479" s="388">
        <f t="shared" si="29"/>
        <v>457</v>
      </c>
      <c r="B479" s="389">
        <f t="shared" ca="1" si="30"/>
        <v>0.11309598603567964</v>
      </c>
      <c r="C479" s="389">
        <f t="shared" ca="1" si="31"/>
        <v>5.3001518921485462E-2</v>
      </c>
      <c r="D479" s="390">
        <f t="shared" ca="1" si="32"/>
        <v>1.0096103053826637</v>
      </c>
      <c r="E479" s="391" cm="1">
        <f t="array" aca="1" ref="E479" ca="1">(SUMPRODUCT($B$13:$F$13*D479/(1+B479)^$B$14:$F$14)+($F$13*D479*(1+C479))/(B479-C479)/(1+B479)^$F$14-$B$15+$B$16)/$B$17</f>
        <v>1823.5692442067368</v>
      </c>
      <c r="F479" s="304"/>
      <c r="G479" s="304"/>
      <c r="H479" s="304"/>
      <c r="I479" s="304"/>
      <c r="J479" s="304"/>
      <c r="K479" s="304"/>
      <c r="L479" s="304"/>
      <c r="M479" s="304"/>
      <c r="N479" s="304"/>
      <c r="O479" s="304"/>
      <c r="P479" s="304"/>
      <c r="Q479" s="304"/>
    </row>
    <row r="480" spans="1:17" ht="13.8" x14ac:dyDescent="0.3">
      <c r="A480" s="388">
        <f t="shared" si="29"/>
        <v>458</v>
      </c>
      <c r="B480" s="389">
        <f t="shared" ca="1" si="30"/>
        <v>0.12005366505021689</v>
      </c>
      <c r="C480" s="389">
        <f t="shared" ca="1" si="31"/>
        <v>4.1030121896778515E-2</v>
      </c>
      <c r="D480" s="390">
        <f t="shared" ca="1" si="32"/>
        <v>1.0599745670206926</v>
      </c>
      <c r="E480" s="391" cm="1">
        <f t="array" aca="1" ref="E480" ca="1">(SUMPRODUCT($B$13:$F$13*D480/(1+B480)^$B$14:$F$14)+($F$13*D480*(1+C480))/(B480-C480)/(1+B480)^$F$14-$B$15+$B$16)/$B$17</f>
        <v>1479.7700368311398</v>
      </c>
      <c r="F480" s="304"/>
      <c r="G480" s="304"/>
      <c r="H480" s="304"/>
      <c r="I480" s="304"/>
      <c r="J480" s="304"/>
      <c r="K480" s="304"/>
      <c r="L480" s="304"/>
      <c r="M480" s="304"/>
      <c r="N480" s="304"/>
      <c r="O480" s="304"/>
      <c r="P480" s="304"/>
      <c r="Q480" s="304"/>
    </row>
    <row r="481" spans="1:17" ht="13.8" x14ac:dyDescent="0.3">
      <c r="A481" s="388">
        <f t="shared" si="29"/>
        <v>459</v>
      </c>
      <c r="B481" s="389">
        <f t="shared" ca="1" si="30"/>
        <v>0.13214321857705108</v>
      </c>
      <c r="C481" s="389">
        <f t="shared" ca="1" si="31"/>
        <v>5.0250541951303254E-2</v>
      </c>
      <c r="D481" s="390">
        <f t="shared" ca="1" si="32"/>
        <v>1.0904463767250721</v>
      </c>
      <c r="E481" s="391" cm="1">
        <f t="array" aca="1" ref="E481" ca="1">(SUMPRODUCT($B$13:$F$13*D481/(1+B481)^$B$14:$F$14)+($F$13*D481*(1+C481))/(B481-C481)/(1+B481)^$F$14-$B$15+$B$16)/$B$17</f>
        <v>1422.8714626147034</v>
      </c>
      <c r="F481" s="304"/>
      <c r="G481" s="304"/>
      <c r="H481" s="304"/>
      <c r="I481" s="304"/>
      <c r="J481" s="304"/>
      <c r="K481" s="304"/>
      <c r="L481" s="304"/>
      <c r="M481" s="304"/>
      <c r="N481" s="304"/>
      <c r="O481" s="304"/>
      <c r="P481" s="304"/>
      <c r="Q481" s="304"/>
    </row>
    <row r="482" spans="1:17" ht="13.8" x14ac:dyDescent="0.3">
      <c r="A482" s="388">
        <f t="shared" si="29"/>
        <v>460</v>
      </c>
      <c r="B482" s="389">
        <f t="shared" ca="1" si="30"/>
        <v>0.12491596435315601</v>
      </c>
      <c r="C482" s="389">
        <f t="shared" ca="1" si="31"/>
        <v>5.5732518950144805E-2</v>
      </c>
      <c r="D482" s="390">
        <f t="shared" ca="1" si="32"/>
        <v>0.89821379685493741</v>
      </c>
      <c r="E482" s="391" cm="1">
        <f t="array" aca="1" ref="E482" ca="1">(SUMPRODUCT($B$13:$F$13*D482/(1+B482)^$B$14:$F$14)+($F$13*D482*(1+C482))/(B482-C482)/(1+B482)^$F$14-$B$15+$B$16)/$B$17</f>
        <v>1375.9038584263542</v>
      </c>
      <c r="F482" s="304"/>
      <c r="G482" s="304"/>
      <c r="H482" s="304"/>
      <c r="I482" s="304"/>
      <c r="J482" s="304"/>
      <c r="K482" s="304"/>
      <c r="L482" s="304"/>
      <c r="M482" s="304"/>
      <c r="N482" s="304"/>
      <c r="O482" s="304"/>
      <c r="P482" s="304"/>
      <c r="Q482" s="304"/>
    </row>
    <row r="483" spans="1:17" ht="13.8" x14ac:dyDescent="0.3">
      <c r="A483" s="388">
        <f t="shared" si="29"/>
        <v>461</v>
      </c>
      <c r="B483" s="389">
        <f t="shared" ca="1" si="30"/>
        <v>0.13003679827482278</v>
      </c>
      <c r="C483" s="389">
        <f t="shared" ca="1" si="31"/>
        <v>5.4722220405258072E-2</v>
      </c>
      <c r="D483" s="390">
        <f t="shared" ca="1" si="32"/>
        <v>1.0833482851339804</v>
      </c>
      <c r="E483" s="391" cm="1">
        <f t="array" aca="1" ref="E483" ca="1">(SUMPRODUCT($B$13:$F$13*D483/(1+B483)^$B$14:$F$14)+($F$13*D483*(1+C483))/(B483-C483)/(1+B483)^$F$14-$B$15+$B$16)/$B$17</f>
        <v>1527.1092664647263</v>
      </c>
      <c r="F483" s="304"/>
      <c r="G483" s="304"/>
      <c r="H483" s="304"/>
      <c r="I483" s="304"/>
      <c r="J483" s="304"/>
      <c r="K483" s="304"/>
      <c r="L483" s="304"/>
      <c r="M483" s="304"/>
      <c r="N483" s="304"/>
      <c r="O483" s="304"/>
      <c r="P483" s="304"/>
      <c r="Q483" s="304"/>
    </row>
    <row r="484" spans="1:17" ht="13.8" x14ac:dyDescent="0.3">
      <c r="A484" s="388">
        <f t="shared" si="29"/>
        <v>462</v>
      </c>
      <c r="B484" s="389">
        <f t="shared" ca="1" si="30"/>
        <v>0.12440809276291991</v>
      </c>
      <c r="C484" s="389">
        <f t="shared" ca="1" si="31"/>
        <v>4.6579149914169719E-2</v>
      </c>
      <c r="D484" s="390">
        <f t="shared" ca="1" si="32"/>
        <v>1.0406573916173765</v>
      </c>
      <c r="E484" s="391" cm="1">
        <f t="array" aca="1" ref="E484" ca="1">(SUMPRODUCT($B$13:$F$13*D484/(1+B484)^$B$14:$F$14)+($F$13*D484*(1+C484))/(B484-C484)/(1+B484)^$F$14-$B$15+$B$16)/$B$17</f>
        <v>1450.4801586279566</v>
      </c>
      <c r="F484" s="304"/>
      <c r="G484" s="304"/>
      <c r="H484" s="304"/>
      <c r="I484" s="304"/>
      <c r="J484" s="304"/>
      <c r="K484" s="304"/>
      <c r="L484" s="304"/>
      <c r="M484" s="304"/>
      <c r="N484" s="304"/>
      <c r="O484" s="304"/>
      <c r="P484" s="304"/>
      <c r="Q484" s="304"/>
    </row>
    <row r="485" spans="1:17" ht="13.8" x14ac:dyDescent="0.3">
      <c r="A485" s="388">
        <f t="shared" si="29"/>
        <v>463</v>
      </c>
      <c r="B485" s="389">
        <f t="shared" ca="1" si="30"/>
        <v>0.12307437235873118</v>
      </c>
      <c r="C485" s="389">
        <f t="shared" ca="1" si="31"/>
        <v>5.6529770902605976E-2</v>
      </c>
      <c r="D485" s="390">
        <f t="shared" ca="1" si="32"/>
        <v>1.0826576103644105</v>
      </c>
      <c r="E485" s="391" cm="1">
        <f t="array" aca="1" ref="E485" ca="1">(SUMPRODUCT($B$13:$F$13*D485/(1+B485)^$B$14:$F$14)+($F$13*D485*(1+C485))/(B485-C485)/(1+B485)^$F$14-$B$15+$B$16)/$B$17</f>
        <v>1735.4141541791698</v>
      </c>
      <c r="F485" s="304"/>
      <c r="G485" s="304"/>
      <c r="H485" s="304"/>
      <c r="I485" s="304"/>
      <c r="J485" s="304"/>
      <c r="K485" s="304"/>
      <c r="L485" s="304"/>
      <c r="M485" s="304"/>
      <c r="N485" s="304"/>
      <c r="O485" s="304"/>
      <c r="P485" s="304"/>
      <c r="Q485" s="304"/>
    </row>
    <row r="486" spans="1:17" ht="13.8" x14ac:dyDescent="0.3">
      <c r="A486" s="388">
        <f t="shared" si="29"/>
        <v>464</v>
      </c>
      <c r="B486" s="389">
        <f t="shared" ca="1" si="30"/>
        <v>0.10800392461726846</v>
      </c>
      <c r="C486" s="389">
        <f t="shared" ca="1" si="31"/>
        <v>5.2290241746218886E-2</v>
      </c>
      <c r="D486" s="390">
        <f t="shared" ca="1" si="32"/>
        <v>0.86120055335488432</v>
      </c>
      <c r="E486" s="391" cm="1">
        <f t="array" aca="1" ref="E486" ca="1">(SUMPRODUCT($B$13:$F$13*D486/(1+B486)^$B$14:$F$14)+($F$13*D486*(1+C486))/(B486-C486)/(1+B486)^$F$14-$B$15+$B$16)/$B$17</f>
        <v>1684.0712745989495</v>
      </c>
      <c r="F486" s="304"/>
      <c r="G486" s="304"/>
      <c r="H486" s="304"/>
      <c r="I486" s="304"/>
      <c r="J486" s="304"/>
      <c r="K486" s="304"/>
      <c r="L486" s="304"/>
      <c r="M486" s="304"/>
      <c r="N486" s="304"/>
      <c r="O486" s="304"/>
      <c r="P486" s="304"/>
      <c r="Q486" s="304"/>
    </row>
    <row r="487" spans="1:17" ht="13.8" x14ac:dyDescent="0.3">
      <c r="A487" s="388">
        <f t="shared" si="29"/>
        <v>465</v>
      </c>
      <c r="B487" s="389">
        <f t="shared" ca="1" si="30"/>
        <v>0.12648856302824207</v>
      </c>
      <c r="C487" s="389">
        <f t="shared" ca="1" si="31"/>
        <v>5.8398123197596186E-2</v>
      </c>
      <c r="D487" s="390">
        <f t="shared" ca="1" si="32"/>
        <v>1.1411848566303175</v>
      </c>
      <c r="E487" s="391" cm="1">
        <f t="array" aca="1" ref="E487" ca="1">(SUMPRODUCT($B$13:$F$13*D487/(1+B487)^$B$14:$F$14)+($F$13*D487*(1+C487))/(B487-C487)/(1+B487)^$F$14-$B$15+$B$16)/$B$17</f>
        <v>1776.337119004058</v>
      </c>
      <c r="F487" s="304"/>
      <c r="G487" s="304"/>
      <c r="H487" s="304"/>
      <c r="I487" s="304"/>
      <c r="J487" s="304"/>
      <c r="K487" s="304"/>
      <c r="L487" s="304"/>
      <c r="M487" s="304"/>
      <c r="N487" s="304"/>
      <c r="O487" s="304"/>
      <c r="P487" s="304"/>
      <c r="Q487" s="304"/>
    </row>
    <row r="488" spans="1:17" ht="13.8" x14ac:dyDescent="0.3">
      <c r="A488" s="388">
        <f t="shared" si="29"/>
        <v>466</v>
      </c>
      <c r="B488" s="389">
        <f t="shared" ca="1" si="30"/>
        <v>0.11990296704990686</v>
      </c>
      <c r="C488" s="389">
        <f t="shared" ca="1" si="31"/>
        <v>5.5586896832541297E-2</v>
      </c>
      <c r="D488" s="390">
        <f t="shared" ca="1" si="32"/>
        <v>0.94502976982394393</v>
      </c>
      <c r="E488" s="391" cm="1">
        <f t="array" aca="1" ref="E488" ca="1">(SUMPRODUCT($B$13:$F$13*D488/(1+B488)^$B$14:$F$14)+($F$13*D488*(1+C488))/(B488-C488)/(1+B488)^$F$14-$B$15+$B$16)/$B$17</f>
        <v>1570.2312471315327</v>
      </c>
      <c r="F488" s="304"/>
      <c r="G488" s="304"/>
      <c r="H488" s="304"/>
      <c r="I488" s="304"/>
      <c r="J488" s="304"/>
      <c r="K488" s="304"/>
      <c r="L488" s="304"/>
      <c r="M488" s="304"/>
      <c r="N488" s="304"/>
      <c r="O488" s="304"/>
      <c r="P488" s="304"/>
      <c r="Q488" s="304"/>
    </row>
    <row r="489" spans="1:17" ht="13.8" x14ac:dyDescent="0.3">
      <c r="A489" s="388">
        <f t="shared" si="29"/>
        <v>467</v>
      </c>
      <c r="B489" s="389">
        <f t="shared" ca="1" si="30"/>
        <v>0.12880447183066368</v>
      </c>
      <c r="C489" s="389">
        <f t="shared" ca="1" si="31"/>
        <v>6.2087279301795813E-2</v>
      </c>
      <c r="D489" s="390">
        <f t="shared" ca="1" si="32"/>
        <v>1.0572166413856272</v>
      </c>
      <c r="E489" s="391" cm="1">
        <f t="array" aca="1" ref="E489" ca="1">(SUMPRODUCT($B$13:$F$13*D489/(1+B489)^$B$14:$F$14)+($F$13*D489*(1+C489))/(B489-C489)/(1+B489)^$F$14-$B$15+$B$16)/$B$17</f>
        <v>1659.0288765682787</v>
      </c>
      <c r="F489" s="304"/>
      <c r="G489" s="304"/>
      <c r="H489" s="304"/>
      <c r="I489" s="304"/>
      <c r="J489" s="304"/>
      <c r="K489" s="304"/>
      <c r="L489" s="304"/>
      <c r="M489" s="304"/>
      <c r="N489" s="304"/>
      <c r="O489" s="304"/>
      <c r="P489" s="304"/>
      <c r="Q489" s="304"/>
    </row>
    <row r="490" spans="1:17" ht="13.8" x14ac:dyDescent="0.3">
      <c r="A490" s="388">
        <f t="shared" si="29"/>
        <v>468</v>
      </c>
      <c r="B490" s="389">
        <f t="shared" ca="1" si="30"/>
        <v>0.12970628443816601</v>
      </c>
      <c r="C490" s="389">
        <f t="shared" ca="1" si="31"/>
        <v>5.2601321530631864E-2</v>
      </c>
      <c r="D490" s="390">
        <f t="shared" ca="1" si="32"/>
        <v>0.9496089388435297</v>
      </c>
      <c r="E490" s="391" cm="1">
        <f t="array" aca="1" ref="E490" ca="1">(SUMPRODUCT($B$13:$F$13*D490/(1+B490)^$B$14:$F$14)+($F$13*D490*(1+C490))/(B490-C490)/(1+B490)^$F$14-$B$15+$B$16)/$B$17</f>
        <v>1307.6508977217084</v>
      </c>
      <c r="F490" s="304"/>
      <c r="G490" s="304"/>
      <c r="H490" s="304"/>
      <c r="I490" s="304"/>
      <c r="J490" s="304"/>
      <c r="K490" s="304"/>
      <c r="L490" s="304"/>
      <c r="M490" s="304"/>
      <c r="N490" s="304"/>
      <c r="O490" s="304"/>
      <c r="P490" s="304"/>
      <c r="Q490" s="304"/>
    </row>
    <row r="491" spans="1:17" ht="13.8" x14ac:dyDescent="0.3">
      <c r="A491" s="388">
        <f t="shared" si="29"/>
        <v>469</v>
      </c>
      <c r="B491" s="389">
        <f t="shared" ca="1" si="30"/>
        <v>0.11975644104436259</v>
      </c>
      <c r="C491" s="389">
        <f t="shared" ca="1" si="31"/>
        <v>4.926710676116889E-2</v>
      </c>
      <c r="D491" s="390">
        <f t="shared" ca="1" si="32"/>
        <v>0.91997585614484556</v>
      </c>
      <c r="E491" s="391" cm="1">
        <f t="array" aca="1" ref="E491" ca="1">(SUMPRODUCT($B$13:$F$13*D491/(1+B491)^$B$14:$F$14)+($F$13*D491*(1+C491))/(B491-C491)/(1+B491)^$F$14-$B$15+$B$16)/$B$17</f>
        <v>1410.9945729245326</v>
      </c>
      <c r="F491" s="304"/>
      <c r="G491" s="304"/>
      <c r="H491" s="304"/>
      <c r="I491" s="304"/>
      <c r="J491" s="304"/>
      <c r="K491" s="304"/>
      <c r="L491" s="304"/>
      <c r="M491" s="304"/>
      <c r="N491" s="304"/>
      <c r="O491" s="304"/>
      <c r="P491" s="304"/>
      <c r="Q491" s="304"/>
    </row>
    <row r="492" spans="1:17" ht="13.8" x14ac:dyDescent="0.3">
      <c r="A492" s="388">
        <f t="shared" si="29"/>
        <v>470</v>
      </c>
      <c r="B492" s="389">
        <f t="shared" ca="1" si="30"/>
        <v>0.1275002347316663</v>
      </c>
      <c r="C492" s="389">
        <f t="shared" ca="1" si="31"/>
        <v>4.3421613328930832E-2</v>
      </c>
      <c r="D492" s="390">
        <f t="shared" ca="1" si="32"/>
        <v>0.98078681927962463</v>
      </c>
      <c r="E492" s="391" cm="1">
        <f t="array" aca="1" ref="E492" ca="1">(SUMPRODUCT($B$13:$F$13*D492/(1+B492)^$B$14:$F$14)+($F$13*D492*(1+C492))/(B492-C492)/(1+B492)^$F$14-$B$15+$B$16)/$B$17</f>
        <v>1265.5770940294406</v>
      </c>
      <c r="F492" s="304"/>
      <c r="G492" s="304"/>
      <c r="H492" s="304"/>
      <c r="I492" s="304"/>
      <c r="J492" s="304"/>
      <c r="K492" s="304"/>
      <c r="L492" s="304"/>
      <c r="M492" s="304"/>
      <c r="N492" s="304"/>
      <c r="O492" s="304"/>
      <c r="P492" s="304"/>
      <c r="Q492" s="304"/>
    </row>
    <row r="493" spans="1:17" ht="13.8" x14ac:dyDescent="0.3">
      <c r="A493" s="388">
        <f t="shared" si="29"/>
        <v>471</v>
      </c>
      <c r="B493" s="389">
        <f t="shared" ca="1" si="30"/>
        <v>0.12186466095949737</v>
      </c>
      <c r="C493" s="389">
        <f t="shared" ca="1" si="31"/>
        <v>3.9654250611608044E-2</v>
      </c>
      <c r="D493" s="390">
        <f t="shared" ca="1" si="32"/>
        <v>0.96945674805489379</v>
      </c>
      <c r="E493" s="391" cm="1">
        <f t="array" aca="1" ref="E493" ca="1">(SUMPRODUCT($B$13:$F$13*D493/(1+B493)^$B$14:$F$14)+($F$13*D493*(1+C493))/(B493-C493)/(1+B493)^$F$14-$B$15+$B$16)/$B$17</f>
        <v>1297.3995295900488</v>
      </c>
      <c r="F493" s="304"/>
      <c r="G493" s="304"/>
      <c r="H493" s="304"/>
      <c r="I493" s="304"/>
      <c r="J493" s="304"/>
      <c r="K493" s="304"/>
      <c r="L493" s="304"/>
      <c r="M493" s="304"/>
      <c r="N493" s="304"/>
      <c r="O493" s="304"/>
      <c r="P493" s="304"/>
      <c r="Q493" s="304"/>
    </row>
    <row r="494" spans="1:17" ht="13.8" x14ac:dyDescent="0.3">
      <c r="A494" s="388">
        <f t="shared" si="29"/>
        <v>472</v>
      </c>
      <c r="B494" s="389">
        <f t="shared" ca="1" si="30"/>
        <v>0.11399073652791519</v>
      </c>
      <c r="C494" s="389">
        <f t="shared" ca="1" si="31"/>
        <v>4.887936586459378E-2</v>
      </c>
      <c r="D494" s="390">
        <f t="shared" ca="1" si="32"/>
        <v>1.0047210225204617</v>
      </c>
      <c r="E494" s="391" cm="1">
        <f t="array" aca="1" ref="E494" ca="1">(SUMPRODUCT($B$13:$F$13*D494/(1+B494)^$B$14:$F$14)+($F$13*D494*(1+C494))/(B494-C494)/(1+B494)^$F$14-$B$15+$B$16)/$B$17</f>
        <v>1686.5131819843371</v>
      </c>
      <c r="F494" s="304"/>
      <c r="G494" s="304"/>
      <c r="H494" s="304"/>
      <c r="I494" s="304"/>
      <c r="J494" s="304"/>
      <c r="K494" s="304"/>
      <c r="L494" s="304"/>
      <c r="M494" s="304"/>
      <c r="N494" s="304"/>
      <c r="O494" s="304"/>
      <c r="P494" s="304"/>
      <c r="Q494" s="304"/>
    </row>
    <row r="495" spans="1:17" ht="13.8" x14ac:dyDescent="0.3">
      <c r="A495" s="388">
        <f t="shared" si="29"/>
        <v>473</v>
      </c>
      <c r="B495" s="389">
        <f t="shared" ca="1" si="30"/>
        <v>0.12087661325615071</v>
      </c>
      <c r="C495" s="389">
        <f t="shared" ca="1" si="31"/>
        <v>5.3594094076464344E-2</v>
      </c>
      <c r="D495" s="390">
        <f t="shared" ca="1" si="32"/>
        <v>0.79975121715431041</v>
      </c>
      <c r="E495" s="391" cm="1">
        <f t="array" aca="1" ref="E495" ca="1">(SUMPRODUCT($B$13:$F$13*D495/(1+B495)^$B$14:$F$14)+($F$13*D495*(1+C495))/(B495-C495)/(1+B495)^$F$14-$B$15+$B$16)/$B$17</f>
        <v>1266.3188426864726</v>
      </c>
      <c r="F495" s="304"/>
      <c r="G495" s="304"/>
      <c r="H495" s="304"/>
      <c r="I495" s="304"/>
      <c r="J495" s="304"/>
      <c r="K495" s="304"/>
      <c r="L495" s="304"/>
      <c r="M495" s="304"/>
      <c r="N495" s="304"/>
      <c r="O495" s="304"/>
      <c r="P495" s="304"/>
      <c r="Q495" s="304"/>
    </row>
    <row r="496" spans="1:17" ht="13.8" x14ac:dyDescent="0.3">
      <c r="A496" s="388">
        <f t="shared" si="29"/>
        <v>474</v>
      </c>
      <c r="B496" s="389">
        <f t="shared" ca="1" si="30"/>
        <v>0.12625644296414598</v>
      </c>
      <c r="C496" s="389">
        <f t="shared" ca="1" si="31"/>
        <v>5.52799294826187E-2</v>
      </c>
      <c r="D496" s="390">
        <f t="shared" ca="1" si="32"/>
        <v>1.1330414784908875</v>
      </c>
      <c r="E496" s="391" cm="1">
        <f t="array" aca="1" ref="E496" ca="1">(SUMPRODUCT($B$13:$F$13*D496/(1+B496)^$B$14:$F$14)+($F$13*D496*(1+C496))/(B496-C496)/(1+B496)^$F$14-$B$15+$B$16)/$B$17</f>
        <v>1702.7415501631735</v>
      </c>
      <c r="F496" s="304"/>
      <c r="G496" s="304"/>
      <c r="H496" s="304"/>
      <c r="I496" s="304"/>
      <c r="J496" s="304"/>
      <c r="K496" s="304"/>
      <c r="L496" s="304"/>
      <c r="M496" s="304"/>
      <c r="N496" s="304"/>
      <c r="O496" s="304"/>
      <c r="P496" s="304"/>
      <c r="Q496" s="304"/>
    </row>
    <row r="497" spans="1:17" ht="13.8" x14ac:dyDescent="0.3">
      <c r="A497" s="388">
        <f t="shared" si="29"/>
        <v>475</v>
      </c>
      <c r="B497" s="389">
        <f t="shared" ca="1" si="30"/>
        <v>0.11981563795375519</v>
      </c>
      <c r="C497" s="389">
        <f t="shared" ca="1" si="31"/>
        <v>4.4949322088719809E-2</v>
      </c>
      <c r="D497" s="390">
        <f t="shared" ca="1" si="32"/>
        <v>1.2122641945688195</v>
      </c>
      <c r="E497" s="391" cm="1">
        <f t="array" aca="1" ref="E497" ca="1">(SUMPRODUCT($B$13:$F$13*D497/(1+B497)^$B$14:$F$14)+($F$13*D497*(1+C497))/(B497-C497)/(1+B497)^$F$14-$B$15+$B$16)/$B$17</f>
        <v>1780.0832587024217</v>
      </c>
      <c r="F497" s="304"/>
      <c r="G497" s="304"/>
      <c r="H497" s="304"/>
      <c r="I497" s="304"/>
      <c r="J497" s="304"/>
      <c r="K497" s="304"/>
      <c r="L497" s="304"/>
      <c r="M497" s="304"/>
      <c r="N497" s="304"/>
      <c r="O497" s="304"/>
      <c r="P497" s="304"/>
      <c r="Q497" s="304"/>
    </row>
    <row r="498" spans="1:17" ht="13.8" x14ac:dyDescent="0.3">
      <c r="A498" s="388">
        <f t="shared" si="29"/>
        <v>476</v>
      </c>
      <c r="B498" s="389">
        <f t="shared" ca="1" si="30"/>
        <v>0.12565332983341673</v>
      </c>
      <c r="C498" s="389">
        <f t="shared" ca="1" si="31"/>
        <v>4.2975059281091854E-2</v>
      </c>
      <c r="D498" s="390">
        <f t="shared" ca="1" si="32"/>
        <v>0.93339894984848393</v>
      </c>
      <c r="E498" s="391" cm="1">
        <f t="array" aca="1" ref="E498" ca="1">(SUMPRODUCT($B$13:$F$13*D498/(1+B498)^$B$14:$F$14)+($F$13*D498*(1+C498))/(B498-C498)/(1+B498)^$F$14-$B$15+$B$16)/$B$17</f>
        <v>1226.4643355466299</v>
      </c>
      <c r="F498" s="304"/>
      <c r="G498" s="304"/>
      <c r="H498" s="304"/>
      <c r="I498" s="304"/>
      <c r="J498" s="304"/>
      <c r="K498" s="304"/>
      <c r="L498" s="304"/>
      <c r="M498" s="304"/>
      <c r="N498" s="304"/>
      <c r="O498" s="304"/>
      <c r="P498" s="304"/>
      <c r="Q498" s="304"/>
    </row>
    <row r="499" spans="1:17" ht="13.8" x14ac:dyDescent="0.3">
      <c r="A499" s="388">
        <f t="shared" si="29"/>
        <v>477</v>
      </c>
      <c r="B499" s="389">
        <f t="shared" ca="1" si="30"/>
        <v>0.10645362639587372</v>
      </c>
      <c r="C499" s="389">
        <f t="shared" ca="1" si="31"/>
        <v>5.6666962143790564E-2</v>
      </c>
      <c r="D499" s="390">
        <f t="shared" ca="1" si="32"/>
        <v>1.1556795267948021</v>
      </c>
      <c r="E499" s="391" cm="1">
        <f t="array" aca="1" ref="E499" ca="1">(SUMPRODUCT($B$13:$F$13*D499/(1+B499)^$B$14:$F$14)+($F$13*D499*(1+C499))/(B499-C499)/(1+B499)^$F$14-$B$15+$B$16)/$B$17</f>
        <v>2529.0036120690752</v>
      </c>
      <c r="F499" s="304"/>
      <c r="G499" s="304"/>
      <c r="H499" s="304"/>
      <c r="I499" s="304"/>
      <c r="J499" s="304"/>
      <c r="K499" s="304"/>
      <c r="L499" s="304"/>
      <c r="M499" s="304"/>
      <c r="N499" s="304"/>
      <c r="O499" s="304"/>
      <c r="P499" s="304"/>
      <c r="Q499" s="304"/>
    </row>
    <row r="500" spans="1:17" ht="13.8" x14ac:dyDescent="0.3">
      <c r="A500" s="388">
        <f t="shared" si="29"/>
        <v>478</v>
      </c>
      <c r="B500" s="389">
        <f t="shared" ca="1" si="30"/>
        <v>0.13211254901511463</v>
      </c>
      <c r="C500" s="389">
        <f t="shared" ca="1" si="31"/>
        <v>4.1679552721293346E-2</v>
      </c>
      <c r="D500" s="390">
        <f t="shared" ca="1" si="32"/>
        <v>1.0973042121389456</v>
      </c>
      <c r="E500" s="391" cm="1">
        <f t="array" aca="1" ref="E500" ca="1">(SUMPRODUCT($B$13:$F$13*D500/(1+B500)^$B$14:$F$14)+($F$13*D500*(1+C500))/(B500-C500)/(1+B500)^$F$14-$B$15+$B$16)/$B$17</f>
        <v>1318.7334620527379</v>
      </c>
      <c r="F500" s="304"/>
      <c r="G500" s="304"/>
      <c r="H500" s="304"/>
      <c r="I500" s="304"/>
      <c r="J500" s="304"/>
      <c r="K500" s="304"/>
      <c r="L500" s="304"/>
      <c r="M500" s="304"/>
      <c r="N500" s="304"/>
      <c r="O500" s="304"/>
      <c r="P500" s="304"/>
      <c r="Q500" s="304"/>
    </row>
    <row r="501" spans="1:17" ht="13.8" x14ac:dyDescent="0.3">
      <c r="A501" s="388">
        <f t="shared" si="29"/>
        <v>479</v>
      </c>
      <c r="B501" s="389">
        <f t="shared" ca="1" si="30"/>
        <v>0.13611946606340361</v>
      </c>
      <c r="C501" s="389">
        <f t="shared" ca="1" si="31"/>
        <v>5.4743940441159926E-2</v>
      </c>
      <c r="D501" s="390">
        <f t="shared" ca="1" si="32"/>
        <v>1.0271637940615608</v>
      </c>
      <c r="E501" s="391" cm="1">
        <f t="array" aca="1" ref="E501" ca="1">(SUMPRODUCT($B$13:$F$13*D501/(1+B501)^$B$14:$F$14)+($F$13*D501*(1+C501))/(B501-C501)/(1+B501)^$F$14-$B$15+$B$16)/$B$17</f>
        <v>1327.9083908640628</v>
      </c>
      <c r="F501" s="304"/>
      <c r="G501" s="304"/>
      <c r="H501" s="304"/>
      <c r="I501" s="304"/>
      <c r="J501" s="304"/>
      <c r="K501" s="304"/>
      <c r="L501" s="304"/>
      <c r="M501" s="304"/>
      <c r="N501" s="304"/>
      <c r="O501" s="304"/>
      <c r="P501" s="304"/>
      <c r="Q501" s="304"/>
    </row>
    <row r="502" spans="1:17" ht="13.8" x14ac:dyDescent="0.3">
      <c r="A502" s="388">
        <f t="shared" si="29"/>
        <v>480</v>
      </c>
      <c r="B502" s="389">
        <f t="shared" ca="1" si="30"/>
        <v>0.11583989945417093</v>
      </c>
      <c r="C502" s="389">
        <f t="shared" ca="1" si="31"/>
        <v>4.8493678024259218E-2</v>
      </c>
      <c r="D502" s="390">
        <f t="shared" ca="1" si="32"/>
        <v>1.0196428113054534</v>
      </c>
      <c r="E502" s="391" cm="1">
        <f t="array" aca="1" ref="E502" ca="1">(SUMPRODUCT($B$13:$F$13*D502/(1+B502)^$B$14:$F$14)+($F$13*D502*(1+C502))/(B502-C502)/(1+B502)^$F$14-$B$15+$B$16)/$B$17</f>
        <v>1652.8447522731899</v>
      </c>
      <c r="F502" s="304"/>
      <c r="G502" s="304"/>
      <c r="H502" s="304"/>
      <c r="I502" s="304"/>
      <c r="J502" s="304"/>
      <c r="K502" s="304"/>
      <c r="L502" s="304"/>
      <c r="M502" s="304"/>
      <c r="N502" s="304"/>
      <c r="O502" s="304"/>
      <c r="P502" s="304"/>
      <c r="Q502" s="304"/>
    </row>
    <row r="503" spans="1:17" ht="13.8" x14ac:dyDescent="0.3">
      <c r="A503" s="388">
        <f t="shared" si="29"/>
        <v>481</v>
      </c>
      <c r="B503" s="389">
        <f t="shared" ca="1" si="30"/>
        <v>0.1272577136599215</v>
      </c>
      <c r="C503" s="389">
        <f t="shared" ca="1" si="31"/>
        <v>5.0353851701136619E-2</v>
      </c>
      <c r="D503" s="390">
        <f t="shared" ca="1" si="32"/>
        <v>1.0082848300305294</v>
      </c>
      <c r="E503" s="391" cm="1">
        <f t="array" aca="1" ref="E503" ca="1">(SUMPRODUCT($B$13:$F$13*D503/(1+B503)^$B$14:$F$14)+($F$13*D503*(1+C503))/(B503-C503)/(1+B503)^$F$14-$B$15+$B$16)/$B$17</f>
        <v>1405.387348621196</v>
      </c>
      <c r="F503" s="304"/>
      <c r="G503" s="304"/>
      <c r="H503" s="304"/>
      <c r="I503" s="304"/>
      <c r="J503" s="304"/>
      <c r="K503" s="304"/>
      <c r="L503" s="304"/>
      <c r="M503" s="304"/>
      <c r="N503" s="304"/>
      <c r="O503" s="304"/>
      <c r="P503" s="304"/>
      <c r="Q503" s="304"/>
    </row>
    <row r="504" spans="1:17" ht="13.8" x14ac:dyDescent="0.3">
      <c r="A504" s="388">
        <f t="shared" si="29"/>
        <v>482</v>
      </c>
      <c r="B504" s="389">
        <f t="shared" ca="1" si="30"/>
        <v>0.11349154152575103</v>
      </c>
      <c r="C504" s="389">
        <f t="shared" ca="1" si="31"/>
        <v>3.8245087702461919E-2</v>
      </c>
      <c r="D504" s="390">
        <f t="shared" ca="1" si="32"/>
        <v>1.1203950642544787</v>
      </c>
      <c r="E504" s="391" cm="1">
        <f t="array" aca="1" ref="E504" ca="1">(SUMPRODUCT($B$13:$F$13*D504/(1+B504)^$B$14:$F$14)+($F$13*D504*(1+C504))/(B504-C504)/(1+B504)^$F$14-$B$15+$B$16)/$B$17</f>
        <v>1668.0267973239679</v>
      </c>
      <c r="F504" s="304"/>
      <c r="G504" s="304"/>
      <c r="H504" s="304"/>
      <c r="I504" s="304"/>
      <c r="J504" s="304"/>
      <c r="K504" s="304"/>
      <c r="L504" s="304"/>
      <c r="M504" s="304"/>
      <c r="N504" s="304"/>
      <c r="O504" s="304"/>
      <c r="P504" s="304"/>
      <c r="Q504" s="304"/>
    </row>
    <row r="505" spans="1:17" ht="13.8" x14ac:dyDescent="0.3">
      <c r="A505" s="388">
        <f t="shared" si="29"/>
        <v>483</v>
      </c>
      <c r="B505" s="389">
        <f t="shared" ca="1" si="30"/>
        <v>0.11683700102830639</v>
      </c>
      <c r="C505" s="389">
        <f t="shared" ca="1" si="31"/>
        <v>4.6576867017109877E-2</v>
      </c>
      <c r="D505" s="390">
        <f t="shared" ca="1" si="32"/>
        <v>1.111404377315278</v>
      </c>
      <c r="E505" s="391" cm="1">
        <f t="array" aca="1" ref="E505" ca="1">(SUMPRODUCT($B$13:$F$13*D505/(1+B505)^$B$14:$F$14)+($F$13*D505*(1+C505))/(B505-C505)/(1+B505)^$F$14-$B$15+$B$16)/$B$17</f>
        <v>1735.4871824340858</v>
      </c>
      <c r="F505" s="304"/>
      <c r="G505" s="304"/>
      <c r="H505" s="304"/>
      <c r="I505" s="304"/>
      <c r="J505" s="304"/>
      <c r="K505" s="304"/>
      <c r="L505" s="304"/>
      <c r="M505" s="304"/>
      <c r="N505" s="304"/>
      <c r="O505" s="304"/>
      <c r="P505" s="304"/>
      <c r="Q505" s="304"/>
    </row>
    <row r="506" spans="1:17" ht="13.8" x14ac:dyDescent="0.3">
      <c r="A506" s="388">
        <f t="shared" si="29"/>
        <v>484</v>
      </c>
      <c r="B506" s="389">
        <f t="shared" ca="1" si="30"/>
        <v>0.10638447096960102</v>
      </c>
      <c r="C506" s="389">
        <f t="shared" ca="1" si="31"/>
        <v>3.7913322379940634E-2</v>
      </c>
      <c r="D506" s="390">
        <f t="shared" ca="1" si="32"/>
        <v>1.1043262757351213</v>
      </c>
      <c r="E506" s="391" cm="1">
        <f t="array" aca="1" ref="E506" ca="1">(SUMPRODUCT($B$13:$F$13*D506/(1+B506)^$B$14:$F$14)+($F$13*D506*(1+C506))/(B506-C506)/(1+B506)^$F$14-$B$15+$B$16)/$B$17</f>
        <v>1823.5167173030477</v>
      </c>
      <c r="F506" s="304"/>
      <c r="G506" s="304"/>
      <c r="H506" s="304"/>
      <c r="I506" s="304"/>
      <c r="J506" s="304"/>
      <c r="K506" s="304"/>
      <c r="L506" s="304"/>
      <c r="M506" s="304"/>
      <c r="N506" s="304"/>
      <c r="O506" s="304"/>
      <c r="P506" s="304"/>
      <c r="Q506" s="304"/>
    </row>
    <row r="507" spans="1:17" ht="13.8" x14ac:dyDescent="0.3">
      <c r="A507" s="388">
        <f t="shared" si="29"/>
        <v>485</v>
      </c>
      <c r="B507" s="389">
        <f t="shared" ca="1" si="30"/>
        <v>0.1147582057671707</v>
      </c>
      <c r="C507" s="389">
        <f t="shared" ca="1" si="31"/>
        <v>4.4608582722093858E-2</v>
      </c>
      <c r="D507" s="390">
        <f t="shared" ca="1" si="32"/>
        <v>0.95807329980476252</v>
      </c>
      <c r="E507" s="391" cm="1">
        <f t="array" aca="1" ref="E507" ca="1">(SUMPRODUCT($B$13:$F$13*D507/(1+B507)^$B$14:$F$14)+($F$13*D507*(1+C507))/(B507-C507)/(1+B507)^$F$14-$B$15+$B$16)/$B$17</f>
        <v>1501.5873632965183</v>
      </c>
      <c r="F507" s="304"/>
      <c r="G507" s="304"/>
      <c r="H507" s="304"/>
      <c r="I507" s="304"/>
      <c r="J507" s="304"/>
      <c r="K507" s="304"/>
      <c r="L507" s="304"/>
      <c r="M507" s="304"/>
      <c r="N507" s="304"/>
      <c r="O507" s="304"/>
      <c r="P507" s="304"/>
      <c r="Q507" s="304"/>
    </row>
    <row r="508" spans="1:17" ht="13.8" x14ac:dyDescent="0.3">
      <c r="A508" s="388">
        <f t="shared" si="29"/>
        <v>486</v>
      </c>
      <c r="B508" s="389">
        <f t="shared" ca="1" si="30"/>
        <v>0.12560700527765495</v>
      </c>
      <c r="C508" s="389">
        <f t="shared" ca="1" si="31"/>
        <v>5.0156408671934362E-2</v>
      </c>
      <c r="D508" s="390">
        <f t="shared" ca="1" si="32"/>
        <v>1.073795595941289</v>
      </c>
      <c r="E508" s="391" cm="1">
        <f t="array" aca="1" ref="E508" ca="1">(SUMPRODUCT($B$13:$F$13*D508/(1+B508)^$B$14:$F$14)+($F$13*D508*(1+C508))/(B508-C508)/(1+B508)^$F$14-$B$15+$B$16)/$B$17</f>
        <v>1532.3354133141381</v>
      </c>
      <c r="F508" s="304"/>
      <c r="G508" s="304"/>
      <c r="H508" s="304"/>
      <c r="I508" s="304"/>
      <c r="J508" s="304"/>
      <c r="K508" s="304"/>
      <c r="L508" s="304"/>
      <c r="M508" s="304"/>
      <c r="N508" s="304"/>
      <c r="O508" s="304"/>
      <c r="P508" s="304"/>
      <c r="Q508" s="304"/>
    </row>
    <row r="509" spans="1:17" ht="13.8" x14ac:dyDescent="0.3">
      <c r="A509" s="388">
        <f t="shared" si="29"/>
        <v>487</v>
      </c>
      <c r="B509" s="389">
        <f t="shared" ca="1" si="30"/>
        <v>0.13488661548040362</v>
      </c>
      <c r="C509" s="389">
        <f t="shared" ca="1" si="31"/>
        <v>4.131767866789169E-2</v>
      </c>
      <c r="D509" s="390">
        <f t="shared" ca="1" si="32"/>
        <v>0.88714652585726661</v>
      </c>
      <c r="E509" s="391" cm="1">
        <f t="array" aca="1" ref="E509" ca="1">(SUMPRODUCT($B$13:$F$13*D509/(1+B509)^$B$14:$F$14)+($F$13*D509*(1+C509))/(B509-C509)/(1+B509)^$F$14-$B$15+$B$16)/$B$17</f>
        <v>1018.5880608716935</v>
      </c>
      <c r="F509" s="304"/>
      <c r="G509" s="304"/>
      <c r="H509" s="304"/>
      <c r="I509" s="304"/>
      <c r="J509" s="304"/>
      <c r="K509" s="304"/>
      <c r="L509" s="304"/>
      <c r="M509" s="304"/>
      <c r="N509" s="304"/>
      <c r="O509" s="304"/>
      <c r="P509" s="304"/>
      <c r="Q509" s="304"/>
    </row>
    <row r="510" spans="1:17" ht="13.8" x14ac:dyDescent="0.3">
      <c r="A510" s="388">
        <f t="shared" si="29"/>
        <v>488</v>
      </c>
      <c r="B510" s="389">
        <f t="shared" ca="1" si="30"/>
        <v>0.11607554381830162</v>
      </c>
      <c r="C510" s="389">
        <f t="shared" ca="1" si="31"/>
        <v>5.9188941273647336E-2</v>
      </c>
      <c r="D510" s="390">
        <f t="shared" ca="1" si="32"/>
        <v>1.0320034253003869</v>
      </c>
      <c r="E510" s="391" cm="1">
        <f t="array" aca="1" ref="E510" ca="1">(SUMPRODUCT($B$13:$F$13*D510/(1+B510)^$B$14:$F$14)+($F$13*D510*(1+C510))/(B510-C510)/(1+B510)^$F$14-$B$15+$B$16)/$B$17</f>
        <v>1938.748483151363</v>
      </c>
      <c r="F510" s="304"/>
      <c r="G510" s="304"/>
      <c r="H510" s="304"/>
      <c r="I510" s="304"/>
      <c r="J510" s="304"/>
      <c r="K510" s="304"/>
      <c r="L510" s="304"/>
      <c r="M510" s="304"/>
      <c r="N510" s="304"/>
      <c r="O510" s="304"/>
      <c r="P510" s="304"/>
      <c r="Q510" s="304"/>
    </row>
    <row r="511" spans="1:17" ht="13.8" x14ac:dyDescent="0.3">
      <c r="A511" s="388">
        <f t="shared" si="29"/>
        <v>489</v>
      </c>
      <c r="B511" s="389">
        <f t="shared" ca="1" si="30"/>
        <v>0.13563308697172399</v>
      </c>
      <c r="C511" s="389">
        <f t="shared" ca="1" si="31"/>
        <v>6.0053078038227362E-2</v>
      </c>
      <c r="D511" s="390">
        <f t="shared" ca="1" si="32"/>
        <v>0.97163388925806426</v>
      </c>
      <c r="E511" s="391" cm="1">
        <f t="array" aca="1" ref="E511" ca="1">(SUMPRODUCT($B$13:$F$13*D511/(1+B511)^$B$14:$F$14)+($F$13*D511*(1+C511))/(B511-C511)/(1+B511)^$F$14-$B$15+$B$16)/$B$17</f>
        <v>1336.6740937626362</v>
      </c>
      <c r="F511" s="304"/>
      <c r="G511" s="304"/>
      <c r="H511" s="304"/>
      <c r="I511" s="304"/>
      <c r="J511" s="304"/>
      <c r="K511" s="304"/>
      <c r="L511" s="304"/>
      <c r="M511" s="304"/>
      <c r="N511" s="304"/>
      <c r="O511" s="304"/>
      <c r="P511" s="304"/>
      <c r="Q511" s="304"/>
    </row>
    <row r="512" spans="1:17" ht="13.8" x14ac:dyDescent="0.3">
      <c r="A512" s="388">
        <f t="shared" si="29"/>
        <v>490</v>
      </c>
      <c r="B512" s="389">
        <f t="shared" ca="1" si="30"/>
        <v>0.11668536923248966</v>
      </c>
      <c r="C512" s="389">
        <f t="shared" ca="1" si="31"/>
        <v>5.5884874697656808E-2</v>
      </c>
      <c r="D512" s="390">
        <f t="shared" ca="1" si="32"/>
        <v>1.1265845613619587</v>
      </c>
      <c r="E512" s="391" cm="1">
        <f t="array" aca="1" ref="E512" ca="1">(SUMPRODUCT($B$13:$F$13*D512/(1+B512)^$B$14:$F$14)+($F$13*D512*(1+C512))/(B512-C512)/(1+B512)^$F$14-$B$15+$B$16)/$B$17</f>
        <v>1996.23996625622</v>
      </c>
      <c r="F512" s="304"/>
      <c r="G512" s="304"/>
      <c r="H512" s="304"/>
      <c r="I512" s="304"/>
      <c r="J512" s="304"/>
      <c r="K512" s="304"/>
      <c r="L512" s="304"/>
      <c r="M512" s="304"/>
      <c r="N512" s="304"/>
      <c r="O512" s="304"/>
      <c r="P512" s="304"/>
      <c r="Q512" s="304"/>
    </row>
    <row r="513" spans="1:17" ht="13.8" x14ac:dyDescent="0.3">
      <c r="A513" s="388">
        <f t="shared" si="29"/>
        <v>491</v>
      </c>
      <c r="B513" s="389">
        <f t="shared" ca="1" si="30"/>
        <v>0.128478152666021</v>
      </c>
      <c r="C513" s="389">
        <f t="shared" ca="1" si="31"/>
        <v>6.4618695526432679E-2</v>
      </c>
      <c r="D513" s="390">
        <f t="shared" ca="1" si="32"/>
        <v>1.2033398758175267</v>
      </c>
      <c r="E513" s="391" cm="1">
        <f t="array" aca="1" ref="E513" ca="1">(SUMPRODUCT($B$13:$F$13*D513/(1+B513)^$B$14:$F$14)+($F$13*D513*(1+C513))/(B513-C513)/(1+B513)^$F$14-$B$15+$B$16)/$B$17</f>
        <v>1970.150623156391</v>
      </c>
      <c r="F513" s="304"/>
      <c r="G513" s="304"/>
      <c r="H513" s="304"/>
      <c r="I513" s="304"/>
      <c r="J513" s="304"/>
      <c r="K513" s="304"/>
      <c r="L513" s="304"/>
      <c r="M513" s="304"/>
      <c r="N513" s="304"/>
      <c r="O513" s="304"/>
      <c r="P513" s="304"/>
      <c r="Q513" s="304"/>
    </row>
    <row r="514" spans="1:17" ht="13.8" x14ac:dyDescent="0.3">
      <c r="A514" s="388">
        <f t="shared" si="29"/>
        <v>492</v>
      </c>
      <c r="B514" s="389">
        <f t="shared" ca="1" si="30"/>
        <v>0.12407930275309081</v>
      </c>
      <c r="C514" s="389">
        <f t="shared" ca="1" si="31"/>
        <v>3.3544223800810728E-2</v>
      </c>
      <c r="D514" s="390">
        <f t="shared" ca="1" si="32"/>
        <v>1.0332332887253397</v>
      </c>
      <c r="E514" s="391" cm="1">
        <f t="array" aca="1" ref="E514" ca="1">(SUMPRODUCT($B$13:$F$13*D514/(1+B514)^$B$14:$F$14)+($F$13*D514*(1+C514))/(B514-C514)/(1+B514)^$F$14-$B$15+$B$16)/$B$17</f>
        <v>1269.6612775702176</v>
      </c>
      <c r="F514" s="304"/>
      <c r="G514" s="304"/>
      <c r="H514" s="304"/>
      <c r="I514" s="304"/>
      <c r="J514" s="304"/>
      <c r="K514" s="304"/>
      <c r="L514" s="304"/>
      <c r="M514" s="304"/>
      <c r="N514" s="304"/>
      <c r="O514" s="304"/>
      <c r="P514" s="304"/>
      <c r="Q514" s="304"/>
    </row>
    <row r="515" spans="1:17" ht="13.8" x14ac:dyDescent="0.3">
      <c r="A515" s="388">
        <f t="shared" si="29"/>
        <v>493</v>
      </c>
      <c r="B515" s="389">
        <f t="shared" ca="1" si="30"/>
        <v>0.10864590520297837</v>
      </c>
      <c r="C515" s="389">
        <f t="shared" ca="1" si="31"/>
        <v>3.9779357709197986E-2</v>
      </c>
      <c r="D515" s="390">
        <f t="shared" ca="1" si="32"/>
        <v>0.96987882819599602</v>
      </c>
      <c r="E515" s="391" cm="1">
        <f t="array" aca="1" ref="E515" ca="1">(SUMPRODUCT($B$13:$F$13*D515/(1+B515)^$B$14:$F$14)+($F$13*D515*(1+C515))/(B515-C515)/(1+B515)^$F$14-$B$15+$B$16)/$B$17</f>
        <v>1576.1185748197529</v>
      </c>
      <c r="F515" s="304"/>
      <c r="G515" s="304"/>
      <c r="H515" s="304"/>
      <c r="I515" s="304"/>
      <c r="J515" s="304"/>
      <c r="K515" s="304"/>
      <c r="L515" s="304"/>
      <c r="M515" s="304"/>
      <c r="N515" s="304"/>
      <c r="O515" s="304"/>
      <c r="P515" s="304"/>
      <c r="Q515" s="304"/>
    </row>
    <row r="516" spans="1:17" ht="13.8" x14ac:dyDescent="0.3">
      <c r="A516" s="388">
        <f t="shared" si="29"/>
        <v>494</v>
      </c>
      <c r="B516" s="389">
        <f t="shared" ca="1" si="30"/>
        <v>0.12390996056775049</v>
      </c>
      <c r="C516" s="389">
        <f t="shared" ca="1" si="31"/>
        <v>3.6478143746576132E-2</v>
      </c>
      <c r="D516" s="390">
        <f t="shared" ca="1" si="32"/>
        <v>1.0240096489775994</v>
      </c>
      <c r="E516" s="391" cm="1">
        <f t="array" aca="1" ref="E516" ca="1">(SUMPRODUCT($B$13:$F$13*D516/(1+B516)^$B$14:$F$14)+($F$13*D516*(1+C516))/(B516-C516)/(1+B516)^$F$14-$B$15+$B$16)/$B$17</f>
        <v>1295.5839864524555</v>
      </c>
      <c r="F516" s="304"/>
      <c r="G516" s="304"/>
      <c r="H516" s="304"/>
      <c r="I516" s="304"/>
      <c r="J516" s="304"/>
      <c r="K516" s="304"/>
      <c r="L516" s="304"/>
      <c r="M516" s="304"/>
      <c r="N516" s="304"/>
      <c r="O516" s="304"/>
      <c r="P516" s="304"/>
      <c r="Q516" s="304"/>
    </row>
    <row r="517" spans="1:17" ht="13.8" x14ac:dyDescent="0.3">
      <c r="A517" s="388">
        <f t="shared" si="29"/>
        <v>495</v>
      </c>
      <c r="B517" s="389">
        <f t="shared" ca="1" si="30"/>
        <v>0.12269130265395807</v>
      </c>
      <c r="C517" s="389">
        <f t="shared" ca="1" si="31"/>
        <v>4.4039546037606951E-2</v>
      </c>
      <c r="D517" s="390">
        <f t="shared" ca="1" si="32"/>
        <v>0.83572113918348723</v>
      </c>
      <c r="E517" s="391" cm="1">
        <f t="array" aca="1" ref="E517" ca="1">(SUMPRODUCT($B$13:$F$13*D517/(1+B517)^$B$14:$F$14)+($F$13*D517*(1+C517))/(B517-C517)/(1+B517)^$F$14-$B$15+$B$16)/$B$17</f>
        <v>1151.483782382405</v>
      </c>
      <c r="F517" s="304"/>
      <c r="G517" s="304"/>
      <c r="H517" s="304"/>
      <c r="I517" s="304"/>
      <c r="J517" s="304"/>
      <c r="K517" s="304"/>
      <c r="L517" s="304"/>
      <c r="M517" s="304"/>
      <c r="N517" s="304"/>
      <c r="O517" s="304"/>
      <c r="P517" s="304"/>
      <c r="Q517" s="304"/>
    </row>
    <row r="518" spans="1:17" ht="13.8" x14ac:dyDescent="0.3">
      <c r="A518" s="388">
        <f t="shared" si="29"/>
        <v>496</v>
      </c>
      <c r="B518" s="389">
        <f t="shared" ca="1" si="30"/>
        <v>0.13112413562746264</v>
      </c>
      <c r="C518" s="389">
        <f t="shared" ca="1" si="31"/>
        <v>5.6338920396158031E-2</v>
      </c>
      <c r="D518" s="390">
        <f t="shared" ca="1" si="32"/>
        <v>1.2007530622106644</v>
      </c>
      <c r="E518" s="391" cm="1">
        <f t="array" aca="1" ref="E518" ca="1">(SUMPRODUCT($B$13:$F$13*D518/(1+B518)^$B$14:$F$14)+($F$13*D518*(1+C518))/(B518-C518)/(1+B518)^$F$14-$B$15+$B$16)/$B$17</f>
        <v>1702.0869911389395</v>
      </c>
      <c r="F518" s="304"/>
      <c r="G518" s="304"/>
      <c r="H518" s="304"/>
      <c r="I518" s="304"/>
      <c r="J518" s="304"/>
      <c r="K518" s="304"/>
      <c r="L518" s="304"/>
      <c r="M518" s="304"/>
      <c r="N518" s="304"/>
      <c r="O518" s="304"/>
      <c r="P518" s="304"/>
      <c r="Q518" s="304"/>
    </row>
    <row r="519" spans="1:17" ht="13.8" x14ac:dyDescent="0.3">
      <c r="A519" s="388">
        <f t="shared" si="29"/>
        <v>497</v>
      </c>
      <c r="B519" s="389">
        <f t="shared" ca="1" si="30"/>
        <v>0.1252766402891145</v>
      </c>
      <c r="C519" s="389">
        <f t="shared" ca="1" si="31"/>
        <v>5.7220986918488773E-2</v>
      </c>
      <c r="D519" s="390">
        <f t="shared" ca="1" si="32"/>
        <v>1.0687829169557985</v>
      </c>
      <c r="E519" s="391" cm="1">
        <f t="array" aca="1" ref="E519" ca="1">(SUMPRODUCT($B$13:$F$13*D519/(1+B519)^$B$14:$F$14)+($F$13*D519*(1+C519))/(B519-C519)/(1+B519)^$F$14-$B$15+$B$16)/$B$17</f>
        <v>1667.8040939783616</v>
      </c>
      <c r="F519" s="304"/>
      <c r="G519" s="304"/>
      <c r="H519" s="304"/>
      <c r="I519" s="304"/>
      <c r="J519" s="304"/>
      <c r="K519" s="304"/>
      <c r="L519" s="304"/>
      <c r="M519" s="304"/>
      <c r="N519" s="304"/>
      <c r="O519" s="304"/>
      <c r="P519" s="304"/>
      <c r="Q519" s="304"/>
    </row>
    <row r="520" spans="1:17" ht="13.8" x14ac:dyDescent="0.3">
      <c r="A520" s="388">
        <f t="shared" si="29"/>
        <v>498</v>
      </c>
      <c r="B520" s="389">
        <f t="shared" ca="1" si="30"/>
        <v>0.13426596232631657</v>
      </c>
      <c r="C520" s="389">
        <f t="shared" ca="1" si="31"/>
        <v>4.2927535810950226E-2</v>
      </c>
      <c r="D520" s="390">
        <f t="shared" ca="1" si="32"/>
        <v>1.1150168507407967</v>
      </c>
      <c r="E520" s="391" cm="1">
        <f t="array" aca="1" ref="E520" ca="1">(SUMPRODUCT($B$13:$F$13*D520/(1+B520)^$B$14:$F$14)+($F$13*D520*(1+C520))/(B520-C520)/(1+B520)^$F$14-$B$15+$B$16)/$B$17</f>
        <v>1320.8644681812925</v>
      </c>
      <c r="F520" s="304"/>
      <c r="G520" s="304"/>
      <c r="H520" s="304"/>
      <c r="I520" s="304"/>
      <c r="J520" s="304"/>
      <c r="K520" s="304"/>
      <c r="L520" s="304"/>
      <c r="M520" s="304"/>
      <c r="N520" s="304"/>
      <c r="O520" s="304"/>
      <c r="P520" s="304"/>
      <c r="Q520" s="304"/>
    </row>
    <row r="521" spans="1:17" ht="13.8" x14ac:dyDescent="0.3">
      <c r="A521" s="388">
        <f t="shared" si="29"/>
        <v>499</v>
      </c>
      <c r="B521" s="389">
        <f t="shared" ca="1" si="30"/>
        <v>0.11952260855302754</v>
      </c>
      <c r="C521" s="389">
        <f t="shared" ca="1" si="31"/>
        <v>5.9531690014906664E-2</v>
      </c>
      <c r="D521" s="390">
        <f t="shared" ca="1" si="32"/>
        <v>1.1311608756275289</v>
      </c>
      <c r="E521" s="391" cm="1">
        <f t="array" aca="1" ref="E521" ca="1">(SUMPRODUCT($B$13:$F$13*D521/(1+B521)^$B$14:$F$14)+($F$13*D521*(1+C521))/(B521-C521)/(1+B521)^$F$14-$B$15+$B$16)/$B$17</f>
        <v>2009.7657846880131</v>
      </c>
      <c r="F521" s="304"/>
      <c r="G521" s="304"/>
      <c r="H521" s="304"/>
      <c r="I521" s="304"/>
      <c r="J521" s="304"/>
      <c r="K521" s="304"/>
      <c r="L521" s="304"/>
      <c r="M521" s="304"/>
      <c r="N521" s="304"/>
      <c r="O521" s="304"/>
      <c r="P521" s="304"/>
      <c r="Q521" s="304"/>
    </row>
    <row r="522" spans="1:17" ht="13.8" x14ac:dyDescent="0.3">
      <c r="A522" s="388">
        <f t="shared" si="29"/>
        <v>500</v>
      </c>
      <c r="B522" s="389">
        <f t="shared" ca="1" si="30"/>
        <v>0.1428723299747508</v>
      </c>
      <c r="C522" s="389">
        <f t="shared" ca="1" si="31"/>
        <v>5.0024710640802557E-2</v>
      </c>
      <c r="D522" s="390">
        <f t="shared" ca="1" si="32"/>
        <v>0.93633279838809436</v>
      </c>
      <c r="E522" s="391" cm="1">
        <f t="array" aca="1" ref="E522" ca="1">(SUMPRODUCT($B$13:$F$13*D522/(1+B522)^$B$14:$F$14)+($F$13*D522*(1+C522))/(B522-C522)/(1+B522)^$F$14-$B$15+$B$16)/$B$17</f>
        <v>1057.7279504566566</v>
      </c>
      <c r="F522" s="304"/>
      <c r="G522" s="304"/>
      <c r="H522" s="304"/>
      <c r="I522" s="304"/>
      <c r="J522" s="304"/>
      <c r="K522" s="304"/>
      <c r="L522" s="304"/>
      <c r="M522" s="304"/>
      <c r="N522" s="304"/>
      <c r="O522" s="304"/>
      <c r="P522" s="304"/>
      <c r="Q522" s="304"/>
    </row>
    <row r="523" spans="1:17" ht="13.8" x14ac:dyDescent="0.3">
      <c r="A523" s="388">
        <f t="shared" si="29"/>
        <v>501</v>
      </c>
      <c r="B523" s="389">
        <f t="shared" ca="1" si="30"/>
        <v>0.11832729691352276</v>
      </c>
      <c r="C523" s="389">
        <f t="shared" ca="1" si="31"/>
        <v>5.9032825191544951E-2</v>
      </c>
      <c r="D523" s="390">
        <f t="shared" ca="1" si="32"/>
        <v>0.93160547008705474</v>
      </c>
      <c r="E523" s="391" cm="1">
        <f t="array" aca="1" ref="E523" ca="1">(SUMPRODUCT($B$13:$F$13*D523/(1+B523)^$B$14:$F$14)+($F$13*D523*(1+C523))/(B523-C523)/(1+B523)^$F$14-$B$15+$B$16)/$B$17</f>
        <v>1670.3439063487269</v>
      </c>
      <c r="F523" s="304"/>
      <c r="G523" s="304"/>
      <c r="H523" s="304"/>
      <c r="I523" s="304"/>
      <c r="J523" s="304"/>
      <c r="K523" s="304"/>
      <c r="L523" s="304"/>
      <c r="M523" s="304"/>
      <c r="N523" s="304"/>
      <c r="O523" s="304"/>
      <c r="P523" s="304"/>
      <c r="Q523" s="304"/>
    </row>
    <row r="524" spans="1:17" ht="13.8" x14ac:dyDescent="0.3">
      <c r="A524" s="388">
        <f t="shared" si="29"/>
        <v>502</v>
      </c>
      <c r="B524" s="389">
        <f t="shared" ca="1" si="30"/>
        <v>0.11826484050027999</v>
      </c>
      <c r="C524" s="389">
        <f t="shared" ca="1" si="31"/>
        <v>4.8838345510265516E-2</v>
      </c>
      <c r="D524" s="390">
        <f t="shared" ca="1" si="32"/>
        <v>0.9637872136647585</v>
      </c>
      <c r="E524" s="391" cm="1">
        <f t="array" aca="1" ref="E524" ca="1">(SUMPRODUCT($B$13:$F$13*D524/(1+B524)^$B$14:$F$14)+($F$13*D524*(1+C524))/(B524-C524)/(1+B524)^$F$14-$B$15+$B$16)/$B$17</f>
        <v>1507.2459338194842</v>
      </c>
      <c r="F524" s="304"/>
      <c r="G524" s="304"/>
      <c r="H524" s="304"/>
      <c r="I524" s="304"/>
      <c r="J524" s="304"/>
      <c r="K524" s="304"/>
      <c r="L524" s="304"/>
      <c r="M524" s="304"/>
      <c r="N524" s="304"/>
      <c r="O524" s="304"/>
      <c r="P524" s="304"/>
      <c r="Q524" s="304"/>
    </row>
    <row r="525" spans="1:17" ht="13.8" x14ac:dyDescent="0.3">
      <c r="A525" s="388">
        <f t="shared" si="29"/>
        <v>503</v>
      </c>
      <c r="B525" s="389">
        <f t="shared" ca="1" si="30"/>
        <v>0.11281374631000161</v>
      </c>
      <c r="C525" s="389">
        <f t="shared" ca="1" si="31"/>
        <v>5.1869277317525199E-2</v>
      </c>
      <c r="D525" s="390">
        <f t="shared" ca="1" si="32"/>
        <v>0.9985267500792061</v>
      </c>
      <c r="E525" s="391" cm="1">
        <f t="array" aca="1" ref="E525" ca="1">(SUMPRODUCT($B$13:$F$13*D525/(1+B525)^$B$14:$F$14)+($F$13*D525*(1+C525))/(B525-C525)/(1+B525)^$F$14-$B$15+$B$16)/$B$17</f>
        <v>1782.5185055790246</v>
      </c>
      <c r="F525" s="304"/>
      <c r="G525" s="304"/>
      <c r="H525" s="304"/>
      <c r="I525" s="304"/>
      <c r="J525" s="304"/>
      <c r="K525" s="304"/>
      <c r="L525" s="304"/>
      <c r="M525" s="304"/>
      <c r="N525" s="304"/>
      <c r="O525" s="304"/>
      <c r="P525" s="304"/>
      <c r="Q525" s="304"/>
    </row>
    <row r="526" spans="1:17" ht="13.8" x14ac:dyDescent="0.3">
      <c r="A526" s="388">
        <f t="shared" si="29"/>
        <v>504</v>
      </c>
      <c r="B526" s="389">
        <f t="shared" ca="1" si="30"/>
        <v>0.12328509133808467</v>
      </c>
      <c r="C526" s="389">
        <f t="shared" ca="1" si="31"/>
        <v>5.6954000877950745E-2</v>
      </c>
      <c r="D526" s="390">
        <f t="shared" ca="1" si="32"/>
        <v>0.97073860210778606</v>
      </c>
      <c r="E526" s="391" cm="1">
        <f t="array" aca="1" ref="E526" ca="1">(SUMPRODUCT($B$13:$F$13*D526/(1+B526)^$B$14:$F$14)+($F$13*D526*(1+C526))/(B526-C526)/(1+B526)^$F$14-$B$15+$B$16)/$B$17</f>
        <v>1554.3908588335978</v>
      </c>
      <c r="F526" s="304"/>
      <c r="G526" s="304"/>
      <c r="H526" s="304"/>
      <c r="I526" s="304"/>
      <c r="J526" s="304"/>
      <c r="K526" s="304"/>
      <c r="L526" s="304"/>
      <c r="M526" s="304"/>
      <c r="N526" s="304"/>
      <c r="O526" s="304"/>
      <c r="P526" s="304"/>
      <c r="Q526" s="304"/>
    </row>
    <row r="527" spans="1:17" ht="13.8" x14ac:dyDescent="0.3">
      <c r="A527" s="388">
        <f t="shared" si="29"/>
        <v>505</v>
      </c>
      <c r="B527" s="389">
        <f t="shared" ca="1" si="30"/>
        <v>0.13219149535980945</v>
      </c>
      <c r="C527" s="389">
        <f t="shared" ca="1" si="31"/>
        <v>3.5894731251378209E-2</v>
      </c>
      <c r="D527" s="390">
        <f t="shared" ca="1" si="32"/>
        <v>1.1488128254928673</v>
      </c>
      <c r="E527" s="391" cm="1">
        <f t="array" aca="1" ref="E527" ca="1">(SUMPRODUCT($B$13:$F$13*D527/(1+B527)^$B$14:$F$14)+($F$13*D527*(1+C527))/(B527-C527)/(1+B527)^$F$14-$B$15+$B$16)/$B$17</f>
        <v>1313.1444626993261</v>
      </c>
      <c r="F527" s="304"/>
      <c r="G527" s="304"/>
      <c r="H527" s="304"/>
      <c r="I527" s="304"/>
      <c r="J527" s="304"/>
      <c r="K527" s="304"/>
      <c r="L527" s="304"/>
      <c r="M527" s="304"/>
      <c r="N527" s="304"/>
      <c r="O527" s="304"/>
      <c r="P527" s="304"/>
      <c r="Q527" s="304"/>
    </row>
    <row r="528" spans="1:17" ht="13.8" x14ac:dyDescent="0.3">
      <c r="A528" s="388">
        <f t="shared" si="29"/>
        <v>506</v>
      </c>
      <c r="B528" s="389">
        <f t="shared" ca="1" si="30"/>
        <v>0.1166997562459986</v>
      </c>
      <c r="C528" s="389">
        <f t="shared" ca="1" si="31"/>
        <v>4.40038707324584E-2</v>
      </c>
      <c r="D528" s="390">
        <f t="shared" ca="1" si="32"/>
        <v>0.90789847484229325</v>
      </c>
      <c r="E528" s="391" cm="1">
        <f t="array" aca="1" ref="E528" ca="1">(SUMPRODUCT($B$13:$F$13*D528/(1+B528)^$B$14:$F$14)+($F$13*D528*(1+C528))/(B528-C528)/(1+B528)^$F$14-$B$15+$B$16)/$B$17</f>
        <v>1368.7548562497918</v>
      </c>
      <c r="F528" s="304"/>
      <c r="G528" s="304"/>
      <c r="H528" s="304"/>
      <c r="I528" s="304"/>
      <c r="J528" s="304"/>
      <c r="K528" s="304"/>
      <c r="L528" s="304"/>
      <c r="M528" s="304"/>
      <c r="N528" s="304"/>
      <c r="O528" s="304"/>
      <c r="P528" s="304"/>
      <c r="Q528" s="304"/>
    </row>
    <row r="529" spans="1:17" ht="13.8" x14ac:dyDescent="0.3">
      <c r="A529" s="388">
        <f t="shared" si="29"/>
        <v>507</v>
      </c>
      <c r="B529" s="389">
        <f t="shared" ca="1" si="30"/>
        <v>0.10957799081920801</v>
      </c>
      <c r="C529" s="389">
        <f t="shared" ca="1" si="31"/>
        <v>4.8848923658105836E-2</v>
      </c>
      <c r="D529" s="390">
        <f t="shared" ca="1" si="32"/>
        <v>1.0734511957642945</v>
      </c>
      <c r="E529" s="391" cm="1">
        <f t="array" aca="1" ref="E529" ca="1">(SUMPRODUCT($B$13:$F$13*D529/(1+B529)^$B$14:$F$14)+($F$13*D529*(1+C529))/(B529-C529)/(1+B529)^$F$14-$B$15+$B$16)/$B$17</f>
        <v>1946.1694462531802</v>
      </c>
      <c r="F529" s="304"/>
      <c r="G529" s="304"/>
      <c r="H529" s="304"/>
      <c r="I529" s="304"/>
      <c r="J529" s="304"/>
      <c r="K529" s="304"/>
      <c r="L529" s="304"/>
      <c r="M529" s="304"/>
      <c r="N529" s="304"/>
      <c r="O529" s="304"/>
      <c r="P529" s="304"/>
      <c r="Q529" s="304"/>
    </row>
    <row r="530" spans="1:17" ht="13.8" x14ac:dyDescent="0.3">
      <c r="A530" s="388">
        <f t="shared" si="29"/>
        <v>508</v>
      </c>
      <c r="B530" s="389">
        <f t="shared" ca="1" si="30"/>
        <v>0.14175282542093484</v>
      </c>
      <c r="C530" s="389">
        <f t="shared" ca="1" si="31"/>
        <v>5.4403361325331009E-2</v>
      </c>
      <c r="D530" s="390">
        <f t="shared" ca="1" si="32"/>
        <v>0.92267386043574362</v>
      </c>
      <c r="E530" s="391" cm="1">
        <f t="array" aca="1" ref="E530" ca="1">(SUMPRODUCT($B$13:$F$13*D530/(1+B530)^$B$14:$F$14)+($F$13*D530*(1+C530))/(B530-C530)/(1+B530)^$F$14-$B$15+$B$16)/$B$17</f>
        <v>1099.6397282800988</v>
      </c>
      <c r="F530" s="304"/>
      <c r="G530" s="304"/>
      <c r="H530" s="304"/>
      <c r="I530" s="304"/>
      <c r="J530" s="304"/>
      <c r="K530" s="304"/>
      <c r="L530" s="304"/>
      <c r="M530" s="304"/>
      <c r="N530" s="304"/>
      <c r="O530" s="304"/>
      <c r="P530" s="304"/>
      <c r="Q530" s="304"/>
    </row>
    <row r="531" spans="1:17" ht="13.8" x14ac:dyDescent="0.3">
      <c r="A531" s="388">
        <f t="shared" si="29"/>
        <v>509</v>
      </c>
      <c r="B531" s="389">
        <f t="shared" ca="1" si="30"/>
        <v>0.12469791352142891</v>
      </c>
      <c r="C531" s="389">
        <f t="shared" ca="1" si="31"/>
        <v>4.7121543255514306E-2</v>
      </c>
      <c r="D531" s="390">
        <f t="shared" ca="1" si="32"/>
        <v>0.97429806243558037</v>
      </c>
      <c r="E531" s="391" cm="1">
        <f t="array" aca="1" ref="E531" ca="1">(SUMPRODUCT($B$13:$F$13*D531/(1+B531)^$B$14:$F$14)+($F$13*D531*(1+C531))/(B531-C531)/(1+B531)^$F$14-$B$15+$B$16)/$B$17</f>
        <v>1357.4497963380065</v>
      </c>
      <c r="F531" s="304"/>
      <c r="G531" s="304"/>
      <c r="H531" s="304"/>
      <c r="I531" s="304"/>
      <c r="J531" s="304"/>
      <c r="K531" s="304"/>
      <c r="L531" s="304"/>
      <c r="M531" s="304"/>
      <c r="N531" s="304"/>
      <c r="O531" s="304"/>
      <c r="P531" s="304"/>
      <c r="Q531" s="304"/>
    </row>
    <row r="532" spans="1:17" ht="13.8" x14ac:dyDescent="0.3">
      <c r="A532" s="388">
        <f t="shared" si="29"/>
        <v>510</v>
      </c>
      <c r="B532" s="389">
        <f t="shared" ca="1" si="30"/>
        <v>0.12507474391190426</v>
      </c>
      <c r="C532" s="389">
        <f t="shared" ca="1" si="31"/>
        <v>4.8063568785410744E-2</v>
      </c>
      <c r="D532" s="390">
        <f t="shared" ca="1" si="32"/>
        <v>1.053512639017834</v>
      </c>
      <c r="E532" s="391" cm="1">
        <f t="array" aca="1" ref="E532" ca="1">(SUMPRODUCT($B$13:$F$13*D532/(1+B532)^$B$14:$F$14)+($F$13*D532*(1+C532))/(B532-C532)/(1+B532)^$F$14-$B$15+$B$16)/$B$17</f>
        <v>1479.0651042462614</v>
      </c>
      <c r="F532" s="304"/>
      <c r="G532" s="304"/>
      <c r="H532" s="304"/>
      <c r="I532" s="304"/>
      <c r="J532" s="304"/>
      <c r="K532" s="304"/>
      <c r="L532" s="304"/>
      <c r="M532" s="304"/>
      <c r="N532" s="304"/>
      <c r="O532" s="304"/>
      <c r="P532" s="304"/>
      <c r="Q532" s="304"/>
    </row>
    <row r="533" spans="1:17" ht="13.8" x14ac:dyDescent="0.3">
      <c r="A533" s="388">
        <f t="shared" si="29"/>
        <v>511</v>
      </c>
      <c r="B533" s="389">
        <f t="shared" ca="1" si="30"/>
        <v>0.116867412077577</v>
      </c>
      <c r="C533" s="389">
        <f t="shared" ca="1" si="31"/>
        <v>4.9038940042360646E-2</v>
      </c>
      <c r="D533" s="390">
        <f t="shared" ca="1" si="32"/>
        <v>0.9448754456894467</v>
      </c>
      <c r="E533" s="391" cm="1">
        <f t="array" aca="1" ref="E533" ca="1">(SUMPRODUCT($B$13:$F$13*D533/(1+B533)^$B$14:$F$14)+($F$13*D533*(1+C533))/(B533-C533)/(1+B533)^$F$14-$B$15+$B$16)/$B$17</f>
        <v>1513.6751515232415</v>
      </c>
      <c r="F533" s="304"/>
      <c r="G533" s="304"/>
      <c r="H533" s="304"/>
      <c r="I533" s="304"/>
      <c r="J533" s="304"/>
      <c r="K533" s="304"/>
      <c r="L533" s="304"/>
      <c r="M533" s="304"/>
      <c r="N533" s="304"/>
      <c r="O533" s="304"/>
      <c r="P533" s="304"/>
      <c r="Q533" s="304"/>
    </row>
    <row r="534" spans="1:17" ht="13.8" x14ac:dyDescent="0.3">
      <c r="A534" s="388">
        <f t="shared" si="29"/>
        <v>512</v>
      </c>
      <c r="B534" s="389">
        <f t="shared" ca="1" si="30"/>
        <v>0.11674216256756093</v>
      </c>
      <c r="C534" s="389">
        <f t="shared" ca="1" si="31"/>
        <v>4.2926236008653661E-2</v>
      </c>
      <c r="D534" s="390">
        <f t="shared" ca="1" si="32"/>
        <v>1.1495483689464083</v>
      </c>
      <c r="E534" s="391" cm="1">
        <f t="array" aca="1" ref="E534" ca="1">(SUMPRODUCT($B$13:$F$13*D534/(1+B534)^$B$14:$F$14)+($F$13*D534*(1+C534))/(B534-C534)/(1+B534)^$F$14-$B$15+$B$16)/$B$17</f>
        <v>1722.8297058649302</v>
      </c>
      <c r="F534" s="304"/>
      <c r="G534" s="304"/>
      <c r="H534" s="304"/>
      <c r="I534" s="304"/>
      <c r="J534" s="304"/>
      <c r="K534" s="304"/>
      <c r="L534" s="304"/>
      <c r="M534" s="304"/>
      <c r="N534" s="304"/>
      <c r="O534" s="304"/>
      <c r="P534" s="304"/>
      <c r="Q534" s="304"/>
    </row>
    <row r="535" spans="1:17" ht="13.8" x14ac:dyDescent="0.3">
      <c r="A535" s="388">
        <f t="shared" si="29"/>
        <v>513</v>
      </c>
      <c r="B535" s="389">
        <f t="shared" ca="1" si="30"/>
        <v>0.1481187865697621</v>
      </c>
      <c r="C535" s="389">
        <f t="shared" ca="1" si="31"/>
        <v>4.9373724006506838E-2</v>
      </c>
      <c r="D535" s="390">
        <f t="shared" ca="1" si="32"/>
        <v>0.89599113970942901</v>
      </c>
      <c r="E535" s="391" cm="1">
        <f t="array" aca="1" ref="E535" ca="1">(SUMPRODUCT($B$13:$F$13*D535/(1+B535)^$B$14:$F$14)+($F$13*D535*(1+C535))/(B535-C535)/(1+B535)^$F$14-$B$15+$B$16)/$B$17</f>
        <v>944.58194068455884</v>
      </c>
      <c r="F535" s="304"/>
      <c r="G535" s="304"/>
      <c r="H535" s="304"/>
      <c r="I535" s="304"/>
      <c r="J535" s="304"/>
      <c r="K535" s="304"/>
      <c r="L535" s="304"/>
      <c r="M535" s="304"/>
      <c r="N535" s="304"/>
      <c r="O535" s="304"/>
      <c r="P535" s="304"/>
      <c r="Q535" s="304"/>
    </row>
    <row r="536" spans="1:17" ht="13.8" x14ac:dyDescent="0.3">
      <c r="A536" s="388">
        <f t="shared" ref="A536:A599" si="33">ROW()-22</f>
        <v>514</v>
      </c>
      <c r="B536" s="389">
        <f t="shared" ref="B536:B599" ca="1" si="34">_xlfn.NORM.INV(RAND(),$B$6,$C$6)</f>
        <v>0.11850117556882714</v>
      </c>
      <c r="C536" s="389">
        <f t="shared" ref="C536:C599" ca="1" si="35">MIN(_xlfn.NORM.INV(RAND(),$B$7,$C$7),B536-0.005)</f>
        <v>4.8853671723678431E-2</v>
      </c>
      <c r="D536" s="390">
        <f t="shared" ref="D536:D599" ca="1" si="36">_xlfn.NORM.INV(RAND(),$B$8,$C$8)</f>
        <v>1.1162734169078696</v>
      </c>
      <c r="E536" s="391" cm="1">
        <f t="array" aca="1" ref="E536" ca="1">(SUMPRODUCT($B$13:$F$13*D536/(1+B536)^$B$14:$F$14)+($F$13*D536*(1+C536))/(B536-C536)/(1+B536)^$F$14-$B$15+$B$16)/$B$17</f>
        <v>1747.1159963153821</v>
      </c>
      <c r="F536" s="304"/>
      <c r="G536" s="304"/>
      <c r="H536" s="304"/>
      <c r="I536" s="304"/>
      <c r="J536" s="304"/>
      <c r="K536" s="304"/>
      <c r="L536" s="304"/>
      <c r="M536" s="304"/>
      <c r="N536" s="304"/>
      <c r="O536" s="304"/>
      <c r="P536" s="304"/>
      <c r="Q536" s="304"/>
    </row>
    <row r="537" spans="1:17" ht="13.8" x14ac:dyDescent="0.3">
      <c r="A537" s="388">
        <f t="shared" si="33"/>
        <v>515</v>
      </c>
      <c r="B537" s="389">
        <f t="shared" ca="1" si="34"/>
        <v>0.13201563939008717</v>
      </c>
      <c r="C537" s="389">
        <f t="shared" ca="1" si="35"/>
        <v>6.2384416288045898E-2</v>
      </c>
      <c r="D537" s="390">
        <f t="shared" ca="1" si="36"/>
        <v>0.99524914729496106</v>
      </c>
      <c r="E537" s="391" cm="1">
        <f t="array" aca="1" ref="E537" ca="1">(SUMPRODUCT($B$13:$F$13*D537/(1+B537)^$B$14:$F$14)+($F$13*D537*(1+C537))/(B537-C537)/(1+B537)^$F$14-$B$15+$B$16)/$B$17</f>
        <v>1487.0806463105066</v>
      </c>
      <c r="F537" s="304"/>
      <c r="G537" s="304"/>
      <c r="H537" s="304"/>
      <c r="I537" s="304"/>
      <c r="J537" s="304"/>
      <c r="K537" s="304"/>
      <c r="L537" s="304"/>
      <c r="M537" s="304"/>
      <c r="N537" s="304"/>
      <c r="O537" s="304"/>
      <c r="P537" s="304"/>
      <c r="Q537" s="304"/>
    </row>
    <row r="538" spans="1:17" ht="13.8" x14ac:dyDescent="0.3">
      <c r="A538" s="388">
        <f t="shared" si="33"/>
        <v>516</v>
      </c>
      <c r="B538" s="389">
        <f t="shared" ca="1" si="34"/>
        <v>0.12397555778764197</v>
      </c>
      <c r="C538" s="389">
        <f t="shared" ca="1" si="35"/>
        <v>5.4892715225618692E-2</v>
      </c>
      <c r="D538" s="390">
        <f t="shared" ca="1" si="36"/>
        <v>1.1315601966582052</v>
      </c>
      <c r="E538" s="391" cm="1">
        <f t="array" aca="1" ref="E538" ca="1">(SUMPRODUCT($B$13:$F$13*D538/(1+B538)^$B$14:$F$14)+($F$13*D538*(1+C538))/(B538-C538)/(1+B538)^$F$14-$B$15+$B$16)/$B$17</f>
        <v>1753.1408820747342</v>
      </c>
      <c r="F538" s="304"/>
      <c r="G538" s="304"/>
      <c r="H538" s="304"/>
      <c r="I538" s="304"/>
      <c r="J538" s="304"/>
      <c r="K538" s="304"/>
      <c r="L538" s="304"/>
      <c r="M538" s="304"/>
      <c r="N538" s="304"/>
      <c r="O538" s="304"/>
      <c r="P538" s="304"/>
      <c r="Q538" s="304"/>
    </row>
    <row r="539" spans="1:17" ht="13.8" x14ac:dyDescent="0.3">
      <c r="A539" s="388">
        <f t="shared" si="33"/>
        <v>517</v>
      </c>
      <c r="B539" s="389">
        <f t="shared" ca="1" si="34"/>
        <v>0.12888837813430262</v>
      </c>
      <c r="C539" s="389">
        <f t="shared" ca="1" si="35"/>
        <v>4.8958058817059093E-2</v>
      </c>
      <c r="D539" s="390">
        <f t="shared" ca="1" si="36"/>
        <v>1.0345120554798846</v>
      </c>
      <c r="E539" s="391" cm="1">
        <f t="array" aca="1" ref="E539" ca="1">(SUMPRODUCT($B$13:$F$13*D539/(1+B539)^$B$14:$F$14)+($F$13*D539*(1+C539))/(B539-C539)/(1+B539)^$F$14-$B$15+$B$16)/$B$17</f>
        <v>1389.530975111162</v>
      </c>
      <c r="F539" s="304"/>
      <c r="G539" s="304"/>
      <c r="H539" s="304"/>
      <c r="I539" s="304"/>
      <c r="J539" s="304"/>
      <c r="K539" s="304"/>
      <c r="L539" s="304"/>
      <c r="M539" s="304"/>
      <c r="N539" s="304"/>
      <c r="O539" s="304"/>
      <c r="P539" s="304"/>
      <c r="Q539" s="304"/>
    </row>
    <row r="540" spans="1:17" ht="13.8" x14ac:dyDescent="0.3">
      <c r="A540" s="388">
        <f t="shared" si="33"/>
        <v>518</v>
      </c>
      <c r="B540" s="389">
        <f t="shared" ca="1" si="34"/>
        <v>0.13951474552666449</v>
      </c>
      <c r="C540" s="389">
        <f t="shared" ca="1" si="35"/>
        <v>5.0985187620698334E-2</v>
      </c>
      <c r="D540" s="390">
        <f t="shared" ca="1" si="36"/>
        <v>0.92006089035981564</v>
      </c>
      <c r="E540" s="391" cm="1">
        <f t="array" aca="1" ref="E540" ca="1">(SUMPRODUCT($B$13:$F$13*D540/(1+B540)^$B$14:$F$14)+($F$13*D540*(1+C540))/(B540-C540)/(1+B540)^$F$14-$B$15+$B$16)/$B$17</f>
        <v>1091.8441443355159</v>
      </c>
      <c r="F540" s="304"/>
      <c r="G540" s="304"/>
      <c r="H540" s="304"/>
      <c r="I540" s="304"/>
      <c r="J540" s="304"/>
      <c r="K540" s="304"/>
      <c r="L540" s="304"/>
      <c r="M540" s="304"/>
      <c r="N540" s="304"/>
      <c r="O540" s="304"/>
      <c r="P540" s="304"/>
      <c r="Q540" s="304"/>
    </row>
    <row r="541" spans="1:17" ht="13.8" x14ac:dyDescent="0.3">
      <c r="A541" s="388">
        <f t="shared" si="33"/>
        <v>519</v>
      </c>
      <c r="B541" s="389">
        <f t="shared" ca="1" si="34"/>
        <v>0.13556390880815683</v>
      </c>
      <c r="C541" s="389">
        <f t="shared" ca="1" si="35"/>
        <v>5.5479336083786905E-2</v>
      </c>
      <c r="D541" s="390">
        <f t="shared" ca="1" si="36"/>
        <v>0.98253838747820732</v>
      </c>
      <c r="E541" s="391" cm="1">
        <f t="array" aca="1" ref="E541" ca="1">(SUMPRODUCT($B$13:$F$13*D541/(1+B541)^$B$14:$F$14)+($F$13*D541*(1+C541))/(B541-C541)/(1+B541)^$F$14-$B$15+$B$16)/$B$17</f>
        <v>1287.6440919244585</v>
      </c>
      <c r="F541" s="304"/>
      <c r="G541" s="304"/>
      <c r="H541" s="304"/>
      <c r="I541" s="304"/>
      <c r="J541" s="304"/>
      <c r="K541" s="304"/>
      <c r="L541" s="304"/>
      <c r="M541" s="304"/>
      <c r="N541" s="304"/>
      <c r="O541" s="304"/>
      <c r="P541" s="304"/>
      <c r="Q541" s="304"/>
    </row>
    <row r="542" spans="1:17" ht="13.8" x14ac:dyDescent="0.3">
      <c r="A542" s="388">
        <f t="shared" si="33"/>
        <v>520</v>
      </c>
      <c r="B542" s="389">
        <f t="shared" ca="1" si="34"/>
        <v>0.11120041818234043</v>
      </c>
      <c r="C542" s="389">
        <f t="shared" ca="1" si="35"/>
        <v>4.9865739554162125E-2</v>
      </c>
      <c r="D542" s="390">
        <f t="shared" ca="1" si="36"/>
        <v>1.0461765585497986</v>
      </c>
      <c r="E542" s="391" cm="1">
        <f t="array" aca="1" ref="E542" ca="1">(SUMPRODUCT($B$13:$F$13*D542/(1+B542)^$B$14:$F$14)+($F$13*D542*(1+C542))/(B542-C542)/(1+B542)^$F$14-$B$15+$B$16)/$B$17</f>
        <v>1869.1739957282518</v>
      </c>
      <c r="F542" s="304"/>
      <c r="G542" s="304"/>
      <c r="H542" s="304"/>
      <c r="I542" s="304"/>
      <c r="J542" s="304"/>
      <c r="K542" s="304"/>
      <c r="L542" s="304"/>
      <c r="M542" s="304"/>
      <c r="N542" s="304"/>
      <c r="O542" s="304"/>
      <c r="P542" s="304"/>
      <c r="Q542" s="304"/>
    </row>
    <row r="543" spans="1:17" ht="13.8" x14ac:dyDescent="0.3">
      <c r="A543" s="388">
        <f t="shared" si="33"/>
        <v>521</v>
      </c>
      <c r="B543" s="389">
        <f t="shared" ca="1" si="34"/>
        <v>0.14147322301671628</v>
      </c>
      <c r="C543" s="389">
        <f t="shared" ca="1" si="35"/>
        <v>5.5131068310648595E-2</v>
      </c>
      <c r="D543" s="390">
        <f t="shared" ca="1" si="36"/>
        <v>1.0560276799794379</v>
      </c>
      <c r="E543" s="391" cm="1">
        <f t="array" aca="1" ref="E543" ca="1">(SUMPRODUCT($B$13:$F$13*D543/(1+B543)^$B$14:$F$14)+($F$13*D543*(1+C543))/(B543-C543)/(1+B543)^$F$14-$B$15+$B$16)/$B$17</f>
        <v>1278.8169552541624</v>
      </c>
      <c r="F543" s="304"/>
      <c r="G543" s="304"/>
      <c r="H543" s="304"/>
      <c r="I543" s="304"/>
      <c r="J543" s="304"/>
      <c r="K543" s="304"/>
      <c r="L543" s="304"/>
      <c r="M543" s="304"/>
      <c r="N543" s="304"/>
      <c r="O543" s="304"/>
      <c r="P543" s="304"/>
      <c r="Q543" s="304"/>
    </row>
    <row r="544" spans="1:17" ht="13.8" x14ac:dyDescent="0.3">
      <c r="A544" s="388">
        <f t="shared" si="33"/>
        <v>522</v>
      </c>
      <c r="B544" s="389">
        <f t="shared" ca="1" si="34"/>
        <v>0.10320547545118648</v>
      </c>
      <c r="C544" s="389">
        <f t="shared" ca="1" si="35"/>
        <v>4.2981686274318406E-2</v>
      </c>
      <c r="D544" s="390">
        <f t="shared" ca="1" si="36"/>
        <v>1.1199715880764149</v>
      </c>
      <c r="E544" s="391" cm="1">
        <f t="array" aca="1" ref="E544" ca="1">(SUMPRODUCT($B$13:$F$13*D544/(1+B544)^$B$14:$F$14)+($F$13*D544*(1+C544))/(B544-C544)/(1+B544)^$F$14-$B$15+$B$16)/$B$17</f>
        <v>2090.5378478711737</v>
      </c>
      <c r="F544" s="304"/>
      <c r="G544" s="304"/>
      <c r="H544" s="304"/>
      <c r="I544" s="304"/>
      <c r="J544" s="304"/>
      <c r="K544" s="304"/>
      <c r="L544" s="304"/>
      <c r="M544" s="304"/>
      <c r="N544" s="304"/>
      <c r="O544" s="304"/>
      <c r="P544" s="304"/>
      <c r="Q544" s="304"/>
    </row>
    <row r="545" spans="1:17" ht="13.8" x14ac:dyDescent="0.3">
      <c r="A545" s="388">
        <f t="shared" si="33"/>
        <v>523</v>
      </c>
      <c r="B545" s="389">
        <f t="shared" ca="1" si="34"/>
        <v>9.9006801433572877E-2</v>
      </c>
      <c r="C545" s="389">
        <f t="shared" ca="1" si="35"/>
        <v>4.0607490083156422E-2</v>
      </c>
      <c r="D545" s="390">
        <f t="shared" ca="1" si="36"/>
        <v>0.94709385581912209</v>
      </c>
      <c r="E545" s="391" cm="1">
        <f t="array" aca="1" ref="E545" ca="1">(SUMPRODUCT($B$13:$F$13*D545/(1+B545)^$B$14:$F$14)+($F$13*D545*(1+C545))/(B545-C545)/(1+B545)^$F$14-$B$15+$B$16)/$B$17</f>
        <v>1834.2363761202869</v>
      </c>
      <c r="F545" s="304"/>
      <c r="G545" s="304"/>
      <c r="H545" s="304"/>
      <c r="I545" s="304"/>
      <c r="J545" s="304"/>
      <c r="K545" s="304"/>
      <c r="L545" s="304"/>
      <c r="M545" s="304"/>
      <c r="N545" s="304"/>
      <c r="O545" s="304"/>
      <c r="P545" s="304"/>
      <c r="Q545" s="304"/>
    </row>
    <row r="546" spans="1:17" ht="13.8" x14ac:dyDescent="0.3">
      <c r="A546" s="388">
        <f t="shared" si="33"/>
        <v>524</v>
      </c>
      <c r="B546" s="389">
        <f t="shared" ca="1" si="34"/>
        <v>0.12705192284779604</v>
      </c>
      <c r="C546" s="389">
        <f t="shared" ca="1" si="35"/>
        <v>5.2268576365806084E-2</v>
      </c>
      <c r="D546" s="390">
        <f t="shared" ca="1" si="36"/>
        <v>0.9436029788977468</v>
      </c>
      <c r="E546" s="391" cm="1">
        <f t="array" aca="1" ref="E546" ca="1">(SUMPRODUCT($B$13:$F$13*D546/(1+B546)^$B$14:$F$14)+($F$13*D546*(1+C546))/(B546-C546)/(1+B546)^$F$14-$B$15+$B$16)/$B$17</f>
        <v>1344.7833359339852</v>
      </c>
      <c r="F546" s="304"/>
      <c r="G546" s="304"/>
      <c r="H546" s="304"/>
      <c r="I546" s="304"/>
      <c r="J546" s="304"/>
      <c r="K546" s="304"/>
      <c r="L546" s="304"/>
      <c r="M546" s="304"/>
      <c r="N546" s="304"/>
      <c r="O546" s="304"/>
      <c r="P546" s="304"/>
      <c r="Q546" s="304"/>
    </row>
    <row r="547" spans="1:17" ht="13.8" x14ac:dyDescent="0.3">
      <c r="A547" s="388">
        <f t="shared" si="33"/>
        <v>525</v>
      </c>
      <c r="B547" s="389">
        <f t="shared" ca="1" si="34"/>
        <v>9.8873238708988787E-2</v>
      </c>
      <c r="C547" s="389">
        <f t="shared" ca="1" si="35"/>
        <v>4.9730623492490959E-2</v>
      </c>
      <c r="D547" s="390">
        <f t="shared" ca="1" si="36"/>
        <v>1.0159091786641254</v>
      </c>
      <c r="E547" s="391" cm="1">
        <f t="array" aca="1" ref="E547" ca="1">(SUMPRODUCT($B$13:$F$13*D547/(1+B547)^$B$14:$F$14)+($F$13*D547*(1+C547))/(B547-C547)/(1+B547)^$F$14-$B$15+$B$16)/$B$17</f>
        <v>2300.2973357348892</v>
      </c>
      <c r="F547" s="304"/>
      <c r="G547" s="304"/>
      <c r="H547" s="304"/>
      <c r="I547" s="304"/>
      <c r="J547" s="304"/>
      <c r="K547" s="304"/>
      <c r="L547" s="304"/>
      <c r="M547" s="304"/>
      <c r="N547" s="304"/>
      <c r="O547" s="304"/>
      <c r="P547" s="304"/>
      <c r="Q547" s="304"/>
    </row>
    <row r="548" spans="1:17" ht="13.8" x14ac:dyDescent="0.3">
      <c r="A548" s="388">
        <f t="shared" si="33"/>
        <v>526</v>
      </c>
      <c r="B548" s="389">
        <f t="shared" ca="1" si="34"/>
        <v>0.10690079651956702</v>
      </c>
      <c r="C548" s="389">
        <f t="shared" ca="1" si="35"/>
        <v>4.9819910935067109E-2</v>
      </c>
      <c r="D548" s="390">
        <f t="shared" ca="1" si="36"/>
        <v>1.0121836014118393</v>
      </c>
      <c r="E548" s="391" cm="1">
        <f t="array" aca="1" ref="E548" ca="1">(SUMPRODUCT($B$13:$F$13*D548/(1+B548)^$B$14:$F$14)+($F$13*D548*(1+C548))/(B548-C548)/(1+B548)^$F$14-$B$15+$B$16)/$B$17</f>
        <v>1952.3850453084715</v>
      </c>
      <c r="F548" s="304"/>
      <c r="G548" s="304"/>
      <c r="H548" s="304"/>
      <c r="I548" s="304"/>
      <c r="J548" s="304"/>
      <c r="K548" s="304"/>
      <c r="L548" s="304"/>
      <c r="M548" s="304"/>
      <c r="N548" s="304"/>
      <c r="O548" s="304"/>
      <c r="P548" s="304"/>
      <c r="Q548" s="304"/>
    </row>
    <row r="549" spans="1:17" ht="13.8" x14ac:dyDescent="0.3">
      <c r="A549" s="388">
        <f t="shared" si="33"/>
        <v>527</v>
      </c>
      <c r="B549" s="389">
        <f t="shared" ca="1" si="34"/>
        <v>0.11685702984978694</v>
      </c>
      <c r="C549" s="389">
        <f t="shared" ca="1" si="35"/>
        <v>4.8692687541960746E-2</v>
      </c>
      <c r="D549" s="390">
        <f t="shared" ca="1" si="36"/>
        <v>0.91507325438966103</v>
      </c>
      <c r="E549" s="391" cm="1">
        <f t="array" aca="1" ref="E549" ca="1">(SUMPRODUCT($B$13:$F$13*D549/(1+B549)^$B$14:$F$14)+($F$13*D549*(1+C549))/(B549-C549)/(1+B549)^$F$14-$B$15+$B$16)/$B$17</f>
        <v>1458.2101390319472</v>
      </c>
      <c r="F549" s="304"/>
      <c r="G549" s="304"/>
      <c r="H549" s="304"/>
      <c r="I549" s="304"/>
      <c r="J549" s="304"/>
      <c r="K549" s="304"/>
      <c r="L549" s="304"/>
      <c r="M549" s="304"/>
      <c r="N549" s="304"/>
      <c r="O549" s="304"/>
      <c r="P549" s="304"/>
      <c r="Q549" s="304"/>
    </row>
    <row r="550" spans="1:17" ht="13.8" x14ac:dyDescent="0.3">
      <c r="A550" s="388">
        <f t="shared" si="33"/>
        <v>528</v>
      </c>
      <c r="B550" s="389">
        <f t="shared" ca="1" si="34"/>
        <v>0.13345936464527172</v>
      </c>
      <c r="C550" s="389">
        <f t="shared" ca="1" si="35"/>
        <v>5.8798893815436667E-2</v>
      </c>
      <c r="D550" s="390">
        <f t="shared" ca="1" si="36"/>
        <v>0.92482861167745012</v>
      </c>
      <c r="E550" s="391" cm="1">
        <f t="array" aca="1" ref="E550" ca="1">(SUMPRODUCT($B$13:$F$13*D550/(1+B550)^$B$14:$F$14)+($F$13*D550*(1+C550))/(B550-C550)/(1+B550)^$F$14-$B$15+$B$16)/$B$17</f>
        <v>1292.2548373469656</v>
      </c>
      <c r="F550" s="304"/>
      <c r="G550" s="304"/>
      <c r="H550" s="304"/>
      <c r="I550" s="304"/>
      <c r="J550" s="304"/>
      <c r="K550" s="304"/>
      <c r="L550" s="304"/>
      <c r="M550" s="304"/>
      <c r="N550" s="304"/>
      <c r="O550" s="304"/>
      <c r="P550" s="304"/>
      <c r="Q550" s="304"/>
    </row>
    <row r="551" spans="1:17" ht="13.8" x14ac:dyDescent="0.3">
      <c r="A551" s="388">
        <f t="shared" si="33"/>
        <v>529</v>
      </c>
      <c r="B551" s="389">
        <f t="shared" ca="1" si="34"/>
        <v>0.12127415465347106</v>
      </c>
      <c r="C551" s="389">
        <f t="shared" ca="1" si="35"/>
        <v>4.6686634961439044E-2</v>
      </c>
      <c r="D551" s="390">
        <f t="shared" ca="1" si="36"/>
        <v>0.96956790858596875</v>
      </c>
      <c r="E551" s="391" cm="1">
        <f t="array" aca="1" ref="E551" ca="1">(SUMPRODUCT($B$13:$F$13*D551/(1+B551)^$B$14:$F$14)+($F$13*D551*(1+C551))/(B551-C551)/(1+B551)^$F$14-$B$15+$B$16)/$B$17</f>
        <v>1412.0856494839418</v>
      </c>
      <c r="F551" s="304"/>
      <c r="G551" s="304"/>
      <c r="H551" s="304"/>
      <c r="I551" s="304"/>
      <c r="J551" s="304"/>
      <c r="K551" s="304"/>
      <c r="L551" s="304"/>
      <c r="M551" s="304"/>
      <c r="N551" s="304"/>
      <c r="O551" s="304"/>
      <c r="P551" s="304"/>
      <c r="Q551" s="304"/>
    </row>
    <row r="552" spans="1:17" ht="13.8" x14ac:dyDescent="0.3">
      <c r="A552" s="388">
        <f t="shared" si="33"/>
        <v>530</v>
      </c>
      <c r="B552" s="389">
        <f t="shared" ca="1" si="34"/>
        <v>0.1398846763995816</v>
      </c>
      <c r="C552" s="389">
        <f t="shared" ca="1" si="35"/>
        <v>5.5748413941671723E-2</v>
      </c>
      <c r="D552" s="390">
        <f t="shared" ca="1" si="36"/>
        <v>1.0101678282743487</v>
      </c>
      <c r="E552" s="391" cm="1">
        <f t="array" aca="1" ref="E552" ca="1">(SUMPRODUCT($B$13:$F$13*D552/(1+B552)^$B$14:$F$14)+($F$13*D552*(1+C552))/(B552-C552)/(1+B552)^$F$14-$B$15+$B$16)/$B$17</f>
        <v>1254.1424574325545</v>
      </c>
      <c r="F552" s="304"/>
      <c r="G552" s="304"/>
      <c r="H552" s="304"/>
      <c r="I552" s="304"/>
      <c r="J552" s="304"/>
      <c r="K552" s="304"/>
      <c r="L552" s="304"/>
      <c r="M552" s="304"/>
      <c r="N552" s="304"/>
      <c r="O552" s="304"/>
      <c r="P552" s="304"/>
      <c r="Q552" s="304"/>
    </row>
    <row r="553" spans="1:17" ht="13.8" x14ac:dyDescent="0.3">
      <c r="A553" s="388">
        <f t="shared" si="33"/>
        <v>531</v>
      </c>
      <c r="B553" s="389">
        <f t="shared" ca="1" si="34"/>
        <v>0.13324326726926775</v>
      </c>
      <c r="C553" s="389">
        <f t="shared" ca="1" si="35"/>
        <v>5.3257537066967384E-2</v>
      </c>
      <c r="D553" s="390">
        <f t="shared" ca="1" si="36"/>
        <v>1.1228857464037676</v>
      </c>
      <c r="E553" s="391" cm="1">
        <f t="array" aca="1" ref="E553" ca="1">(SUMPRODUCT($B$13:$F$13*D553/(1+B553)^$B$14:$F$14)+($F$13*D553*(1+C553))/(B553-C553)/(1+B553)^$F$14-$B$15+$B$16)/$B$17</f>
        <v>1490.7557357648029</v>
      </c>
      <c r="F553" s="304"/>
      <c r="G553" s="304"/>
      <c r="H553" s="304"/>
      <c r="I553" s="304"/>
      <c r="J553" s="304"/>
      <c r="K553" s="304"/>
      <c r="L553" s="304"/>
      <c r="M553" s="304"/>
      <c r="N553" s="304"/>
      <c r="O553" s="304"/>
      <c r="P553" s="304"/>
      <c r="Q553" s="304"/>
    </row>
    <row r="554" spans="1:17" ht="13.8" x14ac:dyDescent="0.3">
      <c r="A554" s="388">
        <f t="shared" si="33"/>
        <v>532</v>
      </c>
      <c r="B554" s="389">
        <f t="shared" ca="1" si="34"/>
        <v>0.10586673904635487</v>
      </c>
      <c r="C554" s="389">
        <f t="shared" ca="1" si="35"/>
        <v>5.1580176218953902E-2</v>
      </c>
      <c r="D554" s="390">
        <f t="shared" ca="1" si="36"/>
        <v>1.1613941311737264</v>
      </c>
      <c r="E554" s="391" cm="1">
        <f t="array" aca="1" ref="E554" ca="1">(SUMPRODUCT($B$13:$F$13*D554/(1+B554)^$B$14:$F$14)+($F$13*D554*(1+C554))/(B554-C554)/(1+B554)^$F$14-$B$15+$B$16)/$B$17</f>
        <v>2357.3305015483134</v>
      </c>
      <c r="F554" s="304"/>
      <c r="G554" s="304"/>
      <c r="H554" s="304"/>
      <c r="I554" s="304"/>
      <c r="J554" s="304"/>
      <c r="K554" s="304"/>
      <c r="L554" s="304"/>
      <c r="M554" s="304"/>
      <c r="N554" s="304"/>
      <c r="O554" s="304"/>
      <c r="P554" s="304"/>
      <c r="Q554" s="304"/>
    </row>
    <row r="555" spans="1:17" ht="13.8" x14ac:dyDescent="0.3">
      <c r="A555" s="388">
        <f t="shared" si="33"/>
        <v>533</v>
      </c>
      <c r="B555" s="389">
        <f t="shared" ca="1" si="34"/>
        <v>0.13684267217832527</v>
      </c>
      <c r="C555" s="389">
        <f t="shared" ca="1" si="35"/>
        <v>4.7075859812505672E-2</v>
      </c>
      <c r="D555" s="390">
        <f t="shared" ca="1" si="36"/>
        <v>0.9091010602662819</v>
      </c>
      <c r="E555" s="391" cm="1">
        <f t="array" aca="1" ref="E555" ca="1">(SUMPRODUCT($B$13:$F$13*D555/(1+B555)^$B$14:$F$14)+($F$13*D555*(1+C555))/(B555-C555)/(1+B555)^$F$14-$B$15+$B$16)/$B$17</f>
        <v>1074.8939259995677</v>
      </c>
      <c r="F555" s="304"/>
      <c r="G555" s="304"/>
      <c r="H555" s="304"/>
      <c r="I555" s="304"/>
      <c r="J555" s="304"/>
      <c r="K555" s="304"/>
      <c r="L555" s="304"/>
      <c r="M555" s="304"/>
      <c r="N555" s="304"/>
      <c r="O555" s="304"/>
      <c r="P555" s="304"/>
      <c r="Q555" s="304"/>
    </row>
    <row r="556" spans="1:17" ht="13.8" x14ac:dyDescent="0.3">
      <c r="A556" s="388">
        <f t="shared" si="33"/>
        <v>534</v>
      </c>
      <c r="B556" s="389">
        <f t="shared" ca="1" si="34"/>
        <v>0.1187767486193172</v>
      </c>
      <c r="C556" s="389">
        <f t="shared" ca="1" si="35"/>
        <v>5.2501080625877328E-2</v>
      </c>
      <c r="D556" s="390">
        <f t="shared" ca="1" si="36"/>
        <v>1.0744808653575191</v>
      </c>
      <c r="E556" s="391" cm="1">
        <f t="array" aca="1" ref="E556" ca="1">(SUMPRODUCT($B$13:$F$13*D556/(1+B556)^$B$14:$F$14)+($F$13*D556*(1+C556))/(B556-C556)/(1+B556)^$F$14-$B$15+$B$16)/$B$17</f>
        <v>1752.0292413616212</v>
      </c>
      <c r="F556" s="304"/>
      <c r="G556" s="304"/>
      <c r="H556" s="304"/>
      <c r="I556" s="304"/>
      <c r="J556" s="304"/>
      <c r="K556" s="304"/>
      <c r="L556" s="304"/>
      <c r="M556" s="304"/>
      <c r="N556" s="304"/>
      <c r="O556" s="304"/>
      <c r="P556" s="304"/>
      <c r="Q556" s="304"/>
    </row>
    <row r="557" spans="1:17" ht="13.8" x14ac:dyDescent="0.3">
      <c r="A557" s="388">
        <f t="shared" si="33"/>
        <v>535</v>
      </c>
      <c r="B557" s="389">
        <f t="shared" ca="1" si="34"/>
        <v>0.11376877787492753</v>
      </c>
      <c r="C557" s="389">
        <f t="shared" ca="1" si="35"/>
        <v>4.7517989817989624E-2</v>
      </c>
      <c r="D557" s="390">
        <f t="shared" ca="1" si="36"/>
        <v>0.99011058977509347</v>
      </c>
      <c r="E557" s="391" cm="1">
        <f t="array" aca="1" ref="E557" ca="1">(SUMPRODUCT($B$13:$F$13*D557/(1+B557)^$B$14:$F$14)+($F$13*D557*(1+C557))/(B557-C557)/(1+B557)^$F$14-$B$15+$B$16)/$B$17</f>
        <v>1637.5593282622731</v>
      </c>
      <c r="F557" s="304"/>
      <c r="G557" s="304"/>
      <c r="H557" s="304"/>
      <c r="I557" s="304"/>
      <c r="J557" s="304"/>
      <c r="K557" s="304"/>
      <c r="L557" s="304"/>
      <c r="M557" s="304"/>
      <c r="N557" s="304"/>
      <c r="O557" s="304"/>
      <c r="P557" s="304"/>
      <c r="Q557" s="304"/>
    </row>
    <row r="558" spans="1:17" ht="13.8" x14ac:dyDescent="0.3">
      <c r="A558" s="388">
        <f t="shared" si="33"/>
        <v>536</v>
      </c>
      <c r="B558" s="389">
        <f t="shared" ca="1" si="34"/>
        <v>0.1293697772707115</v>
      </c>
      <c r="C558" s="389">
        <f t="shared" ca="1" si="35"/>
        <v>5.23082859802253E-2</v>
      </c>
      <c r="D558" s="390">
        <f t="shared" ca="1" si="36"/>
        <v>1.052746228580129</v>
      </c>
      <c r="E558" s="391" cm="1">
        <f t="array" aca="1" ref="E558" ca="1">(SUMPRODUCT($B$13:$F$13*D558/(1+B558)^$B$14:$F$14)+($F$13*D558*(1+C558))/(B558-C558)/(1+B558)^$F$14-$B$15+$B$16)/$B$17</f>
        <v>1457.0889345285336</v>
      </c>
      <c r="F558" s="304"/>
      <c r="G558" s="304"/>
      <c r="H558" s="304"/>
      <c r="I558" s="304"/>
      <c r="J558" s="304"/>
      <c r="K558" s="304"/>
      <c r="L558" s="304"/>
      <c r="M558" s="304"/>
      <c r="N558" s="304"/>
      <c r="O558" s="304"/>
      <c r="P558" s="304"/>
      <c r="Q558" s="304"/>
    </row>
    <row r="559" spans="1:17" ht="13.8" x14ac:dyDescent="0.3">
      <c r="A559" s="388">
        <f t="shared" si="33"/>
        <v>537</v>
      </c>
      <c r="B559" s="389">
        <f t="shared" ca="1" si="34"/>
        <v>0.11758816574978062</v>
      </c>
      <c r="C559" s="389">
        <f t="shared" ca="1" si="35"/>
        <v>4.469196379084657E-2</v>
      </c>
      <c r="D559" s="390">
        <f t="shared" ca="1" si="36"/>
        <v>1.2747184640530496</v>
      </c>
      <c r="E559" s="391" cm="1">
        <f t="array" aca="1" ref="E559" ca="1">(SUMPRODUCT($B$13:$F$13*D559/(1+B559)^$B$14:$F$14)+($F$13*D559*(1+C559))/(B559-C559)/(1+B559)^$F$14-$B$15+$B$16)/$B$17</f>
        <v>1930.9299832444869</v>
      </c>
      <c r="F559" s="304"/>
      <c r="G559" s="304"/>
      <c r="H559" s="304"/>
      <c r="I559" s="304"/>
      <c r="J559" s="304"/>
      <c r="K559" s="304"/>
      <c r="L559" s="304"/>
      <c r="M559" s="304"/>
      <c r="N559" s="304"/>
      <c r="O559" s="304"/>
      <c r="P559" s="304"/>
      <c r="Q559" s="304"/>
    </row>
    <row r="560" spans="1:17" ht="13.8" x14ac:dyDescent="0.3">
      <c r="A560" s="388">
        <f t="shared" si="33"/>
        <v>538</v>
      </c>
      <c r="B560" s="389">
        <f t="shared" ca="1" si="34"/>
        <v>0.12362199444910899</v>
      </c>
      <c r="C560" s="389">
        <f t="shared" ca="1" si="35"/>
        <v>4.9013130806661344E-2</v>
      </c>
      <c r="D560" s="390">
        <f t="shared" ca="1" si="36"/>
        <v>1.0571429998800568</v>
      </c>
      <c r="E560" s="391" cm="1">
        <f t="array" aca="1" ref="E560" ca="1">(SUMPRODUCT($B$13:$F$13*D560/(1+B560)^$B$14:$F$14)+($F$13*D560*(1+C560))/(B560-C560)/(1+B560)^$F$14-$B$15+$B$16)/$B$17</f>
        <v>1531.9992610394884</v>
      </c>
      <c r="F560" s="304"/>
      <c r="G560" s="304"/>
      <c r="H560" s="304"/>
      <c r="I560" s="304"/>
      <c r="J560" s="304"/>
      <c r="K560" s="304"/>
      <c r="L560" s="304"/>
      <c r="M560" s="304"/>
      <c r="N560" s="304"/>
      <c r="O560" s="304"/>
      <c r="P560" s="304"/>
      <c r="Q560" s="304"/>
    </row>
    <row r="561" spans="1:17" ht="13.8" x14ac:dyDescent="0.3">
      <c r="A561" s="388">
        <f t="shared" si="33"/>
        <v>539</v>
      </c>
      <c r="B561" s="389">
        <f t="shared" ca="1" si="34"/>
        <v>0.11893207887958412</v>
      </c>
      <c r="C561" s="389">
        <f t="shared" ca="1" si="35"/>
        <v>5.505221098261457E-2</v>
      </c>
      <c r="D561" s="390">
        <f t="shared" ca="1" si="36"/>
        <v>0.98291536919507494</v>
      </c>
      <c r="E561" s="391" cm="1">
        <f t="array" aca="1" ref="E561" ca="1">(SUMPRODUCT($B$13:$F$13*D561/(1+B561)^$B$14:$F$14)+($F$13*D561*(1+C561))/(B561-C561)/(1+B561)^$F$14-$B$15+$B$16)/$B$17</f>
        <v>1649.9978346937974</v>
      </c>
      <c r="F561" s="304"/>
      <c r="G561" s="304"/>
      <c r="H561" s="304"/>
      <c r="I561" s="304"/>
      <c r="J561" s="304"/>
      <c r="K561" s="304"/>
      <c r="L561" s="304"/>
      <c r="M561" s="304"/>
      <c r="N561" s="304"/>
      <c r="O561" s="304"/>
      <c r="P561" s="304"/>
      <c r="Q561" s="304"/>
    </row>
    <row r="562" spans="1:17" ht="13.8" x14ac:dyDescent="0.3">
      <c r="A562" s="388">
        <f t="shared" si="33"/>
        <v>540</v>
      </c>
      <c r="B562" s="389">
        <f t="shared" ca="1" si="34"/>
        <v>0.12386883088713847</v>
      </c>
      <c r="C562" s="389">
        <f t="shared" ca="1" si="35"/>
        <v>5.7134656096824304E-2</v>
      </c>
      <c r="D562" s="390">
        <f t="shared" ca="1" si="36"/>
        <v>1.083907014038141</v>
      </c>
      <c r="E562" s="391" cm="1">
        <f t="array" aca="1" ref="E562" ca="1">(SUMPRODUCT($B$13:$F$13*D562/(1+B562)^$B$14:$F$14)+($F$13*D562*(1+C562))/(B562-C562)/(1+B562)^$F$14-$B$15+$B$16)/$B$17</f>
        <v>1728.7888991186308</v>
      </c>
      <c r="F562" s="304"/>
      <c r="G562" s="304"/>
      <c r="H562" s="304"/>
      <c r="I562" s="304"/>
      <c r="J562" s="304"/>
      <c r="K562" s="304"/>
      <c r="L562" s="304"/>
      <c r="M562" s="304"/>
      <c r="N562" s="304"/>
      <c r="O562" s="304"/>
      <c r="P562" s="304"/>
      <c r="Q562" s="304"/>
    </row>
    <row r="563" spans="1:17" ht="13.8" x14ac:dyDescent="0.3">
      <c r="A563" s="388">
        <f t="shared" si="33"/>
        <v>541</v>
      </c>
      <c r="B563" s="389">
        <f t="shared" ca="1" si="34"/>
        <v>0.13276964473368699</v>
      </c>
      <c r="C563" s="389">
        <f t="shared" ca="1" si="35"/>
        <v>3.9084174632054519E-2</v>
      </c>
      <c r="D563" s="390">
        <f t="shared" ca="1" si="36"/>
        <v>0.84512165496610248</v>
      </c>
      <c r="E563" s="391" cm="1">
        <f t="array" aca="1" ref="E563" ca="1">(SUMPRODUCT($B$13:$F$13*D563/(1+B563)^$B$14:$F$14)+($F$13*D563*(1+C563))/(B563-C563)/(1+B563)^$F$14-$B$15+$B$16)/$B$17</f>
        <v>973.60036470926389</v>
      </c>
      <c r="F563" s="304"/>
      <c r="G563" s="304"/>
      <c r="H563" s="304"/>
      <c r="I563" s="304"/>
      <c r="J563" s="304"/>
      <c r="K563" s="304"/>
      <c r="L563" s="304"/>
      <c r="M563" s="304"/>
      <c r="N563" s="304"/>
      <c r="O563" s="304"/>
      <c r="P563" s="304"/>
      <c r="Q563" s="304"/>
    </row>
    <row r="564" spans="1:17" ht="13.8" x14ac:dyDescent="0.3">
      <c r="A564" s="388">
        <f t="shared" si="33"/>
        <v>542</v>
      </c>
      <c r="B564" s="389">
        <f t="shared" ca="1" si="34"/>
        <v>0.13764135096126781</v>
      </c>
      <c r="C564" s="389">
        <f t="shared" ca="1" si="35"/>
        <v>5.040962185360414E-2</v>
      </c>
      <c r="D564" s="390">
        <f t="shared" ca="1" si="36"/>
        <v>1.0575748827404932</v>
      </c>
      <c r="E564" s="391" cm="1">
        <f t="array" aca="1" ref="E564" ca="1">(SUMPRODUCT($B$13:$F$13*D564/(1+B564)^$B$14:$F$14)+($F$13*D564*(1+C564))/(B564-C564)/(1+B564)^$F$14-$B$15+$B$16)/$B$17</f>
        <v>1285.2240980038941</v>
      </c>
      <c r="F564" s="304"/>
      <c r="G564" s="304"/>
      <c r="H564" s="304"/>
      <c r="I564" s="304"/>
      <c r="J564" s="304"/>
      <c r="K564" s="304"/>
      <c r="L564" s="304"/>
      <c r="M564" s="304"/>
      <c r="N564" s="304"/>
      <c r="O564" s="304"/>
      <c r="P564" s="304"/>
      <c r="Q564" s="304"/>
    </row>
    <row r="565" spans="1:17" ht="13.8" x14ac:dyDescent="0.3">
      <c r="A565" s="388">
        <f t="shared" si="33"/>
        <v>543</v>
      </c>
      <c r="B565" s="389">
        <f t="shared" ca="1" si="34"/>
        <v>0.11778076354281528</v>
      </c>
      <c r="C565" s="389">
        <f t="shared" ca="1" si="35"/>
        <v>5.0372463285651564E-2</v>
      </c>
      <c r="D565" s="390">
        <f t="shared" ca="1" si="36"/>
        <v>1.0348358027249787</v>
      </c>
      <c r="E565" s="391" cm="1">
        <f t="array" aca="1" ref="E565" ca="1">(SUMPRODUCT($B$13:$F$13*D565/(1+B565)^$B$14:$F$14)+($F$13*D565*(1+C565))/(B565-C565)/(1+B565)^$F$14-$B$15+$B$16)/$B$17</f>
        <v>1666.3721519419976</v>
      </c>
      <c r="F565" s="304"/>
      <c r="G565" s="304"/>
      <c r="H565" s="304"/>
      <c r="I565" s="304"/>
      <c r="J565" s="304"/>
      <c r="K565" s="304"/>
      <c r="L565" s="304"/>
      <c r="M565" s="304"/>
      <c r="N565" s="304"/>
      <c r="O565" s="304"/>
      <c r="P565" s="304"/>
      <c r="Q565" s="304"/>
    </row>
    <row r="566" spans="1:17" ht="13.8" x14ac:dyDescent="0.3">
      <c r="A566" s="388">
        <f t="shared" si="33"/>
        <v>544</v>
      </c>
      <c r="B566" s="389">
        <f t="shared" ca="1" si="34"/>
        <v>0.11877005726836913</v>
      </c>
      <c r="C566" s="389">
        <f t="shared" ca="1" si="35"/>
        <v>5.320270436681479E-2</v>
      </c>
      <c r="D566" s="390">
        <f t="shared" ca="1" si="36"/>
        <v>1.0029847997370214</v>
      </c>
      <c r="E566" s="391" cm="1">
        <f t="array" aca="1" ref="E566" ca="1">(SUMPRODUCT($B$13:$F$13*D566/(1+B566)^$B$14:$F$14)+($F$13*D566*(1+C566))/(B566-C566)/(1+B566)^$F$14-$B$15+$B$16)/$B$17</f>
        <v>1647.6508565433046</v>
      </c>
      <c r="F566" s="304"/>
      <c r="G566" s="304"/>
      <c r="H566" s="304"/>
      <c r="I566" s="304"/>
      <c r="J566" s="304"/>
      <c r="K566" s="304"/>
      <c r="L566" s="304"/>
      <c r="M566" s="304"/>
      <c r="N566" s="304"/>
      <c r="O566" s="304"/>
      <c r="P566" s="304"/>
      <c r="Q566" s="304"/>
    </row>
    <row r="567" spans="1:17" ht="13.8" x14ac:dyDescent="0.3">
      <c r="A567" s="388">
        <f t="shared" si="33"/>
        <v>545</v>
      </c>
      <c r="B567" s="389">
        <f t="shared" ca="1" si="34"/>
        <v>0.11884938799353549</v>
      </c>
      <c r="C567" s="389">
        <f t="shared" ca="1" si="35"/>
        <v>4.7133581952379773E-2</v>
      </c>
      <c r="D567" s="390">
        <f t="shared" ca="1" si="36"/>
        <v>1.0395192391381678</v>
      </c>
      <c r="E567" s="391" cm="1">
        <f t="array" aca="1" ref="E567" ca="1">(SUMPRODUCT($B$13:$F$13*D567/(1+B567)^$B$14:$F$14)+($F$13*D567*(1+C567))/(B567-C567)/(1+B567)^$F$14-$B$15+$B$16)/$B$17</f>
        <v>1581.5498934294369</v>
      </c>
      <c r="F567" s="304"/>
      <c r="G567" s="304"/>
      <c r="H567" s="304"/>
      <c r="I567" s="304"/>
      <c r="J567" s="304"/>
      <c r="K567" s="304"/>
      <c r="L567" s="304"/>
      <c r="M567" s="304"/>
      <c r="N567" s="304"/>
      <c r="O567" s="304"/>
      <c r="P567" s="304"/>
      <c r="Q567" s="304"/>
    </row>
    <row r="568" spans="1:17" ht="13.8" x14ac:dyDescent="0.3">
      <c r="A568" s="388">
        <f t="shared" si="33"/>
        <v>546</v>
      </c>
      <c r="B568" s="389">
        <f t="shared" ca="1" si="34"/>
        <v>0.12233600592757891</v>
      </c>
      <c r="C568" s="389">
        <f t="shared" ca="1" si="35"/>
        <v>5.8075764116865561E-2</v>
      </c>
      <c r="D568" s="390">
        <f t="shared" ca="1" si="36"/>
        <v>0.90328225330178369</v>
      </c>
      <c r="E568" s="391" cm="1">
        <f t="array" aca="1" ref="E568" ca="1">(SUMPRODUCT($B$13:$F$13*D568/(1+B568)^$B$14:$F$14)+($F$13*D568*(1+C568))/(B568-C568)/(1+B568)^$F$14-$B$15+$B$16)/$B$17</f>
        <v>1488.1591710611101</v>
      </c>
      <c r="F568" s="304"/>
      <c r="G568" s="304"/>
      <c r="H568" s="304"/>
      <c r="I568" s="304"/>
      <c r="J568" s="304"/>
      <c r="K568" s="304"/>
      <c r="L568" s="304"/>
      <c r="M568" s="304"/>
      <c r="N568" s="304"/>
      <c r="O568" s="304"/>
      <c r="P568" s="304"/>
      <c r="Q568" s="304"/>
    </row>
    <row r="569" spans="1:17" ht="13.8" x14ac:dyDescent="0.3">
      <c r="A569" s="388">
        <f t="shared" si="33"/>
        <v>547</v>
      </c>
      <c r="B569" s="389">
        <f t="shared" ca="1" si="34"/>
        <v>0.13576758277772319</v>
      </c>
      <c r="C569" s="389">
        <f t="shared" ca="1" si="35"/>
        <v>4.9996417464892175E-2</v>
      </c>
      <c r="D569" s="390">
        <f t="shared" ca="1" si="36"/>
        <v>0.75836246169283938</v>
      </c>
      <c r="E569" s="391" cm="1">
        <f t="array" aca="1" ref="E569" ca="1">(SUMPRODUCT($B$13:$F$13*D569/(1+B569)^$B$14:$F$14)+($F$13*D569*(1+C569))/(B569-C569)/(1+B569)^$F$14-$B$15+$B$16)/$B$17</f>
        <v>926.72024674522925</v>
      </c>
      <c r="F569" s="304"/>
      <c r="G569" s="304"/>
      <c r="H569" s="304"/>
      <c r="I569" s="304"/>
      <c r="J569" s="304"/>
      <c r="K569" s="304"/>
      <c r="L569" s="304"/>
      <c r="M569" s="304"/>
      <c r="N569" s="304"/>
      <c r="O569" s="304"/>
      <c r="P569" s="304"/>
      <c r="Q569" s="304"/>
    </row>
    <row r="570" spans="1:17" ht="13.8" x14ac:dyDescent="0.3">
      <c r="A570" s="388">
        <f t="shared" si="33"/>
        <v>548</v>
      </c>
      <c r="B570" s="389">
        <f t="shared" ca="1" si="34"/>
        <v>0.12169928509080313</v>
      </c>
      <c r="C570" s="389">
        <f t="shared" ca="1" si="35"/>
        <v>4.4546555469843055E-2</v>
      </c>
      <c r="D570" s="390">
        <f t="shared" ca="1" si="36"/>
        <v>1.0207856937048916</v>
      </c>
      <c r="E570" s="391" cm="1">
        <f t="array" aca="1" ref="E570" ca="1">(SUMPRODUCT($B$13:$F$13*D570/(1+B570)^$B$14:$F$14)+($F$13*D570*(1+C570))/(B570-C570)/(1+B570)^$F$14-$B$15+$B$16)/$B$17</f>
        <v>1444.9112503015888</v>
      </c>
      <c r="F570" s="304"/>
      <c r="G570" s="304"/>
      <c r="H570" s="304"/>
      <c r="I570" s="304"/>
      <c r="J570" s="304"/>
      <c r="K570" s="304"/>
      <c r="L570" s="304"/>
      <c r="M570" s="304"/>
      <c r="N570" s="304"/>
      <c r="O570" s="304"/>
      <c r="P570" s="304"/>
      <c r="Q570" s="304"/>
    </row>
    <row r="571" spans="1:17" ht="13.8" x14ac:dyDescent="0.3">
      <c r="A571" s="388">
        <f t="shared" si="33"/>
        <v>549</v>
      </c>
      <c r="B571" s="389">
        <f t="shared" ca="1" si="34"/>
        <v>0.11789290703451885</v>
      </c>
      <c r="C571" s="389">
        <f t="shared" ca="1" si="35"/>
        <v>5.1650275720742558E-2</v>
      </c>
      <c r="D571" s="390">
        <f t="shared" ca="1" si="36"/>
        <v>1.1331525189530847</v>
      </c>
      <c r="E571" s="391" cm="1">
        <f t="array" aca="1" ref="E571" ca="1">(SUMPRODUCT($B$13:$F$13*D571/(1+B571)^$B$14:$F$14)+($F$13*D571*(1+C571))/(B571-C571)/(1+B571)^$F$14-$B$15+$B$16)/$B$17</f>
        <v>1856.3617458228134</v>
      </c>
      <c r="F571" s="304"/>
      <c r="G571" s="304"/>
      <c r="H571" s="304"/>
      <c r="I571" s="304"/>
      <c r="J571" s="304"/>
      <c r="K571" s="304"/>
      <c r="L571" s="304"/>
      <c r="M571" s="304"/>
      <c r="N571" s="304"/>
      <c r="O571" s="304"/>
      <c r="P571" s="304"/>
      <c r="Q571" s="304"/>
    </row>
    <row r="572" spans="1:17" ht="13.8" x14ac:dyDescent="0.3">
      <c r="A572" s="388">
        <f t="shared" si="33"/>
        <v>550</v>
      </c>
      <c r="B572" s="389">
        <f t="shared" ca="1" si="34"/>
        <v>0.13388098296942599</v>
      </c>
      <c r="C572" s="389">
        <f t="shared" ca="1" si="35"/>
        <v>6.356023857912077E-2</v>
      </c>
      <c r="D572" s="390">
        <f t="shared" ca="1" si="36"/>
        <v>1.1108714148022787</v>
      </c>
      <c r="E572" s="391" cm="1">
        <f t="array" aca="1" ref="E572" ca="1">(SUMPRODUCT($B$13:$F$13*D572/(1+B572)^$B$14:$F$14)+($F$13*D572*(1+C572))/(B572-C572)/(1+B572)^$F$14-$B$15+$B$16)/$B$17</f>
        <v>1641.5915487356654</v>
      </c>
      <c r="F572" s="304"/>
      <c r="G572" s="304"/>
      <c r="H572" s="304"/>
      <c r="I572" s="304"/>
      <c r="J572" s="304"/>
      <c r="K572" s="304"/>
      <c r="L572" s="304"/>
      <c r="M572" s="304"/>
      <c r="N572" s="304"/>
      <c r="O572" s="304"/>
      <c r="P572" s="304"/>
      <c r="Q572" s="304"/>
    </row>
    <row r="573" spans="1:17" ht="13.8" x14ac:dyDescent="0.3">
      <c r="A573" s="388">
        <f t="shared" si="33"/>
        <v>551</v>
      </c>
      <c r="B573" s="389">
        <f t="shared" ca="1" si="34"/>
        <v>0.12818289776002187</v>
      </c>
      <c r="C573" s="389">
        <f t="shared" ca="1" si="35"/>
        <v>5.1662364427580085E-2</v>
      </c>
      <c r="D573" s="390">
        <f t="shared" ca="1" si="36"/>
        <v>1.1185365379008498</v>
      </c>
      <c r="E573" s="391" cm="1">
        <f t="array" aca="1" ref="E573" ca="1">(SUMPRODUCT($B$13:$F$13*D573/(1+B573)^$B$14:$F$14)+($F$13*D573*(1+C573))/(B573-C573)/(1+B573)^$F$14-$B$15+$B$16)/$B$17</f>
        <v>1566.2920324021197</v>
      </c>
      <c r="F573" s="304"/>
      <c r="G573" s="304"/>
      <c r="H573" s="304"/>
      <c r="I573" s="304"/>
      <c r="J573" s="304"/>
      <c r="K573" s="304"/>
      <c r="L573" s="304"/>
      <c r="M573" s="304"/>
      <c r="N573" s="304"/>
      <c r="O573" s="304"/>
      <c r="P573" s="304"/>
      <c r="Q573" s="304"/>
    </row>
    <row r="574" spans="1:17" ht="13.8" x14ac:dyDescent="0.3">
      <c r="A574" s="388">
        <f t="shared" si="33"/>
        <v>552</v>
      </c>
      <c r="B574" s="389">
        <f t="shared" ca="1" si="34"/>
        <v>0.13465347276131875</v>
      </c>
      <c r="C574" s="389">
        <f t="shared" ca="1" si="35"/>
        <v>4.8174136596821598E-2</v>
      </c>
      <c r="D574" s="390">
        <f t="shared" ca="1" si="36"/>
        <v>1.0505322018805752</v>
      </c>
      <c r="E574" s="391" cm="1">
        <f t="array" aca="1" ref="E574" ca="1">(SUMPRODUCT($B$13:$F$13*D574/(1+B574)^$B$14:$F$14)+($F$13*D574*(1+C574))/(B574-C574)/(1+B574)^$F$14-$B$15+$B$16)/$B$17</f>
        <v>1297.7109208984768</v>
      </c>
      <c r="F574" s="304"/>
      <c r="G574" s="304"/>
      <c r="H574" s="304"/>
      <c r="I574" s="304"/>
      <c r="J574" s="304"/>
      <c r="K574" s="304"/>
      <c r="L574" s="304"/>
      <c r="M574" s="304"/>
      <c r="N574" s="304"/>
      <c r="O574" s="304"/>
      <c r="P574" s="304"/>
      <c r="Q574" s="304"/>
    </row>
    <row r="575" spans="1:17" ht="13.8" x14ac:dyDescent="0.3">
      <c r="A575" s="388">
        <f t="shared" si="33"/>
        <v>553</v>
      </c>
      <c r="B575" s="389">
        <f t="shared" ca="1" si="34"/>
        <v>0.12993492291729727</v>
      </c>
      <c r="C575" s="389">
        <f t="shared" ca="1" si="35"/>
        <v>5.3051896904472845E-2</v>
      </c>
      <c r="D575" s="390">
        <f t="shared" ca="1" si="36"/>
        <v>1.1491374900272937</v>
      </c>
      <c r="E575" s="391" cm="1">
        <f t="array" aca="1" ref="E575" ca="1">(SUMPRODUCT($B$13:$F$13*D575/(1+B575)^$B$14:$F$14)+($F$13*D575*(1+C575))/(B575-C575)/(1+B575)^$F$14-$B$15+$B$16)/$B$17</f>
        <v>1595.1309022275318</v>
      </c>
      <c r="F575" s="304"/>
      <c r="G575" s="304"/>
      <c r="H575" s="304"/>
      <c r="I575" s="304"/>
      <c r="J575" s="304"/>
      <c r="K575" s="304"/>
      <c r="L575" s="304"/>
      <c r="M575" s="304"/>
      <c r="N575" s="304"/>
      <c r="O575" s="304"/>
      <c r="P575" s="304"/>
      <c r="Q575" s="304"/>
    </row>
    <row r="576" spans="1:17" ht="13.8" x14ac:dyDescent="0.3">
      <c r="A576" s="388">
        <f t="shared" si="33"/>
        <v>554</v>
      </c>
      <c r="B576" s="389">
        <f t="shared" ca="1" si="34"/>
        <v>0.12474049406486828</v>
      </c>
      <c r="C576" s="389">
        <f t="shared" ca="1" si="35"/>
        <v>4.7221145947202683E-2</v>
      </c>
      <c r="D576" s="390">
        <f t="shared" ca="1" si="36"/>
        <v>1.1147316353390855</v>
      </c>
      <c r="E576" s="391" cm="1">
        <f t="array" aca="1" ref="E576" ca="1">(SUMPRODUCT($B$13:$F$13*D576/(1+B576)^$B$14:$F$14)+($F$13*D576*(1+C576))/(B576-C576)/(1+B576)^$F$14-$B$15+$B$16)/$B$17</f>
        <v>1560.7203405921655</v>
      </c>
      <c r="F576" s="304"/>
      <c r="G576" s="304"/>
      <c r="H576" s="304"/>
      <c r="I576" s="304"/>
      <c r="J576" s="304"/>
      <c r="K576" s="304"/>
      <c r="L576" s="304"/>
      <c r="M576" s="304"/>
      <c r="N576" s="304"/>
      <c r="O576" s="304"/>
      <c r="P576" s="304"/>
      <c r="Q576" s="304"/>
    </row>
    <row r="577" spans="1:17" ht="13.8" x14ac:dyDescent="0.3">
      <c r="A577" s="388">
        <f t="shared" si="33"/>
        <v>555</v>
      </c>
      <c r="B577" s="389">
        <f t="shared" ca="1" si="34"/>
        <v>0.12757325891396107</v>
      </c>
      <c r="C577" s="389">
        <f t="shared" ca="1" si="35"/>
        <v>5.4096588165397259E-2</v>
      </c>
      <c r="D577" s="390">
        <f t="shared" ca="1" si="36"/>
        <v>0.82170348579386432</v>
      </c>
      <c r="E577" s="391" cm="1">
        <f t="array" aca="1" ref="E577" ca="1">(SUMPRODUCT($B$13:$F$13*D577/(1+B577)^$B$14:$F$14)+($F$13*D577*(1+C577))/(B577-C577)/(1+B577)^$F$14-$B$15+$B$16)/$B$17</f>
        <v>1180.7629643714361</v>
      </c>
      <c r="F577" s="304"/>
      <c r="G577" s="304"/>
      <c r="H577" s="304"/>
      <c r="I577" s="304"/>
      <c r="J577" s="304"/>
      <c r="K577" s="304"/>
      <c r="L577" s="304"/>
      <c r="M577" s="304"/>
      <c r="N577" s="304"/>
      <c r="O577" s="304"/>
      <c r="P577" s="304"/>
      <c r="Q577" s="304"/>
    </row>
    <row r="578" spans="1:17" ht="13.8" x14ac:dyDescent="0.3">
      <c r="A578" s="388">
        <f t="shared" si="33"/>
        <v>556</v>
      </c>
      <c r="B578" s="389">
        <f t="shared" ca="1" si="34"/>
        <v>0.12619948281627308</v>
      </c>
      <c r="C578" s="389">
        <f t="shared" ca="1" si="35"/>
        <v>5.1075995010038039E-2</v>
      </c>
      <c r="D578" s="390">
        <f t="shared" ca="1" si="36"/>
        <v>0.92299222025328953</v>
      </c>
      <c r="E578" s="391" cm="1">
        <f t="array" aca="1" ref="E578" ca="1">(SUMPRODUCT($B$13:$F$13*D578/(1+B578)^$B$14:$F$14)+($F$13*D578*(1+C578))/(B578-C578)/(1+B578)^$F$14-$B$15+$B$16)/$B$17</f>
        <v>1312.8501529214334</v>
      </c>
      <c r="F578" s="304"/>
      <c r="G578" s="304"/>
      <c r="H578" s="304"/>
      <c r="I578" s="304"/>
      <c r="J578" s="304"/>
      <c r="K578" s="304"/>
      <c r="L578" s="304"/>
      <c r="M578" s="304"/>
      <c r="N578" s="304"/>
      <c r="O578" s="304"/>
      <c r="P578" s="304"/>
      <c r="Q578" s="304"/>
    </row>
    <row r="579" spans="1:17" ht="13.8" x14ac:dyDescent="0.3">
      <c r="A579" s="388">
        <f t="shared" si="33"/>
        <v>557</v>
      </c>
      <c r="B579" s="389">
        <f t="shared" ca="1" si="34"/>
        <v>0.120168949108017</v>
      </c>
      <c r="C579" s="389">
        <f t="shared" ca="1" si="35"/>
        <v>4.4756264518001881E-2</v>
      </c>
      <c r="D579" s="390">
        <f t="shared" ca="1" si="36"/>
        <v>0.9890047853288445</v>
      </c>
      <c r="E579" s="391" cm="1">
        <f t="array" aca="1" ref="E579" ca="1">(SUMPRODUCT($B$13:$F$13*D579/(1+B579)^$B$14:$F$14)+($F$13*D579*(1+C579))/(B579-C579)/(1+B579)^$F$14-$B$15+$B$16)/$B$17</f>
        <v>1432.9285209777643</v>
      </c>
      <c r="F579" s="304"/>
      <c r="G579" s="304"/>
      <c r="H579" s="304"/>
      <c r="I579" s="304"/>
      <c r="J579" s="304"/>
      <c r="K579" s="304"/>
      <c r="L579" s="304"/>
      <c r="M579" s="304"/>
      <c r="N579" s="304"/>
      <c r="O579" s="304"/>
      <c r="P579" s="304"/>
      <c r="Q579" s="304"/>
    </row>
    <row r="580" spans="1:17" ht="13.8" x14ac:dyDescent="0.3">
      <c r="A580" s="388">
        <f t="shared" si="33"/>
        <v>558</v>
      </c>
      <c r="B580" s="389">
        <f t="shared" ca="1" si="34"/>
        <v>0.12056350637521127</v>
      </c>
      <c r="C580" s="389">
        <f t="shared" ca="1" si="35"/>
        <v>4.817639683725225E-2</v>
      </c>
      <c r="D580" s="390">
        <f t="shared" ca="1" si="36"/>
        <v>1.1412254953528209</v>
      </c>
      <c r="E580" s="391" cm="1">
        <f t="array" aca="1" ref="E580" ca="1">(SUMPRODUCT($B$13:$F$13*D580/(1+B580)^$B$14:$F$14)+($F$13*D580*(1+C580))/(B580-C580)/(1+B580)^$F$14-$B$15+$B$16)/$B$17</f>
        <v>1717.6502887049337</v>
      </c>
      <c r="F580" s="304"/>
      <c r="G580" s="304"/>
      <c r="H580" s="304"/>
      <c r="I580" s="304"/>
      <c r="J580" s="304"/>
      <c r="K580" s="304"/>
      <c r="L580" s="304"/>
      <c r="M580" s="304"/>
      <c r="N580" s="304"/>
      <c r="O580" s="304"/>
      <c r="P580" s="304"/>
      <c r="Q580" s="304"/>
    </row>
    <row r="581" spans="1:17" ht="13.8" x14ac:dyDescent="0.3">
      <c r="A581" s="388">
        <f t="shared" si="33"/>
        <v>559</v>
      </c>
      <c r="B581" s="389">
        <f t="shared" ca="1" si="34"/>
        <v>0.11463056653694229</v>
      </c>
      <c r="C581" s="389">
        <f t="shared" ca="1" si="35"/>
        <v>4.6570105161049563E-2</v>
      </c>
      <c r="D581" s="390">
        <f t="shared" ca="1" si="36"/>
        <v>0.77712058474468204</v>
      </c>
      <c r="E581" s="391" cm="1">
        <f t="array" aca="1" ref="E581" ca="1">(SUMPRODUCT($B$13:$F$13*D581/(1+B581)^$B$14:$F$14)+($F$13*D581*(1+C581))/(B581-C581)/(1+B581)^$F$14-$B$15+$B$16)/$B$17</f>
        <v>1241.8347116563411</v>
      </c>
      <c r="F581" s="304"/>
      <c r="G581" s="304"/>
      <c r="H581" s="304"/>
      <c r="I581" s="304"/>
      <c r="J581" s="304"/>
      <c r="K581" s="304"/>
      <c r="L581" s="304"/>
      <c r="M581" s="304"/>
      <c r="N581" s="304"/>
      <c r="O581" s="304"/>
      <c r="P581" s="304"/>
      <c r="Q581" s="304"/>
    </row>
    <row r="582" spans="1:17" ht="13.8" x14ac:dyDescent="0.3">
      <c r="A582" s="388">
        <f t="shared" si="33"/>
        <v>560</v>
      </c>
      <c r="B582" s="389">
        <f t="shared" ca="1" si="34"/>
        <v>0.12162501170561804</v>
      </c>
      <c r="C582" s="389">
        <f t="shared" ca="1" si="35"/>
        <v>3.7358248409495684E-2</v>
      </c>
      <c r="D582" s="390">
        <f t="shared" ca="1" si="36"/>
        <v>0.87755544942854036</v>
      </c>
      <c r="E582" s="391" cm="1">
        <f t="array" aca="1" ref="E582" ca="1">(SUMPRODUCT($B$13:$F$13*D582/(1+B582)^$B$14:$F$14)+($F$13*D582*(1+C582))/(B582-C582)/(1+B582)^$F$14-$B$15+$B$16)/$B$17</f>
        <v>1146.6128132413944</v>
      </c>
      <c r="F582" s="304"/>
      <c r="G582" s="304"/>
      <c r="H582" s="304"/>
      <c r="I582" s="304"/>
      <c r="J582" s="304"/>
      <c r="K582" s="304"/>
      <c r="L582" s="304"/>
      <c r="M582" s="304"/>
      <c r="N582" s="304"/>
      <c r="O582" s="304"/>
      <c r="P582" s="304"/>
      <c r="Q582" s="304"/>
    </row>
    <row r="583" spans="1:17" ht="13.8" x14ac:dyDescent="0.3">
      <c r="A583" s="388">
        <f t="shared" si="33"/>
        <v>561</v>
      </c>
      <c r="B583" s="389">
        <f t="shared" ca="1" si="34"/>
        <v>0.13582788454802472</v>
      </c>
      <c r="C583" s="389">
        <f t="shared" ca="1" si="35"/>
        <v>5.474140383954184E-2</v>
      </c>
      <c r="D583" s="390">
        <f t="shared" ca="1" si="36"/>
        <v>0.83759089844735413</v>
      </c>
      <c r="E583" s="391" cm="1">
        <f t="array" aca="1" ref="E583" ca="1">(SUMPRODUCT($B$13:$F$13*D583/(1+B583)^$B$14:$F$14)+($F$13*D583*(1+C583))/(B583-C583)/(1+B583)^$F$14-$B$15+$B$16)/$B$17</f>
        <v>1078.3070435506506</v>
      </c>
      <c r="F583" s="304"/>
      <c r="G583" s="304"/>
      <c r="H583" s="304"/>
      <c r="I583" s="304"/>
      <c r="J583" s="304"/>
      <c r="K583" s="304"/>
      <c r="L583" s="304"/>
      <c r="M583" s="304"/>
      <c r="N583" s="304"/>
      <c r="O583" s="304"/>
      <c r="P583" s="304"/>
      <c r="Q583" s="304"/>
    </row>
    <row r="584" spans="1:17" ht="13.8" x14ac:dyDescent="0.3">
      <c r="A584" s="388">
        <f t="shared" si="33"/>
        <v>562</v>
      </c>
      <c r="B584" s="389">
        <f t="shared" ca="1" si="34"/>
        <v>0.1190586102237173</v>
      </c>
      <c r="C584" s="389">
        <f t="shared" ca="1" si="35"/>
        <v>3.9881264852996881E-2</v>
      </c>
      <c r="D584" s="390">
        <f t="shared" ca="1" si="36"/>
        <v>0.98520397341424071</v>
      </c>
      <c r="E584" s="391" cm="1">
        <f t="array" aca="1" ref="E584" ca="1">(SUMPRODUCT($B$13:$F$13*D584/(1+B584)^$B$14:$F$14)+($F$13*D584*(1+C584))/(B584-C584)/(1+B584)^$F$14-$B$15+$B$16)/$B$17</f>
        <v>1374.1534045167557</v>
      </c>
      <c r="F584" s="304"/>
      <c r="G584" s="304"/>
      <c r="H584" s="304"/>
      <c r="I584" s="304"/>
      <c r="J584" s="304"/>
      <c r="K584" s="304"/>
      <c r="L584" s="304"/>
      <c r="M584" s="304"/>
      <c r="N584" s="304"/>
      <c r="O584" s="304"/>
      <c r="P584" s="304"/>
      <c r="Q584" s="304"/>
    </row>
    <row r="585" spans="1:17" ht="13.8" x14ac:dyDescent="0.3">
      <c r="A585" s="388">
        <f t="shared" si="33"/>
        <v>563</v>
      </c>
      <c r="B585" s="389">
        <f t="shared" ca="1" si="34"/>
        <v>0.12480475506854058</v>
      </c>
      <c r="C585" s="389">
        <f t="shared" ca="1" si="35"/>
        <v>4.2727850605619122E-2</v>
      </c>
      <c r="D585" s="390">
        <f t="shared" ca="1" si="36"/>
        <v>0.98733469159115772</v>
      </c>
      <c r="E585" s="391" cm="1">
        <f t="array" aca="1" ref="E585" ca="1">(SUMPRODUCT($B$13:$F$13*D585/(1+B585)^$B$14:$F$14)+($F$13*D585*(1+C585))/(B585-C585)/(1+B585)^$F$14-$B$15+$B$16)/$B$17</f>
        <v>1311.642509424561</v>
      </c>
      <c r="F585" s="304"/>
      <c r="G585" s="304"/>
      <c r="H585" s="304"/>
      <c r="I585" s="304"/>
      <c r="J585" s="304"/>
      <c r="K585" s="304"/>
      <c r="L585" s="304"/>
      <c r="M585" s="304"/>
      <c r="N585" s="304"/>
      <c r="O585" s="304"/>
      <c r="P585" s="304"/>
      <c r="Q585" s="304"/>
    </row>
    <row r="586" spans="1:17" ht="13.8" x14ac:dyDescent="0.3">
      <c r="A586" s="388">
        <f t="shared" si="33"/>
        <v>564</v>
      </c>
      <c r="B586" s="389">
        <f t="shared" ca="1" si="34"/>
        <v>0.12642294075227808</v>
      </c>
      <c r="C586" s="389">
        <f t="shared" ca="1" si="35"/>
        <v>3.8597456914663299E-2</v>
      </c>
      <c r="D586" s="390">
        <f t="shared" ca="1" si="36"/>
        <v>1.0511060338597331</v>
      </c>
      <c r="E586" s="391" cm="1">
        <f t="array" aca="1" ref="E586" ca="1">(SUMPRODUCT($B$13:$F$13*D586/(1+B586)^$B$14:$F$14)+($F$13*D586*(1+C586))/(B586-C586)/(1+B586)^$F$14-$B$15+$B$16)/$B$17</f>
        <v>1315.6234885759939</v>
      </c>
      <c r="F586" s="304"/>
      <c r="G586" s="304"/>
      <c r="H586" s="304"/>
      <c r="I586" s="304"/>
      <c r="J586" s="304"/>
      <c r="K586" s="304"/>
      <c r="L586" s="304"/>
      <c r="M586" s="304"/>
      <c r="N586" s="304"/>
      <c r="O586" s="304"/>
      <c r="P586" s="304"/>
      <c r="Q586" s="304"/>
    </row>
    <row r="587" spans="1:17" ht="13.8" x14ac:dyDescent="0.3">
      <c r="A587" s="388">
        <f t="shared" si="33"/>
        <v>565</v>
      </c>
      <c r="B587" s="389">
        <f t="shared" ca="1" si="34"/>
        <v>0.15701675058714015</v>
      </c>
      <c r="C587" s="389">
        <f t="shared" ca="1" si="35"/>
        <v>5.2229709132024391E-2</v>
      </c>
      <c r="D587" s="390">
        <f t="shared" ca="1" si="36"/>
        <v>1.0630474192470425</v>
      </c>
      <c r="E587" s="391" cm="1">
        <f t="array" aca="1" ref="E587" ca="1">(SUMPRODUCT($B$13:$F$13*D587/(1+B587)^$B$14:$F$14)+($F$13*D587*(1+C587))/(B587-C587)/(1+B587)^$F$14-$B$15+$B$16)/$B$17</f>
        <v>1047.6666821966567</v>
      </c>
      <c r="F587" s="304"/>
      <c r="G587" s="304"/>
      <c r="H587" s="304"/>
      <c r="I587" s="304"/>
      <c r="J587" s="304"/>
      <c r="K587" s="304"/>
      <c r="L587" s="304"/>
      <c r="M587" s="304"/>
      <c r="N587" s="304"/>
      <c r="O587" s="304"/>
      <c r="P587" s="304"/>
      <c r="Q587" s="304"/>
    </row>
    <row r="588" spans="1:17" ht="13.8" x14ac:dyDescent="0.3">
      <c r="A588" s="388">
        <f t="shared" si="33"/>
        <v>566</v>
      </c>
      <c r="B588" s="389">
        <f t="shared" ca="1" si="34"/>
        <v>0.12893964189009344</v>
      </c>
      <c r="C588" s="389">
        <f t="shared" ca="1" si="35"/>
        <v>4.0548050882473201E-2</v>
      </c>
      <c r="D588" s="390">
        <f t="shared" ca="1" si="36"/>
        <v>0.92826335055134812</v>
      </c>
      <c r="E588" s="391" cm="1">
        <f t="array" aca="1" ref="E588" ca="1">(SUMPRODUCT($B$13:$F$13*D588/(1+B588)^$B$14:$F$14)+($F$13*D588*(1+C588))/(B588-C588)/(1+B588)^$F$14-$B$15+$B$16)/$B$17</f>
        <v>1140.9550940065387</v>
      </c>
      <c r="F588" s="304"/>
      <c r="G588" s="304"/>
      <c r="H588" s="304"/>
      <c r="I588" s="304"/>
      <c r="J588" s="304"/>
      <c r="K588" s="304"/>
      <c r="L588" s="304"/>
      <c r="M588" s="304"/>
      <c r="N588" s="304"/>
      <c r="O588" s="304"/>
      <c r="P588" s="304"/>
      <c r="Q588" s="304"/>
    </row>
    <row r="589" spans="1:17" ht="13.8" x14ac:dyDescent="0.3">
      <c r="A589" s="388">
        <f t="shared" si="33"/>
        <v>567</v>
      </c>
      <c r="B589" s="389">
        <f t="shared" ca="1" si="34"/>
        <v>0.13169709237926625</v>
      </c>
      <c r="C589" s="389">
        <f t="shared" ca="1" si="35"/>
        <v>4.5630499425355686E-2</v>
      </c>
      <c r="D589" s="390">
        <f t="shared" ca="1" si="36"/>
        <v>1.0790382951720974</v>
      </c>
      <c r="E589" s="391" cm="1">
        <f t="array" aca="1" ref="E589" ca="1">(SUMPRODUCT($B$13:$F$13*D589/(1+B589)^$B$14:$F$14)+($F$13*D589*(1+C589))/(B589-C589)/(1+B589)^$F$14-$B$15+$B$16)/$B$17</f>
        <v>1352.0677372322812</v>
      </c>
      <c r="F589" s="304"/>
      <c r="G589" s="304"/>
      <c r="H589" s="304"/>
      <c r="I589" s="304"/>
      <c r="J589" s="304"/>
      <c r="K589" s="304"/>
      <c r="L589" s="304"/>
      <c r="M589" s="304"/>
      <c r="N589" s="304"/>
      <c r="O589" s="304"/>
      <c r="P589" s="304"/>
      <c r="Q589" s="304"/>
    </row>
    <row r="590" spans="1:17" ht="13.8" x14ac:dyDescent="0.3">
      <c r="A590" s="388">
        <f t="shared" si="33"/>
        <v>568</v>
      </c>
      <c r="B590" s="389">
        <f t="shared" ca="1" si="34"/>
        <v>0.11895891858113553</v>
      </c>
      <c r="C590" s="389">
        <f t="shared" ca="1" si="35"/>
        <v>4.5928070865989455E-2</v>
      </c>
      <c r="D590" s="390">
        <f t="shared" ca="1" si="36"/>
        <v>1.0865776156396372</v>
      </c>
      <c r="E590" s="391" cm="1">
        <f t="array" aca="1" ref="E590" ca="1">(SUMPRODUCT($B$13:$F$13*D590/(1+B590)^$B$14:$F$14)+($F$13*D590*(1+C590))/(B590-C590)/(1+B590)^$F$14-$B$15+$B$16)/$B$17</f>
        <v>1629.1507451988441</v>
      </c>
      <c r="F590" s="304"/>
      <c r="G590" s="304"/>
      <c r="H590" s="304"/>
      <c r="I590" s="304"/>
      <c r="J590" s="304"/>
      <c r="K590" s="304"/>
      <c r="L590" s="304"/>
      <c r="M590" s="304"/>
      <c r="N590" s="304"/>
      <c r="O590" s="304"/>
      <c r="P590" s="304"/>
      <c r="Q590" s="304"/>
    </row>
    <row r="591" spans="1:17" ht="13.8" x14ac:dyDescent="0.3">
      <c r="A591" s="388">
        <f t="shared" si="33"/>
        <v>569</v>
      </c>
      <c r="B591" s="389">
        <f t="shared" ca="1" si="34"/>
        <v>0.12775565780807582</v>
      </c>
      <c r="C591" s="389">
        <f t="shared" ca="1" si="35"/>
        <v>5.5413070537849593E-2</v>
      </c>
      <c r="D591" s="390">
        <f t="shared" ca="1" si="36"/>
        <v>0.94227046090226108</v>
      </c>
      <c r="E591" s="391" cm="1">
        <f t="array" aca="1" ref="E591" ca="1">(SUMPRODUCT($B$13:$F$13*D591/(1+B591)^$B$14:$F$14)+($F$13*D591*(1+C591))/(B591-C591)/(1+B591)^$F$14-$B$15+$B$16)/$B$17</f>
        <v>1378.4903552055978</v>
      </c>
      <c r="F591" s="304"/>
      <c r="G591" s="304"/>
      <c r="H591" s="304"/>
      <c r="I591" s="304"/>
      <c r="J591" s="304"/>
      <c r="K591" s="304"/>
      <c r="L591" s="304"/>
      <c r="M591" s="304"/>
      <c r="N591" s="304"/>
      <c r="O591" s="304"/>
      <c r="P591" s="304"/>
      <c r="Q591" s="304"/>
    </row>
    <row r="592" spans="1:17" ht="13.8" x14ac:dyDescent="0.3">
      <c r="A592" s="388">
        <f t="shared" si="33"/>
        <v>570</v>
      </c>
      <c r="B592" s="389">
        <f t="shared" ca="1" si="34"/>
        <v>0.11012545275728733</v>
      </c>
      <c r="C592" s="389">
        <f t="shared" ca="1" si="35"/>
        <v>4.9437845485539741E-2</v>
      </c>
      <c r="D592" s="390">
        <f t="shared" ca="1" si="36"/>
        <v>1.0710752735305948</v>
      </c>
      <c r="E592" s="391" cm="1">
        <f t="array" aca="1" ref="E592" ca="1">(SUMPRODUCT($B$13:$F$13*D592/(1+B592)^$B$14:$F$14)+($F$13*D592*(1+C592))/(B592-C592)/(1+B592)^$F$14-$B$15+$B$16)/$B$17</f>
        <v>1939.4633734032739</v>
      </c>
      <c r="F592" s="304"/>
      <c r="G592" s="304"/>
      <c r="H592" s="304"/>
      <c r="I592" s="304"/>
      <c r="J592" s="304"/>
      <c r="K592" s="304"/>
      <c r="L592" s="304"/>
      <c r="M592" s="304"/>
      <c r="N592" s="304"/>
      <c r="O592" s="304"/>
      <c r="P592" s="304"/>
      <c r="Q592" s="304"/>
    </row>
    <row r="593" spans="1:17" ht="13.8" x14ac:dyDescent="0.3">
      <c r="A593" s="388">
        <f t="shared" si="33"/>
        <v>571</v>
      </c>
      <c r="B593" s="389">
        <f t="shared" ca="1" si="34"/>
        <v>0.11319343597988507</v>
      </c>
      <c r="C593" s="389">
        <f t="shared" ca="1" si="35"/>
        <v>5.4374394118538852E-2</v>
      </c>
      <c r="D593" s="390">
        <f t="shared" ca="1" si="36"/>
        <v>0.9574053521994802</v>
      </c>
      <c r="E593" s="391" cm="1">
        <f t="array" aca="1" ref="E593" ca="1">(SUMPRODUCT($B$13:$F$13*D593/(1+B593)^$B$14:$F$14)+($F$13*D593*(1+C593))/(B593-C593)/(1+B593)^$F$14-$B$15+$B$16)/$B$17</f>
        <v>1759.2706640085842</v>
      </c>
      <c r="F593" s="304"/>
      <c r="G593" s="304"/>
      <c r="H593" s="304"/>
      <c r="I593" s="304"/>
      <c r="J593" s="304"/>
      <c r="K593" s="304"/>
      <c r="L593" s="304"/>
      <c r="M593" s="304"/>
      <c r="N593" s="304"/>
      <c r="O593" s="304"/>
      <c r="P593" s="304"/>
      <c r="Q593" s="304"/>
    </row>
    <row r="594" spans="1:17" ht="13.8" x14ac:dyDescent="0.3">
      <c r="A594" s="388">
        <f t="shared" si="33"/>
        <v>572</v>
      </c>
      <c r="B594" s="389">
        <f t="shared" ca="1" si="34"/>
        <v>0.13138441356414932</v>
      </c>
      <c r="C594" s="389">
        <f t="shared" ca="1" si="35"/>
        <v>3.997551713178453E-2</v>
      </c>
      <c r="D594" s="390">
        <f t="shared" ca="1" si="36"/>
        <v>0.84722370592532636</v>
      </c>
      <c r="E594" s="391" cm="1">
        <f t="array" aca="1" ref="E594" ca="1">(SUMPRODUCT($B$13:$F$13*D594/(1+B594)^$B$14:$F$14)+($F$13*D594*(1+C594))/(B594-C594)/(1+B594)^$F$14-$B$15+$B$16)/$B$17</f>
        <v>1000.6977675604398</v>
      </c>
      <c r="F594" s="304"/>
      <c r="G594" s="304"/>
      <c r="H594" s="304"/>
      <c r="I594" s="304"/>
      <c r="J594" s="304"/>
      <c r="K594" s="304"/>
      <c r="L594" s="304"/>
      <c r="M594" s="304"/>
      <c r="N594" s="304"/>
      <c r="O594" s="304"/>
      <c r="P594" s="304"/>
      <c r="Q594" s="304"/>
    </row>
    <row r="595" spans="1:17" ht="13.8" x14ac:dyDescent="0.3">
      <c r="A595" s="388">
        <f t="shared" si="33"/>
        <v>573</v>
      </c>
      <c r="B595" s="389">
        <f t="shared" ca="1" si="34"/>
        <v>0.11979044261373277</v>
      </c>
      <c r="C595" s="389">
        <f t="shared" ca="1" si="35"/>
        <v>4.7602690783770829E-2</v>
      </c>
      <c r="D595" s="390">
        <f t="shared" ca="1" si="36"/>
        <v>1.0100581425256574</v>
      </c>
      <c r="E595" s="391" cm="1">
        <f t="array" aca="1" ref="E595" ca="1">(SUMPRODUCT($B$13:$F$13*D595/(1+B595)^$B$14:$F$14)+($F$13*D595*(1+C595))/(B595-C595)/(1+B595)^$F$14-$B$15+$B$16)/$B$17</f>
        <v>1522.1364755482346</v>
      </c>
      <c r="F595" s="304"/>
      <c r="G595" s="304"/>
      <c r="H595" s="304"/>
      <c r="I595" s="304"/>
      <c r="J595" s="304"/>
      <c r="K595" s="304"/>
      <c r="L595" s="304"/>
      <c r="M595" s="304"/>
      <c r="N595" s="304"/>
      <c r="O595" s="304"/>
      <c r="P595" s="304"/>
      <c r="Q595" s="304"/>
    </row>
    <row r="596" spans="1:17" ht="13.8" x14ac:dyDescent="0.3">
      <c r="A596" s="388">
        <f t="shared" si="33"/>
        <v>574</v>
      </c>
      <c r="B596" s="389">
        <f t="shared" ca="1" si="34"/>
        <v>0.13450445674144049</v>
      </c>
      <c r="C596" s="389">
        <f t="shared" ca="1" si="35"/>
        <v>5.9167550582462966E-2</v>
      </c>
      <c r="D596" s="390">
        <f t="shared" ca="1" si="36"/>
        <v>1.0568025272356218</v>
      </c>
      <c r="E596" s="391" cm="1">
        <f t="array" aca="1" ref="E596" ca="1">(SUMPRODUCT($B$13:$F$13*D596/(1+B596)^$B$14:$F$14)+($F$13*D596*(1+C596))/(B596-C596)/(1+B596)^$F$14-$B$15+$B$16)/$B$17</f>
        <v>1467.2317036244094</v>
      </c>
      <c r="F596" s="304"/>
      <c r="G596" s="304"/>
      <c r="H596" s="304"/>
      <c r="I596" s="304"/>
      <c r="J596" s="304"/>
      <c r="K596" s="304"/>
      <c r="L596" s="304"/>
      <c r="M596" s="304"/>
      <c r="N596" s="304"/>
      <c r="O596" s="304"/>
      <c r="P596" s="304"/>
      <c r="Q596" s="304"/>
    </row>
    <row r="597" spans="1:17" ht="13.8" x14ac:dyDescent="0.3">
      <c r="A597" s="388">
        <f t="shared" si="33"/>
        <v>575</v>
      </c>
      <c r="B597" s="389">
        <f t="shared" ca="1" si="34"/>
        <v>0.1374226113016872</v>
      </c>
      <c r="C597" s="389">
        <f t="shared" ca="1" si="35"/>
        <v>4.7905005112290663E-2</v>
      </c>
      <c r="D597" s="390">
        <f t="shared" ca="1" si="36"/>
        <v>0.95295740654255223</v>
      </c>
      <c r="E597" s="391" cm="1">
        <f t="array" aca="1" ref="E597" ca="1">(SUMPRODUCT($B$13:$F$13*D597/(1+B597)^$B$14:$F$14)+($F$13*D597*(1+C597))/(B597-C597)/(1+B597)^$F$14-$B$15+$B$16)/$B$17</f>
        <v>1129.5867612592151</v>
      </c>
      <c r="F597" s="304"/>
      <c r="G597" s="304"/>
      <c r="H597" s="304"/>
      <c r="I597" s="304"/>
      <c r="J597" s="304"/>
      <c r="K597" s="304"/>
      <c r="L597" s="304"/>
      <c r="M597" s="304"/>
      <c r="N597" s="304"/>
      <c r="O597" s="304"/>
      <c r="P597" s="304"/>
      <c r="Q597" s="304"/>
    </row>
    <row r="598" spans="1:17" ht="13.8" x14ac:dyDescent="0.3">
      <c r="A598" s="388">
        <f t="shared" si="33"/>
        <v>576</v>
      </c>
      <c r="B598" s="389">
        <f t="shared" ca="1" si="34"/>
        <v>0.12086218814958434</v>
      </c>
      <c r="C598" s="389">
        <f t="shared" ca="1" si="35"/>
        <v>6.6480888472431318E-2</v>
      </c>
      <c r="D598" s="390">
        <f t="shared" ca="1" si="36"/>
        <v>1.0489272713058311</v>
      </c>
      <c r="E598" s="391" cm="1">
        <f t="array" aca="1" ref="E598" ca="1">(SUMPRODUCT($B$13:$F$13*D598/(1+B598)^$B$14:$F$14)+($F$13*D598*(1+C598))/(B598-C598)/(1+B598)^$F$14-$B$15+$B$16)/$B$17</f>
        <v>2020.1216305565929</v>
      </c>
      <c r="F598" s="304"/>
      <c r="G598" s="304"/>
      <c r="H598" s="304"/>
      <c r="I598" s="304"/>
      <c r="J598" s="304"/>
      <c r="K598" s="304"/>
      <c r="L598" s="304"/>
      <c r="M598" s="304"/>
      <c r="N598" s="304"/>
      <c r="O598" s="304"/>
      <c r="P598" s="304"/>
      <c r="Q598" s="304"/>
    </row>
    <row r="599" spans="1:17" ht="13.8" x14ac:dyDescent="0.3">
      <c r="A599" s="388">
        <f t="shared" si="33"/>
        <v>577</v>
      </c>
      <c r="B599" s="389">
        <f t="shared" ca="1" si="34"/>
        <v>0.1089531738799451</v>
      </c>
      <c r="C599" s="389">
        <f t="shared" ca="1" si="35"/>
        <v>5.4557367530385613E-2</v>
      </c>
      <c r="D599" s="390">
        <f t="shared" ca="1" si="36"/>
        <v>1.0110520908492366</v>
      </c>
      <c r="E599" s="391" cm="1">
        <f t="array" aca="1" ref="E599" ca="1">(SUMPRODUCT($B$13:$F$13*D599/(1+B599)^$B$14:$F$14)+($F$13*D599*(1+C599))/(B599-C599)/(1+B599)^$F$14-$B$15+$B$16)/$B$17</f>
        <v>2021.819967385481</v>
      </c>
      <c r="F599" s="304"/>
      <c r="G599" s="304"/>
      <c r="H599" s="304"/>
      <c r="I599" s="304"/>
      <c r="J599" s="304"/>
      <c r="K599" s="304"/>
      <c r="L599" s="304"/>
      <c r="M599" s="304"/>
      <c r="N599" s="304"/>
      <c r="O599" s="304"/>
      <c r="P599" s="304"/>
      <c r="Q599" s="304"/>
    </row>
    <row r="600" spans="1:17" ht="13.8" x14ac:dyDescent="0.3">
      <c r="A600" s="388">
        <f t="shared" ref="A600:A663" si="37">ROW()-22</f>
        <v>578</v>
      </c>
      <c r="B600" s="389">
        <f t="shared" ref="B600:B663" ca="1" si="38">_xlfn.NORM.INV(RAND(),$B$6,$C$6)</f>
        <v>0.1355174042709851</v>
      </c>
      <c r="C600" s="389">
        <f t="shared" ref="C600:C663" ca="1" si="39">MIN(_xlfn.NORM.INV(RAND(),$B$7,$C$7),B600-0.005)</f>
        <v>4.9529209879568471E-2</v>
      </c>
      <c r="D600" s="390">
        <f t="shared" ref="D600:D663" ca="1" si="40">_xlfn.NORM.INV(RAND(),$B$8,$C$8)</f>
        <v>0.91865317890618203</v>
      </c>
      <c r="E600" s="391" cm="1">
        <f t="array" aca="1" ref="E600" ca="1">(SUMPRODUCT($B$13:$F$13*D600/(1+B600)^$B$14:$F$14)+($F$13*D600*(1+C600))/(B600-C600)/(1+B600)^$F$14-$B$15+$B$16)/$B$17</f>
        <v>1131.1386745617754</v>
      </c>
      <c r="F600" s="304"/>
      <c r="G600" s="304"/>
      <c r="H600" s="304"/>
      <c r="I600" s="304"/>
      <c r="J600" s="304"/>
      <c r="K600" s="304"/>
      <c r="L600" s="304"/>
      <c r="M600" s="304"/>
      <c r="N600" s="304"/>
      <c r="O600" s="304"/>
      <c r="P600" s="304"/>
      <c r="Q600" s="304"/>
    </row>
    <row r="601" spans="1:17" ht="13.8" x14ac:dyDescent="0.3">
      <c r="A601" s="388">
        <f t="shared" si="37"/>
        <v>579</v>
      </c>
      <c r="B601" s="389">
        <f t="shared" ca="1" si="38"/>
        <v>0.12881987641028342</v>
      </c>
      <c r="C601" s="389">
        <f t="shared" ca="1" si="39"/>
        <v>5.0824547473900708E-2</v>
      </c>
      <c r="D601" s="390">
        <f t="shared" ca="1" si="40"/>
        <v>0.98266161771652683</v>
      </c>
      <c r="E601" s="391" cm="1">
        <f t="array" aca="1" ref="E601" ca="1">(SUMPRODUCT($B$13:$F$13*D601/(1+B601)^$B$14:$F$14)+($F$13*D601*(1+C601))/(B601-C601)/(1+B601)^$F$14-$B$15+$B$16)/$B$17</f>
        <v>1345.4531072239838</v>
      </c>
      <c r="F601" s="304"/>
      <c r="G601" s="304"/>
      <c r="H601" s="304"/>
      <c r="I601" s="304"/>
      <c r="J601" s="304"/>
      <c r="K601" s="304"/>
      <c r="L601" s="304"/>
      <c r="M601" s="304"/>
      <c r="N601" s="304"/>
      <c r="O601" s="304"/>
      <c r="P601" s="304"/>
      <c r="Q601" s="304"/>
    </row>
    <row r="602" spans="1:17" ht="13.8" x14ac:dyDescent="0.3">
      <c r="A602" s="388">
        <f t="shared" si="37"/>
        <v>580</v>
      </c>
      <c r="B602" s="389">
        <f t="shared" ca="1" si="38"/>
        <v>0.10612286742409545</v>
      </c>
      <c r="C602" s="389">
        <f t="shared" ca="1" si="39"/>
        <v>6.2966908918989123E-2</v>
      </c>
      <c r="D602" s="390">
        <f t="shared" ca="1" si="40"/>
        <v>0.96481381931512333</v>
      </c>
      <c r="E602" s="391" cm="1">
        <f t="array" aca="1" ref="E602" ca="1">(SUMPRODUCT($B$13:$F$13*D602/(1+B602)^$B$14:$F$14)+($F$13*D602*(1+C602))/(B602-C602)/(1+B602)^$F$14-$B$15+$B$16)/$B$17</f>
        <v>2397.0150261165277</v>
      </c>
      <c r="F602" s="304"/>
      <c r="G602" s="304"/>
      <c r="H602" s="304"/>
      <c r="I602" s="304"/>
      <c r="J602" s="304"/>
      <c r="K602" s="304"/>
      <c r="L602" s="304"/>
      <c r="M602" s="304"/>
      <c r="N602" s="304"/>
      <c r="O602" s="304"/>
      <c r="P602" s="304"/>
      <c r="Q602" s="304"/>
    </row>
    <row r="603" spans="1:17" ht="13.8" x14ac:dyDescent="0.3">
      <c r="A603" s="388">
        <f t="shared" si="37"/>
        <v>581</v>
      </c>
      <c r="B603" s="389">
        <f t="shared" ca="1" si="38"/>
        <v>0.1235297534328894</v>
      </c>
      <c r="C603" s="389">
        <f t="shared" ca="1" si="39"/>
        <v>4.5009834313752224E-2</v>
      </c>
      <c r="D603" s="390">
        <f t="shared" ca="1" si="40"/>
        <v>0.91812861620663777</v>
      </c>
      <c r="E603" s="391" cm="1">
        <f t="array" aca="1" ref="E603" ca="1">(SUMPRODUCT($B$13:$F$13*D603/(1+B603)^$B$14:$F$14)+($F$13*D603*(1+C603))/(B603-C603)/(1+B603)^$F$14-$B$15+$B$16)/$B$17</f>
        <v>1268.113452559641</v>
      </c>
      <c r="F603" s="304"/>
      <c r="G603" s="304"/>
      <c r="H603" s="304"/>
      <c r="I603" s="304"/>
      <c r="J603" s="304"/>
      <c r="K603" s="304"/>
      <c r="L603" s="304"/>
      <c r="M603" s="304"/>
      <c r="N603" s="304"/>
      <c r="O603" s="304"/>
      <c r="P603" s="304"/>
      <c r="Q603" s="304"/>
    </row>
    <row r="604" spans="1:17" ht="13.8" x14ac:dyDescent="0.3">
      <c r="A604" s="388">
        <f t="shared" si="37"/>
        <v>582</v>
      </c>
      <c r="B604" s="389">
        <f t="shared" ca="1" si="38"/>
        <v>0.13185479704243411</v>
      </c>
      <c r="C604" s="389">
        <f t="shared" ca="1" si="39"/>
        <v>3.3126007304432756E-2</v>
      </c>
      <c r="D604" s="390">
        <f t="shared" ca="1" si="40"/>
        <v>0.92876816463816336</v>
      </c>
      <c r="E604" s="391" cm="1">
        <f t="array" aca="1" ref="E604" ca="1">(SUMPRODUCT($B$13:$F$13*D604/(1+B604)^$B$14:$F$14)+($F$13*D604*(1+C604))/(B604-C604)/(1+B604)^$F$14-$B$15+$B$16)/$B$17</f>
        <v>1032.3083653403551</v>
      </c>
      <c r="F604" s="304"/>
      <c r="G604" s="304"/>
      <c r="H604" s="304"/>
      <c r="I604" s="304"/>
      <c r="J604" s="304"/>
      <c r="K604" s="304"/>
      <c r="L604" s="304"/>
      <c r="M604" s="304"/>
      <c r="N604" s="304"/>
      <c r="O604" s="304"/>
      <c r="P604" s="304"/>
      <c r="Q604" s="304"/>
    </row>
    <row r="605" spans="1:17" ht="13.8" x14ac:dyDescent="0.3">
      <c r="A605" s="388">
        <f t="shared" si="37"/>
        <v>583</v>
      </c>
      <c r="B605" s="389">
        <f t="shared" ca="1" si="38"/>
        <v>0.12745184910723717</v>
      </c>
      <c r="C605" s="389">
        <f t="shared" ca="1" si="39"/>
        <v>4.5528343175851083E-2</v>
      </c>
      <c r="D605" s="390">
        <f t="shared" ca="1" si="40"/>
        <v>0.99546319183039322</v>
      </c>
      <c r="E605" s="391" cm="1">
        <f t="array" aca="1" ref="E605" ca="1">(SUMPRODUCT($B$13:$F$13*D605/(1+B605)^$B$14:$F$14)+($F$13*D605*(1+C605))/(B605-C605)/(1+B605)^$F$14-$B$15+$B$16)/$B$17</f>
        <v>1313.7984475535086</v>
      </c>
      <c r="F605" s="304"/>
      <c r="G605" s="304"/>
      <c r="H605" s="304"/>
      <c r="I605" s="304"/>
      <c r="J605" s="304"/>
      <c r="K605" s="304"/>
      <c r="L605" s="304"/>
      <c r="M605" s="304"/>
      <c r="N605" s="304"/>
      <c r="O605" s="304"/>
      <c r="P605" s="304"/>
      <c r="Q605" s="304"/>
    </row>
    <row r="606" spans="1:17" ht="13.8" x14ac:dyDescent="0.3">
      <c r="A606" s="388">
        <f t="shared" si="37"/>
        <v>584</v>
      </c>
      <c r="B606" s="389">
        <f t="shared" ca="1" si="38"/>
        <v>0.12928421881189853</v>
      </c>
      <c r="C606" s="389">
        <f t="shared" ca="1" si="39"/>
        <v>3.7980950497956398E-2</v>
      </c>
      <c r="D606" s="390">
        <f t="shared" ca="1" si="40"/>
        <v>0.9598005182528585</v>
      </c>
      <c r="E606" s="391" cm="1">
        <f t="array" aca="1" ref="E606" ca="1">(SUMPRODUCT($B$13:$F$13*D606/(1+B606)^$B$14:$F$14)+($F$13*D606*(1+C606))/(B606-C606)/(1+B606)^$F$14-$B$15+$B$16)/$B$17</f>
        <v>1148.6856602497028</v>
      </c>
      <c r="F606" s="304"/>
      <c r="G606" s="304"/>
      <c r="H606" s="304"/>
      <c r="I606" s="304"/>
      <c r="J606" s="304"/>
      <c r="K606" s="304"/>
      <c r="L606" s="304"/>
      <c r="M606" s="304"/>
      <c r="N606" s="304"/>
      <c r="O606" s="304"/>
      <c r="P606" s="304"/>
      <c r="Q606" s="304"/>
    </row>
    <row r="607" spans="1:17" ht="13.8" x14ac:dyDescent="0.3">
      <c r="A607" s="388">
        <f t="shared" si="37"/>
        <v>585</v>
      </c>
      <c r="B607" s="389">
        <f t="shared" ca="1" si="38"/>
        <v>0.1360555824857228</v>
      </c>
      <c r="C607" s="389">
        <f t="shared" ca="1" si="39"/>
        <v>6.3159396018951541E-2</v>
      </c>
      <c r="D607" s="390">
        <f t="shared" ca="1" si="40"/>
        <v>0.94867719691362129</v>
      </c>
      <c r="E607" s="391" cm="1">
        <f t="array" aca="1" ref="E607" ca="1">(SUMPRODUCT($B$13:$F$13*D607/(1+B607)^$B$14:$F$14)+($F$13*D607*(1+C607))/(B607-C607)/(1+B607)^$F$14-$B$15+$B$16)/$B$17</f>
        <v>1343.1504743924411</v>
      </c>
      <c r="F607" s="304"/>
      <c r="G607" s="304"/>
      <c r="H607" s="304"/>
      <c r="I607" s="304"/>
      <c r="J607" s="304"/>
      <c r="K607" s="304"/>
      <c r="L607" s="304"/>
      <c r="M607" s="304"/>
      <c r="N607" s="304"/>
      <c r="O607" s="304"/>
      <c r="P607" s="304"/>
      <c r="Q607" s="304"/>
    </row>
    <row r="608" spans="1:17" ht="13.8" x14ac:dyDescent="0.3">
      <c r="A608" s="388">
        <f t="shared" si="37"/>
        <v>586</v>
      </c>
      <c r="B608" s="389">
        <f t="shared" ca="1" si="38"/>
        <v>0.12290588868593379</v>
      </c>
      <c r="C608" s="389">
        <f t="shared" ca="1" si="39"/>
        <v>4.7111753238656705E-2</v>
      </c>
      <c r="D608" s="390">
        <f t="shared" ca="1" si="40"/>
        <v>1.0444108614724092</v>
      </c>
      <c r="E608" s="391" cm="1">
        <f t="array" aca="1" ref="E608" ca="1">(SUMPRODUCT($B$13:$F$13*D608/(1+B608)^$B$14:$F$14)+($F$13*D608*(1+C608))/(B608-C608)/(1+B608)^$F$14-$B$15+$B$16)/$B$17</f>
        <v>1496.1980311446337</v>
      </c>
      <c r="F608" s="304"/>
      <c r="G608" s="304"/>
      <c r="H608" s="304"/>
      <c r="I608" s="304"/>
      <c r="J608" s="304"/>
      <c r="K608" s="304"/>
      <c r="L608" s="304"/>
      <c r="M608" s="304"/>
      <c r="N608" s="304"/>
      <c r="O608" s="304"/>
      <c r="P608" s="304"/>
      <c r="Q608" s="304"/>
    </row>
    <row r="609" spans="1:17" ht="13.8" x14ac:dyDescent="0.3">
      <c r="A609" s="388">
        <f t="shared" si="37"/>
        <v>587</v>
      </c>
      <c r="B609" s="389">
        <f t="shared" ca="1" si="38"/>
        <v>0.12393004064449911</v>
      </c>
      <c r="C609" s="389">
        <f t="shared" ca="1" si="39"/>
        <v>4.7433056754197886E-2</v>
      </c>
      <c r="D609" s="390">
        <f t="shared" ca="1" si="40"/>
        <v>1.0366855312323104</v>
      </c>
      <c r="E609" s="391" cm="1">
        <f t="array" aca="1" ref="E609" ca="1">(SUMPRODUCT($B$13:$F$13*D609/(1+B609)^$B$14:$F$14)+($F$13*D609*(1+C609))/(B609-C609)/(1+B609)^$F$14-$B$15+$B$16)/$B$17</f>
        <v>1468.3449220877144</v>
      </c>
      <c r="F609" s="304"/>
      <c r="G609" s="304"/>
      <c r="H609" s="304"/>
      <c r="I609" s="304"/>
      <c r="J609" s="304"/>
      <c r="K609" s="304"/>
      <c r="L609" s="304"/>
      <c r="M609" s="304"/>
      <c r="N609" s="304"/>
      <c r="O609" s="304"/>
      <c r="P609" s="304"/>
      <c r="Q609" s="304"/>
    </row>
    <row r="610" spans="1:17" ht="13.8" x14ac:dyDescent="0.3">
      <c r="A610" s="388">
        <f t="shared" si="37"/>
        <v>588</v>
      </c>
      <c r="B610" s="389">
        <f t="shared" ca="1" si="38"/>
        <v>0.12062281152019656</v>
      </c>
      <c r="C610" s="389">
        <f t="shared" ca="1" si="39"/>
        <v>5.320134278141514E-2</v>
      </c>
      <c r="D610" s="390">
        <f t="shared" ca="1" si="40"/>
        <v>0.97688677719462513</v>
      </c>
      <c r="E610" s="391" cm="1">
        <f t="array" aca="1" ref="E610" ca="1">(SUMPRODUCT($B$13:$F$13*D610/(1+B610)^$B$14:$F$14)+($F$13*D610*(1+C610))/(B610-C610)/(1+B610)^$F$14-$B$15+$B$16)/$B$17</f>
        <v>1555.8046526661631</v>
      </c>
      <c r="F610" s="304"/>
      <c r="G610" s="304"/>
      <c r="H610" s="304"/>
      <c r="I610" s="304"/>
      <c r="J610" s="304"/>
      <c r="K610" s="304"/>
      <c r="L610" s="304"/>
      <c r="M610" s="304"/>
      <c r="N610" s="304"/>
      <c r="O610" s="304"/>
      <c r="P610" s="304"/>
      <c r="Q610" s="304"/>
    </row>
    <row r="611" spans="1:17" ht="13.8" x14ac:dyDescent="0.3">
      <c r="A611" s="388">
        <f t="shared" si="37"/>
        <v>589</v>
      </c>
      <c r="B611" s="389">
        <f t="shared" ca="1" si="38"/>
        <v>0.13117396432228146</v>
      </c>
      <c r="C611" s="389">
        <f t="shared" ca="1" si="39"/>
        <v>5.2219382349251151E-2</v>
      </c>
      <c r="D611" s="390">
        <f t="shared" ca="1" si="40"/>
        <v>1.0622921270067904</v>
      </c>
      <c r="E611" s="391" cm="1">
        <f t="array" aca="1" ref="E611" ca="1">(SUMPRODUCT($B$13:$F$13*D611/(1+B611)^$B$14:$F$14)+($F$13*D611*(1+C611))/(B611-C611)/(1+B611)^$F$14-$B$15+$B$16)/$B$17</f>
        <v>1432.5966569788441</v>
      </c>
      <c r="F611" s="304"/>
      <c r="G611" s="304"/>
      <c r="H611" s="304"/>
      <c r="I611" s="304"/>
      <c r="J611" s="304"/>
      <c r="K611" s="304"/>
      <c r="L611" s="304"/>
      <c r="M611" s="304"/>
      <c r="N611" s="304"/>
      <c r="O611" s="304"/>
      <c r="P611" s="304"/>
      <c r="Q611" s="304"/>
    </row>
    <row r="612" spans="1:17" ht="13.8" x14ac:dyDescent="0.3">
      <c r="A612" s="388">
        <f t="shared" si="37"/>
        <v>590</v>
      </c>
      <c r="B612" s="389">
        <f t="shared" ca="1" si="38"/>
        <v>0.11141225997683751</v>
      </c>
      <c r="C612" s="389">
        <f t="shared" ca="1" si="39"/>
        <v>5.2563134232558484E-2</v>
      </c>
      <c r="D612" s="390">
        <f t="shared" ca="1" si="40"/>
        <v>0.94400975735220571</v>
      </c>
      <c r="E612" s="391" cm="1">
        <f t="array" aca="1" ref="E612" ca="1">(SUMPRODUCT($B$13:$F$13*D612/(1+B612)^$B$14:$F$14)+($F$13*D612*(1+C612))/(B612-C612)/(1+B612)^$F$14-$B$15+$B$16)/$B$17</f>
        <v>1743.3005369591551</v>
      </c>
      <c r="F612" s="304"/>
      <c r="G612" s="304"/>
      <c r="H612" s="304"/>
      <c r="I612" s="304"/>
      <c r="J612" s="304"/>
      <c r="K612" s="304"/>
      <c r="L612" s="304"/>
      <c r="M612" s="304"/>
      <c r="N612" s="304"/>
      <c r="O612" s="304"/>
      <c r="P612" s="304"/>
      <c r="Q612" s="304"/>
    </row>
    <row r="613" spans="1:17" ht="13.8" x14ac:dyDescent="0.3">
      <c r="A613" s="388">
        <f t="shared" si="37"/>
        <v>591</v>
      </c>
      <c r="B613" s="389">
        <f t="shared" ca="1" si="38"/>
        <v>0.12375661523798633</v>
      </c>
      <c r="C613" s="389">
        <f t="shared" ca="1" si="39"/>
        <v>6.438962021860134E-2</v>
      </c>
      <c r="D613" s="390">
        <f t="shared" ca="1" si="40"/>
        <v>0.86012544098696742</v>
      </c>
      <c r="E613" s="391" cm="1">
        <f t="array" aca="1" ref="E613" ca="1">(SUMPRODUCT($B$13:$F$13*D613/(1+B613)^$B$14:$F$14)+($F$13*D613*(1+C613))/(B613-C613)/(1+B613)^$F$14-$B$15+$B$16)/$B$17</f>
        <v>1510.0528633071217</v>
      </c>
      <c r="F613" s="304"/>
      <c r="G613" s="304"/>
      <c r="H613" s="304"/>
      <c r="I613" s="304"/>
      <c r="J613" s="304"/>
      <c r="K613" s="304"/>
      <c r="L613" s="304"/>
      <c r="M613" s="304"/>
      <c r="N613" s="304"/>
      <c r="O613" s="304"/>
      <c r="P613" s="304"/>
      <c r="Q613" s="304"/>
    </row>
    <row r="614" spans="1:17" ht="13.8" x14ac:dyDescent="0.3">
      <c r="A614" s="388">
        <f t="shared" si="37"/>
        <v>592</v>
      </c>
      <c r="B614" s="389">
        <f t="shared" ca="1" si="38"/>
        <v>0.11964134048841374</v>
      </c>
      <c r="C614" s="389">
        <f t="shared" ca="1" si="39"/>
        <v>5.0737342847171296E-2</v>
      </c>
      <c r="D614" s="390">
        <f t="shared" ca="1" si="40"/>
        <v>0.92309957983104085</v>
      </c>
      <c r="E614" s="391" cm="1">
        <f t="array" aca="1" ref="E614" ca="1">(SUMPRODUCT($B$13:$F$13*D614/(1+B614)^$B$14:$F$14)+($F$13*D614*(1+C614))/(B614-C614)/(1+B614)^$F$14-$B$15+$B$16)/$B$17</f>
        <v>1444.6417291840648</v>
      </c>
      <c r="F614" s="304"/>
      <c r="G614" s="304"/>
      <c r="H614" s="304"/>
      <c r="I614" s="304"/>
      <c r="J614" s="304"/>
      <c r="K614" s="304"/>
      <c r="L614" s="304"/>
      <c r="M614" s="304"/>
      <c r="N614" s="304"/>
      <c r="O614" s="304"/>
      <c r="P614" s="304"/>
      <c r="Q614" s="304"/>
    </row>
    <row r="615" spans="1:17" ht="13.8" x14ac:dyDescent="0.3">
      <c r="A615" s="388">
        <f t="shared" si="37"/>
        <v>593</v>
      </c>
      <c r="B615" s="389">
        <f t="shared" ca="1" si="38"/>
        <v>0.14703421178211862</v>
      </c>
      <c r="C615" s="389">
        <f t="shared" ca="1" si="39"/>
        <v>5.3100074046300565E-2</v>
      </c>
      <c r="D615" s="390">
        <f t="shared" ca="1" si="40"/>
        <v>0.95882846074041861</v>
      </c>
      <c r="E615" s="391" cm="1">
        <f t="array" aca="1" ref="E615" ca="1">(SUMPRODUCT($B$13:$F$13*D615/(1+B615)^$B$14:$F$14)+($F$13*D615*(1+C615))/(B615-C615)/(1+B615)^$F$14-$B$15+$B$16)/$B$17</f>
        <v>1060.0772921189662</v>
      </c>
      <c r="F615" s="304"/>
      <c r="G615" s="304"/>
      <c r="H615" s="304"/>
      <c r="I615" s="304"/>
      <c r="J615" s="304"/>
      <c r="K615" s="304"/>
      <c r="L615" s="304"/>
      <c r="M615" s="304"/>
      <c r="N615" s="304"/>
      <c r="O615" s="304"/>
      <c r="P615" s="304"/>
      <c r="Q615" s="304"/>
    </row>
    <row r="616" spans="1:17" ht="13.8" x14ac:dyDescent="0.3">
      <c r="A616" s="388">
        <f t="shared" si="37"/>
        <v>594</v>
      </c>
      <c r="B616" s="389">
        <f t="shared" ca="1" si="38"/>
        <v>0.11863098650686554</v>
      </c>
      <c r="C616" s="389">
        <f t="shared" ca="1" si="39"/>
        <v>5.011638942866313E-2</v>
      </c>
      <c r="D616" s="390">
        <f t="shared" ca="1" si="40"/>
        <v>1.0278471974469401</v>
      </c>
      <c r="E616" s="391" cm="1">
        <f t="array" aca="1" ref="E616" ca="1">(SUMPRODUCT($B$13:$F$13*D616/(1+B616)^$B$14:$F$14)+($F$13*D616*(1+C616))/(B616-C616)/(1+B616)^$F$14-$B$15+$B$16)/$B$17</f>
        <v>1627.1730709680339</v>
      </c>
      <c r="F616" s="304"/>
      <c r="G616" s="304"/>
      <c r="H616" s="304"/>
      <c r="I616" s="304"/>
      <c r="J616" s="304"/>
      <c r="K616" s="304"/>
      <c r="L616" s="304"/>
      <c r="M616" s="304"/>
      <c r="N616" s="304"/>
      <c r="O616" s="304"/>
      <c r="P616" s="304"/>
      <c r="Q616" s="304"/>
    </row>
    <row r="617" spans="1:17" ht="13.8" x14ac:dyDescent="0.3">
      <c r="A617" s="388">
        <f t="shared" si="37"/>
        <v>595</v>
      </c>
      <c r="B617" s="389">
        <f t="shared" ca="1" si="38"/>
        <v>9.7604629424334455E-2</v>
      </c>
      <c r="C617" s="389">
        <f t="shared" ca="1" si="39"/>
        <v>4.3126013800553219E-2</v>
      </c>
      <c r="D617" s="390">
        <f t="shared" ca="1" si="40"/>
        <v>0.99119372279908635</v>
      </c>
      <c r="E617" s="391" cm="1">
        <f t="array" aca="1" ref="E617" ca="1">(SUMPRODUCT($B$13:$F$13*D617/(1+B617)^$B$14:$F$14)+($F$13*D617*(1+C617))/(B617-C617)/(1+B617)^$F$14-$B$15+$B$16)/$B$17</f>
        <v>2053.7381861425379</v>
      </c>
      <c r="F617" s="304"/>
      <c r="G617" s="304"/>
      <c r="H617" s="304"/>
      <c r="I617" s="304"/>
      <c r="J617" s="304"/>
      <c r="K617" s="304"/>
      <c r="L617" s="304"/>
      <c r="M617" s="304"/>
      <c r="N617" s="304"/>
      <c r="O617" s="304"/>
      <c r="P617" s="304"/>
      <c r="Q617" s="304"/>
    </row>
    <row r="618" spans="1:17" ht="13.8" x14ac:dyDescent="0.3">
      <c r="A618" s="388">
        <f t="shared" si="37"/>
        <v>596</v>
      </c>
      <c r="B618" s="389">
        <f t="shared" ca="1" si="38"/>
        <v>0.1145257889168772</v>
      </c>
      <c r="C618" s="389">
        <f t="shared" ca="1" si="39"/>
        <v>5.3054587270129204E-2</v>
      </c>
      <c r="D618" s="390">
        <f t="shared" ca="1" si="40"/>
        <v>0.9008384899930415</v>
      </c>
      <c r="E618" s="391" cm="1">
        <f t="array" aca="1" ref="E618" ca="1">(SUMPRODUCT($B$13:$F$13*D618/(1+B618)^$B$14:$F$14)+($F$13*D618*(1+C618))/(B618-C618)/(1+B618)^$F$14-$B$15+$B$16)/$B$17</f>
        <v>1582.5180985493414</v>
      </c>
      <c r="F618" s="304"/>
      <c r="G618" s="304"/>
      <c r="H618" s="304"/>
      <c r="I618" s="304"/>
      <c r="J618" s="304"/>
      <c r="K618" s="304"/>
      <c r="L618" s="304"/>
      <c r="M618" s="304"/>
      <c r="N618" s="304"/>
      <c r="O618" s="304"/>
      <c r="P618" s="304"/>
      <c r="Q618" s="304"/>
    </row>
    <row r="619" spans="1:17" ht="13.8" x14ac:dyDescent="0.3">
      <c r="A619" s="388">
        <f t="shared" si="37"/>
        <v>597</v>
      </c>
      <c r="B619" s="389">
        <f t="shared" ca="1" si="38"/>
        <v>0.13924540285152129</v>
      </c>
      <c r="C619" s="389">
        <f t="shared" ca="1" si="39"/>
        <v>4.8623280339429399E-2</v>
      </c>
      <c r="D619" s="390">
        <f t="shared" ca="1" si="40"/>
        <v>0.97124280610546687</v>
      </c>
      <c r="E619" s="391" cm="1">
        <f t="array" aca="1" ref="E619" ca="1">(SUMPRODUCT($B$13:$F$13*D619/(1+B619)^$B$14:$F$14)+($F$13*D619*(1+C619))/(B619-C619)/(1+B619)^$F$14-$B$15+$B$16)/$B$17</f>
        <v>1134.0019059973558</v>
      </c>
      <c r="F619" s="304"/>
      <c r="G619" s="304"/>
      <c r="H619" s="304"/>
      <c r="I619" s="304"/>
      <c r="J619" s="304"/>
      <c r="K619" s="304"/>
      <c r="L619" s="304"/>
      <c r="M619" s="304"/>
      <c r="N619" s="304"/>
      <c r="O619" s="304"/>
      <c r="P619" s="304"/>
      <c r="Q619" s="304"/>
    </row>
    <row r="620" spans="1:17" ht="13.8" x14ac:dyDescent="0.3">
      <c r="A620" s="388">
        <f t="shared" si="37"/>
        <v>598</v>
      </c>
      <c r="B620" s="389">
        <f t="shared" ca="1" si="38"/>
        <v>0.13640861386273559</v>
      </c>
      <c r="C620" s="389">
        <f t="shared" ca="1" si="39"/>
        <v>5.3061606358628131E-2</v>
      </c>
      <c r="D620" s="390">
        <f t="shared" ca="1" si="40"/>
        <v>1.0402377748423803</v>
      </c>
      <c r="E620" s="391" cm="1">
        <f t="array" aca="1" ref="E620" ca="1">(SUMPRODUCT($B$13:$F$13*D620/(1+B620)^$B$14:$F$14)+($F$13*D620*(1+C620))/(B620-C620)/(1+B620)^$F$14-$B$15+$B$16)/$B$17</f>
        <v>1317.4430241367043</v>
      </c>
      <c r="F620" s="304"/>
      <c r="G620" s="304"/>
      <c r="H620" s="304"/>
      <c r="I620" s="304"/>
      <c r="J620" s="304"/>
      <c r="K620" s="304"/>
      <c r="L620" s="304"/>
      <c r="M620" s="304"/>
      <c r="N620" s="304"/>
      <c r="O620" s="304"/>
      <c r="P620" s="304"/>
      <c r="Q620" s="304"/>
    </row>
    <row r="621" spans="1:17" ht="13.8" x14ac:dyDescent="0.3">
      <c r="A621" s="388">
        <f t="shared" si="37"/>
        <v>599</v>
      </c>
      <c r="B621" s="389">
        <f t="shared" ca="1" si="38"/>
        <v>0.11087232589134596</v>
      </c>
      <c r="C621" s="389">
        <f t="shared" ca="1" si="39"/>
        <v>5.4603116474552911E-2</v>
      </c>
      <c r="D621" s="390">
        <f t="shared" ca="1" si="40"/>
        <v>0.9428793600949037</v>
      </c>
      <c r="E621" s="391" cm="1">
        <f t="array" aca="1" ref="E621" ca="1">(SUMPRODUCT($B$13:$F$13*D621/(1+B621)^$B$14:$F$14)+($F$13*D621*(1+C621))/(B621-C621)/(1+B621)^$F$14-$B$15+$B$16)/$B$17</f>
        <v>1814.9458018820831</v>
      </c>
      <c r="F621" s="304"/>
      <c r="G621" s="304"/>
      <c r="H621" s="304"/>
      <c r="I621" s="304"/>
      <c r="J621" s="304"/>
      <c r="K621" s="304"/>
      <c r="L621" s="304"/>
      <c r="M621" s="304"/>
      <c r="N621" s="304"/>
      <c r="O621" s="304"/>
      <c r="P621" s="304"/>
      <c r="Q621" s="304"/>
    </row>
    <row r="622" spans="1:17" ht="13.8" x14ac:dyDescent="0.3">
      <c r="A622" s="388">
        <f t="shared" si="37"/>
        <v>600</v>
      </c>
      <c r="B622" s="389">
        <f t="shared" ca="1" si="38"/>
        <v>0.10734155510799172</v>
      </c>
      <c r="C622" s="389">
        <f t="shared" ca="1" si="39"/>
        <v>3.716779310165659E-2</v>
      </c>
      <c r="D622" s="390">
        <f t="shared" ca="1" si="40"/>
        <v>1.0853766868806294</v>
      </c>
      <c r="E622" s="391" cm="1">
        <f t="array" aca="1" ref="E622" ca="1">(SUMPRODUCT($B$13:$F$13*D622/(1+B622)^$B$14:$F$14)+($F$13*D622*(1+C622))/(B622-C622)/(1+B622)^$F$14-$B$15+$B$16)/$B$17</f>
        <v>1748.3788712927212</v>
      </c>
      <c r="F622" s="304"/>
      <c r="G622" s="304"/>
      <c r="H622" s="304"/>
      <c r="I622" s="304"/>
      <c r="J622" s="304"/>
      <c r="K622" s="304"/>
      <c r="L622" s="304"/>
      <c r="M622" s="304"/>
      <c r="N622" s="304"/>
      <c r="O622" s="304"/>
      <c r="P622" s="304"/>
      <c r="Q622" s="304"/>
    </row>
    <row r="623" spans="1:17" ht="13.8" x14ac:dyDescent="0.3">
      <c r="A623" s="388">
        <f t="shared" si="37"/>
        <v>601</v>
      </c>
      <c r="B623" s="389">
        <f t="shared" ca="1" si="38"/>
        <v>0.10235466462292561</v>
      </c>
      <c r="C623" s="389">
        <f t="shared" ca="1" si="39"/>
        <v>3.8449481087527687E-2</v>
      </c>
      <c r="D623" s="390">
        <f t="shared" ca="1" si="40"/>
        <v>1.166898461347798</v>
      </c>
      <c r="E623" s="391" cm="1">
        <f t="array" aca="1" ref="E623" ca="1">(SUMPRODUCT($B$13:$F$13*D623/(1+B623)^$B$14:$F$14)+($F$13*D623*(1+C623))/(B623-C623)/(1+B623)^$F$14-$B$15+$B$16)/$B$17</f>
        <v>2075.6178555710003</v>
      </c>
      <c r="F623" s="304"/>
      <c r="G623" s="304"/>
      <c r="H623" s="304"/>
      <c r="I623" s="304"/>
      <c r="J623" s="304"/>
      <c r="K623" s="304"/>
      <c r="L623" s="304"/>
      <c r="M623" s="304"/>
      <c r="N623" s="304"/>
      <c r="O623" s="304"/>
      <c r="P623" s="304"/>
      <c r="Q623" s="304"/>
    </row>
    <row r="624" spans="1:17" ht="13.8" x14ac:dyDescent="0.3">
      <c r="A624" s="388">
        <f t="shared" si="37"/>
        <v>602</v>
      </c>
      <c r="B624" s="389">
        <f t="shared" ca="1" si="38"/>
        <v>0.10214056894491821</v>
      </c>
      <c r="C624" s="389">
        <f t="shared" ca="1" si="39"/>
        <v>4.5544205083950601E-2</v>
      </c>
      <c r="D624" s="390">
        <f t="shared" ca="1" si="40"/>
        <v>1.1184635257862265</v>
      </c>
      <c r="E624" s="391" cm="1">
        <f t="array" aca="1" ref="E624" ca="1">(SUMPRODUCT($B$13:$F$13*D624/(1+B624)^$B$14:$F$14)+($F$13*D624*(1+C624))/(B624-C624)/(1+B624)^$F$14-$B$15+$B$16)/$B$17</f>
        <v>2212.956012090161</v>
      </c>
      <c r="F624" s="304"/>
      <c r="G624" s="304"/>
      <c r="H624" s="304"/>
      <c r="I624" s="304"/>
      <c r="J624" s="304"/>
      <c r="K624" s="304"/>
      <c r="L624" s="304"/>
      <c r="M624" s="304"/>
      <c r="N624" s="304"/>
      <c r="O624" s="304"/>
      <c r="P624" s="304"/>
      <c r="Q624" s="304"/>
    </row>
    <row r="625" spans="1:17" ht="13.8" x14ac:dyDescent="0.3">
      <c r="A625" s="388">
        <f t="shared" si="37"/>
        <v>603</v>
      </c>
      <c r="B625" s="389">
        <f t="shared" ca="1" si="38"/>
        <v>0.11878885815076737</v>
      </c>
      <c r="C625" s="389">
        <f t="shared" ca="1" si="39"/>
        <v>5.7123793372288616E-2</v>
      </c>
      <c r="D625" s="390">
        <f t="shared" ca="1" si="40"/>
        <v>0.94257828945855326</v>
      </c>
      <c r="E625" s="391" cm="1">
        <f t="array" aca="1" ref="E625" ca="1">(SUMPRODUCT($B$13:$F$13*D625/(1+B625)^$B$14:$F$14)+($F$13*D625*(1+C625))/(B625-C625)/(1+B625)^$F$14-$B$15+$B$16)/$B$17</f>
        <v>1630.7547465240541</v>
      </c>
      <c r="F625" s="304"/>
      <c r="G625" s="304"/>
      <c r="H625" s="304"/>
      <c r="I625" s="304"/>
      <c r="J625" s="304"/>
      <c r="K625" s="304"/>
      <c r="L625" s="304"/>
      <c r="M625" s="304"/>
      <c r="N625" s="304"/>
      <c r="O625" s="304"/>
      <c r="P625" s="304"/>
      <c r="Q625" s="304"/>
    </row>
    <row r="626" spans="1:17" ht="13.8" x14ac:dyDescent="0.3">
      <c r="A626" s="388">
        <f t="shared" si="37"/>
        <v>604</v>
      </c>
      <c r="B626" s="389">
        <f t="shared" ca="1" si="38"/>
        <v>0.12170222735007341</v>
      </c>
      <c r="C626" s="389">
        <f t="shared" ca="1" si="39"/>
        <v>5.3597176072680497E-2</v>
      </c>
      <c r="D626" s="390">
        <f t="shared" ca="1" si="40"/>
        <v>1.023363327911686</v>
      </c>
      <c r="E626" s="391" cm="1">
        <f t="array" aca="1" ref="E626" ca="1">(SUMPRODUCT($B$13:$F$13*D626/(1+B626)^$B$14:$F$14)+($F$13*D626*(1+C626))/(B626-C626)/(1+B626)^$F$14-$B$15+$B$16)/$B$17</f>
        <v>1612.2848316174773</v>
      </c>
      <c r="F626" s="304"/>
      <c r="G626" s="304"/>
      <c r="H626" s="304"/>
      <c r="I626" s="304"/>
      <c r="J626" s="304"/>
      <c r="K626" s="304"/>
      <c r="L626" s="304"/>
      <c r="M626" s="304"/>
      <c r="N626" s="304"/>
      <c r="O626" s="304"/>
      <c r="P626" s="304"/>
      <c r="Q626" s="304"/>
    </row>
    <row r="627" spans="1:17" ht="13.8" x14ac:dyDescent="0.3">
      <c r="A627" s="388">
        <f t="shared" si="37"/>
        <v>605</v>
      </c>
      <c r="B627" s="389">
        <f t="shared" ca="1" si="38"/>
        <v>0.12137105354748838</v>
      </c>
      <c r="C627" s="389">
        <f t="shared" ca="1" si="39"/>
        <v>5.3657255587805507E-2</v>
      </c>
      <c r="D627" s="390">
        <f t="shared" ca="1" si="40"/>
        <v>1.0769212796677838</v>
      </c>
      <c r="E627" s="391" cm="1">
        <f t="array" aca="1" ref="E627" ca="1">(SUMPRODUCT($B$13:$F$13*D627/(1+B627)^$B$14:$F$14)+($F$13*D627*(1+C627))/(B627-C627)/(1+B627)^$F$14-$B$15+$B$16)/$B$17</f>
        <v>1709.4504630749675</v>
      </c>
      <c r="F627" s="304"/>
      <c r="G627" s="304"/>
      <c r="H627" s="304"/>
      <c r="I627" s="304"/>
      <c r="J627" s="304"/>
      <c r="K627" s="304"/>
      <c r="L627" s="304"/>
      <c r="M627" s="304"/>
      <c r="N627" s="304"/>
      <c r="O627" s="304"/>
      <c r="P627" s="304"/>
      <c r="Q627" s="304"/>
    </row>
    <row r="628" spans="1:17" ht="13.8" x14ac:dyDescent="0.3">
      <c r="A628" s="388">
        <f t="shared" si="37"/>
        <v>606</v>
      </c>
      <c r="B628" s="389">
        <f t="shared" ca="1" si="38"/>
        <v>0.12605857760332342</v>
      </c>
      <c r="C628" s="389">
        <f t="shared" ca="1" si="39"/>
        <v>4.773204174274024E-2</v>
      </c>
      <c r="D628" s="390">
        <f t="shared" ca="1" si="40"/>
        <v>1.1441290816242036</v>
      </c>
      <c r="E628" s="391" cm="1">
        <f t="array" aca="1" ref="E628" ca="1">(SUMPRODUCT($B$13:$F$13*D628/(1+B628)^$B$14:$F$14)+($F$13*D628*(1+C628))/(B628-C628)/(1+B628)^$F$14-$B$15+$B$16)/$B$17</f>
        <v>1582.5110848360359</v>
      </c>
      <c r="F628" s="304"/>
      <c r="G628" s="304"/>
      <c r="H628" s="304"/>
      <c r="I628" s="304"/>
      <c r="J628" s="304"/>
      <c r="K628" s="304"/>
      <c r="L628" s="304"/>
      <c r="M628" s="304"/>
      <c r="N628" s="304"/>
      <c r="O628" s="304"/>
      <c r="P628" s="304"/>
      <c r="Q628" s="304"/>
    </row>
    <row r="629" spans="1:17" ht="13.8" x14ac:dyDescent="0.3">
      <c r="A629" s="388">
        <f t="shared" si="37"/>
        <v>607</v>
      </c>
      <c r="B629" s="389">
        <f t="shared" ca="1" si="38"/>
        <v>0.12369975543764571</v>
      </c>
      <c r="C629" s="389">
        <f t="shared" ca="1" si="39"/>
        <v>5.962529629387537E-2</v>
      </c>
      <c r="D629" s="390">
        <f t="shared" ca="1" si="40"/>
        <v>0.91640252247119158</v>
      </c>
      <c r="E629" s="391" cm="1">
        <f t="array" aca="1" ref="E629" ca="1">(SUMPRODUCT($B$13:$F$13*D629/(1+B629)^$B$14:$F$14)+($F$13*D629*(1+C629))/(B629-C629)/(1+B629)^$F$14-$B$15+$B$16)/$B$17</f>
        <v>1507.6518762189348</v>
      </c>
      <c r="F629" s="304"/>
      <c r="G629" s="304"/>
      <c r="H629" s="304"/>
      <c r="I629" s="304"/>
      <c r="J629" s="304"/>
      <c r="K629" s="304"/>
      <c r="L629" s="304"/>
      <c r="M629" s="304"/>
      <c r="N629" s="304"/>
      <c r="O629" s="304"/>
      <c r="P629" s="304"/>
      <c r="Q629" s="304"/>
    </row>
    <row r="630" spans="1:17" ht="13.8" x14ac:dyDescent="0.3">
      <c r="A630" s="388">
        <f t="shared" si="37"/>
        <v>608</v>
      </c>
      <c r="B630" s="389">
        <f t="shared" ca="1" si="38"/>
        <v>0.10964798008925339</v>
      </c>
      <c r="C630" s="389">
        <f t="shared" ca="1" si="39"/>
        <v>3.3998747870976835E-2</v>
      </c>
      <c r="D630" s="390">
        <f t="shared" ca="1" si="40"/>
        <v>0.92827181925758262</v>
      </c>
      <c r="E630" s="391" cm="1">
        <f t="array" aca="1" ref="E630" ca="1">(SUMPRODUCT($B$13:$F$13*D630/(1+B630)^$B$14:$F$14)+($F$13*D630*(1+C630))/(B630-C630)/(1+B630)^$F$14-$B$15+$B$16)/$B$17</f>
        <v>1384.7312444547842</v>
      </c>
      <c r="F630" s="304"/>
      <c r="G630" s="304"/>
      <c r="H630" s="304"/>
      <c r="I630" s="304"/>
      <c r="J630" s="304"/>
      <c r="K630" s="304"/>
      <c r="L630" s="304"/>
      <c r="M630" s="304"/>
      <c r="N630" s="304"/>
      <c r="O630" s="304"/>
      <c r="P630" s="304"/>
      <c r="Q630" s="304"/>
    </row>
    <row r="631" spans="1:17" ht="13.8" x14ac:dyDescent="0.3">
      <c r="A631" s="388">
        <f t="shared" si="37"/>
        <v>609</v>
      </c>
      <c r="B631" s="389">
        <f t="shared" ca="1" si="38"/>
        <v>0.11626335766311201</v>
      </c>
      <c r="C631" s="389">
        <f t="shared" ca="1" si="39"/>
        <v>4.6439992893964721E-2</v>
      </c>
      <c r="D631" s="390">
        <f t="shared" ca="1" si="40"/>
        <v>1.1075378181804185</v>
      </c>
      <c r="E631" s="391" cm="1">
        <f t="array" aca="1" ref="E631" ca="1">(SUMPRODUCT($B$13:$F$13*D631/(1+B631)^$B$14:$F$14)+($F$13*D631*(1+C631))/(B631-C631)/(1+B631)^$F$14-$B$15+$B$16)/$B$17</f>
        <v>1741.8017340974548</v>
      </c>
      <c r="F631" s="304"/>
      <c r="G631" s="304"/>
      <c r="H631" s="304"/>
      <c r="I631" s="304"/>
      <c r="J631" s="304"/>
      <c r="K631" s="304"/>
      <c r="L631" s="304"/>
      <c r="M631" s="304"/>
      <c r="N631" s="304"/>
      <c r="O631" s="304"/>
      <c r="P631" s="304"/>
      <c r="Q631" s="304"/>
    </row>
    <row r="632" spans="1:17" ht="13.8" x14ac:dyDescent="0.3">
      <c r="A632" s="388">
        <f t="shared" si="37"/>
        <v>610</v>
      </c>
      <c r="B632" s="389">
        <f t="shared" ca="1" si="38"/>
        <v>0.11561727026519361</v>
      </c>
      <c r="C632" s="389">
        <f t="shared" ca="1" si="39"/>
        <v>5.1485844144031949E-2</v>
      </c>
      <c r="D632" s="390">
        <f t="shared" ca="1" si="40"/>
        <v>1.0595952858624682</v>
      </c>
      <c r="E632" s="391" cm="1">
        <f t="array" aca="1" ref="E632" ca="1">(SUMPRODUCT($B$13:$F$13*D632/(1+B632)^$B$14:$F$14)+($F$13*D632*(1+C632))/(B632-C632)/(1+B632)^$F$14-$B$15+$B$16)/$B$17</f>
        <v>1795.4371401022586</v>
      </c>
      <c r="F632" s="304"/>
      <c r="G632" s="304"/>
      <c r="H632" s="304"/>
      <c r="I632" s="304"/>
      <c r="J632" s="304"/>
      <c r="K632" s="304"/>
      <c r="L632" s="304"/>
      <c r="M632" s="304"/>
      <c r="N632" s="304"/>
      <c r="O632" s="304"/>
      <c r="P632" s="304"/>
      <c r="Q632" s="304"/>
    </row>
    <row r="633" spans="1:17" ht="13.8" x14ac:dyDescent="0.3">
      <c r="A633" s="388">
        <f t="shared" si="37"/>
        <v>611</v>
      </c>
      <c r="B633" s="389">
        <f t="shared" ca="1" si="38"/>
        <v>0.12531372908833904</v>
      </c>
      <c r="C633" s="389">
        <f t="shared" ca="1" si="39"/>
        <v>4.7045837802772952E-2</v>
      </c>
      <c r="D633" s="390">
        <f t="shared" ca="1" si="40"/>
        <v>0.934191519207898</v>
      </c>
      <c r="E633" s="391" cm="1">
        <f t="array" aca="1" ref="E633" ca="1">(SUMPRODUCT($B$13:$F$13*D633/(1+B633)^$B$14:$F$14)+($F$13*D633*(1+C633))/(B633-C633)/(1+B633)^$F$14-$B$15+$B$16)/$B$17</f>
        <v>1287.2942894555399</v>
      </c>
      <c r="F633" s="304"/>
      <c r="G633" s="304"/>
      <c r="H633" s="304"/>
      <c r="I633" s="304"/>
      <c r="J633" s="304"/>
      <c r="K633" s="304"/>
      <c r="L633" s="304"/>
      <c r="M633" s="304"/>
      <c r="N633" s="304"/>
      <c r="O633" s="304"/>
      <c r="P633" s="304"/>
      <c r="Q633" s="304"/>
    </row>
    <row r="634" spans="1:17" ht="13.8" x14ac:dyDescent="0.3">
      <c r="A634" s="388">
        <f t="shared" si="37"/>
        <v>612</v>
      </c>
      <c r="B634" s="389">
        <f t="shared" ca="1" si="38"/>
        <v>0.12724368721894683</v>
      </c>
      <c r="C634" s="389">
        <f t="shared" ca="1" si="39"/>
        <v>5.026490425008516E-2</v>
      </c>
      <c r="D634" s="390">
        <f t="shared" ca="1" si="40"/>
        <v>1.0720566631389068</v>
      </c>
      <c r="E634" s="391" cm="1">
        <f t="array" aca="1" ref="E634" ca="1">(SUMPRODUCT($B$13:$F$13*D634/(1+B634)^$B$14:$F$14)+($F$13*D634*(1+C634))/(B634-C634)/(1+B634)^$F$14-$B$15+$B$16)/$B$17</f>
        <v>1496.1106872874209</v>
      </c>
      <c r="F634" s="304"/>
      <c r="G634" s="304"/>
      <c r="H634" s="304"/>
      <c r="I634" s="304"/>
      <c r="J634" s="304"/>
      <c r="K634" s="304"/>
      <c r="L634" s="304"/>
      <c r="M634" s="304"/>
      <c r="N634" s="304"/>
      <c r="O634" s="304"/>
      <c r="P634" s="304"/>
      <c r="Q634" s="304"/>
    </row>
    <row r="635" spans="1:17" ht="13.8" x14ac:dyDescent="0.3">
      <c r="A635" s="388">
        <f t="shared" si="37"/>
        <v>613</v>
      </c>
      <c r="B635" s="389">
        <f t="shared" ca="1" si="38"/>
        <v>0.12030103859191467</v>
      </c>
      <c r="C635" s="389">
        <f t="shared" ca="1" si="39"/>
        <v>4.1584231987185624E-2</v>
      </c>
      <c r="D635" s="390">
        <f t="shared" ca="1" si="40"/>
        <v>1.1678303061774913</v>
      </c>
      <c r="E635" s="391" cm="1">
        <f t="array" aca="1" ref="E635" ca="1">(SUMPRODUCT($B$13:$F$13*D635/(1+B635)^$B$14:$F$14)+($F$13*D635*(1+C635))/(B635-C635)/(1+B635)^$F$14-$B$15+$B$16)/$B$17</f>
        <v>1639.2594319941497</v>
      </c>
      <c r="F635" s="304"/>
      <c r="G635" s="304"/>
      <c r="H635" s="304"/>
      <c r="I635" s="304"/>
      <c r="J635" s="304"/>
      <c r="K635" s="304"/>
      <c r="L635" s="304"/>
      <c r="M635" s="304"/>
      <c r="N635" s="304"/>
      <c r="O635" s="304"/>
      <c r="P635" s="304"/>
      <c r="Q635" s="304"/>
    </row>
    <row r="636" spans="1:17" ht="13.8" x14ac:dyDescent="0.3">
      <c r="A636" s="388">
        <f t="shared" si="37"/>
        <v>614</v>
      </c>
      <c r="B636" s="389">
        <f t="shared" ca="1" si="38"/>
        <v>0.1193259499178146</v>
      </c>
      <c r="C636" s="389">
        <f t="shared" ca="1" si="39"/>
        <v>4.9254548589291958E-2</v>
      </c>
      <c r="D636" s="390">
        <f t="shared" ca="1" si="40"/>
        <v>0.88782877374759894</v>
      </c>
      <c r="E636" s="391" cm="1">
        <f t="array" aca="1" ref="E636" ca="1">(SUMPRODUCT($B$13:$F$13*D636/(1+B636)^$B$14:$F$14)+($F$13*D636*(1+C636))/(B636-C636)/(1+B636)^$F$14-$B$15+$B$16)/$B$17</f>
        <v>1368.9523300865717</v>
      </c>
      <c r="F636" s="304"/>
      <c r="G636" s="304"/>
      <c r="H636" s="304"/>
      <c r="I636" s="304"/>
      <c r="J636" s="304"/>
      <c r="K636" s="304"/>
      <c r="L636" s="304"/>
      <c r="M636" s="304"/>
      <c r="N636" s="304"/>
      <c r="O636" s="304"/>
      <c r="P636" s="304"/>
      <c r="Q636" s="304"/>
    </row>
    <row r="637" spans="1:17" ht="13.8" x14ac:dyDescent="0.3">
      <c r="A637" s="388">
        <f t="shared" si="37"/>
        <v>615</v>
      </c>
      <c r="B637" s="389">
        <f t="shared" ca="1" si="38"/>
        <v>0.10304475273477724</v>
      </c>
      <c r="C637" s="389">
        <f t="shared" ca="1" si="39"/>
        <v>4.561019887987857E-2</v>
      </c>
      <c r="D637" s="390">
        <f t="shared" ca="1" si="40"/>
        <v>1.2008990453350838</v>
      </c>
      <c r="E637" s="391" cm="1">
        <f t="array" aca="1" ref="E637" ca="1">(SUMPRODUCT($B$13:$F$13*D637/(1+B637)^$B$14:$F$14)+($F$13*D637*(1+C637))/(B637-C637)/(1+B637)^$F$14-$B$15+$B$16)/$B$17</f>
        <v>2341.9225307593397</v>
      </c>
      <c r="F637" s="304"/>
      <c r="G637" s="304"/>
      <c r="H637" s="304"/>
      <c r="I637" s="304"/>
      <c r="J637" s="304"/>
      <c r="K637" s="304"/>
      <c r="L637" s="304"/>
      <c r="M637" s="304"/>
      <c r="N637" s="304"/>
      <c r="O637" s="304"/>
      <c r="P637" s="304"/>
      <c r="Q637" s="304"/>
    </row>
    <row r="638" spans="1:17" ht="13.8" x14ac:dyDescent="0.3">
      <c r="A638" s="388">
        <f t="shared" si="37"/>
        <v>616</v>
      </c>
      <c r="B638" s="389">
        <f t="shared" ca="1" si="38"/>
        <v>0.13120202351645022</v>
      </c>
      <c r="C638" s="389">
        <f t="shared" ca="1" si="39"/>
        <v>5.0690688498430121E-2</v>
      </c>
      <c r="D638" s="390">
        <f t="shared" ca="1" si="40"/>
        <v>0.90738269465794219</v>
      </c>
      <c r="E638" s="391" cm="1">
        <f t="array" aca="1" ref="E638" ca="1">(SUMPRODUCT($B$13:$F$13*D638/(1+B638)^$B$14:$F$14)+($F$13*D638*(1+C638))/(B638-C638)/(1+B638)^$F$14-$B$15+$B$16)/$B$17</f>
        <v>1196.6528767080774</v>
      </c>
      <c r="F638" s="304"/>
      <c r="G638" s="304"/>
      <c r="H638" s="304"/>
      <c r="I638" s="304"/>
      <c r="J638" s="304"/>
      <c r="K638" s="304"/>
      <c r="L638" s="304"/>
      <c r="M638" s="304"/>
      <c r="N638" s="304"/>
      <c r="O638" s="304"/>
      <c r="P638" s="304"/>
      <c r="Q638" s="304"/>
    </row>
    <row r="639" spans="1:17" ht="13.8" x14ac:dyDescent="0.3">
      <c r="A639" s="388">
        <f t="shared" si="37"/>
        <v>617</v>
      </c>
      <c r="B639" s="389">
        <f t="shared" ca="1" si="38"/>
        <v>0.13260921280722041</v>
      </c>
      <c r="C639" s="389">
        <f t="shared" ca="1" si="39"/>
        <v>5.2383488342150494E-2</v>
      </c>
      <c r="D639" s="390">
        <f t="shared" ca="1" si="40"/>
        <v>0.99365578716085246</v>
      </c>
      <c r="E639" s="391" cm="1">
        <f t="array" aca="1" ref="E639" ca="1">(SUMPRODUCT($B$13:$F$13*D639/(1+B639)^$B$14:$F$14)+($F$13*D639*(1+C639))/(B639-C639)/(1+B639)^$F$14-$B$15+$B$16)/$B$17</f>
        <v>1313.0315711679848</v>
      </c>
      <c r="F639" s="304"/>
      <c r="G639" s="304"/>
      <c r="H639" s="304"/>
      <c r="I639" s="304"/>
      <c r="J639" s="304"/>
      <c r="K639" s="304"/>
      <c r="L639" s="304"/>
      <c r="M639" s="304"/>
      <c r="N639" s="304"/>
      <c r="O639" s="304"/>
      <c r="P639" s="304"/>
      <c r="Q639" s="304"/>
    </row>
    <row r="640" spans="1:17" ht="13.8" x14ac:dyDescent="0.3">
      <c r="A640" s="388">
        <f t="shared" si="37"/>
        <v>618</v>
      </c>
      <c r="B640" s="389">
        <f t="shared" ca="1" si="38"/>
        <v>0.12777321005238962</v>
      </c>
      <c r="C640" s="389">
        <f t="shared" ca="1" si="39"/>
        <v>4.4765761983349112E-2</v>
      </c>
      <c r="D640" s="390">
        <f t="shared" ca="1" si="40"/>
        <v>1.0187016727174485</v>
      </c>
      <c r="E640" s="391" cm="1">
        <f t="array" aca="1" ref="E640" ca="1">(SUMPRODUCT($B$13:$F$13*D640/(1+B640)^$B$14:$F$14)+($F$13*D640*(1+C640))/(B640-C640)/(1+B640)^$F$14-$B$15+$B$16)/$B$17</f>
        <v>1329.4271208115017</v>
      </c>
      <c r="F640" s="304"/>
      <c r="G640" s="304"/>
      <c r="H640" s="304"/>
      <c r="I640" s="304"/>
      <c r="J640" s="304"/>
      <c r="K640" s="304"/>
      <c r="L640" s="304"/>
      <c r="M640" s="304"/>
      <c r="N640" s="304"/>
      <c r="O640" s="304"/>
      <c r="P640" s="304"/>
      <c r="Q640" s="304"/>
    </row>
    <row r="641" spans="1:17" ht="13.8" x14ac:dyDescent="0.3">
      <c r="A641" s="388">
        <f t="shared" si="37"/>
        <v>619</v>
      </c>
      <c r="B641" s="389">
        <f t="shared" ca="1" si="38"/>
        <v>0.13171255826532238</v>
      </c>
      <c r="C641" s="389">
        <f t="shared" ca="1" si="39"/>
        <v>5.0699208234461036E-2</v>
      </c>
      <c r="D641" s="390">
        <f t="shared" ca="1" si="40"/>
        <v>0.89905727814374059</v>
      </c>
      <c r="E641" s="391" cm="1">
        <f t="array" aca="1" ref="E641" ca="1">(SUMPRODUCT($B$13:$F$13*D641/(1+B641)^$B$14:$F$14)+($F$13*D641*(1+C641))/(B641-C641)/(1+B641)^$F$14-$B$15+$B$16)/$B$17</f>
        <v>1177.0967318718101</v>
      </c>
      <c r="F641" s="304"/>
      <c r="G641" s="304"/>
      <c r="H641" s="304"/>
      <c r="I641" s="304"/>
      <c r="J641" s="304"/>
      <c r="K641" s="304"/>
      <c r="L641" s="304"/>
      <c r="M641" s="304"/>
      <c r="N641" s="304"/>
      <c r="O641" s="304"/>
      <c r="P641" s="304"/>
      <c r="Q641" s="304"/>
    </row>
    <row r="642" spans="1:17" ht="13.8" x14ac:dyDescent="0.3">
      <c r="A642" s="388">
        <f t="shared" si="37"/>
        <v>620</v>
      </c>
      <c r="B642" s="389">
        <f t="shared" ca="1" si="38"/>
        <v>0.13093171315299498</v>
      </c>
      <c r="C642" s="389">
        <f t="shared" ca="1" si="39"/>
        <v>4.6834293931661483E-2</v>
      </c>
      <c r="D642" s="390">
        <f t="shared" ca="1" si="40"/>
        <v>1.0985830656155369</v>
      </c>
      <c r="E642" s="391" cm="1">
        <f t="array" aca="1" ref="E642" ca="1">(SUMPRODUCT($B$13:$F$13*D642/(1+B642)^$B$14:$F$14)+($F$13*D642*(1+C642))/(B642-C642)/(1+B642)^$F$14-$B$15+$B$16)/$B$17</f>
        <v>1407.6647522237722</v>
      </c>
      <c r="F642" s="304"/>
      <c r="G642" s="304"/>
      <c r="H642" s="304"/>
      <c r="I642" s="304"/>
      <c r="J642" s="304"/>
      <c r="K642" s="304"/>
      <c r="L642" s="304"/>
      <c r="M642" s="304"/>
      <c r="N642" s="304"/>
      <c r="O642" s="304"/>
      <c r="P642" s="304"/>
      <c r="Q642" s="304"/>
    </row>
    <row r="643" spans="1:17" ht="13.8" x14ac:dyDescent="0.3">
      <c r="A643" s="388">
        <f t="shared" si="37"/>
        <v>621</v>
      </c>
      <c r="B643" s="389">
        <f t="shared" ca="1" si="38"/>
        <v>0.13194982939067465</v>
      </c>
      <c r="C643" s="389">
        <f t="shared" ca="1" si="39"/>
        <v>5.2644907410536103E-2</v>
      </c>
      <c r="D643" s="390">
        <f t="shared" ca="1" si="40"/>
        <v>1.1440919842019934</v>
      </c>
      <c r="E643" s="391" cm="1">
        <f t="array" aca="1" ref="E643" ca="1">(SUMPRODUCT($B$13:$F$13*D643/(1+B643)^$B$14:$F$14)+($F$13*D643*(1+C643))/(B643-C643)/(1+B643)^$F$14-$B$15+$B$16)/$B$17</f>
        <v>1537.0401951196968</v>
      </c>
      <c r="F643" s="304"/>
      <c r="G643" s="304"/>
      <c r="H643" s="304"/>
      <c r="I643" s="304"/>
      <c r="J643" s="304"/>
      <c r="K643" s="304"/>
      <c r="L643" s="304"/>
      <c r="M643" s="304"/>
      <c r="N643" s="304"/>
      <c r="O643" s="304"/>
      <c r="P643" s="304"/>
      <c r="Q643" s="304"/>
    </row>
    <row r="644" spans="1:17" ht="13.8" x14ac:dyDescent="0.3">
      <c r="A644" s="388">
        <f t="shared" si="37"/>
        <v>622</v>
      </c>
      <c r="B644" s="389">
        <f t="shared" ca="1" si="38"/>
        <v>0.12825377969744686</v>
      </c>
      <c r="C644" s="389">
        <f t="shared" ca="1" si="39"/>
        <v>4.5954955139514551E-2</v>
      </c>
      <c r="D644" s="390">
        <f t="shared" ca="1" si="40"/>
        <v>0.8358177950174418</v>
      </c>
      <c r="E644" s="391" cm="1">
        <f t="array" aca="1" ref="E644" ca="1">(SUMPRODUCT($B$13:$F$13*D644/(1+B644)^$B$14:$F$14)+($F$13*D644*(1+C644))/(B644-C644)/(1+B644)^$F$14-$B$15+$B$16)/$B$17</f>
        <v>1088.442866878629</v>
      </c>
      <c r="F644" s="304"/>
      <c r="G644" s="304"/>
      <c r="H644" s="304"/>
      <c r="I644" s="304"/>
      <c r="J644" s="304"/>
      <c r="K644" s="304"/>
      <c r="L644" s="304"/>
      <c r="M644" s="304"/>
      <c r="N644" s="304"/>
      <c r="O644" s="304"/>
      <c r="P644" s="304"/>
      <c r="Q644" s="304"/>
    </row>
    <row r="645" spans="1:17" ht="13.8" x14ac:dyDescent="0.3">
      <c r="A645" s="388">
        <f t="shared" si="37"/>
        <v>623</v>
      </c>
      <c r="B645" s="389">
        <f t="shared" ca="1" si="38"/>
        <v>0.12013844321160756</v>
      </c>
      <c r="C645" s="389">
        <f t="shared" ca="1" si="39"/>
        <v>4.8267469252448993E-2</v>
      </c>
      <c r="D645" s="390">
        <f t="shared" ca="1" si="40"/>
        <v>1.1006337163782163</v>
      </c>
      <c r="E645" s="391" cm="1">
        <f t="array" aca="1" ref="E645" ca="1">(SUMPRODUCT($B$13:$F$13*D645/(1+B645)^$B$14:$F$14)+($F$13*D645*(1+C645))/(B645-C645)/(1+B645)^$F$14-$B$15+$B$16)/$B$17</f>
        <v>1667.3122384323888</v>
      </c>
      <c r="F645" s="304"/>
      <c r="G645" s="304"/>
      <c r="H645" s="304"/>
      <c r="I645" s="304"/>
      <c r="J645" s="304"/>
      <c r="K645" s="304"/>
      <c r="L645" s="304"/>
      <c r="M645" s="304"/>
      <c r="N645" s="304"/>
      <c r="O645" s="304"/>
      <c r="P645" s="304"/>
      <c r="Q645" s="304"/>
    </row>
    <row r="646" spans="1:17" ht="13.8" x14ac:dyDescent="0.3">
      <c r="A646" s="388">
        <f t="shared" si="37"/>
        <v>624</v>
      </c>
      <c r="B646" s="389">
        <f t="shared" ca="1" si="38"/>
        <v>0.10483873169031854</v>
      </c>
      <c r="C646" s="389">
        <f t="shared" ca="1" si="39"/>
        <v>4.5403529070254411E-2</v>
      </c>
      <c r="D646" s="390">
        <f t="shared" ca="1" si="40"/>
        <v>1.0533840444634133</v>
      </c>
      <c r="E646" s="391" cm="1">
        <f t="array" aca="1" ref="E646" ca="1">(SUMPRODUCT($B$13:$F$13*D646/(1+B646)^$B$14:$F$14)+($F$13*D646*(1+C646))/(B646-C646)/(1+B646)^$F$14-$B$15+$B$16)/$B$17</f>
        <v>1975.7485115183492</v>
      </c>
      <c r="F646" s="304"/>
      <c r="G646" s="304"/>
      <c r="H646" s="304"/>
      <c r="I646" s="304"/>
      <c r="J646" s="304"/>
      <c r="K646" s="304"/>
      <c r="L646" s="304"/>
      <c r="M646" s="304"/>
      <c r="N646" s="304"/>
      <c r="O646" s="304"/>
      <c r="P646" s="304"/>
      <c r="Q646" s="304"/>
    </row>
    <row r="647" spans="1:17" ht="13.8" x14ac:dyDescent="0.3">
      <c r="A647" s="388">
        <f t="shared" si="37"/>
        <v>625</v>
      </c>
      <c r="B647" s="389">
        <f t="shared" ca="1" si="38"/>
        <v>0.11637307428285837</v>
      </c>
      <c r="C647" s="389">
        <f t="shared" ca="1" si="39"/>
        <v>5.8280072129097429E-2</v>
      </c>
      <c r="D647" s="390">
        <f t="shared" ca="1" si="40"/>
        <v>0.89475181439510187</v>
      </c>
      <c r="E647" s="391" cm="1">
        <f t="array" aca="1" ref="E647" ca="1">(SUMPRODUCT($B$13:$F$13*D647/(1+B647)^$B$14:$F$14)+($F$13*D647*(1+C647))/(B647-C647)/(1+B647)^$F$14-$B$15+$B$16)/$B$17</f>
        <v>1642.0908662335894</v>
      </c>
      <c r="F647" s="304"/>
      <c r="G647" s="304"/>
      <c r="H647" s="304"/>
      <c r="I647" s="304"/>
      <c r="J647" s="304"/>
      <c r="K647" s="304"/>
      <c r="L647" s="304"/>
      <c r="M647" s="304"/>
      <c r="N647" s="304"/>
      <c r="O647" s="304"/>
      <c r="P647" s="304"/>
      <c r="Q647" s="304"/>
    </row>
    <row r="648" spans="1:17" ht="13.8" x14ac:dyDescent="0.3">
      <c r="A648" s="388">
        <f t="shared" si="37"/>
        <v>626</v>
      </c>
      <c r="B648" s="389">
        <f t="shared" ca="1" si="38"/>
        <v>0.14730989655144869</v>
      </c>
      <c r="C648" s="389">
        <f t="shared" ca="1" si="39"/>
        <v>5.0333288232271331E-2</v>
      </c>
      <c r="D648" s="390">
        <f t="shared" ca="1" si="40"/>
        <v>0.96844002743217206</v>
      </c>
      <c r="E648" s="391" cm="1">
        <f t="array" aca="1" ref="E648" ca="1">(SUMPRODUCT($B$13:$F$13*D648/(1+B648)^$B$14:$F$14)+($F$13*D648*(1+C648))/(B648-C648)/(1+B648)^$F$14-$B$15+$B$16)/$B$17</f>
        <v>1042.6487204934112</v>
      </c>
      <c r="F648" s="304"/>
      <c r="G648" s="304"/>
      <c r="H648" s="304"/>
      <c r="I648" s="304"/>
      <c r="J648" s="304"/>
      <c r="K648" s="304"/>
      <c r="L648" s="304"/>
      <c r="M648" s="304"/>
      <c r="N648" s="304"/>
      <c r="O648" s="304"/>
      <c r="P648" s="304"/>
      <c r="Q648" s="304"/>
    </row>
    <row r="649" spans="1:17" ht="13.8" x14ac:dyDescent="0.3">
      <c r="A649" s="388">
        <f t="shared" si="37"/>
        <v>627</v>
      </c>
      <c r="B649" s="389">
        <f t="shared" ca="1" si="38"/>
        <v>0.13651768334199574</v>
      </c>
      <c r="C649" s="389">
        <f t="shared" ca="1" si="39"/>
        <v>4.6441481642022692E-2</v>
      </c>
      <c r="D649" s="390">
        <f t="shared" ca="1" si="40"/>
        <v>0.77836592252204684</v>
      </c>
      <c r="E649" s="391" cm="1">
        <f t="array" aca="1" ref="E649" ca="1">(SUMPRODUCT($B$13:$F$13*D649/(1+B649)^$B$14:$F$14)+($F$13*D649*(1+C649))/(B649-C649)/(1+B649)^$F$14-$B$15+$B$16)/$B$17</f>
        <v>911.79338630629752</v>
      </c>
      <c r="F649" s="304"/>
      <c r="G649" s="304"/>
      <c r="H649" s="304"/>
      <c r="I649" s="304"/>
      <c r="J649" s="304"/>
      <c r="K649" s="304"/>
      <c r="L649" s="304"/>
      <c r="M649" s="304"/>
      <c r="N649" s="304"/>
      <c r="O649" s="304"/>
      <c r="P649" s="304"/>
      <c r="Q649" s="304"/>
    </row>
    <row r="650" spans="1:17" ht="13.8" x14ac:dyDescent="0.3">
      <c r="A650" s="388">
        <f t="shared" si="37"/>
        <v>628</v>
      </c>
      <c r="B650" s="389">
        <f t="shared" ca="1" si="38"/>
        <v>0.13932916316663144</v>
      </c>
      <c r="C650" s="389">
        <f t="shared" ca="1" si="39"/>
        <v>4.2663146692041569E-2</v>
      </c>
      <c r="D650" s="390">
        <f t="shared" ca="1" si="40"/>
        <v>1.1098489864871748</v>
      </c>
      <c r="E650" s="391" cm="1">
        <f t="array" aca="1" ref="E650" ca="1">(SUMPRODUCT($B$13:$F$13*D650/(1+B650)^$B$14:$F$14)+($F$13*D650*(1+C650))/(B650-C650)/(1+B650)^$F$14-$B$15+$B$16)/$B$17</f>
        <v>1235.1870791896952</v>
      </c>
      <c r="F650" s="304"/>
      <c r="G650" s="304"/>
      <c r="H650" s="304"/>
      <c r="I650" s="304"/>
      <c r="J650" s="304"/>
      <c r="K650" s="304"/>
      <c r="L650" s="304"/>
      <c r="M650" s="304"/>
      <c r="N650" s="304"/>
      <c r="O650" s="304"/>
      <c r="P650" s="304"/>
      <c r="Q650" s="304"/>
    </row>
    <row r="651" spans="1:17" ht="13.8" x14ac:dyDescent="0.3">
      <c r="A651" s="388">
        <f t="shared" si="37"/>
        <v>629</v>
      </c>
      <c r="B651" s="389">
        <f t="shared" ca="1" si="38"/>
        <v>0.12288562166543865</v>
      </c>
      <c r="C651" s="389">
        <f t="shared" ca="1" si="39"/>
        <v>4.5788044020942067E-2</v>
      </c>
      <c r="D651" s="390">
        <f t="shared" ca="1" si="40"/>
        <v>0.91431450344536114</v>
      </c>
      <c r="E651" s="391" cm="1">
        <f t="array" aca="1" ref="E651" ca="1">(SUMPRODUCT($B$13:$F$13*D651/(1+B651)^$B$14:$F$14)+($F$13*D651*(1+C651))/(B651-C651)/(1+B651)^$F$14-$B$15+$B$16)/$B$17</f>
        <v>1285.1276267578285</v>
      </c>
      <c r="F651" s="304"/>
      <c r="G651" s="304"/>
      <c r="H651" s="304"/>
      <c r="I651" s="304"/>
      <c r="J651" s="304"/>
      <c r="K651" s="304"/>
      <c r="L651" s="304"/>
      <c r="M651" s="304"/>
      <c r="N651" s="304"/>
      <c r="O651" s="304"/>
      <c r="P651" s="304"/>
      <c r="Q651" s="304"/>
    </row>
    <row r="652" spans="1:17" ht="13.8" x14ac:dyDescent="0.3">
      <c r="A652" s="388">
        <f t="shared" si="37"/>
        <v>630</v>
      </c>
      <c r="B652" s="389">
        <f t="shared" ca="1" si="38"/>
        <v>0.11825860163096918</v>
      </c>
      <c r="C652" s="389">
        <f t="shared" ca="1" si="39"/>
        <v>6.0096873377393022E-2</v>
      </c>
      <c r="D652" s="390">
        <f t="shared" ca="1" si="40"/>
        <v>1.2386738235946526</v>
      </c>
      <c r="E652" s="391" cm="1">
        <f t="array" aca="1" ref="E652" ca="1">(SUMPRODUCT($B$13:$F$13*D652/(1+B652)^$B$14:$F$14)+($F$13*D652*(1+C652))/(B652-C652)/(1+B652)^$F$14-$B$15+$B$16)/$B$17</f>
        <v>2275.280824027056</v>
      </c>
      <c r="F652" s="304"/>
      <c r="G652" s="304"/>
      <c r="H652" s="304"/>
      <c r="I652" s="304"/>
      <c r="J652" s="304"/>
      <c r="K652" s="304"/>
      <c r="L652" s="304"/>
      <c r="M652" s="304"/>
      <c r="N652" s="304"/>
      <c r="O652" s="304"/>
      <c r="P652" s="304"/>
      <c r="Q652" s="304"/>
    </row>
    <row r="653" spans="1:17" ht="13.8" x14ac:dyDescent="0.3">
      <c r="A653" s="388">
        <f t="shared" si="37"/>
        <v>631</v>
      </c>
      <c r="B653" s="389">
        <f t="shared" ca="1" si="38"/>
        <v>0.12198723760719087</v>
      </c>
      <c r="C653" s="389">
        <f t="shared" ca="1" si="39"/>
        <v>4.4155382583678293E-2</v>
      </c>
      <c r="D653" s="390">
        <f t="shared" ca="1" si="40"/>
        <v>1.064166143844631</v>
      </c>
      <c r="E653" s="391" cm="1">
        <f t="array" aca="1" ref="E653" ca="1">(SUMPRODUCT($B$13:$F$13*D653/(1+B653)^$B$14:$F$14)+($F$13*D653*(1+C653))/(B653-C653)/(1+B653)^$F$14-$B$15+$B$16)/$B$17</f>
        <v>1495.7835759652189</v>
      </c>
      <c r="F653" s="304"/>
      <c r="G653" s="304"/>
      <c r="H653" s="304"/>
      <c r="I653" s="304"/>
      <c r="J653" s="304"/>
      <c r="K653" s="304"/>
      <c r="L653" s="304"/>
      <c r="M653" s="304"/>
      <c r="N653" s="304"/>
      <c r="O653" s="304"/>
      <c r="P653" s="304"/>
      <c r="Q653" s="304"/>
    </row>
    <row r="654" spans="1:17" ht="13.8" x14ac:dyDescent="0.3">
      <c r="A654" s="388">
        <f t="shared" si="37"/>
        <v>632</v>
      </c>
      <c r="B654" s="389">
        <f t="shared" ca="1" si="38"/>
        <v>0.12439554607191269</v>
      </c>
      <c r="C654" s="389">
        <f t="shared" ca="1" si="39"/>
        <v>5.4039659123054341E-2</v>
      </c>
      <c r="D654" s="390">
        <f t="shared" ca="1" si="40"/>
        <v>1.0188906873439796</v>
      </c>
      <c r="E654" s="391" cm="1">
        <f t="array" aca="1" ref="E654" ca="1">(SUMPRODUCT($B$13:$F$13*D654/(1+B654)^$B$14:$F$14)+($F$13*D654*(1+C654))/(B654-C654)/(1+B654)^$F$14-$B$15+$B$16)/$B$17</f>
        <v>1547.1726690748217</v>
      </c>
      <c r="F654" s="304"/>
      <c r="G654" s="304"/>
      <c r="H654" s="304"/>
      <c r="I654" s="304"/>
      <c r="J654" s="304"/>
      <c r="K654" s="304"/>
      <c r="L654" s="304"/>
      <c r="M654" s="304"/>
      <c r="N654" s="304"/>
      <c r="O654" s="304"/>
      <c r="P654" s="304"/>
      <c r="Q654" s="304"/>
    </row>
    <row r="655" spans="1:17" ht="13.8" x14ac:dyDescent="0.3">
      <c r="A655" s="388">
        <f t="shared" si="37"/>
        <v>633</v>
      </c>
      <c r="B655" s="389">
        <f t="shared" ca="1" si="38"/>
        <v>0.13965792089040735</v>
      </c>
      <c r="C655" s="389">
        <f t="shared" ca="1" si="39"/>
        <v>5.0350019902968279E-2</v>
      </c>
      <c r="D655" s="390">
        <f t="shared" ca="1" si="40"/>
        <v>1.0548573865527948</v>
      </c>
      <c r="E655" s="391" cm="1">
        <f t="array" aca="1" ref="E655" ca="1">(SUMPRODUCT($B$13:$F$13*D655/(1+B655)^$B$14:$F$14)+($F$13*D655*(1+C655))/(B655-C655)/(1+B655)^$F$14-$B$15+$B$16)/$B$17</f>
        <v>1249.1180506426172</v>
      </c>
      <c r="F655" s="304"/>
      <c r="G655" s="304"/>
      <c r="H655" s="304"/>
      <c r="I655" s="304"/>
      <c r="J655" s="304"/>
      <c r="K655" s="304"/>
      <c r="L655" s="304"/>
      <c r="M655" s="304"/>
      <c r="N655" s="304"/>
      <c r="O655" s="304"/>
      <c r="P655" s="304"/>
      <c r="Q655" s="304"/>
    </row>
    <row r="656" spans="1:17" ht="13.8" x14ac:dyDescent="0.3">
      <c r="A656" s="388">
        <f t="shared" si="37"/>
        <v>634</v>
      </c>
      <c r="B656" s="389">
        <f t="shared" ca="1" si="38"/>
        <v>0.1339083005058177</v>
      </c>
      <c r="C656" s="389">
        <f t="shared" ca="1" si="39"/>
        <v>3.9839281482876715E-2</v>
      </c>
      <c r="D656" s="390">
        <f t="shared" ca="1" si="40"/>
        <v>0.92410836057597101</v>
      </c>
      <c r="E656" s="391" cm="1">
        <f t="array" aca="1" ref="E656" ca="1">(SUMPRODUCT($B$13:$F$13*D656/(1+B656)^$B$14:$F$14)+($F$13*D656*(1+C656))/(B656-C656)/(1+B656)^$F$14-$B$15+$B$16)/$B$17</f>
        <v>1061.6110940279282</v>
      </c>
      <c r="F656" s="304"/>
      <c r="G656" s="304"/>
      <c r="H656" s="304"/>
      <c r="I656" s="304"/>
      <c r="J656" s="304"/>
      <c r="K656" s="304"/>
      <c r="L656" s="304"/>
      <c r="M656" s="304"/>
      <c r="N656" s="304"/>
      <c r="O656" s="304"/>
      <c r="P656" s="304"/>
      <c r="Q656" s="304"/>
    </row>
    <row r="657" spans="1:17" ht="13.8" x14ac:dyDescent="0.3">
      <c r="A657" s="388">
        <f t="shared" si="37"/>
        <v>635</v>
      </c>
      <c r="B657" s="389">
        <f t="shared" ca="1" si="38"/>
        <v>0.13719618854999635</v>
      </c>
      <c r="C657" s="389">
        <f t="shared" ca="1" si="39"/>
        <v>5.3291736746608621E-2</v>
      </c>
      <c r="D657" s="390">
        <f t="shared" ca="1" si="40"/>
        <v>0.98335174541934345</v>
      </c>
      <c r="E657" s="391" cm="1">
        <f t="array" aca="1" ref="E657" ca="1">(SUMPRODUCT($B$13:$F$13*D657/(1+B657)^$B$14:$F$14)+($F$13*D657*(1+C657))/(B657-C657)/(1+B657)^$F$14-$B$15+$B$16)/$B$17</f>
        <v>1232.8005762486735</v>
      </c>
      <c r="F657" s="304"/>
      <c r="G657" s="304"/>
      <c r="H657" s="304"/>
      <c r="I657" s="304"/>
      <c r="J657" s="304"/>
      <c r="K657" s="304"/>
      <c r="L657" s="304"/>
      <c r="M657" s="304"/>
      <c r="N657" s="304"/>
      <c r="O657" s="304"/>
      <c r="P657" s="304"/>
      <c r="Q657" s="304"/>
    </row>
    <row r="658" spans="1:17" ht="13.8" x14ac:dyDescent="0.3">
      <c r="A658" s="388">
        <f t="shared" si="37"/>
        <v>636</v>
      </c>
      <c r="B658" s="389">
        <f t="shared" ca="1" si="38"/>
        <v>0.11724205929364519</v>
      </c>
      <c r="C658" s="389">
        <f t="shared" ca="1" si="39"/>
        <v>5.4084212995523732E-2</v>
      </c>
      <c r="D658" s="390">
        <f t="shared" ca="1" si="40"/>
        <v>0.99631433839949779</v>
      </c>
      <c r="E658" s="391" cm="1">
        <f t="array" aca="1" ref="E658" ca="1">(SUMPRODUCT($B$13:$F$13*D658/(1+B658)^$B$14:$F$14)+($F$13*D658*(1+C658))/(B658-C658)/(1+B658)^$F$14-$B$15+$B$16)/$B$17</f>
        <v>1699.1033273759497</v>
      </c>
      <c r="F658" s="304"/>
      <c r="G658" s="304"/>
      <c r="H658" s="304"/>
      <c r="I658" s="304"/>
      <c r="J658" s="304"/>
      <c r="K658" s="304"/>
      <c r="L658" s="304"/>
      <c r="M658" s="304"/>
      <c r="N658" s="304"/>
      <c r="O658" s="304"/>
      <c r="P658" s="304"/>
      <c r="Q658" s="304"/>
    </row>
    <row r="659" spans="1:17" ht="13.8" x14ac:dyDescent="0.3">
      <c r="A659" s="388">
        <f t="shared" si="37"/>
        <v>637</v>
      </c>
      <c r="B659" s="389">
        <f t="shared" ca="1" si="38"/>
        <v>0.14409272540285825</v>
      </c>
      <c r="C659" s="389">
        <f t="shared" ca="1" si="39"/>
        <v>5.0346734162312508E-2</v>
      </c>
      <c r="D659" s="390">
        <f t="shared" ca="1" si="40"/>
        <v>0.76672933072661786</v>
      </c>
      <c r="E659" s="391" cm="1">
        <f t="array" aca="1" ref="E659" ca="1">(SUMPRODUCT($B$13:$F$13*D659/(1+B659)^$B$14:$F$14)+($F$13*D659*(1+C659))/(B659-C659)/(1+B659)^$F$14-$B$15+$B$16)/$B$17</f>
        <v>847.3988058919972</v>
      </c>
      <c r="F659" s="304"/>
      <c r="G659" s="304"/>
      <c r="H659" s="304"/>
      <c r="I659" s="304"/>
      <c r="J659" s="304"/>
      <c r="K659" s="304"/>
      <c r="L659" s="304"/>
      <c r="M659" s="304"/>
      <c r="N659" s="304"/>
      <c r="O659" s="304"/>
      <c r="P659" s="304"/>
      <c r="Q659" s="304"/>
    </row>
    <row r="660" spans="1:17" ht="13.8" x14ac:dyDescent="0.3">
      <c r="A660" s="388">
        <f t="shared" si="37"/>
        <v>638</v>
      </c>
      <c r="B660" s="389">
        <f t="shared" ca="1" si="38"/>
        <v>0.11707870274105807</v>
      </c>
      <c r="C660" s="389">
        <f t="shared" ca="1" si="39"/>
        <v>5.1732634508637368E-2</v>
      </c>
      <c r="D660" s="390">
        <f t="shared" ca="1" si="40"/>
        <v>0.87688803696689288</v>
      </c>
      <c r="E660" s="391" cm="1">
        <f t="array" aca="1" ref="E660" ca="1">(SUMPRODUCT($B$13:$F$13*D660/(1+B660)^$B$14:$F$14)+($F$13*D660*(1+C660))/(B660-C660)/(1+B660)^$F$14-$B$15+$B$16)/$B$17</f>
        <v>1446.6896839051956</v>
      </c>
      <c r="F660" s="304"/>
      <c r="G660" s="304"/>
      <c r="H660" s="304"/>
      <c r="I660" s="304"/>
      <c r="J660" s="304"/>
      <c r="K660" s="304"/>
      <c r="L660" s="304"/>
      <c r="M660" s="304"/>
      <c r="N660" s="304"/>
      <c r="O660" s="304"/>
      <c r="P660" s="304"/>
      <c r="Q660" s="304"/>
    </row>
    <row r="661" spans="1:17" ht="13.8" x14ac:dyDescent="0.3">
      <c r="A661" s="388">
        <f t="shared" si="37"/>
        <v>639</v>
      </c>
      <c r="B661" s="389">
        <f t="shared" ca="1" si="38"/>
        <v>0.10911826293052418</v>
      </c>
      <c r="C661" s="389">
        <f t="shared" ca="1" si="39"/>
        <v>4.8439444584507059E-2</v>
      </c>
      <c r="D661" s="390">
        <f t="shared" ca="1" si="40"/>
        <v>0.9616011546913672</v>
      </c>
      <c r="E661" s="391" cm="1">
        <f t="array" aca="1" ref="E661" ca="1">(SUMPRODUCT($B$13:$F$13*D661/(1+B661)^$B$14:$F$14)+($F$13*D661*(1+C661))/(B661-C661)/(1+B661)^$F$14-$B$15+$B$16)/$B$17</f>
        <v>1742.3142444061348</v>
      </c>
      <c r="F661" s="304"/>
      <c r="G661" s="304"/>
      <c r="H661" s="304"/>
      <c r="I661" s="304"/>
      <c r="J661" s="304"/>
      <c r="K661" s="304"/>
      <c r="L661" s="304"/>
      <c r="M661" s="304"/>
      <c r="N661" s="304"/>
      <c r="O661" s="304"/>
      <c r="P661" s="304"/>
      <c r="Q661" s="304"/>
    </row>
    <row r="662" spans="1:17" ht="13.8" x14ac:dyDescent="0.3">
      <c r="A662" s="388">
        <f t="shared" si="37"/>
        <v>640</v>
      </c>
      <c r="B662" s="389">
        <f t="shared" ca="1" si="38"/>
        <v>0.14631691570697242</v>
      </c>
      <c r="C662" s="389">
        <f t="shared" ca="1" si="39"/>
        <v>4.6503199992005868E-2</v>
      </c>
      <c r="D662" s="390">
        <f t="shared" ca="1" si="40"/>
        <v>0.78737438441808494</v>
      </c>
      <c r="E662" s="391" cm="1">
        <f t="array" aca="1" ref="E662" ca="1">(SUMPRODUCT($B$13:$F$13*D662/(1+B662)^$B$14:$F$14)+($F$13*D662*(1+C662))/(B662-C662)/(1+B662)^$F$14-$B$15+$B$16)/$B$17</f>
        <v>821.68101100120009</v>
      </c>
      <c r="F662" s="304"/>
      <c r="G662" s="304"/>
      <c r="H662" s="304"/>
      <c r="I662" s="304"/>
      <c r="J662" s="304"/>
      <c r="K662" s="304"/>
      <c r="L662" s="304"/>
      <c r="M662" s="304"/>
      <c r="N662" s="304"/>
      <c r="O662" s="304"/>
      <c r="P662" s="304"/>
      <c r="Q662" s="304"/>
    </row>
    <row r="663" spans="1:17" ht="13.8" x14ac:dyDescent="0.3">
      <c r="A663" s="388">
        <f t="shared" si="37"/>
        <v>641</v>
      </c>
      <c r="B663" s="389">
        <f t="shared" ca="1" si="38"/>
        <v>0.13076782484596788</v>
      </c>
      <c r="C663" s="389">
        <f t="shared" ca="1" si="39"/>
        <v>5.6484834644889854E-2</v>
      </c>
      <c r="D663" s="390">
        <f t="shared" ca="1" si="40"/>
        <v>1.0814995500442297</v>
      </c>
      <c r="E663" s="391" cm="1">
        <f t="array" aca="1" ref="E663" ca="1">(SUMPRODUCT($B$13:$F$13*D663/(1+B663)^$B$14:$F$14)+($F$13*D663*(1+C663))/(B663-C663)/(1+B663)^$F$14-$B$15+$B$16)/$B$17</f>
        <v>1538.861574228099</v>
      </c>
      <c r="F663" s="304"/>
      <c r="G663" s="304"/>
      <c r="H663" s="304"/>
      <c r="I663" s="304"/>
      <c r="J663" s="304"/>
      <c r="K663" s="304"/>
      <c r="L663" s="304"/>
      <c r="M663" s="304"/>
      <c r="N663" s="304"/>
      <c r="O663" s="304"/>
      <c r="P663" s="304"/>
      <c r="Q663" s="304"/>
    </row>
    <row r="664" spans="1:17" ht="13.8" x14ac:dyDescent="0.3">
      <c r="A664" s="388">
        <f t="shared" ref="A664:A727" si="41">ROW()-22</f>
        <v>642</v>
      </c>
      <c r="B664" s="389">
        <f t="shared" ref="B664:B727" ca="1" si="42">_xlfn.NORM.INV(RAND(),$B$6,$C$6)</f>
        <v>0.12413265067434519</v>
      </c>
      <c r="C664" s="389">
        <f t="shared" ref="C664:C727" ca="1" si="43">MIN(_xlfn.NORM.INV(RAND(),$B$7,$C$7),B664-0.005)</f>
        <v>4.4772004696860289E-2</v>
      </c>
      <c r="D664" s="390">
        <f t="shared" ref="D664:D727" ca="1" si="44">_xlfn.NORM.INV(RAND(),$B$8,$C$8)</f>
        <v>0.95018899891968256</v>
      </c>
      <c r="E664" s="391" cm="1">
        <f t="array" aca="1" ref="E664" ca="1">(SUMPRODUCT($B$13:$F$13*D664/(1+B664)^$B$14:$F$14)+($F$13*D664*(1+C664))/(B664-C664)/(1+B664)^$F$14-$B$15+$B$16)/$B$17</f>
        <v>1299.7133890117777</v>
      </c>
      <c r="F664" s="304"/>
      <c r="G664" s="304"/>
      <c r="H664" s="304"/>
      <c r="I664" s="304"/>
      <c r="J664" s="304"/>
      <c r="K664" s="304"/>
      <c r="L664" s="304"/>
      <c r="M664" s="304"/>
      <c r="N664" s="304"/>
      <c r="O664" s="304"/>
      <c r="P664" s="304"/>
      <c r="Q664" s="304"/>
    </row>
    <row r="665" spans="1:17" ht="13.8" x14ac:dyDescent="0.3">
      <c r="A665" s="388">
        <f t="shared" si="41"/>
        <v>643</v>
      </c>
      <c r="B665" s="389">
        <f t="shared" ca="1" si="42"/>
        <v>0.10797715901614074</v>
      </c>
      <c r="C665" s="389">
        <f t="shared" ca="1" si="43"/>
        <v>5.1793786794983032E-2</v>
      </c>
      <c r="D665" s="390">
        <f t="shared" ca="1" si="44"/>
        <v>0.90025419070726032</v>
      </c>
      <c r="E665" s="391" cm="1">
        <f t="array" aca="1" ref="E665" ca="1">(SUMPRODUCT($B$13:$F$13*D665/(1+B665)^$B$14:$F$14)+($F$13*D665*(1+C665))/(B665-C665)/(1+B665)^$F$14-$B$15+$B$16)/$B$17</f>
        <v>1749.6188810468202</v>
      </c>
      <c r="F665" s="304"/>
      <c r="G665" s="304"/>
      <c r="H665" s="304"/>
      <c r="I665" s="304"/>
      <c r="J665" s="304"/>
      <c r="K665" s="304"/>
      <c r="L665" s="304"/>
      <c r="M665" s="304"/>
      <c r="N665" s="304"/>
      <c r="O665" s="304"/>
      <c r="P665" s="304"/>
      <c r="Q665" s="304"/>
    </row>
    <row r="666" spans="1:17" ht="13.8" x14ac:dyDescent="0.3">
      <c r="A666" s="388">
        <f t="shared" si="41"/>
        <v>644</v>
      </c>
      <c r="B666" s="389">
        <f t="shared" ca="1" si="42"/>
        <v>0.14477644003306239</v>
      </c>
      <c r="C666" s="389">
        <f t="shared" ca="1" si="43"/>
        <v>5.4490107535030946E-2</v>
      </c>
      <c r="D666" s="390">
        <f t="shared" ca="1" si="44"/>
        <v>1.0276604046676183</v>
      </c>
      <c r="E666" s="391" cm="1">
        <f t="array" aca="1" ref="E666" ca="1">(SUMPRODUCT($B$13:$F$13*D666/(1+B666)^$B$14:$F$14)+($F$13*D666*(1+C666))/(B666-C666)/(1+B666)^$F$14-$B$15+$B$16)/$B$17</f>
        <v>1185.6624167965726</v>
      </c>
      <c r="F666" s="304"/>
      <c r="G666" s="304"/>
      <c r="H666" s="304"/>
      <c r="I666" s="304"/>
      <c r="J666" s="304"/>
      <c r="K666" s="304"/>
      <c r="L666" s="304"/>
      <c r="M666" s="304"/>
      <c r="N666" s="304"/>
      <c r="O666" s="304"/>
      <c r="P666" s="304"/>
      <c r="Q666" s="304"/>
    </row>
    <row r="667" spans="1:17" ht="13.8" x14ac:dyDescent="0.3">
      <c r="A667" s="388">
        <f t="shared" si="41"/>
        <v>645</v>
      </c>
      <c r="B667" s="389">
        <f t="shared" ca="1" si="42"/>
        <v>0.11923389820413703</v>
      </c>
      <c r="C667" s="389">
        <f t="shared" ca="1" si="43"/>
        <v>4.3033326153983309E-2</v>
      </c>
      <c r="D667" s="390">
        <f t="shared" ca="1" si="44"/>
        <v>1.0393442685996672</v>
      </c>
      <c r="E667" s="391" cm="1">
        <f t="array" aca="1" ref="E667" ca="1">(SUMPRODUCT($B$13:$F$13*D667/(1+B667)^$B$14:$F$14)+($F$13*D667*(1+C667))/(B667-C667)/(1+B667)^$F$14-$B$15+$B$16)/$B$17</f>
        <v>1499.4710530059751</v>
      </c>
      <c r="F667" s="304"/>
      <c r="G667" s="304"/>
      <c r="H667" s="304"/>
      <c r="I667" s="304"/>
      <c r="J667" s="304"/>
      <c r="K667" s="304"/>
      <c r="L667" s="304"/>
      <c r="M667" s="304"/>
      <c r="N667" s="304"/>
      <c r="O667" s="304"/>
      <c r="P667" s="304"/>
      <c r="Q667" s="304"/>
    </row>
    <row r="668" spans="1:17" ht="13.8" x14ac:dyDescent="0.3">
      <c r="A668" s="388">
        <f t="shared" si="41"/>
        <v>646</v>
      </c>
      <c r="B668" s="389">
        <f t="shared" ca="1" si="42"/>
        <v>0.12330089762990107</v>
      </c>
      <c r="C668" s="389">
        <f t="shared" ca="1" si="43"/>
        <v>4.6205040100607858E-2</v>
      </c>
      <c r="D668" s="390">
        <f t="shared" ca="1" si="44"/>
        <v>0.85275822457604833</v>
      </c>
      <c r="E668" s="391" cm="1">
        <f t="array" aca="1" ref="E668" ca="1">(SUMPRODUCT($B$13:$F$13*D668/(1+B668)^$B$14:$F$14)+($F$13*D668*(1+C668))/(B668-C668)/(1+B668)^$F$14-$B$15+$B$16)/$B$17</f>
        <v>1193.8334561826323</v>
      </c>
      <c r="F668" s="304"/>
      <c r="G668" s="304"/>
      <c r="H668" s="304"/>
      <c r="I668" s="304"/>
      <c r="J668" s="304"/>
      <c r="K668" s="304"/>
      <c r="L668" s="304"/>
      <c r="M668" s="304"/>
      <c r="N668" s="304"/>
      <c r="O668" s="304"/>
      <c r="P668" s="304"/>
      <c r="Q668" s="304"/>
    </row>
    <row r="669" spans="1:17" ht="13.8" x14ac:dyDescent="0.3">
      <c r="A669" s="388">
        <f t="shared" si="41"/>
        <v>647</v>
      </c>
      <c r="B669" s="389">
        <f t="shared" ca="1" si="42"/>
        <v>9.867437522562153E-2</v>
      </c>
      <c r="C669" s="389">
        <f t="shared" ca="1" si="43"/>
        <v>5.6248890503702964E-2</v>
      </c>
      <c r="D669" s="390">
        <f t="shared" ca="1" si="44"/>
        <v>1.0701081504573693</v>
      </c>
      <c r="E669" s="391" cm="1">
        <f t="array" aca="1" ref="E669" ca="1">(SUMPRODUCT($B$13:$F$13*D669/(1+B669)^$B$14:$F$14)+($F$13*D669*(1+C669))/(B669-C669)/(1+B669)^$F$14-$B$15+$B$16)/$B$17</f>
        <v>2772.9801610848262</v>
      </c>
      <c r="F669" s="304"/>
      <c r="G669" s="304"/>
      <c r="H669" s="304"/>
      <c r="I669" s="304"/>
      <c r="J669" s="304"/>
      <c r="K669" s="304"/>
      <c r="L669" s="304"/>
      <c r="M669" s="304"/>
      <c r="N669" s="304"/>
      <c r="O669" s="304"/>
      <c r="P669" s="304"/>
      <c r="Q669" s="304"/>
    </row>
    <row r="670" spans="1:17" ht="13.8" x14ac:dyDescent="0.3">
      <c r="A670" s="388">
        <f t="shared" si="41"/>
        <v>648</v>
      </c>
      <c r="B670" s="389">
        <f t="shared" ca="1" si="42"/>
        <v>0.11222348770686234</v>
      </c>
      <c r="C670" s="389">
        <f t="shared" ca="1" si="43"/>
        <v>4.4774192029854262E-2</v>
      </c>
      <c r="D670" s="390">
        <f t="shared" ca="1" si="44"/>
        <v>0.79366074266382158</v>
      </c>
      <c r="E670" s="391" cm="1">
        <f t="array" aca="1" ref="E670" ca="1">(SUMPRODUCT($B$13:$F$13*D670/(1+B670)^$B$14:$F$14)+($F$13*D670*(1+C670))/(B670-C670)/(1+B670)^$F$14-$B$15+$B$16)/$B$17</f>
        <v>1289.4152057003273</v>
      </c>
      <c r="F670" s="304"/>
      <c r="G670" s="304"/>
      <c r="H670" s="304"/>
      <c r="I670" s="304"/>
      <c r="J670" s="304"/>
      <c r="K670" s="304"/>
      <c r="L670" s="304"/>
      <c r="M670" s="304"/>
      <c r="N670" s="304"/>
      <c r="O670" s="304"/>
      <c r="P670" s="304"/>
      <c r="Q670" s="304"/>
    </row>
    <row r="671" spans="1:17" ht="13.8" x14ac:dyDescent="0.3">
      <c r="A671" s="388">
        <f t="shared" si="41"/>
        <v>649</v>
      </c>
      <c r="B671" s="389">
        <f t="shared" ca="1" si="42"/>
        <v>0.115876359616018</v>
      </c>
      <c r="C671" s="389">
        <f t="shared" ca="1" si="43"/>
        <v>3.9546345870042798E-2</v>
      </c>
      <c r="D671" s="390">
        <f t="shared" ca="1" si="44"/>
        <v>1.0452632858118822</v>
      </c>
      <c r="E671" s="391" cm="1">
        <f t="array" aca="1" ref="E671" ca="1">(SUMPRODUCT($B$13:$F$13*D671/(1+B671)^$B$14:$F$14)+($F$13*D671*(1+C671))/(B671-C671)/(1+B671)^$F$14-$B$15+$B$16)/$B$17</f>
        <v>1522.4309862229129</v>
      </c>
      <c r="F671" s="304"/>
      <c r="G671" s="304"/>
      <c r="H671" s="304"/>
      <c r="I671" s="304"/>
      <c r="J671" s="304"/>
      <c r="K671" s="304"/>
      <c r="L671" s="304"/>
      <c r="M671" s="304"/>
      <c r="N671" s="304"/>
      <c r="O671" s="304"/>
      <c r="P671" s="304"/>
      <c r="Q671" s="304"/>
    </row>
    <row r="672" spans="1:17" ht="13.8" x14ac:dyDescent="0.3">
      <c r="A672" s="388">
        <f t="shared" si="41"/>
        <v>650</v>
      </c>
      <c r="B672" s="389">
        <f t="shared" ca="1" si="42"/>
        <v>0.14360124428857463</v>
      </c>
      <c r="C672" s="389">
        <f t="shared" ca="1" si="43"/>
        <v>6.4553673967037345E-2</v>
      </c>
      <c r="D672" s="390">
        <f t="shared" ca="1" si="44"/>
        <v>1.02773422946008</v>
      </c>
      <c r="E672" s="391" cm="1">
        <f t="array" aca="1" ref="E672" ca="1">(SUMPRODUCT($B$13:$F$13*D672/(1+B672)^$B$14:$F$14)+($F$13*D672*(1+C672))/(B672-C672)/(1+B672)^$F$14-$B$15+$B$16)/$B$17</f>
        <v>1329.9408052966837</v>
      </c>
      <c r="F672" s="304"/>
      <c r="G672" s="304"/>
      <c r="H672" s="304"/>
      <c r="I672" s="304"/>
      <c r="J672" s="304"/>
      <c r="K672" s="304"/>
      <c r="L672" s="304"/>
      <c r="M672" s="304"/>
      <c r="N672" s="304"/>
      <c r="O672" s="304"/>
      <c r="P672" s="304"/>
      <c r="Q672" s="304"/>
    </row>
    <row r="673" spans="1:17" ht="13.8" x14ac:dyDescent="0.3">
      <c r="A673" s="388">
        <f t="shared" si="41"/>
        <v>651</v>
      </c>
      <c r="B673" s="389">
        <f t="shared" ca="1" si="42"/>
        <v>0.12215966098723252</v>
      </c>
      <c r="C673" s="389">
        <f t="shared" ca="1" si="43"/>
        <v>5.5547417830819165E-2</v>
      </c>
      <c r="D673" s="390">
        <f t="shared" ca="1" si="44"/>
        <v>1.1299292145814632</v>
      </c>
      <c r="E673" s="391" cm="1">
        <f t="array" aca="1" ref="E673" ca="1">(SUMPRODUCT($B$13:$F$13*D673/(1+B673)^$B$14:$F$14)+($F$13*D673*(1+C673))/(B673-C673)/(1+B673)^$F$14-$B$15+$B$16)/$B$17</f>
        <v>1816.9835968656794</v>
      </c>
      <c r="F673" s="304"/>
      <c r="G673" s="304"/>
      <c r="H673" s="304"/>
      <c r="I673" s="304"/>
      <c r="J673" s="304"/>
      <c r="K673" s="304"/>
      <c r="L673" s="304"/>
      <c r="M673" s="304"/>
      <c r="N673" s="304"/>
      <c r="O673" s="304"/>
      <c r="P673" s="304"/>
      <c r="Q673" s="304"/>
    </row>
    <row r="674" spans="1:17" ht="13.8" x14ac:dyDescent="0.3">
      <c r="A674" s="388">
        <f t="shared" si="41"/>
        <v>652</v>
      </c>
      <c r="B674" s="389">
        <f t="shared" ca="1" si="42"/>
        <v>0.12009802596035134</v>
      </c>
      <c r="C674" s="389">
        <f t="shared" ca="1" si="43"/>
        <v>5.7864227564854369E-2</v>
      </c>
      <c r="D674" s="390">
        <f t="shared" ca="1" si="44"/>
        <v>0.94943012900715495</v>
      </c>
      <c r="E674" s="391" cm="1">
        <f t="array" aca="1" ref="E674" ca="1">(SUMPRODUCT($B$13:$F$13*D674/(1+B674)^$B$14:$F$14)+($F$13*D674*(1+C674))/(B674-C674)/(1+B674)^$F$14-$B$15+$B$16)/$B$17</f>
        <v>1622.8772251787411</v>
      </c>
      <c r="F674" s="304"/>
      <c r="G674" s="304"/>
      <c r="H674" s="304"/>
      <c r="I674" s="304"/>
      <c r="J674" s="304"/>
      <c r="K674" s="304"/>
      <c r="L674" s="304"/>
      <c r="M674" s="304"/>
      <c r="N674" s="304"/>
      <c r="O674" s="304"/>
      <c r="P674" s="304"/>
      <c r="Q674" s="304"/>
    </row>
    <row r="675" spans="1:17" ht="13.8" x14ac:dyDescent="0.3">
      <c r="A675" s="388">
        <f t="shared" si="41"/>
        <v>653</v>
      </c>
      <c r="B675" s="389">
        <f t="shared" ca="1" si="42"/>
        <v>0.11247918479306361</v>
      </c>
      <c r="C675" s="389">
        <f t="shared" ca="1" si="43"/>
        <v>5.0448500679861438E-2</v>
      </c>
      <c r="D675" s="390">
        <f t="shared" ca="1" si="44"/>
        <v>1.0342013906250025</v>
      </c>
      <c r="E675" s="391" cm="1">
        <f t="array" aca="1" ref="E675" ca="1">(SUMPRODUCT($B$13:$F$13*D675/(1+B675)^$B$14:$F$14)+($F$13*D675*(1+C675))/(B675-C675)/(1+B675)^$F$14-$B$15+$B$16)/$B$17</f>
        <v>1821.4572726685562</v>
      </c>
      <c r="F675" s="304"/>
      <c r="G675" s="304"/>
      <c r="H675" s="304"/>
      <c r="I675" s="304"/>
      <c r="J675" s="304"/>
      <c r="K675" s="304"/>
      <c r="L675" s="304"/>
      <c r="M675" s="304"/>
      <c r="N675" s="304"/>
      <c r="O675" s="304"/>
      <c r="P675" s="304"/>
      <c r="Q675" s="304"/>
    </row>
    <row r="676" spans="1:17" ht="13.8" x14ac:dyDescent="0.3">
      <c r="A676" s="388">
        <f t="shared" si="41"/>
        <v>654</v>
      </c>
      <c r="B676" s="389">
        <f t="shared" ca="1" si="42"/>
        <v>0.11316176795581059</v>
      </c>
      <c r="C676" s="389">
        <f t="shared" ca="1" si="43"/>
        <v>5.8811770116066031E-2</v>
      </c>
      <c r="D676" s="390">
        <f t="shared" ca="1" si="44"/>
        <v>0.99225258052800591</v>
      </c>
      <c r="E676" s="391" cm="1">
        <f t="array" aca="1" ref="E676" ca="1">(SUMPRODUCT($B$13:$F$13*D676/(1+B676)^$B$14:$F$14)+($F$13*D676*(1+C676))/(B676-C676)/(1+B676)^$F$14-$B$15+$B$16)/$B$17</f>
        <v>1957.7394527732647</v>
      </c>
      <c r="F676" s="304"/>
      <c r="G676" s="304"/>
      <c r="H676" s="304"/>
      <c r="I676" s="304"/>
      <c r="J676" s="304"/>
      <c r="K676" s="304"/>
      <c r="L676" s="304"/>
      <c r="M676" s="304"/>
      <c r="N676" s="304"/>
      <c r="O676" s="304"/>
      <c r="P676" s="304"/>
      <c r="Q676" s="304"/>
    </row>
    <row r="677" spans="1:17" ht="13.8" x14ac:dyDescent="0.3">
      <c r="A677" s="388">
        <f t="shared" si="41"/>
        <v>655</v>
      </c>
      <c r="B677" s="389">
        <f t="shared" ca="1" si="42"/>
        <v>0.12604618488219274</v>
      </c>
      <c r="C677" s="389">
        <f t="shared" ca="1" si="43"/>
        <v>5.4888438469162124E-2</v>
      </c>
      <c r="D677" s="390">
        <f t="shared" ca="1" si="44"/>
        <v>1.0364478266771979</v>
      </c>
      <c r="E677" s="391" cm="1">
        <f t="array" aca="1" ref="E677" ca="1">(SUMPRODUCT($B$13:$F$13*D677/(1+B677)^$B$14:$F$14)+($F$13*D677*(1+C677))/(B677-C677)/(1+B677)^$F$14-$B$15+$B$16)/$B$17</f>
        <v>1551.1682747269158</v>
      </c>
      <c r="F677" s="304"/>
      <c r="G677" s="304"/>
      <c r="H677" s="304"/>
      <c r="I677" s="304"/>
      <c r="J677" s="304"/>
      <c r="K677" s="304"/>
      <c r="L677" s="304"/>
      <c r="M677" s="304"/>
      <c r="N677" s="304"/>
      <c r="O677" s="304"/>
      <c r="P677" s="304"/>
      <c r="Q677" s="304"/>
    </row>
    <row r="678" spans="1:17" ht="13.8" x14ac:dyDescent="0.3">
      <c r="A678" s="388">
        <f t="shared" si="41"/>
        <v>656</v>
      </c>
      <c r="B678" s="389">
        <f t="shared" ca="1" si="42"/>
        <v>0.10466697926847758</v>
      </c>
      <c r="C678" s="389">
        <f t="shared" ca="1" si="43"/>
        <v>5.2442143992206397E-2</v>
      </c>
      <c r="D678" s="390">
        <f t="shared" ca="1" si="44"/>
        <v>1.2180297488157676</v>
      </c>
      <c r="E678" s="391" cm="1">
        <f t="array" aca="1" ref="E678" ca="1">(SUMPRODUCT($B$13:$F$13*D678/(1+B678)^$B$14:$F$14)+($F$13*D678*(1+C678))/(B678-C678)/(1+B678)^$F$14-$B$15+$B$16)/$B$17</f>
        <v>2571.3965829820922</v>
      </c>
      <c r="F678" s="304"/>
      <c r="G678" s="304"/>
      <c r="H678" s="304"/>
      <c r="I678" s="304"/>
      <c r="J678" s="304"/>
      <c r="K678" s="304"/>
      <c r="L678" s="304"/>
      <c r="M678" s="304"/>
      <c r="N678" s="304"/>
      <c r="O678" s="304"/>
      <c r="P678" s="304"/>
      <c r="Q678" s="304"/>
    </row>
    <row r="679" spans="1:17" ht="13.8" x14ac:dyDescent="0.3">
      <c r="A679" s="388">
        <f t="shared" si="41"/>
        <v>657</v>
      </c>
      <c r="B679" s="389">
        <f t="shared" ca="1" si="42"/>
        <v>0.13233244347329906</v>
      </c>
      <c r="C679" s="389">
        <f t="shared" ca="1" si="43"/>
        <v>3.7895289896647845E-2</v>
      </c>
      <c r="D679" s="390">
        <f t="shared" ca="1" si="44"/>
        <v>1.2238069248495012</v>
      </c>
      <c r="E679" s="391" cm="1">
        <f t="array" aca="1" ref="E679" ca="1">(SUMPRODUCT($B$13:$F$13*D679/(1+B679)^$B$14:$F$14)+($F$13*D679*(1+C679))/(B679-C679)/(1+B679)^$F$14-$B$15+$B$16)/$B$17</f>
        <v>1423.7860135383426</v>
      </c>
      <c r="F679" s="304"/>
      <c r="G679" s="304"/>
      <c r="H679" s="304"/>
      <c r="I679" s="304"/>
      <c r="J679" s="304"/>
      <c r="K679" s="304"/>
      <c r="L679" s="304"/>
      <c r="M679" s="304"/>
      <c r="N679" s="304"/>
      <c r="O679" s="304"/>
      <c r="P679" s="304"/>
      <c r="Q679" s="304"/>
    </row>
    <row r="680" spans="1:17" ht="13.8" x14ac:dyDescent="0.3">
      <c r="A680" s="388">
        <f t="shared" si="41"/>
        <v>658</v>
      </c>
      <c r="B680" s="389">
        <f t="shared" ca="1" si="42"/>
        <v>0.12248174444231945</v>
      </c>
      <c r="C680" s="389">
        <f t="shared" ca="1" si="43"/>
        <v>5.7608428120666771E-2</v>
      </c>
      <c r="D680" s="390">
        <f t="shared" ca="1" si="44"/>
        <v>1.0205253670192811</v>
      </c>
      <c r="E680" s="391" cm="1">
        <f t="array" aca="1" ref="E680" ca="1">(SUMPRODUCT($B$13:$F$13*D680/(1+B680)^$B$14:$F$14)+($F$13*D680*(1+C680))/(B680-C680)/(1+B680)^$F$14-$B$15+$B$16)/$B$17</f>
        <v>1672.7955127187913</v>
      </c>
      <c r="F680" s="304"/>
      <c r="G680" s="304"/>
      <c r="H680" s="304"/>
      <c r="I680" s="304"/>
      <c r="J680" s="304"/>
      <c r="K680" s="304"/>
      <c r="L680" s="304"/>
      <c r="M680" s="304"/>
      <c r="N680" s="304"/>
      <c r="O680" s="304"/>
      <c r="P680" s="304"/>
      <c r="Q680" s="304"/>
    </row>
    <row r="681" spans="1:17" ht="13.8" x14ac:dyDescent="0.3">
      <c r="A681" s="388">
        <f t="shared" si="41"/>
        <v>659</v>
      </c>
      <c r="B681" s="389">
        <f t="shared" ca="1" si="42"/>
        <v>0.12973829455212441</v>
      </c>
      <c r="C681" s="389">
        <f t="shared" ca="1" si="43"/>
        <v>4.4609604075394431E-2</v>
      </c>
      <c r="D681" s="390">
        <f t="shared" ca="1" si="44"/>
        <v>0.79490702842857919</v>
      </c>
      <c r="E681" s="391" cm="1">
        <f t="array" aca="1" ref="E681" ca="1">(SUMPRODUCT($B$13:$F$13*D681/(1+B681)^$B$14:$F$14)+($F$13*D681*(1+C681))/(B681-C681)/(1+B681)^$F$14-$B$15+$B$16)/$B$17</f>
        <v>998.90706736649418</v>
      </c>
      <c r="F681" s="304"/>
      <c r="G681" s="304"/>
      <c r="H681" s="304"/>
      <c r="I681" s="304"/>
      <c r="J681" s="304"/>
      <c r="K681" s="304"/>
      <c r="L681" s="304"/>
      <c r="M681" s="304"/>
      <c r="N681" s="304"/>
      <c r="O681" s="304"/>
      <c r="P681" s="304"/>
      <c r="Q681" s="304"/>
    </row>
    <row r="682" spans="1:17" ht="13.8" x14ac:dyDescent="0.3">
      <c r="A682" s="388">
        <f t="shared" si="41"/>
        <v>660</v>
      </c>
      <c r="B682" s="389">
        <f t="shared" ca="1" si="42"/>
        <v>0.14154589765789419</v>
      </c>
      <c r="C682" s="389">
        <f t="shared" ca="1" si="43"/>
        <v>4.0218915388657607E-2</v>
      </c>
      <c r="D682" s="390">
        <f t="shared" ca="1" si="44"/>
        <v>1.0627644133152101</v>
      </c>
      <c r="E682" s="391" cm="1">
        <f t="array" aca="1" ref="E682" ca="1">(SUMPRODUCT($B$13:$F$13*D682/(1+B682)^$B$14:$F$14)+($F$13*D682*(1+C682))/(B682-C682)/(1+B682)^$F$14-$B$15+$B$16)/$B$17</f>
        <v>1128.6490190064405</v>
      </c>
      <c r="F682" s="304"/>
      <c r="G682" s="304"/>
      <c r="H682" s="304"/>
      <c r="I682" s="304"/>
      <c r="J682" s="304"/>
      <c r="K682" s="304"/>
      <c r="L682" s="304"/>
      <c r="M682" s="304"/>
      <c r="N682" s="304"/>
      <c r="O682" s="304"/>
      <c r="P682" s="304"/>
      <c r="Q682" s="304"/>
    </row>
    <row r="683" spans="1:17" ht="13.8" x14ac:dyDescent="0.3">
      <c r="A683" s="388">
        <f t="shared" si="41"/>
        <v>661</v>
      </c>
      <c r="B683" s="389">
        <f t="shared" ca="1" si="42"/>
        <v>0.11654497817674013</v>
      </c>
      <c r="C683" s="389">
        <f t="shared" ca="1" si="43"/>
        <v>5.3815198567450345E-2</v>
      </c>
      <c r="D683" s="390">
        <f t="shared" ca="1" si="44"/>
        <v>0.90258974852902796</v>
      </c>
      <c r="E683" s="391" cm="1">
        <f t="array" aca="1" ref="E683" ca="1">(SUMPRODUCT($B$13:$F$13*D683/(1+B683)^$B$14:$F$14)+($F$13*D683*(1+C683))/(B683-C683)/(1+B683)^$F$14-$B$15+$B$16)/$B$17</f>
        <v>1547.4836689836211</v>
      </c>
      <c r="F683" s="304"/>
      <c r="G683" s="304"/>
      <c r="H683" s="304"/>
      <c r="I683" s="304"/>
      <c r="J683" s="304"/>
      <c r="K683" s="304"/>
      <c r="L683" s="304"/>
      <c r="M683" s="304"/>
      <c r="N683" s="304"/>
      <c r="O683" s="304"/>
      <c r="P683" s="304"/>
      <c r="Q683" s="304"/>
    </row>
    <row r="684" spans="1:17" ht="13.8" x14ac:dyDescent="0.3">
      <c r="A684" s="388">
        <f t="shared" si="41"/>
        <v>662</v>
      </c>
      <c r="B684" s="389">
        <f t="shared" ca="1" si="42"/>
        <v>0.12923253566508941</v>
      </c>
      <c r="C684" s="389">
        <f t="shared" ca="1" si="43"/>
        <v>4.902841812000476E-2</v>
      </c>
      <c r="D684" s="390">
        <f t="shared" ca="1" si="44"/>
        <v>1.1042108499284558</v>
      </c>
      <c r="E684" s="391" cm="1">
        <f t="array" aca="1" ref="E684" ca="1">(SUMPRODUCT($B$13:$F$13*D684/(1+B684)^$B$14:$F$14)+($F$13*D684*(1+C684))/(B684-C684)/(1+B684)^$F$14-$B$15+$B$16)/$B$17</f>
        <v>1480.4600178643348</v>
      </c>
      <c r="F684" s="304"/>
      <c r="G684" s="304"/>
      <c r="H684" s="304"/>
      <c r="I684" s="304"/>
      <c r="J684" s="304"/>
      <c r="K684" s="304"/>
      <c r="L684" s="304"/>
      <c r="M684" s="304"/>
      <c r="N684" s="304"/>
      <c r="O684" s="304"/>
      <c r="P684" s="304"/>
      <c r="Q684" s="304"/>
    </row>
    <row r="685" spans="1:17" ht="13.8" x14ac:dyDescent="0.3">
      <c r="A685" s="388">
        <f t="shared" si="41"/>
        <v>663</v>
      </c>
      <c r="B685" s="389">
        <f t="shared" ca="1" si="42"/>
        <v>0.12260104942763539</v>
      </c>
      <c r="C685" s="389">
        <f t="shared" ca="1" si="43"/>
        <v>4.2109924981141057E-2</v>
      </c>
      <c r="D685" s="390">
        <f t="shared" ca="1" si="44"/>
        <v>1.1356240265205164</v>
      </c>
      <c r="E685" s="391" cm="1">
        <f t="array" aca="1" ref="E685" ca="1">(SUMPRODUCT($B$13:$F$13*D685/(1+B685)^$B$14:$F$14)+($F$13*D685*(1+C685))/(B685-C685)/(1+B685)^$F$14-$B$15+$B$16)/$B$17</f>
        <v>1551.6629007079871</v>
      </c>
      <c r="F685" s="304"/>
      <c r="G685" s="304"/>
      <c r="H685" s="304"/>
      <c r="I685" s="304"/>
      <c r="J685" s="304"/>
      <c r="K685" s="304"/>
      <c r="L685" s="304"/>
      <c r="M685" s="304"/>
      <c r="N685" s="304"/>
      <c r="O685" s="304"/>
      <c r="P685" s="304"/>
      <c r="Q685" s="304"/>
    </row>
    <row r="686" spans="1:17" ht="13.8" x14ac:dyDescent="0.3">
      <c r="A686" s="388">
        <f t="shared" si="41"/>
        <v>664</v>
      </c>
      <c r="B686" s="389">
        <f t="shared" ca="1" si="42"/>
        <v>0.1323916861835486</v>
      </c>
      <c r="C686" s="389">
        <f t="shared" ca="1" si="43"/>
        <v>4.9454699853619916E-2</v>
      </c>
      <c r="D686" s="390">
        <f t="shared" ca="1" si="44"/>
        <v>1.0578607318046453</v>
      </c>
      <c r="E686" s="391" cm="1">
        <f t="array" aca="1" ref="E686" ca="1">(SUMPRODUCT($B$13:$F$13*D686/(1+B686)^$B$14:$F$14)+($F$13*D686*(1+C686))/(B686-C686)/(1+B686)^$F$14-$B$15+$B$16)/$B$17</f>
        <v>1363.2708423298313</v>
      </c>
      <c r="F686" s="304"/>
      <c r="G686" s="304"/>
      <c r="H686" s="304"/>
      <c r="I686" s="304"/>
      <c r="J686" s="304"/>
      <c r="K686" s="304"/>
      <c r="L686" s="304"/>
      <c r="M686" s="304"/>
      <c r="N686" s="304"/>
      <c r="O686" s="304"/>
      <c r="P686" s="304"/>
      <c r="Q686" s="304"/>
    </row>
    <row r="687" spans="1:17" ht="13.8" x14ac:dyDescent="0.3">
      <c r="A687" s="388">
        <f t="shared" si="41"/>
        <v>665</v>
      </c>
      <c r="B687" s="389">
        <f t="shared" ca="1" si="42"/>
        <v>0.10704662243996962</v>
      </c>
      <c r="C687" s="389">
        <f t="shared" ca="1" si="43"/>
        <v>5.8958968540617988E-2</v>
      </c>
      <c r="D687" s="390">
        <f t="shared" ca="1" si="44"/>
        <v>1.00971157808824</v>
      </c>
      <c r="E687" s="391" cm="1">
        <f t="array" aca="1" ref="E687" ca="1">(SUMPRODUCT($B$13:$F$13*D687/(1+B687)^$B$14:$F$14)+($F$13*D687*(1+C687))/(B687-C687)/(1+B687)^$F$14-$B$15+$B$16)/$B$17</f>
        <v>2269.1618179533684</v>
      </c>
      <c r="F687" s="304"/>
      <c r="G687" s="304"/>
      <c r="H687" s="304"/>
      <c r="I687" s="304"/>
      <c r="J687" s="304"/>
      <c r="K687" s="304"/>
      <c r="L687" s="304"/>
      <c r="M687" s="304"/>
      <c r="N687" s="304"/>
      <c r="O687" s="304"/>
      <c r="P687" s="304"/>
      <c r="Q687" s="304"/>
    </row>
    <row r="688" spans="1:17" ht="13.8" x14ac:dyDescent="0.3">
      <c r="A688" s="388">
        <f t="shared" si="41"/>
        <v>666</v>
      </c>
      <c r="B688" s="389">
        <f t="shared" ca="1" si="42"/>
        <v>0.14533008753650387</v>
      </c>
      <c r="C688" s="389">
        <f t="shared" ca="1" si="43"/>
        <v>6.5532686887925504E-2</v>
      </c>
      <c r="D688" s="390">
        <f t="shared" ca="1" si="44"/>
        <v>1.0687467267292063</v>
      </c>
      <c r="E688" s="391" cm="1">
        <f t="array" aca="1" ref="E688" ca="1">(SUMPRODUCT($B$13:$F$13*D688/(1+B688)^$B$14:$F$14)+($F$13*D688*(1+C688))/(B688-C688)/(1+B688)^$F$14-$B$15+$B$16)/$B$17</f>
        <v>1366.5259071601752</v>
      </c>
      <c r="F688" s="304"/>
      <c r="G688" s="304"/>
      <c r="H688" s="304"/>
      <c r="I688" s="304"/>
      <c r="J688" s="304"/>
      <c r="K688" s="304"/>
      <c r="L688" s="304"/>
      <c r="M688" s="304"/>
      <c r="N688" s="304"/>
      <c r="O688" s="304"/>
      <c r="P688" s="304"/>
      <c r="Q688" s="304"/>
    </row>
    <row r="689" spans="1:17" ht="13.8" x14ac:dyDescent="0.3">
      <c r="A689" s="388">
        <f t="shared" si="41"/>
        <v>667</v>
      </c>
      <c r="B689" s="389">
        <f t="shared" ca="1" si="42"/>
        <v>0.11854100477037816</v>
      </c>
      <c r="C689" s="389">
        <f t="shared" ca="1" si="43"/>
        <v>4.8088743739390982E-2</v>
      </c>
      <c r="D689" s="390">
        <f t="shared" ca="1" si="44"/>
        <v>0.92405122339578272</v>
      </c>
      <c r="E689" s="391" cm="1">
        <f t="array" aca="1" ref="E689" ca="1">(SUMPRODUCT($B$13:$F$13*D689/(1+B689)^$B$14:$F$14)+($F$13*D689*(1+C689))/(B689-C689)/(1+B689)^$F$14-$B$15+$B$16)/$B$17</f>
        <v>1423.6735983255669</v>
      </c>
      <c r="F689" s="304"/>
      <c r="G689" s="304"/>
      <c r="H689" s="304"/>
      <c r="I689" s="304"/>
      <c r="J689" s="304"/>
      <c r="K689" s="304"/>
      <c r="L689" s="304"/>
      <c r="M689" s="304"/>
      <c r="N689" s="304"/>
      <c r="O689" s="304"/>
      <c r="P689" s="304"/>
      <c r="Q689" s="304"/>
    </row>
    <row r="690" spans="1:17" ht="13.8" x14ac:dyDescent="0.3">
      <c r="A690" s="388">
        <f t="shared" si="41"/>
        <v>668</v>
      </c>
      <c r="B690" s="389">
        <f t="shared" ca="1" si="42"/>
        <v>0.1280292423612498</v>
      </c>
      <c r="C690" s="389">
        <f t="shared" ca="1" si="43"/>
        <v>6.0608518675540776E-2</v>
      </c>
      <c r="D690" s="390">
        <f t="shared" ca="1" si="44"/>
        <v>1.2583775352479754</v>
      </c>
      <c r="E690" s="391" cm="1">
        <f t="array" aca="1" ref="E690" ca="1">(SUMPRODUCT($B$13:$F$13*D690/(1+B690)^$B$14:$F$14)+($F$13*D690*(1+C690))/(B690-C690)/(1+B690)^$F$14-$B$15+$B$16)/$B$17</f>
        <v>1970.7369973302909</v>
      </c>
      <c r="F690" s="304"/>
      <c r="G690" s="304"/>
      <c r="H690" s="304"/>
      <c r="I690" s="304"/>
      <c r="J690" s="304"/>
      <c r="K690" s="304"/>
      <c r="L690" s="304"/>
      <c r="M690" s="304"/>
      <c r="N690" s="304"/>
      <c r="O690" s="304"/>
      <c r="P690" s="304"/>
      <c r="Q690" s="304"/>
    </row>
    <row r="691" spans="1:17" ht="13.8" x14ac:dyDescent="0.3">
      <c r="A691" s="388">
        <f t="shared" si="41"/>
        <v>669</v>
      </c>
      <c r="B691" s="389">
        <f t="shared" ca="1" si="42"/>
        <v>0.11419785484370971</v>
      </c>
      <c r="C691" s="389">
        <f t="shared" ca="1" si="43"/>
        <v>5.0021824911130032E-2</v>
      </c>
      <c r="D691" s="390">
        <f t="shared" ca="1" si="44"/>
        <v>1.1774776709750903</v>
      </c>
      <c r="E691" s="391" cm="1">
        <f t="array" aca="1" ref="E691" ca="1">(SUMPRODUCT($B$13:$F$13*D691/(1+B691)^$B$14:$F$14)+($F$13*D691*(1+C691))/(B691-C691)/(1+B691)^$F$14-$B$15+$B$16)/$B$17</f>
        <v>2008.4381613066482</v>
      </c>
      <c r="F691" s="304"/>
      <c r="G691" s="304"/>
      <c r="H691" s="304"/>
      <c r="I691" s="304"/>
      <c r="J691" s="304"/>
      <c r="K691" s="304"/>
      <c r="L691" s="304"/>
      <c r="M691" s="304"/>
      <c r="N691" s="304"/>
      <c r="O691" s="304"/>
      <c r="P691" s="304"/>
      <c r="Q691" s="304"/>
    </row>
    <row r="692" spans="1:17" ht="13.8" x14ac:dyDescent="0.3">
      <c r="A692" s="388">
        <f t="shared" si="41"/>
        <v>670</v>
      </c>
      <c r="B692" s="389">
        <f t="shared" ca="1" si="42"/>
        <v>0.12982217567271392</v>
      </c>
      <c r="C692" s="389">
        <f t="shared" ca="1" si="43"/>
        <v>5.6324633927132307E-2</v>
      </c>
      <c r="D692" s="390">
        <f t="shared" ca="1" si="44"/>
        <v>0.95248226679820946</v>
      </c>
      <c r="E692" s="391" cm="1">
        <f t="array" aca="1" ref="E692" ca="1">(SUMPRODUCT($B$13:$F$13*D692/(1+B692)^$B$14:$F$14)+($F$13*D692*(1+C692))/(B692-C692)/(1+B692)^$F$14-$B$15+$B$16)/$B$17</f>
        <v>1366.0737683415341</v>
      </c>
      <c r="F692" s="304"/>
      <c r="G692" s="304"/>
      <c r="H692" s="304"/>
      <c r="I692" s="304"/>
      <c r="J692" s="304"/>
      <c r="K692" s="304"/>
      <c r="L692" s="304"/>
      <c r="M692" s="304"/>
      <c r="N692" s="304"/>
      <c r="O692" s="304"/>
      <c r="P692" s="304"/>
      <c r="Q692" s="304"/>
    </row>
    <row r="693" spans="1:17" ht="13.8" x14ac:dyDescent="0.3">
      <c r="A693" s="388">
        <f t="shared" si="41"/>
        <v>671</v>
      </c>
      <c r="B693" s="389">
        <f t="shared" ca="1" si="42"/>
        <v>0.12225939040541609</v>
      </c>
      <c r="C693" s="389">
        <f t="shared" ca="1" si="43"/>
        <v>4.8517262822937168E-2</v>
      </c>
      <c r="D693" s="390">
        <f t="shared" ca="1" si="44"/>
        <v>1.2489982210314952</v>
      </c>
      <c r="E693" s="391" cm="1">
        <f t="array" aca="1" ref="E693" ca="1">(SUMPRODUCT($B$13:$F$13*D693/(1+B693)^$B$14:$F$14)+($F$13*D693*(1+C693))/(B693-C693)/(1+B693)^$F$14-$B$15+$B$16)/$B$17</f>
        <v>1844.7961047985104</v>
      </c>
      <c r="F693" s="304"/>
      <c r="G693" s="304"/>
      <c r="H693" s="304"/>
      <c r="I693" s="304"/>
      <c r="J693" s="304"/>
      <c r="K693" s="304"/>
      <c r="L693" s="304"/>
      <c r="M693" s="304"/>
      <c r="N693" s="304"/>
      <c r="O693" s="304"/>
      <c r="P693" s="304"/>
      <c r="Q693" s="304"/>
    </row>
    <row r="694" spans="1:17" ht="13.8" x14ac:dyDescent="0.3">
      <c r="A694" s="388">
        <f t="shared" si="41"/>
        <v>672</v>
      </c>
      <c r="B694" s="389">
        <f t="shared" ca="1" si="42"/>
        <v>0.10019939620032363</v>
      </c>
      <c r="C694" s="389">
        <f t="shared" ca="1" si="43"/>
        <v>5.9683446744587983E-2</v>
      </c>
      <c r="D694" s="390">
        <f t="shared" ca="1" si="44"/>
        <v>1.0780242699206972</v>
      </c>
      <c r="E694" s="391" cm="1">
        <f t="array" aca="1" ref="E694" ca="1">(SUMPRODUCT($B$13:$F$13*D694/(1+B694)^$B$14:$F$14)+($F$13*D694*(1+C694))/(B694-C694)/(1+B694)^$F$14-$B$15+$B$16)/$B$17</f>
        <v>2899.2723005564189</v>
      </c>
      <c r="F694" s="304"/>
      <c r="G694" s="304"/>
      <c r="H694" s="304"/>
      <c r="I694" s="304"/>
      <c r="J694" s="304"/>
      <c r="K694" s="304"/>
      <c r="L694" s="304"/>
      <c r="M694" s="304"/>
      <c r="N694" s="304"/>
      <c r="O694" s="304"/>
      <c r="P694" s="304"/>
      <c r="Q694" s="304"/>
    </row>
    <row r="695" spans="1:17" ht="13.8" x14ac:dyDescent="0.3">
      <c r="A695" s="388">
        <f t="shared" si="41"/>
        <v>673</v>
      </c>
      <c r="B695" s="389">
        <f t="shared" ca="1" si="42"/>
        <v>0.12532067810494446</v>
      </c>
      <c r="C695" s="389">
        <f t="shared" ca="1" si="43"/>
        <v>5.618271616795175E-2</v>
      </c>
      <c r="D695" s="390">
        <f t="shared" ca="1" si="44"/>
        <v>1.1687707449301088</v>
      </c>
      <c r="E695" s="391" cm="1">
        <f t="array" aca="1" ref="E695" ca="1">(SUMPRODUCT($B$13:$F$13*D695/(1+B695)^$B$14:$F$14)+($F$13*D695*(1+C695))/(B695-C695)/(1+B695)^$F$14-$B$15+$B$16)/$B$17</f>
        <v>1803.3558533725777</v>
      </c>
      <c r="F695" s="304"/>
      <c r="G695" s="304"/>
      <c r="H695" s="304"/>
      <c r="I695" s="304"/>
      <c r="J695" s="304"/>
      <c r="K695" s="304"/>
      <c r="L695" s="304"/>
      <c r="M695" s="304"/>
      <c r="N695" s="304"/>
      <c r="O695" s="304"/>
      <c r="P695" s="304"/>
      <c r="Q695" s="304"/>
    </row>
    <row r="696" spans="1:17" ht="13.8" x14ac:dyDescent="0.3">
      <c r="A696" s="388">
        <f t="shared" si="41"/>
        <v>674</v>
      </c>
      <c r="B696" s="389">
        <f t="shared" ca="1" si="42"/>
        <v>0.14037262708939796</v>
      </c>
      <c r="C696" s="389">
        <f t="shared" ca="1" si="43"/>
        <v>4.7578913384018311E-2</v>
      </c>
      <c r="D696" s="390">
        <f t="shared" ca="1" si="44"/>
        <v>0.97337052504392563</v>
      </c>
      <c r="E696" s="391" cm="1">
        <f t="array" aca="1" ref="E696" ca="1">(SUMPRODUCT($B$13:$F$13*D696/(1+B696)^$B$14:$F$14)+($F$13*D696*(1+C696))/(B696-C696)/(1+B696)^$F$14-$B$15+$B$16)/$B$17</f>
        <v>1110.6294103986359</v>
      </c>
      <c r="F696" s="304"/>
      <c r="G696" s="304"/>
      <c r="H696" s="304"/>
      <c r="I696" s="304"/>
      <c r="J696" s="304"/>
      <c r="K696" s="304"/>
      <c r="L696" s="304"/>
      <c r="M696" s="304"/>
      <c r="N696" s="304"/>
      <c r="O696" s="304"/>
      <c r="P696" s="304"/>
      <c r="Q696" s="304"/>
    </row>
    <row r="697" spans="1:17" ht="13.8" x14ac:dyDescent="0.3">
      <c r="A697" s="388">
        <f t="shared" si="41"/>
        <v>675</v>
      </c>
      <c r="B697" s="389">
        <f t="shared" ca="1" si="42"/>
        <v>0.11846393110590049</v>
      </c>
      <c r="C697" s="389">
        <f t="shared" ca="1" si="43"/>
        <v>4.0856271870342707E-2</v>
      </c>
      <c r="D697" s="390">
        <f t="shared" ca="1" si="44"/>
        <v>1.0540836651351677</v>
      </c>
      <c r="E697" s="391" cm="1">
        <f t="array" aca="1" ref="E697" ca="1">(SUMPRODUCT($B$13:$F$13*D697/(1+B697)^$B$14:$F$14)+($F$13*D697*(1+C697))/(B697-C697)/(1+B697)^$F$14-$B$15+$B$16)/$B$17</f>
        <v>1501.6311432725606</v>
      </c>
      <c r="F697" s="304"/>
      <c r="G697" s="304"/>
      <c r="H697" s="304"/>
      <c r="I697" s="304"/>
      <c r="J697" s="304"/>
      <c r="K697" s="304"/>
      <c r="L697" s="304"/>
      <c r="M697" s="304"/>
      <c r="N697" s="304"/>
      <c r="O697" s="304"/>
      <c r="P697" s="304"/>
      <c r="Q697" s="304"/>
    </row>
    <row r="698" spans="1:17" ht="13.8" x14ac:dyDescent="0.3">
      <c r="A698" s="388">
        <f t="shared" si="41"/>
        <v>676</v>
      </c>
      <c r="B698" s="389">
        <f t="shared" ca="1" si="42"/>
        <v>0.11962801316190141</v>
      </c>
      <c r="C698" s="389">
        <f t="shared" ca="1" si="43"/>
        <v>5.6165099346301768E-2</v>
      </c>
      <c r="D698" s="390">
        <f t="shared" ca="1" si="44"/>
        <v>0.96467154467540428</v>
      </c>
      <c r="E698" s="391" cm="1">
        <f t="array" aca="1" ref="E698" ca="1">(SUMPRODUCT($B$13:$F$13*D698/(1+B698)^$B$14:$F$14)+($F$13*D698*(1+C698))/(B698-C698)/(1+B698)^$F$14-$B$15+$B$16)/$B$17</f>
        <v>1624.1316110465916</v>
      </c>
      <c r="F698" s="304"/>
      <c r="G698" s="304"/>
      <c r="H698" s="304"/>
      <c r="I698" s="304"/>
      <c r="J698" s="304"/>
      <c r="K698" s="304"/>
      <c r="L698" s="304"/>
      <c r="M698" s="304"/>
      <c r="N698" s="304"/>
      <c r="O698" s="304"/>
      <c r="P698" s="304"/>
      <c r="Q698" s="304"/>
    </row>
    <row r="699" spans="1:17" ht="13.8" x14ac:dyDescent="0.3">
      <c r="A699" s="388">
        <f t="shared" si="41"/>
        <v>677</v>
      </c>
      <c r="B699" s="389">
        <f t="shared" ca="1" si="42"/>
        <v>0.106105349508806</v>
      </c>
      <c r="C699" s="389">
        <f t="shared" ca="1" si="43"/>
        <v>4.2538372913617464E-2</v>
      </c>
      <c r="D699" s="390">
        <f t="shared" ca="1" si="44"/>
        <v>1.1651670284732907</v>
      </c>
      <c r="E699" s="391" cm="1">
        <f t="array" aca="1" ref="E699" ca="1">(SUMPRODUCT($B$13:$F$13*D699/(1+B699)^$B$14:$F$14)+($F$13*D699*(1+C699))/(B699-C699)/(1+B699)^$F$14-$B$15+$B$16)/$B$17</f>
        <v>2056.7708462534565</v>
      </c>
      <c r="F699" s="304"/>
      <c r="G699" s="304"/>
      <c r="H699" s="304"/>
      <c r="I699" s="304"/>
      <c r="J699" s="304"/>
      <c r="K699" s="304"/>
      <c r="L699" s="304"/>
      <c r="M699" s="304"/>
      <c r="N699" s="304"/>
      <c r="O699" s="304"/>
      <c r="P699" s="304"/>
      <c r="Q699" s="304"/>
    </row>
    <row r="700" spans="1:17" ht="13.8" x14ac:dyDescent="0.3">
      <c r="A700" s="388">
        <f t="shared" si="41"/>
        <v>678</v>
      </c>
      <c r="B700" s="389">
        <f t="shared" ca="1" si="42"/>
        <v>0.11903470605598886</v>
      </c>
      <c r="C700" s="389">
        <f t="shared" ca="1" si="43"/>
        <v>5.4250894778585641E-2</v>
      </c>
      <c r="D700" s="390">
        <f t="shared" ca="1" si="44"/>
        <v>1.1349589167013978</v>
      </c>
      <c r="E700" s="391" cm="1">
        <f t="array" aca="1" ref="E700" ca="1">(SUMPRODUCT($B$13:$F$13*D700/(1+B700)^$B$14:$F$14)+($F$13*D700*(1+C700))/(B700-C700)/(1+B700)^$F$14-$B$15+$B$16)/$B$17</f>
        <v>1888.7256605617608</v>
      </c>
      <c r="F700" s="304"/>
      <c r="G700" s="304"/>
      <c r="H700" s="304"/>
      <c r="I700" s="304"/>
      <c r="J700" s="304"/>
      <c r="K700" s="304"/>
      <c r="L700" s="304"/>
      <c r="M700" s="304"/>
      <c r="N700" s="304"/>
      <c r="O700" s="304"/>
      <c r="P700" s="304"/>
      <c r="Q700" s="304"/>
    </row>
    <row r="701" spans="1:17" ht="13.8" x14ac:dyDescent="0.3">
      <c r="A701" s="388">
        <f t="shared" si="41"/>
        <v>679</v>
      </c>
      <c r="B701" s="389">
        <f t="shared" ca="1" si="42"/>
        <v>0.11545816507145137</v>
      </c>
      <c r="C701" s="389">
        <f t="shared" ca="1" si="43"/>
        <v>4.7926561816670724E-2</v>
      </c>
      <c r="D701" s="390">
        <f t="shared" ca="1" si="44"/>
        <v>1.172991828303424</v>
      </c>
      <c r="E701" s="391" cm="1">
        <f t="array" aca="1" ref="E701" ca="1">(SUMPRODUCT($B$13:$F$13*D701/(1+B701)^$B$14:$F$14)+($F$13*D701*(1+C701))/(B701-C701)/(1+B701)^$F$14-$B$15+$B$16)/$B$17</f>
        <v>1906.3856569947204</v>
      </c>
      <c r="F701" s="304"/>
      <c r="G701" s="304"/>
      <c r="H701" s="304"/>
      <c r="I701" s="304"/>
      <c r="J701" s="304"/>
      <c r="K701" s="304"/>
      <c r="L701" s="304"/>
      <c r="M701" s="304"/>
      <c r="N701" s="304"/>
      <c r="O701" s="304"/>
      <c r="P701" s="304"/>
      <c r="Q701" s="304"/>
    </row>
    <row r="702" spans="1:17" ht="13.8" x14ac:dyDescent="0.3">
      <c r="A702" s="388">
        <f t="shared" si="41"/>
        <v>680</v>
      </c>
      <c r="B702" s="389">
        <f t="shared" ca="1" si="42"/>
        <v>0.11668945940370473</v>
      </c>
      <c r="C702" s="389">
        <f t="shared" ca="1" si="43"/>
        <v>4.2626383095033075E-2</v>
      </c>
      <c r="D702" s="390">
        <f t="shared" ca="1" si="44"/>
        <v>0.90921255403234824</v>
      </c>
      <c r="E702" s="391" cm="1">
        <f t="array" aca="1" ref="E702" ca="1">(SUMPRODUCT($B$13:$F$13*D702/(1+B702)^$B$14:$F$14)+($F$13*D702*(1+C702))/(B702-C702)/(1+B702)^$F$14-$B$15+$B$16)/$B$17</f>
        <v>1349.0521446739426</v>
      </c>
      <c r="F702" s="304"/>
      <c r="G702" s="304"/>
      <c r="H702" s="304"/>
      <c r="I702" s="304"/>
      <c r="J702" s="304"/>
      <c r="K702" s="304"/>
      <c r="L702" s="304"/>
      <c r="M702" s="304"/>
      <c r="N702" s="304"/>
      <c r="O702" s="304"/>
      <c r="P702" s="304"/>
      <c r="Q702" s="304"/>
    </row>
    <row r="703" spans="1:17" ht="13.8" x14ac:dyDescent="0.3">
      <c r="A703" s="388">
        <f t="shared" si="41"/>
        <v>681</v>
      </c>
      <c r="B703" s="389">
        <f t="shared" ca="1" si="42"/>
        <v>0.13659858230048558</v>
      </c>
      <c r="C703" s="389">
        <f t="shared" ca="1" si="43"/>
        <v>5.1404612004980151E-2</v>
      </c>
      <c r="D703" s="390">
        <f t="shared" ca="1" si="44"/>
        <v>0.90465531559840895</v>
      </c>
      <c r="E703" s="391" cm="1">
        <f t="array" aca="1" ref="E703" ca="1">(SUMPRODUCT($B$13:$F$13*D703/(1+B703)^$B$14:$F$14)+($F$13*D703*(1+C703))/(B703-C703)/(1+B703)^$F$14-$B$15+$B$16)/$B$17</f>
        <v>1118.0492229737429</v>
      </c>
      <c r="F703" s="304"/>
      <c r="G703" s="304"/>
      <c r="H703" s="304"/>
      <c r="I703" s="304"/>
      <c r="J703" s="304"/>
      <c r="K703" s="304"/>
      <c r="L703" s="304"/>
      <c r="M703" s="304"/>
      <c r="N703" s="304"/>
      <c r="O703" s="304"/>
      <c r="P703" s="304"/>
      <c r="Q703" s="304"/>
    </row>
    <row r="704" spans="1:17" ht="13.8" x14ac:dyDescent="0.3">
      <c r="A704" s="388">
        <f t="shared" si="41"/>
        <v>682</v>
      </c>
      <c r="B704" s="389">
        <f t="shared" ca="1" si="42"/>
        <v>0.117200107649477</v>
      </c>
      <c r="C704" s="389">
        <f t="shared" ca="1" si="43"/>
        <v>5.2508558204543872E-2</v>
      </c>
      <c r="D704" s="390">
        <f t="shared" ca="1" si="44"/>
        <v>1.0205180525858186</v>
      </c>
      <c r="E704" s="391" cm="1">
        <f t="array" aca="1" ref="E704" ca="1">(SUMPRODUCT($B$13:$F$13*D704/(1+B704)^$B$14:$F$14)+($F$13*D704*(1+C704))/(B704-C704)/(1+B704)^$F$14-$B$15+$B$16)/$B$17</f>
        <v>1705.6641599769578</v>
      </c>
      <c r="F704" s="304"/>
      <c r="G704" s="304"/>
      <c r="H704" s="304"/>
      <c r="I704" s="304"/>
      <c r="J704" s="304"/>
      <c r="K704" s="304"/>
      <c r="L704" s="304"/>
      <c r="M704" s="304"/>
      <c r="N704" s="304"/>
      <c r="O704" s="304"/>
      <c r="P704" s="304"/>
      <c r="Q704" s="304"/>
    </row>
    <row r="705" spans="1:17" ht="13.8" x14ac:dyDescent="0.3">
      <c r="A705" s="388">
        <f t="shared" si="41"/>
        <v>683</v>
      </c>
      <c r="B705" s="389">
        <f t="shared" ca="1" si="42"/>
        <v>0.12397198950209735</v>
      </c>
      <c r="C705" s="389">
        <f t="shared" ca="1" si="43"/>
        <v>5.4727123092951475E-2</v>
      </c>
      <c r="D705" s="390">
        <f t="shared" ca="1" si="44"/>
        <v>1.0348945724801859</v>
      </c>
      <c r="E705" s="391" cm="1">
        <f t="array" aca="1" ref="E705" ca="1">(SUMPRODUCT($B$13:$F$13*D705/(1+B705)^$B$14:$F$14)+($F$13*D705*(1+C705))/(B705-C705)/(1+B705)^$F$14-$B$15+$B$16)/$B$17</f>
        <v>1596.1037857244116</v>
      </c>
      <c r="F705" s="304"/>
      <c r="G705" s="304"/>
      <c r="H705" s="304"/>
      <c r="I705" s="304"/>
      <c r="J705" s="304"/>
      <c r="K705" s="304"/>
      <c r="L705" s="304"/>
      <c r="M705" s="304"/>
      <c r="N705" s="304"/>
      <c r="O705" s="304"/>
      <c r="P705" s="304"/>
      <c r="Q705" s="304"/>
    </row>
    <row r="706" spans="1:17" ht="13.8" x14ac:dyDescent="0.3">
      <c r="A706" s="388">
        <f t="shared" si="41"/>
        <v>684</v>
      </c>
      <c r="B706" s="389">
        <f t="shared" ca="1" si="42"/>
        <v>0.12683017114020689</v>
      </c>
      <c r="C706" s="389">
        <f t="shared" ca="1" si="43"/>
        <v>5.575566122537462E-2</v>
      </c>
      <c r="D706" s="390">
        <f t="shared" ca="1" si="44"/>
        <v>0.93961203097221302</v>
      </c>
      <c r="E706" s="391" cm="1">
        <f t="array" aca="1" ref="E706" ca="1">(SUMPRODUCT($B$13:$F$13*D706/(1+B706)^$B$14:$F$14)+($F$13*D706*(1+C706))/(B706-C706)/(1+B706)^$F$14-$B$15+$B$16)/$B$17</f>
        <v>1399.6975806461846</v>
      </c>
      <c r="F706" s="304"/>
      <c r="G706" s="304"/>
      <c r="H706" s="304"/>
      <c r="I706" s="304"/>
      <c r="J706" s="304"/>
      <c r="K706" s="304"/>
      <c r="L706" s="304"/>
      <c r="M706" s="304"/>
      <c r="N706" s="304"/>
      <c r="O706" s="304"/>
      <c r="P706" s="304"/>
      <c r="Q706" s="304"/>
    </row>
    <row r="707" spans="1:17" ht="13.8" x14ac:dyDescent="0.3">
      <c r="A707" s="388">
        <f t="shared" si="41"/>
        <v>685</v>
      </c>
      <c r="B707" s="389">
        <f t="shared" ca="1" si="42"/>
        <v>0.12227929007002651</v>
      </c>
      <c r="C707" s="389">
        <f t="shared" ca="1" si="43"/>
        <v>4.9136615745769649E-2</v>
      </c>
      <c r="D707" s="390">
        <f t="shared" ca="1" si="44"/>
        <v>1.1436334223054316</v>
      </c>
      <c r="E707" s="391" cm="1">
        <f t="array" aca="1" ref="E707" ca="1">(SUMPRODUCT($B$13:$F$13*D707/(1+B707)^$B$14:$F$14)+($F$13*D707*(1+C707))/(B707-C707)/(1+B707)^$F$14-$B$15+$B$16)/$B$17</f>
        <v>1696.8333630354055</v>
      </c>
      <c r="F707" s="304"/>
      <c r="G707" s="304"/>
      <c r="H707" s="304"/>
      <c r="I707" s="304"/>
      <c r="J707" s="304"/>
      <c r="K707" s="304"/>
      <c r="L707" s="304"/>
      <c r="M707" s="304"/>
      <c r="N707" s="304"/>
      <c r="O707" s="304"/>
      <c r="P707" s="304"/>
      <c r="Q707" s="304"/>
    </row>
    <row r="708" spans="1:17" ht="13.8" x14ac:dyDescent="0.3">
      <c r="A708" s="388">
        <f t="shared" si="41"/>
        <v>686</v>
      </c>
      <c r="B708" s="389">
        <f t="shared" ca="1" si="42"/>
        <v>0.13762429220610442</v>
      </c>
      <c r="C708" s="389">
        <f t="shared" ca="1" si="43"/>
        <v>5.3292788479976483E-2</v>
      </c>
      <c r="D708" s="390">
        <f t="shared" ca="1" si="44"/>
        <v>1.1435218257981268</v>
      </c>
      <c r="E708" s="391" cm="1">
        <f t="array" aca="1" ref="E708" ca="1">(SUMPRODUCT($B$13:$F$13*D708/(1+B708)^$B$14:$F$14)+($F$13*D708*(1+C708))/(B708-C708)/(1+B708)^$F$14-$B$15+$B$16)/$B$17</f>
        <v>1433.3288178069974</v>
      </c>
      <c r="F708" s="304"/>
      <c r="G708" s="304"/>
      <c r="H708" s="304"/>
      <c r="I708" s="304"/>
      <c r="J708" s="304"/>
      <c r="K708" s="304"/>
      <c r="L708" s="304"/>
      <c r="M708" s="304"/>
      <c r="N708" s="304"/>
      <c r="O708" s="304"/>
      <c r="P708" s="304"/>
      <c r="Q708" s="304"/>
    </row>
    <row r="709" spans="1:17" ht="13.8" x14ac:dyDescent="0.3">
      <c r="A709" s="388">
        <f t="shared" si="41"/>
        <v>687</v>
      </c>
      <c r="B709" s="389">
        <f t="shared" ca="1" si="42"/>
        <v>0.13222906981219865</v>
      </c>
      <c r="C709" s="389">
        <f t="shared" ca="1" si="43"/>
        <v>4.8649775015601228E-2</v>
      </c>
      <c r="D709" s="390">
        <f t="shared" ca="1" si="44"/>
        <v>1.1925090735825226</v>
      </c>
      <c r="E709" s="391" cm="1">
        <f t="array" aca="1" ref="E709" ca="1">(SUMPRODUCT($B$13:$F$13*D709/(1+B709)^$B$14:$F$14)+($F$13*D709*(1+C709))/(B709-C709)/(1+B709)^$F$14-$B$15+$B$16)/$B$17</f>
        <v>1533.7218087599736</v>
      </c>
      <c r="F709" s="304"/>
      <c r="G709" s="304"/>
      <c r="H709" s="304"/>
      <c r="I709" s="304"/>
      <c r="J709" s="304"/>
      <c r="K709" s="304"/>
      <c r="L709" s="304"/>
      <c r="M709" s="304"/>
      <c r="N709" s="304"/>
      <c r="O709" s="304"/>
      <c r="P709" s="304"/>
      <c r="Q709" s="304"/>
    </row>
    <row r="710" spans="1:17" ht="13.8" x14ac:dyDescent="0.3">
      <c r="A710" s="388">
        <f t="shared" si="41"/>
        <v>688</v>
      </c>
      <c r="B710" s="389">
        <f t="shared" ca="1" si="42"/>
        <v>0.1265080551712954</v>
      </c>
      <c r="C710" s="389">
        <f t="shared" ca="1" si="43"/>
        <v>4.048380282246844E-2</v>
      </c>
      <c r="D710" s="390">
        <f t="shared" ca="1" si="44"/>
        <v>0.94951311928759141</v>
      </c>
      <c r="E710" s="391" cm="1">
        <f t="array" aca="1" ref="E710" ca="1">(SUMPRODUCT($B$13:$F$13*D710/(1+B710)^$B$14:$F$14)+($F$13*D710*(1+C710))/(B710-C710)/(1+B710)^$F$14-$B$15+$B$16)/$B$17</f>
        <v>1204.2379287847891</v>
      </c>
      <c r="F710" s="304"/>
      <c r="G710" s="304"/>
      <c r="H710" s="304"/>
      <c r="I710" s="304"/>
      <c r="J710" s="304"/>
      <c r="K710" s="304"/>
      <c r="L710" s="304"/>
      <c r="M710" s="304"/>
      <c r="N710" s="304"/>
      <c r="O710" s="304"/>
      <c r="P710" s="304"/>
      <c r="Q710" s="304"/>
    </row>
    <row r="711" spans="1:17" ht="13.8" x14ac:dyDescent="0.3">
      <c r="A711" s="388">
        <f t="shared" si="41"/>
        <v>689</v>
      </c>
      <c r="B711" s="389">
        <f t="shared" ca="1" si="42"/>
        <v>0.12090308795000536</v>
      </c>
      <c r="C711" s="389">
        <f t="shared" ca="1" si="43"/>
        <v>4.4521671099592576E-2</v>
      </c>
      <c r="D711" s="390">
        <f t="shared" ca="1" si="44"/>
        <v>0.88184712609483173</v>
      </c>
      <c r="E711" s="391" cm="1">
        <f t="array" aca="1" ref="E711" ca="1">(SUMPRODUCT($B$13:$F$13*D711/(1+B711)^$B$14:$F$14)+($F$13*D711*(1+C711))/(B711-C711)/(1+B711)^$F$14-$B$15+$B$16)/$B$17</f>
        <v>1255.7086126639308</v>
      </c>
      <c r="F711" s="304"/>
      <c r="G711" s="304"/>
      <c r="H711" s="304"/>
      <c r="I711" s="304"/>
      <c r="J711" s="304"/>
      <c r="K711" s="304"/>
      <c r="L711" s="304"/>
      <c r="M711" s="304"/>
      <c r="N711" s="304"/>
      <c r="O711" s="304"/>
      <c r="P711" s="304"/>
      <c r="Q711" s="304"/>
    </row>
    <row r="712" spans="1:17" ht="13.8" x14ac:dyDescent="0.3">
      <c r="A712" s="388">
        <f t="shared" si="41"/>
        <v>690</v>
      </c>
      <c r="B712" s="389">
        <f t="shared" ca="1" si="42"/>
        <v>0.1290607210176305</v>
      </c>
      <c r="C712" s="389">
        <f t="shared" ca="1" si="43"/>
        <v>4.4537214114152554E-2</v>
      </c>
      <c r="D712" s="390">
        <f t="shared" ca="1" si="44"/>
        <v>1.1530943650436036</v>
      </c>
      <c r="E712" s="391" cm="1">
        <f t="array" aca="1" ref="E712" ca="1">(SUMPRODUCT($B$13:$F$13*D712/(1+B712)^$B$14:$F$14)+($F$13*D712*(1+C712))/(B712-C712)/(1+B712)^$F$14-$B$15+$B$16)/$B$17</f>
        <v>1482.3664713190574</v>
      </c>
      <c r="F712" s="304"/>
      <c r="G712" s="304"/>
      <c r="H712" s="304"/>
      <c r="I712" s="304"/>
      <c r="J712" s="304"/>
      <c r="K712" s="304"/>
      <c r="L712" s="304"/>
      <c r="M712" s="304"/>
      <c r="N712" s="304"/>
      <c r="O712" s="304"/>
      <c r="P712" s="304"/>
      <c r="Q712" s="304"/>
    </row>
    <row r="713" spans="1:17" ht="13.8" x14ac:dyDescent="0.3">
      <c r="A713" s="388">
        <f t="shared" si="41"/>
        <v>691</v>
      </c>
      <c r="B713" s="389">
        <f t="shared" ca="1" si="42"/>
        <v>0.13014323234074948</v>
      </c>
      <c r="C713" s="389">
        <f t="shared" ca="1" si="43"/>
        <v>3.5361537139395841E-2</v>
      </c>
      <c r="D713" s="390">
        <f t="shared" ca="1" si="44"/>
        <v>1.032176673278951</v>
      </c>
      <c r="E713" s="391" cm="1">
        <f t="array" aca="1" ref="E713" ca="1">(SUMPRODUCT($B$13:$F$13*D713/(1+B713)^$B$14:$F$14)+($F$13*D713*(1+C713))/(B713-C713)/(1+B713)^$F$14-$B$15+$B$16)/$B$17</f>
        <v>1198.0699227179712</v>
      </c>
      <c r="F713" s="304"/>
      <c r="G713" s="304"/>
      <c r="H713" s="304"/>
      <c r="I713" s="304"/>
      <c r="J713" s="304"/>
      <c r="K713" s="304"/>
      <c r="L713" s="304"/>
      <c r="M713" s="304"/>
      <c r="N713" s="304"/>
      <c r="O713" s="304"/>
      <c r="P713" s="304"/>
      <c r="Q713" s="304"/>
    </row>
    <row r="714" spans="1:17" ht="13.8" x14ac:dyDescent="0.3">
      <c r="A714" s="388">
        <f t="shared" si="41"/>
        <v>692</v>
      </c>
      <c r="B714" s="389">
        <f t="shared" ca="1" si="42"/>
        <v>0.11983717382774135</v>
      </c>
      <c r="C714" s="389">
        <f t="shared" ca="1" si="43"/>
        <v>4.7563767304152856E-2</v>
      </c>
      <c r="D714" s="390">
        <f t="shared" ca="1" si="44"/>
        <v>1.0869746449015989</v>
      </c>
      <c r="E714" s="391" cm="1">
        <f t="array" aca="1" ref="E714" ca="1">(SUMPRODUCT($B$13:$F$13*D714/(1+B714)^$B$14:$F$14)+($F$13*D714*(1+C714))/(B714-C714)/(1+B714)^$F$14-$B$15+$B$16)/$B$17</f>
        <v>1639.7536589141428</v>
      </c>
      <c r="F714" s="304"/>
      <c r="G714" s="304"/>
      <c r="H714" s="304"/>
      <c r="I714" s="304"/>
      <c r="J714" s="304"/>
      <c r="K714" s="304"/>
      <c r="L714" s="304"/>
      <c r="M714" s="304"/>
      <c r="N714" s="304"/>
      <c r="O714" s="304"/>
      <c r="P714" s="304"/>
      <c r="Q714" s="304"/>
    </row>
    <row r="715" spans="1:17" ht="13.8" x14ac:dyDescent="0.3">
      <c r="A715" s="388">
        <f t="shared" si="41"/>
        <v>693</v>
      </c>
      <c r="B715" s="389">
        <f t="shared" ca="1" si="42"/>
        <v>0.12582487108149398</v>
      </c>
      <c r="C715" s="389">
        <f t="shared" ca="1" si="43"/>
        <v>3.4160729065023265E-2</v>
      </c>
      <c r="D715" s="390">
        <f t="shared" ca="1" si="44"/>
        <v>0.81938198037060739</v>
      </c>
      <c r="E715" s="391" cm="1">
        <f t="array" aca="1" ref="E715" ca="1">(SUMPRODUCT($B$13:$F$13*D715/(1+B715)^$B$14:$F$14)+($F$13*D715*(1+C715))/(B715-C715)/(1+B715)^$F$14-$B$15+$B$16)/$B$17</f>
        <v>981.26860585348879</v>
      </c>
      <c r="F715" s="304"/>
      <c r="G715" s="304"/>
      <c r="H715" s="304"/>
      <c r="I715" s="304"/>
      <c r="J715" s="304"/>
      <c r="K715" s="304"/>
      <c r="L715" s="304"/>
      <c r="M715" s="304"/>
      <c r="N715" s="304"/>
      <c r="O715" s="304"/>
      <c r="P715" s="304"/>
      <c r="Q715" s="304"/>
    </row>
    <row r="716" spans="1:17" ht="13.8" x14ac:dyDescent="0.3">
      <c r="A716" s="388">
        <f t="shared" si="41"/>
        <v>694</v>
      </c>
      <c r="B716" s="389">
        <f t="shared" ca="1" si="42"/>
        <v>0.11467543670450706</v>
      </c>
      <c r="C716" s="389">
        <f t="shared" ca="1" si="43"/>
        <v>5.4634213667018754E-2</v>
      </c>
      <c r="D716" s="390">
        <f t="shared" ca="1" si="44"/>
        <v>0.92925284760895144</v>
      </c>
      <c r="E716" s="391" cm="1">
        <f t="array" aca="1" ref="E716" ca="1">(SUMPRODUCT($B$13:$F$13*D716/(1+B716)^$B$14:$F$14)+($F$13*D716*(1+C716))/(B716-C716)/(1+B716)^$F$14-$B$15+$B$16)/$B$17</f>
        <v>1667.3598468765854</v>
      </c>
      <c r="F716" s="304"/>
      <c r="G716" s="304"/>
      <c r="H716" s="304"/>
      <c r="I716" s="304"/>
      <c r="J716" s="304"/>
      <c r="K716" s="304"/>
      <c r="L716" s="304"/>
      <c r="M716" s="304"/>
      <c r="N716" s="304"/>
      <c r="O716" s="304"/>
      <c r="P716" s="304"/>
      <c r="Q716" s="304"/>
    </row>
    <row r="717" spans="1:17" ht="13.8" x14ac:dyDescent="0.3">
      <c r="A717" s="388">
        <f t="shared" si="41"/>
        <v>695</v>
      </c>
      <c r="B717" s="389">
        <f t="shared" ca="1" si="42"/>
        <v>0.12679556647927312</v>
      </c>
      <c r="C717" s="389">
        <f t="shared" ca="1" si="43"/>
        <v>5.2356980526544368E-2</v>
      </c>
      <c r="D717" s="390">
        <f t="shared" ca="1" si="44"/>
        <v>1.0701105105849389</v>
      </c>
      <c r="E717" s="391" cm="1">
        <f t="array" aca="1" ref="E717" ca="1">(SUMPRODUCT($B$13:$F$13*D717/(1+B717)^$B$14:$F$14)+($F$13*D717*(1+C717))/(B717-C717)/(1+B717)^$F$14-$B$15+$B$16)/$B$17</f>
        <v>1538.7491247703322</v>
      </c>
      <c r="F717" s="304"/>
      <c r="G717" s="304"/>
      <c r="H717" s="304"/>
      <c r="I717" s="304"/>
      <c r="J717" s="304"/>
      <c r="K717" s="304"/>
      <c r="L717" s="304"/>
      <c r="M717" s="304"/>
      <c r="N717" s="304"/>
      <c r="O717" s="304"/>
      <c r="P717" s="304"/>
      <c r="Q717" s="304"/>
    </row>
    <row r="718" spans="1:17" ht="13.8" x14ac:dyDescent="0.3">
      <c r="A718" s="388">
        <f t="shared" si="41"/>
        <v>696</v>
      </c>
      <c r="B718" s="389">
        <f t="shared" ca="1" si="42"/>
        <v>0.1138971124818646</v>
      </c>
      <c r="C718" s="389">
        <f t="shared" ca="1" si="43"/>
        <v>3.8188145605296486E-2</v>
      </c>
      <c r="D718" s="390">
        <f t="shared" ca="1" si="44"/>
        <v>1.0011418985899858</v>
      </c>
      <c r="E718" s="391" cm="1">
        <f t="array" aca="1" ref="E718" ca="1">(SUMPRODUCT($B$13:$F$13*D718/(1+B718)^$B$14:$F$14)+($F$13*D718*(1+C718))/(B718-C718)/(1+B718)^$F$14-$B$15+$B$16)/$B$17</f>
        <v>1475.7364150318745</v>
      </c>
      <c r="F718" s="304"/>
      <c r="G718" s="304"/>
      <c r="H718" s="304"/>
      <c r="I718" s="304"/>
      <c r="J718" s="304"/>
      <c r="K718" s="304"/>
      <c r="L718" s="304"/>
      <c r="M718" s="304"/>
      <c r="N718" s="304"/>
      <c r="O718" s="304"/>
      <c r="P718" s="304"/>
      <c r="Q718" s="304"/>
    </row>
    <row r="719" spans="1:17" ht="13.8" x14ac:dyDescent="0.3">
      <c r="A719" s="388">
        <f t="shared" si="41"/>
        <v>697</v>
      </c>
      <c r="B719" s="389">
        <f t="shared" ca="1" si="42"/>
        <v>0.14482255894414905</v>
      </c>
      <c r="C719" s="389">
        <f t="shared" ca="1" si="43"/>
        <v>5.5652829882693669E-2</v>
      </c>
      <c r="D719" s="390">
        <f t="shared" ca="1" si="44"/>
        <v>0.99849266232147649</v>
      </c>
      <c r="E719" s="391" cm="1">
        <f t="array" aca="1" ref="E719" ca="1">(SUMPRODUCT($B$13:$F$13*D719/(1+B719)^$B$14:$F$14)+($F$13*D719*(1+C719))/(B719-C719)/(1+B719)^$F$14-$B$15+$B$16)/$B$17</f>
        <v>1162.413934294837</v>
      </c>
      <c r="F719" s="304"/>
      <c r="G719" s="304"/>
      <c r="H719" s="304"/>
      <c r="I719" s="304"/>
      <c r="J719" s="304"/>
      <c r="K719" s="304"/>
      <c r="L719" s="304"/>
      <c r="M719" s="304"/>
      <c r="N719" s="304"/>
      <c r="O719" s="304"/>
      <c r="P719" s="304"/>
      <c r="Q719" s="304"/>
    </row>
    <row r="720" spans="1:17" ht="13.8" x14ac:dyDescent="0.3">
      <c r="A720" s="388">
        <f t="shared" si="41"/>
        <v>698</v>
      </c>
      <c r="B720" s="389">
        <f t="shared" ca="1" si="42"/>
        <v>0.12368164539309218</v>
      </c>
      <c r="C720" s="389">
        <f t="shared" ca="1" si="43"/>
        <v>5.6268469207523326E-2</v>
      </c>
      <c r="D720" s="390">
        <f t="shared" ca="1" si="44"/>
        <v>1.0722561430493107</v>
      </c>
      <c r="E720" s="391" cm="1">
        <f t="array" aca="1" ref="E720" ca="1">(SUMPRODUCT($B$13:$F$13*D720/(1+B720)^$B$14:$F$14)+($F$13*D720*(1+C720))/(B720-C720)/(1+B720)^$F$14-$B$15+$B$16)/$B$17</f>
        <v>1695.7923613682353</v>
      </c>
      <c r="F720" s="304"/>
      <c r="G720" s="304"/>
      <c r="H720" s="304"/>
      <c r="I720" s="304"/>
      <c r="J720" s="304"/>
      <c r="K720" s="304"/>
      <c r="L720" s="304"/>
      <c r="M720" s="304"/>
      <c r="N720" s="304"/>
      <c r="O720" s="304"/>
      <c r="P720" s="304"/>
      <c r="Q720" s="304"/>
    </row>
    <row r="721" spans="1:17" ht="13.8" x14ac:dyDescent="0.3">
      <c r="A721" s="388">
        <f t="shared" si="41"/>
        <v>699</v>
      </c>
      <c r="B721" s="389">
        <f t="shared" ca="1" si="42"/>
        <v>0.13201438138539176</v>
      </c>
      <c r="C721" s="389">
        <f t="shared" ca="1" si="43"/>
        <v>5.2346474646513041E-2</v>
      </c>
      <c r="D721" s="390">
        <f t="shared" ca="1" si="44"/>
        <v>1.0171810231189689</v>
      </c>
      <c r="E721" s="391" cm="1">
        <f t="array" aca="1" ref="E721" ca="1">(SUMPRODUCT($B$13:$F$13*D721/(1+B721)^$B$14:$F$14)+($F$13*D721*(1+C721))/(B721-C721)/(1+B721)^$F$14-$B$15+$B$16)/$B$17</f>
        <v>1355.7461156449788</v>
      </c>
      <c r="F721" s="304"/>
      <c r="G721" s="304"/>
      <c r="H721" s="304"/>
      <c r="I721" s="304"/>
      <c r="J721" s="304"/>
      <c r="K721" s="304"/>
      <c r="L721" s="304"/>
      <c r="M721" s="304"/>
      <c r="N721" s="304"/>
      <c r="O721" s="304"/>
      <c r="P721" s="304"/>
      <c r="Q721" s="304"/>
    </row>
    <row r="722" spans="1:17" ht="13.8" x14ac:dyDescent="0.3">
      <c r="A722" s="388">
        <f t="shared" si="41"/>
        <v>700</v>
      </c>
      <c r="B722" s="389">
        <f t="shared" ca="1" si="42"/>
        <v>0.13033762961811801</v>
      </c>
      <c r="C722" s="389">
        <f t="shared" ca="1" si="43"/>
        <v>4.8459273738445337E-2</v>
      </c>
      <c r="D722" s="390">
        <f t="shared" ca="1" si="44"/>
        <v>1.1552159236424746</v>
      </c>
      <c r="E722" s="391" cm="1">
        <f t="array" aca="1" ref="E722" ca="1">(SUMPRODUCT($B$13:$F$13*D722/(1+B722)^$B$14:$F$14)+($F$13*D722*(1+C722))/(B722-C722)/(1+B722)^$F$14-$B$15+$B$16)/$B$17</f>
        <v>1519.0552277595207</v>
      </c>
      <c r="F722" s="304"/>
      <c r="G722" s="304"/>
      <c r="H722" s="304"/>
      <c r="I722" s="304"/>
      <c r="J722" s="304"/>
      <c r="K722" s="304"/>
      <c r="L722" s="304"/>
      <c r="M722" s="304"/>
      <c r="N722" s="304"/>
      <c r="O722" s="304"/>
      <c r="P722" s="304"/>
      <c r="Q722" s="304"/>
    </row>
    <row r="723" spans="1:17" ht="13.8" x14ac:dyDescent="0.3">
      <c r="A723" s="388">
        <f t="shared" si="41"/>
        <v>701</v>
      </c>
      <c r="B723" s="389">
        <f t="shared" ca="1" si="42"/>
        <v>0.1349910098887078</v>
      </c>
      <c r="C723" s="389">
        <f t="shared" ca="1" si="43"/>
        <v>5.6832254686934425E-2</v>
      </c>
      <c r="D723" s="390">
        <f t="shared" ca="1" si="44"/>
        <v>0.95613212628559485</v>
      </c>
      <c r="E723" s="391" cm="1">
        <f t="array" aca="1" ref="E723" ca="1">(SUMPRODUCT($B$13:$F$13*D723/(1+B723)^$B$14:$F$14)+($F$13*D723*(1+C723))/(B723-C723)/(1+B723)^$F$14-$B$15+$B$16)/$B$17</f>
        <v>1280.1756747074708</v>
      </c>
      <c r="F723" s="304"/>
      <c r="G723" s="304"/>
      <c r="H723" s="304"/>
      <c r="I723" s="304"/>
      <c r="J723" s="304"/>
      <c r="K723" s="304"/>
      <c r="L723" s="304"/>
      <c r="M723" s="304"/>
      <c r="N723" s="304"/>
      <c r="O723" s="304"/>
      <c r="P723" s="304"/>
      <c r="Q723" s="304"/>
    </row>
    <row r="724" spans="1:17" ht="13.8" x14ac:dyDescent="0.3">
      <c r="A724" s="388">
        <f t="shared" si="41"/>
        <v>702</v>
      </c>
      <c r="B724" s="389">
        <f t="shared" ca="1" si="42"/>
        <v>0.1219397792863935</v>
      </c>
      <c r="C724" s="389">
        <f t="shared" ca="1" si="43"/>
        <v>3.8682983989419988E-2</v>
      </c>
      <c r="D724" s="390">
        <f t="shared" ca="1" si="44"/>
        <v>0.98376750668101676</v>
      </c>
      <c r="E724" s="391" cm="1">
        <f t="array" aca="1" ref="E724" ca="1">(SUMPRODUCT($B$13:$F$13*D724/(1+B724)^$B$14:$F$14)+($F$13*D724*(1+C724))/(B724-C724)/(1+B724)^$F$14-$B$15+$B$16)/$B$17</f>
        <v>1302.9826501268442</v>
      </c>
      <c r="F724" s="304"/>
      <c r="G724" s="304"/>
      <c r="H724" s="304"/>
      <c r="I724" s="304"/>
      <c r="J724" s="304"/>
      <c r="K724" s="304"/>
      <c r="L724" s="304"/>
      <c r="M724" s="304"/>
      <c r="N724" s="304"/>
      <c r="O724" s="304"/>
      <c r="P724" s="304"/>
      <c r="Q724" s="304"/>
    </row>
    <row r="725" spans="1:17" ht="13.8" x14ac:dyDescent="0.3">
      <c r="A725" s="388">
        <f t="shared" si="41"/>
        <v>703</v>
      </c>
      <c r="B725" s="389">
        <f t="shared" ca="1" si="42"/>
        <v>0.11487934120862846</v>
      </c>
      <c r="C725" s="389">
        <f t="shared" ca="1" si="43"/>
        <v>4.6809733777467048E-2</v>
      </c>
      <c r="D725" s="390">
        <f t="shared" ca="1" si="44"/>
        <v>1.1537463022332595</v>
      </c>
      <c r="E725" s="391" cm="1">
        <f t="array" aca="1" ref="E725" ca="1">(SUMPRODUCT($B$13:$F$13*D725/(1+B725)^$B$14:$F$14)+($F$13*D725*(1+C725))/(B725-C725)/(1+B725)^$F$14-$B$15+$B$16)/$B$17</f>
        <v>1865.0001800659702</v>
      </c>
      <c r="F725" s="304"/>
      <c r="G725" s="304"/>
      <c r="H725" s="304"/>
      <c r="I725" s="304"/>
      <c r="J725" s="304"/>
      <c r="K725" s="304"/>
      <c r="L725" s="304"/>
      <c r="M725" s="304"/>
      <c r="N725" s="304"/>
      <c r="O725" s="304"/>
      <c r="P725" s="304"/>
      <c r="Q725" s="304"/>
    </row>
    <row r="726" spans="1:17" ht="13.8" x14ac:dyDescent="0.3">
      <c r="A726" s="388">
        <f t="shared" si="41"/>
        <v>704</v>
      </c>
      <c r="B726" s="389">
        <f t="shared" ca="1" si="42"/>
        <v>0.12187755739505672</v>
      </c>
      <c r="C726" s="389">
        <f t="shared" ca="1" si="43"/>
        <v>4.5067898827824915E-2</v>
      </c>
      <c r="D726" s="390">
        <f t="shared" ca="1" si="44"/>
        <v>0.91398863756433912</v>
      </c>
      <c r="E726" s="391" cm="1">
        <f t="array" aca="1" ref="E726" ca="1">(SUMPRODUCT($B$13:$F$13*D726/(1+B726)^$B$14:$F$14)+($F$13*D726*(1+C726))/(B726-C726)/(1+B726)^$F$14-$B$15+$B$16)/$B$17</f>
        <v>1292.9414875097157</v>
      </c>
      <c r="F726" s="304"/>
      <c r="G726" s="304"/>
      <c r="H726" s="304"/>
      <c r="I726" s="304"/>
      <c r="J726" s="304"/>
      <c r="K726" s="304"/>
      <c r="L726" s="304"/>
      <c r="M726" s="304"/>
      <c r="N726" s="304"/>
      <c r="O726" s="304"/>
      <c r="P726" s="304"/>
      <c r="Q726" s="304"/>
    </row>
    <row r="727" spans="1:17" ht="13.8" x14ac:dyDescent="0.3">
      <c r="A727" s="388">
        <f t="shared" si="41"/>
        <v>705</v>
      </c>
      <c r="B727" s="389">
        <f t="shared" ca="1" si="42"/>
        <v>0.11306054136468935</v>
      </c>
      <c r="C727" s="389">
        <f t="shared" ca="1" si="43"/>
        <v>4.8425650366261237E-2</v>
      </c>
      <c r="D727" s="390">
        <f t="shared" ca="1" si="44"/>
        <v>1.0857389022389128</v>
      </c>
      <c r="E727" s="391" cm="1">
        <f t="array" aca="1" ref="E727" ca="1">(SUMPRODUCT($B$13:$F$13*D727/(1+B727)^$B$14:$F$14)+($F$13*D727*(1+C727))/(B727-C727)/(1+B727)^$F$14-$B$15+$B$16)/$B$17</f>
        <v>1843.5936604904289</v>
      </c>
      <c r="F727" s="304"/>
      <c r="G727" s="304"/>
      <c r="H727" s="304"/>
      <c r="I727" s="304"/>
      <c r="J727" s="304"/>
      <c r="K727" s="304"/>
      <c r="L727" s="304"/>
      <c r="M727" s="304"/>
      <c r="N727" s="304"/>
      <c r="O727" s="304"/>
      <c r="P727" s="304"/>
      <c r="Q727" s="304"/>
    </row>
    <row r="728" spans="1:17" ht="13.8" x14ac:dyDescent="0.3">
      <c r="A728" s="388">
        <f t="shared" ref="A728:A791" si="45">ROW()-22</f>
        <v>706</v>
      </c>
      <c r="B728" s="389">
        <f t="shared" ref="B728:B791" ca="1" si="46">_xlfn.NORM.INV(RAND(),$B$6,$C$6)</f>
        <v>0.14654924607917569</v>
      </c>
      <c r="C728" s="389">
        <f t="shared" ref="C728:C791" ca="1" si="47">MIN(_xlfn.NORM.INV(RAND(),$B$7,$C$7),B728-0.005)</f>
        <v>5.3225278072471335E-2</v>
      </c>
      <c r="D728" s="390">
        <f t="shared" ref="D728:D791" ca="1" si="48">_xlfn.NORM.INV(RAND(),$B$8,$C$8)</f>
        <v>0.93176379956184696</v>
      </c>
      <c r="E728" s="391" cm="1">
        <f t="array" aca="1" ref="E728" ca="1">(SUMPRODUCT($B$13:$F$13*D728/(1+B728)^$B$14:$F$14)+($F$13*D728*(1+C728))/(B728-C728)/(1+B728)^$F$14-$B$15+$B$16)/$B$17</f>
        <v>1035.921290403815</v>
      </c>
      <c r="F728" s="304"/>
      <c r="G728" s="304"/>
      <c r="H728" s="304"/>
      <c r="I728" s="304"/>
      <c r="J728" s="304"/>
      <c r="K728" s="304"/>
      <c r="L728" s="304"/>
      <c r="M728" s="304"/>
      <c r="N728" s="304"/>
      <c r="O728" s="304"/>
      <c r="P728" s="304"/>
      <c r="Q728" s="304"/>
    </row>
    <row r="729" spans="1:17" ht="13.8" x14ac:dyDescent="0.3">
      <c r="A729" s="388">
        <f t="shared" si="45"/>
        <v>707</v>
      </c>
      <c r="B729" s="389">
        <f t="shared" ca="1" si="46"/>
        <v>0.14564613489549622</v>
      </c>
      <c r="C729" s="389">
        <f t="shared" ca="1" si="47"/>
        <v>4.5535477458043414E-2</v>
      </c>
      <c r="D729" s="390">
        <f t="shared" ca="1" si="48"/>
        <v>0.97348824577626147</v>
      </c>
      <c r="E729" s="391" cm="1">
        <f t="array" aca="1" ref="E729" ca="1">(SUMPRODUCT($B$13:$F$13*D729/(1+B729)^$B$14:$F$14)+($F$13*D729*(1+C729))/(B729-C729)/(1+B729)^$F$14-$B$15+$B$16)/$B$17</f>
        <v>1026.798672962756</v>
      </c>
      <c r="F729" s="304"/>
      <c r="G729" s="304"/>
      <c r="H729" s="304"/>
      <c r="I729" s="304"/>
      <c r="J729" s="304"/>
      <c r="K729" s="304"/>
      <c r="L729" s="304"/>
      <c r="M729" s="304"/>
      <c r="N729" s="304"/>
      <c r="O729" s="304"/>
      <c r="P729" s="304"/>
      <c r="Q729" s="304"/>
    </row>
    <row r="730" spans="1:17" ht="13.8" x14ac:dyDescent="0.3">
      <c r="A730" s="388">
        <f t="shared" si="45"/>
        <v>708</v>
      </c>
      <c r="B730" s="389">
        <f t="shared" ca="1" si="46"/>
        <v>0.12828202226996072</v>
      </c>
      <c r="C730" s="389">
        <f t="shared" ca="1" si="47"/>
        <v>4.5066235595758092E-2</v>
      </c>
      <c r="D730" s="390">
        <f t="shared" ca="1" si="48"/>
        <v>0.95642865956433165</v>
      </c>
      <c r="E730" s="391" cm="1">
        <f t="array" aca="1" ref="E730" ca="1">(SUMPRODUCT($B$13:$F$13*D730/(1+B730)^$B$14:$F$14)+($F$13*D730*(1+C730))/(B730-C730)/(1+B730)^$F$14-$B$15+$B$16)/$B$17</f>
        <v>1240.6190344405113</v>
      </c>
      <c r="F730" s="304"/>
      <c r="G730" s="304"/>
      <c r="H730" s="304"/>
      <c r="I730" s="304"/>
      <c r="J730" s="304"/>
      <c r="K730" s="304"/>
      <c r="L730" s="304"/>
      <c r="M730" s="304"/>
      <c r="N730" s="304"/>
      <c r="O730" s="304"/>
      <c r="P730" s="304"/>
      <c r="Q730" s="304"/>
    </row>
    <row r="731" spans="1:17" ht="13.8" x14ac:dyDescent="0.3">
      <c r="A731" s="388">
        <f t="shared" si="45"/>
        <v>709</v>
      </c>
      <c r="B731" s="389">
        <f t="shared" ca="1" si="46"/>
        <v>0.11416756571756986</v>
      </c>
      <c r="C731" s="389">
        <f t="shared" ca="1" si="47"/>
        <v>4.7758446061266203E-2</v>
      </c>
      <c r="D731" s="390">
        <f t="shared" ca="1" si="48"/>
        <v>0.96307446165566424</v>
      </c>
      <c r="E731" s="391" cm="1">
        <f t="array" aca="1" ref="E731" ca="1">(SUMPRODUCT($B$13:$F$13*D731/(1+B731)^$B$14:$F$14)+($F$13*D731*(1+C731))/(B731-C731)/(1+B731)^$F$14-$B$15+$B$16)/$B$17</f>
        <v>1586.188948616855</v>
      </c>
      <c r="F731" s="304"/>
      <c r="G731" s="304"/>
      <c r="H731" s="304"/>
      <c r="I731" s="304"/>
      <c r="J731" s="304"/>
      <c r="K731" s="304"/>
      <c r="L731" s="304"/>
      <c r="M731" s="304"/>
      <c r="N731" s="304"/>
      <c r="O731" s="304"/>
      <c r="P731" s="304"/>
      <c r="Q731" s="304"/>
    </row>
    <row r="732" spans="1:17" ht="13.8" x14ac:dyDescent="0.3">
      <c r="A732" s="388">
        <f t="shared" si="45"/>
        <v>710</v>
      </c>
      <c r="B732" s="389">
        <f t="shared" ca="1" si="46"/>
        <v>0.12530574458564755</v>
      </c>
      <c r="C732" s="389">
        <f t="shared" ca="1" si="47"/>
        <v>5.8623771174154835E-2</v>
      </c>
      <c r="D732" s="390">
        <f t="shared" ca="1" si="48"/>
        <v>0.85745280110363153</v>
      </c>
      <c r="E732" s="391" cm="1">
        <f t="array" aca="1" ref="E732" ca="1">(SUMPRODUCT($B$13:$F$13*D732/(1+B732)^$B$14:$F$14)+($F$13*D732*(1+C732))/(B732-C732)/(1+B732)^$F$14-$B$15+$B$16)/$B$17</f>
        <v>1352.3224710253758</v>
      </c>
      <c r="F732" s="304"/>
      <c r="G732" s="304"/>
      <c r="H732" s="304"/>
      <c r="I732" s="304"/>
      <c r="J732" s="304"/>
      <c r="K732" s="304"/>
      <c r="L732" s="304"/>
      <c r="M732" s="304"/>
      <c r="N732" s="304"/>
      <c r="O732" s="304"/>
      <c r="P732" s="304"/>
      <c r="Q732" s="304"/>
    </row>
    <row r="733" spans="1:17" ht="13.8" x14ac:dyDescent="0.3">
      <c r="A733" s="388">
        <f t="shared" si="45"/>
        <v>711</v>
      </c>
      <c r="B733" s="389">
        <f t="shared" ca="1" si="46"/>
        <v>0.13087319422173455</v>
      </c>
      <c r="C733" s="389">
        <f t="shared" ca="1" si="47"/>
        <v>5.2454023422263532E-2</v>
      </c>
      <c r="D733" s="390">
        <f t="shared" ca="1" si="48"/>
        <v>0.97798992488444281</v>
      </c>
      <c r="E733" s="391" cm="1">
        <f t="array" aca="1" ref="E733" ca="1">(SUMPRODUCT($B$13:$F$13*D733/(1+B733)^$B$14:$F$14)+($F$13*D733*(1+C733))/(B733-C733)/(1+B733)^$F$14-$B$15+$B$16)/$B$17</f>
        <v>1324.0111660720934</v>
      </c>
      <c r="F733" s="304"/>
      <c r="G733" s="304"/>
      <c r="H733" s="304"/>
      <c r="I733" s="304"/>
      <c r="J733" s="304"/>
      <c r="K733" s="304"/>
      <c r="L733" s="304"/>
      <c r="M733" s="304"/>
      <c r="N733" s="304"/>
      <c r="O733" s="304"/>
      <c r="P733" s="304"/>
      <c r="Q733" s="304"/>
    </row>
    <row r="734" spans="1:17" ht="13.8" x14ac:dyDescent="0.3">
      <c r="A734" s="388">
        <f t="shared" si="45"/>
        <v>712</v>
      </c>
      <c r="B734" s="389">
        <f t="shared" ca="1" si="46"/>
        <v>0.10461602717433992</v>
      </c>
      <c r="C734" s="389">
        <f t="shared" ca="1" si="47"/>
        <v>5.3317751454130355E-2</v>
      </c>
      <c r="D734" s="390">
        <f t="shared" ca="1" si="48"/>
        <v>1.1146670127082554</v>
      </c>
      <c r="E734" s="391" cm="1">
        <f t="array" aca="1" ref="E734" ca="1">(SUMPRODUCT($B$13:$F$13*D734/(1+B734)^$B$14:$F$14)+($F$13*D734*(1+C734))/(B734-C734)/(1+B734)^$F$14-$B$15+$B$16)/$B$17</f>
        <v>2387.4474906685123</v>
      </c>
      <c r="F734" s="304"/>
      <c r="G734" s="304"/>
      <c r="H734" s="304"/>
      <c r="I734" s="304"/>
      <c r="J734" s="304"/>
      <c r="K734" s="304"/>
      <c r="L734" s="304"/>
      <c r="M734" s="304"/>
      <c r="N734" s="304"/>
      <c r="O734" s="304"/>
      <c r="P734" s="304"/>
      <c r="Q734" s="304"/>
    </row>
    <row r="735" spans="1:17" ht="13.8" x14ac:dyDescent="0.3">
      <c r="A735" s="388">
        <f t="shared" si="45"/>
        <v>713</v>
      </c>
      <c r="B735" s="389">
        <f t="shared" ca="1" si="46"/>
        <v>0.11832890291278869</v>
      </c>
      <c r="C735" s="389">
        <f t="shared" ca="1" si="47"/>
        <v>4.6618084030143447E-2</v>
      </c>
      <c r="D735" s="390">
        <f t="shared" ca="1" si="48"/>
        <v>1.0942556044971887</v>
      </c>
      <c r="E735" s="391" cm="1">
        <f t="array" aca="1" ref="E735" ca="1">(SUMPRODUCT($B$13:$F$13*D735/(1+B735)^$B$14:$F$14)+($F$13*D735*(1+C735))/(B735-C735)/(1+B735)^$F$14-$B$15+$B$16)/$B$17</f>
        <v>1670.2174605384209</v>
      </c>
      <c r="F735" s="304"/>
      <c r="G735" s="304"/>
      <c r="H735" s="304"/>
      <c r="I735" s="304"/>
      <c r="J735" s="304"/>
      <c r="K735" s="304"/>
      <c r="L735" s="304"/>
      <c r="M735" s="304"/>
      <c r="N735" s="304"/>
      <c r="O735" s="304"/>
      <c r="P735" s="304"/>
      <c r="Q735" s="304"/>
    </row>
    <row r="736" spans="1:17" ht="13.8" x14ac:dyDescent="0.3">
      <c r="A736" s="388">
        <f t="shared" si="45"/>
        <v>714</v>
      </c>
      <c r="B736" s="389">
        <f t="shared" ca="1" si="46"/>
        <v>0.13058441362176582</v>
      </c>
      <c r="C736" s="389">
        <f t="shared" ca="1" si="47"/>
        <v>5.6076492130084254E-2</v>
      </c>
      <c r="D736" s="390">
        <f t="shared" ca="1" si="48"/>
        <v>0.97701542915749695</v>
      </c>
      <c r="E736" s="391" cm="1">
        <f t="array" aca="1" ref="E736" ca="1">(SUMPRODUCT($B$13:$F$13*D736/(1+B736)^$B$14:$F$14)+($F$13*D736*(1+C736))/(B736-C736)/(1+B736)^$F$14-$B$15+$B$16)/$B$17</f>
        <v>1382.8292305008761</v>
      </c>
      <c r="F736" s="304"/>
      <c r="G736" s="304"/>
      <c r="H736" s="304"/>
      <c r="I736" s="304"/>
      <c r="J736" s="304"/>
      <c r="K736" s="304"/>
      <c r="L736" s="304"/>
      <c r="M736" s="304"/>
      <c r="N736" s="304"/>
      <c r="O736" s="304"/>
      <c r="P736" s="304"/>
      <c r="Q736" s="304"/>
    </row>
    <row r="737" spans="1:17" ht="13.8" x14ac:dyDescent="0.3">
      <c r="A737" s="388">
        <f t="shared" si="45"/>
        <v>715</v>
      </c>
      <c r="B737" s="389">
        <f t="shared" ca="1" si="46"/>
        <v>0.12566402578145611</v>
      </c>
      <c r="C737" s="389">
        <f t="shared" ca="1" si="47"/>
        <v>4.780675403465675E-2</v>
      </c>
      <c r="D737" s="390">
        <f t="shared" ca="1" si="48"/>
        <v>1.0228392916067273</v>
      </c>
      <c r="E737" s="391" cm="1">
        <f t="array" aca="1" ref="E737" ca="1">(SUMPRODUCT($B$13:$F$13*D737/(1+B737)^$B$14:$F$14)+($F$13*D737*(1+C737))/(B737-C737)/(1+B737)^$F$14-$B$15+$B$16)/$B$17</f>
        <v>1418.6966646689734</v>
      </c>
      <c r="F737" s="304"/>
      <c r="G737" s="304"/>
      <c r="H737" s="304"/>
      <c r="I737" s="304"/>
      <c r="J737" s="304"/>
      <c r="K737" s="304"/>
      <c r="L737" s="304"/>
      <c r="M737" s="304"/>
      <c r="N737" s="304"/>
      <c r="O737" s="304"/>
      <c r="P737" s="304"/>
      <c r="Q737" s="304"/>
    </row>
    <row r="738" spans="1:17" ht="13.8" x14ac:dyDescent="0.3">
      <c r="A738" s="388">
        <f t="shared" si="45"/>
        <v>716</v>
      </c>
      <c r="B738" s="389">
        <f t="shared" ca="1" si="46"/>
        <v>0.13322250844794331</v>
      </c>
      <c r="C738" s="389">
        <f t="shared" ca="1" si="47"/>
        <v>5.6900055478058063E-2</v>
      </c>
      <c r="D738" s="390">
        <f t="shared" ca="1" si="48"/>
        <v>0.97893483187750907</v>
      </c>
      <c r="E738" s="391" cm="1">
        <f t="array" aca="1" ref="E738" ca="1">(SUMPRODUCT($B$13:$F$13*D738/(1+B738)^$B$14:$F$14)+($F$13*D738*(1+C738))/(B738-C738)/(1+B738)^$F$14-$B$15+$B$16)/$B$17</f>
        <v>1346.1464671368735</v>
      </c>
      <c r="F738" s="304"/>
      <c r="G738" s="304"/>
      <c r="H738" s="304"/>
      <c r="I738" s="304"/>
      <c r="J738" s="304"/>
      <c r="K738" s="304"/>
      <c r="L738" s="304"/>
      <c r="M738" s="304"/>
      <c r="N738" s="304"/>
      <c r="O738" s="304"/>
      <c r="P738" s="304"/>
      <c r="Q738" s="304"/>
    </row>
    <row r="739" spans="1:17" ht="13.8" x14ac:dyDescent="0.3">
      <c r="A739" s="388">
        <f t="shared" si="45"/>
        <v>717</v>
      </c>
      <c r="B739" s="389">
        <f t="shared" ca="1" si="46"/>
        <v>0.13853239187446875</v>
      </c>
      <c r="C739" s="389">
        <f t="shared" ca="1" si="47"/>
        <v>5.2848171839903264E-2</v>
      </c>
      <c r="D739" s="390">
        <f t="shared" ca="1" si="48"/>
        <v>1.0492782554198714</v>
      </c>
      <c r="E739" s="391" cm="1">
        <f t="array" aca="1" ref="E739" ca="1">(SUMPRODUCT($B$13:$F$13*D739/(1+B739)^$B$14:$F$14)+($F$13*D739*(1+C739))/(B739-C739)/(1+B739)^$F$14-$B$15+$B$16)/$B$17</f>
        <v>1290.2942699729472</v>
      </c>
      <c r="F739" s="304"/>
      <c r="G739" s="304"/>
      <c r="H739" s="304"/>
      <c r="I739" s="304"/>
      <c r="J739" s="304"/>
      <c r="K739" s="304"/>
      <c r="L739" s="304"/>
      <c r="M739" s="304"/>
      <c r="N739" s="304"/>
      <c r="O739" s="304"/>
      <c r="P739" s="304"/>
      <c r="Q739" s="304"/>
    </row>
    <row r="740" spans="1:17" ht="13.8" x14ac:dyDescent="0.3">
      <c r="A740" s="388">
        <f t="shared" si="45"/>
        <v>718</v>
      </c>
      <c r="B740" s="389">
        <f t="shared" ca="1" si="46"/>
        <v>0.11541447364861275</v>
      </c>
      <c r="C740" s="389">
        <f t="shared" ca="1" si="47"/>
        <v>5.5121353210651557E-2</v>
      </c>
      <c r="D740" s="390">
        <f t="shared" ca="1" si="48"/>
        <v>0.76649379724351974</v>
      </c>
      <c r="E740" s="391" cm="1">
        <f t="array" aca="1" ref="E740" ca="1">(SUMPRODUCT($B$13:$F$13*D740/(1+B740)^$B$14:$F$14)+($F$13*D740*(1+C740))/(B740-C740)/(1+B740)^$F$14-$B$15+$B$16)/$B$17</f>
        <v>1358.6390603961195</v>
      </c>
      <c r="F740" s="304"/>
      <c r="G740" s="304"/>
      <c r="H740" s="304"/>
      <c r="I740" s="304"/>
      <c r="J740" s="304"/>
      <c r="K740" s="304"/>
      <c r="L740" s="304"/>
      <c r="M740" s="304"/>
      <c r="N740" s="304"/>
      <c r="O740" s="304"/>
      <c r="P740" s="304"/>
      <c r="Q740" s="304"/>
    </row>
    <row r="741" spans="1:17" ht="13.8" x14ac:dyDescent="0.3">
      <c r="A741" s="388">
        <f t="shared" si="45"/>
        <v>719</v>
      </c>
      <c r="B741" s="389">
        <f t="shared" ca="1" si="46"/>
        <v>0.13122064411435372</v>
      </c>
      <c r="C741" s="389">
        <f t="shared" ca="1" si="47"/>
        <v>5.0713096305778922E-2</v>
      </c>
      <c r="D741" s="390">
        <f t="shared" ca="1" si="48"/>
        <v>0.89117509496796032</v>
      </c>
      <c r="E741" s="391" cm="1">
        <f t="array" aca="1" ref="E741" ca="1">(SUMPRODUCT($B$13:$F$13*D741/(1+B741)^$B$14:$F$14)+($F$13*D741*(1+C741))/(B741-C741)/(1+B741)^$F$14-$B$15+$B$16)/$B$17</f>
        <v>1174.406706478552</v>
      </c>
      <c r="F741" s="304"/>
      <c r="G741" s="304"/>
      <c r="H741" s="304"/>
      <c r="I741" s="304"/>
      <c r="J741" s="304"/>
      <c r="K741" s="304"/>
      <c r="L741" s="304"/>
      <c r="M741" s="304"/>
      <c r="N741" s="304"/>
      <c r="O741" s="304"/>
      <c r="P741" s="304"/>
      <c r="Q741" s="304"/>
    </row>
    <row r="742" spans="1:17" ht="13.8" x14ac:dyDescent="0.3">
      <c r="A742" s="388">
        <f t="shared" si="45"/>
        <v>720</v>
      </c>
      <c r="B742" s="389">
        <f t="shared" ca="1" si="46"/>
        <v>0.12583276540248667</v>
      </c>
      <c r="C742" s="389">
        <f t="shared" ca="1" si="47"/>
        <v>6.0763380505554423E-2</v>
      </c>
      <c r="D742" s="390">
        <f t="shared" ca="1" si="48"/>
        <v>1.0264482187134136</v>
      </c>
      <c r="E742" s="391" cm="1">
        <f t="array" aca="1" ref="E742" ca="1">(SUMPRODUCT($B$13:$F$13*D742/(1+B742)^$B$14:$F$14)+($F$13*D742*(1+C742))/(B742-C742)/(1+B742)^$F$14-$B$15+$B$16)/$B$17</f>
        <v>1660.4126382731424</v>
      </c>
      <c r="F742" s="304"/>
      <c r="G742" s="304"/>
      <c r="H742" s="304"/>
      <c r="I742" s="304"/>
      <c r="J742" s="304"/>
      <c r="K742" s="304"/>
      <c r="L742" s="304"/>
      <c r="M742" s="304"/>
      <c r="N742" s="304"/>
      <c r="O742" s="304"/>
      <c r="P742" s="304"/>
      <c r="Q742" s="304"/>
    </row>
    <row r="743" spans="1:17" ht="13.8" x14ac:dyDescent="0.3">
      <c r="A743" s="388">
        <f t="shared" si="45"/>
        <v>721</v>
      </c>
      <c r="B743" s="389">
        <f t="shared" ca="1" si="46"/>
        <v>0.1286056246890446</v>
      </c>
      <c r="C743" s="389">
        <f t="shared" ca="1" si="47"/>
        <v>6.1386104145927357E-2</v>
      </c>
      <c r="D743" s="390">
        <f t="shared" ca="1" si="48"/>
        <v>0.87647757151154193</v>
      </c>
      <c r="E743" s="391" cm="1">
        <f t="array" aca="1" ref="E743" ca="1">(SUMPRODUCT($B$13:$F$13*D743/(1+B743)^$B$14:$F$14)+($F$13*D743*(1+C743))/(B743-C743)/(1+B743)^$F$14-$B$15+$B$16)/$B$17</f>
        <v>1359.2441593126475</v>
      </c>
      <c r="F743" s="304"/>
      <c r="G743" s="304"/>
      <c r="H743" s="304"/>
      <c r="I743" s="304"/>
      <c r="J743" s="304"/>
      <c r="K743" s="304"/>
      <c r="L743" s="304"/>
      <c r="M743" s="304"/>
      <c r="N743" s="304"/>
      <c r="O743" s="304"/>
      <c r="P743" s="304"/>
      <c r="Q743" s="304"/>
    </row>
    <row r="744" spans="1:17" ht="13.8" x14ac:dyDescent="0.3">
      <c r="A744" s="388">
        <f t="shared" si="45"/>
        <v>722</v>
      </c>
      <c r="B744" s="389">
        <f t="shared" ca="1" si="46"/>
        <v>0.15020605876235107</v>
      </c>
      <c r="C744" s="389">
        <f t="shared" ca="1" si="47"/>
        <v>5.2113518731826028E-2</v>
      </c>
      <c r="D744" s="390">
        <f t="shared" ca="1" si="48"/>
        <v>0.96494551048668076</v>
      </c>
      <c r="E744" s="391" cm="1">
        <f t="array" aca="1" ref="E744" ca="1">(SUMPRODUCT($B$13:$F$13*D744/(1+B744)^$B$14:$F$14)+($F$13*D744*(1+C744))/(B744-C744)/(1+B744)^$F$14-$B$15+$B$16)/$B$17</f>
        <v>1019.839872059626</v>
      </c>
      <c r="F744" s="304"/>
      <c r="G744" s="304"/>
      <c r="H744" s="304"/>
      <c r="I744" s="304"/>
      <c r="J744" s="304"/>
      <c r="K744" s="304"/>
      <c r="L744" s="304"/>
      <c r="M744" s="304"/>
      <c r="N744" s="304"/>
      <c r="O744" s="304"/>
      <c r="P744" s="304"/>
      <c r="Q744" s="304"/>
    </row>
    <row r="745" spans="1:17" ht="13.8" x14ac:dyDescent="0.3">
      <c r="A745" s="388">
        <f t="shared" si="45"/>
        <v>723</v>
      </c>
      <c r="B745" s="389">
        <f t="shared" ca="1" si="46"/>
        <v>0.12802269714481457</v>
      </c>
      <c r="C745" s="389">
        <f t="shared" ca="1" si="47"/>
        <v>5.8304655199782764E-2</v>
      </c>
      <c r="D745" s="390">
        <f t="shared" ca="1" si="48"/>
        <v>1.0922643262635732</v>
      </c>
      <c r="E745" s="391" cm="1">
        <f t="array" aca="1" ref="E745" ca="1">(SUMPRODUCT($B$13:$F$13*D745/(1+B745)^$B$14:$F$14)+($F$13*D745*(1+C745))/(B745-C745)/(1+B745)^$F$14-$B$15+$B$16)/$B$17</f>
        <v>1655.8080394147244</v>
      </c>
      <c r="F745" s="304"/>
      <c r="G745" s="304"/>
      <c r="H745" s="304"/>
      <c r="I745" s="304"/>
      <c r="J745" s="304"/>
      <c r="K745" s="304"/>
      <c r="L745" s="304"/>
      <c r="M745" s="304"/>
      <c r="N745" s="304"/>
      <c r="O745" s="304"/>
      <c r="P745" s="304"/>
      <c r="Q745" s="304"/>
    </row>
    <row r="746" spans="1:17" ht="13.8" x14ac:dyDescent="0.3">
      <c r="A746" s="388">
        <f t="shared" si="45"/>
        <v>724</v>
      </c>
      <c r="B746" s="389">
        <f t="shared" ca="1" si="46"/>
        <v>0.11326550826504822</v>
      </c>
      <c r="C746" s="389">
        <f t="shared" ca="1" si="47"/>
        <v>5.1752152527805434E-2</v>
      </c>
      <c r="D746" s="390">
        <f t="shared" ca="1" si="48"/>
        <v>1.0021127058686792</v>
      </c>
      <c r="E746" s="391" cm="1">
        <f t="array" aca="1" ref="E746" ca="1">(SUMPRODUCT($B$13:$F$13*D746/(1+B746)^$B$14:$F$14)+($F$13*D746*(1+C746))/(B746-C746)/(1+B746)^$F$14-$B$15+$B$16)/$B$17</f>
        <v>1771.9434081725826</v>
      </c>
      <c r="F746" s="304"/>
      <c r="G746" s="304"/>
      <c r="H746" s="304"/>
      <c r="I746" s="304"/>
      <c r="J746" s="304"/>
      <c r="K746" s="304"/>
      <c r="L746" s="304"/>
      <c r="M746" s="304"/>
      <c r="N746" s="304"/>
      <c r="O746" s="304"/>
      <c r="P746" s="304"/>
      <c r="Q746" s="304"/>
    </row>
    <row r="747" spans="1:17" ht="13.8" x14ac:dyDescent="0.3">
      <c r="A747" s="388">
        <f t="shared" si="45"/>
        <v>725</v>
      </c>
      <c r="B747" s="389">
        <f t="shared" ca="1" si="46"/>
        <v>0.12634594181942768</v>
      </c>
      <c r="C747" s="389">
        <f t="shared" ca="1" si="47"/>
        <v>6.2421838032226687E-2</v>
      </c>
      <c r="D747" s="390">
        <f t="shared" ca="1" si="48"/>
        <v>1.1207348759289286</v>
      </c>
      <c r="E747" s="391" cm="1">
        <f t="array" aca="1" ref="E747" ca="1">(SUMPRODUCT($B$13:$F$13*D747/(1+B747)^$B$14:$F$14)+($F$13*D747*(1+C747))/(B747-C747)/(1+B747)^$F$14-$B$15+$B$16)/$B$17</f>
        <v>1842.5366246247295</v>
      </c>
      <c r="F747" s="304"/>
      <c r="G747" s="304"/>
      <c r="H747" s="304"/>
      <c r="I747" s="304"/>
      <c r="J747" s="304"/>
      <c r="K747" s="304"/>
      <c r="L747" s="304"/>
      <c r="M747" s="304"/>
      <c r="N747" s="304"/>
      <c r="O747" s="304"/>
      <c r="P747" s="304"/>
      <c r="Q747" s="304"/>
    </row>
    <row r="748" spans="1:17" ht="13.8" x14ac:dyDescent="0.3">
      <c r="A748" s="388">
        <f t="shared" si="45"/>
        <v>726</v>
      </c>
      <c r="B748" s="389">
        <f t="shared" ca="1" si="46"/>
        <v>0.12473525345517553</v>
      </c>
      <c r="C748" s="389">
        <f t="shared" ca="1" si="47"/>
        <v>5.4647580310796279E-2</v>
      </c>
      <c r="D748" s="390">
        <f t="shared" ca="1" si="48"/>
        <v>1.1503479503927303</v>
      </c>
      <c r="E748" s="391" cm="1">
        <f t="array" aca="1" ref="E748" ca="1">(SUMPRODUCT($B$13:$F$13*D748/(1+B748)^$B$14:$F$14)+($F$13*D748*(1+C748))/(B748-C748)/(1+B748)^$F$14-$B$15+$B$16)/$B$17</f>
        <v>1756.7733932194767</v>
      </c>
      <c r="F748" s="304"/>
      <c r="G748" s="304"/>
      <c r="H748" s="304"/>
      <c r="I748" s="304"/>
      <c r="J748" s="304"/>
      <c r="K748" s="304"/>
      <c r="L748" s="304"/>
      <c r="M748" s="304"/>
      <c r="N748" s="304"/>
      <c r="O748" s="304"/>
      <c r="P748" s="304"/>
      <c r="Q748" s="304"/>
    </row>
    <row r="749" spans="1:17" ht="13.8" x14ac:dyDescent="0.3">
      <c r="A749" s="388">
        <f t="shared" si="45"/>
        <v>727</v>
      </c>
      <c r="B749" s="389">
        <f t="shared" ca="1" si="46"/>
        <v>0.11009395172629886</v>
      </c>
      <c r="C749" s="389">
        <f t="shared" ca="1" si="47"/>
        <v>6.1580206128922538E-2</v>
      </c>
      <c r="D749" s="390">
        <f t="shared" ca="1" si="48"/>
        <v>1.042312566337029</v>
      </c>
      <c r="E749" s="391" cm="1">
        <f t="array" aca="1" ref="E749" ca="1">(SUMPRODUCT($B$13:$F$13*D749/(1+B749)^$B$14:$F$14)+($F$13*D749*(1+C749))/(B749-C749)/(1+B749)^$F$14-$B$15+$B$16)/$B$17</f>
        <v>2302.2845091987551</v>
      </c>
      <c r="F749" s="304"/>
      <c r="G749" s="304"/>
      <c r="H749" s="304"/>
      <c r="I749" s="304"/>
      <c r="J749" s="304"/>
      <c r="K749" s="304"/>
      <c r="L749" s="304"/>
      <c r="M749" s="304"/>
      <c r="N749" s="304"/>
      <c r="O749" s="304"/>
      <c r="P749" s="304"/>
      <c r="Q749" s="304"/>
    </row>
    <row r="750" spans="1:17" ht="13.8" x14ac:dyDescent="0.3">
      <c r="A750" s="388">
        <f t="shared" si="45"/>
        <v>728</v>
      </c>
      <c r="B750" s="389">
        <f t="shared" ca="1" si="46"/>
        <v>0.12107658532439722</v>
      </c>
      <c r="C750" s="389">
        <f t="shared" ca="1" si="47"/>
        <v>4.9058868247731598E-2</v>
      </c>
      <c r="D750" s="390">
        <f t="shared" ca="1" si="48"/>
        <v>0.87745824776343295</v>
      </c>
      <c r="E750" s="391" cm="1">
        <f t="array" aca="1" ref="E750" ca="1">(SUMPRODUCT($B$13:$F$13*D750/(1+B750)^$B$14:$F$14)+($F$13*D750*(1+C750))/(B750-C750)/(1+B750)^$F$14-$B$15+$B$16)/$B$17</f>
        <v>1313.2915126910436</v>
      </c>
      <c r="F750" s="304"/>
      <c r="G750" s="304"/>
      <c r="H750" s="304"/>
      <c r="I750" s="304"/>
      <c r="J750" s="304"/>
      <c r="K750" s="304"/>
      <c r="L750" s="304"/>
      <c r="M750" s="304"/>
      <c r="N750" s="304"/>
      <c r="O750" s="304"/>
      <c r="P750" s="304"/>
      <c r="Q750" s="304"/>
    </row>
    <row r="751" spans="1:17" ht="13.8" x14ac:dyDescent="0.3">
      <c r="A751" s="388">
        <f t="shared" si="45"/>
        <v>729</v>
      </c>
      <c r="B751" s="389">
        <f t="shared" ca="1" si="46"/>
        <v>0.10843421651335484</v>
      </c>
      <c r="C751" s="389">
        <f t="shared" ca="1" si="47"/>
        <v>5.332336891426636E-2</v>
      </c>
      <c r="D751" s="390">
        <f t="shared" ca="1" si="48"/>
        <v>0.87042138635512301</v>
      </c>
      <c r="E751" s="391" cm="1">
        <f t="array" aca="1" ref="E751" ca="1">(SUMPRODUCT($B$13:$F$13*D751/(1+B751)^$B$14:$F$14)+($F$13*D751*(1+C751))/(B751-C751)/(1+B751)^$F$14-$B$15+$B$16)/$B$17</f>
        <v>1716.7944273257579</v>
      </c>
      <c r="F751" s="304"/>
      <c r="G751" s="304"/>
      <c r="H751" s="304"/>
      <c r="I751" s="304"/>
      <c r="J751" s="304"/>
      <c r="K751" s="304"/>
      <c r="L751" s="304"/>
      <c r="M751" s="304"/>
      <c r="N751" s="304"/>
      <c r="O751" s="304"/>
      <c r="P751" s="304"/>
      <c r="Q751" s="304"/>
    </row>
    <row r="752" spans="1:17" ht="13.8" x14ac:dyDescent="0.3">
      <c r="A752" s="388">
        <f t="shared" si="45"/>
        <v>730</v>
      </c>
      <c r="B752" s="389">
        <f t="shared" ca="1" si="46"/>
        <v>0.14003615108678441</v>
      </c>
      <c r="C752" s="389">
        <f t="shared" ca="1" si="47"/>
        <v>6.4310105753341076E-2</v>
      </c>
      <c r="D752" s="390">
        <f t="shared" ca="1" si="48"/>
        <v>0.7139034701995024</v>
      </c>
      <c r="E752" s="391" cm="1">
        <f t="array" aca="1" ref="E752" ca="1">(SUMPRODUCT($B$13:$F$13*D752/(1+B752)^$B$14:$F$14)+($F$13*D752*(1+C752))/(B752-C752)/(1+B752)^$F$14-$B$15+$B$16)/$B$17</f>
        <v>954.34109054947396</v>
      </c>
      <c r="F752" s="304"/>
      <c r="G752" s="304"/>
      <c r="H752" s="304"/>
      <c r="I752" s="304"/>
      <c r="J752" s="304"/>
      <c r="K752" s="304"/>
      <c r="L752" s="304"/>
      <c r="M752" s="304"/>
      <c r="N752" s="304"/>
      <c r="O752" s="304"/>
      <c r="P752" s="304"/>
      <c r="Q752" s="304"/>
    </row>
    <row r="753" spans="1:17" ht="13.8" x14ac:dyDescent="0.3">
      <c r="A753" s="388">
        <f t="shared" si="45"/>
        <v>731</v>
      </c>
      <c r="B753" s="389">
        <f t="shared" ca="1" si="46"/>
        <v>0.12947686009054094</v>
      </c>
      <c r="C753" s="389">
        <f t="shared" ca="1" si="47"/>
        <v>6.0030718852404089E-2</v>
      </c>
      <c r="D753" s="390">
        <f t="shared" ca="1" si="48"/>
        <v>1.0921128416157442</v>
      </c>
      <c r="E753" s="391" cm="1">
        <f t="array" aca="1" ref="E753" ca="1">(SUMPRODUCT($B$13:$F$13*D753/(1+B753)^$B$14:$F$14)+($F$13*D753*(1+C753))/(B753-C753)/(1+B753)^$F$14-$B$15+$B$16)/$B$17</f>
        <v>1653.4757778309267</v>
      </c>
      <c r="F753" s="304"/>
      <c r="G753" s="304"/>
      <c r="H753" s="304"/>
      <c r="I753" s="304"/>
      <c r="J753" s="304"/>
      <c r="K753" s="304"/>
      <c r="L753" s="304"/>
      <c r="M753" s="304"/>
      <c r="N753" s="304"/>
      <c r="O753" s="304"/>
      <c r="P753" s="304"/>
      <c r="Q753" s="304"/>
    </row>
    <row r="754" spans="1:17" ht="13.8" x14ac:dyDescent="0.3">
      <c r="A754" s="388">
        <f t="shared" si="45"/>
        <v>732</v>
      </c>
      <c r="B754" s="389">
        <f t="shared" ca="1" si="46"/>
        <v>0.11070664702446173</v>
      </c>
      <c r="C754" s="389">
        <f t="shared" ca="1" si="47"/>
        <v>5.6406341825080357E-2</v>
      </c>
      <c r="D754" s="390">
        <f t="shared" ca="1" si="48"/>
        <v>1.0437906395873979</v>
      </c>
      <c r="E754" s="391" cm="1">
        <f t="array" aca="1" ref="E754" ca="1">(SUMPRODUCT($B$13:$F$13*D754/(1+B754)^$B$14:$F$14)+($F$13*D754*(1+C754))/(B754-C754)/(1+B754)^$F$14-$B$15+$B$16)/$B$17</f>
        <v>2080.1513040910468</v>
      </c>
      <c r="F754" s="304"/>
      <c r="G754" s="304"/>
      <c r="H754" s="304"/>
      <c r="I754" s="304"/>
      <c r="J754" s="304"/>
      <c r="K754" s="304"/>
      <c r="L754" s="304"/>
      <c r="M754" s="304"/>
      <c r="N754" s="304"/>
      <c r="O754" s="304"/>
      <c r="P754" s="304"/>
      <c r="Q754" s="304"/>
    </row>
    <row r="755" spans="1:17" ht="13.8" x14ac:dyDescent="0.3">
      <c r="A755" s="388">
        <f t="shared" si="45"/>
        <v>733</v>
      </c>
      <c r="B755" s="389">
        <f t="shared" ca="1" si="46"/>
        <v>0.12440711666877735</v>
      </c>
      <c r="C755" s="389">
        <f t="shared" ca="1" si="47"/>
        <v>4.6825090714674215E-2</v>
      </c>
      <c r="D755" s="390">
        <f t="shared" ca="1" si="48"/>
        <v>1.0412370871375713</v>
      </c>
      <c r="E755" s="391" cm="1">
        <f t="array" aca="1" ref="E755" ca="1">(SUMPRODUCT($B$13:$F$13*D755/(1+B755)^$B$14:$F$14)+($F$13*D755*(1+C755))/(B755-C755)/(1+B755)^$F$14-$B$15+$B$16)/$B$17</f>
        <v>1455.2374562357902</v>
      </c>
      <c r="F755" s="304"/>
      <c r="G755" s="304"/>
      <c r="H755" s="304"/>
      <c r="I755" s="304"/>
      <c r="J755" s="304"/>
      <c r="K755" s="304"/>
      <c r="L755" s="304"/>
      <c r="M755" s="304"/>
      <c r="N755" s="304"/>
      <c r="O755" s="304"/>
      <c r="P755" s="304"/>
      <c r="Q755" s="304"/>
    </row>
    <row r="756" spans="1:17" ht="13.8" x14ac:dyDescent="0.3">
      <c r="A756" s="388">
        <f t="shared" si="45"/>
        <v>734</v>
      </c>
      <c r="B756" s="389">
        <f t="shared" ca="1" si="46"/>
        <v>0.12034383844744864</v>
      </c>
      <c r="C756" s="389">
        <f t="shared" ca="1" si="47"/>
        <v>5.6606105362981843E-2</v>
      </c>
      <c r="D756" s="390">
        <f t="shared" ca="1" si="48"/>
        <v>0.92478928308140818</v>
      </c>
      <c r="E756" s="391" cm="1">
        <f t="array" aca="1" ref="E756" ca="1">(SUMPRODUCT($B$13:$F$13*D756/(1+B756)^$B$14:$F$14)+($F$13*D756*(1+C756))/(B756-C756)/(1+B756)^$F$14-$B$15+$B$16)/$B$17</f>
        <v>1545.5653238408868</v>
      </c>
      <c r="F756" s="304"/>
      <c r="G756" s="304"/>
      <c r="H756" s="304"/>
      <c r="I756" s="304"/>
      <c r="J756" s="304"/>
      <c r="K756" s="304"/>
      <c r="L756" s="304"/>
      <c r="M756" s="304"/>
      <c r="N756" s="304"/>
      <c r="O756" s="304"/>
      <c r="P756" s="304"/>
      <c r="Q756" s="304"/>
    </row>
    <row r="757" spans="1:17" ht="13.8" x14ac:dyDescent="0.3">
      <c r="A757" s="388">
        <f t="shared" si="45"/>
        <v>735</v>
      </c>
      <c r="B757" s="389">
        <f t="shared" ca="1" si="46"/>
        <v>0.11859208657232645</v>
      </c>
      <c r="C757" s="389">
        <f t="shared" ca="1" si="47"/>
        <v>4.6721283480209187E-2</v>
      </c>
      <c r="D757" s="390">
        <f t="shared" ca="1" si="48"/>
        <v>0.97785761127375614</v>
      </c>
      <c r="E757" s="391" cm="1">
        <f t="array" aca="1" ref="E757" ca="1">(SUMPRODUCT($B$13:$F$13*D757/(1+B757)^$B$14:$F$14)+($F$13*D757*(1+C757))/(B757-C757)/(1+B757)^$F$14-$B$15+$B$16)/$B$17</f>
        <v>1483.38976646325</v>
      </c>
      <c r="F757" s="304"/>
      <c r="G757" s="304"/>
      <c r="H757" s="304"/>
      <c r="I757" s="304"/>
      <c r="J757" s="304"/>
      <c r="K757" s="304"/>
      <c r="L757" s="304"/>
      <c r="M757" s="304"/>
      <c r="N757" s="304"/>
      <c r="O757" s="304"/>
      <c r="P757" s="304"/>
      <c r="Q757" s="304"/>
    </row>
    <row r="758" spans="1:17" ht="13.8" x14ac:dyDescent="0.3">
      <c r="A758" s="388">
        <f t="shared" si="45"/>
        <v>736</v>
      </c>
      <c r="B758" s="389">
        <f t="shared" ca="1" si="46"/>
        <v>0.10805613760828263</v>
      </c>
      <c r="C758" s="389">
        <f t="shared" ca="1" si="47"/>
        <v>5.2064854096457842E-2</v>
      </c>
      <c r="D758" s="390">
        <f t="shared" ca="1" si="48"/>
        <v>1.0761583069158875</v>
      </c>
      <c r="E758" s="391" cm="1">
        <f t="array" aca="1" ref="E758" ca="1">(SUMPRODUCT($B$13:$F$13*D758/(1+B758)^$B$14:$F$14)+($F$13*D758*(1+C758))/(B758-C758)/(1+B758)^$F$14-$B$15+$B$16)/$B$17</f>
        <v>2106.6136861691471</v>
      </c>
      <c r="F758" s="304"/>
      <c r="G758" s="304"/>
      <c r="H758" s="304"/>
      <c r="I758" s="304"/>
      <c r="J758" s="304"/>
      <c r="K758" s="304"/>
      <c r="L758" s="304"/>
      <c r="M758" s="304"/>
      <c r="N758" s="304"/>
      <c r="O758" s="304"/>
      <c r="P758" s="304"/>
      <c r="Q758" s="304"/>
    </row>
    <row r="759" spans="1:17" ht="13.8" x14ac:dyDescent="0.3">
      <c r="A759" s="388">
        <f t="shared" si="45"/>
        <v>737</v>
      </c>
      <c r="B759" s="389">
        <f t="shared" ca="1" si="46"/>
        <v>0.1353619491820662</v>
      </c>
      <c r="C759" s="389">
        <f t="shared" ca="1" si="47"/>
        <v>5.3618548355840727E-2</v>
      </c>
      <c r="D759" s="390">
        <f t="shared" ca="1" si="48"/>
        <v>0.90830950833716839</v>
      </c>
      <c r="E759" s="391" cm="1">
        <f t="array" aca="1" ref="E759" ca="1">(SUMPRODUCT($B$13:$F$13*D759/(1+B759)^$B$14:$F$14)+($F$13*D759*(1+C759))/(B759-C759)/(1+B759)^$F$14-$B$15+$B$16)/$B$17</f>
        <v>1167.1054952494474</v>
      </c>
      <c r="F759" s="304"/>
      <c r="G759" s="304"/>
      <c r="H759" s="304"/>
      <c r="I759" s="304"/>
      <c r="J759" s="304"/>
      <c r="K759" s="304"/>
      <c r="L759" s="304"/>
      <c r="M759" s="304"/>
      <c r="N759" s="304"/>
      <c r="O759" s="304"/>
      <c r="P759" s="304"/>
      <c r="Q759" s="304"/>
    </row>
    <row r="760" spans="1:17" ht="13.8" x14ac:dyDescent="0.3">
      <c r="A760" s="388">
        <f t="shared" si="45"/>
        <v>738</v>
      </c>
      <c r="B760" s="389">
        <f t="shared" ca="1" si="46"/>
        <v>0.13028869618333316</v>
      </c>
      <c r="C760" s="389">
        <f t="shared" ca="1" si="47"/>
        <v>4.9837746873989237E-2</v>
      </c>
      <c r="D760" s="390">
        <f t="shared" ca="1" si="48"/>
        <v>1.0131649580957722</v>
      </c>
      <c r="E760" s="391" cm="1">
        <f t="array" aca="1" ref="E760" ca="1">(SUMPRODUCT($B$13:$F$13*D760/(1+B760)^$B$14:$F$14)+($F$13*D760*(1+C760))/(B760-C760)/(1+B760)^$F$14-$B$15+$B$16)/$B$17</f>
        <v>1346.4418640869956</v>
      </c>
      <c r="F760" s="304"/>
      <c r="G760" s="304"/>
      <c r="H760" s="304"/>
      <c r="I760" s="304"/>
      <c r="J760" s="304"/>
      <c r="K760" s="304"/>
      <c r="L760" s="304"/>
      <c r="M760" s="304"/>
      <c r="N760" s="304"/>
      <c r="O760" s="304"/>
      <c r="P760" s="304"/>
      <c r="Q760" s="304"/>
    </row>
    <row r="761" spans="1:17" ht="13.8" x14ac:dyDescent="0.3">
      <c r="A761" s="388">
        <f t="shared" si="45"/>
        <v>739</v>
      </c>
      <c r="B761" s="389">
        <f t="shared" ca="1" si="46"/>
        <v>0.13270511017514097</v>
      </c>
      <c r="C761" s="389">
        <f t="shared" ca="1" si="47"/>
        <v>3.6702797877751714E-2</v>
      </c>
      <c r="D761" s="390">
        <f t="shared" ca="1" si="48"/>
        <v>1.1406506753533678</v>
      </c>
      <c r="E761" s="391" cm="1">
        <f t="array" aca="1" ref="E761" ca="1">(SUMPRODUCT($B$13:$F$13*D761/(1+B761)^$B$14:$F$14)+($F$13*D761*(1+C761))/(B761-C761)/(1+B761)^$F$14-$B$15+$B$16)/$B$17</f>
        <v>1304.6351670764507</v>
      </c>
      <c r="F761" s="304"/>
      <c r="G761" s="304"/>
      <c r="H761" s="304"/>
      <c r="I761" s="304"/>
      <c r="J761" s="304"/>
      <c r="K761" s="304"/>
      <c r="L761" s="304"/>
      <c r="M761" s="304"/>
      <c r="N761" s="304"/>
      <c r="O761" s="304"/>
      <c r="P761" s="304"/>
      <c r="Q761" s="304"/>
    </row>
    <row r="762" spans="1:17" ht="13.8" x14ac:dyDescent="0.3">
      <c r="A762" s="388">
        <f t="shared" si="45"/>
        <v>740</v>
      </c>
      <c r="B762" s="389">
        <f t="shared" ca="1" si="46"/>
        <v>0.10690079608710674</v>
      </c>
      <c r="C762" s="389">
        <f t="shared" ca="1" si="47"/>
        <v>5.1973913158116385E-2</v>
      </c>
      <c r="D762" s="390">
        <f t="shared" ca="1" si="48"/>
        <v>1.0177005322046482</v>
      </c>
      <c r="E762" s="391" cm="1">
        <f t="array" aca="1" ref="E762" ca="1">(SUMPRODUCT($B$13:$F$13*D762/(1+B762)^$B$14:$F$14)+($F$13*D762*(1+C762))/(B762-C762)/(1+B762)^$F$14-$B$15+$B$16)/$B$17</f>
        <v>2031.4984294982253</v>
      </c>
      <c r="F762" s="304"/>
      <c r="G762" s="304"/>
      <c r="H762" s="304"/>
      <c r="I762" s="304"/>
      <c r="J762" s="304"/>
      <c r="K762" s="304"/>
      <c r="L762" s="304"/>
      <c r="M762" s="304"/>
      <c r="N762" s="304"/>
      <c r="O762" s="304"/>
      <c r="P762" s="304"/>
      <c r="Q762" s="304"/>
    </row>
    <row r="763" spans="1:17" ht="13.8" x14ac:dyDescent="0.3">
      <c r="A763" s="388">
        <f t="shared" si="45"/>
        <v>741</v>
      </c>
      <c r="B763" s="389">
        <f t="shared" ca="1" si="46"/>
        <v>0.10848019556942708</v>
      </c>
      <c r="C763" s="389">
        <f t="shared" ca="1" si="47"/>
        <v>4.0442824017471582E-2</v>
      </c>
      <c r="D763" s="390">
        <f t="shared" ca="1" si="48"/>
        <v>0.98450574411409242</v>
      </c>
      <c r="E763" s="391" cm="1">
        <f t="array" aca="1" ref="E763" ca="1">(SUMPRODUCT($B$13:$F$13*D763/(1+B763)^$B$14:$F$14)+($F$13*D763*(1+C763))/(B763-C763)/(1+B763)^$F$14-$B$15+$B$16)/$B$17</f>
        <v>1618.375844522958</v>
      </c>
      <c r="F763" s="304"/>
      <c r="G763" s="304"/>
      <c r="H763" s="304"/>
      <c r="I763" s="304"/>
      <c r="J763" s="304"/>
      <c r="K763" s="304"/>
      <c r="L763" s="304"/>
      <c r="M763" s="304"/>
      <c r="N763" s="304"/>
      <c r="O763" s="304"/>
      <c r="P763" s="304"/>
      <c r="Q763" s="304"/>
    </row>
    <row r="764" spans="1:17" ht="13.8" x14ac:dyDescent="0.3">
      <c r="A764" s="388">
        <f t="shared" si="45"/>
        <v>742</v>
      </c>
      <c r="B764" s="389">
        <f t="shared" ca="1" si="46"/>
        <v>0.12621332697296825</v>
      </c>
      <c r="C764" s="389">
        <f t="shared" ca="1" si="47"/>
        <v>4.2971857217228564E-2</v>
      </c>
      <c r="D764" s="390">
        <f t="shared" ca="1" si="48"/>
        <v>1.0317678657215432</v>
      </c>
      <c r="E764" s="391" cm="1">
        <f t="array" aca="1" ref="E764" ca="1">(SUMPRODUCT($B$13:$F$13*D764/(1+B764)^$B$14:$F$14)+($F$13*D764*(1+C764))/(B764-C764)/(1+B764)^$F$14-$B$15+$B$16)/$B$17</f>
        <v>1350.5826802783799</v>
      </c>
      <c r="F764" s="304"/>
      <c r="G764" s="304"/>
      <c r="H764" s="304"/>
      <c r="I764" s="304"/>
      <c r="J764" s="304"/>
      <c r="K764" s="304"/>
      <c r="L764" s="304"/>
      <c r="M764" s="304"/>
      <c r="N764" s="304"/>
      <c r="O764" s="304"/>
      <c r="P764" s="304"/>
      <c r="Q764" s="304"/>
    </row>
    <row r="765" spans="1:17" ht="13.8" x14ac:dyDescent="0.3">
      <c r="A765" s="388">
        <f t="shared" si="45"/>
        <v>743</v>
      </c>
      <c r="B765" s="389">
        <f t="shared" ca="1" si="46"/>
        <v>0.12271410090278623</v>
      </c>
      <c r="C765" s="389">
        <f t="shared" ca="1" si="47"/>
        <v>5.0931011383298024E-2</v>
      </c>
      <c r="D765" s="390">
        <f t="shared" ca="1" si="48"/>
        <v>1.0597985735789579</v>
      </c>
      <c r="E765" s="391" cm="1">
        <f t="array" aca="1" ref="E765" ca="1">(SUMPRODUCT($B$13:$F$13*D765/(1+B765)^$B$14:$F$14)+($F$13*D765*(1+C765))/(B765-C765)/(1+B765)^$F$14-$B$15+$B$16)/$B$17</f>
        <v>1592.1772525841386</v>
      </c>
      <c r="F765" s="304"/>
      <c r="G765" s="304"/>
      <c r="H765" s="304"/>
      <c r="I765" s="304"/>
      <c r="J765" s="304"/>
      <c r="K765" s="304"/>
      <c r="L765" s="304"/>
      <c r="M765" s="304"/>
      <c r="N765" s="304"/>
      <c r="O765" s="304"/>
      <c r="P765" s="304"/>
      <c r="Q765" s="304"/>
    </row>
    <row r="766" spans="1:17" ht="13.8" x14ac:dyDescent="0.3">
      <c r="A766" s="388">
        <f t="shared" si="45"/>
        <v>744</v>
      </c>
      <c r="B766" s="389">
        <f t="shared" ca="1" si="46"/>
        <v>0.12841093161845937</v>
      </c>
      <c r="C766" s="389">
        <f t="shared" ca="1" si="47"/>
        <v>5.4422758825363973E-2</v>
      </c>
      <c r="D766" s="390">
        <f t="shared" ca="1" si="48"/>
        <v>1.0793524270300867</v>
      </c>
      <c r="E766" s="391" cm="1">
        <f t="array" aca="1" ref="E766" ca="1">(SUMPRODUCT($B$13:$F$13*D766/(1+B766)^$B$14:$F$14)+($F$13*D766*(1+C766))/(B766-C766)/(1+B766)^$F$14-$B$15+$B$16)/$B$17</f>
        <v>1552.5076093199746</v>
      </c>
      <c r="F766" s="304"/>
      <c r="G766" s="304"/>
      <c r="H766" s="304"/>
      <c r="I766" s="304"/>
      <c r="J766" s="304"/>
      <c r="K766" s="304"/>
      <c r="L766" s="304"/>
      <c r="M766" s="304"/>
      <c r="N766" s="304"/>
      <c r="O766" s="304"/>
      <c r="P766" s="304"/>
      <c r="Q766" s="304"/>
    </row>
    <row r="767" spans="1:17" ht="13.8" x14ac:dyDescent="0.3">
      <c r="A767" s="388">
        <f t="shared" si="45"/>
        <v>745</v>
      </c>
      <c r="B767" s="389">
        <f t="shared" ca="1" si="46"/>
        <v>0.1295121267381876</v>
      </c>
      <c r="C767" s="389">
        <f t="shared" ca="1" si="47"/>
        <v>5.648818610044358E-2</v>
      </c>
      <c r="D767" s="390">
        <f t="shared" ca="1" si="48"/>
        <v>1.0241806812217931</v>
      </c>
      <c r="E767" s="391" cm="1">
        <f t="array" aca="1" ref="E767" ca="1">(SUMPRODUCT($B$13:$F$13*D767/(1+B767)^$B$14:$F$14)+($F$13*D767*(1+C767))/(B767-C767)/(1+B767)^$F$14-$B$15+$B$16)/$B$17</f>
        <v>1482.1137170067177</v>
      </c>
      <c r="F767" s="304"/>
      <c r="G767" s="304"/>
      <c r="H767" s="304"/>
      <c r="I767" s="304"/>
      <c r="J767" s="304"/>
      <c r="K767" s="304"/>
      <c r="L767" s="304"/>
      <c r="M767" s="304"/>
      <c r="N767" s="304"/>
      <c r="O767" s="304"/>
      <c r="P767" s="304"/>
      <c r="Q767" s="304"/>
    </row>
    <row r="768" spans="1:17" ht="13.8" x14ac:dyDescent="0.3">
      <c r="A768" s="388">
        <f t="shared" si="45"/>
        <v>746</v>
      </c>
      <c r="B768" s="389">
        <f t="shared" ca="1" si="46"/>
        <v>0.1106189045537975</v>
      </c>
      <c r="C768" s="389">
        <f t="shared" ca="1" si="47"/>
        <v>5.3996036976692703E-2</v>
      </c>
      <c r="D768" s="390">
        <f t="shared" ca="1" si="48"/>
        <v>1.1263548997416064</v>
      </c>
      <c r="E768" s="391" cm="1">
        <f t="array" aca="1" ref="E768" ca="1">(SUMPRODUCT($B$13:$F$13*D768/(1+B768)^$B$14:$F$14)+($F$13*D768*(1+C768))/(B768-C768)/(1+B768)^$F$14-$B$15+$B$16)/$B$17</f>
        <v>2167.115179146419</v>
      </c>
      <c r="F768" s="304"/>
      <c r="G768" s="304"/>
      <c r="H768" s="304"/>
      <c r="I768" s="304"/>
      <c r="J768" s="304"/>
      <c r="K768" s="304"/>
      <c r="L768" s="304"/>
      <c r="M768" s="304"/>
      <c r="N768" s="304"/>
      <c r="O768" s="304"/>
      <c r="P768" s="304"/>
      <c r="Q768" s="304"/>
    </row>
    <row r="769" spans="1:17" ht="13.8" x14ac:dyDescent="0.3">
      <c r="A769" s="388">
        <f t="shared" si="45"/>
        <v>747</v>
      </c>
      <c r="B769" s="389">
        <f t="shared" ca="1" si="46"/>
        <v>0.1262345149952025</v>
      </c>
      <c r="C769" s="389">
        <f t="shared" ca="1" si="47"/>
        <v>5.861391608616446E-2</v>
      </c>
      <c r="D769" s="390">
        <f t="shared" ca="1" si="48"/>
        <v>1.0255060526229303</v>
      </c>
      <c r="E769" s="391" cm="1">
        <f t="array" aca="1" ref="E769" ca="1">(SUMPRODUCT($B$13:$F$13*D769/(1+B769)^$B$14:$F$14)+($F$13*D769*(1+C769))/(B769-C769)/(1+B769)^$F$14-$B$15+$B$16)/$B$17</f>
        <v>1602.323012169705</v>
      </c>
      <c r="F769" s="304"/>
      <c r="G769" s="304"/>
      <c r="H769" s="304"/>
      <c r="I769" s="304"/>
      <c r="J769" s="304"/>
      <c r="K769" s="304"/>
      <c r="L769" s="304"/>
      <c r="M769" s="304"/>
      <c r="N769" s="304"/>
      <c r="O769" s="304"/>
      <c r="P769" s="304"/>
      <c r="Q769" s="304"/>
    </row>
    <row r="770" spans="1:17" ht="13.8" x14ac:dyDescent="0.3">
      <c r="A770" s="388">
        <f t="shared" si="45"/>
        <v>748</v>
      </c>
      <c r="B770" s="389">
        <f t="shared" ca="1" si="46"/>
        <v>0.13906520389157295</v>
      </c>
      <c r="C770" s="389">
        <f t="shared" ca="1" si="47"/>
        <v>5.5000989613616727E-2</v>
      </c>
      <c r="D770" s="390">
        <f t="shared" ca="1" si="48"/>
        <v>1.1158028368911188</v>
      </c>
      <c r="E770" s="391" cm="1">
        <f t="array" aca="1" ref="E770" ca="1">(SUMPRODUCT($B$13:$F$13*D770/(1+B770)^$B$14:$F$14)+($F$13*D770*(1+C770))/(B770-C770)/(1+B770)^$F$14-$B$15+$B$16)/$B$17</f>
        <v>1394.8273921614154</v>
      </c>
      <c r="F770" s="304"/>
      <c r="G770" s="304"/>
      <c r="H770" s="304"/>
      <c r="I770" s="304"/>
      <c r="J770" s="304"/>
      <c r="K770" s="304"/>
      <c r="L770" s="304"/>
      <c r="M770" s="304"/>
      <c r="N770" s="304"/>
      <c r="O770" s="304"/>
      <c r="P770" s="304"/>
      <c r="Q770" s="304"/>
    </row>
    <row r="771" spans="1:17" ht="13.8" x14ac:dyDescent="0.3">
      <c r="A771" s="388">
        <f t="shared" si="45"/>
        <v>749</v>
      </c>
      <c r="B771" s="389">
        <f t="shared" ca="1" si="46"/>
        <v>0.11874181687247495</v>
      </c>
      <c r="C771" s="389">
        <f t="shared" ca="1" si="47"/>
        <v>4.1544134782369568E-2</v>
      </c>
      <c r="D771" s="390">
        <f t="shared" ca="1" si="48"/>
        <v>0.8841865396903007</v>
      </c>
      <c r="E771" s="391" cm="1">
        <f t="array" aca="1" ref="E771" ca="1">(SUMPRODUCT($B$13:$F$13*D771/(1+B771)^$B$14:$F$14)+($F$13*D771*(1+C771))/(B771-C771)/(1+B771)^$F$14-$B$15+$B$16)/$B$17</f>
        <v>1256.4906304011986</v>
      </c>
      <c r="F771" s="304"/>
      <c r="G771" s="304"/>
      <c r="H771" s="304"/>
      <c r="I771" s="304"/>
      <c r="J771" s="304"/>
      <c r="K771" s="304"/>
      <c r="L771" s="304"/>
      <c r="M771" s="304"/>
      <c r="N771" s="304"/>
      <c r="O771" s="304"/>
      <c r="P771" s="304"/>
      <c r="Q771" s="304"/>
    </row>
    <row r="772" spans="1:17" ht="13.8" x14ac:dyDescent="0.3">
      <c r="A772" s="388">
        <f t="shared" si="45"/>
        <v>750</v>
      </c>
      <c r="B772" s="389">
        <f t="shared" ca="1" si="46"/>
        <v>0.12650133134490912</v>
      </c>
      <c r="C772" s="389">
        <f t="shared" ca="1" si="47"/>
        <v>4.4128209537885321E-2</v>
      </c>
      <c r="D772" s="390">
        <f t="shared" ca="1" si="48"/>
        <v>1.1300581278802868</v>
      </c>
      <c r="E772" s="391" cm="1">
        <f t="array" aca="1" ref="E772" ca="1">(SUMPRODUCT($B$13:$F$13*D772/(1+B772)^$B$14:$F$14)+($F$13*D772*(1+C772))/(B772-C772)/(1+B772)^$F$14-$B$15+$B$16)/$B$17</f>
        <v>1495.4971263117227</v>
      </c>
      <c r="F772" s="304"/>
      <c r="G772" s="304"/>
      <c r="H772" s="304"/>
      <c r="I772" s="304"/>
      <c r="J772" s="304"/>
      <c r="K772" s="304"/>
      <c r="L772" s="304"/>
      <c r="M772" s="304"/>
      <c r="N772" s="304"/>
      <c r="O772" s="304"/>
      <c r="P772" s="304"/>
      <c r="Q772" s="304"/>
    </row>
    <row r="773" spans="1:17" ht="13.8" x14ac:dyDescent="0.3">
      <c r="A773" s="388">
        <f t="shared" si="45"/>
        <v>751</v>
      </c>
      <c r="B773" s="389">
        <f t="shared" ca="1" si="46"/>
        <v>0.11895128985333846</v>
      </c>
      <c r="C773" s="389">
        <f t="shared" ca="1" si="47"/>
        <v>4.6871159795139054E-2</v>
      </c>
      <c r="D773" s="390">
        <f t="shared" ca="1" si="48"/>
        <v>0.98215855908318528</v>
      </c>
      <c r="E773" s="391" cm="1">
        <f t="array" aca="1" ref="E773" ca="1">(SUMPRODUCT($B$13:$F$13*D773/(1+B773)^$B$14:$F$14)+($F$13*D773*(1+C773))/(B773-C773)/(1+B773)^$F$14-$B$15+$B$16)/$B$17</f>
        <v>1484.681843719784</v>
      </c>
      <c r="F773" s="304"/>
      <c r="G773" s="304"/>
      <c r="H773" s="304"/>
      <c r="I773" s="304"/>
      <c r="J773" s="304"/>
      <c r="K773" s="304"/>
      <c r="L773" s="304"/>
      <c r="M773" s="304"/>
      <c r="N773" s="304"/>
      <c r="O773" s="304"/>
      <c r="P773" s="304"/>
      <c r="Q773" s="304"/>
    </row>
    <row r="774" spans="1:17" ht="13.8" x14ac:dyDescent="0.3">
      <c r="A774" s="388">
        <f t="shared" si="45"/>
        <v>752</v>
      </c>
      <c r="B774" s="389">
        <f t="shared" ca="1" si="46"/>
        <v>0.10731690382447674</v>
      </c>
      <c r="C774" s="389">
        <f t="shared" ca="1" si="47"/>
        <v>3.8943852158490624E-2</v>
      </c>
      <c r="D774" s="390">
        <f t="shared" ca="1" si="48"/>
        <v>0.80240442381302801</v>
      </c>
      <c r="E774" s="391" cm="1">
        <f t="array" aca="1" ref="E774" ca="1">(SUMPRODUCT($B$13:$F$13*D774/(1+B774)^$B$14:$F$14)+($F$13*D774*(1+C774))/(B774-C774)/(1+B774)^$F$14-$B$15+$B$16)/$B$17</f>
        <v>1309.6055683714849</v>
      </c>
      <c r="F774" s="304"/>
      <c r="G774" s="304"/>
      <c r="H774" s="304"/>
      <c r="I774" s="304"/>
      <c r="J774" s="304"/>
      <c r="K774" s="304"/>
      <c r="L774" s="304"/>
      <c r="M774" s="304"/>
      <c r="N774" s="304"/>
      <c r="O774" s="304"/>
      <c r="P774" s="304"/>
      <c r="Q774" s="304"/>
    </row>
    <row r="775" spans="1:17" ht="13.8" x14ac:dyDescent="0.3">
      <c r="A775" s="388">
        <f t="shared" si="45"/>
        <v>753</v>
      </c>
      <c r="B775" s="389">
        <f t="shared" ca="1" si="46"/>
        <v>0.1336097653677874</v>
      </c>
      <c r="C775" s="389">
        <f t="shared" ca="1" si="47"/>
        <v>7.0265704161417961E-2</v>
      </c>
      <c r="D775" s="390">
        <f t="shared" ca="1" si="48"/>
        <v>1.0697404729352407</v>
      </c>
      <c r="E775" s="391" cm="1">
        <f t="array" aca="1" ref="E775" ca="1">(SUMPRODUCT($B$13:$F$13*D775/(1+B775)^$B$14:$F$14)+($F$13*D775*(1+C775))/(B775-C775)/(1+B775)^$F$14-$B$15+$B$16)/$B$17</f>
        <v>1729.9839805618178</v>
      </c>
      <c r="F775" s="304"/>
      <c r="G775" s="304"/>
      <c r="H775" s="304"/>
      <c r="I775" s="304"/>
      <c r="J775" s="304"/>
      <c r="K775" s="304"/>
      <c r="L775" s="304"/>
      <c r="M775" s="304"/>
      <c r="N775" s="304"/>
      <c r="O775" s="304"/>
      <c r="P775" s="304"/>
      <c r="Q775" s="304"/>
    </row>
    <row r="776" spans="1:17" ht="13.8" x14ac:dyDescent="0.3">
      <c r="A776" s="388">
        <f t="shared" si="45"/>
        <v>754</v>
      </c>
      <c r="B776" s="389">
        <f t="shared" ca="1" si="46"/>
        <v>0.12167228185473943</v>
      </c>
      <c r="C776" s="389">
        <f t="shared" ca="1" si="47"/>
        <v>3.7954609613219892E-2</v>
      </c>
      <c r="D776" s="390">
        <f t="shared" ca="1" si="48"/>
        <v>1.0811084163997329</v>
      </c>
      <c r="E776" s="391" cm="1">
        <f t="array" aca="1" ref="E776" ca="1">(SUMPRODUCT($B$13:$F$13*D776/(1+B776)^$B$14:$F$14)+($F$13*D776*(1+C776))/(B776-C776)/(1+B776)^$F$14-$B$15+$B$16)/$B$17</f>
        <v>1431.1978599209053</v>
      </c>
      <c r="F776" s="304"/>
      <c r="G776" s="304"/>
      <c r="H776" s="304"/>
      <c r="I776" s="304"/>
      <c r="J776" s="304"/>
      <c r="K776" s="304"/>
      <c r="L776" s="304"/>
      <c r="M776" s="304"/>
      <c r="N776" s="304"/>
      <c r="O776" s="304"/>
      <c r="P776" s="304"/>
      <c r="Q776" s="304"/>
    </row>
    <row r="777" spans="1:17" ht="13.8" x14ac:dyDescent="0.3">
      <c r="A777" s="388">
        <f t="shared" si="45"/>
        <v>755</v>
      </c>
      <c r="B777" s="389">
        <f t="shared" ca="1" si="46"/>
        <v>0.12007755680874584</v>
      </c>
      <c r="C777" s="389">
        <f t="shared" ca="1" si="47"/>
        <v>4.9208826539078029E-2</v>
      </c>
      <c r="D777" s="390">
        <f t="shared" ca="1" si="48"/>
        <v>1.0045223561106713</v>
      </c>
      <c r="E777" s="391" cm="1">
        <f t="array" aca="1" ref="E777" ca="1">(SUMPRODUCT($B$13:$F$13*D777/(1+B777)^$B$14:$F$14)+($F$13*D777*(1+C777))/(B777-C777)/(1+B777)^$F$14-$B$15+$B$16)/$B$17</f>
        <v>1536.3164318347435</v>
      </c>
      <c r="F777" s="304"/>
      <c r="G777" s="304"/>
      <c r="H777" s="304"/>
      <c r="I777" s="304"/>
      <c r="J777" s="304"/>
      <c r="K777" s="304"/>
      <c r="L777" s="304"/>
      <c r="M777" s="304"/>
      <c r="N777" s="304"/>
      <c r="O777" s="304"/>
      <c r="P777" s="304"/>
      <c r="Q777" s="304"/>
    </row>
    <row r="778" spans="1:17" ht="13.8" x14ac:dyDescent="0.3">
      <c r="A778" s="388">
        <f t="shared" si="45"/>
        <v>756</v>
      </c>
      <c r="B778" s="389">
        <f t="shared" ca="1" si="46"/>
        <v>0.11233876850623742</v>
      </c>
      <c r="C778" s="389">
        <f t="shared" ca="1" si="47"/>
        <v>4.9643561316518078E-2</v>
      </c>
      <c r="D778" s="390">
        <f t="shared" ca="1" si="48"/>
        <v>1.0276640852108192</v>
      </c>
      <c r="E778" s="391" cm="1">
        <f t="array" aca="1" ref="E778" ca="1">(SUMPRODUCT($B$13:$F$13*D778/(1+B778)^$B$14:$F$14)+($F$13*D778*(1+C778))/(B778-C778)/(1+B778)^$F$14-$B$15+$B$16)/$B$17</f>
        <v>1793.6469909901914</v>
      </c>
      <c r="F778" s="304"/>
      <c r="G778" s="304"/>
      <c r="H778" s="304"/>
      <c r="I778" s="304"/>
      <c r="J778" s="304"/>
      <c r="K778" s="304"/>
      <c r="L778" s="304"/>
      <c r="M778" s="304"/>
      <c r="N778" s="304"/>
      <c r="O778" s="304"/>
      <c r="P778" s="304"/>
      <c r="Q778" s="304"/>
    </row>
    <row r="779" spans="1:17" ht="13.8" x14ac:dyDescent="0.3">
      <c r="A779" s="388">
        <f t="shared" si="45"/>
        <v>757</v>
      </c>
      <c r="B779" s="389">
        <f t="shared" ca="1" si="46"/>
        <v>0.12591457052924085</v>
      </c>
      <c r="C779" s="389">
        <f t="shared" ca="1" si="47"/>
        <v>4.3793826517889024E-2</v>
      </c>
      <c r="D779" s="390">
        <f t="shared" ca="1" si="48"/>
        <v>1.0735505851120783</v>
      </c>
      <c r="E779" s="391" cm="1">
        <f t="array" aca="1" ref="E779" ca="1">(SUMPRODUCT($B$13:$F$13*D779/(1+B779)^$B$14:$F$14)+($F$13*D779*(1+C779))/(B779-C779)/(1+B779)^$F$14-$B$15+$B$16)/$B$17</f>
        <v>1424.6521558042737</v>
      </c>
      <c r="F779" s="304"/>
      <c r="G779" s="304"/>
      <c r="H779" s="304"/>
      <c r="I779" s="304"/>
      <c r="J779" s="304"/>
      <c r="K779" s="304"/>
      <c r="L779" s="304"/>
      <c r="M779" s="304"/>
      <c r="N779" s="304"/>
      <c r="O779" s="304"/>
      <c r="P779" s="304"/>
      <c r="Q779" s="304"/>
    </row>
    <row r="780" spans="1:17" ht="13.8" x14ac:dyDescent="0.3">
      <c r="A780" s="388">
        <f t="shared" si="45"/>
        <v>758</v>
      </c>
      <c r="B780" s="389">
        <f t="shared" ca="1" si="46"/>
        <v>0.13715670266814928</v>
      </c>
      <c r="C780" s="389">
        <f t="shared" ca="1" si="47"/>
        <v>4.4125100438671697E-2</v>
      </c>
      <c r="D780" s="390">
        <f t="shared" ca="1" si="48"/>
        <v>0.98705158358349565</v>
      </c>
      <c r="E780" s="391" cm="1">
        <f t="array" aca="1" ref="E780" ca="1">(SUMPRODUCT($B$13:$F$13*D780/(1+B780)^$B$14:$F$14)+($F$13*D780*(1+C780))/(B780-C780)/(1+B780)^$F$14-$B$15+$B$16)/$B$17</f>
        <v>1135.9291897338869</v>
      </c>
      <c r="F780" s="304"/>
      <c r="G780" s="304"/>
      <c r="H780" s="304"/>
      <c r="I780" s="304"/>
      <c r="J780" s="304"/>
      <c r="K780" s="304"/>
      <c r="L780" s="304"/>
      <c r="M780" s="304"/>
      <c r="N780" s="304"/>
      <c r="O780" s="304"/>
      <c r="P780" s="304"/>
      <c r="Q780" s="304"/>
    </row>
    <row r="781" spans="1:17" ht="13.8" x14ac:dyDescent="0.3">
      <c r="A781" s="388">
        <f t="shared" si="45"/>
        <v>759</v>
      </c>
      <c r="B781" s="389">
        <f t="shared" ca="1" si="46"/>
        <v>0.12566020797668928</v>
      </c>
      <c r="C781" s="389">
        <f t="shared" ca="1" si="47"/>
        <v>5.4836249013474628E-2</v>
      </c>
      <c r="D781" s="390">
        <f t="shared" ca="1" si="48"/>
        <v>0.94131597318388716</v>
      </c>
      <c r="E781" s="391" cm="1">
        <f t="array" aca="1" ref="E781" ca="1">(SUMPRODUCT($B$13:$F$13*D781/(1+B781)^$B$14:$F$14)+($F$13*D781*(1+C781))/(B781-C781)/(1+B781)^$F$14-$B$15+$B$16)/$B$17</f>
        <v>1411.8818958367533</v>
      </c>
      <c r="F781" s="304"/>
      <c r="G781" s="304"/>
      <c r="H781" s="304"/>
      <c r="I781" s="304"/>
      <c r="J781" s="304"/>
      <c r="K781" s="304"/>
      <c r="L781" s="304"/>
      <c r="M781" s="304"/>
      <c r="N781" s="304"/>
      <c r="O781" s="304"/>
      <c r="P781" s="304"/>
      <c r="Q781" s="304"/>
    </row>
    <row r="782" spans="1:17" ht="13.8" x14ac:dyDescent="0.3">
      <c r="A782" s="388">
        <f t="shared" si="45"/>
        <v>760</v>
      </c>
      <c r="B782" s="389">
        <f t="shared" ca="1" si="46"/>
        <v>0.13820065114857286</v>
      </c>
      <c r="C782" s="389">
        <f t="shared" ca="1" si="47"/>
        <v>4.564466262757149E-2</v>
      </c>
      <c r="D782" s="390">
        <f t="shared" ca="1" si="48"/>
        <v>1.1310951349263445</v>
      </c>
      <c r="E782" s="391" cm="1">
        <f t="array" aca="1" ref="E782" ca="1">(SUMPRODUCT($B$13:$F$13*D782/(1+B782)^$B$14:$F$14)+($F$13*D782*(1+C782))/(B782-C782)/(1+B782)^$F$14-$B$15+$B$16)/$B$17</f>
        <v>1309.870298665702</v>
      </c>
      <c r="F782" s="304"/>
      <c r="G782" s="304"/>
      <c r="H782" s="304"/>
      <c r="I782" s="304"/>
      <c r="J782" s="304"/>
      <c r="K782" s="304"/>
      <c r="L782" s="304"/>
      <c r="M782" s="304"/>
      <c r="N782" s="304"/>
      <c r="O782" s="304"/>
      <c r="P782" s="304"/>
      <c r="Q782" s="304"/>
    </row>
    <row r="783" spans="1:17" ht="13.8" x14ac:dyDescent="0.3">
      <c r="A783" s="388">
        <f t="shared" si="45"/>
        <v>761</v>
      </c>
      <c r="B783" s="389">
        <f t="shared" ca="1" si="46"/>
        <v>0.12476406649481971</v>
      </c>
      <c r="C783" s="389">
        <f t="shared" ca="1" si="47"/>
        <v>6.3193857492641295E-2</v>
      </c>
      <c r="D783" s="390">
        <f t="shared" ca="1" si="48"/>
        <v>0.96292710055165864</v>
      </c>
      <c r="E783" s="391" cm="1">
        <f t="array" aca="1" ref="E783" ca="1">(SUMPRODUCT($B$13:$F$13*D783/(1+B783)^$B$14:$F$14)+($F$13*D783*(1+C783))/(B783-C783)/(1+B783)^$F$14-$B$15+$B$16)/$B$17</f>
        <v>1637.3673548571469</v>
      </c>
      <c r="F783" s="304"/>
      <c r="G783" s="304"/>
      <c r="H783" s="304"/>
      <c r="I783" s="304"/>
      <c r="J783" s="304"/>
      <c r="K783" s="304"/>
      <c r="L783" s="304"/>
      <c r="M783" s="304"/>
      <c r="N783" s="304"/>
      <c r="O783" s="304"/>
      <c r="P783" s="304"/>
      <c r="Q783" s="304"/>
    </row>
    <row r="784" spans="1:17" ht="13.8" x14ac:dyDescent="0.3">
      <c r="A784" s="388">
        <f t="shared" si="45"/>
        <v>762</v>
      </c>
      <c r="B784" s="389">
        <f t="shared" ca="1" si="46"/>
        <v>9.8894100529645049E-2</v>
      </c>
      <c r="C784" s="389">
        <f t="shared" ca="1" si="47"/>
        <v>5.5045915867875217E-2</v>
      </c>
      <c r="D784" s="390">
        <f t="shared" ca="1" si="48"/>
        <v>0.88125611664333858</v>
      </c>
      <c r="E784" s="391" cm="1">
        <f t="array" aca="1" ref="E784" ca="1">(SUMPRODUCT($B$13:$F$13*D784/(1+B784)^$B$14:$F$14)+($F$13*D784*(1+C784))/(B784-C784)/(1+B784)^$F$14-$B$15+$B$16)/$B$17</f>
        <v>2206.0023062114137</v>
      </c>
      <c r="F784" s="304"/>
      <c r="G784" s="304"/>
      <c r="H784" s="304"/>
      <c r="I784" s="304"/>
      <c r="J784" s="304"/>
      <c r="K784" s="304"/>
      <c r="L784" s="304"/>
      <c r="M784" s="304"/>
      <c r="N784" s="304"/>
      <c r="O784" s="304"/>
      <c r="P784" s="304"/>
      <c r="Q784" s="304"/>
    </row>
    <row r="785" spans="1:17" ht="13.8" x14ac:dyDescent="0.3">
      <c r="A785" s="388">
        <f t="shared" si="45"/>
        <v>763</v>
      </c>
      <c r="B785" s="389">
        <f t="shared" ca="1" si="46"/>
        <v>0.12839289746909482</v>
      </c>
      <c r="C785" s="389">
        <f t="shared" ca="1" si="47"/>
        <v>4.8780623093027546E-2</v>
      </c>
      <c r="D785" s="390">
        <f t="shared" ca="1" si="48"/>
        <v>1.0475443052957729</v>
      </c>
      <c r="E785" s="391" cm="1">
        <f t="array" aca="1" ref="E785" ca="1">(SUMPRODUCT($B$13:$F$13*D785/(1+B785)^$B$14:$F$14)+($F$13*D785*(1+C785))/(B785-C785)/(1+B785)^$F$14-$B$15+$B$16)/$B$17</f>
        <v>1414.6046068733874</v>
      </c>
      <c r="F785" s="304"/>
      <c r="G785" s="304"/>
      <c r="H785" s="304"/>
      <c r="I785" s="304"/>
      <c r="J785" s="304"/>
      <c r="K785" s="304"/>
      <c r="L785" s="304"/>
      <c r="M785" s="304"/>
      <c r="N785" s="304"/>
      <c r="O785" s="304"/>
      <c r="P785" s="304"/>
      <c r="Q785" s="304"/>
    </row>
    <row r="786" spans="1:17" ht="13.8" x14ac:dyDescent="0.3">
      <c r="A786" s="388">
        <f t="shared" si="45"/>
        <v>764</v>
      </c>
      <c r="B786" s="389">
        <f t="shared" ca="1" si="46"/>
        <v>0.12789422615676227</v>
      </c>
      <c r="C786" s="389">
        <f t="shared" ca="1" si="47"/>
        <v>4.8059838068651162E-2</v>
      </c>
      <c r="D786" s="390">
        <f t="shared" ca="1" si="48"/>
        <v>0.83392017943563457</v>
      </c>
      <c r="E786" s="391" cm="1">
        <f t="array" aca="1" ref="E786" ca="1">(SUMPRODUCT($B$13:$F$13*D786/(1+B786)^$B$14:$F$14)+($F$13*D786*(1+C786))/(B786-C786)/(1+B786)^$F$14-$B$15+$B$16)/$B$17</f>
        <v>1115.5688077937223</v>
      </c>
      <c r="F786" s="304"/>
      <c r="G786" s="304"/>
      <c r="H786" s="304"/>
      <c r="I786" s="304"/>
      <c r="J786" s="304"/>
      <c r="K786" s="304"/>
      <c r="L786" s="304"/>
      <c r="M786" s="304"/>
      <c r="N786" s="304"/>
      <c r="O786" s="304"/>
      <c r="P786" s="304"/>
      <c r="Q786" s="304"/>
    </row>
    <row r="787" spans="1:17" ht="13.8" x14ac:dyDescent="0.3">
      <c r="A787" s="388">
        <f t="shared" si="45"/>
        <v>765</v>
      </c>
      <c r="B787" s="389">
        <f t="shared" ca="1" si="46"/>
        <v>0.11955674326246474</v>
      </c>
      <c r="C787" s="389">
        <f t="shared" ca="1" si="47"/>
        <v>5.1045760221359607E-2</v>
      </c>
      <c r="D787" s="390">
        <f t="shared" ca="1" si="48"/>
        <v>0.88223514029968464</v>
      </c>
      <c r="E787" s="391" cm="1">
        <f t="array" aca="1" ref="E787" ca="1">(SUMPRODUCT($B$13:$F$13*D787/(1+B787)^$B$14:$F$14)+($F$13*D787*(1+C787))/(B787-C787)/(1+B787)^$F$14-$B$15+$B$16)/$B$17</f>
        <v>1385.8313617676138</v>
      </c>
      <c r="F787" s="304"/>
      <c r="G787" s="304"/>
      <c r="H787" s="304"/>
      <c r="I787" s="304"/>
      <c r="J787" s="304"/>
      <c r="K787" s="304"/>
      <c r="L787" s="304"/>
      <c r="M787" s="304"/>
      <c r="N787" s="304"/>
      <c r="O787" s="304"/>
      <c r="P787" s="304"/>
      <c r="Q787" s="304"/>
    </row>
    <row r="788" spans="1:17" ht="13.8" x14ac:dyDescent="0.3">
      <c r="A788" s="388">
        <f t="shared" si="45"/>
        <v>766</v>
      </c>
      <c r="B788" s="389">
        <f t="shared" ca="1" si="46"/>
        <v>0.11442579470181909</v>
      </c>
      <c r="C788" s="389">
        <f t="shared" ca="1" si="47"/>
        <v>6.1860454203193381E-2</v>
      </c>
      <c r="D788" s="390">
        <f t="shared" ca="1" si="48"/>
        <v>1.1671250922479202</v>
      </c>
      <c r="E788" s="391" cm="1">
        <f t="array" aca="1" ref="E788" ca="1">(SUMPRODUCT($B$13:$F$13*D788/(1+B788)^$B$14:$F$14)+($F$13*D788*(1+C788))/(B788-C788)/(1+B788)^$F$14-$B$15+$B$16)/$B$17</f>
        <v>2371.0379258453204</v>
      </c>
      <c r="F788" s="304"/>
      <c r="G788" s="304"/>
      <c r="H788" s="304"/>
      <c r="I788" s="304"/>
      <c r="J788" s="304"/>
      <c r="K788" s="304"/>
      <c r="L788" s="304"/>
      <c r="M788" s="304"/>
      <c r="N788" s="304"/>
      <c r="O788" s="304"/>
      <c r="P788" s="304"/>
      <c r="Q788" s="304"/>
    </row>
    <row r="789" spans="1:17" ht="13.8" x14ac:dyDescent="0.3">
      <c r="A789" s="388">
        <f t="shared" si="45"/>
        <v>767</v>
      </c>
      <c r="B789" s="389">
        <f t="shared" ca="1" si="46"/>
        <v>0.10537094462285265</v>
      </c>
      <c r="C789" s="389">
        <f t="shared" ca="1" si="47"/>
        <v>3.4227773772226397E-2</v>
      </c>
      <c r="D789" s="390">
        <f t="shared" ca="1" si="48"/>
        <v>1.0686858096129339</v>
      </c>
      <c r="E789" s="391" cm="1">
        <f t="array" aca="1" ref="E789" ca="1">(SUMPRODUCT($B$13:$F$13*D789/(1+B789)^$B$14:$F$14)+($F$13*D789*(1+C789))/(B789-C789)/(1+B789)^$F$14-$B$15+$B$16)/$B$17</f>
        <v>1711.4725608556444</v>
      </c>
      <c r="F789" s="304"/>
      <c r="G789" s="304"/>
      <c r="H789" s="304"/>
      <c r="I789" s="304"/>
      <c r="J789" s="304"/>
      <c r="K789" s="304"/>
      <c r="L789" s="304"/>
      <c r="M789" s="304"/>
      <c r="N789" s="304"/>
      <c r="O789" s="304"/>
      <c r="P789" s="304"/>
      <c r="Q789" s="304"/>
    </row>
    <row r="790" spans="1:17" ht="13.8" x14ac:dyDescent="0.3">
      <c r="A790" s="388">
        <f t="shared" si="45"/>
        <v>768</v>
      </c>
      <c r="B790" s="389">
        <f t="shared" ca="1" si="46"/>
        <v>0.12694294565823011</v>
      </c>
      <c r="C790" s="389">
        <f t="shared" ca="1" si="47"/>
        <v>4.7949460364938322E-2</v>
      </c>
      <c r="D790" s="390">
        <f t="shared" ca="1" si="48"/>
        <v>0.99271229111101178</v>
      </c>
      <c r="E790" s="391" cm="1">
        <f t="array" aca="1" ref="E790" ca="1">(SUMPRODUCT($B$13:$F$13*D790/(1+B790)^$B$14:$F$14)+($F$13*D790*(1+C790))/(B790-C790)/(1+B790)^$F$14-$B$15+$B$16)/$B$17</f>
        <v>1353.1752763730387</v>
      </c>
      <c r="F790" s="304"/>
      <c r="G790" s="304"/>
      <c r="H790" s="304"/>
      <c r="I790" s="304"/>
      <c r="J790" s="304"/>
      <c r="K790" s="304"/>
      <c r="L790" s="304"/>
      <c r="M790" s="304"/>
      <c r="N790" s="304"/>
      <c r="O790" s="304"/>
      <c r="P790" s="304"/>
      <c r="Q790" s="304"/>
    </row>
    <row r="791" spans="1:17" ht="13.8" x14ac:dyDescent="0.3">
      <c r="A791" s="388">
        <f t="shared" si="45"/>
        <v>769</v>
      </c>
      <c r="B791" s="389">
        <f t="shared" ca="1" si="46"/>
        <v>0.13823819228285986</v>
      </c>
      <c r="C791" s="389">
        <f t="shared" ca="1" si="47"/>
        <v>4.487713269944537E-2</v>
      </c>
      <c r="D791" s="390">
        <f t="shared" ca="1" si="48"/>
        <v>1.1237220498376757</v>
      </c>
      <c r="E791" s="391" cm="1">
        <f t="array" aca="1" ref="E791" ca="1">(SUMPRODUCT($B$13:$F$13*D791/(1+B791)^$B$14:$F$14)+($F$13*D791*(1+C791))/(B791-C791)/(1+B791)^$F$14-$B$15+$B$16)/$B$17</f>
        <v>1291.6639454124693</v>
      </c>
      <c r="F791" s="304"/>
      <c r="G791" s="304"/>
      <c r="H791" s="304"/>
      <c r="I791" s="304"/>
      <c r="J791" s="304"/>
      <c r="K791" s="304"/>
      <c r="L791" s="304"/>
      <c r="M791" s="304"/>
      <c r="N791" s="304"/>
      <c r="O791" s="304"/>
      <c r="P791" s="304"/>
      <c r="Q791" s="304"/>
    </row>
    <row r="792" spans="1:17" ht="13.8" x14ac:dyDescent="0.3">
      <c r="A792" s="388">
        <f t="shared" ref="A792:A855" si="49">ROW()-22</f>
        <v>770</v>
      </c>
      <c r="B792" s="389">
        <f t="shared" ref="B792:B855" ca="1" si="50">_xlfn.NORM.INV(RAND(),$B$6,$C$6)</f>
        <v>0.13241245398412235</v>
      </c>
      <c r="C792" s="389">
        <f t="shared" ref="C792:C855" ca="1" si="51">MIN(_xlfn.NORM.INV(RAND(),$B$7,$C$7),B792-0.005)</f>
        <v>4.9986857118628922E-2</v>
      </c>
      <c r="D792" s="390">
        <f t="shared" ref="D792:D855" ca="1" si="52">_xlfn.NORM.INV(RAND(),$B$8,$C$8)</f>
        <v>1.2064384037373723</v>
      </c>
      <c r="E792" s="391" cm="1">
        <f t="array" aca="1" ref="E792" ca="1">(SUMPRODUCT($B$13:$F$13*D792/(1+B792)^$B$14:$F$14)+($F$13*D792*(1+C792))/(B792-C792)/(1+B792)^$F$14-$B$15+$B$16)/$B$17</f>
        <v>1569.4050748960192</v>
      </c>
      <c r="F792" s="304"/>
      <c r="G792" s="304"/>
      <c r="H792" s="304"/>
      <c r="I792" s="304"/>
      <c r="J792" s="304"/>
      <c r="K792" s="304"/>
      <c r="L792" s="304"/>
      <c r="M792" s="304"/>
      <c r="N792" s="304"/>
      <c r="O792" s="304"/>
      <c r="P792" s="304"/>
      <c r="Q792" s="304"/>
    </row>
    <row r="793" spans="1:17" ht="13.8" x14ac:dyDescent="0.3">
      <c r="A793" s="388">
        <f t="shared" si="49"/>
        <v>771</v>
      </c>
      <c r="B793" s="389">
        <f t="shared" ca="1" si="50"/>
        <v>0.12059094029507829</v>
      </c>
      <c r="C793" s="389">
        <f t="shared" ca="1" si="51"/>
        <v>5.1758816782101209E-2</v>
      </c>
      <c r="D793" s="390">
        <f t="shared" ca="1" si="52"/>
        <v>1.113091054866727</v>
      </c>
      <c r="E793" s="391" cm="1">
        <f t="array" aca="1" ref="E793" ca="1">(SUMPRODUCT($B$13:$F$13*D793/(1+B793)^$B$14:$F$14)+($F$13*D793*(1+C793))/(B793-C793)/(1+B793)^$F$14-$B$15+$B$16)/$B$17</f>
        <v>1748.0009496073815</v>
      </c>
      <c r="F793" s="304"/>
      <c r="G793" s="304"/>
      <c r="H793" s="304"/>
      <c r="I793" s="304"/>
      <c r="J793" s="304"/>
      <c r="K793" s="304"/>
      <c r="L793" s="304"/>
      <c r="M793" s="304"/>
      <c r="N793" s="304"/>
      <c r="O793" s="304"/>
      <c r="P793" s="304"/>
      <c r="Q793" s="304"/>
    </row>
    <row r="794" spans="1:17" ht="13.8" x14ac:dyDescent="0.3">
      <c r="A794" s="388">
        <f t="shared" si="49"/>
        <v>772</v>
      </c>
      <c r="B794" s="389">
        <f t="shared" ca="1" si="50"/>
        <v>0.13142160211064133</v>
      </c>
      <c r="C794" s="389">
        <f t="shared" ca="1" si="51"/>
        <v>4.5007822938396648E-2</v>
      </c>
      <c r="D794" s="390">
        <f t="shared" ca="1" si="52"/>
        <v>1.0635522953809062</v>
      </c>
      <c r="E794" s="391" cm="1">
        <f t="array" aca="1" ref="E794" ca="1">(SUMPRODUCT($B$13:$F$13*D794/(1+B794)^$B$14:$F$14)+($F$13*D794*(1+C794))/(B794-C794)/(1+B794)^$F$14-$B$15+$B$16)/$B$17</f>
        <v>1328.6754905444927</v>
      </c>
      <c r="F794" s="304"/>
      <c r="G794" s="304"/>
      <c r="H794" s="304"/>
      <c r="I794" s="304"/>
      <c r="J794" s="304"/>
      <c r="K794" s="304"/>
      <c r="L794" s="304"/>
      <c r="M794" s="304"/>
      <c r="N794" s="304"/>
      <c r="O794" s="304"/>
      <c r="P794" s="304"/>
      <c r="Q794" s="304"/>
    </row>
    <row r="795" spans="1:17" ht="13.8" x14ac:dyDescent="0.3">
      <c r="A795" s="388">
        <f t="shared" si="49"/>
        <v>773</v>
      </c>
      <c r="B795" s="389">
        <f t="shared" ca="1" si="50"/>
        <v>0.12196400296074862</v>
      </c>
      <c r="C795" s="389">
        <f t="shared" ca="1" si="51"/>
        <v>5.5856825082871195E-2</v>
      </c>
      <c r="D795" s="390">
        <f t="shared" ca="1" si="52"/>
        <v>1.0010619445565374</v>
      </c>
      <c r="E795" s="391" cm="1">
        <f t="array" aca="1" ref="E795" ca="1">(SUMPRODUCT($B$13:$F$13*D795/(1+B795)^$B$14:$F$14)+($F$13*D795*(1+C795))/(B795-C795)/(1+B795)^$F$14-$B$15+$B$16)/$B$17</f>
        <v>1615.9999935524104</v>
      </c>
      <c r="F795" s="304"/>
      <c r="G795" s="304"/>
      <c r="H795" s="304"/>
      <c r="I795" s="304"/>
      <c r="J795" s="304"/>
      <c r="K795" s="304"/>
      <c r="L795" s="304"/>
      <c r="M795" s="304"/>
      <c r="N795" s="304"/>
      <c r="O795" s="304"/>
      <c r="P795" s="304"/>
      <c r="Q795" s="304"/>
    </row>
    <row r="796" spans="1:17" ht="13.8" x14ac:dyDescent="0.3">
      <c r="A796" s="388">
        <f t="shared" si="49"/>
        <v>774</v>
      </c>
      <c r="B796" s="389">
        <f t="shared" ca="1" si="50"/>
        <v>0.11653250773669795</v>
      </c>
      <c r="C796" s="389">
        <f t="shared" ca="1" si="51"/>
        <v>5.9343926274810575E-2</v>
      </c>
      <c r="D796" s="390">
        <f t="shared" ca="1" si="52"/>
        <v>1.132101562814122</v>
      </c>
      <c r="E796" s="391" cm="1">
        <f t="array" aca="1" ref="E796" ca="1">(SUMPRODUCT($B$13:$F$13*D796/(1+B796)^$B$14:$F$14)+($F$13*D796*(1+C796))/(B796-C796)/(1+B796)^$F$14-$B$15+$B$16)/$B$17</f>
        <v>2118.328414342418</v>
      </c>
      <c r="F796" s="304"/>
      <c r="G796" s="304"/>
      <c r="H796" s="304"/>
      <c r="I796" s="304"/>
      <c r="J796" s="304"/>
      <c r="K796" s="304"/>
      <c r="L796" s="304"/>
      <c r="M796" s="304"/>
      <c r="N796" s="304"/>
      <c r="O796" s="304"/>
      <c r="P796" s="304"/>
      <c r="Q796" s="304"/>
    </row>
    <row r="797" spans="1:17" ht="13.8" x14ac:dyDescent="0.3">
      <c r="A797" s="388">
        <f t="shared" si="49"/>
        <v>775</v>
      </c>
      <c r="B797" s="389">
        <f t="shared" ca="1" si="50"/>
        <v>0.11631083823683315</v>
      </c>
      <c r="C797" s="389">
        <f t="shared" ca="1" si="51"/>
        <v>6.0715291767366578E-2</v>
      </c>
      <c r="D797" s="390">
        <f t="shared" ca="1" si="52"/>
        <v>0.9664762665483918</v>
      </c>
      <c r="E797" s="391" cm="1">
        <f t="array" aca="1" ref="E797" ca="1">(SUMPRODUCT($B$13:$F$13*D797/(1+B797)^$B$14:$F$14)+($F$13*D797*(1+C797))/(B797-C797)/(1+B797)^$F$14-$B$15+$B$16)/$B$17</f>
        <v>1848.5417398714142</v>
      </c>
      <c r="F797" s="304"/>
      <c r="G797" s="304"/>
      <c r="H797" s="304"/>
      <c r="I797" s="304"/>
      <c r="J797" s="304"/>
      <c r="K797" s="304"/>
      <c r="L797" s="304"/>
      <c r="M797" s="304"/>
      <c r="N797" s="304"/>
      <c r="O797" s="304"/>
      <c r="P797" s="304"/>
      <c r="Q797" s="304"/>
    </row>
    <row r="798" spans="1:17" ht="13.8" x14ac:dyDescent="0.3">
      <c r="A798" s="388">
        <f t="shared" si="49"/>
        <v>776</v>
      </c>
      <c r="B798" s="389">
        <f t="shared" ca="1" si="50"/>
        <v>0.12371355939002286</v>
      </c>
      <c r="C798" s="389">
        <f t="shared" ca="1" si="51"/>
        <v>5.7421063003606276E-2</v>
      </c>
      <c r="D798" s="390">
        <f t="shared" ca="1" si="52"/>
        <v>0.96513978594737704</v>
      </c>
      <c r="E798" s="391" cm="1">
        <f t="array" aca="1" ref="E798" ca="1">(SUMPRODUCT($B$13:$F$13*D798/(1+B798)^$B$14:$F$14)+($F$13*D798*(1+C798))/(B798-C798)/(1+B798)^$F$14-$B$15+$B$16)/$B$17</f>
        <v>1543.8058994048904</v>
      </c>
      <c r="F798" s="304"/>
      <c r="G798" s="304"/>
      <c r="H798" s="304"/>
      <c r="I798" s="304"/>
      <c r="J798" s="304"/>
      <c r="K798" s="304"/>
      <c r="L798" s="304"/>
      <c r="M798" s="304"/>
      <c r="N798" s="304"/>
      <c r="O798" s="304"/>
      <c r="P798" s="304"/>
      <c r="Q798" s="304"/>
    </row>
    <row r="799" spans="1:17" ht="13.8" x14ac:dyDescent="0.3">
      <c r="A799" s="388">
        <f t="shared" si="49"/>
        <v>777</v>
      </c>
      <c r="B799" s="389">
        <f t="shared" ca="1" si="50"/>
        <v>0.13670339788558364</v>
      </c>
      <c r="C799" s="389">
        <f t="shared" ca="1" si="51"/>
        <v>5.3283977858291878E-2</v>
      </c>
      <c r="D799" s="390">
        <f t="shared" ca="1" si="52"/>
        <v>1.282972908219695</v>
      </c>
      <c r="E799" s="391" cm="1">
        <f t="array" aca="1" ref="E799" ca="1">(SUMPRODUCT($B$13:$F$13*D799/(1+B799)^$B$14:$F$14)+($F$13*D799*(1+C799))/(B799-C799)/(1+B799)^$F$14-$B$15+$B$16)/$B$17</f>
        <v>1633.2645217312013</v>
      </c>
      <c r="F799" s="304"/>
      <c r="G799" s="304"/>
      <c r="H799" s="304"/>
      <c r="I799" s="304"/>
      <c r="J799" s="304"/>
      <c r="K799" s="304"/>
      <c r="L799" s="304"/>
      <c r="M799" s="304"/>
      <c r="N799" s="304"/>
      <c r="O799" s="304"/>
      <c r="P799" s="304"/>
      <c r="Q799" s="304"/>
    </row>
    <row r="800" spans="1:17" ht="13.8" x14ac:dyDescent="0.3">
      <c r="A800" s="388">
        <f t="shared" si="49"/>
        <v>778</v>
      </c>
      <c r="B800" s="389">
        <f t="shared" ca="1" si="50"/>
        <v>0.13415503168676249</v>
      </c>
      <c r="C800" s="389">
        <f t="shared" ca="1" si="51"/>
        <v>4.5739346760476085E-2</v>
      </c>
      <c r="D800" s="390">
        <f t="shared" ca="1" si="52"/>
        <v>1.166192783191716</v>
      </c>
      <c r="E800" s="391" cm="1">
        <f t="array" aca="1" ref="E800" ca="1">(SUMPRODUCT($B$13:$F$13*D800/(1+B800)^$B$14:$F$14)+($F$13*D800*(1+C800))/(B800-C800)/(1+B800)^$F$14-$B$15+$B$16)/$B$17</f>
        <v>1421.7615862458745</v>
      </c>
      <c r="F800" s="304"/>
      <c r="G800" s="304"/>
      <c r="H800" s="304"/>
      <c r="I800" s="304"/>
      <c r="J800" s="304"/>
      <c r="K800" s="304"/>
      <c r="L800" s="304"/>
      <c r="M800" s="304"/>
      <c r="N800" s="304"/>
      <c r="O800" s="304"/>
      <c r="P800" s="304"/>
      <c r="Q800" s="304"/>
    </row>
    <row r="801" spans="1:17" ht="13.8" x14ac:dyDescent="0.3">
      <c r="A801" s="388">
        <f t="shared" si="49"/>
        <v>779</v>
      </c>
      <c r="B801" s="389">
        <f t="shared" ca="1" si="50"/>
        <v>0.12736323870504937</v>
      </c>
      <c r="C801" s="389">
        <f t="shared" ca="1" si="51"/>
        <v>5.7481565461263026E-2</v>
      </c>
      <c r="D801" s="390">
        <f t="shared" ca="1" si="52"/>
        <v>0.91235324886574665</v>
      </c>
      <c r="E801" s="391" cm="1">
        <f t="array" aca="1" ref="E801" ca="1">(SUMPRODUCT($B$13:$F$13*D801/(1+B801)^$B$14:$F$14)+($F$13*D801*(1+C801))/(B801-C801)/(1+B801)^$F$14-$B$15+$B$16)/$B$17</f>
        <v>1375.3627621220219</v>
      </c>
      <c r="F801" s="304"/>
      <c r="G801" s="304"/>
      <c r="H801" s="304"/>
      <c r="I801" s="304"/>
      <c r="J801" s="304"/>
      <c r="K801" s="304"/>
      <c r="L801" s="304"/>
      <c r="M801" s="304"/>
      <c r="N801" s="304"/>
      <c r="O801" s="304"/>
      <c r="P801" s="304"/>
      <c r="Q801" s="304"/>
    </row>
    <row r="802" spans="1:17" ht="13.8" x14ac:dyDescent="0.3">
      <c r="A802" s="388">
        <f t="shared" si="49"/>
        <v>780</v>
      </c>
      <c r="B802" s="389">
        <f t="shared" ca="1" si="50"/>
        <v>0.13223006302760992</v>
      </c>
      <c r="C802" s="389">
        <f t="shared" ca="1" si="51"/>
        <v>3.1215649757551187E-2</v>
      </c>
      <c r="D802" s="390">
        <f t="shared" ca="1" si="52"/>
        <v>0.98421908960845794</v>
      </c>
      <c r="E802" s="391" cm="1">
        <f t="array" aca="1" ref="E802" ca="1">(SUMPRODUCT($B$13:$F$13*D802/(1+B802)^$B$14:$F$14)+($F$13*D802*(1+C802))/(B802-C802)/(1+B802)^$F$14-$B$15+$B$16)/$B$17</f>
        <v>1075.2549854286281</v>
      </c>
      <c r="F802" s="304"/>
      <c r="G802" s="304"/>
      <c r="H802" s="304"/>
      <c r="I802" s="304"/>
      <c r="J802" s="304"/>
      <c r="K802" s="304"/>
      <c r="L802" s="304"/>
      <c r="M802" s="304"/>
      <c r="N802" s="304"/>
      <c r="O802" s="304"/>
      <c r="P802" s="304"/>
      <c r="Q802" s="304"/>
    </row>
    <row r="803" spans="1:17" ht="13.8" x14ac:dyDescent="0.3">
      <c r="A803" s="388">
        <f t="shared" si="49"/>
        <v>781</v>
      </c>
      <c r="B803" s="389">
        <f t="shared" ca="1" si="50"/>
        <v>0.12655180344745726</v>
      </c>
      <c r="C803" s="389">
        <f t="shared" ca="1" si="51"/>
        <v>4.4404808094741816E-2</v>
      </c>
      <c r="D803" s="390">
        <f t="shared" ca="1" si="52"/>
        <v>0.86567024908986423</v>
      </c>
      <c r="E803" s="391" cm="1">
        <f t="array" aca="1" ref="E803" ca="1">(SUMPRODUCT($B$13:$F$13*D803/(1+B803)^$B$14:$F$14)+($F$13*D803*(1+C803))/(B803-C803)/(1+B803)^$F$14-$B$15+$B$16)/$B$17</f>
        <v>1136.9528916045108</v>
      </c>
      <c r="F803" s="304"/>
      <c r="G803" s="304"/>
      <c r="H803" s="304"/>
      <c r="I803" s="304"/>
      <c r="J803" s="304"/>
      <c r="K803" s="304"/>
      <c r="L803" s="304"/>
      <c r="M803" s="304"/>
      <c r="N803" s="304"/>
      <c r="O803" s="304"/>
      <c r="P803" s="304"/>
      <c r="Q803" s="304"/>
    </row>
    <row r="804" spans="1:17" ht="13.8" x14ac:dyDescent="0.3">
      <c r="A804" s="388">
        <f t="shared" si="49"/>
        <v>782</v>
      </c>
      <c r="B804" s="389">
        <f t="shared" ca="1" si="50"/>
        <v>0.13009644752586244</v>
      </c>
      <c r="C804" s="389">
        <f t="shared" ca="1" si="51"/>
        <v>4.2607110300867904E-2</v>
      </c>
      <c r="D804" s="390">
        <f t="shared" ca="1" si="52"/>
        <v>1.1790694076874633</v>
      </c>
      <c r="E804" s="391" cm="1">
        <f t="array" aca="1" ref="E804" ca="1">(SUMPRODUCT($B$13:$F$13*D804/(1+B804)^$B$14:$F$14)+($F$13*D804*(1+C804))/(B804-C804)/(1+B804)^$F$14-$B$15+$B$16)/$B$17</f>
        <v>1469.1780578762223</v>
      </c>
      <c r="F804" s="304"/>
      <c r="G804" s="304"/>
      <c r="H804" s="304"/>
      <c r="I804" s="304"/>
      <c r="J804" s="304"/>
      <c r="K804" s="304"/>
      <c r="L804" s="304"/>
      <c r="M804" s="304"/>
      <c r="N804" s="304"/>
      <c r="O804" s="304"/>
      <c r="P804" s="304"/>
      <c r="Q804" s="304"/>
    </row>
    <row r="805" spans="1:17" ht="13.8" x14ac:dyDescent="0.3">
      <c r="A805" s="388">
        <f t="shared" si="49"/>
        <v>783</v>
      </c>
      <c r="B805" s="389">
        <f t="shared" ca="1" si="50"/>
        <v>0.13179706835843855</v>
      </c>
      <c r="C805" s="389">
        <f t="shared" ca="1" si="51"/>
        <v>5.5542027338265375E-2</v>
      </c>
      <c r="D805" s="390">
        <f t="shared" ca="1" si="52"/>
        <v>1.0355394915294711</v>
      </c>
      <c r="E805" s="391" cm="1">
        <f t="array" aca="1" ref="E805" ca="1">(SUMPRODUCT($B$13:$F$13*D805/(1+B805)^$B$14:$F$14)+($F$13*D805*(1+C805))/(B805-C805)/(1+B805)^$F$14-$B$15+$B$16)/$B$17</f>
        <v>1434.2681623923381</v>
      </c>
      <c r="F805" s="304"/>
      <c r="G805" s="304"/>
      <c r="H805" s="304"/>
      <c r="I805" s="304"/>
      <c r="J805" s="304"/>
      <c r="K805" s="304"/>
      <c r="L805" s="304"/>
      <c r="M805" s="304"/>
      <c r="N805" s="304"/>
      <c r="O805" s="304"/>
      <c r="P805" s="304"/>
      <c r="Q805" s="304"/>
    </row>
    <row r="806" spans="1:17" ht="13.8" x14ac:dyDescent="0.3">
      <c r="A806" s="388">
        <f t="shared" si="49"/>
        <v>784</v>
      </c>
      <c r="B806" s="389">
        <f t="shared" ca="1" si="50"/>
        <v>0.12195850751954454</v>
      </c>
      <c r="C806" s="389">
        <f t="shared" ca="1" si="51"/>
        <v>4.4222855799035531E-2</v>
      </c>
      <c r="D806" s="390">
        <f t="shared" ca="1" si="52"/>
        <v>0.92675359013848591</v>
      </c>
      <c r="E806" s="391" cm="1">
        <f t="array" aca="1" ref="E806" ca="1">(SUMPRODUCT($B$13:$F$13*D806/(1+B806)^$B$14:$F$14)+($F$13*D806*(1+C806))/(B806-C806)/(1+B806)^$F$14-$B$15+$B$16)/$B$17</f>
        <v>1297.9877140492388</v>
      </c>
      <c r="F806" s="304"/>
      <c r="G806" s="304"/>
      <c r="H806" s="304"/>
      <c r="I806" s="304"/>
      <c r="J806" s="304"/>
      <c r="K806" s="304"/>
      <c r="L806" s="304"/>
      <c r="M806" s="304"/>
      <c r="N806" s="304"/>
      <c r="O806" s="304"/>
      <c r="P806" s="304"/>
      <c r="Q806" s="304"/>
    </row>
    <row r="807" spans="1:17" ht="13.8" x14ac:dyDescent="0.3">
      <c r="A807" s="388">
        <f t="shared" si="49"/>
        <v>785</v>
      </c>
      <c r="B807" s="389">
        <f t="shared" ca="1" si="50"/>
        <v>0.12432090905447532</v>
      </c>
      <c r="C807" s="389">
        <f t="shared" ca="1" si="51"/>
        <v>5.1754058668350152E-2</v>
      </c>
      <c r="D807" s="390">
        <f t="shared" ca="1" si="52"/>
        <v>1.0604958640283921</v>
      </c>
      <c r="E807" s="391" cm="1">
        <f t="array" aca="1" ref="E807" ca="1">(SUMPRODUCT($B$13:$F$13*D807/(1+B807)^$B$14:$F$14)+($F$13*D807*(1+C807))/(B807-C807)/(1+B807)^$F$14-$B$15+$B$16)/$B$17</f>
        <v>1570.4006453817601</v>
      </c>
      <c r="F807" s="304"/>
      <c r="G807" s="304"/>
      <c r="H807" s="304"/>
      <c r="I807" s="304"/>
      <c r="J807" s="304"/>
      <c r="K807" s="304"/>
      <c r="L807" s="304"/>
      <c r="M807" s="304"/>
      <c r="N807" s="304"/>
      <c r="O807" s="304"/>
      <c r="P807" s="304"/>
      <c r="Q807" s="304"/>
    </row>
    <row r="808" spans="1:17" ht="13.8" x14ac:dyDescent="0.3">
      <c r="A808" s="388">
        <f t="shared" si="49"/>
        <v>786</v>
      </c>
      <c r="B808" s="389">
        <f t="shared" ca="1" si="50"/>
        <v>0.13566059746294612</v>
      </c>
      <c r="C808" s="389">
        <f t="shared" ca="1" si="51"/>
        <v>5.6120975449527433E-2</v>
      </c>
      <c r="D808" s="390">
        <f t="shared" ca="1" si="52"/>
        <v>0.92610736316501219</v>
      </c>
      <c r="E808" s="391" cm="1">
        <f t="array" aca="1" ref="E808" ca="1">(SUMPRODUCT($B$13:$F$13*D808/(1+B808)^$B$14:$F$14)+($F$13*D808*(1+C808))/(B808-C808)/(1+B808)^$F$14-$B$15+$B$16)/$B$17</f>
        <v>1217.6149740031547</v>
      </c>
      <c r="F808" s="304"/>
      <c r="G808" s="304"/>
      <c r="H808" s="304"/>
      <c r="I808" s="304"/>
      <c r="J808" s="304"/>
      <c r="K808" s="304"/>
      <c r="L808" s="304"/>
      <c r="M808" s="304"/>
      <c r="N808" s="304"/>
      <c r="O808" s="304"/>
      <c r="P808" s="304"/>
      <c r="Q808" s="304"/>
    </row>
    <row r="809" spans="1:17" ht="13.8" x14ac:dyDescent="0.3">
      <c r="A809" s="388">
        <f t="shared" si="49"/>
        <v>787</v>
      </c>
      <c r="B809" s="389">
        <f t="shared" ca="1" si="50"/>
        <v>0.12298460699966439</v>
      </c>
      <c r="C809" s="389">
        <f t="shared" ca="1" si="51"/>
        <v>5.350978021508155E-2</v>
      </c>
      <c r="D809" s="390">
        <f t="shared" ca="1" si="52"/>
        <v>1.0508229479263447</v>
      </c>
      <c r="E809" s="391" cm="1">
        <f t="array" aca="1" ref="E809" ca="1">(SUMPRODUCT($B$13:$F$13*D809/(1+B809)^$B$14:$F$14)+($F$13*D809*(1+C809))/(B809-C809)/(1+B809)^$F$14-$B$15+$B$16)/$B$17</f>
        <v>1621.8931760679557</v>
      </c>
      <c r="F809" s="304"/>
      <c r="G809" s="304"/>
      <c r="H809" s="304"/>
      <c r="I809" s="304"/>
      <c r="J809" s="304"/>
      <c r="K809" s="304"/>
      <c r="L809" s="304"/>
      <c r="M809" s="304"/>
      <c r="N809" s="304"/>
      <c r="O809" s="304"/>
      <c r="P809" s="304"/>
      <c r="Q809" s="304"/>
    </row>
    <row r="810" spans="1:17" ht="13.8" x14ac:dyDescent="0.3">
      <c r="A810" s="388">
        <f t="shared" si="49"/>
        <v>788</v>
      </c>
      <c r="B810" s="389">
        <f t="shared" ca="1" si="50"/>
        <v>0.13614405355737277</v>
      </c>
      <c r="C810" s="389">
        <f t="shared" ca="1" si="51"/>
        <v>4.9865720375365283E-2</v>
      </c>
      <c r="D810" s="390">
        <f t="shared" ca="1" si="52"/>
        <v>1.0939145885412376</v>
      </c>
      <c r="E810" s="391" cm="1">
        <f t="array" aca="1" ref="E810" ca="1">(SUMPRODUCT($B$13:$F$13*D810/(1+B810)^$B$14:$F$14)+($F$13*D810*(1+C810))/(B810-C810)/(1+B810)^$F$14-$B$15+$B$16)/$B$17</f>
        <v>1349.5513626027296</v>
      </c>
      <c r="F810" s="304"/>
      <c r="G810" s="304"/>
      <c r="H810" s="304"/>
      <c r="I810" s="304"/>
      <c r="J810" s="304"/>
      <c r="K810" s="304"/>
      <c r="L810" s="304"/>
      <c r="M810" s="304"/>
      <c r="N810" s="304"/>
      <c r="O810" s="304"/>
      <c r="P810" s="304"/>
      <c r="Q810" s="304"/>
    </row>
    <row r="811" spans="1:17" ht="13.8" x14ac:dyDescent="0.3">
      <c r="A811" s="388">
        <f t="shared" si="49"/>
        <v>789</v>
      </c>
      <c r="B811" s="389">
        <f t="shared" ca="1" si="50"/>
        <v>0.10395779855397283</v>
      </c>
      <c r="C811" s="389">
        <f t="shared" ca="1" si="51"/>
        <v>5.2529990554242109E-2</v>
      </c>
      <c r="D811" s="390">
        <f t="shared" ca="1" si="52"/>
        <v>0.97144498000174473</v>
      </c>
      <c r="E811" s="391" cm="1">
        <f t="array" aca="1" ref="E811" ca="1">(SUMPRODUCT($B$13:$F$13*D811/(1+B811)^$B$14:$F$14)+($F$13*D811*(1+C811))/(B811-C811)/(1+B811)^$F$14-$B$15+$B$16)/$B$17</f>
        <v>2074.3819732800071</v>
      </c>
      <c r="F811" s="304"/>
      <c r="G811" s="304"/>
      <c r="H811" s="304"/>
      <c r="I811" s="304"/>
      <c r="J811" s="304"/>
      <c r="K811" s="304"/>
      <c r="L811" s="304"/>
      <c r="M811" s="304"/>
      <c r="N811" s="304"/>
      <c r="O811" s="304"/>
      <c r="P811" s="304"/>
      <c r="Q811" s="304"/>
    </row>
    <row r="812" spans="1:17" ht="13.8" x14ac:dyDescent="0.3">
      <c r="A812" s="388">
        <f t="shared" si="49"/>
        <v>790</v>
      </c>
      <c r="B812" s="389">
        <f t="shared" ca="1" si="50"/>
        <v>0.13356085227236983</v>
      </c>
      <c r="C812" s="389">
        <f t="shared" ca="1" si="51"/>
        <v>6.0737597341669801E-2</v>
      </c>
      <c r="D812" s="390">
        <f t="shared" ca="1" si="52"/>
        <v>1.0418921511921955</v>
      </c>
      <c r="E812" s="391" cm="1">
        <f t="array" aca="1" ref="E812" ca="1">(SUMPRODUCT($B$13:$F$13*D812/(1+B812)^$B$14:$F$14)+($F$13*D812*(1+C812))/(B812-C812)/(1+B812)^$F$14-$B$15+$B$16)/$B$17</f>
        <v>1492.8072609546145</v>
      </c>
      <c r="F812" s="304"/>
      <c r="G812" s="304"/>
      <c r="H812" s="304"/>
      <c r="I812" s="304"/>
      <c r="J812" s="304"/>
      <c r="K812" s="304"/>
      <c r="L812" s="304"/>
      <c r="M812" s="304"/>
      <c r="N812" s="304"/>
      <c r="O812" s="304"/>
      <c r="P812" s="304"/>
      <c r="Q812" s="304"/>
    </row>
    <row r="813" spans="1:17" ht="13.8" x14ac:dyDescent="0.3">
      <c r="A813" s="388">
        <f t="shared" si="49"/>
        <v>791</v>
      </c>
      <c r="B813" s="389">
        <f t="shared" ca="1" si="50"/>
        <v>0.13093391430973986</v>
      </c>
      <c r="C813" s="389">
        <f t="shared" ca="1" si="51"/>
        <v>5.5295121093749081E-2</v>
      </c>
      <c r="D813" s="390">
        <f t="shared" ca="1" si="52"/>
        <v>1.0005062349938105</v>
      </c>
      <c r="E813" s="391" cm="1">
        <f t="array" aca="1" ref="E813" ca="1">(SUMPRODUCT($B$13:$F$13*D813/(1+B813)^$B$14:$F$14)+($F$13*D813*(1+C813))/(B813-C813)/(1+B813)^$F$14-$B$15+$B$16)/$B$17</f>
        <v>1397.5644354984624</v>
      </c>
      <c r="F813" s="304"/>
      <c r="G813" s="304"/>
      <c r="H813" s="304"/>
      <c r="I813" s="304"/>
      <c r="J813" s="304"/>
      <c r="K813" s="304"/>
      <c r="L813" s="304"/>
      <c r="M813" s="304"/>
      <c r="N813" s="304"/>
      <c r="O813" s="304"/>
      <c r="P813" s="304"/>
      <c r="Q813" s="304"/>
    </row>
    <row r="814" spans="1:17" ht="13.8" x14ac:dyDescent="0.3">
      <c r="A814" s="388">
        <f t="shared" si="49"/>
        <v>792</v>
      </c>
      <c r="B814" s="389">
        <f t="shared" ca="1" si="50"/>
        <v>0.11925968660392647</v>
      </c>
      <c r="C814" s="389">
        <f t="shared" ca="1" si="51"/>
        <v>4.58747643603966E-2</v>
      </c>
      <c r="D814" s="390">
        <f t="shared" ca="1" si="52"/>
        <v>0.92812140892199491</v>
      </c>
      <c r="E814" s="391" cm="1">
        <f t="array" aca="1" ref="E814" ca="1">(SUMPRODUCT($B$13:$F$13*D814/(1+B814)^$B$14:$F$14)+($F$13*D814*(1+C814))/(B814-C814)/(1+B814)^$F$14-$B$15+$B$16)/$B$17</f>
        <v>1377.5586649692129</v>
      </c>
      <c r="F814" s="304"/>
      <c r="G814" s="304"/>
      <c r="H814" s="304"/>
      <c r="I814" s="304"/>
      <c r="J814" s="304"/>
      <c r="K814" s="304"/>
      <c r="L814" s="304"/>
      <c r="M814" s="304"/>
      <c r="N814" s="304"/>
      <c r="O814" s="304"/>
      <c r="P814" s="304"/>
      <c r="Q814" s="304"/>
    </row>
    <row r="815" spans="1:17" ht="13.8" x14ac:dyDescent="0.3">
      <c r="A815" s="388">
        <f t="shared" si="49"/>
        <v>793</v>
      </c>
      <c r="B815" s="389">
        <f t="shared" ca="1" si="50"/>
        <v>0.13675390266787801</v>
      </c>
      <c r="C815" s="389">
        <f t="shared" ca="1" si="51"/>
        <v>5.6399836904785935E-2</v>
      </c>
      <c r="D815" s="390">
        <f t="shared" ca="1" si="52"/>
        <v>1.0317742685688169</v>
      </c>
      <c r="E815" s="391" cm="1">
        <f t="array" aca="1" ref="E815" ca="1">(SUMPRODUCT($B$13:$F$13*D815/(1+B815)^$B$14:$F$14)+($F$13*D815*(1+C815))/(B815-C815)/(1+B815)^$F$14-$B$15+$B$16)/$B$17</f>
        <v>1345.6588476797874</v>
      </c>
      <c r="F815" s="304"/>
      <c r="G815" s="304"/>
      <c r="H815" s="304"/>
      <c r="I815" s="304"/>
      <c r="J815" s="304"/>
      <c r="K815" s="304"/>
      <c r="L815" s="304"/>
      <c r="M815" s="304"/>
      <c r="N815" s="304"/>
      <c r="O815" s="304"/>
      <c r="P815" s="304"/>
      <c r="Q815" s="304"/>
    </row>
    <row r="816" spans="1:17" ht="13.8" x14ac:dyDescent="0.3">
      <c r="A816" s="388">
        <f t="shared" si="49"/>
        <v>794</v>
      </c>
      <c r="B816" s="389">
        <f t="shared" ca="1" si="50"/>
        <v>0.12868553881919489</v>
      </c>
      <c r="C816" s="389">
        <f t="shared" ca="1" si="51"/>
        <v>5.2662057033753845E-2</v>
      </c>
      <c r="D816" s="390">
        <f t="shared" ca="1" si="52"/>
        <v>0.94642920877180514</v>
      </c>
      <c r="E816" s="391" cm="1">
        <f t="array" aca="1" ref="E816" ca="1">(SUMPRODUCT($B$13:$F$13*D816/(1+B816)^$B$14:$F$14)+($F$13*D816*(1+C816))/(B816-C816)/(1+B816)^$F$14-$B$15+$B$16)/$B$17</f>
        <v>1323.2024689399002</v>
      </c>
      <c r="F816" s="304"/>
      <c r="G816" s="304"/>
      <c r="H816" s="304"/>
      <c r="I816" s="304"/>
      <c r="J816" s="304"/>
      <c r="K816" s="304"/>
      <c r="L816" s="304"/>
      <c r="M816" s="304"/>
      <c r="N816" s="304"/>
      <c r="O816" s="304"/>
      <c r="P816" s="304"/>
      <c r="Q816" s="304"/>
    </row>
    <row r="817" spans="1:17" ht="13.8" x14ac:dyDescent="0.3">
      <c r="A817" s="388">
        <f t="shared" si="49"/>
        <v>795</v>
      </c>
      <c r="B817" s="389">
        <f t="shared" ca="1" si="50"/>
        <v>0.12190586749845712</v>
      </c>
      <c r="C817" s="389">
        <f t="shared" ca="1" si="51"/>
        <v>5.5975059691332978E-2</v>
      </c>
      <c r="D817" s="390">
        <f t="shared" ca="1" si="52"/>
        <v>1.018146302793528</v>
      </c>
      <c r="E817" s="391" cm="1">
        <f t="array" aca="1" ref="E817" ca="1">(SUMPRODUCT($B$13:$F$13*D817/(1+B817)^$B$14:$F$14)+($F$13*D817*(1+C817))/(B817-C817)/(1+B817)^$F$14-$B$15+$B$16)/$B$17</f>
        <v>1648.5204041720135</v>
      </c>
      <c r="F817" s="304"/>
      <c r="G817" s="304"/>
      <c r="H817" s="304"/>
      <c r="I817" s="304"/>
      <c r="J817" s="304"/>
      <c r="K817" s="304"/>
      <c r="L817" s="304"/>
      <c r="M817" s="304"/>
      <c r="N817" s="304"/>
      <c r="O817" s="304"/>
      <c r="P817" s="304"/>
      <c r="Q817" s="304"/>
    </row>
    <row r="818" spans="1:17" ht="13.8" x14ac:dyDescent="0.3">
      <c r="A818" s="388">
        <f t="shared" si="49"/>
        <v>796</v>
      </c>
      <c r="B818" s="389">
        <f t="shared" ca="1" si="50"/>
        <v>0.1364921324185692</v>
      </c>
      <c r="C818" s="389">
        <f t="shared" ca="1" si="51"/>
        <v>5.3663368764366219E-2</v>
      </c>
      <c r="D818" s="390">
        <f t="shared" ca="1" si="52"/>
        <v>0.90795926991631404</v>
      </c>
      <c r="E818" s="391" cm="1">
        <f t="array" aca="1" ref="E818" ca="1">(SUMPRODUCT($B$13:$F$13*D818/(1+B818)^$B$14:$F$14)+($F$13*D818*(1+C818))/(B818-C818)/(1+B818)^$F$14-$B$15+$B$16)/$B$17</f>
        <v>1149.596807693008</v>
      </c>
      <c r="F818" s="304"/>
      <c r="G818" s="304"/>
      <c r="H818" s="304"/>
      <c r="I818" s="304"/>
      <c r="J818" s="304"/>
      <c r="K818" s="304"/>
      <c r="L818" s="304"/>
      <c r="M818" s="304"/>
      <c r="N818" s="304"/>
      <c r="O818" s="304"/>
      <c r="P818" s="304"/>
      <c r="Q818" s="304"/>
    </row>
    <row r="819" spans="1:17" ht="13.8" x14ac:dyDescent="0.3">
      <c r="A819" s="388">
        <f t="shared" si="49"/>
        <v>797</v>
      </c>
      <c r="B819" s="389">
        <f t="shared" ca="1" si="50"/>
        <v>0.12227052173045631</v>
      </c>
      <c r="C819" s="389">
        <f t="shared" ca="1" si="51"/>
        <v>5.1216314001274042E-2</v>
      </c>
      <c r="D819" s="390">
        <f t="shared" ca="1" si="52"/>
        <v>0.98786404332263167</v>
      </c>
      <c r="E819" s="391" cm="1">
        <f t="array" aca="1" ref="E819" ca="1">(SUMPRODUCT($B$13:$F$13*D819/(1+B819)^$B$14:$F$14)+($F$13*D819*(1+C819))/(B819-C819)/(1+B819)^$F$14-$B$15+$B$16)/$B$17</f>
        <v>1496.0740954640448</v>
      </c>
      <c r="F819" s="304"/>
      <c r="G819" s="304"/>
      <c r="H819" s="304"/>
      <c r="I819" s="304"/>
      <c r="J819" s="304"/>
      <c r="K819" s="304"/>
      <c r="L819" s="304"/>
      <c r="M819" s="304"/>
      <c r="N819" s="304"/>
      <c r="O819" s="304"/>
      <c r="P819" s="304"/>
      <c r="Q819" s="304"/>
    </row>
    <row r="820" spans="1:17" ht="13.8" x14ac:dyDescent="0.3">
      <c r="A820" s="388">
        <f t="shared" si="49"/>
        <v>798</v>
      </c>
      <c r="B820" s="389">
        <f t="shared" ca="1" si="50"/>
        <v>0.13966074198282219</v>
      </c>
      <c r="C820" s="389">
        <f t="shared" ca="1" si="51"/>
        <v>5.414607373366264E-2</v>
      </c>
      <c r="D820" s="390">
        <f t="shared" ca="1" si="52"/>
        <v>0.93457161901306307</v>
      </c>
      <c r="E820" s="391" cm="1">
        <f t="array" aca="1" ref="E820" ca="1">(SUMPRODUCT($B$13:$F$13*D820/(1+B820)^$B$14:$F$14)+($F$13*D820*(1+C820))/(B820-C820)/(1+B820)^$F$14-$B$15+$B$16)/$B$17</f>
        <v>1141.8778648242528</v>
      </c>
      <c r="F820" s="304"/>
      <c r="G820" s="304"/>
      <c r="H820" s="304"/>
      <c r="I820" s="304"/>
      <c r="J820" s="304"/>
      <c r="K820" s="304"/>
      <c r="L820" s="304"/>
      <c r="M820" s="304"/>
      <c r="N820" s="304"/>
      <c r="O820" s="304"/>
      <c r="P820" s="304"/>
      <c r="Q820" s="304"/>
    </row>
    <row r="821" spans="1:17" ht="13.8" x14ac:dyDescent="0.3">
      <c r="A821" s="388">
        <f t="shared" si="49"/>
        <v>799</v>
      </c>
      <c r="B821" s="389">
        <f t="shared" ca="1" si="50"/>
        <v>0.12333265969750744</v>
      </c>
      <c r="C821" s="389">
        <f t="shared" ca="1" si="51"/>
        <v>6.1165869507526525E-2</v>
      </c>
      <c r="D821" s="390">
        <f t="shared" ca="1" si="52"/>
        <v>0.83422514188363761</v>
      </c>
      <c r="E821" s="391" cm="1">
        <f t="array" aca="1" ref="E821" ca="1">(SUMPRODUCT($B$13:$F$13*D821/(1+B821)^$B$14:$F$14)+($F$13*D821*(1+C821))/(B821-C821)/(1+B821)^$F$14-$B$15+$B$16)/$B$17</f>
        <v>1406.7150810216428</v>
      </c>
      <c r="F821" s="304"/>
      <c r="G821" s="304"/>
      <c r="H821" s="304"/>
      <c r="I821" s="304"/>
      <c r="J821" s="304"/>
      <c r="K821" s="304"/>
      <c r="L821" s="304"/>
      <c r="M821" s="304"/>
      <c r="N821" s="304"/>
      <c r="O821" s="304"/>
      <c r="P821" s="304"/>
      <c r="Q821" s="304"/>
    </row>
    <row r="822" spans="1:17" ht="13.8" x14ac:dyDescent="0.3">
      <c r="A822" s="388">
        <f t="shared" si="49"/>
        <v>800</v>
      </c>
      <c r="B822" s="389">
        <f t="shared" ca="1" si="50"/>
        <v>0.13430466444600103</v>
      </c>
      <c r="C822" s="389">
        <f t="shared" ca="1" si="51"/>
        <v>4.9331676759637406E-2</v>
      </c>
      <c r="D822" s="390">
        <f t="shared" ca="1" si="52"/>
        <v>1.0452204799618972</v>
      </c>
      <c r="E822" s="391" cm="1">
        <f t="array" aca="1" ref="E822" ca="1">(SUMPRODUCT($B$13:$F$13*D822/(1+B822)^$B$14:$F$14)+($F$13*D822*(1+C822))/(B822-C822)/(1+B822)^$F$14-$B$15+$B$16)/$B$17</f>
        <v>1311.411754746169</v>
      </c>
      <c r="F822" s="304"/>
      <c r="G822" s="304"/>
      <c r="H822" s="304"/>
      <c r="I822" s="304"/>
      <c r="J822" s="304"/>
      <c r="K822" s="304"/>
      <c r="L822" s="304"/>
      <c r="M822" s="304"/>
      <c r="N822" s="304"/>
      <c r="O822" s="304"/>
      <c r="P822" s="304"/>
      <c r="Q822" s="304"/>
    </row>
    <row r="823" spans="1:17" ht="13.8" x14ac:dyDescent="0.3">
      <c r="A823" s="388">
        <f t="shared" si="49"/>
        <v>801</v>
      </c>
      <c r="B823" s="389">
        <f t="shared" ca="1" si="50"/>
        <v>0.12366575486095635</v>
      </c>
      <c r="C823" s="389">
        <f t="shared" ca="1" si="51"/>
        <v>4.701243942044487E-2</v>
      </c>
      <c r="D823" s="390">
        <f t="shared" ca="1" si="52"/>
        <v>1.2015798692477719</v>
      </c>
      <c r="E823" s="391" cm="1">
        <f t="array" aca="1" ref="E823" ca="1">(SUMPRODUCT($B$13:$F$13*D823/(1+B823)^$B$14:$F$14)+($F$13*D823*(1+C823))/(B823-C823)/(1+B823)^$F$14-$B$15+$B$16)/$B$17</f>
        <v>1707.9394827213321</v>
      </c>
      <c r="F823" s="304"/>
      <c r="G823" s="304"/>
      <c r="H823" s="304"/>
      <c r="I823" s="304"/>
      <c r="J823" s="304"/>
      <c r="K823" s="304"/>
      <c r="L823" s="304"/>
      <c r="M823" s="304"/>
      <c r="N823" s="304"/>
      <c r="O823" s="304"/>
      <c r="P823" s="304"/>
      <c r="Q823" s="304"/>
    </row>
    <row r="824" spans="1:17" ht="13.8" x14ac:dyDescent="0.3">
      <c r="A824" s="388">
        <f t="shared" si="49"/>
        <v>802</v>
      </c>
      <c r="B824" s="389">
        <f t="shared" ca="1" si="50"/>
        <v>0.13783163315793084</v>
      </c>
      <c r="C824" s="389">
        <f t="shared" ca="1" si="51"/>
        <v>3.7864774165665423E-2</v>
      </c>
      <c r="D824" s="390">
        <f t="shared" ca="1" si="52"/>
        <v>0.8713323964314218</v>
      </c>
      <c r="E824" s="391" cm="1">
        <f t="array" aca="1" ref="E824" ca="1">(SUMPRODUCT($B$13:$F$13*D824/(1+B824)^$B$14:$F$14)+($F$13*D824*(1+C824))/(B824-C824)/(1+B824)^$F$14-$B$15+$B$16)/$B$17</f>
        <v>937.85249196326174</v>
      </c>
      <c r="F824" s="304"/>
      <c r="G824" s="304"/>
      <c r="H824" s="304"/>
      <c r="I824" s="304"/>
      <c r="J824" s="304"/>
      <c r="K824" s="304"/>
      <c r="L824" s="304"/>
      <c r="M824" s="304"/>
      <c r="N824" s="304"/>
      <c r="O824" s="304"/>
      <c r="P824" s="304"/>
      <c r="Q824" s="304"/>
    </row>
    <row r="825" spans="1:17" ht="13.8" x14ac:dyDescent="0.3">
      <c r="A825" s="388">
        <f t="shared" si="49"/>
        <v>803</v>
      </c>
      <c r="B825" s="389">
        <f t="shared" ca="1" si="50"/>
        <v>9.9080709954104354E-2</v>
      </c>
      <c r="C825" s="389">
        <f t="shared" ca="1" si="51"/>
        <v>4.2348860032911564E-2</v>
      </c>
      <c r="D825" s="390">
        <f t="shared" ca="1" si="52"/>
        <v>0.79782758837932355</v>
      </c>
      <c r="E825" s="391" cm="1">
        <f t="array" aca="1" ref="E825" ca="1">(SUMPRODUCT($B$13:$F$13*D825/(1+B825)^$B$14:$F$14)+($F$13*D825*(1+C825))/(B825-C825)/(1+B825)^$F$14-$B$15+$B$16)/$B$17</f>
        <v>1577.50831072869</v>
      </c>
      <c r="F825" s="304"/>
      <c r="G825" s="304"/>
      <c r="H825" s="304"/>
      <c r="I825" s="304"/>
      <c r="J825" s="304"/>
      <c r="K825" s="304"/>
      <c r="L825" s="304"/>
      <c r="M825" s="304"/>
      <c r="N825" s="304"/>
      <c r="O825" s="304"/>
      <c r="P825" s="304"/>
      <c r="Q825" s="304"/>
    </row>
    <row r="826" spans="1:17" ht="13.8" x14ac:dyDescent="0.3">
      <c r="A826" s="388">
        <f t="shared" si="49"/>
        <v>804</v>
      </c>
      <c r="B826" s="389">
        <f t="shared" ca="1" si="50"/>
        <v>0.12837499989686699</v>
      </c>
      <c r="C826" s="389">
        <f t="shared" ca="1" si="51"/>
        <v>5.0376497462442861E-2</v>
      </c>
      <c r="D826" s="390">
        <f t="shared" ca="1" si="52"/>
        <v>1.0907517821260309</v>
      </c>
      <c r="E826" s="391" cm="1">
        <f t="array" aca="1" ref="E826" ca="1">(SUMPRODUCT($B$13:$F$13*D826/(1+B826)^$B$14:$F$14)+($F$13*D826*(1+C826))/(B826-C826)/(1+B826)^$F$14-$B$15+$B$16)/$B$17</f>
        <v>1500.7417411109207</v>
      </c>
      <c r="F826" s="304"/>
      <c r="G826" s="304"/>
      <c r="H826" s="304"/>
      <c r="I826" s="304"/>
      <c r="J826" s="304"/>
      <c r="K826" s="304"/>
      <c r="L826" s="304"/>
      <c r="M826" s="304"/>
      <c r="N826" s="304"/>
      <c r="O826" s="304"/>
      <c r="P826" s="304"/>
      <c r="Q826" s="304"/>
    </row>
    <row r="827" spans="1:17" ht="13.8" x14ac:dyDescent="0.3">
      <c r="A827" s="388">
        <f t="shared" si="49"/>
        <v>805</v>
      </c>
      <c r="B827" s="389">
        <f t="shared" ca="1" si="50"/>
        <v>0.11088530438535621</v>
      </c>
      <c r="C827" s="389">
        <f t="shared" ca="1" si="51"/>
        <v>4.1651001412998039E-2</v>
      </c>
      <c r="D827" s="390">
        <f t="shared" ca="1" si="52"/>
        <v>1.0054882645384038</v>
      </c>
      <c r="E827" s="391" cm="1">
        <f t="array" aca="1" ref="E827" ca="1">(SUMPRODUCT($B$13:$F$13*D827/(1+B827)^$B$14:$F$14)+($F$13*D827*(1+C827))/(B827-C827)/(1+B827)^$F$14-$B$15+$B$16)/$B$17</f>
        <v>1616.4090592044354</v>
      </c>
      <c r="F827" s="304"/>
      <c r="G827" s="304"/>
      <c r="H827" s="304"/>
      <c r="I827" s="304"/>
      <c r="J827" s="304"/>
      <c r="K827" s="304"/>
      <c r="L827" s="304"/>
      <c r="M827" s="304"/>
      <c r="N827" s="304"/>
      <c r="O827" s="304"/>
      <c r="P827" s="304"/>
      <c r="Q827" s="304"/>
    </row>
    <row r="828" spans="1:17" ht="13.8" x14ac:dyDescent="0.3">
      <c r="A828" s="388">
        <f t="shared" si="49"/>
        <v>806</v>
      </c>
      <c r="B828" s="389">
        <f t="shared" ca="1" si="50"/>
        <v>0.12175601093491902</v>
      </c>
      <c r="C828" s="389">
        <f t="shared" ca="1" si="51"/>
        <v>6.5406693702239893E-2</v>
      </c>
      <c r="D828" s="390">
        <f t="shared" ca="1" si="52"/>
        <v>1.1138023316126047</v>
      </c>
      <c r="E828" s="391" cm="1">
        <f t="array" aca="1" ref="E828" ca="1">(SUMPRODUCT($B$13:$F$13*D828/(1+B828)^$B$14:$F$14)+($F$13*D828*(1+C828))/(B828-C828)/(1+B828)^$F$14-$B$15+$B$16)/$B$17</f>
        <v>2075.4102351259744</v>
      </c>
      <c r="F828" s="304"/>
      <c r="G828" s="304"/>
      <c r="H828" s="304"/>
      <c r="I828" s="304"/>
      <c r="J828" s="304"/>
      <c r="K828" s="304"/>
      <c r="L828" s="304"/>
      <c r="M828" s="304"/>
      <c r="N828" s="304"/>
      <c r="O828" s="304"/>
      <c r="P828" s="304"/>
      <c r="Q828" s="304"/>
    </row>
    <row r="829" spans="1:17" ht="13.8" x14ac:dyDescent="0.3">
      <c r="A829" s="388">
        <f t="shared" si="49"/>
        <v>807</v>
      </c>
      <c r="B829" s="389">
        <f t="shared" ca="1" si="50"/>
        <v>0.11930093856232415</v>
      </c>
      <c r="C829" s="389">
        <f t="shared" ca="1" si="51"/>
        <v>6.1294889624337538E-2</v>
      </c>
      <c r="D829" s="390">
        <f t="shared" ca="1" si="52"/>
        <v>1.0644796564471144</v>
      </c>
      <c r="E829" s="391" cm="1">
        <f t="array" aca="1" ref="E829" ca="1">(SUMPRODUCT($B$13:$F$13*D829/(1+B829)^$B$14:$F$14)+($F$13*D829*(1+C829))/(B829-C829)/(1+B829)^$F$14-$B$15+$B$16)/$B$17</f>
        <v>1946.6705886701363</v>
      </c>
      <c r="F829" s="304"/>
      <c r="G829" s="304"/>
      <c r="H829" s="304"/>
      <c r="I829" s="304"/>
      <c r="J829" s="304"/>
      <c r="K829" s="304"/>
      <c r="L829" s="304"/>
      <c r="M829" s="304"/>
      <c r="N829" s="304"/>
      <c r="O829" s="304"/>
      <c r="P829" s="304"/>
      <c r="Q829" s="304"/>
    </row>
    <row r="830" spans="1:17" ht="13.8" x14ac:dyDescent="0.3">
      <c r="A830" s="388">
        <f t="shared" si="49"/>
        <v>808</v>
      </c>
      <c r="B830" s="389">
        <f t="shared" ca="1" si="50"/>
        <v>0.12708961046358414</v>
      </c>
      <c r="C830" s="389">
        <f t="shared" ca="1" si="51"/>
        <v>4.8285967202196675E-2</v>
      </c>
      <c r="D830" s="390">
        <f t="shared" ca="1" si="52"/>
        <v>1.1151952510086296</v>
      </c>
      <c r="E830" s="391" cm="1">
        <f t="array" aca="1" ref="E830" ca="1">(SUMPRODUCT($B$13:$F$13*D830/(1+B830)^$B$14:$F$14)+($F$13*D830*(1+C830))/(B830-C830)/(1+B830)^$F$14-$B$15+$B$16)/$B$17</f>
        <v>1528.388447981434</v>
      </c>
      <c r="F830" s="304"/>
      <c r="G830" s="304"/>
      <c r="H830" s="304"/>
      <c r="I830" s="304"/>
      <c r="J830" s="304"/>
      <c r="K830" s="304"/>
      <c r="L830" s="304"/>
      <c r="M830" s="304"/>
      <c r="N830" s="304"/>
      <c r="O830" s="304"/>
      <c r="P830" s="304"/>
      <c r="Q830" s="304"/>
    </row>
    <row r="831" spans="1:17" ht="13.8" x14ac:dyDescent="0.3">
      <c r="A831" s="388">
        <f t="shared" si="49"/>
        <v>809</v>
      </c>
      <c r="B831" s="389">
        <f t="shared" ca="1" si="50"/>
        <v>0.11948826741320531</v>
      </c>
      <c r="C831" s="389">
        <f t="shared" ca="1" si="51"/>
        <v>5.3175265669281747E-2</v>
      </c>
      <c r="D831" s="390">
        <f t="shared" ca="1" si="52"/>
        <v>1.1001425108127949</v>
      </c>
      <c r="E831" s="391" cm="1">
        <f t="array" aca="1" ref="E831" ca="1">(SUMPRODUCT($B$13:$F$13*D831/(1+B831)^$B$14:$F$14)+($F$13*D831*(1+C831))/(B831-C831)/(1+B831)^$F$14-$B$15+$B$16)/$B$17</f>
        <v>1790.0307142916429</v>
      </c>
      <c r="F831" s="304"/>
      <c r="G831" s="304"/>
      <c r="H831" s="304"/>
      <c r="I831" s="304"/>
      <c r="J831" s="304"/>
      <c r="K831" s="304"/>
      <c r="L831" s="304"/>
      <c r="M831" s="304"/>
      <c r="N831" s="304"/>
      <c r="O831" s="304"/>
      <c r="P831" s="304"/>
      <c r="Q831" s="304"/>
    </row>
    <row r="832" spans="1:17" ht="13.8" x14ac:dyDescent="0.3">
      <c r="A832" s="388">
        <f t="shared" si="49"/>
        <v>810</v>
      </c>
      <c r="B832" s="389">
        <f t="shared" ca="1" si="50"/>
        <v>0.11820279800068599</v>
      </c>
      <c r="C832" s="389">
        <f t="shared" ca="1" si="51"/>
        <v>4.8519109780781326E-2</v>
      </c>
      <c r="D832" s="390">
        <f t="shared" ca="1" si="52"/>
        <v>0.90505209168075962</v>
      </c>
      <c r="E832" s="391" cm="1">
        <f t="array" aca="1" ref="E832" ca="1">(SUMPRODUCT($B$13:$F$13*D832/(1+B832)^$B$14:$F$14)+($F$13*D832*(1+C832))/(B832-C832)/(1+B832)^$F$14-$B$15+$B$16)/$B$17</f>
        <v>1408.2587068710352</v>
      </c>
      <c r="F832" s="304"/>
      <c r="G832" s="304"/>
      <c r="H832" s="304"/>
      <c r="I832" s="304"/>
      <c r="J832" s="304"/>
      <c r="K832" s="304"/>
      <c r="L832" s="304"/>
      <c r="M832" s="304"/>
      <c r="N832" s="304"/>
      <c r="O832" s="304"/>
      <c r="P832" s="304"/>
      <c r="Q832" s="304"/>
    </row>
    <row r="833" spans="1:17" ht="13.8" x14ac:dyDescent="0.3">
      <c r="A833" s="388">
        <f t="shared" si="49"/>
        <v>811</v>
      </c>
      <c r="B833" s="389">
        <f t="shared" ca="1" si="50"/>
        <v>0.12984146172091679</v>
      </c>
      <c r="C833" s="389">
        <f t="shared" ca="1" si="51"/>
        <v>6.1693237717353293E-2</v>
      </c>
      <c r="D833" s="390">
        <f t="shared" ca="1" si="52"/>
        <v>1.0180742007443624</v>
      </c>
      <c r="E833" s="391" cm="1">
        <f t="array" aca="1" ref="E833" ca="1">(SUMPRODUCT($B$13:$F$13*D833/(1+B833)^$B$14:$F$14)+($F$13*D833*(1+C833))/(B833-C833)/(1+B833)^$F$14-$B$15+$B$16)/$B$17</f>
        <v>1561.6081109608122</v>
      </c>
      <c r="F833" s="304"/>
      <c r="G833" s="304"/>
      <c r="H833" s="304"/>
      <c r="I833" s="304"/>
      <c r="J833" s="304"/>
      <c r="K833" s="304"/>
      <c r="L833" s="304"/>
      <c r="M833" s="304"/>
      <c r="N833" s="304"/>
      <c r="O833" s="304"/>
      <c r="P833" s="304"/>
      <c r="Q833" s="304"/>
    </row>
    <row r="834" spans="1:17" ht="13.8" x14ac:dyDescent="0.3">
      <c r="A834" s="388">
        <f t="shared" si="49"/>
        <v>812</v>
      </c>
      <c r="B834" s="389">
        <f t="shared" ca="1" si="50"/>
        <v>0.13909709510484478</v>
      </c>
      <c r="C834" s="389">
        <f t="shared" ca="1" si="51"/>
        <v>4.5494810818723003E-2</v>
      </c>
      <c r="D834" s="390">
        <f t="shared" ca="1" si="52"/>
        <v>1.0966453314436575</v>
      </c>
      <c r="E834" s="391" cm="1">
        <f t="array" aca="1" ref="E834" ca="1">(SUMPRODUCT($B$13:$F$13*D834/(1+B834)^$B$14:$F$14)+($F$13*D834*(1+C834))/(B834-C834)/(1+B834)^$F$14-$B$15+$B$16)/$B$17</f>
        <v>1253.3684140737237</v>
      </c>
      <c r="F834" s="304"/>
      <c r="G834" s="304"/>
      <c r="H834" s="304"/>
      <c r="I834" s="304"/>
      <c r="J834" s="304"/>
      <c r="K834" s="304"/>
      <c r="L834" s="304"/>
      <c r="M834" s="304"/>
      <c r="N834" s="304"/>
      <c r="O834" s="304"/>
      <c r="P834" s="304"/>
      <c r="Q834" s="304"/>
    </row>
    <row r="835" spans="1:17" ht="13.8" x14ac:dyDescent="0.3">
      <c r="A835" s="388">
        <f t="shared" si="49"/>
        <v>813</v>
      </c>
      <c r="B835" s="389">
        <f t="shared" ca="1" si="50"/>
        <v>0.13575388956977705</v>
      </c>
      <c r="C835" s="389">
        <f t="shared" ca="1" si="51"/>
        <v>5.4760634604255329E-2</v>
      </c>
      <c r="D835" s="390">
        <f t="shared" ca="1" si="52"/>
        <v>0.86324225754695938</v>
      </c>
      <c r="E835" s="391" cm="1">
        <f t="array" aca="1" ref="E835" ca="1">(SUMPRODUCT($B$13:$F$13*D835/(1+B835)^$B$14:$F$14)+($F$13*D835*(1+C835))/(B835-C835)/(1+B835)^$F$14-$B$15+$B$16)/$B$17</f>
        <v>1114.133541347768</v>
      </c>
      <c r="F835" s="304"/>
      <c r="G835" s="304"/>
      <c r="H835" s="304"/>
      <c r="I835" s="304"/>
      <c r="J835" s="304"/>
      <c r="K835" s="304"/>
      <c r="L835" s="304"/>
      <c r="M835" s="304"/>
      <c r="N835" s="304"/>
      <c r="O835" s="304"/>
      <c r="P835" s="304"/>
      <c r="Q835" s="304"/>
    </row>
    <row r="836" spans="1:17" ht="13.8" x14ac:dyDescent="0.3">
      <c r="A836" s="388">
        <f t="shared" si="49"/>
        <v>814</v>
      </c>
      <c r="B836" s="389">
        <f t="shared" ca="1" si="50"/>
        <v>0.11237619711358224</v>
      </c>
      <c r="C836" s="389">
        <f t="shared" ca="1" si="51"/>
        <v>6.3317255278535156E-2</v>
      </c>
      <c r="D836" s="390">
        <f t="shared" ca="1" si="52"/>
        <v>0.99452292654871832</v>
      </c>
      <c r="E836" s="391" cm="1">
        <f t="array" aca="1" ref="E836" ca="1">(SUMPRODUCT($B$13:$F$13*D836/(1+B836)^$B$14:$F$14)+($F$13*D836*(1+C836))/(B836-C836)/(1+B836)^$F$14-$B$15+$B$16)/$B$17</f>
        <v>2156.3923861995327</v>
      </c>
      <c r="F836" s="304"/>
      <c r="G836" s="304"/>
      <c r="H836" s="304"/>
      <c r="I836" s="304"/>
      <c r="J836" s="304"/>
      <c r="K836" s="304"/>
      <c r="L836" s="304"/>
      <c r="M836" s="304"/>
      <c r="N836" s="304"/>
      <c r="O836" s="304"/>
      <c r="P836" s="304"/>
      <c r="Q836" s="304"/>
    </row>
    <row r="837" spans="1:17" ht="13.8" x14ac:dyDescent="0.3">
      <c r="A837" s="388">
        <f t="shared" si="49"/>
        <v>815</v>
      </c>
      <c r="B837" s="389">
        <f t="shared" ca="1" si="50"/>
        <v>0.11157080552413365</v>
      </c>
      <c r="C837" s="389">
        <f t="shared" ca="1" si="51"/>
        <v>5.8503075243651441E-2</v>
      </c>
      <c r="D837" s="390">
        <f t="shared" ca="1" si="52"/>
        <v>1.0657805165591283</v>
      </c>
      <c r="E837" s="391" cm="1">
        <f t="array" aca="1" ref="E837" ca="1">(SUMPRODUCT($B$13:$F$13*D837/(1+B837)^$B$14:$F$14)+($F$13*D837*(1+C837))/(B837-C837)/(1+B837)^$F$14-$B$15+$B$16)/$B$17</f>
        <v>2162.7816594270466</v>
      </c>
      <c r="F837" s="304"/>
      <c r="G837" s="304"/>
      <c r="H837" s="304"/>
      <c r="I837" s="304"/>
      <c r="J837" s="304"/>
      <c r="K837" s="304"/>
      <c r="L837" s="304"/>
      <c r="M837" s="304"/>
      <c r="N837" s="304"/>
      <c r="O837" s="304"/>
      <c r="P837" s="304"/>
      <c r="Q837" s="304"/>
    </row>
    <row r="838" spans="1:17" ht="13.8" x14ac:dyDescent="0.3">
      <c r="A838" s="388">
        <f t="shared" si="49"/>
        <v>816</v>
      </c>
      <c r="B838" s="389">
        <f t="shared" ca="1" si="50"/>
        <v>0.12747177566107815</v>
      </c>
      <c r="C838" s="389">
        <f t="shared" ca="1" si="51"/>
        <v>5.9730067503113285E-2</v>
      </c>
      <c r="D838" s="390">
        <f t="shared" ca="1" si="52"/>
        <v>1.0943160692180172</v>
      </c>
      <c r="E838" s="391" cm="1">
        <f t="array" aca="1" ref="E838" ca="1">(SUMPRODUCT($B$13:$F$13*D838/(1+B838)^$B$14:$F$14)+($F$13*D838*(1+C838))/(B838-C838)/(1+B838)^$F$14-$B$15+$B$16)/$B$17</f>
        <v>1703.6382399151732</v>
      </c>
      <c r="F838" s="304"/>
      <c r="G838" s="304"/>
      <c r="H838" s="304"/>
      <c r="I838" s="304"/>
      <c r="J838" s="304"/>
      <c r="K838" s="304"/>
      <c r="L838" s="304"/>
      <c r="M838" s="304"/>
      <c r="N838" s="304"/>
      <c r="O838" s="304"/>
      <c r="P838" s="304"/>
      <c r="Q838" s="304"/>
    </row>
    <row r="839" spans="1:17" ht="13.8" x14ac:dyDescent="0.3">
      <c r="A839" s="388">
        <f t="shared" si="49"/>
        <v>817</v>
      </c>
      <c r="B839" s="389">
        <f t="shared" ca="1" si="50"/>
        <v>0.11026176958931544</v>
      </c>
      <c r="C839" s="389">
        <f t="shared" ca="1" si="51"/>
        <v>6.2596142360702586E-2</v>
      </c>
      <c r="D839" s="390">
        <f t="shared" ca="1" si="52"/>
        <v>0.85914902893104184</v>
      </c>
      <c r="E839" s="391" cm="1">
        <f t="array" aca="1" ref="E839" ca="1">(SUMPRODUCT($B$13:$F$13*D839/(1+B839)^$B$14:$F$14)+($F$13*D839*(1+C839))/(B839-C839)/(1+B839)^$F$14-$B$15+$B$16)/$B$17</f>
        <v>1918.7121071344829</v>
      </c>
      <c r="F839" s="304"/>
      <c r="G839" s="304"/>
      <c r="H839" s="304"/>
      <c r="I839" s="304"/>
      <c r="J839" s="304"/>
      <c r="K839" s="304"/>
      <c r="L839" s="304"/>
      <c r="M839" s="304"/>
      <c r="N839" s="304"/>
      <c r="O839" s="304"/>
      <c r="P839" s="304"/>
      <c r="Q839" s="304"/>
    </row>
    <row r="840" spans="1:17" ht="13.8" x14ac:dyDescent="0.3">
      <c r="A840" s="388">
        <f t="shared" si="49"/>
        <v>818</v>
      </c>
      <c r="B840" s="389">
        <f t="shared" ca="1" si="50"/>
        <v>0.14411966626106851</v>
      </c>
      <c r="C840" s="389">
        <f t="shared" ca="1" si="51"/>
        <v>3.8462727383329696E-2</v>
      </c>
      <c r="D840" s="390">
        <f t="shared" ca="1" si="52"/>
        <v>1.096368631228904</v>
      </c>
      <c r="E840" s="391" cm="1">
        <f t="array" aca="1" ref="E840" ca="1">(SUMPRODUCT($B$13:$F$13*D840/(1+B840)^$B$14:$F$14)+($F$13*D840*(1+C840))/(B840-C840)/(1+B840)^$F$14-$B$15+$B$16)/$B$17</f>
        <v>1118.3250506463287</v>
      </c>
      <c r="F840" s="304"/>
      <c r="G840" s="304"/>
      <c r="H840" s="304"/>
      <c r="I840" s="304"/>
      <c r="J840" s="304"/>
      <c r="K840" s="304"/>
      <c r="L840" s="304"/>
      <c r="M840" s="304"/>
      <c r="N840" s="304"/>
      <c r="O840" s="304"/>
      <c r="P840" s="304"/>
      <c r="Q840" s="304"/>
    </row>
    <row r="841" spans="1:17" ht="13.8" x14ac:dyDescent="0.3">
      <c r="A841" s="388">
        <f t="shared" si="49"/>
        <v>819</v>
      </c>
      <c r="B841" s="389">
        <f t="shared" ca="1" si="50"/>
        <v>0.11860704145734968</v>
      </c>
      <c r="C841" s="389">
        <f t="shared" ca="1" si="51"/>
        <v>5.3883173472077717E-2</v>
      </c>
      <c r="D841" s="390">
        <f t="shared" ca="1" si="52"/>
        <v>0.98152026162882633</v>
      </c>
      <c r="E841" s="391" cm="1">
        <f t="array" aca="1" ref="E841" ca="1">(SUMPRODUCT($B$13:$F$13*D841/(1+B841)^$B$14:$F$14)+($F$13*D841*(1+C841))/(B841-C841)/(1+B841)^$F$14-$B$15+$B$16)/$B$17</f>
        <v>1630.522918419701</v>
      </c>
      <c r="F841" s="304"/>
      <c r="G841" s="304"/>
      <c r="H841" s="304"/>
      <c r="I841" s="304"/>
      <c r="J841" s="304"/>
      <c r="K841" s="304"/>
      <c r="L841" s="304"/>
      <c r="M841" s="304"/>
      <c r="N841" s="304"/>
      <c r="O841" s="304"/>
      <c r="P841" s="304"/>
      <c r="Q841" s="304"/>
    </row>
    <row r="842" spans="1:17" ht="13.8" x14ac:dyDescent="0.3">
      <c r="A842" s="388">
        <f t="shared" si="49"/>
        <v>820</v>
      </c>
      <c r="B842" s="389">
        <f t="shared" ca="1" si="50"/>
        <v>0.12399490361970505</v>
      </c>
      <c r="C842" s="389">
        <f t="shared" ca="1" si="51"/>
        <v>5.6804936296543693E-2</v>
      </c>
      <c r="D842" s="390">
        <f t="shared" ca="1" si="52"/>
        <v>0.92942987494506535</v>
      </c>
      <c r="E842" s="391" cm="1">
        <f t="array" aca="1" ref="E842" ca="1">(SUMPRODUCT($B$13:$F$13*D842/(1+B842)^$B$14:$F$14)+($F$13*D842*(1+C842))/(B842-C842)/(1+B842)^$F$14-$B$15+$B$16)/$B$17</f>
        <v>1466.3264765377448</v>
      </c>
      <c r="F842" s="304"/>
      <c r="G842" s="304"/>
      <c r="H842" s="304"/>
      <c r="I842" s="304"/>
      <c r="J842" s="304"/>
      <c r="K842" s="304"/>
      <c r="L842" s="304"/>
      <c r="M842" s="304"/>
      <c r="N842" s="304"/>
      <c r="O842" s="304"/>
      <c r="P842" s="304"/>
      <c r="Q842" s="304"/>
    </row>
    <row r="843" spans="1:17" ht="13.8" x14ac:dyDescent="0.3">
      <c r="A843" s="388">
        <f t="shared" si="49"/>
        <v>821</v>
      </c>
      <c r="B843" s="389">
        <f t="shared" ca="1" si="50"/>
        <v>0.12009679692796571</v>
      </c>
      <c r="C843" s="389">
        <f t="shared" ca="1" si="51"/>
        <v>4.8114941212491054E-2</v>
      </c>
      <c r="D843" s="390">
        <f t="shared" ca="1" si="52"/>
        <v>1.0229084766752929</v>
      </c>
      <c r="E843" s="391" cm="1">
        <f t="array" aca="1" ref="E843" ca="1">(SUMPRODUCT($B$13:$F$13*D843/(1+B843)^$B$14:$F$14)+($F$13*D843*(1+C843))/(B843-C843)/(1+B843)^$F$14-$B$15+$B$16)/$B$17</f>
        <v>1544.3731673025923</v>
      </c>
      <c r="F843" s="304"/>
      <c r="G843" s="304"/>
      <c r="H843" s="304"/>
      <c r="I843" s="304"/>
      <c r="J843" s="304"/>
      <c r="K843" s="304"/>
      <c r="L843" s="304"/>
      <c r="M843" s="304"/>
      <c r="N843" s="304"/>
      <c r="O843" s="304"/>
      <c r="P843" s="304"/>
      <c r="Q843" s="304"/>
    </row>
    <row r="844" spans="1:17" ht="13.8" x14ac:dyDescent="0.3">
      <c r="A844" s="388">
        <f t="shared" si="49"/>
        <v>822</v>
      </c>
      <c r="B844" s="389">
        <f t="shared" ca="1" si="50"/>
        <v>0.12014611970508284</v>
      </c>
      <c r="C844" s="389">
        <f t="shared" ca="1" si="51"/>
        <v>5.3235037193162124E-2</v>
      </c>
      <c r="D844" s="390">
        <f t="shared" ca="1" si="52"/>
        <v>0.94134153852526126</v>
      </c>
      <c r="E844" s="391" cm="1">
        <f t="array" aca="1" ref="E844" ca="1">(SUMPRODUCT($B$13:$F$13*D844/(1+B844)^$B$14:$F$14)+($F$13*D844*(1+C844))/(B844-C844)/(1+B844)^$F$14-$B$15+$B$16)/$B$17</f>
        <v>1509.7098153058887</v>
      </c>
      <c r="F844" s="304"/>
      <c r="G844" s="304"/>
      <c r="H844" s="304"/>
      <c r="I844" s="304"/>
      <c r="J844" s="304"/>
      <c r="K844" s="304"/>
      <c r="L844" s="304"/>
      <c r="M844" s="304"/>
      <c r="N844" s="304"/>
      <c r="O844" s="304"/>
      <c r="P844" s="304"/>
      <c r="Q844" s="304"/>
    </row>
    <row r="845" spans="1:17" ht="13.8" x14ac:dyDescent="0.3">
      <c r="A845" s="388">
        <f t="shared" si="49"/>
        <v>823</v>
      </c>
      <c r="B845" s="389">
        <f t="shared" ca="1" si="50"/>
        <v>0.11698285793181593</v>
      </c>
      <c r="C845" s="389">
        <f t="shared" ca="1" si="51"/>
        <v>5.1113438742683648E-2</v>
      </c>
      <c r="D845" s="390">
        <f t="shared" ca="1" si="52"/>
        <v>1.0442985851072513</v>
      </c>
      <c r="E845" s="391" cm="1">
        <f t="array" aca="1" ref="E845" ca="1">(SUMPRODUCT($B$13:$F$13*D845/(1+B845)^$B$14:$F$14)+($F$13*D845*(1+C845))/(B845-C845)/(1+B845)^$F$14-$B$15+$B$16)/$B$17</f>
        <v>1720.5159273044333</v>
      </c>
      <c r="F845" s="304"/>
      <c r="G845" s="304"/>
      <c r="H845" s="304"/>
      <c r="I845" s="304"/>
      <c r="J845" s="304"/>
      <c r="K845" s="304"/>
      <c r="L845" s="304"/>
      <c r="M845" s="304"/>
      <c r="N845" s="304"/>
      <c r="O845" s="304"/>
      <c r="P845" s="304"/>
      <c r="Q845" s="304"/>
    </row>
    <row r="846" spans="1:17" ht="13.8" x14ac:dyDescent="0.3">
      <c r="A846" s="388">
        <f t="shared" si="49"/>
        <v>824</v>
      </c>
      <c r="B846" s="389">
        <f t="shared" ca="1" si="50"/>
        <v>0.11670948273113244</v>
      </c>
      <c r="C846" s="389">
        <f t="shared" ca="1" si="51"/>
        <v>4.9903612554418907E-2</v>
      </c>
      <c r="D846" s="390">
        <f t="shared" ca="1" si="52"/>
        <v>0.93471555640167903</v>
      </c>
      <c r="E846" s="391" cm="1">
        <f t="array" aca="1" ref="E846" ca="1">(SUMPRODUCT($B$13:$F$13*D846/(1+B846)^$B$14:$F$14)+($F$13*D846*(1+C846))/(B846-C846)/(1+B846)^$F$14-$B$15+$B$16)/$B$17</f>
        <v>1517.5678921337105</v>
      </c>
      <c r="F846" s="304"/>
      <c r="G846" s="304"/>
      <c r="H846" s="304"/>
      <c r="I846" s="304"/>
      <c r="J846" s="304"/>
      <c r="K846" s="304"/>
      <c r="L846" s="304"/>
      <c r="M846" s="304"/>
      <c r="N846" s="304"/>
      <c r="O846" s="304"/>
      <c r="P846" s="304"/>
      <c r="Q846" s="304"/>
    </row>
    <row r="847" spans="1:17" ht="13.8" x14ac:dyDescent="0.3">
      <c r="A847" s="388">
        <f t="shared" si="49"/>
        <v>825</v>
      </c>
      <c r="B847" s="389">
        <f t="shared" ca="1" si="50"/>
        <v>0.12013713821497056</v>
      </c>
      <c r="C847" s="389">
        <f t="shared" ca="1" si="51"/>
        <v>4.2603753276063465E-2</v>
      </c>
      <c r="D847" s="390">
        <f t="shared" ca="1" si="52"/>
        <v>1.191795345650549</v>
      </c>
      <c r="E847" s="391" cm="1">
        <f t="array" aca="1" ref="E847" ca="1">(SUMPRODUCT($B$13:$F$13*D847/(1+B847)^$B$14:$F$14)+($F$13*D847*(1+C847))/(B847-C847)/(1+B847)^$F$14-$B$15+$B$16)/$B$17</f>
        <v>1696.3180952076616</v>
      </c>
      <c r="F847" s="304"/>
      <c r="G847" s="304"/>
      <c r="H847" s="304"/>
      <c r="I847" s="304"/>
      <c r="J847" s="304"/>
      <c r="K847" s="304"/>
      <c r="L847" s="304"/>
      <c r="M847" s="304"/>
      <c r="N847" s="304"/>
      <c r="O847" s="304"/>
      <c r="P847" s="304"/>
      <c r="Q847" s="304"/>
    </row>
    <row r="848" spans="1:17" ht="13.8" x14ac:dyDescent="0.3">
      <c r="A848" s="388">
        <f t="shared" si="49"/>
        <v>826</v>
      </c>
      <c r="B848" s="389">
        <f t="shared" ca="1" si="50"/>
        <v>0.12788014854373267</v>
      </c>
      <c r="C848" s="389">
        <f t="shared" ca="1" si="51"/>
        <v>6.0118307818696919E-2</v>
      </c>
      <c r="D848" s="390">
        <f t="shared" ca="1" si="52"/>
        <v>1.1119000866655462</v>
      </c>
      <c r="E848" s="391" cm="1">
        <f t="array" aca="1" ref="E848" ca="1">(SUMPRODUCT($B$13:$F$13*D848/(1+B848)^$B$14:$F$14)+($F$13*D848*(1+C848))/(B848-C848)/(1+B848)^$F$14-$B$15+$B$16)/$B$17</f>
        <v>1729.0801588763704</v>
      </c>
      <c r="F848" s="304"/>
      <c r="G848" s="304"/>
      <c r="H848" s="304"/>
      <c r="I848" s="304"/>
      <c r="J848" s="304"/>
      <c r="K848" s="304"/>
      <c r="L848" s="304"/>
      <c r="M848" s="304"/>
      <c r="N848" s="304"/>
      <c r="O848" s="304"/>
      <c r="P848" s="304"/>
      <c r="Q848" s="304"/>
    </row>
    <row r="849" spans="1:17" ht="13.8" x14ac:dyDescent="0.3">
      <c r="A849" s="388">
        <f t="shared" si="49"/>
        <v>827</v>
      </c>
      <c r="B849" s="389">
        <f t="shared" ca="1" si="50"/>
        <v>0.13075102261236021</v>
      </c>
      <c r="C849" s="389">
        <f t="shared" ca="1" si="51"/>
        <v>4.9377434418217958E-2</v>
      </c>
      <c r="D849" s="390">
        <f t="shared" ca="1" si="52"/>
        <v>1.023430351840303</v>
      </c>
      <c r="E849" s="391" cm="1">
        <f t="array" aca="1" ref="E849" ca="1">(SUMPRODUCT($B$13:$F$13*D849/(1+B849)^$B$14:$F$14)+($F$13*D849*(1+C849))/(B849-C849)/(1+B849)^$F$14-$B$15+$B$16)/$B$17</f>
        <v>1345.5747066348786</v>
      </c>
      <c r="F849" s="304"/>
      <c r="G849" s="304"/>
      <c r="H849" s="304"/>
      <c r="I849" s="304"/>
      <c r="J849" s="304"/>
      <c r="K849" s="304"/>
      <c r="L849" s="304"/>
      <c r="M849" s="304"/>
      <c r="N849" s="304"/>
      <c r="O849" s="304"/>
      <c r="P849" s="304"/>
      <c r="Q849" s="304"/>
    </row>
    <row r="850" spans="1:17" ht="13.8" x14ac:dyDescent="0.3">
      <c r="A850" s="388">
        <f t="shared" si="49"/>
        <v>828</v>
      </c>
      <c r="B850" s="389">
        <f t="shared" ca="1" si="50"/>
        <v>0.13230592034112429</v>
      </c>
      <c r="C850" s="389">
        <f t="shared" ca="1" si="51"/>
        <v>5.0822510192424716E-2</v>
      </c>
      <c r="D850" s="390">
        <f t="shared" ca="1" si="52"/>
        <v>0.98617851906856813</v>
      </c>
      <c r="E850" s="391" cm="1">
        <f t="array" aca="1" ref="E850" ca="1">(SUMPRODUCT($B$13:$F$13*D850/(1+B850)^$B$14:$F$14)+($F$13*D850*(1+C850))/(B850-C850)/(1+B850)^$F$14-$B$15+$B$16)/$B$17</f>
        <v>1287.0353272567829</v>
      </c>
      <c r="F850" s="304"/>
      <c r="G850" s="304"/>
      <c r="H850" s="304"/>
      <c r="I850" s="304"/>
      <c r="J850" s="304"/>
      <c r="K850" s="304"/>
      <c r="L850" s="304"/>
      <c r="M850" s="304"/>
      <c r="N850" s="304"/>
      <c r="O850" s="304"/>
      <c r="P850" s="304"/>
      <c r="Q850" s="304"/>
    </row>
    <row r="851" spans="1:17" ht="13.8" x14ac:dyDescent="0.3">
      <c r="A851" s="388">
        <f t="shared" si="49"/>
        <v>829</v>
      </c>
      <c r="B851" s="389">
        <f t="shared" ca="1" si="50"/>
        <v>0.13714690546310176</v>
      </c>
      <c r="C851" s="389">
        <f t="shared" ca="1" si="51"/>
        <v>4.9035331752787799E-2</v>
      </c>
      <c r="D851" s="390">
        <f t="shared" ca="1" si="52"/>
        <v>0.97946249199823443</v>
      </c>
      <c r="E851" s="391" cm="1">
        <f t="array" aca="1" ref="E851" ca="1">(SUMPRODUCT($B$13:$F$13*D851/(1+B851)^$B$14:$F$14)+($F$13*D851*(1+C851))/(B851-C851)/(1+B851)^$F$14-$B$15+$B$16)/$B$17</f>
        <v>1178.7418201959226</v>
      </c>
      <c r="F851" s="304"/>
      <c r="G851" s="304"/>
      <c r="H851" s="304"/>
      <c r="I851" s="304"/>
      <c r="J851" s="304"/>
      <c r="K851" s="304"/>
      <c r="L851" s="304"/>
      <c r="M851" s="304"/>
      <c r="N851" s="304"/>
      <c r="O851" s="304"/>
      <c r="P851" s="304"/>
      <c r="Q851" s="304"/>
    </row>
    <row r="852" spans="1:17" ht="13.8" x14ac:dyDescent="0.3">
      <c r="A852" s="388">
        <f t="shared" si="49"/>
        <v>830</v>
      </c>
      <c r="B852" s="389">
        <f t="shared" ca="1" si="50"/>
        <v>0.11442795417525425</v>
      </c>
      <c r="C852" s="389">
        <f t="shared" ca="1" si="51"/>
        <v>4.9487020088753532E-2</v>
      </c>
      <c r="D852" s="390">
        <f t="shared" ca="1" si="52"/>
        <v>0.90833708827679827</v>
      </c>
      <c r="E852" s="391" cm="1">
        <f t="array" aca="1" ref="E852" ca="1">(SUMPRODUCT($B$13:$F$13*D852/(1+B852)^$B$14:$F$14)+($F$13*D852*(1+C852))/(B852-C852)/(1+B852)^$F$14-$B$15+$B$16)/$B$17</f>
        <v>1521.4896410257909</v>
      </c>
      <c r="F852" s="304"/>
      <c r="G852" s="304"/>
      <c r="H852" s="304"/>
      <c r="I852" s="304"/>
      <c r="J852" s="304"/>
      <c r="K852" s="304"/>
      <c r="L852" s="304"/>
      <c r="M852" s="304"/>
      <c r="N852" s="304"/>
      <c r="O852" s="304"/>
      <c r="P852" s="304"/>
      <c r="Q852" s="304"/>
    </row>
    <row r="853" spans="1:17" ht="13.8" x14ac:dyDescent="0.3">
      <c r="A853" s="388">
        <f t="shared" si="49"/>
        <v>831</v>
      </c>
      <c r="B853" s="389">
        <f t="shared" ca="1" si="50"/>
        <v>0.13008655971713529</v>
      </c>
      <c r="C853" s="389">
        <f t="shared" ca="1" si="51"/>
        <v>5.8113717649578144E-2</v>
      </c>
      <c r="D853" s="390">
        <f t="shared" ca="1" si="52"/>
        <v>0.9935596621886188</v>
      </c>
      <c r="E853" s="391" cm="1">
        <f t="array" aca="1" ref="E853" ca="1">(SUMPRODUCT($B$13:$F$13*D853/(1+B853)^$B$14:$F$14)+($F$13*D853*(1+C853))/(B853-C853)/(1+B853)^$F$14-$B$15+$B$16)/$B$17</f>
        <v>1451.7004426084109</v>
      </c>
      <c r="F853" s="304"/>
      <c r="G853" s="304"/>
      <c r="H853" s="304"/>
      <c r="I853" s="304"/>
      <c r="J853" s="304"/>
      <c r="K853" s="304"/>
      <c r="L853" s="304"/>
      <c r="M853" s="304"/>
      <c r="N853" s="304"/>
      <c r="O853" s="304"/>
      <c r="P853" s="304"/>
      <c r="Q853" s="304"/>
    </row>
    <row r="854" spans="1:17" ht="13.8" x14ac:dyDescent="0.3">
      <c r="A854" s="388">
        <f t="shared" si="49"/>
        <v>832</v>
      </c>
      <c r="B854" s="389">
        <f t="shared" ca="1" si="50"/>
        <v>0.12083753603963815</v>
      </c>
      <c r="C854" s="389">
        <f t="shared" ca="1" si="51"/>
        <v>5.0605349613555235E-2</v>
      </c>
      <c r="D854" s="390">
        <f t="shared" ca="1" si="52"/>
        <v>0.81081544782541715</v>
      </c>
      <c r="E854" s="391" cm="1">
        <f t="array" aca="1" ref="E854" ca="1">(SUMPRODUCT($B$13:$F$13*D854/(1+B854)^$B$14:$F$14)+($F$13*D854*(1+C854))/(B854-C854)/(1+B854)^$F$14-$B$15+$B$16)/$B$17</f>
        <v>1237.527718019172</v>
      </c>
      <c r="F854" s="304"/>
      <c r="G854" s="304"/>
      <c r="H854" s="304"/>
      <c r="I854" s="304"/>
      <c r="J854" s="304"/>
      <c r="K854" s="304"/>
      <c r="L854" s="304"/>
      <c r="M854" s="304"/>
      <c r="N854" s="304"/>
      <c r="O854" s="304"/>
      <c r="P854" s="304"/>
      <c r="Q854" s="304"/>
    </row>
    <row r="855" spans="1:17" ht="13.8" x14ac:dyDescent="0.3">
      <c r="A855" s="388">
        <f t="shared" si="49"/>
        <v>833</v>
      </c>
      <c r="B855" s="389">
        <f t="shared" ca="1" si="50"/>
        <v>0.1222321139899397</v>
      </c>
      <c r="C855" s="389">
        <f t="shared" ca="1" si="51"/>
        <v>4.4156706272740841E-2</v>
      </c>
      <c r="D855" s="390">
        <f t="shared" ca="1" si="52"/>
        <v>1.0427246795757219</v>
      </c>
      <c r="E855" s="391" cm="1">
        <f t="array" aca="1" ref="E855" ca="1">(SUMPRODUCT($B$13:$F$13*D855/(1+B855)^$B$14:$F$14)+($F$13*D855*(1+C855))/(B855-C855)/(1+B855)^$F$14-$B$15+$B$16)/$B$17</f>
        <v>1459.668477000178</v>
      </c>
      <c r="F855" s="304"/>
      <c r="G855" s="304"/>
      <c r="H855" s="304"/>
      <c r="I855" s="304"/>
      <c r="J855" s="304"/>
      <c r="K855" s="304"/>
      <c r="L855" s="304"/>
      <c r="M855" s="304"/>
      <c r="N855" s="304"/>
      <c r="O855" s="304"/>
      <c r="P855" s="304"/>
      <c r="Q855" s="304"/>
    </row>
    <row r="856" spans="1:17" ht="13.8" x14ac:dyDescent="0.3">
      <c r="A856" s="388">
        <f t="shared" ref="A856:A919" si="53">ROW()-22</f>
        <v>834</v>
      </c>
      <c r="B856" s="389">
        <f t="shared" ref="B856:B919" ca="1" si="54">_xlfn.NORM.INV(RAND(),$B$6,$C$6)</f>
        <v>0.13613613683882317</v>
      </c>
      <c r="C856" s="389">
        <f t="shared" ref="C856:C919" ca="1" si="55">MIN(_xlfn.NORM.INV(RAND(),$B$7,$C$7),B856-0.005)</f>
        <v>5.6015748399859164E-2</v>
      </c>
      <c r="D856" s="390">
        <f t="shared" ref="D856:D919" ca="1" si="56">_xlfn.NORM.INV(RAND(),$B$8,$C$8)</f>
        <v>1.0080597597020551</v>
      </c>
      <c r="E856" s="391" cm="1">
        <f t="array" aca="1" ref="E856" ca="1">(SUMPRODUCT($B$13:$F$13*D856/(1+B856)^$B$14:$F$14)+($F$13*D856*(1+C856))/(B856-C856)/(1+B856)^$F$14-$B$15+$B$16)/$B$17</f>
        <v>1319.4400453166909</v>
      </c>
      <c r="F856" s="304"/>
      <c r="G856" s="304"/>
      <c r="H856" s="304"/>
      <c r="I856" s="304"/>
      <c r="J856" s="304"/>
      <c r="K856" s="304"/>
      <c r="L856" s="304"/>
      <c r="M856" s="304"/>
      <c r="N856" s="304"/>
      <c r="O856" s="304"/>
      <c r="P856" s="304"/>
      <c r="Q856" s="304"/>
    </row>
    <row r="857" spans="1:17" ht="13.8" x14ac:dyDescent="0.3">
      <c r="A857" s="388">
        <f t="shared" si="53"/>
        <v>835</v>
      </c>
      <c r="B857" s="389">
        <f t="shared" ca="1" si="54"/>
        <v>0.11799510681007516</v>
      </c>
      <c r="C857" s="389">
        <f t="shared" ca="1" si="55"/>
        <v>5.521495945518462E-2</v>
      </c>
      <c r="D857" s="390">
        <f t="shared" ca="1" si="56"/>
        <v>0.97582035568985992</v>
      </c>
      <c r="E857" s="391" cm="1">
        <f t="array" aca="1" ref="E857" ca="1">(SUMPRODUCT($B$13:$F$13*D857/(1+B857)^$B$14:$F$14)+($F$13*D857*(1+C857))/(B857-C857)/(1+B857)^$F$14-$B$15+$B$16)/$B$17</f>
        <v>1667.8662284383045</v>
      </c>
      <c r="F857" s="304"/>
      <c r="G857" s="304"/>
      <c r="H857" s="304"/>
      <c r="I857" s="304"/>
      <c r="J857" s="304"/>
      <c r="K857" s="304"/>
      <c r="L857" s="304"/>
      <c r="M857" s="304"/>
      <c r="N857" s="304"/>
      <c r="O857" s="304"/>
      <c r="P857" s="304"/>
      <c r="Q857" s="304"/>
    </row>
    <row r="858" spans="1:17" ht="13.8" x14ac:dyDescent="0.3">
      <c r="A858" s="388">
        <f t="shared" si="53"/>
        <v>836</v>
      </c>
      <c r="B858" s="389">
        <f t="shared" ca="1" si="54"/>
        <v>0.1258302908204795</v>
      </c>
      <c r="C858" s="389">
        <f t="shared" ca="1" si="55"/>
        <v>5.5252903489794364E-2</v>
      </c>
      <c r="D858" s="390">
        <f t="shared" ca="1" si="56"/>
        <v>0.9632078212957802</v>
      </c>
      <c r="E858" s="391" cm="1">
        <f t="array" aca="1" ref="E858" ca="1">(SUMPRODUCT($B$13:$F$13*D858/(1+B858)^$B$14:$F$14)+($F$13*D858*(1+C858))/(B858-C858)/(1+B858)^$F$14-$B$15+$B$16)/$B$17</f>
        <v>1449.3871649466244</v>
      </c>
      <c r="F858" s="304"/>
      <c r="G858" s="304"/>
      <c r="H858" s="304"/>
      <c r="I858" s="304"/>
      <c r="J858" s="304"/>
      <c r="K858" s="304"/>
      <c r="L858" s="304"/>
      <c r="M858" s="304"/>
      <c r="N858" s="304"/>
      <c r="O858" s="304"/>
      <c r="P858" s="304"/>
      <c r="Q858" s="304"/>
    </row>
    <row r="859" spans="1:17" ht="13.8" x14ac:dyDescent="0.3">
      <c r="A859" s="388">
        <f t="shared" si="53"/>
        <v>837</v>
      </c>
      <c r="B859" s="389">
        <f t="shared" ca="1" si="54"/>
        <v>0.11891091206895889</v>
      </c>
      <c r="C859" s="389">
        <f t="shared" ca="1" si="55"/>
        <v>5.3963183434765583E-2</v>
      </c>
      <c r="D859" s="390">
        <f t="shared" ca="1" si="56"/>
        <v>0.98760555733860855</v>
      </c>
      <c r="E859" s="391" cm="1">
        <f t="array" aca="1" ref="E859" ca="1">(SUMPRODUCT($B$13:$F$13*D859/(1+B859)^$B$14:$F$14)+($F$13*D859*(1+C859))/(B859-C859)/(1+B859)^$F$14-$B$15+$B$16)/$B$17</f>
        <v>1634.3883277561995</v>
      </c>
      <c r="F859" s="304"/>
      <c r="G859" s="304"/>
      <c r="H859" s="304"/>
      <c r="I859" s="304"/>
      <c r="J859" s="304"/>
      <c r="K859" s="304"/>
      <c r="L859" s="304"/>
      <c r="M859" s="304"/>
      <c r="N859" s="304"/>
      <c r="O859" s="304"/>
      <c r="P859" s="304"/>
      <c r="Q859" s="304"/>
    </row>
    <row r="860" spans="1:17" ht="13.8" x14ac:dyDescent="0.3">
      <c r="A860" s="388">
        <f t="shared" si="53"/>
        <v>838</v>
      </c>
      <c r="B860" s="389">
        <f t="shared" ca="1" si="54"/>
        <v>0.13774863934628745</v>
      </c>
      <c r="C860" s="389">
        <f t="shared" ca="1" si="55"/>
        <v>6.2737133812156259E-2</v>
      </c>
      <c r="D860" s="390">
        <f t="shared" ca="1" si="56"/>
        <v>1.0074690366491663</v>
      </c>
      <c r="E860" s="391" cm="1">
        <f t="array" aca="1" ref="E860" ca="1">(SUMPRODUCT($B$13:$F$13*D860/(1+B860)^$B$14:$F$14)+($F$13*D860*(1+C860))/(B860-C860)/(1+B860)^$F$14-$B$15+$B$16)/$B$17</f>
        <v>1387.3745492725759</v>
      </c>
      <c r="F860" s="304"/>
      <c r="G860" s="304"/>
      <c r="H860" s="304"/>
      <c r="I860" s="304"/>
      <c r="J860" s="304"/>
      <c r="K860" s="304"/>
      <c r="L860" s="304"/>
      <c r="M860" s="304"/>
      <c r="N860" s="304"/>
      <c r="O860" s="304"/>
      <c r="P860" s="304"/>
      <c r="Q860" s="304"/>
    </row>
    <row r="861" spans="1:17" ht="13.8" x14ac:dyDescent="0.3">
      <c r="A861" s="388">
        <f t="shared" si="53"/>
        <v>839</v>
      </c>
      <c r="B861" s="389">
        <f t="shared" ca="1" si="54"/>
        <v>0.11979955463661728</v>
      </c>
      <c r="C861" s="389">
        <f t="shared" ca="1" si="55"/>
        <v>5.9003444684539982E-2</v>
      </c>
      <c r="D861" s="390">
        <f t="shared" ca="1" si="56"/>
        <v>1.1177286400024677</v>
      </c>
      <c r="E861" s="391" cm="1">
        <f t="array" aca="1" ref="E861" ca="1">(SUMPRODUCT($B$13:$F$13*D861/(1+B861)^$B$14:$F$14)+($F$13*D861*(1+C861))/(B861-C861)/(1+B861)^$F$14-$B$15+$B$16)/$B$17</f>
        <v>1960.5073141174423</v>
      </c>
      <c r="F861" s="304"/>
      <c r="G861" s="304"/>
      <c r="H861" s="304"/>
      <c r="I861" s="304"/>
      <c r="J861" s="304"/>
      <c r="K861" s="304"/>
      <c r="L861" s="304"/>
      <c r="M861" s="304"/>
      <c r="N861" s="304"/>
      <c r="O861" s="304"/>
      <c r="P861" s="304"/>
      <c r="Q861" s="304"/>
    </row>
    <row r="862" spans="1:17" ht="13.8" x14ac:dyDescent="0.3">
      <c r="A862" s="388">
        <f t="shared" si="53"/>
        <v>840</v>
      </c>
      <c r="B862" s="389">
        <f t="shared" ca="1" si="54"/>
        <v>0.11418696881665211</v>
      </c>
      <c r="C862" s="389">
        <f t="shared" ca="1" si="55"/>
        <v>4.1892492938890497E-2</v>
      </c>
      <c r="D862" s="390">
        <f t="shared" ca="1" si="56"/>
        <v>1.0468219659530991</v>
      </c>
      <c r="E862" s="391" cm="1">
        <f t="array" aca="1" ref="E862" ca="1">(SUMPRODUCT($B$13:$F$13*D862/(1+B862)^$B$14:$F$14)+($F$13*D862*(1+C862))/(B862-C862)/(1+B862)^$F$14-$B$15+$B$16)/$B$17</f>
        <v>1605.9715010747293</v>
      </c>
      <c r="F862" s="304"/>
      <c r="G862" s="304"/>
      <c r="H862" s="304"/>
      <c r="I862" s="304"/>
      <c r="J862" s="304"/>
      <c r="K862" s="304"/>
      <c r="L862" s="304"/>
      <c r="M862" s="304"/>
      <c r="N862" s="304"/>
      <c r="O862" s="304"/>
      <c r="P862" s="304"/>
      <c r="Q862" s="304"/>
    </row>
    <row r="863" spans="1:17" ht="13.8" x14ac:dyDescent="0.3">
      <c r="A863" s="388">
        <f t="shared" si="53"/>
        <v>841</v>
      </c>
      <c r="B863" s="389">
        <f t="shared" ca="1" si="54"/>
        <v>0.12586717935394354</v>
      </c>
      <c r="C863" s="389">
        <f t="shared" ca="1" si="55"/>
        <v>4.6833120220880937E-2</v>
      </c>
      <c r="D863" s="390">
        <f t="shared" ca="1" si="56"/>
        <v>1.0951188202358133</v>
      </c>
      <c r="E863" s="391" cm="1">
        <f t="array" aca="1" ref="E863" ca="1">(SUMPRODUCT($B$13:$F$13*D863/(1+B863)^$B$14:$F$14)+($F$13*D863*(1+C863))/(B863-C863)/(1+B863)^$F$14-$B$15+$B$16)/$B$17</f>
        <v>1502.1446246357998</v>
      </c>
      <c r="F863" s="304"/>
      <c r="G863" s="304"/>
      <c r="H863" s="304"/>
      <c r="I863" s="304"/>
      <c r="J863" s="304"/>
      <c r="K863" s="304"/>
      <c r="L863" s="304"/>
      <c r="M863" s="304"/>
      <c r="N863" s="304"/>
      <c r="O863" s="304"/>
      <c r="P863" s="304"/>
      <c r="Q863" s="304"/>
    </row>
    <row r="864" spans="1:17" ht="13.8" x14ac:dyDescent="0.3">
      <c r="A864" s="388">
        <f t="shared" si="53"/>
        <v>842</v>
      </c>
      <c r="B864" s="389">
        <f t="shared" ca="1" si="54"/>
        <v>0.10475880453051961</v>
      </c>
      <c r="C864" s="389">
        <f t="shared" ca="1" si="55"/>
        <v>4.0688547318631738E-2</v>
      </c>
      <c r="D864" s="390">
        <f t="shared" ca="1" si="56"/>
        <v>1.1527516358419885</v>
      </c>
      <c r="E864" s="391" cm="1">
        <f t="array" aca="1" ref="E864" ca="1">(SUMPRODUCT($B$13:$F$13*D864/(1+B864)^$B$14:$F$14)+($F$13*D864*(1+C864))/(B864-C864)/(1+B864)^$F$14-$B$15+$B$16)/$B$17</f>
        <v>2029.2939908025087</v>
      </c>
      <c r="F864" s="304"/>
      <c r="G864" s="304"/>
      <c r="H864" s="304"/>
      <c r="I864" s="304"/>
      <c r="J864" s="304"/>
      <c r="K864" s="304"/>
      <c r="L864" s="304"/>
      <c r="M864" s="304"/>
      <c r="N864" s="304"/>
      <c r="O864" s="304"/>
      <c r="P864" s="304"/>
      <c r="Q864" s="304"/>
    </row>
    <row r="865" spans="1:17" ht="13.8" x14ac:dyDescent="0.3">
      <c r="A865" s="388">
        <f t="shared" si="53"/>
        <v>843</v>
      </c>
      <c r="B865" s="389">
        <f t="shared" ca="1" si="54"/>
        <v>0.13164634030884562</v>
      </c>
      <c r="C865" s="389">
        <f t="shared" ca="1" si="55"/>
        <v>4.6875098722565837E-2</v>
      </c>
      <c r="D865" s="390">
        <f t="shared" ca="1" si="56"/>
        <v>0.8363880434732951</v>
      </c>
      <c r="E865" s="391" cm="1">
        <f t="array" aca="1" ref="E865" ca="1">(SUMPRODUCT($B$13:$F$13*D865/(1+B865)^$B$14:$F$14)+($F$13*D865*(1+C865))/(B865-C865)/(1+B865)^$F$14-$B$15+$B$16)/$B$17</f>
        <v>1050.843001727673</v>
      </c>
      <c r="F865" s="304"/>
      <c r="G865" s="304"/>
      <c r="H865" s="304"/>
      <c r="I865" s="304"/>
      <c r="J865" s="304"/>
      <c r="K865" s="304"/>
      <c r="L865" s="304"/>
      <c r="M865" s="304"/>
      <c r="N865" s="304"/>
      <c r="O865" s="304"/>
      <c r="P865" s="304"/>
      <c r="Q865" s="304"/>
    </row>
    <row r="866" spans="1:17" ht="13.8" x14ac:dyDescent="0.3">
      <c r="A866" s="388">
        <f t="shared" si="53"/>
        <v>844</v>
      </c>
      <c r="B866" s="389">
        <f t="shared" ca="1" si="54"/>
        <v>0.11406862076749771</v>
      </c>
      <c r="C866" s="389">
        <f t="shared" ca="1" si="55"/>
        <v>5.7295362769530886E-2</v>
      </c>
      <c r="D866" s="390">
        <f t="shared" ca="1" si="56"/>
        <v>1.0015882595196941</v>
      </c>
      <c r="E866" s="391" cm="1">
        <f t="array" aca="1" ref="E866" ca="1">(SUMPRODUCT($B$13:$F$13*D866/(1+B866)^$B$14:$F$14)+($F$13*D866*(1+C866))/(B866-C866)/(1+B866)^$F$14-$B$15+$B$16)/$B$17</f>
        <v>1895.8584281455278</v>
      </c>
      <c r="F866" s="304"/>
      <c r="G866" s="304"/>
      <c r="H866" s="304"/>
      <c r="I866" s="304"/>
      <c r="J866" s="304"/>
      <c r="K866" s="304"/>
      <c r="L866" s="304"/>
      <c r="M866" s="304"/>
      <c r="N866" s="304"/>
      <c r="O866" s="304"/>
      <c r="P866" s="304"/>
      <c r="Q866" s="304"/>
    </row>
    <row r="867" spans="1:17" ht="13.8" x14ac:dyDescent="0.3">
      <c r="A867" s="388">
        <f t="shared" si="53"/>
        <v>845</v>
      </c>
      <c r="B867" s="389">
        <f t="shared" ca="1" si="54"/>
        <v>0.10688877082003628</v>
      </c>
      <c r="C867" s="389">
        <f t="shared" ca="1" si="55"/>
        <v>5.2031742734845045E-2</v>
      </c>
      <c r="D867" s="390">
        <f t="shared" ca="1" si="56"/>
        <v>0.88190552117224796</v>
      </c>
      <c r="E867" s="391" cm="1">
        <f t="array" aca="1" ref="E867" ca="1">(SUMPRODUCT($B$13:$F$13*D867/(1+B867)^$B$14:$F$14)+($F$13*D867*(1+C867))/(B867-C867)/(1+B867)^$F$14-$B$15+$B$16)/$B$17</f>
        <v>1756.152095650795</v>
      </c>
      <c r="F867" s="304"/>
      <c r="G867" s="304"/>
      <c r="H867" s="304"/>
      <c r="I867" s="304"/>
      <c r="J867" s="304"/>
      <c r="K867" s="304"/>
      <c r="L867" s="304"/>
      <c r="M867" s="304"/>
      <c r="N867" s="304"/>
      <c r="O867" s="304"/>
      <c r="P867" s="304"/>
      <c r="Q867" s="304"/>
    </row>
    <row r="868" spans="1:17" ht="13.8" x14ac:dyDescent="0.3">
      <c r="A868" s="388">
        <f t="shared" si="53"/>
        <v>846</v>
      </c>
      <c r="B868" s="389">
        <f t="shared" ca="1" si="54"/>
        <v>0.11322805808866152</v>
      </c>
      <c r="C868" s="389">
        <f t="shared" ca="1" si="55"/>
        <v>4.7535464193898425E-2</v>
      </c>
      <c r="D868" s="390">
        <f t="shared" ca="1" si="56"/>
        <v>1.0657311626238823</v>
      </c>
      <c r="E868" s="391" cm="1">
        <f t="array" aca="1" ref="E868" ca="1">(SUMPRODUCT($B$13:$F$13*D868/(1+B868)^$B$14:$F$14)+($F$13*D868*(1+C868))/(B868-C868)/(1+B868)^$F$14-$B$15+$B$16)/$B$17</f>
        <v>1782.4071267268446</v>
      </c>
      <c r="F868" s="304"/>
      <c r="G868" s="304"/>
      <c r="H868" s="304"/>
      <c r="I868" s="304"/>
      <c r="J868" s="304"/>
      <c r="K868" s="304"/>
      <c r="L868" s="304"/>
      <c r="M868" s="304"/>
      <c r="N868" s="304"/>
      <c r="O868" s="304"/>
      <c r="P868" s="304"/>
      <c r="Q868" s="304"/>
    </row>
    <row r="869" spans="1:17" ht="13.8" x14ac:dyDescent="0.3">
      <c r="A869" s="388">
        <f t="shared" si="53"/>
        <v>847</v>
      </c>
      <c r="B869" s="389">
        <f t="shared" ca="1" si="54"/>
        <v>0.12306043246316654</v>
      </c>
      <c r="C869" s="389">
        <f t="shared" ca="1" si="55"/>
        <v>4.3820643284589587E-2</v>
      </c>
      <c r="D869" s="390">
        <f t="shared" ca="1" si="56"/>
        <v>0.96150778569631634</v>
      </c>
      <c r="E869" s="391" cm="1">
        <f t="array" aca="1" ref="E869" ca="1">(SUMPRODUCT($B$13:$F$13*D869/(1+B869)^$B$14:$F$14)+($F$13*D869*(1+C869))/(B869-C869)/(1+B869)^$F$14-$B$15+$B$16)/$B$17</f>
        <v>1321.9905455574767</v>
      </c>
      <c r="F869" s="304"/>
      <c r="G869" s="304"/>
      <c r="H869" s="304"/>
      <c r="I869" s="304"/>
      <c r="J869" s="304"/>
      <c r="K869" s="304"/>
      <c r="L869" s="304"/>
      <c r="M869" s="304"/>
      <c r="N869" s="304"/>
      <c r="O869" s="304"/>
      <c r="P869" s="304"/>
      <c r="Q869" s="304"/>
    </row>
    <row r="870" spans="1:17" ht="13.8" x14ac:dyDescent="0.3">
      <c r="A870" s="388">
        <f t="shared" si="53"/>
        <v>848</v>
      </c>
      <c r="B870" s="389">
        <f t="shared" ca="1" si="54"/>
        <v>0.1145427183367542</v>
      </c>
      <c r="C870" s="389">
        <f t="shared" ca="1" si="55"/>
        <v>4.5777179184902074E-2</v>
      </c>
      <c r="D870" s="390">
        <f t="shared" ca="1" si="56"/>
        <v>0.99852265370867865</v>
      </c>
      <c r="E870" s="391" cm="1">
        <f t="array" aca="1" ref="E870" ca="1">(SUMPRODUCT($B$13:$F$13*D870/(1+B870)^$B$14:$F$14)+($F$13*D870*(1+C870))/(B870-C870)/(1+B870)^$F$14-$B$15+$B$16)/$B$17</f>
        <v>1595.3262381695542</v>
      </c>
      <c r="F870" s="304"/>
      <c r="G870" s="304"/>
      <c r="H870" s="304"/>
      <c r="I870" s="304"/>
      <c r="J870" s="304"/>
      <c r="K870" s="304"/>
      <c r="L870" s="304"/>
      <c r="M870" s="304"/>
      <c r="N870" s="304"/>
      <c r="O870" s="304"/>
      <c r="P870" s="304"/>
      <c r="Q870" s="304"/>
    </row>
    <row r="871" spans="1:17" ht="13.8" x14ac:dyDescent="0.3">
      <c r="A871" s="388">
        <f t="shared" si="53"/>
        <v>849</v>
      </c>
      <c r="B871" s="389">
        <f t="shared" ca="1" si="54"/>
        <v>0.13492833152585149</v>
      </c>
      <c r="C871" s="389">
        <f t="shared" ca="1" si="55"/>
        <v>5.8020171576447593E-2</v>
      </c>
      <c r="D871" s="390">
        <f t="shared" ca="1" si="56"/>
        <v>0.95612098351972052</v>
      </c>
      <c r="E871" s="391" cm="1">
        <f t="array" aca="1" ref="E871" ca="1">(SUMPRODUCT($B$13:$F$13*D871/(1+B871)^$B$14:$F$14)+($F$13*D871*(1+C871))/(B871-C871)/(1+B871)^$F$14-$B$15+$B$16)/$B$17</f>
        <v>1298.096020144352</v>
      </c>
      <c r="F871" s="304"/>
      <c r="G871" s="304"/>
      <c r="H871" s="304"/>
      <c r="I871" s="304"/>
      <c r="J871" s="304"/>
      <c r="K871" s="304"/>
      <c r="L871" s="304"/>
      <c r="M871" s="304"/>
      <c r="N871" s="304"/>
      <c r="O871" s="304"/>
      <c r="P871" s="304"/>
      <c r="Q871" s="304"/>
    </row>
    <row r="872" spans="1:17" ht="13.8" x14ac:dyDescent="0.3">
      <c r="A872" s="388">
        <f t="shared" si="53"/>
        <v>850</v>
      </c>
      <c r="B872" s="389">
        <f t="shared" ca="1" si="54"/>
        <v>0.12898305794839651</v>
      </c>
      <c r="C872" s="389">
        <f t="shared" ca="1" si="55"/>
        <v>4.9473040889737821E-2</v>
      </c>
      <c r="D872" s="390">
        <f t="shared" ca="1" si="56"/>
        <v>1.1492246660824161</v>
      </c>
      <c r="E872" s="391" cm="1">
        <f t="array" aca="1" ref="E872" ca="1">(SUMPRODUCT($B$13:$F$13*D872/(1+B872)^$B$14:$F$14)+($F$13*D872*(1+C872))/(B872-C872)/(1+B872)^$F$14-$B$15+$B$16)/$B$17</f>
        <v>1555.3050802991115</v>
      </c>
      <c r="F872" s="304"/>
      <c r="G872" s="304"/>
      <c r="H872" s="304"/>
      <c r="I872" s="304"/>
      <c r="J872" s="304"/>
      <c r="K872" s="304"/>
      <c r="L872" s="304"/>
      <c r="M872" s="304"/>
      <c r="N872" s="304"/>
      <c r="O872" s="304"/>
      <c r="P872" s="304"/>
      <c r="Q872" s="304"/>
    </row>
    <row r="873" spans="1:17" ht="13.8" x14ac:dyDescent="0.3">
      <c r="A873" s="388">
        <f t="shared" si="53"/>
        <v>851</v>
      </c>
      <c r="B873" s="389">
        <f t="shared" ca="1" si="54"/>
        <v>0.12312517340153516</v>
      </c>
      <c r="C873" s="389">
        <f t="shared" ca="1" si="55"/>
        <v>5.3301738503773136E-2</v>
      </c>
      <c r="D873" s="390">
        <f t="shared" ca="1" si="56"/>
        <v>1.1792740351808497</v>
      </c>
      <c r="E873" s="391" cm="1">
        <f t="array" aca="1" ref="E873" ca="1">(SUMPRODUCT($B$13:$F$13*D873/(1+B873)^$B$14:$F$14)+($F$13*D873*(1+C873))/(B873-C873)/(1+B873)^$F$14-$B$15+$B$16)/$B$17</f>
        <v>1817.3087151410339</v>
      </c>
      <c r="F873" s="304"/>
      <c r="G873" s="304"/>
      <c r="H873" s="304"/>
      <c r="I873" s="304"/>
      <c r="J873" s="304"/>
      <c r="K873" s="304"/>
      <c r="L873" s="304"/>
      <c r="M873" s="304"/>
      <c r="N873" s="304"/>
      <c r="O873" s="304"/>
      <c r="P873" s="304"/>
      <c r="Q873" s="304"/>
    </row>
    <row r="874" spans="1:17" ht="13.8" x14ac:dyDescent="0.3">
      <c r="A874" s="388">
        <f t="shared" si="53"/>
        <v>852</v>
      </c>
      <c r="B874" s="389">
        <f t="shared" ca="1" si="54"/>
        <v>0.11781683672321903</v>
      </c>
      <c r="C874" s="389">
        <f t="shared" ca="1" si="55"/>
        <v>5.1859300841119491E-2</v>
      </c>
      <c r="D874" s="390">
        <f t="shared" ca="1" si="56"/>
        <v>1.1353901851892469</v>
      </c>
      <c r="E874" s="391" cm="1">
        <f t="array" aca="1" ref="E874" ca="1">(SUMPRODUCT($B$13:$F$13*D874/(1+B874)^$B$14:$F$14)+($F$13*D874*(1+C874))/(B874-C874)/(1+B874)^$F$14-$B$15+$B$16)/$B$17</f>
        <v>1867.5452145577619</v>
      </c>
      <c r="F874" s="304"/>
      <c r="G874" s="304"/>
      <c r="H874" s="304"/>
      <c r="I874" s="304"/>
      <c r="J874" s="304"/>
      <c r="K874" s="304"/>
      <c r="L874" s="304"/>
      <c r="M874" s="304"/>
      <c r="N874" s="304"/>
      <c r="O874" s="304"/>
      <c r="P874" s="304"/>
      <c r="Q874" s="304"/>
    </row>
    <row r="875" spans="1:17" ht="13.8" x14ac:dyDescent="0.3">
      <c r="A875" s="388">
        <f t="shared" si="53"/>
        <v>853</v>
      </c>
      <c r="B875" s="389">
        <f t="shared" ca="1" si="54"/>
        <v>0.12070742177982983</v>
      </c>
      <c r="C875" s="389">
        <f t="shared" ca="1" si="55"/>
        <v>4.0923999077589049E-2</v>
      </c>
      <c r="D875" s="390">
        <f t="shared" ca="1" si="56"/>
        <v>0.97771323016375566</v>
      </c>
      <c r="E875" s="391" cm="1">
        <f t="array" aca="1" ref="E875" ca="1">(SUMPRODUCT($B$13:$F$13*D875/(1+B875)^$B$14:$F$14)+($F$13*D875*(1+C875))/(B875-C875)/(1+B875)^$F$14-$B$15+$B$16)/$B$17</f>
        <v>1347.4129285464878</v>
      </c>
      <c r="F875" s="304"/>
      <c r="G875" s="304"/>
      <c r="H875" s="304"/>
      <c r="I875" s="304"/>
      <c r="J875" s="304"/>
      <c r="K875" s="304"/>
      <c r="L875" s="304"/>
      <c r="M875" s="304"/>
      <c r="N875" s="304"/>
      <c r="O875" s="304"/>
      <c r="P875" s="304"/>
      <c r="Q875" s="304"/>
    </row>
    <row r="876" spans="1:17" ht="13.8" x14ac:dyDescent="0.3">
      <c r="A876" s="388">
        <f t="shared" si="53"/>
        <v>854</v>
      </c>
      <c r="B876" s="389">
        <f t="shared" ca="1" si="54"/>
        <v>0.13228083731569037</v>
      </c>
      <c r="C876" s="389">
        <f t="shared" ca="1" si="55"/>
        <v>5.4708521109679636E-2</v>
      </c>
      <c r="D876" s="390">
        <f t="shared" ca="1" si="56"/>
        <v>0.98357201259375815</v>
      </c>
      <c r="E876" s="391" cm="1">
        <f t="array" aca="1" ref="E876" ca="1">(SUMPRODUCT($B$13:$F$13*D876/(1+B876)^$B$14:$F$14)+($F$13*D876*(1+C876))/(B876-C876)/(1+B876)^$F$14-$B$15+$B$16)/$B$17</f>
        <v>1338.1791106743094</v>
      </c>
      <c r="F876" s="304"/>
      <c r="G876" s="304"/>
      <c r="H876" s="304"/>
      <c r="I876" s="304"/>
      <c r="J876" s="304"/>
      <c r="K876" s="304"/>
      <c r="L876" s="304"/>
      <c r="M876" s="304"/>
      <c r="N876" s="304"/>
      <c r="O876" s="304"/>
      <c r="P876" s="304"/>
      <c r="Q876" s="304"/>
    </row>
    <row r="877" spans="1:17" ht="13.8" x14ac:dyDescent="0.3">
      <c r="A877" s="388">
        <f t="shared" si="53"/>
        <v>855</v>
      </c>
      <c r="B877" s="389">
        <f t="shared" ca="1" si="54"/>
        <v>0.13705090100644193</v>
      </c>
      <c r="C877" s="389">
        <f t="shared" ca="1" si="55"/>
        <v>4.8023669381008015E-2</v>
      </c>
      <c r="D877" s="390">
        <f t="shared" ca="1" si="56"/>
        <v>1.0618812722164694</v>
      </c>
      <c r="E877" s="391" cm="1">
        <f t="array" aca="1" ref="E877" ca="1">(SUMPRODUCT($B$13:$F$13*D877/(1+B877)^$B$14:$F$14)+($F$13*D877*(1+C877))/(B877-C877)/(1+B877)^$F$14-$B$15+$B$16)/$B$17</f>
        <v>1271.3730259259985</v>
      </c>
      <c r="F877" s="304"/>
      <c r="G877" s="304"/>
      <c r="H877" s="304"/>
      <c r="I877" s="304"/>
      <c r="J877" s="304"/>
      <c r="K877" s="304"/>
      <c r="L877" s="304"/>
      <c r="M877" s="304"/>
      <c r="N877" s="304"/>
      <c r="O877" s="304"/>
      <c r="P877" s="304"/>
      <c r="Q877" s="304"/>
    </row>
    <row r="878" spans="1:17" ht="13.8" x14ac:dyDescent="0.3">
      <c r="A878" s="388">
        <f t="shared" si="53"/>
        <v>856</v>
      </c>
      <c r="B878" s="389">
        <f t="shared" ca="1" si="54"/>
        <v>0.12229367256143922</v>
      </c>
      <c r="C878" s="389">
        <f t="shared" ca="1" si="55"/>
        <v>3.7459438317587412E-2</v>
      </c>
      <c r="D878" s="390">
        <f t="shared" ca="1" si="56"/>
        <v>1.1213100294839515</v>
      </c>
      <c r="E878" s="391" cm="1">
        <f t="array" aca="1" ref="E878" ca="1">(SUMPRODUCT($B$13:$F$13*D878/(1+B878)^$B$14:$F$14)+($F$13*D878*(1+C878))/(B878-C878)/(1+B878)^$F$14-$B$15+$B$16)/$B$17</f>
        <v>1466.9132893545641</v>
      </c>
      <c r="F878" s="304"/>
      <c r="G878" s="304"/>
      <c r="H878" s="304"/>
      <c r="I878" s="304"/>
      <c r="J878" s="304"/>
      <c r="K878" s="304"/>
      <c r="L878" s="304"/>
      <c r="M878" s="304"/>
      <c r="N878" s="304"/>
      <c r="O878" s="304"/>
      <c r="P878" s="304"/>
      <c r="Q878" s="304"/>
    </row>
    <row r="879" spans="1:17" ht="13.8" x14ac:dyDescent="0.3">
      <c r="A879" s="388">
        <f t="shared" si="53"/>
        <v>857</v>
      </c>
      <c r="B879" s="389">
        <f t="shared" ca="1" si="54"/>
        <v>0.14916728013528846</v>
      </c>
      <c r="C879" s="389">
        <f t="shared" ca="1" si="55"/>
        <v>5.1556848512694015E-2</v>
      </c>
      <c r="D879" s="390">
        <f t="shared" ca="1" si="56"/>
        <v>1.0413978277067193</v>
      </c>
      <c r="E879" s="391" cm="1">
        <f t="array" aca="1" ref="E879" ca="1">(SUMPRODUCT($B$13:$F$13*D879/(1+B879)^$B$14:$F$14)+($F$13*D879*(1+C879))/(B879-C879)/(1+B879)^$F$14-$B$15+$B$16)/$B$17</f>
        <v>1112.4086900531731</v>
      </c>
      <c r="F879" s="304"/>
      <c r="G879" s="304"/>
      <c r="H879" s="304"/>
      <c r="I879" s="304"/>
      <c r="J879" s="304"/>
      <c r="K879" s="304"/>
      <c r="L879" s="304"/>
      <c r="M879" s="304"/>
      <c r="N879" s="304"/>
      <c r="O879" s="304"/>
      <c r="P879" s="304"/>
      <c r="Q879" s="304"/>
    </row>
    <row r="880" spans="1:17" ht="13.8" x14ac:dyDescent="0.3">
      <c r="A880" s="388">
        <f t="shared" si="53"/>
        <v>858</v>
      </c>
      <c r="B880" s="389">
        <f t="shared" ca="1" si="54"/>
        <v>0.127685676124763</v>
      </c>
      <c r="C880" s="389">
        <f t="shared" ca="1" si="55"/>
        <v>5.2208078859172259E-2</v>
      </c>
      <c r="D880" s="390">
        <f t="shared" ca="1" si="56"/>
        <v>0.97716227813592438</v>
      </c>
      <c r="E880" s="391" cm="1">
        <f t="array" aca="1" ref="E880" ca="1">(SUMPRODUCT($B$13:$F$13*D880/(1+B880)^$B$14:$F$14)+($F$13*D880*(1+C880))/(B880-C880)/(1+B880)^$F$14-$B$15+$B$16)/$B$17</f>
        <v>1380.542374440942</v>
      </c>
      <c r="F880" s="304"/>
      <c r="G880" s="304"/>
      <c r="H880" s="304"/>
      <c r="I880" s="304"/>
      <c r="J880" s="304"/>
      <c r="K880" s="304"/>
      <c r="L880" s="304"/>
      <c r="M880" s="304"/>
      <c r="N880" s="304"/>
      <c r="O880" s="304"/>
      <c r="P880" s="304"/>
      <c r="Q880" s="304"/>
    </row>
    <row r="881" spans="1:17" ht="13.8" x14ac:dyDescent="0.3">
      <c r="A881" s="388">
        <f t="shared" si="53"/>
        <v>859</v>
      </c>
      <c r="B881" s="389">
        <f t="shared" ca="1" si="54"/>
        <v>0.1231021406872346</v>
      </c>
      <c r="C881" s="389">
        <f t="shared" ca="1" si="55"/>
        <v>4.3777615252850288E-2</v>
      </c>
      <c r="D881" s="390">
        <f t="shared" ca="1" si="56"/>
        <v>0.92832297367445238</v>
      </c>
      <c r="E881" s="391" cm="1">
        <f t="array" aca="1" ref="E881" ca="1">(SUMPRODUCT($B$13:$F$13*D881/(1+B881)^$B$14:$F$14)+($F$13*D881*(1+C881))/(B881-C881)/(1+B881)^$F$14-$B$15+$B$16)/$B$17</f>
        <v>1273.3970974347478</v>
      </c>
      <c r="F881" s="304"/>
      <c r="G881" s="304"/>
      <c r="H881" s="304"/>
      <c r="I881" s="304"/>
      <c r="J881" s="304"/>
      <c r="K881" s="304"/>
      <c r="L881" s="304"/>
      <c r="M881" s="304"/>
      <c r="N881" s="304"/>
      <c r="O881" s="304"/>
      <c r="P881" s="304"/>
      <c r="Q881" s="304"/>
    </row>
    <row r="882" spans="1:17" ht="13.8" x14ac:dyDescent="0.3">
      <c r="A882" s="388">
        <f t="shared" si="53"/>
        <v>860</v>
      </c>
      <c r="B882" s="389">
        <f t="shared" ca="1" si="54"/>
        <v>0.12290023425835744</v>
      </c>
      <c r="C882" s="389">
        <f t="shared" ca="1" si="55"/>
        <v>5.3982429952976113E-2</v>
      </c>
      <c r="D882" s="390">
        <f t="shared" ca="1" si="56"/>
        <v>0.92283260024170444</v>
      </c>
      <c r="E882" s="391" cm="1">
        <f t="array" aca="1" ref="E882" ca="1">(SUMPRODUCT($B$13:$F$13*D882/(1+B882)^$B$14:$F$14)+($F$13*D882*(1+C882))/(B882-C882)/(1+B882)^$F$14-$B$15+$B$16)/$B$17</f>
        <v>1428.872253888085</v>
      </c>
      <c r="F882" s="304"/>
      <c r="G882" s="304"/>
      <c r="H882" s="304"/>
      <c r="I882" s="304"/>
      <c r="J882" s="304"/>
      <c r="K882" s="304"/>
      <c r="L882" s="304"/>
      <c r="M882" s="304"/>
      <c r="N882" s="304"/>
      <c r="O882" s="304"/>
      <c r="P882" s="304"/>
      <c r="Q882" s="304"/>
    </row>
    <row r="883" spans="1:17" ht="13.8" x14ac:dyDescent="0.3">
      <c r="A883" s="388">
        <f t="shared" si="53"/>
        <v>861</v>
      </c>
      <c r="B883" s="389">
        <f t="shared" ca="1" si="54"/>
        <v>0.12323086602419563</v>
      </c>
      <c r="C883" s="389">
        <f t="shared" ca="1" si="55"/>
        <v>5.317673842063339E-2</v>
      </c>
      <c r="D883" s="390">
        <f t="shared" ca="1" si="56"/>
        <v>0.99018634378291492</v>
      </c>
      <c r="E883" s="391" cm="1">
        <f t="array" aca="1" ref="E883" ca="1">(SUMPRODUCT($B$13:$F$13*D883/(1+B883)^$B$14:$F$14)+($F$13*D883*(1+C883))/(B883-C883)/(1+B883)^$F$14-$B$15+$B$16)/$B$17</f>
        <v>1513.4678307263209</v>
      </c>
      <c r="F883" s="304"/>
      <c r="G883" s="304"/>
      <c r="H883" s="304"/>
      <c r="I883" s="304"/>
      <c r="J883" s="304"/>
      <c r="K883" s="304"/>
      <c r="L883" s="304"/>
      <c r="M883" s="304"/>
      <c r="N883" s="304"/>
      <c r="O883" s="304"/>
      <c r="P883" s="304"/>
      <c r="Q883" s="304"/>
    </row>
    <row r="884" spans="1:17" ht="13.8" x14ac:dyDescent="0.3">
      <c r="A884" s="388">
        <f t="shared" si="53"/>
        <v>862</v>
      </c>
      <c r="B884" s="389">
        <f t="shared" ca="1" si="54"/>
        <v>0.11474105126120002</v>
      </c>
      <c r="C884" s="389">
        <f t="shared" ca="1" si="55"/>
        <v>4.4078775591507767E-2</v>
      </c>
      <c r="D884" s="390">
        <f t="shared" ca="1" si="56"/>
        <v>1.0639828421825994</v>
      </c>
      <c r="E884" s="391" cm="1">
        <f t="array" aca="1" ref="E884" ca="1">(SUMPRODUCT($B$13:$F$13*D884/(1+B884)^$B$14:$F$14)+($F$13*D884*(1+C884))/(B884-C884)/(1+B884)^$F$14-$B$15+$B$16)/$B$17</f>
        <v>1662.4682936769791</v>
      </c>
      <c r="F884" s="304"/>
      <c r="G884" s="304"/>
      <c r="H884" s="304"/>
      <c r="I884" s="304"/>
      <c r="J884" s="304"/>
      <c r="K884" s="304"/>
      <c r="L884" s="304"/>
      <c r="M884" s="304"/>
      <c r="N884" s="304"/>
      <c r="O884" s="304"/>
      <c r="P884" s="304"/>
      <c r="Q884" s="304"/>
    </row>
    <row r="885" spans="1:17" ht="13.8" x14ac:dyDescent="0.3">
      <c r="A885" s="388">
        <f t="shared" si="53"/>
        <v>863</v>
      </c>
      <c r="B885" s="389">
        <f t="shared" ca="1" si="54"/>
        <v>0.11901010172178261</v>
      </c>
      <c r="C885" s="389">
        <f t="shared" ca="1" si="55"/>
        <v>4.4930411107081451E-2</v>
      </c>
      <c r="D885" s="390">
        <f t="shared" ca="1" si="56"/>
        <v>0.9597107328487996</v>
      </c>
      <c r="E885" s="391" cm="1">
        <f t="array" aca="1" ref="E885" ca="1">(SUMPRODUCT($B$13:$F$13*D885/(1+B885)^$B$14:$F$14)+($F$13*D885*(1+C885))/(B885-C885)/(1+B885)^$F$14-$B$15+$B$16)/$B$17</f>
        <v>1415.7178187865832</v>
      </c>
      <c r="F885" s="304"/>
      <c r="G885" s="304"/>
      <c r="H885" s="304"/>
      <c r="I885" s="304"/>
      <c r="J885" s="304"/>
      <c r="K885" s="304"/>
      <c r="L885" s="304"/>
      <c r="M885" s="304"/>
      <c r="N885" s="304"/>
      <c r="O885" s="304"/>
      <c r="P885" s="304"/>
      <c r="Q885" s="304"/>
    </row>
    <row r="886" spans="1:17" ht="13.8" x14ac:dyDescent="0.3">
      <c r="A886" s="388">
        <f t="shared" si="53"/>
        <v>864</v>
      </c>
      <c r="B886" s="389">
        <f t="shared" ca="1" si="54"/>
        <v>0.10958696983107474</v>
      </c>
      <c r="C886" s="389">
        <f t="shared" ca="1" si="55"/>
        <v>5.2078292020369822E-2</v>
      </c>
      <c r="D886" s="390">
        <f t="shared" ca="1" si="56"/>
        <v>0.96330121815978687</v>
      </c>
      <c r="E886" s="391" cm="1">
        <f t="array" aca="1" ref="E886" ca="1">(SUMPRODUCT($B$13:$F$13*D886/(1+B886)^$B$14:$F$14)+($F$13*D886*(1+C886))/(B886-C886)/(1+B886)^$F$14-$B$15+$B$16)/$B$17</f>
        <v>1827.4206756767649</v>
      </c>
      <c r="F886" s="304"/>
      <c r="G886" s="304"/>
      <c r="H886" s="304"/>
      <c r="I886" s="304"/>
      <c r="J886" s="304"/>
      <c r="K886" s="304"/>
      <c r="L886" s="304"/>
      <c r="M886" s="304"/>
      <c r="N886" s="304"/>
      <c r="O886" s="304"/>
      <c r="P886" s="304"/>
      <c r="Q886" s="304"/>
    </row>
    <row r="887" spans="1:17" ht="13.8" x14ac:dyDescent="0.3">
      <c r="A887" s="388">
        <f t="shared" si="53"/>
        <v>865</v>
      </c>
      <c r="B887" s="389">
        <f t="shared" ca="1" si="54"/>
        <v>0.14963015853723299</v>
      </c>
      <c r="C887" s="389">
        <f t="shared" ca="1" si="55"/>
        <v>5.0738339206857136E-2</v>
      </c>
      <c r="D887" s="390">
        <f t="shared" ca="1" si="56"/>
        <v>1.1361846099424979</v>
      </c>
      <c r="E887" s="391" cm="1">
        <f t="array" aca="1" ref="E887" ca="1">(SUMPRODUCT($B$13:$F$13*D887/(1+B887)^$B$14:$F$14)+($F$13*D887*(1+C887))/(B887-C887)/(1+B887)^$F$14-$B$15+$B$16)/$B$17</f>
        <v>1203.4688066210435</v>
      </c>
      <c r="F887" s="304"/>
      <c r="G887" s="304"/>
      <c r="H887" s="304"/>
      <c r="I887" s="304"/>
      <c r="J887" s="304"/>
      <c r="K887" s="304"/>
      <c r="L887" s="304"/>
      <c r="M887" s="304"/>
      <c r="N887" s="304"/>
      <c r="O887" s="304"/>
      <c r="P887" s="304"/>
      <c r="Q887" s="304"/>
    </row>
    <row r="888" spans="1:17" ht="13.8" x14ac:dyDescent="0.3">
      <c r="A888" s="388">
        <f t="shared" si="53"/>
        <v>866</v>
      </c>
      <c r="B888" s="389">
        <f t="shared" ca="1" si="54"/>
        <v>0.1096857409727468</v>
      </c>
      <c r="C888" s="389">
        <f t="shared" ca="1" si="55"/>
        <v>5.4715274770906763E-2</v>
      </c>
      <c r="D888" s="390">
        <f t="shared" ca="1" si="56"/>
        <v>1.241458407275974</v>
      </c>
      <c r="E888" s="391" cm="1">
        <f t="array" aca="1" ref="E888" ca="1">(SUMPRODUCT($B$13:$F$13*D888/(1+B888)^$B$14:$F$14)+($F$13*D888*(1+C888))/(B888-C888)/(1+B888)^$F$14-$B$15+$B$16)/$B$17</f>
        <v>2464.3989871970371</v>
      </c>
      <c r="F888" s="304"/>
      <c r="G888" s="304"/>
      <c r="H888" s="304"/>
      <c r="I888" s="304"/>
      <c r="J888" s="304"/>
      <c r="K888" s="304"/>
      <c r="L888" s="304"/>
      <c r="M888" s="304"/>
      <c r="N888" s="304"/>
      <c r="O888" s="304"/>
      <c r="P888" s="304"/>
      <c r="Q888" s="304"/>
    </row>
    <row r="889" spans="1:17" ht="13.8" x14ac:dyDescent="0.3">
      <c r="A889" s="388">
        <f t="shared" si="53"/>
        <v>867</v>
      </c>
      <c r="B889" s="389">
        <f t="shared" ca="1" si="54"/>
        <v>0.13300271828993612</v>
      </c>
      <c r="C889" s="389">
        <f t="shared" ca="1" si="55"/>
        <v>4.7933068755510747E-2</v>
      </c>
      <c r="D889" s="390">
        <f t="shared" ca="1" si="56"/>
        <v>0.8651710944322839</v>
      </c>
      <c r="E889" s="391" cm="1">
        <f t="array" aca="1" ref="E889" ca="1">(SUMPRODUCT($B$13:$F$13*D889/(1+B889)^$B$14:$F$14)+($F$13*D889*(1+C889))/(B889-C889)/(1+B889)^$F$14-$B$15+$B$16)/$B$17</f>
        <v>1080.7523804849957</v>
      </c>
      <c r="F889" s="304"/>
      <c r="G889" s="304"/>
      <c r="H889" s="304"/>
      <c r="I889" s="304"/>
      <c r="J889" s="304"/>
      <c r="K889" s="304"/>
      <c r="L889" s="304"/>
      <c r="M889" s="304"/>
      <c r="N889" s="304"/>
      <c r="O889" s="304"/>
      <c r="P889" s="304"/>
      <c r="Q889" s="304"/>
    </row>
    <row r="890" spans="1:17" ht="13.8" x14ac:dyDescent="0.3">
      <c r="A890" s="388">
        <f t="shared" si="53"/>
        <v>868</v>
      </c>
      <c r="B890" s="389">
        <f t="shared" ca="1" si="54"/>
        <v>0.11363134033524395</v>
      </c>
      <c r="C890" s="389">
        <f t="shared" ca="1" si="55"/>
        <v>3.9642457155886768E-2</v>
      </c>
      <c r="D890" s="390">
        <f t="shared" ca="1" si="56"/>
        <v>0.94764829742326584</v>
      </c>
      <c r="E890" s="391" cm="1">
        <f t="array" aca="1" ref="E890" ca="1">(SUMPRODUCT($B$13:$F$13*D890/(1+B890)^$B$14:$F$14)+($F$13*D890*(1+C890))/(B890-C890)/(1+B890)^$F$14-$B$15+$B$16)/$B$17</f>
        <v>1423.2995670625519</v>
      </c>
      <c r="F890" s="304"/>
      <c r="G890" s="304"/>
      <c r="H890" s="304"/>
      <c r="I890" s="304"/>
      <c r="J890" s="304"/>
      <c r="K890" s="304"/>
      <c r="L890" s="304"/>
      <c r="M890" s="304"/>
      <c r="N890" s="304"/>
      <c r="O890" s="304"/>
      <c r="P890" s="304"/>
      <c r="Q890" s="304"/>
    </row>
    <row r="891" spans="1:17" ht="13.8" x14ac:dyDescent="0.3">
      <c r="A891" s="388">
        <f t="shared" si="53"/>
        <v>869</v>
      </c>
      <c r="B891" s="389">
        <f t="shared" ca="1" si="54"/>
        <v>0.13057748925363843</v>
      </c>
      <c r="C891" s="389">
        <f t="shared" ca="1" si="55"/>
        <v>4.5363308662150853E-2</v>
      </c>
      <c r="D891" s="390">
        <f t="shared" ca="1" si="56"/>
        <v>1.0839835148218167</v>
      </c>
      <c r="E891" s="391" cm="1">
        <f t="array" aca="1" ref="E891" ca="1">(SUMPRODUCT($B$13:$F$13*D891/(1+B891)^$B$14:$F$14)+($F$13*D891*(1+C891))/(B891-C891)/(1+B891)^$F$14-$B$15+$B$16)/$B$17</f>
        <v>1374.6488451097362</v>
      </c>
      <c r="F891" s="304"/>
      <c r="G891" s="304"/>
      <c r="H891" s="304"/>
      <c r="I891" s="304"/>
      <c r="J891" s="304"/>
      <c r="K891" s="304"/>
      <c r="L891" s="304"/>
      <c r="M891" s="304"/>
      <c r="N891" s="304"/>
      <c r="O891" s="304"/>
      <c r="P891" s="304"/>
      <c r="Q891" s="304"/>
    </row>
    <row r="892" spans="1:17" ht="13.8" x14ac:dyDescent="0.3">
      <c r="A892" s="388">
        <f t="shared" si="53"/>
        <v>870</v>
      </c>
      <c r="B892" s="389">
        <f t="shared" ca="1" si="54"/>
        <v>0.12231098391681729</v>
      </c>
      <c r="C892" s="389">
        <f t="shared" ca="1" si="55"/>
        <v>4.6972451560770505E-2</v>
      </c>
      <c r="D892" s="390">
        <f t="shared" ca="1" si="56"/>
        <v>0.91437861669775655</v>
      </c>
      <c r="E892" s="391" cm="1">
        <f t="array" aca="1" ref="E892" ca="1">(SUMPRODUCT($B$13:$F$13*D892/(1+B892)^$B$14:$F$14)+($F$13*D892*(1+C892))/(B892-C892)/(1+B892)^$F$14-$B$15+$B$16)/$B$17</f>
        <v>1313.2546425061862</v>
      </c>
      <c r="F892" s="304"/>
      <c r="G892" s="304"/>
      <c r="H892" s="304"/>
      <c r="I892" s="304"/>
      <c r="J892" s="304"/>
      <c r="K892" s="304"/>
      <c r="L892" s="304"/>
      <c r="M892" s="304"/>
      <c r="N892" s="304"/>
      <c r="O892" s="304"/>
      <c r="P892" s="304"/>
      <c r="Q892" s="304"/>
    </row>
    <row r="893" spans="1:17" ht="13.8" x14ac:dyDescent="0.3">
      <c r="A893" s="388">
        <f t="shared" si="53"/>
        <v>871</v>
      </c>
      <c r="B893" s="389">
        <f t="shared" ca="1" si="54"/>
        <v>0.1143839550753171</v>
      </c>
      <c r="C893" s="389">
        <f t="shared" ca="1" si="55"/>
        <v>4.2484470600905641E-2</v>
      </c>
      <c r="D893" s="390">
        <f t="shared" ca="1" si="56"/>
        <v>1.0843444198194012</v>
      </c>
      <c r="E893" s="391" cm="1">
        <f t="array" aca="1" ref="E893" ca="1">(SUMPRODUCT($B$13:$F$13*D893/(1+B893)^$B$14:$F$14)+($F$13*D893*(1+C893))/(B893-C893)/(1+B893)^$F$14-$B$15+$B$16)/$B$17</f>
        <v>1672.0224502921626</v>
      </c>
      <c r="F893" s="304"/>
      <c r="G893" s="304"/>
      <c r="H893" s="304"/>
      <c r="I893" s="304"/>
      <c r="J893" s="304"/>
      <c r="K893" s="304"/>
      <c r="L893" s="304"/>
      <c r="M893" s="304"/>
      <c r="N893" s="304"/>
      <c r="O893" s="304"/>
      <c r="P893" s="304"/>
      <c r="Q893" s="304"/>
    </row>
    <row r="894" spans="1:17" ht="13.8" x14ac:dyDescent="0.3">
      <c r="A894" s="388">
        <f t="shared" si="53"/>
        <v>872</v>
      </c>
      <c r="B894" s="389">
        <f t="shared" ca="1" si="54"/>
        <v>0.12043357367437461</v>
      </c>
      <c r="C894" s="389">
        <f t="shared" ca="1" si="55"/>
        <v>4.6549018081619924E-2</v>
      </c>
      <c r="D894" s="390">
        <f t="shared" ca="1" si="56"/>
        <v>0.95616027779896251</v>
      </c>
      <c r="E894" s="391" cm="1">
        <f t="array" aca="1" ref="E894" ca="1">(SUMPRODUCT($B$13:$F$13*D894/(1+B894)^$B$14:$F$14)+($F$13*D894*(1+C894))/(B894-C894)/(1+B894)^$F$14-$B$15+$B$16)/$B$17</f>
        <v>1407.0391050033702</v>
      </c>
      <c r="F894" s="304"/>
      <c r="G894" s="304"/>
      <c r="H894" s="304"/>
      <c r="I894" s="304"/>
      <c r="J894" s="304"/>
      <c r="K894" s="304"/>
      <c r="L894" s="304"/>
      <c r="M894" s="304"/>
      <c r="N894" s="304"/>
      <c r="O894" s="304"/>
      <c r="P894" s="304"/>
      <c r="Q894" s="304"/>
    </row>
    <row r="895" spans="1:17" ht="13.8" x14ac:dyDescent="0.3">
      <c r="A895" s="388">
        <f t="shared" si="53"/>
        <v>873</v>
      </c>
      <c r="B895" s="389">
        <f t="shared" ca="1" si="54"/>
        <v>0.12490027162119116</v>
      </c>
      <c r="C895" s="389">
        <f t="shared" ca="1" si="55"/>
        <v>5.1879381610128623E-2</v>
      </c>
      <c r="D895" s="390">
        <f t="shared" ca="1" si="56"/>
        <v>0.8054488096050576</v>
      </c>
      <c r="E895" s="391" cm="1">
        <f t="array" aca="1" ref="E895" ca="1">(SUMPRODUCT($B$13:$F$13*D895/(1+B895)^$B$14:$F$14)+($F$13*D895*(1+C895))/(B895-C895)/(1+B895)^$F$14-$B$15+$B$16)/$B$17</f>
        <v>1172.7473016175068</v>
      </c>
      <c r="F895" s="304"/>
      <c r="G895" s="304"/>
      <c r="H895" s="304"/>
      <c r="I895" s="304"/>
      <c r="J895" s="304"/>
      <c r="K895" s="304"/>
      <c r="L895" s="304"/>
      <c r="M895" s="304"/>
      <c r="N895" s="304"/>
      <c r="O895" s="304"/>
      <c r="P895" s="304"/>
      <c r="Q895" s="304"/>
    </row>
    <row r="896" spans="1:17" ht="13.8" x14ac:dyDescent="0.3">
      <c r="A896" s="388">
        <f t="shared" si="53"/>
        <v>874</v>
      </c>
      <c r="B896" s="389">
        <f t="shared" ca="1" si="54"/>
        <v>0.11858830819344023</v>
      </c>
      <c r="C896" s="389">
        <f t="shared" ca="1" si="55"/>
        <v>6.0078378966978249E-2</v>
      </c>
      <c r="D896" s="390">
        <f t="shared" ca="1" si="56"/>
        <v>0.97910425342691942</v>
      </c>
      <c r="E896" s="391" cm="1">
        <f t="array" aca="1" ref="E896" ca="1">(SUMPRODUCT($B$13:$F$13*D896/(1+B896)^$B$14:$F$14)+($F$13*D896*(1+C896))/(B896-C896)/(1+B896)^$F$14-$B$15+$B$16)/$B$17</f>
        <v>1777.2186228853648</v>
      </c>
      <c r="F896" s="304"/>
      <c r="G896" s="304"/>
      <c r="H896" s="304"/>
      <c r="I896" s="304"/>
      <c r="J896" s="304"/>
      <c r="K896" s="304"/>
      <c r="L896" s="304"/>
      <c r="M896" s="304"/>
      <c r="N896" s="304"/>
      <c r="O896" s="304"/>
      <c r="P896" s="304"/>
      <c r="Q896" s="304"/>
    </row>
    <row r="897" spans="1:17" ht="13.8" x14ac:dyDescent="0.3">
      <c r="A897" s="388">
        <f t="shared" si="53"/>
        <v>875</v>
      </c>
      <c r="B897" s="389">
        <f t="shared" ca="1" si="54"/>
        <v>0.10976035712477611</v>
      </c>
      <c r="C897" s="389">
        <f t="shared" ca="1" si="55"/>
        <v>4.9866318422377424E-2</v>
      </c>
      <c r="D897" s="390">
        <f t="shared" ca="1" si="56"/>
        <v>1.1085363500683574</v>
      </c>
      <c r="E897" s="391" cm="1">
        <f t="array" aca="1" ref="E897" ca="1">(SUMPRODUCT($B$13:$F$13*D897/(1+B897)^$B$14:$F$14)+($F$13*D897*(1+C897))/(B897-C897)/(1+B897)^$F$14-$B$15+$B$16)/$B$17</f>
        <v>2034.7306128142134</v>
      </c>
      <c r="F897" s="304"/>
      <c r="G897" s="304"/>
      <c r="H897" s="304"/>
      <c r="I897" s="304"/>
      <c r="J897" s="304"/>
      <c r="K897" s="304"/>
      <c r="L897" s="304"/>
      <c r="M897" s="304"/>
      <c r="N897" s="304"/>
      <c r="O897" s="304"/>
      <c r="P897" s="304"/>
      <c r="Q897" s="304"/>
    </row>
    <row r="898" spans="1:17" ht="13.8" x14ac:dyDescent="0.3">
      <c r="A898" s="388">
        <f t="shared" si="53"/>
        <v>876</v>
      </c>
      <c r="B898" s="389">
        <f t="shared" ca="1" si="54"/>
        <v>0.13271284543960254</v>
      </c>
      <c r="C898" s="389">
        <f t="shared" ca="1" si="55"/>
        <v>5.1790644960410262E-2</v>
      </c>
      <c r="D898" s="390">
        <f t="shared" ca="1" si="56"/>
        <v>0.90640941775729256</v>
      </c>
      <c r="E898" s="391" cm="1">
        <f t="array" aca="1" ref="E898" ca="1">(SUMPRODUCT($B$13:$F$13*D898/(1+B898)^$B$14:$F$14)+($F$13*D898*(1+C898))/(B898-C898)/(1+B898)^$F$14-$B$15+$B$16)/$B$17</f>
        <v>1184.4704510641427</v>
      </c>
      <c r="F898" s="304"/>
      <c r="G898" s="304"/>
      <c r="H898" s="304"/>
      <c r="I898" s="304"/>
      <c r="J898" s="304"/>
      <c r="K898" s="304"/>
      <c r="L898" s="304"/>
      <c r="M898" s="304"/>
      <c r="N898" s="304"/>
      <c r="O898" s="304"/>
      <c r="P898" s="304"/>
      <c r="Q898" s="304"/>
    </row>
    <row r="899" spans="1:17" ht="13.8" x14ac:dyDescent="0.3">
      <c r="A899" s="388">
        <f t="shared" si="53"/>
        <v>877</v>
      </c>
      <c r="B899" s="389">
        <f t="shared" ca="1" si="54"/>
        <v>0.11782855953490595</v>
      </c>
      <c r="C899" s="389">
        <f t="shared" ca="1" si="55"/>
        <v>4.6246164686606604E-2</v>
      </c>
      <c r="D899" s="390">
        <f t="shared" ca="1" si="56"/>
        <v>1.143790051583139</v>
      </c>
      <c r="E899" s="391" cm="1">
        <f t="array" aca="1" ref="E899" ca="1">(SUMPRODUCT($B$13:$F$13*D899/(1+B899)^$B$14:$F$14)+($F$13*D899*(1+C899))/(B899-C899)/(1+B899)^$F$14-$B$15+$B$16)/$B$17</f>
        <v>1753.4749950854134</v>
      </c>
      <c r="F899" s="304"/>
      <c r="G899" s="304"/>
      <c r="H899" s="304"/>
      <c r="I899" s="304"/>
      <c r="J899" s="304"/>
      <c r="K899" s="304"/>
      <c r="L899" s="304"/>
      <c r="M899" s="304"/>
      <c r="N899" s="304"/>
      <c r="O899" s="304"/>
      <c r="P899" s="304"/>
      <c r="Q899" s="304"/>
    </row>
    <row r="900" spans="1:17" ht="13.8" x14ac:dyDescent="0.3">
      <c r="A900" s="388">
        <f t="shared" si="53"/>
        <v>878</v>
      </c>
      <c r="B900" s="389">
        <f t="shared" ca="1" si="54"/>
        <v>9.7567334396097244E-2</v>
      </c>
      <c r="C900" s="389">
        <f t="shared" ca="1" si="55"/>
        <v>5.1793727948327928E-2</v>
      </c>
      <c r="D900" s="390">
        <f t="shared" ca="1" si="56"/>
        <v>1.0827841372866911</v>
      </c>
      <c r="E900" s="391" cm="1">
        <f t="array" aca="1" ref="E900" ca="1">(SUMPRODUCT($B$13:$F$13*D900/(1+B900)^$B$14:$F$14)+($F$13*D900*(1+C900))/(B900-C900)/(1+B900)^$F$14-$B$15+$B$16)/$B$17</f>
        <v>2628.7530997019257</v>
      </c>
      <c r="F900" s="304"/>
      <c r="G900" s="304"/>
      <c r="H900" s="304"/>
      <c r="I900" s="304"/>
      <c r="J900" s="304"/>
      <c r="K900" s="304"/>
      <c r="L900" s="304"/>
      <c r="M900" s="304"/>
      <c r="N900" s="304"/>
      <c r="O900" s="304"/>
      <c r="P900" s="304"/>
      <c r="Q900" s="304"/>
    </row>
    <row r="901" spans="1:17" ht="13.8" x14ac:dyDescent="0.3">
      <c r="A901" s="388">
        <f t="shared" si="53"/>
        <v>879</v>
      </c>
      <c r="B901" s="389">
        <f t="shared" ca="1" si="54"/>
        <v>0.12141551170808794</v>
      </c>
      <c r="C901" s="389">
        <f t="shared" ca="1" si="55"/>
        <v>5.6157242089449333E-2</v>
      </c>
      <c r="D901" s="390">
        <f t="shared" ca="1" si="56"/>
        <v>1.0623178551226515</v>
      </c>
      <c r="E901" s="391" cm="1">
        <f t="array" aca="1" ref="E901" ca="1">(SUMPRODUCT($B$13:$F$13*D901/(1+B901)^$B$14:$F$14)+($F$13*D901*(1+C901))/(B901-C901)/(1+B901)^$F$14-$B$15+$B$16)/$B$17</f>
        <v>1740.2498521145039</v>
      </c>
      <c r="F901" s="304"/>
      <c r="G901" s="304"/>
      <c r="H901" s="304"/>
      <c r="I901" s="304"/>
      <c r="J901" s="304"/>
      <c r="K901" s="304"/>
      <c r="L901" s="304"/>
      <c r="M901" s="304"/>
      <c r="N901" s="304"/>
      <c r="O901" s="304"/>
      <c r="P901" s="304"/>
      <c r="Q901" s="304"/>
    </row>
    <row r="902" spans="1:17" ht="13.8" x14ac:dyDescent="0.3">
      <c r="A902" s="388">
        <f t="shared" si="53"/>
        <v>880</v>
      </c>
      <c r="B902" s="389">
        <f t="shared" ca="1" si="54"/>
        <v>0.12162254693309109</v>
      </c>
      <c r="C902" s="389">
        <f t="shared" ca="1" si="55"/>
        <v>3.833180803310169E-2</v>
      </c>
      <c r="D902" s="390">
        <f t="shared" ca="1" si="56"/>
        <v>1.1586775945043977</v>
      </c>
      <c r="E902" s="391" cm="1">
        <f t="array" aca="1" ref="E902" ca="1">(SUMPRODUCT($B$13:$F$13*D902/(1+B902)^$B$14:$F$14)+($F$13*D902*(1+C902))/(B902-C902)/(1+B902)^$F$14-$B$15+$B$16)/$B$17</f>
        <v>1544.1276935373423</v>
      </c>
      <c r="F902" s="304"/>
      <c r="G902" s="304"/>
      <c r="H902" s="304"/>
      <c r="I902" s="304"/>
      <c r="J902" s="304"/>
      <c r="K902" s="304"/>
      <c r="L902" s="304"/>
      <c r="M902" s="304"/>
      <c r="N902" s="304"/>
      <c r="O902" s="304"/>
      <c r="P902" s="304"/>
      <c r="Q902" s="304"/>
    </row>
    <row r="903" spans="1:17" ht="13.8" x14ac:dyDescent="0.3">
      <c r="A903" s="388">
        <f t="shared" si="53"/>
        <v>881</v>
      </c>
      <c r="B903" s="389">
        <f t="shared" ca="1" si="54"/>
        <v>0.11838211336800808</v>
      </c>
      <c r="C903" s="389">
        <f t="shared" ca="1" si="55"/>
        <v>6.1533713378349966E-2</v>
      </c>
      <c r="D903" s="390">
        <f t="shared" ca="1" si="56"/>
        <v>0.93430972077828001</v>
      </c>
      <c r="E903" s="391" cm="1">
        <f t="array" aca="1" ref="E903" ca="1">(SUMPRODUCT($B$13:$F$13*D903/(1+B903)^$B$14:$F$14)+($F$13*D903*(1+C903))/(B903-C903)/(1+B903)^$F$14-$B$15+$B$16)/$B$17</f>
        <v>1738.6855086340049</v>
      </c>
      <c r="F903" s="304"/>
      <c r="G903" s="304"/>
      <c r="H903" s="304"/>
      <c r="I903" s="304"/>
      <c r="J903" s="304"/>
      <c r="K903" s="304"/>
      <c r="L903" s="304"/>
      <c r="M903" s="304"/>
      <c r="N903" s="304"/>
      <c r="O903" s="304"/>
      <c r="P903" s="304"/>
      <c r="Q903" s="304"/>
    </row>
    <row r="904" spans="1:17" ht="13.8" x14ac:dyDescent="0.3">
      <c r="A904" s="388">
        <f t="shared" si="53"/>
        <v>882</v>
      </c>
      <c r="B904" s="389">
        <f t="shared" ca="1" si="54"/>
        <v>0.12365813392122689</v>
      </c>
      <c r="C904" s="389">
        <f t="shared" ca="1" si="55"/>
        <v>5.6279853248275127E-2</v>
      </c>
      <c r="D904" s="390">
        <f t="shared" ca="1" si="56"/>
        <v>1.1359658823155634</v>
      </c>
      <c r="E904" s="391" cm="1">
        <f t="array" aca="1" ref="E904" ca="1">(SUMPRODUCT($B$13:$F$13*D904/(1+B904)^$B$14:$F$14)+($F$13*D904*(1+C904))/(B904-C904)/(1+B904)^$F$14-$B$15+$B$16)/$B$17</f>
        <v>1800.3145302989237</v>
      </c>
      <c r="F904" s="304"/>
      <c r="G904" s="304"/>
      <c r="H904" s="304"/>
      <c r="I904" s="304"/>
      <c r="J904" s="304"/>
      <c r="K904" s="304"/>
      <c r="L904" s="304"/>
      <c r="M904" s="304"/>
      <c r="N904" s="304"/>
      <c r="O904" s="304"/>
      <c r="P904" s="304"/>
      <c r="Q904" s="304"/>
    </row>
    <row r="905" spans="1:17" ht="13.8" x14ac:dyDescent="0.3">
      <c r="A905" s="388">
        <f t="shared" si="53"/>
        <v>883</v>
      </c>
      <c r="B905" s="389">
        <f t="shared" ca="1" si="54"/>
        <v>0.13580927574342672</v>
      </c>
      <c r="C905" s="389">
        <f t="shared" ca="1" si="55"/>
        <v>4.7868074757539701E-2</v>
      </c>
      <c r="D905" s="390">
        <f t="shared" ca="1" si="56"/>
        <v>0.87264828680248763</v>
      </c>
      <c r="E905" s="391" cm="1">
        <f t="array" aca="1" ref="E905" ca="1">(SUMPRODUCT($B$13:$F$13*D905/(1+B905)^$B$14:$F$14)+($F$13*D905*(1+C905))/(B905-C905)/(1+B905)^$F$14-$B$15+$B$16)/$B$17</f>
        <v>1051.146179027992</v>
      </c>
      <c r="F905" s="304"/>
      <c r="G905" s="304"/>
      <c r="H905" s="304"/>
      <c r="I905" s="304"/>
      <c r="J905" s="304"/>
      <c r="K905" s="304"/>
      <c r="L905" s="304"/>
      <c r="M905" s="304"/>
      <c r="N905" s="304"/>
      <c r="O905" s="304"/>
      <c r="P905" s="304"/>
      <c r="Q905" s="304"/>
    </row>
    <row r="906" spans="1:17" ht="13.8" x14ac:dyDescent="0.3">
      <c r="A906" s="388">
        <f t="shared" si="53"/>
        <v>884</v>
      </c>
      <c r="B906" s="389">
        <f t="shared" ca="1" si="54"/>
        <v>0.14311877753443994</v>
      </c>
      <c r="C906" s="389">
        <f t="shared" ca="1" si="55"/>
        <v>5.506485642868203E-2</v>
      </c>
      <c r="D906" s="390">
        <f t="shared" ca="1" si="56"/>
        <v>1.0027944372771753</v>
      </c>
      <c r="E906" s="391" cm="1">
        <f t="array" aca="1" ref="E906" ca="1">(SUMPRODUCT($B$13:$F$13*D906/(1+B906)^$B$14:$F$14)+($F$13*D906*(1+C906))/(B906-C906)/(1+B906)^$F$14-$B$15+$B$16)/$B$17</f>
        <v>1186.1893094836967</v>
      </c>
      <c r="F906" s="304"/>
      <c r="G906" s="304"/>
      <c r="H906" s="304"/>
      <c r="I906" s="304"/>
      <c r="J906" s="304"/>
      <c r="K906" s="304"/>
      <c r="L906" s="304"/>
      <c r="M906" s="304"/>
      <c r="N906" s="304"/>
      <c r="O906" s="304"/>
      <c r="P906" s="304"/>
      <c r="Q906" s="304"/>
    </row>
    <row r="907" spans="1:17" ht="13.8" x14ac:dyDescent="0.3">
      <c r="A907" s="388">
        <f t="shared" si="53"/>
        <v>885</v>
      </c>
      <c r="B907" s="389">
        <f t="shared" ca="1" si="54"/>
        <v>0.13684367774590728</v>
      </c>
      <c r="C907" s="389">
        <f t="shared" ca="1" si="55"/>
        <v>5.7970719181835238E-2</v>
      </c>
      <c r="D907" s="390">
        <f t="shared" ca="1" si="56"/>
        <v>1.0760279033253917</v>
      </c>
      <c r="E907" s="391" cm="1">
        <f t="array" aca="1" ref="E907" ca="1">(SUMPRODUCT($B$13:$F$13*D907/(1+B907)^$B$14:$F$14)+($F$13*D907*(1+C907))/(B907-C907)/(1+B907)^$F$14-$B$15+$B$16)/$B$17</f>
        <v>1427.2286349380092</v>
      </c>
      <c r="F907" s="304"/>
      <c r="G907" s="304"/>
      <c r="H907" s="304"/>
      <c r="I907" s="304"/>
      <c r="J907" s="304"/>
      <c r="K907" s="304"/>
      <c r="L907" s="304"/>
      <c r="M907" s="304"/>
      <c r="N907" s="304"/>
      <c r="O907" s="304"/>
      <c r="P907" s="304"/>
      <c r="Q907" s="304"/>
    </row>
    <row r="908" spans="1:17" ht="13.8" x14ac:dyDescent="0.3">
      <c r="A908" s="388">
        <f t="shared" si="53"/>
        <v>886</v>
      </c>
      <c r="B908" s="389">
        <f t="shared" ca="1" si="54"/>
        <v>0.12920911913843475</v>
      </c>
      <c r="C908" s="389">
        <f t="shared" ca="1" si="55"/>
        <v>6.6444503426741075E-2</v>
      </c>
      <c r="D908" s="390">
        <f t="shared" ca="1" si="56"/>
        <v>0.89056615888272117</v>
      </c>
      <c r="E908" s="391" cm="1">
        <f t="array" aca="1" ref="E908" ca="1">(SUMPRODUCT($B$13:$F$13*D908/(1+B908)^$B$14:$F$14)+($F$13*D908*(1+C908))/(B908-C908)/(1+B908)^$F$14-$B$15+$B$16)/$B$17</f>
        <v>1464.3586089803821</v>
      </c>
      <c r="F908" s="304"/>
      <c r="G908" s="304"/>
      <c r="H908" s="304"/>
      <c r="I908" s="304"/>
      <c r="J908" s="304"/>
      <c r="K908" s="304"/>
      <c r="L908" s="304"/>
      <c r="M908" s="304"/>
      <c r="N908" s="304"/>
      <c r="O908" s="304"/>
      <c r="P908" s="304"/>
      <c r="Q908" s="304"/>
    </row>
    <row r="909" spans="1:17" ht="13.8" x14ac:dyDescent="0.3">
      <c r="A909" s="388">
        <f t="shared" si="53"/>
        <v>887</v>
      </c>
      <c r="B909" s="389">
        <f t="shared" ca="1" si="54"/>
        <v>0.13129786328113893</v>
      </c>
      <c r="C909" s="389">
        <f t="shared" ca="1" si="55"/>
        <v>4.8790438587368312E-2</v>
      </c>
      <c r="D909" s="390">
        <f t="shared" ca="1" si="56"/>
        <v>1.0675837651834355</v>
      </c>
      <c r="E909" s="391" cm="1">
        <f t="array" aca="1" ref="E909" ca="1">(SUMPRODUCT($B$13:$F$13*D909/(1+B909)^$B$14:$F$14)+($F$13*D909*(1+C909))/(B909-C909)/(1+B909)^$F$14-$B$15+$B$16)/$B$17</f>
        <v>1387.0292446325532</v>
      </c>
      <c r="F909" s="304"/>
      <c r="G909" s="304"/>
      <c r="H909" s="304"/>
      <c r="I909" s="304"/>
      <c r="J909" s="304"/>
      <c r="K909" s="304"/>
      <c r="L909" s="304"/>
      <c r="M909" s="304"/>
      <c r="N909" s="304"/>
      <c r="O909" s="304"/>
      <c r="P909" s="304"/>
      <c r="Q909" s="304"/>
    </row>
    <row r="910" spans="1:17" ht="13.8" x14ac:dyDescent="0.3">
      <c r="A910" s="388">
        <f t="shared" si="53"/>
        <v>888</v>
      </c>
      <c r="B910" s="389">
        <f t="shared" ca="1" si="54"/>
        <v>0.13505051833082898</v>
      </c>
      <c r="C910" s="389">
        <f t="shared" ca="1" si="55"/>
        <v>4.4417280674226775E-2</v>
      </c>
      <c r="D910" s="390">
        <f t="shared" ca="1" si="56"/>
        <v>1.0035868502714864</v>
      </c>
      <c r="E910" s="391" cm="1">
        <f t="array" aca="1" ref="E910" ca="1">(SUMPRODUCT($B$13:$F$13*D910/(1+B910)^$B$14:$F$14)+($F$13*D910*(1+C910))/(B910-C910)/(1+B910)^$F$14-$B$15+$B$16)/$B$17</f>
        <v>1188.7896877241726</v>
      </c>
      <c r="F910" s="304"/>
      <c r="G910" s="304"/>
      <c r="H910" s="304"/>
      <c r="I910" s="304"/>
      <c r="J910" s="304"/>
      <c r="K910" s="304"/>
      <c r="L910" s="304"/>
      <c r="M910" s="304"/>
      <c r="N910" s="304"/>
      <c r="O910" s="304"/>
      <c r="P910" s="304"/>
      <c r="Q910" s="304"/>
    </row>
    <row r="911" spans="1:17" ht="13.8" x14ac:dyDescent="0.3">
      <c r="A911" s="388">
        <f t="shared" si="53"/>
        <v>889</v>
      </c>
      <c r="B911" s="389">
        <f t="shared" ca="1" si="54"/>
        <v>0.10993032655123473</v>
      </c>
      <c r="C911" s="389">
        <f t="shared" ca="1" si="55"/>
        <v>5.6461202095491915E-2</v>
      </c>
      <c r="D911" s="390">
        <f t="shared" ca="1" si="56"/>
        <v>0.92103732135587579</v>
      </c>
      <c r="E911" s="391" cm="1">
        <f t="array" aca="1" ref="E911" ca="1">(SUMPRODUCT($B$13:$F$13*D911/(1+B911)^$B$14:$F$14)+($F$13*D911*(1+C911))/(B911-C911)/(1+B911)^$F$14-$B$15+$B$16)/$B$17</f>
        <v>1860.0504407157221</v>
      </c>
      <c r="F911" s="304"/>
      <c r="G911" s="304"/>
      <c r="H911" s="304"/>
      <c r="I911" s="304"/>
      <c r="J911" s="304"/>
      <c r="K911" s="304"/>
      <c r="L911" s="304"/>
      <c r="M911" s="304"/>
      <c r="N911" s="304"/>
      <c r="O911" s="304"/>
      <c r="P911" s="304"/>
      <c r="Q911" s="304"/>
    </row>
    <row r="912" spans="1:17" ht="13.8" x14ac:dyDescent="0.3">
      <c r="A912" s="388">
        <f t="shared" si="53"/>
        <v>890</v>
      </c>
      <c r="B912" s="389">
        <f t="shared" ca="1" si="54"/>
        <v>0.11871170857243007</v>
      </c>
      <c r="C912" s="389">
        <f t="shared" ca="1" si="55"/>
        <v>5.7921876933188232E-2</v>
      </c>
      <c r="D912" s="390">
        <f t="shared" ca="1" si="56"/>
        <v>0.91508317432734043</v>
      </c>
      <c r="E912" s="391" cm="1">
        <f t="array" aca="1" ref="E912" ca="1">(SUMPRODUCT($B$13:$F$13*D912/(1+B912)^$B$14:$F$14)+($F$13*D912*(1+C912))/(B912-C912)/(1+B912)^$F$14-$B$15+$B$16)/$B$17</f>
        <v>1602.2314096383354</v>
      </c>
      <c r="F912" s="304"/>
      <c r="G912" s="304"/>
      <c r="H912" s="304"/>
      <c r="I912" s="304"/>
      <c r="J912" s="304"/>
      <c r="K912" s="304"/>
      <c r="L912" s="304"/>
      <c r="M912" s="304"/>
      <c r="N912" s="304"/>
      <c r="O912" s="304"/>
      <c r="P912" s="304"/>
      <c r="Q912" s="304"/>
    </row>
    <row r="913" spans="1:17" ht="13.8" x14ac:dyDescent="0.3">
      <c r="A913" s="388">
        <f t="shared" si="53"/>
        <v>891</v>
      </c>
      <c r="B913" s="389">
        <f t="shared" ca="1" si="54"/>
        <v>0.1466215985632815</v>
      </c>
      <c r="C913" s="389">
        <f t="shared" ca="1" si="55"/>
        <v>4.8665479026943112E-2</v>
      </c>
      <c r="D913" s="390">
        <f t="shared" ca="1" si="56"/>
        <v>1.1391602614838343</v>
      </c>
      <c r="E913" s="391" cm="1">
        <f t="array" aca="1" ref="E913" ca="1">(SUMPRODUCT($B$13:$F$13*D913/(1+B913)^$B$14:$F$14)+($F$13*D913*(1+C913))/(B913-C913)/(1+B913)^$F$14-$B$15+$B$16)/$B$17</f>
        <v>1227.4069524193444</v>
      </c>
      <c r="F913" s="304"/>
      <c r="G913" s="304"/>
      <c r="H913" s="304"/>
      <c r="I913" s="304"/>
      <c r="J913" s="304"/>
      <c r="K913" s="304"/>
      <c r="L913" s="304"/>
      <c r="M913" s="304"/>
      <c r="N913" s="304"/>
      <c r="O913" s="304"/>
      <c r="P913" s="304"/>
      <c r="Q913" s="304"/>
    </row>
    <row r="914" spans="1:17" ht="13.8" x14ac:dyDescent="0.3">
      <c r="A914" s="388">
        <f t="shared" si="53"/>
        <v>892</v>
      </c>
      <c r="B914" s="389">
        <f t="shared" ca="1" si="54"/>
        <v>0.14878111335370614</v>
      </c>
      <c r="C914" s="389">
        <f t="shared" ca="1" si="55"/>
        <v>4.0162583767515664E-2</v>
      </c>
      <c r="D914" s="390">
        <f t="shared" ca="1" si="56"/>
        <v>1.2371699831126395</v>
      </c>
      <c r="E914" s="391" cm="1">
        <f t="array" aca="1" ref="E914" ca="1">(SUMPRODUCT($B$13:$F$13*D914/(1+B914)^$B$14:$F$14)+($F$13*D914*(1+C914))/(B914-C914)/(1+B914)^$F$14-$B$15+$B$16)/$B$17</f>
        <v>1222.9086409178458</v>
      </c>
      <c r="F914" s="304"/>
      <c r="G914" s="304"/>
      <c r="H914" s="304"/>
      <c r="I914" s="304"/>
      <c r="J914" s="304"/>
      <c r="K914" s="304"/>
      <c r="L914" s="304"/>
      <c r="M914" s="304"/>
      <c r="N914" s="304"/>
      <c r="O914" s="304"/>
      <c r="P914" s="304"/>
      <c r="Q914" s="304"/>
    </row>
    <row r="915" spans="1:17" ht="13.8" x14ac:dyDescent="0.3">
      <c r="A915" s="388">
        <f t="shared" si="53"/>
        <v>893</v>
      </c>
      <c r="B915" s="389">
        <f t="shared" ca="1" si="54"/>
        <v>0.12633405279893553</v>
      </c>
      <c r="C915" s="389">
        <f t="shared" ca="1" si="55"/>
        <v>4.7402366811018601E-2</v>
      </c>
      <c r="D915" s="390">
        <f t="shared" ca="1" si="56"/>
        <v>0.92019375250602931</v>
      </c>
      <c r="E915" s="391" cm="1">
        <f t="array" aca="1" ref="E915" ca="1">(SUMPRODUCT($B$13:$F$13*D915/(1+B915)^$B$14:$F$14)+($F$13*D915*(1+C915))/(B915-C915)/(1+B915)^$F$14-$B$15+$B$16)/$B$17</f>
        <v>1254.123220265494</v>
      </c>
      <c r="F915" s="304"/>
      <c r="G915" s="304"/>
      <c r="H915" s="304"/>
      <c r="I915" s="304"/>
      <c r="J915" s="304"/>
      <c r="K915" s="304"/>
      <c r="L915" s="304"/>
      <c r="M915" s="304"/>
      <c r="N915" s="304"/>
      <c r="O915" s="304"/>
      <c r="P915" s="304"/>
      <c r="Q915" s="304"/>
    </row>
    <row r="916" spans="1:17" ht="13.8" x14ac:dyDescent="0.3">
      <c r="A916" s="388">
        <f t="shared" si="53"/>
        <v>894</v>
      </c>
      <c r="B916" s="389">
        <f t="shared" ca="1" si="54"/>
        <v>0.13527093753294972</v>
      </c>
      <c r="C916" s="389">
        <f t="shared" ca="1" si="55"/>
        <v>4.1673403620662755E-2</v>
      </c>
      <c r="D916" s="390">
        <f t="shared" ca="1" si="56"/>
        <v>0.91628849721265271</v>
      </c>
      <c r="E916" s="391" cm="1">
        <f t="array" aca="1" ref="E916" ca="1">(SUMPRODUCT($B$13:$F$13*D916/(1+B916)^$B$14:$F$14)+($F$13*D916*(1+C916))/(B916-C916)/(1+B916)^$F$14-$B$15+$B$16)/$B$17</f>
        <v>1052.0662481139716</v>
      </c>
      <c r="F916" s="304"/>
      <c r="G916" s="304"/>
      <c r="H916" s="304"/>
      <c r="I916" s="304"/>
      <c r="J916" s="304"/>
      <c r="K916" s="304"/>
      <c r="L916" s="304"/>
      <c r="M916" s="304"/>
      <c r="N916" s="304"/>
      <c r="O916" s="304"/>
      <c r="P916" s="304"/>
      <c r="Q916" s="304"/>
    </row>
    <row r="917" spans="1:17" ht="13.8" x14ac:dyDescent="0.3">
      <c r="A917" s="388">
        <f t="shared" si="53"/>
        <v>895</v>
      </c>
      <c r="B917" s="389">
        <f t="shared" ca="1" si="54"/>
        <v>0.10222056422136876</v>
      </c>
      <c r="C917" s="389">
        <f t="shared" ca="1" si="55"/>
        <v>5.1469855068396402E-2</v>
      </c>
      <c r="D917" s="390">
        <f t="shared" ca="1" si="56"/>
        <v>1.053528275140565</v>
      </c>
      <c r="E917" s="391" cm="1">
        <f t="array" aca="1" ref="E917" ca="1">(SUMPRODUCT($B$13:$F$13*D917/(1+B917)^$B$14:$F$14)+($F$13*D917*(1+C917))/(B917-C917)/(1+B917)^$F$14-$B$15+$B$16)/$B$17</f>
        <v>2293.6794404890497</v>
      </c>
      <c r="F917" s="304"/>
      <c r="G917" s="304"/>
      <c r="H917" s="304"/>
      <c r="I917" s="304"/>
      <c r="J917" s="304"/>
      <c r="K917" s="304"/>
      <c r="L917" s="304"/>
      <c r="M917" s="304"/>
      <c r="N917" s="304"/>
      <c r="O917" s="304"/>
      <c r="P917" s="304"/>
      <c r="Q917" s="304"/>
    </row>
    <row r="918" spans="1:17" ht="13.8" x14ac:dyDescent="0.3">
      <c r="A918" s="388">
        <f t="shared" si="53"/>
        <v>896</v>
      </c>
      <c r="B918" s="389">
        <f t="shared" ca="1" si="54"/>
        <v>0.12590047221975517</v>
      </c>
      <c r="C918" s="389">
        <f t="shared" ca="1" si="55"/>
        <v>4.3783249767063825E-2</v>
      </c>
      <c r="D918" s="390">
        <f t="shared" ca="1" si="56"/>
        <v>0.92839657968307709</v>
      </c>
      <c r="E918" s="391" cm="1">
        <f t="array" aca="1" ref="E918" ca="1">(SUMPRODUCT($B$13:$F$13*D918/(1+B918)^$B$14:$F$14)+($F$13*D918*(1+C918))/(B918-C918)/(1+B918)^$F$14-$B$15+$B$16)/$B$17</f>
        <v>1225.6999482806089</v>
      </c>
      <c r="F918" s="304"/>
      <c r="G918" s="304"/>
      <c r="H918" s="304"/>
      <c r="I918" s="304"/>
      <c r="J918" s="304"/>
      <c r="K918" s="304"/>
      <c r="L918" s="304"/>
      <c r="M918" s="304"/>
      <c r="N918" s="304"/>
      <c r="O918" s="304"/>
      <c r="P918" s="304"/>
      <c r="Q918" s="304"/>
    </row>
    <row r="919" spans="1:17" ht="13.8" x14ac:dyDescent="0.3">
      <c r="A919" s="388">
        <f t="shared" si="53"/>
        <v>897</v>
      </c>
      <c r="B919" s="389">
        <f t="shared" ca="1" si="54"/>
        <v>0.13013263059543481</v>
      </c>
      <c r="C919" s="389">
        <f t="shared" ca="1" si="55"/>
        <v>5.1805990614382957E-2</v>
      </c>
      <c r="D919" s="390">
        <f t="shared" ca="1" si="56"/>
        <v>1.1261375897858996</v>
      </c>
      <c r="E919" s="391" cm="1">
        <f t="array" aca="1" ref="E919" ca="1">(SUMPRODUCT($B$13:$F$13*D919/(1+B919)^$B$14:$F$14)+($F$13*D919*(1+C919))/(B919-C919)/(1+B919)^$F$14-$B$15+$B$16)/$B$17</f>
        <v>1536.8979116587934</v>
      </c>
      <c r="F919" s="304"/>
      <c r="G919" s="304"/>
      <c r="H919" s="304"/>
      <c r="I919" s="304"/>
      <c r="J919" s="304"/>
      <c r="K919" s="304"/>
      <c r="L919" s="304"/>
      <c r="M919" s="304"/>
      <c r="N919" s="304"/>
      <c r="O919" s="304"/>
      <c r="P919" s="304"/>
      <c r="Q919" s="304"/>
    </row>
    <row r="920" spans="1:17" ht="13.8" x14ac:dyDescent="0.3">
      <c r="A920" s="388">
        <f t="shared" ref="A920:A983" si="57">ROW()-22</f>
        <v>898</v>
      </c>
      <c r="B920" s="389">
        <f t="shared" ref="B920:B983" ca="1" si="58">_xlfn.NORM.INV(RAND(),$B$6,$C$6)</f>
        <v>0.11692937045835654</v>
      </c>
      <c r="C920" s="389">
        <f t="shared" ref="C920:C983" ca="1" si="59">MIN(_xlfn.NORM.INV(RAND(),$B$7,$C$7),B920-0.005)</f>
        <v>5.1443758404761536E-2</v>
      </c>
      <c r="D920" s="390">
        <f t="shared" ref="D920:D983" ca="1" si="60">_xlfn.NORM.INV(RAND(),$B$8,$C$8)</f>
        <v>0.96479688616029979</v>
      </c>
      <c r="E920" s="391" cm="1">
        <f t="array" aca="1" ref="E920" ca="1">(SUMPRODUCT($B$13:$F$13*D920/(1+B920)^$B$14:$F$14)+($F$13*D920*(1+C920))/(B920-C920)/(1+B920)^$F$14-$B$15+$B$16)/$B$17</f>
        <v>1594.2894318293791</v>
      </c>
      <c r="F920" s="304"/>
      <c r="G920" s="304"/>
      <c r="H920" s="304"/>
      <c r="I920" s="304"/>
      <c r="J920" s="304"/>
      <c r="K920" s="304"/>
      <c r="L920" s="304"/>
      <c r="M920" s="304"/>
      <c r="N920" s="304"/>
      <c r="O920" s="304"/>
      <c r="P920" s="304"/>
      <c r="Q920" s="304"/>
    </row>
    <row r="921" spans="1:17" ht="13.8" x14ac:dyDescent="0.3">
      <c r="A921" s="388">
        <f t="shared" si="57"/>
        <v>899</v>
      </c>
      <c r="B921" s="389">
        <f t="shared" ca="1" si="58"/>
        <v>0.13420354051936934</v>
      </c>
      <c r="C921" s="389">
        <f t="shared" ca="1" si="59"/>
        <v>4.6668262417931858E-2</v>
      </c>
      <c r="D921" s="390">
        <f t="shared" ca="1" si="60"/>
        <v>1.0415500253849459</v>
      </c>
      <c r="E921" s="391" cm="1">
        <f t="array" aca="1" ref="E921" ca="1">(SUMPRODUCT($B$13:$F$13*D921/(1+B921)^$B$14:$F$14)+($F$13*D921*(1+C921))/(B921-C921)/(1+B921)^$F$14-$B$15+$B$16)/$B$17</f>
        <v>1275.0878884725371</v>
      </c>
      <c r="F921" s="304"/>
      <c r="G921" s="304"/>
      <c r="H921" s="304"/>
      <c r="I921" s="304"/>
      <c r="J921" s="304"/>
      <c r="K921" s="304"/>
      <c r="L921" s="304"/>
      <c r="M921" s="304"/>
      <c r="N921" s="304"/>
      <c r="O921" s="304"/>
      <c r="P921" s="304"/>
      <c r="Q921" s="304"/>
    </row>
    <row r="922" spans="1:17" ht="13.8" x14ac:dyDescent="0.3">
      <c r="A922" s="388">
        <f t="shared" si="57"/>
        <v>900</v>
      </c>
      <c r="B922" s="389">
        <f t="shared" ca="1" si="58"/>
        <v>0.132180208986345</v>
      </c>
      <c r="C922" s="389">
        <f t="shared" ca="1" si="59"/>
        <v>5.3426734077958768E-2</v>
      </c>
      <c r="D922" s="390">
        <f t="shared" ca="1" si="60"/>
        <v>1.0580483970666952</v>
      </c>
      <c r="E922" s="391" cm="1">
        <f t="array" aca="1" ref="E922" ca="1">(SUMPRODUCT($B$13:$F$13*D922/(1+B922)^$B$14:$F$14)+($F$13*D922*(1+C922))/(B922-C922)/(1+B922)^$F$14-$B$15+$B$16)/$B$17</f>
        <v>1425.2162583352151</v>
      </c>
      <c r="F922" s="304"/>
      <c r="G922" s="304"/>
      <c r="H922" s="304"/>
      <c r="I922" s="304"/>
      <c r="J922" s="304"/>
      <c r="K922" s="304"/>
      <c r="L922" s="304"/>
      <c r="M922" s="304"/>
      <c r="N922" s="304"/>
      <c r="O922" s="304"/>
      <c r="P922" s="304"/>
      <c r="Q922" s="304"/>
    </row>
    <row r="923" spans="1:17" ht="13.8" x14ac:dyDescent="0.3">
      <c r="A923" s="388">
        <f t="shared" si="57"/>
        <v>901</v>
      </c>
      <c r="B923" s="389">
        <f t="shared" ca="1" si="58"/>
        <v>0.12706236014641936</v>
      </c>
      <c r="C923" s="389">
        <f t="shared" ca="1" si="59"/>
        <v>6.5079715452068837E-2</v>
      </c>
      <c r="D923" s="390">
        <f t="shared" ca="1" si="60"/>
        <v>1.0683544930448001</v>
      </c>
      <c r="E923" s="391" cm="1">
        <f t="array" aca="1" ref="E923" ca="1">(SUMPRODUCT($B$13:$F$13*D923/(1+B923)^$B$14:$F$14)+($F$13*D923*(1+C923))/(B923-C923)/(1+B923)^$F$14-$B$15+$B$16)/$B$17</f>
        <v>1797.9359603923688</v>
      </c>
      <c r="F923" s="304"/>
      <c r="G923" s="304"/>
      <c r="H923" s="304"/>
      <c r="I923" s="304"/>
      <c r="J923" s="304"/>
      <c r="K923" s="304"/>
      <c r="L923" s="304"/>
      <c r="M923" s="304"/>
      <c r="N923" s="304"/>
      <c r="O923" s="304"/>
      <c r="P923" s="304"/>
      <c r="Q923" s="304"/>
    </row>
    <row r="924" spans="1:17" ht="13.8" x14ac:dyDescent="0.3">
      <c r="A924" s="388">
        <f t="shared" si="57"/>
        <v>902</v>
      </c>
      <c r="B924" s="389">
        <f t="shared" ca="1" si="58"/>
        <v>0.10412093685337798</v>
      </c>
      <c r="C924" s="389">
        <f t="shared" ca="1" si="59"/>
        <v>5.127998121986925E-2</v>
      </c>
      <c r="D924" s="390">
        <f t="shared" ca="1" si="60"/>
        <v>1.0601849913913719</v>
      </c>
      <c r="E924" s="391" cm="1">
        <f t="array" aca="1" ref="E924" ca="1">(SUMPRODUCT($B$13:$F$13*D924/(1+B924)^$B$14:$F$14)+($F$13*D924*(1+C924))/(B924-C924)/(1+B924)^$F$14-$B$15+$B$16)/$B$17</f>
        <v>2212.7062779024495</v>
      </c>
      <c r="F924" s="304"/>
      <c r="G924" s="304"/>
      <c r="H924" s="304"/>
      <c r="I924" s="304"/>
      <c r="J924" s="304"/>
      <c r="K924" s="304"/>
      <c r="L924" s="304"/>
      <c r="M924" s="304"/>
      <c r="N924" s="304"/>
      <c r="O924" s="304"/>
      <c r="P924" s="304"/>
      <c r="Q924" s="304"/>
    </row>
    <row r="925" spans="1:17" ht="13.8" x14ac:dyDescent="0.3">
      <c r="A925" s="388">
        <f t="shared" si="57"/>
        <v>903</v>
      </c>
      <c r="B925" s="389">
        <f t="shared" ca="1" si="58"/>
        <v>0.11670421703388943</v>
      </c>
      <c r="C925" s="389">
        <f t="shared" ca="1" si="59"/>
        <v>5.0858738862439877E-2</v>
      </c>
      <c r="D925" s="390">
        <f t="shared" ca="1" si="60"/>
        <v>1.0749509162968771</v>
      </c>
      <c r="E925" s="391" cm="1">
        <f t="array" aca="1" ref="E925" ca="1">(SUMPRODUCT($B$13:$F$13*D925/(1+B925)^$B$14:$F$14)+($F$13*D925*(1+C925))/(B925-C925)/(1+B925)^$F$14-$B$15+$B$16)/$B$17</f>
        <v>1774.5653899153097</v>
      </c>
      <c r="F925" s="304"/>
      <c r="G925" s="304"/>
      <c r="H925" s="304"/>
      <c r="I925" s="304"/>
      <c r="J925" s="304"/>
      <c r="K925" s="304"/>
      <c r="L925" s="304"/>
      <c r="M925" s="304"/>
      <c r="N925" s="304"/>
      <c r="O925" s="304"/>
      <c r="P925" s="304"/>
      <c r="Q925" s="304"/>
    </row>
    <row r="926" spans="1:17" ht="13.8" x14ac:dyDescent="0.3">
      <c r="A926" s="388">
        <f t="shared" si="57"/>
        <v>904</v>
      </c>
      <c r="B926" s="389">
        <f t="shared" ca="1" si="58"/>
        <v>0.13209663306879507</v>
      </c>
      <c r="C926" s="389">
        <f t="shared" ca="1" si="59"/>
        <v>5.4941506687425867E-2</v>
      </c>
      <c r="D926" s="390">
        <f t="shared" ca="1" si="60"/>
        <v>0.96777552530036592</v>
      </c>
      <c r="E926" s="391" cm="1">
        <f t="array" aca="1" ref="E926" ca="1">(SUMPRODUCT($B$13:$F$13*D926/(1+B926)^$B$14:$F$14)+($F$13*D926*(1+C926))/(B926-C926)/(1+B926)^$F$14-$B$15+$B$16)/$B$17</f>
        <v>1322.7464884941348</v>
      </c>
      <c r="F926" s="304"/>
      <c r="G926" s="304"/>
      <c r="H926" s="304"/>
      <c r="I926" s="304"/>
      <c r="J926" s="304"/>
      <c r="K926" s="304"/>
      <c r="L926" s="304"/>
      <c r="M926" s="304"/>
      <c r="N926" s="304"/>
      <c r="O926" s="304"/>
      <c r="P926" s="304"/>
      <c r="Q926" s="304"/>
    </row>
    <row r="927" spans="1:17" ht="13.8" x14ac:dyDescent="0.3">
      <c r="A927" s="388">
        <f t="shared" si="57"/>
        <v>905</v>
      </c>
      <c r="B927" s="389">
        <f t="shared" ca="1" si="58"/>
        <v>0.13602825051873529</v>
      </c>
      <c r="C927" s="389">
        <f t="shared" ca="1" si="59"/>
        <v>4.6461273567288144E-2</v>
      </c>
      <c r="D927" s="390">
        <f t="shared" ca="1" si="60"/>
        <v>0.95035647143505386</v>
      </c>
      <c r="E927" s="391" cm="1">
        <f t="array" aca="1" ref="E927" ca="1">(SUMPRODUCT($B$13:$F$13*D927/(1+B927)^$B$14:$F$14)+($F$13*D927*(1+C927))/(B927-C927)/(1+B927)^$F$14-$B$15+$B$16)/$B$17</f>
        <v>1130.8145555144943</v>
      </c>
      <c r="F927" s="304"/>
      <c r="G927" s="304"/>
      <c r="H927" s="304"/>
      <c r="I927" s="304"/>
      <c r="J927" s="304"/>
      <c r="K927" s="304"/>
      <c r="L927" s="304"/>
      <c r="M927" s="304"/>
      <c r="N927" s="304"/>
      <c r="O927" s="304"/>
      <c r="P927" s="304"/>
      <c r="Q927" s="304"/>
    </row>
    <row r="928" spans="1:17" ht="13.8" x14ac:dyDescent="0.3">
      <c r="A928" s="388">
        <f t="shared" si="57"/>
        <v>906</v>
      </c>
      <c r="B928" s="389">
        <f t="shared" ca="1" si="58"/>
        <v>0.13078225546622074</v>
      </c>
      <c r="C928" s="389">
        <f t="shared" ca="1" si="59"/>
        <v>4.3021937332143385E-2</v>
      </c>
      <c r="D928" s="390">
        <f t="shared" ca="1" si="60"/>
        <v>0.89183414800352712</v>
      </c>
      <c r="E928" s="391" cm="1">
        <f t="array" aca="1" ref="E928" ca="1">(SUMPRODUCT($B$13:$F$13*D928/(1+B928)^$B$14:$F$14)+($F$13*D928*(1+C928))/(B928-C928)/(1+B928)^$F$14-$B$15+$B$16)/$B$17</f>
        <v>1094.4605171042544</v>
      </c>
      <c r="F928" s="304"/>
      <c r="G928" s="304"/>
      <c r="H928" s="304"/>
      <c r="I928" s="304"/>
      <c r="J928" s="304"/>
      <c r="K928" s="304"/>
      <c r="L928" s="304"/>
      <c r="M928" s="304"/>
      <c r="N928" s="304"/>
      <c r="O928" s="304"/>
      <c r="P928" s="304"/>
      <c r="Q928" s="304"/>
    </row>
    <row r="929" spans="1:17" ht="13.8" x14ac:dyDescent="0.3">
      <c r="A929" s="388">
        <f t="shared" si="57"/>
        <v>907</v>
      </c>
      <c r="B929" s="389">
        <f t="shared" ca="1" si="58"/>
        <v>0.11621198483359724</v>
      </c>
      <c r="C929" s="389">
        <f t="shared" ca="1" si="59"/>
        <v>3.8771097687838728E-2</v>
      </c>
      <c r="D929" s="390">
        <f t="shared" ca="1" si="60"/>
        <v>1.0243026307433607</v>
      </c>
      <c r="E929" s="391" cm="1">
        <f t="array" aca="1" ref="E929" ca="1">(SUMPRODUCT($B$13:$F$13*D929/(1+B929)^$B$14:$F$14)+($F$13*D929*(1+C929))/(B929-C929)/(1+B929)^$F$14-$B$15+$B$16)/$B$17</f>
        <v>1471.1356783176182</v>
      </c>
      <c r="F929" s="304"/>
      <c r="G929" s="304"/>
      <c r="H929" s="304"/>
      <c r="I929" s="304"/>
      <c r="J929" s="304"/>
      <c r="K929" s="304"/>
      <c r="L929" s="304"/>
      <c r="M929" s="304"/>
      <c r="N929" s="304"/>
      <c r="O929" s="304"/>
      <c r="P929" s="304"/>
      <c r="Q929" s="304"/>
    </row>
    <row r="930" spans="1:17" ht="13.8" x14ac:dyDescent="0.3">
      <c r="A930" s="388">
        <f t="shared" si="57"/>
        <v>908</v>
      </c>
      <c r="B930" s="389">
        <f t="shared" ca="1" si="58"/>
        <v>0.10391493133643277</v>
      </c>
      <c r="C930" s="389">
        <f t="shared" ca="1" si="59"/>
        <v>4.4837115646798029E-2</v>
      </c>
      <c r="D930" s="390">
        <f t="shared" ca="1" si="60"/>
        <v>0.94049671698383164</v>
      </c>
      <c r="E930" s="391" cm="1">
        <f t="array" aca="1" ref="E930" ca="1">(SUMPRODUCT($B$13:$F$13*D930/(1+B930)^$B$14:$F$14)+($F$13*D930*(1+C930))/(B930-C930)/(1+B930)^$F$14-$B$15+$B$16)/$B$17</f>
        <v>1773.6986012235466</v>
      </c>
      <c r="F930" s="304"/>
      <c r="G930" s="304"/>
      <c r="H930" s="304"/>
      <c r="I930" s="304"/>
      <c r="J930" s="304"/>
      <c r="K930" s="304"/>
      <c r="L930" s="304"/>
      <c r="M930" s="304"/>
      <c r="N930" s="304"/>
      <c r="O930" s="304"/>
      <c r="P930" s="304"/>
      <c r="Q930" s="304"/>
    </row>
    <row r="931" spans="1:17" ht="13.8" x14ac:dyDescent="0.3">
      <c r="A931" s="388">
        <f t="shared" si="57"/>
        <v>909</v>
      </c>
      <c r="B931" s="389">
        <f t="shared" ca="1" si="58"/>
        <v>0.13022939966552635</v>
      </c>
      <c r="C931" s="389">
        <f t="shared" ca="1" si="59"/>
        <v>4.6521411356104297E-2</v>
      </c>
      <c r="D931" s="390">
        <f t="shared" ca="1" si="60"/>
        <v>0.80071257458888279</v>
      </c>
      <c r="E931" s="391" cm="1">
        <f t="array" aca="1" ref="E931" ca="1">(SUMPRODUCT($B$13:$F$13*D931/(1+B931)^$B$14:$F$14)+($F$13*D931*(1+C931))/(B931-C931)/(1+B931)^$F$14-$B$15+$B$16)/$B$17</f>
        <v>1019.3805691093268</v>
      </c>
      <c r="F931" s="304"/>
      <c r="G931" s="304"/>
      <c r="H931" s="304"/>
      <c r="I931" s="304"/>
      <c r="J931" s="304"/>
      <c r="K931" s="304"/>
      <c r="L931" s="304"/>
      <c r="M931" s="304"/>
      <c r="N931" s="304"/>
      <c r="O931" s="304"/>
      <c r="P931" s="304"/>
      <c r="Q931" s="304"/>
    </row>
    <row r="932" spans="1:17" ht="13.8" x14ac:dyDescent="0.3">
      <c r="A932" s="388">
        <f t="shared" si="57"/>
        <v>910</v>
      </c>
      <c r="B932" s="389">
        <f t="shared" ca="1" si="58"/>
        <v>0.13564430903095717</v>
      </c>
      <c r="C932" s="389">
        <f t="shared" ca="1" si="59"/>
        <v>4.0368168451873201E-2</v>
      </c>
      <c r="D932" s="390">
        <f t="shared" ca="1" si="60"/>
        <v>1.0333086844687811</v>
      </c>
      <c r="E932" s="391" cm="1">
        <f t="array" aca="1" ref="E932" ca="1">(SUMPRODUCT($B$13:$F$13*D932/(1+B932)^$B$14:$F$14)+($F$13*D932*(1+C932))/(B932-C932)/(1+B932)^$F$14-$B$15+$B$16)/$B$17</f>
        <v>1173.8509556932806</v>
      </c>
      <c r="F932" s="304"/>
      <c r="G932" s="304"/>
      <c r="H932" s="304"/>
      <c r="I932" s="304"/>
      <c r="J932" s="304"/>
      <c r="K932" s="304"/>
      <c r="L932" s="304"/>
      <c r="M932" s="304"/>
      <c r="N932" s="304"/>
      <c r="O932" s="304"/>
      <c r="P932" s="304"/>
      <c r="Q932" s="304"/>
    </row>
    <row r="933" spans="1:17" ht="13.8" x14ac:dyDescent="0.3">
      <c r="A933" s="388">
        <f t="shared" si="57"/>
        <v>911</v>
      </c>
      <c r="B933" s="389">
        <f t="shared" ca="1" si="58"/>
        <v>0.10992171632966279</v>
      </c>
      <c r="C933" s="389">
        <f t="shared" ca="1" si="59"/>
        <v>5.751476673000417E-2</v>
      </c>
      <c r="D933" s="390">
        <f t="shared" ca="1" si="60"/>
        <v>0.87063524044496854</v>
      </c>
      <c r="E933" s="391" cm="1">
        <f t="array" aca="1" ref="E933" ca="1">(SUMPRODUCT($B$13:$F$13*D933/(1+B933)^$B$14:$F$14)+($F$13*D933*(1+C933))/(B933-C933)/(1+B933)^$F$14-$B$15+$B$16)/$B$17</f>
        <v>1787.5835254868039</v>
      </c>
      <c r="F933" s="304"/>
      <c r="G933" s="304"/>
      <c r="H933" s="304"/>
      <c r="I933" s="304"/>
      <c r="J933" s="304"/>
      <c r="K933" s="304"/>
      <c r="L933" s="304"/>
      <c r="M933" s="304"/>
      <c r="N933" s="304"/>
      <c r="O933" s="304"/>
      <c r="P933" s="304"/>
      <c r="Q933" s="304"/>
    </row>
    <row r="934" spans="1:17" ht="13.8" x14ac:dyDescent="0.3">
      <c r="A934" s="388">
        <f t="shared" si="57"/>
        <v>912</v>
      </c>
      <c r="B934" s="389">
        <f t="shared" ca="1" si="58"/>
        <v>0.13169130391193809</v>
      </c>
      <c r="C934" s="389">
        <f t="shared" ca="1" si="59"/>
        <v>4.7906812408052488E-2</v>
      </c>
      <c r="D934" s="390">
        <f t="shared" ca="1" si="60"/>
        <v>0.8251733070274162</v>
      </c>
      <c r="E934" s="391" cm="1">
        <f t="array" aca="1" ref="E934" ca="1">(SUMPRODUCT($B$13:$F$13*D934/(1+B934)^$B$14:$F$14)+($F$13*D934*(1+C934))/(B934-C934)/(1+B934)^$F$14-$B$15+$B$16)/$B$17</f>
        <v>1046.2660663821521</v>
      </c>
      <c r="F934" s="304"/>
      <c r="G934" s="304"/>
      <c r="H934" s="304"/>
      <c r="I934" s="304"/>
      <c r="J934" s="304"/>
      <c r="K934" s="304"/>
      <c r="L934" s="304"/>
      <c r="M934" s="304"/>
      <c r="N934" s="304"/>
      <c r="O934" s="304"/>
      <c r="P934" s="304"/>
      <c r="Q934" s="304"/>
    </row>
    <row r="935" spans="1:17" ht="13.8" x14ac:dyDescent="0.3">
      <c r="A935" s="388">
        <f t="shared" si="57"/>
        <v>913</v>
      </c>
      <c r="B935" s="389">
        <f t="shared" ca="1" si="58"/>
        <v>0.1422516554982193</v>
      </c>
      <c r="C935" s="389">
        <f t="shared" ca="1" si="59"/>
        <v>5.7738277493939574E-2</v>
      </c>
      <c r="D935" s="390">
        <f t="shared" ca="1" si="60"/>
        <v>0.92423627416513354</v>
      </c>
      <c r="E935" s="391" cm="1">
        <f t="array" aca="1" ref="E935" ca="1">(SUMPRODUCT($B$13:$F$13*D935/(1+B935)^$B$14:$F$14)+($F$13*D935*(1+C935))/(B935-C935)/(1+B935)^$F$14-$B$15+$B$16)/$B$17</f>
        <v>1130.6719182091094</v>
      </c>
      <c r="F935" s="304"/>
      <c r="G935" s="304"/>
      <c r="H935" s="304"/>
      <c r="I935" s="304"/>
      <c r="J935" s="304"/>
      <c r="K935" s="304"/>
      <c r="L935" s="304"/>
      <c r="M935" s="304"/>
      <c r="N935" s="304"/>
      <c r="O935" s="304"/>
      <c r="P935" s="304"/>
      <c r="Q935" s="304"/>
    </row>
    <row r="936" spans="1:17" ht="13.8" x14ac:dyDescent="0.3">
      <c r="A936" s="388">
        <f t="shared" si="57"/>
        <v>914</v>
      </c>
      <c r="B936" s="389">
        <f t="shared" ca="1" si="58"/>
        <v>0.10451643569695776</v>
      </c>
      <c r="C936" s="389">
        <f t="shared" ca="1" si="59"/>
        <v>5.0738255409733507E-2</v>
      </c>
      <c r="D936" s="390">
        <f t="shared" ca="1" si="60"/>
        <v>0.96336347152172008</v>
      </c>
      <c r="E936" s="391" cm="1">
        <f t="array" aca="1" ref="E936" ca="1">(SUMPRODUCT($B$13:$F$13*D936/(1+B936)^$B$14:$F$14)+($F$13*D936*(1+C936))/(B936-C936)/(1+B936)^$F$14-$B$15+$B$16)/$B$17</f>
        <v>1972.4335387830527</v>
      </c>
      <c r="F936" s="304"/>
      <c r="G936" s="304"/>
      <c r="H936" s="304"/>
      <c r="I936" s="304"/>
      <c r="J936" s="304"/>
      <c r="K936" s="304"/>
      <c r="L936" s="304"/>
      <c r="M936" s="304"/>
      <c r="N936" s="304"/>
      <c r="O936" s="304"/>
      <c r="P936" s="304"/>
      <c r="Q936" s="304"/>
    </row>
    <row r="937" spans="1:17" ht="13.8" x14ac:dyDescent="0.3">
      <c r="A937" s="388">
        <f t="shared" si="57"/>
        <v>915</v>
      </c>
      <c r="B937" s="389">
        <f t="shared" ca="1" si="58"/>
        <v>0.10944297748510126</v>
      </c>
      <c r="C937" s="389">
        <f t="shared" ca="1" si="59"/>
        <v>4.9381679662196844E-2</v>
      </c>
      <c r="D937" s="390">
        <f t="shared" ca="1" si="60"/>
        <v>0.78923482050450755</v>
      </c>
      <c r="E937" s="391" cm="1">
        <f t="array" aca="1" ref="E937" ca="1">(SUMPRODUCT($B$13:$F$13*D937/(1+B937)^$B$14:$F$14)+($F$13*D937*(1+C937))/(B937-C937)/(1+B937)^$F$14-$B$15+$B$16)/$B$17</f>
        <v>1432.9076083537716</v>
      </c>
      <c r="F937" s="304"/>
      <c r="G937" s="304"/>
      <c r="H937" s="304"/>
      <c r="I937" s="304"/>
      <c r="J937" s="304"/>
      <c r="K937" s="304"/>
      <c r="L937" s="304"/>
      <c r="M937" s="304"/>
      <c r="N937" s="304"/>
      <c r="O937" s="304"/>
      <c r="P937" s="304"/>
      <c r="Q937" s="304"/>
    </row>
    <row r="938" spans="1:17" ht="13.8" x14ac:dyDescent="0.3">
      <c r="A938" s="388">
        <f t="shared" si="57"/>
        <v>916</v>
      </c>
      <c r="B938" s="389">
        <f t="shared" ca="1" si="58"/>
        <v>0.13372406634626208</v>
      </c>
      <c r="C938" s="389">
        <f t="shared" ca="1" si="59"/>
        <v>3.7224029802433278E-2</v>
      </c>
      <c r="D938" s="390">
        <f t="shared" ca="1" si="60"/>
        <v>1.1382648281567411</v>
      </c>
      <c r="E938" s="391" cm="1">
        <f t="array" aca="1" ref="E938" ca="1">(SUMPRODUCT($B$13:$F$13*D938/(1+B938)^$B$14:$F$14)+($F$13*D938*(1+C938))/(B938-C938)/(1+B938)^$F$14-$B$15+$B$16)/$B$17</f>
        <v>1292.2041186744434</v>
      </c>
      <c r="F938" s="304"/>
      <c r="G938" s="304"/>
      <c r="H938" s="304"/>
      <c r="I938" s="304"/>
      <c r="J938" s="304"/>
      <c r="K938" s="304"/>
      <c r="L938" s="304"/>
      <c r="M938" s="304"/>
      <c r="N938" s="304"/>
      <c r="O938" s="304"/>
      <c r="P938" s="304"/>
      <c r="Q938" s="304"/>
    </row>
    <row r="939" spans="1:17" ht="13.8" x14ac:dyDescent="0.3">
      <c r="A939" s="388">
        <f t="shared" si="57"/>
        <v>917</v>
      </c>
      <c r="B939" s="389">
        <f t="shared" ca="1" si="58"/>
        <v>0.13229676253043365</v>
      </c>
      <c r="C939" s="389">
        <f t="shared" ca="1" si="59"/>
        <v>4.7331582687443197E-2</v>
      </c>
      <c r="D939" s="390">
        <f t="shared" ca="1" si="60"/>
        <v>1.0864241328036088</v>
      </c>
      <c r="E939" s="391" cm="1">
        <f t="array" aca="1" ref="E939" ca="1">(SUMPRODUCT($B$13:$F$13*D939/(1+B939)^$B$14:$F$14)+($F$13*D939*(1+C939))/(B939-C939)/(1+B939)^$F$14-$B$15+$B$16)/$B$17</f>
        <v>1373.7476856781632</v>
      </c>
      <c r="F939" s="304"/>
      <c r="G939" s="304"/>
      <c r="H939" s="304"/>
      <c r="I939" s="304"/>
      <c r="J939" s="304"/>
      <c r="K939" s="304"/>
      <c r="L939" s="304"/>
      <c r="M939" s="304"/>
      <c r="N939" s="304"/>
      <c r="O939" s="304"/>
      <c r="P939" s="304"/>
      <c r="Q939" s="304"/>
    </row>
    <row r="940" spans="1:17" ht="13.8" x14ac:dyDescent="0.3">
      <c r="A940" s="388">
        <f t="shared" si="57"/>
        <v>918</v>
      </c>
      <c r="B940" s="389">
        <f t="shared" ca="1" si="58"/>
        <v>0.12556895386354838</v>
      </c>
      <c r="C940" s="389">
        <f t="shared" ca="1" si="59"/>
        <v>7.0665306857856103E-2</v>
      </c>
      <c r="D940" s="390">
        <f t="shared" ca="1" si="60"/>
        <v>0.91284131637490673</v>
      </c>
      <c r="E940" s="391" cm="1">
        <f t="array" aca="1" ref="E940" ca="1">(SUMPRODUCT($B$13:$F$13*D940/(1+B940)^$B$14:$F$14)+($F$13*D940*(1+C940))/(B940-C940)/(1+B940)^$F$14-$B$15+$B$16)/$B$17</f>
        <v>1710.7435220522175</v>
      </c>
      <c r="F940" s="304"/>
      <c r="G940" s="304"/>
      <c r="H940" s="304"/>
      <c r="I940" s="304"/>
      <c r="J940" s="304"/>
      <c r="K940" s="304"/>
      <c r="L940" s="304"/>
      <c r="M940" s="304"/>
      <c r="N940" s="304"/>
      <c r="O940" s="304"/>
      <c r="P940" s="304"/>
      <c r="Q940" s="304"/>
    </row>
    <row r="941" spans="1:17" ht="13.8" x14ac:dyDescent="0.3">
      <c r="A941" s="388">
        <f t="shared" si="57"/>
        <v>919</v>
      </c>
      <c r="B941" s="389">
        <f t="shared" ca="1" si="58"/>
        <v>0.13902112939657119</v>
      </c>
      <c r="C941" s="389">
        <f t="shared" ca="1" si="59"/>
        <v>4.2556469395750786E-2</v>
      </c>
      <c r="D941" s="390">
        <f t="shared" ca="1" si="60"/>
        <v>0.94948196927872852</v>
      </c>
      <c r="E941" s="391" cm="1">
        <f t="array" aca="1" ref="E941" ca="1">(SUMPRODUCT($B$13:$F$13*D941/(1+B941)^$B$14:$F$14)+($F$13*D941*(1+C941))/(B941-C941)/(1+B941)^$F$14-$B$15+$B$16)/$B$17</f>
        <v>1052.6551811374393</v>
      </c>
      <c r="F941" s="304"/>
      <c r="G941" s="304"/>
      <c r="H941" s="304"/>
      <c r="I941" s="304"/>
      <c r="J941" s="304"/>
      <c r="K941" s="304"/>
      <c r="L941" s="304"/>
      <c r="M941" s="304"/>
      <c r="N941" s="304"/>
      <c r="O941" s="304"/>
      <c r="P941" s="304"/>
      <c r="Q941" s="304"/>
    </row>
    <row r="942" spans="1:17" ht="13.8" x14ac:dyDescent="0.3">
      <c r="A942" s="388">
        <f t="shared" si="57"/>
        <v>920</v>
      </c>
      <c r="B942" s="389">
        <f t="shared" ca="1" si="58"/>
        <v>0.10887086701275978</v>
      </c>
      <c r="C942" s="389">
        <f t="shared" ca="1" si="59"/>
        <v>5.375195993227376E-2</v>
      </c>
      <c r="D942" s="390">
        <f t="shared" ca="1" si="60"/>
        <v>1.0074723236728331</v>
      </c>
      <c r="E942" s="391" cm="1">
        <f t="array" aca="1" ref="E942" ca="1">(SUMPRODUCT($B$13:$F$13*D942/(1+B942)^$B$14:$F$14)+($F$13*D942*(1+C942))/(B942-C942)/(1+B942)^$F$14-$B$15+$B$16)/$B$17</f>
        <v>1991.4869333313727</v>
      </c>
      <c r="F942" s="304"/>
      <c r="G942" s="304"/>
      <c r="H942" s="304"/>
      <c r="I942" s="304"/>
      <c r="J942" s="304"/>
      <c r="K942" s="304"/>
      <c r="L942" s="304"/>
      <c r="M942" s="304"/>
      <c r="N942" s="304"/>
      <c r="O942" s="304"/>
      <c r="P942" s="304"/>
      <c r="Q942" s="304"/>
    </row>
    <row r="943" spans="1:17" ht="13.8" x14ac:dyDescent="0.3">
      <c r="A943" s="388">
        <f t="shared" si="57"/>
        <v>921</v>
      </c>
      <c r="B943" s="389">
        <f t="shared" ca="1" si="58"/>
        <v>0.11902443343417662</v>
      </c>
      <c r="C943" s="389">
        <f t="shared" ca="1" si="59"/>
        <v>5.6224140776305172E-2</v>
      </c>
      <c r="D943" s="390">
        <f t="shared" ca="1" si="60"/>
        <v>0.89187573225682415</v>
      </c>
      <c r="E943" s="391" cm="1">
        <f t="array" aca="1" ref="E943" ca="1">(SUMPRODUCT($B$13:$F$13*D943/(1+B943)^$B$14:$F$14)+($F$13*D943*(1+C943))/(B943-C943)/(1+B943)^$F$14-$B$15+$B$16)/$B$17</f>
        <v>1514.8084152042493</v>
      </c>
      <c r="F943" s="304"/>
      <c r="G943" s="304"/>
      <c r="H943" s="304"/>
      <c r="I943" s="304"/>
      <c r="J943" s="304"/>
      <c r="K943" s="304"/>
      <c r="L943" s="304"/>
      <c r="M943" s="304"/>
      <c r="N943" s="304"/>
      <c r="O943" s="304"/>
      <c r="P943" s="304"/>
      <c r="Q943" s="304"/>
    </row>
    <row r="944" spans="1:17" ht="13.8" x14ac:dyDescent="0.3">
      <c r="A944" s="388">
        <f t="shared" si="57"/>
        <v>922</v>
      </c>
      <c r="B944" s="389">
        <f t="shared" ca="1" si="58"/>
        <v>0.11736892244381077</v>
      </c>
      <c r="C944" s="389">
        <f t="shared" ca="1" si="59"/>
        <v>5.0051090234168254E-2</v>
      </c>
      <c r="D944" s="390">
        <f t="shared" ca="1" si="60"/>
        <v>0.87719244790045248</v>
      </c>
      <c r="E944" s="391" cm="1">
        <f t="array" aca="1" ref="E944" ca="1">(SUMPRODUCT($B$13:$F$13*D944/(1+B944)^$B$14:$F$14)+($F$13*D944*(1+C944))/(B944-C944)/(1+B944)^$F$14-$B$15+$B$16)/$B$17</f>
        <v>1408.8076374956111</v>
      </c>
      <c r="F944" s="304"/>
      <c r="G944" s="304"/>
      <c r="H944" s="304"/>
      <c r="I944" s="304"/>
      <c r="J944" s="304"/>
      <c r="K944" s="304"/>
      <c r="L944" s="304"/>
      <c r="M944" s="304"/>
      <c r="N944" s="304"/>
      <c r="O944" s="304"/>
      <c r="P944" s="304"/>
      <c r="Q944" s="304"/>
    </row>
    <row r="945" spans="1:17" ht="13.8" x14ac:dyDescent="0.3">
      <c r="A945" s="388">
        <f t="shared" si="57"/>
        <v>923</v>
      </c>
      <c r="B945" s="389">
        <f t="shared" ca="1" si="58"/>
        <v>0.12076063412908528</v>
      </c>
      <c r="C945" s="389">
        <f t="shared" ca="1" si="59"/>
        <v>5.0250907262966056E-2</v>
      </c>
      <c r="D945" s="390">
        <f t="shared" ca="1" si="60"/>
        <v>1.023650245296575</v>
      </c>
      <c r="E945" s="391" cm="1">
        <f t="array" aca="1" ref="E945" ca="1">(SUMPRODUCT($B$13:$F$13*D945/(1+B945)^$B$14:$F$14)+($F$13*D945*(1+C945))/(B945-C945)/(1+B945)^$F$14-$B$15+$B$16)/$B$17</f>
        <v>1569.89214210973</v>
      </c>
      <c r="F945" s="304"/>
      <c r="G945" s="304"/>
      <c r="H945" s="304"/>
      <c r="I945" s="304"/>
      <c r="J945" s="304"/>
      <c r="K945" s="304"/>
      <c r="L945" s="304"/>
      <c r="M945" s="304"/>
      <c r="N945" s="304"/>
      <c r="O945" s="304"/>
      <c r="P945" s="304"/>
      <c r="Q945" s="304"/>
    </row>
    <row r="946" spans="1:17" ht="13.8" x14ac:dyDescent="0.3">
      <c r="A946" s="388">
        <f t="shared" si="57"/>
        <v>924</v>
      </c>
      <c r="B946" s="389">
        <f t="shared" ca="1" si="58"/>
        <v>0.1192305172212387</v>
      </c>
      <c r="C946" s="389">
        <f t="shared" ca="1" si="59"/>
        <v>5.9849433308575235E-2</v>
      </c>
      <c r="D946" s="390">
        <f t="shared" ca="1" si="60"/>
        <v>1.0233360324284229</v>
      </c>
      <c r="E946" s="391" cm="1">
        <f t="array" aca="1" ref="E946" ca="1">(SUMPRODUCT($B$13:$F$13*D946/(1+B946)^$B$14:$F$14)+($F$13*D946*(1+C946))/(B946-C946)/(1+B946)^$F$14-$B$15+$B$16)/$B$17</f>
        <v>1831.7730564146896</v>
      </c>
      <c r="F946" s="304"/>
      <c r="G946" s="304"/>
      <c r="H946" s="304"/>
      <c r="I946" s="304"/>
      <c r="J946" s="304"/>
      <c r="K946" s="304"/>
      <c r="L946" s="304"/>
      <c r="M946" s="304"/>
      <c r="N946" s="304"/>
      <c r="O946" s="304"/>
      <c r="P946" s="304"/>
      <c r="Q946" s="304"/>
    </row>
    <row r="947" spans="1:17" ht="13.8" x14ac:dyDescent="0.3">
      <c r="A947" s="388">
        <f t="shared" si="57"/>
        <v>925</v>
      </c>
      <c r="B947" s="389">
        <f t="shared" ca="1" si="58"/>
        <v>0.1116026309659694</v>
      </c>
      <c r="C947" s="389">
        <f t="shared" ca="1" si="59"/>
        <v>4.7281078672768241E-2</v>
      </c>
      <c r="D947" s="390">
        <f t="shared" ca="1" si="60"/>
        <v>1.054506268536439</v>
      </c>
      <c r="E947" s="391" cm="1">
        <f t="array" aca="1" ref="E947" ca="1">(SUMPRODUCT($B$13:$F$13*D947/(1+B947)^$B$14:$F$14)+($F$13*D947*(1+C947))/(B947-C947)/(1+B947)^$F$14-$B$15+$B$16)/$B$17</f>
        <v>1805.3033543424492</v>
      </c>
      <c r="F947" s="304"/>
      <c r="G947" s="304"/>
      <c r="H947" s="304"/>
      <c r="I947" s="304"/>
      <c r="J947" s="304"/>
      <c r="K947" s="304"/>
      <c r="L947" s="304"/>
      <c r="M947" s="304"/>
      <c r="N947" s="304"/>
      <c r="O947" s="304"/>
      <c r="P947" s="304"/>
      <c r="Q947" s="304"/>
    </row>
    <row r="948" spans="1:17" ht="13.8" x14ac:dyDescent="0.3">
      <c r="A948" s="388">
        <f t="shared" si="57"/>
        <v>926</v>
      </c>
      <c r="B948" s="389">
        <f t="shared" ca="1" si="58"/>
        <v>0.11843649010817794</v>
      </c>
      <c r="C948" s="389">
        <f t="shared" ca="1" si="59"/>
        <v>5.7642366262495269E-2</v>
      </c>
      <c r="D948" s="390">
        <f t="shared" ca="1" si="60"/>
        <v>1.0544197546296545</v>
      </c>
      <c r="E948" s="391" cm="1">
        <f t="array" aca="1" ref="E948" ca="1">(SUMPRODUCT($B$13:$F$13*D948/(1+B948)^$B$14:$F$14)+($F$13*D948*(1+C948))/(B948-C948)/(1+B948)^$F$14-$B$15+$B$16)/$B$17</f>
        <v>1854.9668818252242</v>
      </c>
      <c r="F948" s="304"/>
      <c r="G948" s="304"/>
      <c r="H948" s="304"/>
      <c r="I948" s="304"/>
      <c r="J948" s="304"/>
      <c r="K948" s="304"/>
      <c r="L948" s="304"/>
      <c r="M948" s="304"/>
      <c r="N948" s="304"/>
      <c r="O948" s="304"/>
      <c r="P948" s="304"/>
      <c r="Q948" s="304"/>
    </row>
    <row r="949" spans="1:17" ht="13.8" x14ac:dyDescent="0.3">
      <c r="A949" s="388">
        <f t="shared" si="57"/>
        <v>927</v>
      </c>
      <c r="B949" s="389">
        <f t="shared" ca="1" si="58"/>
        <v>0.12607063364062926</v>
      </c>
      <c r="C949" s="389">
        <f t="shared" ca="1" si="59"/>
        <v>4.4481882423332821E-2</v>
      </c>
      <c r="D949" s="390">
        <f t="shared" ca="1" si="60"/>
        <v>1.0376175776433207</v>
      </c>
      <c r="E949" s="391" cm="1">
        <f t="array" aca="1" ref="E949" ca="1">(SUMPRODUCT($B$13:$F$13*D949/(1+B949)^$B$14:$F$14)+($F$13*D949*(1+C949))/(B949-C949)/(1+B949)^$F$14-$B$15+$B$16)/$B$17</f>
        <v>1382.234351676746</v>
      </c>
      <c r="F949" s="304"/>
      <c r="G949" s="304"/>
      <c r="H949" s="304"/>
      <c r="I949" s="304"/>
      <c r="J949" s="304"/>
      <c r="K949" s="304"/>
      <c r="L949" s="304"/>
      <c r="M949" s="304"/>
      <c r="N949" s="304"/>
      <c r="O949" s="304"/>
      <c r="P949" s="304"/>
      <c r="Q949" s="304"/>
    </row>
    <row r="950" spans="1:17" ht="13.8" x14ac:dyDescent="0.3">
      <c r="A950" s="388">
        <f t="shared" si="57"/>
        <v>928</v>
      </c>
      <c r="B950" s="389">
        <f t="shared" ca="1" si="58"/>
        <v>0.11579865507515397</v>
      </c>
      <c r="C950" s="389">
        <f t="shared" ca="1" si="59"/>
        <v>5.6334695993424062E-2</v>
      </c>
      <c r="D950" s="390">
        <f t="shared" ca="1" si="60"/>
        <v>0.83421259944123893</v>
      </c>
      <c r="E950" s="391" cm="1">
        <f t="array" aca="1" ref="E950" ca="1">(SUMPRODUCT($B$13:$F$13*D950/(1+B950)^$B$14:$F$14)+($F$13*D950*(1+C950))/(B950-C950)/(1+B950)^$F$14-$B$15+$B$16)/$B$17</f>
        <v>1499.2848826106763</v>
      </c>
      <c r="F950" s="304"/>
      <c r="G950" s="304"/>
      <c r="H950" s="304"/>
      <c r="I950" s="304"/>
      <c r="J950" s="304"/>
      <c r="K950" s="304"/>
      <c r="L950" s="304"/>
      <c r="M950" s="304"/>
      <c r="N950" s="304"/>
      <c r="O950" s="304"/>
      <c r="P950" s="304"/>
      <c r="Q950" s="304"/>
    </row>
    <row r="951" spans="1:17" ht="13.8" x14ac:dyDescent="0.3">
      <c r="A951" s="388">
        <f t="shared" si="57"/>
        <v>929</v>
      </c>
      <c r="B951" s="389">
        <f t="shared" ca="1" si="58"/>
        <v>0.1174353615097143</v>
      </c>
      <c r="C951" s="389">
        <f t="shared" ca="1" si="59"/>
        <v>4.7152885413917399E-2</v>
      </c>
      <c r="D951" s="390">
        <f t="shared" ca="1" si="60"/>
        <v>1.0362063440471028</v>
      </c>
      <c r="E951" s="391" cm="1">
        <f t="array" aca="1" ref="E951" ca="1">(SUMPRODUCT($B$13:$F$13*D951/(1+B951)^$B$14:$F$14)+($F$13*D951*(1+C951))/(B951-C951)/(1+B951)^$F$14-$B$15+$B$16)/$B$17</f>
        <v>1611.2964279706052</v>
      </c>
      <c r="F951" s="304"/>
      <c r="G951" s="304"/>
      <c r="H951" s="304"/>
      <c r="I951" s="304"/>
      <c r="J951" s="304"/>
      <c r="K951" s="304"/>
      <c r="L951" s="304"/>
      <c r="M951" s="304"/>
      <c r="N951" s="304"/>
      <c r="O951" s="304"/>
      <c r="P951" s="304"/>
      <c r="Q951" s="304"/>
    </row>
    <row r="952" spans="1:17" ht="13.8" x14ac:dyDescent="0.3">
      <c r="A952" s="388">
        <f t="shared" si="57"/>
        <v>930</v>
      </c>
      <c r="B952" s="389">
        <f t="shared" ca="1" si="58"/>
        <v>0.12109493887526725</v>
      </c>
      <c r="C952" s="389">
        <f t="shared" ca="1" si="59"/>
        <v>6.5765876312163574E-2</v>
      </c>
      <c r="D952" s="390">
        <f t="shared" ca="1" si="60"/>
        <v>0.95205327000534046</v>
      </c>
      <c r="E952" s="391" cm="1">
        <f t="array" aca="1" ref="E952" ca="1">(SUMPRODUCT($B$13:$F$13*D952/(1+B952)^$B$14:$F$14)+($F$13*D952*(1+C952))/(B952-C952)/(1+B952)^$F$14-$B$15+$B$16)/$B$17</f>
        <v>1799.8833183868783</v>
      </c>
      <c r="F952" s="304"/>
      <c r="G952" s="304"/>
      <c r="H952" s="304"/>
      <c r="I952" s="304"/>
      <c r="J952" s="304"/>
      <c r="K952" s="304"/>
      <c r="L952" s="304"/>
      <c r="M952" s="304"/>
      <c r="N952" s="304"/>
      <c r="O952" s="304"/>
      <c r="P952" s="304"/>
      <c r="Q952" s="304"/>
    </row>
    <row r="953" spans="1:17" ht="13.8" x14ac:dyDescent="0.3">
      <c r="A953" s="388">
        <f t="shared" si="57"/>
        <v>931</v>
      </c>
      <c r="B953" s="389">
        <f t="shared" ca="1" si="58"/>
        <v>0.11539695123004587</v>
      </c>
      <c r="C953" s="389">
        <f t="shared" ca="1" si="59"/>
        <v>5.5910109710612138E-2</v>
      </c>
      <c r="D953" s="390">
        <f t="shared" ca="1" si="60"/>
        <v>0.89764562184875074</v>
      </c>
      <c r="E953" s="391" cm="1">
        <f t="array" aca="1" ref="E953" ca="1">(SUMPRODUCT($B$13:$F$13*D953/(1+B953)^$B$14:$F$14)+($F$13*D953*(1+C953))/(B953-C953)/(1+B953)^$F$14-$B$15+$B$16)/$B$17</f>
        <v>1618.4676059253143</v>
      </c>
      <c r="F953" s="304"/>
      <c r="G953" s="304"/>
      <c r="H953" s="304"/>
      <c r="I953" s="304"/>
      <c r="J953" s="304"/>
      <c r="K953" s="304"/>
      <c r="L953" s="304"/>
      <c r="M953" s="304"/>
      <c r="N953" s="304"/>
      <c r="O953" s="304"/>
      <c r="P953" s="304"/>
      <c r="Q953" s="304"/>
    </row>
    <row r="954" spans="1:17" ht="13.8" x14ac:dyDescent="0.3">
      <c r="A954" s="388">
        <f t="shared" si="57"/>
        <v>932</v>
      </c>
      <c r="B954" s="389">
        <f t="shared" ca="1" si="58"/>
        <v>0.11394338549629797</v>
      </c>
      <c r="C954" s="389">
        <f t="shared" ca="1" si="59"/>
        <v>6.5462897890677121E-2</v>
      </c>
      <c r="D954" s="390">
        <f t="shared" ca="1" si="60"/>
        <v>0.86303019614243459</v>
      </c>
      <c r="E954" s="391" cm="1">
        <f t="array" aca="1" ref="E954" ca="1">(SUMPRODUCT($B$13:$F$13*D954/(1+B954)^$B$14:$F$14)+($F$13*D954*(1+C954))/(B954-C954)/(1+B954)^$F$14-$B$15+$B$16)/$B$17</f>
        <v>1875.4419002287848</v>
      </c>
      <c r="F954" s="304"/>
      <c r="G954" s="304"/>
      <c r="H954" s="304"/>
      <c r="I954" s="304"/>
      <c r="J954" s="304"/>
      <c r="K954" s="304"/>
      <c r="L954" s="304"/>
      <c r="M954" s="304"/>
      <c r="N954" s="304"/>
      <c r="O954" s="304"/>
      <c r="P954" s="304"/>
      <c r="Q954" s="304"/>
    </row>
    <row r="955" spans="1:17" ht="13.8" x14ac:dyDescent="0.3">
      <c r="A955" s="388">
        <f t="shared" si="57"/>
        <v>933</v>
      </c>
      <c r="B955" s="389">
        <f t="shared" ca="1" si="58"/>
        <v>0.13312533445631827</v>
      </c>
      <c r="C955" s="389">
        <f t="shared" ca="1" si="59"/>
        <v>6.9500516763450509E-2</v>
      </c>
      <c r="D955" s="390">
        <f t="shared" ca="1" si="60"/>
        <v>0.99908976958287954</v>
      </c>
      <c r="E955" s="391" cm="1">
        <f t="array" aca="1" ref="E955" ca="1">(SUMPRODUCT($B$13:$F$13*D955/(1+B955)^$B$14:$F$14)+($F$13*D955*(1+C955))/(B955-C955)/(1+B955)^$F$14-$B$15+$B$16)/$B$17</f>
        <v>1608.8574959157481</v>
      </c>
      <c r="F955" s="304"/>
      <c r="G955" s="304"/>
      <c r="H955" s="304"/>
      <c r="I955" s="304"/>
      <c r="J955" s="304"/>
      <c r="K955" s="304"/>
      <c r="L955" s="304"/>
      <c r="M955" s="304"/>
      <c r="N955" s="304"/>
      <c r="O955" s="304"/>
      <c r="P955" s="304"/>
      <c r="Q955" s="304"/>
    </row>
    <row r="956" spans="1:17" ht="13.8" x14ac:dyDescent="0.3">
      <c r="A956" s="388">
        <f t="shared" si="57"/>
        <v>934</v>
      </c>
      <c r="B956" s="389">
        <f t="shared" ca="1" si="58"/>
        <v>0.11793632605347674</v>
      </c>
      <c r="C956" s="389">
        <f t="shared" ca="1" si="59"/>
        <v>4.277970290666322E-2</v>
      </c>
      <c r="D956" s="390">
        <f t="shared" ca="1" si="60"/>
        <v>1.1202182539830647</v>
      </c>
      <c r="E956" s="391" cm="1">
        <f t="array" aca="1" ref="E956" ca="1">(SUMPRODUCT($B$13:$F$13*D956/(1+B956)^$B$14:$F$14)+($F$13*D956*(1+C956))/(B956-C956)/(1+B956)^$F$14-$B$15+$B$16)/$B$17</f>
        <v>1645.7899427121906</v>
      </c>
      <c r="F956" s="304"/>
      <c r="G956" s="304"/>
      <c r="H956" s="304"/>
      <c r="I956" s="304"/>
      <c r="J956" s="304"/>
      <c r="K956" s="304"/>
      <c r="L956" s="304"/>
      <c r="M956" s="304"/>
      <c r="N956" s="304"/>
      <c r="O956" s="304"/>
      <c r="P956" s="304"/>
      <c r="Q956" s="304"/>
    </row>
    <row r="957" spans="1:17" ht="13.8" x14ac:dyDescent="0.3">
      <c r="A957" s="388">
        <f t="shared" si="57"/>
        <v>935</v>
      </c>
      <c r="B957" s="389">
        <f t="shared" ca="1" si="58"/>
        <v>0.11479157983531375</v>
      </c>
      <c r="C957" s="389">
        <f t="shared" ca="1" si="59"/>
        <v>4.8851788826909902E-2</v>
      </c>
      <c r="D957" s="390">
        <f t="shared" ca="1" si="60"/>
        <v>0.99390294922336664</v>
      </c>
      <c r="E957" s="391" cm="1">
        <f t="array" aca="1" ref="E957" ca="1">(SUMPRODUCT($B$13:$F$13*D957/(1+B957)^$B$14:$F$14)+($F$13*D957*(1+C957))/(B957-C957)/(1+B957)^$F$14-$B$15+$B$16)/$B$17</f>
        <v>1645.2980182549602</v>
      </c>
      <c r="F957" s="304"/>
      <c r="G957" s="304"/>
      <c r="H957" s="304"/>
      <c r="I957" s="304"/>
      <c r="J957" s="304"/>
      <c r="K957" s="304"/>
      <c r="L957" s="304"/>
      <c r="M957" s="304"/>
      <c r="N957" s="304"/>
      <c r="O957" s="304"/>
      <c r="P957" s="304"/>
      <c r="Q957" s="304"/>
    </row>
    <row r="958" spans="1:17" ht="13.8" x14ac:dyDescent="0.3">
      <c r="A958" s="388">
        <f t="shared" si="57"/>
        <v>936</v>
      </c>
      <c r="B958" s="389">
        <f t="shared" ca="1" si="58"/>
        <v>0.1201930913442316</v>
      </c>
      <c r="C958" s="389">
        <f t="shared" ca="1" si="59"/>
        <v>5.1117364982213184E-2</v>
      </c>
      <c r="D958" s="390">
        <f t="shared" ca="1" si="60"/>
        <v>1.0511932641240718</v>
      </c>
      <c r="E958" s="391" cm="1">
        <f t="array" aca="1" ref="E958" ca="1">(SUMPRODUCT($B$13:$F$13*D958/(1+B958)^$B$14:$F$14)+($F$13*D958*(1+C958))/(B958-C958)/(1+B958)^$F$14-$B$15+$B$16)/$B$17</f>
        <v>1645.2357882537465</v>
      </c>
      <c r="F958" s="304"/>
      <c r="G958" s="304"/>
      <c r="H958" s="304"/>
      <c r="I958" s="304"/>
      <c r="J958" s="304"/>
      <c r="K958" s="304"/>
      <c r="L958" s="304"/>
      <c r="M958" s="304"/>
      <c r="N958" s="304"/>
      <c r="O958" s="304"/>
      <c r="P958" s="304"/>
      <c r="Q958" s="304"/>
    </row>
    <row r="959" spans="1:17" ht="13.8" x14ac:dyDescent="0.3">
      <c r="A959" s="388">
        <f t="shared" si="57"/>
        <v>937</v>
      </c>
      <c r="B959" s="389">
        <f t="shared" ca="1" si="58"/>
        <v>0.10906325870740741</v>
      </c>
      <c r="C959" s="389">
        <f t="shared" ca="1" si="59"/>
        <v>4.4140209289916722E-2</v>
      </c>
      <c r="D959" s="390">
        <f t="shared" ca="1" si="60"/>
        <v>1.0962134994344463</v>
      </c>
      <c r="E959" s="391" cm="1">
        <f t="array" aca="1" ref="E959" ca="1">(SUMPRODUCT($B$13:$F$13*D959/(1+B959)^$B$14:$F$14)+($F$13*D959*(1+C959))/(B959-C959)/(1+B959)^$F$14-$B$15+$B$16)/$B$17</f>
        <v>1878.8390110911623</v>
      </c>
      <c r="F959" s="304"/>
      <c r="G959" s="304"/>
      <c r="H959" s="304"/>
      <c r="I959" s="304"/>
      <c r="J959" s="304"/>
      <c r="K959" s="304"/>
      <c r="L959" s="304"/>
      <c r="M959" s="304"/>
      <c r="N959" s="304"/>
      <c r="O959" s="304"/>
      <c r="P959" s="304"/>
      <c r="Q959" s="304"/>
    </row>
    <row r="960" spans="1:17" ht="13.8" x14ac:dyDescent="0.3">
      <c r="A960" s="388">
        <f t="shared" si="57"/>
        <v>938</v>
      </c>
      <c r="B960" s="389">
        <f t="shared" ca="1" si="58"/>
        <v>0.12803432145153062</v>
      </c>
      <c r="C960" s="389">
        <f t="shared" ca="1" si="59"/>
        <v>4.7633282040598503E-2</v>
      </c>
      <c r="D960" s="390">
        <f t="shared" ca="1" si="60"/>
        <v>0.77973820624514623</v>
      </c>
      <c r="E960" s="391" cm="1">
        <f t="array" aca="1" ref="E960" ca="1">(SUMPRODUCT($B$13:$F$13*D960/(1+B960)^$B$14:$F$14)+($F$13*D960*(1+C960))/(B960-C960)/(1+B960)^$F$14-$B$15+$B$16)/$B$17</f>
        <v>1033.2726150263729</v>
      </c>
      <c r="F960" s="304"/>
      <c r="G960" s="304"/>
      <c r="H960" s="304"/>
      <c r="I960" s="304"/>
      <c r="J960" s="304"/>
      <c r="K960" s="304"/>
      <c r="L960" s="304"/>
      <c r="M960" s="304"/>
      <c r="N960" s="304"/>
      <c r="O960" s="304"/>
      <c r="P960" s="304"/>
      <c r="Q960" s="304"/>
    </row>
    <row r="961" spans="1:17" ht="13.8" x14ac:dyDescent="0.3">
      <c r="A961" s="388">
        <f t="shared" si="57"/>
        <v>939</v>
      </c>
      <c r="B961" s="389">
        <f t="shared" ca="1" si="58"/>
        <v>0.11507857302870249</v>
      </c>
      <c r="C961" s="389">
        <f t="shared" ca="1" si="59"/>
        <v>5.0190689456201601E-2</v>
      </c>
      <c r="D961" s="390">
        <f t="shared" ca="1" si="60"/>
        <v>1.0441911796380772</v>
      </c>
      <c r="E961" s="391" cm="1">
        <f t="array" aca="1" ref="E961" ca="1">(SUMPRODUCT($B$13:$F$13*D961/(1+B961)^$B$14:$F$14)+($F$13*D961*(1+C961))/(B961-C961)/(1+B961)^$F$14-$B$15+$B$16)/$B$17</f>
        <v>1753.7115938025543</v>
      </c>
      <c r="F961" s="304"/>
      <c r="G961" s="304"/>
      <c r="H961" s="304"/>
      <c r="I961" s="304"/>
      <c r="J961" s="304"/>
      <c r="K961" s="304"/>
      <c r="L961" s="304"/>
      <c r="M961" s="304"/>
      <c r="N961" s="304"/>
      <c r="O961" s="304"/>
      <c r="P961" s="304"/>
      <c r="Q961" s="304"/>
    </row>
    <row r="962" spans="1:17" ht="13.8" x14ac:dyDescent="0.3">
      <c r="A962" s="388">
        <f t="shared" si="57"/>
        <v>940</v>
      </c>
      <c r="B962" s="389">
        <f t="shared" ca="1" si="58"/>
        <v>0.126088407692064</v>
      </c>
      <c r="C962" s="389">
        <f t="shared" ca="1" si="59"/>
        <v>5.4111047402962756E-2</v>
      </c>
      <c r="D962" s="390">
        <f t="shared" ca="1" si="60"/>
        <v>0.91105255819763997</v>
      </c>
      <c r="E962" s="391" cm="1">
        <f t="array" aca="1" ref="E962" ca="1">(SUMPRODUCT($B$13:$F$13*D962/(1+B962)^$B$14:$F$14)+($F$13*D962*(1+C962))/(B962-C962)/(1+B962)^$F$14-$B$15+$B$16)/$B$17</f>
        <v>1344.2237561965185</v>
      </c>
      <c r="F962" s="304"/>
      <c r="G962" s="304"/>
      <c r="H962" s="304"/>
      <c r="I962" s="304"/>
      <c r="J962" s="304"/>
      <c r="K962" s="304"/>
      <c r="L962" s="304"/>
      <c r="M962" s="304"/>
      <c r="N962" s="304"/>
      <c r="O962" s="304"/>
      <c r="P962" s="304"/>
      <c r="Q962" s="304"/>
    </row>
    <row r="963" spans="1:17" ht="13.8" x14ac:dyDescent="0.3">
      <c r="A963" s="388">
        <f t="shared" si="57"/>
        <v>941</v>
      </c>
      <c r="B963" s="389">
        <f t="shared" ca="1" si="58"/>
        <v>0.11976338034836985</v>
      </c>
      <c r="C963" s="389">
        <f t="shared" ca="1" si="59"/>
        <v>5.4176451871782917E-2</v>
      </c>
      <c r="D963" s="390">
        <f t="shared" ca="1" si="60"/>
        <v>1.1462908693590215</v>
      </c>
      <c r="E963" s="391" cm="1">
        <f t="array" aca="1" ref="E963" ca="1">(SUMPRODUCT($B$13:$F$13*D963/(1+B963)^$B$14:$F$14)+($F$13*D963*(1+C963))/(B963-C963)/(1+B963)^$F$14-$B$15+$B$16)/$B$17</f>
        <v>1883.346542368389</v>
      </c>
      <c r="F963" s="304"/>
      <c r="G963" s="304"/>
      <c r="H963" s="304"/>
      <c r="I963" s="304"/>
      <c r="J963" s="304"/>
      <c r="K963" s="304"/>
      <c r="L963" s="304"/>
      <c r="M963" s="304"/>
      <c r="N963" s="304"/>
      <c r="O963" s="304"/>
      <c r="P963" s="304"/>
      <c r="Q963" s="304"/>
    </row>
    <row r="964" spans="1:17" ht="13.8" x14ac:dyDescent="0.3">
      <c r="A964" s="388">
        <f t="shared" si="57"/>
        <v>942</v>
      </c>
      <c r="B964" s="389">
        <f t="shared" ca="1" si="58"/>
        <v>0.12036014738536303</v>
      </c>
      <c r="C964" s="389">
        <f t="shared" ca="1" si="59"/>
        <v>4.2767065406780762E-2</v>
      </c>
      <c r="D964" s="390">
        <f t="shared" ca="1" si="60"/>
        <v>1.0369748390501283</v>
      </c>
      <c r="E964" s="391" cm="1">
        <f t="array" aca="1" ref="E964" ca="1">(SUMPRODUCT($B$13:$F$13*D964/(1+B964)^$B$14:$F$14)+($F$13*D964*(1+C964))/(B964-C964)/(1+B964)^$F$14-$B$15+$B$16)/$B$17</f>
        <v>1467.774801806778</v>
      </c>
      <c r="F964" s="304"/>
      <c r="G964" s="304"/>
      <c r="H964" s="304"/>
      <c r="I964" s="304"/>
      <c r="J964" s="304"/>
      <c r="K964" s="304"/>
      <c r="L964" s="304"/>
      <c r="M964" s="304"/>
      <c r="N964" s="304"/>
      <c r="O964" s="304"/>
      <c r="P964" s="304"/>
      <c r="Q964" s="304"/>
    </row>
    <row r="965" spans="1:17" ht="13.8" x14ac:dyDescent="0.3">
      <c r="A965" s="388">
        <f t="shared" si="57"/>
        <v>943</v>
      </c>
      <c r="B965" s="389">
        <f t="shared" ca="1" si="58"/>
        <v>0.12200876331988567</v>
      </c>
      <c r="C965" s="389">
        <f t="shared" ca="1" si="59"/>
        <v>5.6181601887996979E-2</v>
      </c>
      <c r="D965" s="390">
        <f t="shared" ca="1" si="60"/>
        <v>1.0404802038472565</v>
      </c>
      <c r="E965" s="391" cm="1">
        <f t="array" aca="1" ref="E965" ca="1">(SUMPRODUCT($B$13:$F$13*D965/(1+B965)^$B$14:$F$14)+($F$13*D965*(1+C965))/(B965-C965)/(1+B965)^$F$14-$B$15+$B$16)/$B$17</f>
        <v>1687.4722109016134</v>
      </c>
      <c r="F965" s="304"/>
      <c r="G965" s="304"/>
      <c r="H965" s="304"/>
      <c r="I965" s="304"/>
      <c r="J965" s="304"/>
      <c r="K965" s="304"/>
      <c r="L965" s="304"/>
      <c r="M965" s="304"/>
      <c r="N965" s="304"/>
      <c r="O965" s="304"/>
      <c r="P965" s="304"/>
      <c r="Q965" s="304"/>
    </row>
    <row r="966" spans="1:17" ht="13.8" x14ac:dyDescent="0.3">
      <c r="A966" s="388">
        <f t="shared" si="57"/>
        <v>944</v>
      </c>
      <c r="B966" s="389">
        <f t="shared" ca="1" si="58"/>
        <v>0.11033122662151409</v>
      </c>
      <c r="C966" s="389">
        <f t="shared" ca="1" si="59"/>
        <v>4.9581216302237809E-2</v>
      </c>
      <c r="D966" s="390">
        <f t="shared" ca="1" si="60"/>
        <v>0.89832541430001978</v>
      </c>
      <c r="E966" s="391" cm="1">
        <f t="array" aca="1" ref="E966" ca="1">(SUMPRODUCT($B$13:$F$13*D966/(1+B966)^$B$14:$F$14)+($F$13*D966*(1+C966))/(B966-C966)/(1+B966)^$F$14-$B$15+$B$16)/$B$17</f>
        <v>1616.4345416071531</v>
      </c>
      <c r="F966" s="304"/>
      <c r="G966" s="304"/>
      <c r="H966" s="304"/>
      <c r="I966" s="304"/>
      <c r="J966" s="304"/>
      <c r="K966" s="304"/>
      <c r="L966" s="304"/>
      <c r="M966" s="304"/>
      <c r="N966" s="304"/>
      <c r="O966" s="304"/>
      <c r="P966" s="304"/>
      <c r="Q966" s="304"/>
    </row>
    <row r="967" spans="1:17" ht="13.8" x14ac:dyDescent="0.3">
      <c r="A967" s="388">
        <f t="shared" si="57"/>
        <v>945</v>
      </c>
      <c r="B967" s="389">
        <f t="shared" ca="1" si="58"/>
        <v>0.11891772957753141</v>
      </c>
      <c r="C967" s="389">
        <f t="shared" ca="1" si="59"/>
        <v>5.3182514669243189E-2</v>
      </c>
      <c r="D967" s="390">
        <f t="shared" ca="1" si="60"/>
        <v>0.97078618376934922</v>
      </c>
      <c r="E967" s="391" cm="1">
        <f t="array" aca="1" ref="E967" ca="1">(SUMPRODUCT($B$13:$F$13*D967/(1+B967)^$B$14:$F$14)+($F$13*D967*(1+C967))/(B967-C967)/(1+B967)^$F$14-$B$15+$B$16)/$B$17</f>
        <v>1588.9281717769531</v>
      </c>
      <c r="F967" s="304"/>
      <c r="G967" s="304"/>
      <c r="H967" s="304"/>
      <c r="I967" s="304"/>
      <c r="J967" s="304"/>
      <c r="K967" s="304"/>
      <c r="L967" s="304"/>
      <c r="M967" s="304"/>
      <c r="N967" s="304"/>
      <c r="O967" s="304"/>
      <c r="P967" s="304"/>
      <c r="Q967" s="304"/>
    </row>
    <row r="968" spans="1:17" ht="13.8" x14ac:dyDescent="0.3">
      <c r="A968" s="388">
        <f t="shared" si="57"/>
        <v>946</v>
      </c>
      <c r="B968" s="389">
        <f t="shared" ca="1" si="58"/>
        <v>0.10994038115987098</v>
      </c>
      <c r="C968" s="389">
        <f t="shared" ca="1" si="59"/>
        <v>4.5702760445972226E-2</v>
      </c>
      <c r="D968" s="390">
        <f t="shared" ca="1" si="60"/>
        <v>0.84289315013843447</v>
      </c>
      <c r="E968" s="391" cm="1">
        <f t="array" aca="1" ref="E968" ca="1">(SUMPRODUCT($B$13:$F$13*D968/(1+B968)^$B$14:$F$14)+($F$13*D968*(1+C968))/(B968-C968)/(1+B968)^$F$14-$B$15+$B$16)/$B$17</f>
        <v>1442.9514050551663</v>
      </c>
      <c r="F968" s="304"/>
      <c r="G968" s="304"/>
      <c r="H968" s="304"/>
      <c r="I968" s="304"/>
      <c r="J968" s="304"/>
      <c r="K968" s="304"/>
      <c r="L968" s="304"/>
      <c r="M968" s="304"/>
      <c r="N968" s="304"/>
      <c r="O968" s="304"/>
      <c r="P968" s="304"/>
      <c r="Q968" s="304"/>
    </row>
    <row r="969" spans="1:17" ht="13.8" x14ac:dyDescent="0.3">
      <c r="A969" s="388">
        <f t="shared" si="57"/>
        <v>947</v>
      </c>
      <c r="B969" s="389">
        <f t="shared" ca="1" si="58"/>
        <v>0.13311831483494893</v>
      </c>
      <c r="C969" s="389">
        <f t="shared" ca="1" si="59"/>
        <v>5.1024244337649273E-2</v>
      </c>
      <c r="D969" s="390">
        <f t="shared" ca="1" si="60"/>
        <v>1.1381476270563788</v>
      </c>
      <c r="E969" s="391" cm="1">
        <f t="array" aca="1" ref="E969" ca="1">(SUMPRODUCT($B$13:$F$13*D969/(1+B969)^$B$14:$F$14)+($F$13*D969*(1+C969))/(B969-C969)/(1+B969)^$F$14-$B$15+$B$16)/$B$17</f>
        <v>1479.5823498704326</v>
      </c>
      <c r="F969" s="304"/>
      <c r="G969" s="304"/>
      <c r="H969" s="304"/>
      <c r="I969" s="304"/>
      <c r="J969" s="304"/>
      <c r="K969" s="304"/>
      <c r="L969" s="304"/>
      <c r="M969" s="304"/>
      <c r="N969" s="304"/>
      <c r="O969" s="304"/>
      <c r="P969" s="304"/>
      <c r="Q969" s="304"/>
    </row>
    <row r="970" spans="1:17" ht="13.8" x14ac:dyDescent="0.3">
      <c r="A970" s="388">
        <f t="shared" si="57"/>
        <v>948</v>
      </c>
      <c r="B970" s="389">
        <f t="shared" ca="1" si="58"/>
        <v>0.14428260585704236</v>
      </c>
      <c r="C970" s="389">
        <f t="shared" ca="1" si="59"/>
        <v>2.9584815867007924E-2</v>
      </c>
      <c r="D970" s="390">
        <f t="shared" ca="1" si="60"/>
        <v>1.0780289291190648</v>
      </c>
      <c r="E970" s="391" cm="1">
        <f t="array" aca="1" ref="E970" ca="1">(SUMPRODUCT($B$13:$F$13*D970/(1+B970)^$B$14:$F$14)+($F$13*D970*(1+C970))/(B970-C970)/(1+B970)^$F$14-$B$15+$B$16)/$B$17</f>
        <v>1028.9340124868536</v>
      </c>
      <c r="F970" s="304"/>
      <c r="G970" s="304"/>
      <c r="H970" s="304"/>
      <c r="I970" s="304"/>
      <c r="J970" s="304"/>
      <c r="K970" s="304"/>
      <c r="L970" s="304"/>
      <c r="M970" s="304"/>
      <c r="N970" s="304"/>
      <c r="O970" s="304"/>
      <c r="P970" s="304"/>
      <c r="Q970" s="304"/>
    </row>
    <row r="971" spans="1:17" ht="13.8" x14ac:dyDescent="0.3">
      <c r="A971" s="388">
        <f t="shared" si="57"/>
        <v>949</v>
      </c>
      <c r="B971" s="389">
        <f t="shared" ca="1" si="58"/>
        <v>0.11866015667752348</v>
      </c>
      <c r="C971" s="389">
        <f t="shared" ca="1" si="59"/>
        <v>5.7385906824870422E-2</v>
      </c>
      <c r="D971" s="390">
        <f t="shared" ca="1" si="60"/>
        <v>1.0005234989332765</v>
      </c>
      <c r="E971" s="391" cm="1">
        <f t="array" aca="1" ref="E971" ca="1">(SUMPRODUCT($B$13:$F$13*D971/(1+B971)^$B$14:$F$14)+($F$13*D971*(1+C971))/(B971-C971)/(1+B971)^$F$14-$B$15+$B$16)/$B$17</f>
        <v>1744.3552960311429</v>
      </c>
      <c r="F971" s="304"/>
      <c r="G971" s="304"/>
      <c r="H971" s="304"/>
      <c r="I971" s="304"/>
      <c r="J971" s="304"/>
      <c r="K971" s="304"/>
      <c r="L971" s="304"/>
      <c r="M971" s="304"/>
      <c r="N971" s="304"/>
      <c r="O971" s="304"/>
      <c r="P971" s="304"/>
      <c r="Q971" s="304"/>
    </row>
    <row r="972" spans="1:17" ht="13.8" x14ac:dyDescent="0.3">
      <c r="A972" s="388">
        <f t="shared" si="57"/>
        <v>950</v>
      </c>
      <c r="B972" s="389">
        <f t="shared" ca="1" si="58"/>
        <v>0.12206620753695541</v>
      </c>
      <c r="C972" s="389">
        <f t="shared" ca="1" si="59"/>
        <v>4.6102228596429283E-2</v>
      </c>
      <c r="D972" s="390">
        <f t="shared" ca="1" si="60"/>
        <v>1.1619420053164959</v>
      </c>
      <c r="E972" s="391" cm="1">
        <f t="array" aca="1" ref="E972" ca="1">(SUMPRODUCT($B$13:$F$13*D972/(1+B972)^$B$14:$F$14)+($F$13*D972*(1+C972))/(B972-C972)/(1+B972)^$F$14-$B$15+$B$16)/$B$17</f>
        <v>1671.2149425636546</v>
      </c>
      <c r="F972" s="304"/>
      <c r="G972" s="304"/>
      <c r="H972" s="304"/>
      <c r="I972" s="304"/>
      <c r="J972" s="304"/>
      <c r="K972" s="304"/>
      <c r="L972" s="304"/>
      <c r="M972" s="304"/>
      <c r="N972" s="304"/>
      <c r="O972" s="304"/>
      <c r="P972" s="304"/>
      <c r="Q972" s="304"/>
    </row>
    <row r="973" spans="1:17" ht="13.8" x14ac:dyDescent="0.3">
      <c r="A973" s="388">
        <f t="shared" si="57"/>
        <v>951</v>
      </c>
      <c r="B973" s="389">
        <f t="shared" ca="1" si="58"/>
        <v>0.12444135115647224</v>
      </c>
      <c r="C973" s="389">
        <f t="shared" ca="1" si="59"/>
        <v>4.9248172763105121E-2</v>
      </c>
      <c r="D973" s="390">
        <f t="shared" ca="1" si="60"/>
        <v>0.91681010459542622</v>
      </c>
      <c r="E973" s="391" cm="1">
        <f t="array" aca="1" ref="E973" ca="1">(SUMPRODUCT($B$13:$F$13*D973/(1+B973)^$B$14:$F$14)+($F$13*D973*(1+C973))/(B973-C973)/(1+B973)^$F$14-$B$15+$B$16)/$B$17</f>
        <v>1310.0635098474957</v>
      </c>
      <c r="F973" s="304"/>
      <c r="G973" s="304"/>
      <c r="H973" s="304"/>
      <c r="I973" s="304"/>
      <c r="J973" s="304"/>
      <c r="K973" s="304"/>
      <c r="L973" s="304"/>
      <c r="M973" s="304"/>
      <c r="N973" s="304"/>
      <c r="O973" s="304"/>
      <c r="P973" s="304"/>
      <c r="Q973" s="304"/>
    </row>
    <row r="974" spans="1:17" ht="13.8" x14ac:dyDescent="0.3">
      <c r="A974" s="388">
        <f t="shared" si="57"/>
        <v>952</v>
      </c>
      <c r="B974" s="389">
        <f t="shared" ca="1" si="58"/>
        <v>0.14415905924806238</v>
      </c>
      <c r="C974" s="389">
        <f t="shared" ca="1" si="59"/>
        <v>3.854283345898081E-2</v>
      </c>
      <c r="D974" s="390">
        <f t="shared" ca="1" si="60"/>
        <v>1.2286987509509602</v>
      </c>
      <c r="E974" s="391" cm="1">
        <f t="array" aca="1" ref="E974" ca="1">(SUMPRODUCT($B$13:$F$13*D974/(1+B974)^$B$14:$F$14)+($F$13*D974*(1+C974))/(B974-C974)/(1+B974)^$F$14-$B$15+$B$16)/$B$17</f>
        <v>1259.2752861444685</v>
      </c>
      <c r="F974" s="304"/>
      <c r="G974" s="304"/>
      <c r="H974" s="304"/>
      <c r="I974" s="304"/>
      <c r="J974" s="304"/>
      <c r="K974" s="304"/>
      <c r="L974" s="304"/>
      <c r="M974" s="304"/>
      <c r="N974" s="304"/>
      <c r="O974" s="304"/>
      <c r="P974" s="304"/>
      <c r="Q974" s="304"/>
    </row>
    <row r="975" spans="1:17" ht="13.8" x14ac:dyDescent="0.3">
      <c r="A975" s="388">
        <f t="shared" si="57"/>
        <v>953</v>
      </c>
      <c r="B975" s="389">
        <f t="shared" ca="1" si="58"/>
        <v>0.13179733366742244</v>
      </c>
      <c r="C975" s="389">
        <f t="shared" ca="1" si="59"/>
        <v>5.057400686011037E-2</v>
      </c>
      <c r="D975" s="390">
        <f t="shared" ca="1" si="60"/>
        <v>1.028726968472788</v>
      </c>
      <c r="E975" s="391" cm="1">
        <f t="array" aca="1" ref="E975" ca="1">(SUMPRODUCT($B$13:$F$13*D975/(1+B975)^$B$14:$F$14)+($F$13*D975*(1+C975))/(B975-C975)/(1+B975)^$F$14-$B$15+$B$16)/$B$17</f>
        <v>1350.4105134931565</v>
      </c>
      <c r="F975" s="304"/>
      <c r="G975" s="304"/>
      <c r="H975" s="304"/>
      <c r="I975" s="304"/>
      <c r="J975" s="304"/>
      <c r="K975" s="304"/>
      <c r="L975" s="304"/>
      <c r="M975" s="304"/>
      <c r="N975" s="304"/>
      <c r="O975" s="304"/>
      <c r="P975" s="304"/>
      <c r="Q975" s="304"/>
    </row>
    <row r="976" spans="1:17" ht="13.8" x14ac:dyDescent="0.3">
      <c r="A976" s="388">
        <f t="shared" si="57"/>
        <v>954</v>
      </c>
      <c r="B976" s="389">
        <f t="shared" ca="1" si="58"/>
        <v>0.1166658215909832</v>
      </c>
      <c r="C976" s="389">
        <f t="shared" ca="1" si="59"/>
        <v>6.2119856113470068E-2</v>
      </c>
      <c r="D976" s="390">
        <f t="shared" ca="1" si="60"/>
        <v>1.0911334456319826</v>
      </c>
      <c r="E976" s="391" cm="1">
        <f t="array" aca="1" ref="E976" ca="1">(SUMPRODUCT($B$13:$F$13*D976/(1+B976)^$B$14:$F$14)+($F$13*D976*(1+C976))/(B976-C976)/(1+B976)^$F$14-$B$15+$B$16)/$B$17</f>
        <v>2126.3506252076063</v>
      </c>
      <c r="F976" s="304"/>
      <c r="G976" s="304"/>
      <c r="H976" s="304"/>
      <c r="I976" s="304"/>
      <c r="J976" s="304"/>
      <c r="K976" s="304"/>
      <c r="L976" s="304"/>
      <c r="M976" s="304"/>
      <c r="N976" s="304"/>
      <c r="O976" s="304"/>
      <c r="P976" s="304"/>
      <c r="Q976" s="304"/>
    </row>
    <row r="977" spans="1:17" ht="13.8" x14ac:dyDescent="0.3">
      <c r="A977" s="388">
        <f t="shared" si="57"/>
        <v>955</v>
      </c>
      <c r="B977" s="389">
        <f t="shared" ca="1" si="58"/>
        <v>0.13957637485131102</v>
      </c>
      <c r="C977" s="389">
        <f t="shared" ca="1" si="59"/>
        <v>5.7531913673439267E-2</v>
      </c>
      <c r="D977" s="390">
        <f t="shared" ca="1" si="60"/>
        <v>0.78241348306618796</v>
      </c>
      <c r="E977" s="391" cm="1">
        <f t="array" aca="1" ref="E977" ca="1">(SUMPRODUCT($B$13:$F$13*D977/(1+B977)^$B$14:$F$14)+($F$13*D977*(1+C977))/(B977-C977)/(1+B977)^$F$14-$B$15+$B$16)/$B$17</f>
        <v>982.36412781911224</v>
      </c>
      <c r="F977" s="304"/>
      <c r="G977" s="304"/>
      <c r="H977" s="304"/>
      <c r="I977" s="304"/>
      <c r="J977" s="304"/>
      <c r="K977" s="304"/>
      <c r="L977" s="304"/>
      <c r="M977" s="304"/>
      <c r="N977" s="304"/>
      <c r="O977" s="304"/>
      <c r="P977" s="304"/>
      <c r="Q977" s="304"/>
    </row>
    <row r="978" spans="1:17" ht="13.8" x14ac:dyDescent="0.3">
      <c r="A978" s="388">
        <f t="shared" si="57"/>
        <v>956</v>
      </c>
      <c r="B978" s="389">
        <f t="shared" ca="1" si="58"/>
        <v>0.1125478068140901</v>
      </c>
      <c r="C978" s="389">
        <f t="shared" ca="1" si="59"/>
        <v>5.7481750555559506E-2</v>
      </c>
      <c r="D978" s="390">
        <f t="shared" ca="1" si="60"/>
        <v>0.94655498929602011</v>
      </c>
      <c r="E978" s="391" cm="1">
        <f t="array" aca="1" ref="E978" ca="1">(SUMPRODUCT($B$13:$F$13*D978/(1+B978)^$B$14:$F$14)+($F$13*D978*(1+C978))/(B978-C978)/(1+B978)^$F$14-$B$15+$B$16)/$B$17</f>
        <v>1847.4504225889475</v>
      </c>
      <c r="F978" s="304"/>
      <c r="G978" s="304"/>
      <c r="H978" s="304"/>
      <c r="I978" s="304"/>
      <c r="J978" s="304"/>
      <c r="K978" s="304"/>
      <c r="L978" s="304"/>
      <c r="M978" s="304"/>
      <c r="N978" s="304"/>
      <c r="O978" s="304"/>
      <c r="P978" s="304"/>
      <c r="Q978" s="304"/>
    </row>
    <row r="979" spans="1:17" ht="13.8" x14ac:dyDescent="0.3">
      <c r="A979" s="388">
        <f t="shared" si="57"/>
        <v>957</v>
      </c>
      <c r="B979" s="389">
        <f t="shared" ca="1" si="58"/>
        <v>0.12555891755423762</v>
      </c>
      <c r="C979" s="389">
        <f t="shared" ca="1" si="59"/>
        <v>5.8003185927080737E-2</v>
      </c>
      <c r="D979" s="390">
        <f t="shared" ca="1" si="60"/>
        <v>0.98632073656572239</v>
      </c>
      <c r="E979" s="391" cm="1">
        <f t="array" aca="1" ref="E979" ca="1">(SUMPRODUCT($B$13:$F$13*D979/(1+B979)^$B$14:$F$14)+($F$13*D979*(1+C979))/(B979-C979)/(1+B979)^$F$14-$B$15+$B$16)/$B$17</f>
        <v>1543.9010431087149</v>
      </c>
      <c r="F979" s="304"/>
      <c r="G979" s="304"/>
      <c r="H979" s="304"/>
      <c r="I979" s="304"/>
      <c r="J979" s="304"/>
      <c r="K979" s="304"/>
      <c r="L979" s="304"/>
      <c r="M979" s="304"/>
      <c r="N979" s="304"/>
      <c r="O979" s="304"/>
      <c r="P979" s="304"/>
      <c r="Q979" s="304"/>
    </row>
    <row r="980" spans="1:17" ht="13.8" x14ac:dyDescent="0.3">
      <c r="A980" s="388">
        <f t="shared" si="57"/>
        <v>958</v>
      </c>
      <c r="B980" s="389">
        <f t="shared" ca="1" si="58"/>
        <v>0.1226166519355925</v>
      </c>
      <c r="C980" s="389">
        <f t="shared" ca="1" si="59"/>
        <v>4.4887843387558232E-2</v>
      </c>
      <c r="D980" s="390">
        <f t="shared" ca="1" si="60"/>
        <v>0.97042525826421844</v>
      </c>
      <c r="E980" s="391" cm="1">
        <f t="array" aca="1" ref="E980" ca="1">(SUMPRODUCT($B$13:$F$13*D980/(1+B980)^$B$14:$F$14)+($F$13*D980*(1+C980))/(B980-C980)/(1+B980)^$F$14-$B$15+$B$16)/$B$17</f>
        <v>1358.6269695748779</v>
      </c>
      <c r="F980" s="304"/>
      <c r="G980" s="304"/>
      <c r="H980" s="304"/>
      <c r="I980" s="304"/>
      <c r="J980" s="304"/>
      <c r="K980" s="304"/>
      <c r="L980" s="304"/>
      <c r="M980" s="304"/>
      <c r="N980" s="304"/>
      <c r="O980" s="304"/>
      <c r="P980" s="304"/>
      <c r="Q980" s="304"/>
    </row>
    <row r="981" spans="1:17" ht="13.8" x14ac:dyDescent="0.3">
      <c r="A981" s="388">
        <f t="shared" si="57"/>
        <v>959</v>
      </c>
      <c r="B981" s="389">
        <f t="shared" ca="1" si="58"/>
        <v>0.11409375416638633</v>
      </c>
      <c r="C981" s="389">
        <f t="shared" ca="1" si="59"/>
        <v>4.3675133569330976E-2</v>
      </c>
      <c r="D981" s="390">
        <f t="shared" ca="1" si="60"/>
        <v>1.0039217270198713</v>
      </c>
      <c r="E981" s="391" cm="1">
        <f t="array" aca="1" ref="E981" ca="1">(SUMPRODUCT($B$13:$F$13*D981/(1+B981)^$B$14:$F$14)+($F$13*D981*(1+C981))/(B981-C981)/(1+B981)^$F$14-$B$15+$B$16)/$B$17</f>
        <v>1573.9019543945119</v>
      </c>
      <c r="F981" s="304"/>
      <c r="G981" s="304"/>
      <c r="H981" s="304"/>
      <c r="I981" s="304"/>
      <c r="J981" s="304"/>
      <c r="K981" s="304"/>
      <c r="L981" s="304"/>
      <c r="M981" s="304"/>
      <c r="N981" s="304"/>
      <c r="O981" s="304"/>
      <c r="P981" s="304"/>
      <c r="Q981" s="304"/>
    </row>
    <row r="982" spans="1:17" ht="13.8" x14ac:dyDescent="0.3">
      <c r="A982" s="388">
        <f t="shared" si="57"/>
        <v>960</v>
      </c>
      <c r="B982" s="389">
        <f t="shared" ca="1" si="58"/>
        <v>0.12071247579483273</v>
      </c>
      <c r="C982" s="389">
        <f t="shared" ca="1" si="59"/>
        <v>4.7887088933175503E-2</v>
      </c>
      <c r="D982" s="390">
        <f t="shared" ca="1" si="60"/>
        <v>0.99006249683418734</v>
      </c>
      <c r="E982" s="391" cm="1">
        <f t="array" aca="1" ref="E982" ca="1">(SUMPRODUCT($B$13:$F$13*D982/(1+B982)^$B$14:$F$14)+($F$13*D982*(1+C982))/(B982-C982)/(1+B982)^$F$14-$B$15+$B$16)/$B$17</f>
        <v>1475.4629435250604</v>
      </c>
      <c r="F982" s="304"/>
      <c r="G982" s="304"/>
      <c r="H982" s="304"/>
      <c r="I982" s="304"/>
      <c r="J982" s="304"/>
      <c r="K982" s="304"/>
      <c r="L982" s="304"/>
      <c r="M982" s="304"/>
      <c r="N982" s="304"/>
      <c r="O982" s="304"/>
      <c r="P982" s="304"/>
      <c r="Q982" s="304"/>
    </row>
    <row r="983" spans="1:17" ht="13.8" x14ac:dyDescent="0.3">
      <c r="A983" s="388">
        <f t="shared" si="57"/>
        <v>961</v>
      </c>
      <c r="B983" s="389">
        <f t="shared" ca="1" si="58"/>
        <v>0.12170473464574592</v>
      </c>
      <c r="C983" s="389">
        <f t="shared" ca="1" si="59"/>
        <v>5.2886146992095096E-2</v>
      </c>
      <c r="D983" s="390">
        <f t="shared" ca="1" si="60"/>
        <v>1.0589611118629816</v>
      </c>
      <c r="E983" s="391" cm="1">
        <f t="array" aca="1" ref="E983" ca="1">(SUMPRODUCT($B$13:$F$13*D983/(1+B983)^$B$14:$F$14)+($F$13*D983*(1+C983))/(B983-C983)/(1+B983)^$F$14-$B$15+$B$16)/$B$17</f>
        <v>1655.0385858807113</v>
      </c>
      <c r="F983" s="304"/>
      <c r="G983" s="304"/>
      <c r="H983" s="304"/>
      <c r="I983" s="304"/>
      <c r="J983" s="304"/>
      <c r="K983" s="304"/>
      <c r="L983" s="304"/>
      <c r="M983" s="304"/>
      <c r="N983" s="304"/>
      <c r="O983" s="304"/>
      <c r="P983" s="304"/>
      <c r="Q983" s="304"/>
    </row>
    <row r="984" spans="1:17" ht="13.8" x14ac:dyDescent="0.3">
      <c r="A984" s="388">
        <f t="shared" ref="A984:A1022" si="61">ROW()-22</f>
        <v>962</v>
      </c>
      <c r="B984" s="389">
        <f t="shared" ref="B984:B1022" ca="1" si="62">_xlfn.NORM.INV(RAND(),$B$6,$C$6)</f>
        <v>0.12485701102049221</v>
      </c>
      <c r="C984" s="389">
        <f t="shared" ref="C984:C1022" ca="1" si="63">MIN(_xlfn.NORM.INV(RAND(),$B$7,$C$7),B984-0.005)</f>
        <v>6.3136988344090136E-2</v>
      </c>
      <c r="D984" s="390">
        <f t="shared" ref="D984:D1022" ca="1" si="64">_xlfn.NORM.INV(RAND(),$B$8,$C$8)</f>
        <v>1.1395453383614862</v>
      </c>
      <c r="E984" s="391" cm="1">
        <f t="array" aca="1" ref="E984" ca="1">(SUMPRODUCT($B$13:$F$13*D984/(1+B984)^$B$14:$F$14)+($F$13*D984*(1+C984))/(B984-C984)/(1+B984)^$F$14-$B$15+$B$16)/$B$17</f>
        <v>1941.6993051965173</v>
      </c>
      <c r="F984" s="304"/>
      <c r="G984" s="304"/>
      <c r="H984" s="304"/>
      <c r="I984" s="304"/>
      <c r="J984" s="304"/>
      <c r="K984" s="304"/>
      <c r="L984" s="304"/>
      <c r="M984" s="304"/>
      <c r="N984" s="304"/>
      <c r="O984" s="304"/>
      <c r="P984" s="304"/>
      <c r="Q984" s="304"/>
    </row>
    <row r="985" spans="1:17" ht="13.8" x14ac:dyDescent="0.3">
      <c r="A985" s="388">
        <f t="shared" si="61"/>
        <v>963</v>
      </c>
      <c r="B985" s="389">
        <f t="shared" ca="1" si="62"/>
        <v>0.11979315737691658</v>
      </c>
      <c r="C985" s="389">
        <f t="shared" ca="1" si="63"/>
        <v>6.119083367089722E-2</v>
      </c>
      <c r="D985" s="390">
        <f t="shared" ca="1" si="64"/>
        <v>1.1718514172034877</v>
      </c>
      <c r="E985" s="391" cm="1">
        <f t="array" aca="1" ref="E985" ca="1">(SUMPRODUCT($B$13:$F$13*D985/(1+B985)^$B$14:$F$14)+($F$13*D985*(1+C985))/(B985-C985)/(1+B985)^$F$14-$B$15+$B$16)/$B$17</f>
        <v>2125.2086635180631</v>
      </c>
      <c r="F985" s="304"/>
      <c r="G985" s="304"/>
      <c r="H985" s="304"/>
      <c r="I985" s="304"/>
      <c r="J985" s="304"/>
      <c r="K985" s="304"/>
      <c r="L985" s="304"/>
      <c r="M985" s="304"/>
      <c r="N985" s="304"/>
      <c r="O985" s="304"/>
      <c r="P985" s="304"/>
      <c r="Q985" s="304"/>
    </row>
    <row r="986" spans="1:17" ht="13.8" x14ac:dyDescent="0.3">
      <c r="A986" s="388">
        <f t="shared" si="61"/>
        <v>964</v>
      </c>
      <c r="B986" s="389">
        <f t="shared" ca="1" si="62"/>
        <v>0.11206922815477746</v>
      </c>
      <c r="C986" s="389">
        <f t="shared" ca="1" si="63"/>
        <v>4.1017334868037172E-2</v>
      </c>
      <c r="D986" s="390">
        <f t="shared" ca="1" si="64"/>
        <v>1.0644362816925295</v>
      </c>
      <c r="E986" s="391" cm="1">
        <f t="array" aca="1" ref="E986" ca="1">(SUMPRODUCT($B$13:$F$13*D986/(1+B986)^$B$14:$F$14)+($F$13*D986*(1+C986))/(B986-C986)/(1+B986)^$F$14-$B$15+$B$16)/$B$17</f>
        <v>1669.6915630811122</v>
      </c>
      <c r="F986" s="304"/>
      <c r="G986" s="304"/>
      <c r="H986" s="304"/>
      <c r="I986" s="304"/>
      <c r="J986" s="304"/>
      <c r="K986" s="304"/>
      <c r="L986" s="304"/>
      <c r="M986" s="304"/>
      <c r="N986" s="304"/>
      <c r="O986" s="304"/>
      <c r="P986" s="304"/>
      <c r="Q986" s="304"/>
    </row>
    <row r="987" spans="1:17" ht="13.8" x14ac:dyDescent="0.3">
      <c r="A987" s="388">
        <f t="shared" si="61"/>
        <v>965</v>
      </c>
      <c r="B987" s="389">
        <f t="shared" ca="1" si="62"/>
        <v>0.1364692162132288</v>
      </c>
      <c r="C987" s="389">
        <f t="shared" ca="1" si="63"/>
        <v>4.6985427359273524E-2</v>
      </c>
      <c r="D987" s="390">
        <f t="shared" ca="1" si="64"/>
        <v>1.0380639669547573</v>
      </c>
      <c r="E987" s="391" cm="1">
        <f t="array" aca="1" ref="E987" ca="1">(SUMPRODUCT($B$13:$F$13*D987/(1+B987)^$B$14:$F$14)+($F$13*D987*(1+C987))/(B987-C987)/(1+B987)^$F$14-$B$15+$B$16)/$B$17</f>
        <v>1238.7996722807495</v>
      </c>
      <c r="F987" s="304"/>
      <c r="G987" s="304"/>
      <c r="H987" s="304"/>
      <c r="I987" s="304"/>
      <c r="J987" s="304"/>
      <c r="K987" s="304"/>
      <c r="L987" s="304"/>
      <c r="M987" s="304"/>
      <c r="N987" s="304"/>
      <c r="O987" s="304"/>
      <c r="P987" s="304"/>
      <c r="Q987" s="304"/>
    </row>
    <row r="988" spans="1:17" ht="13.8" x14ac:dyDescent="0.3">
      <c r="A988" s="388">
        <f t="shared" si="61"/>
        <v>966</v>
      </c>
      <c r="B988" s="389">
        <f t="shared" ca="1" si="62"/>
        <v>0.13424969815011809</v>
      </c>
      <c r="C988" s="389">
        <f t="shared" ca="1" si="63"/>
        <v>4.1938591768780675E-2</v>
      </c>
      <c r="D988" s="390">
        <f t="shared" ca="1" si="64"/>
        <v>1.1012296719508476</v>
      </c>
      <c r="E988" s="391" cm="1">
        <f t="array" aca="1" ref="E988" ca="1">(SUMPRODUCT($B$13:$F$13*D988/(1+B988)^$B$14:$F$14)+($F$13*D988*(1+C988))/(B988-C988)/(1+B988)^$F$14-$B$15+$B$16)/$B$17</f>
        <v>1292.6934271601174</v>
      </c>
      <c r="F988" s="304"/>
      <c r="G988" s="304"/>
      <c r="H988" s="304"/>
      <c r="I988" s="304"/>
      <c r="J988" s="304"/>
      <c r="K988" s="304"/>
      <c r="L988" s="304"/>
      <c r="M988" s="304"/>
      <c r="N988" s="304"/>
      <c r="O988" s="304"/>
      <c r="P988" s="304"/>
      <c r="Q988" s="304"/>
    </row>
    <row r="989" spans="1:17" ht="13.8" x14ac:dyDescent="0.3">
      <c r="A989" s="388">
        <f t="shared" si="61"/>
        <v>967</v>
      </c>
      <c r="B989" s="389">
        <f t="shared" ca="1" si="62"/>
        <v>0.11422762387015013</v>
      </c>
      <c r="C989" s="389">
        <f t="shared" ca="1" si="63"/>
        <v>5.7902164638212517E-2</v>
      </c>
      <c r="D989" s="390">
        <f t="shared" ca="1" si="64"/>
        <v>0.8285566563114598</v>
      </c>
      <c r="E989" s="391" cm="1">
        <f t="array" aca="1" ref="E989" ca="1">(SUMPRODUCT($B$13:$F$13*D989/(1+B989)^$B$14:$F$14)+($F$13*D989*(1+C989))/(B989-C989)/(1+B989)^$F$14-$B$15+$B$16)/$B$17</f>
        <v>1570.3593644190307</v>
      </c>
      <c r="F989" s="304"/>
      <c r="G989" s="304"/>
      <c r="H989" s="304"/>
      <c r="I989" s="304"/>
      <c r="J989" s="304"/>
      <c r="K989" s="304"/>
      <c r="L989" s="304"/>
      <c r="M989" s="304"/>
      <c r="N989" s="304"/>
      <c r="O989" s="304"/>
      <c r="P989" s="304"/>
      <c r="Q989" s="304"/>
    </row>
    <row r="990" spans="1:17" ht="13.8" x14ac:dyDescent="0.3">
      <c r="A990" s="388">
        <f t="shared" si="61"/>
        <v>968</v>
      </c>
      <c r="B990" s="389">
        <f t="shared" ca="1" si="62"/>
        <v>0.11153420160579849</v>
      </c>
      <c r="C990" s="389">
        <f t="shared" ca="1" si="63"/>
        <v>4.8476637810944447E-2</v>
      </c>
      <c r="D990" s="390">
        <f t="shared" ca="1" si="64"/>
        <v>1.0257907428579693</v>
      </c>
      <c r="E990" s="391" cm="1">
        <f t="array" aca="1" ref="E990" ca="1">(SUMPRODUCT($B$13:$F$13*D990/(1+B990)^$B$14:$F$14)+($F$13*D990*(1+C990))/(B990-C990)/(1+B990)^$F$14-$B$15+$B$16)/$B$17</f>
        <v>1785.9449978072216</v>
      </c>
      <c r="F990" s="304"/>
      <c r="G990" s="304"/>
      <c r="H990" s="304"/>
      <c r="I990" s="304"/>
      <c r="J990" s="304"/>
      <c r="K990" s="304"/>
      <c r="L990" s="304"/>
      <c r="M990" s="304"/>
      <c r="N990" s="304"/>
      <c r="O990" s="304"/>
      <c r="P990" s="304"/>
      <c r="Q990" s="304"/>
    </row>
    <row r="991" spans="1:17" ht="13.8" x14ac:dyDescent="0.3">
      <c r="A991" s="388">
        <f t="shared" si="61"/>
        <v>969</v>
      </c>
      <c r="B991" s="389">
        <f t="shared" ca="1" si="62"/>
        <v>0.10054712939129792</v>
      </c>
      <c r="C991" s="389">
        <f t="shared" ca="1" si="63"/>
        <v>5.8806060530652099E-2</v>
      </c>
      <c r="D991" s="390">
        <f t="shared" ca="1" si="64"/>
        <v>1.0060246034795373</v>
      </c>
      <c r="E991" s="391" cm="1">
        <f t="array" aca="1" ref="E991" ca="1">(SUMPRODUCT($B$13:$F$13*D991/(1+B991)^$B$14:$F$14)+($F$13*D991*(1+C991))/(B991-C991)/(1+B991)^$F$14-$B$15+$B$16)/$B$17</f>
        <v>2626.7036784726297</v>
      </c>
      <c r="F991" s="304"/>
      <c r="G991" s="304"/>
      <c r="H991" s="304"/>
      <c r="I991" s="304"/>
      <c r="J991" s="304"/>
      <c r="K991" s="304"/>
      <c r="L991" s="304"/>
      <c r="M991" s="304"/>
      <c r="N991" s="304"/>
      <c r="O991" s="304"/>
      <c r="P991" s="304"/>
      <c r="Q991" s="304"/>
    </row>
    <row r="992" spans="1:17" ht="13.8" x14ac:dyDescent="0.3">
      <c r="A992" s="388">
        <f t="shared" si="61"/>
        <v>970</v>
      </c>
      <c r="B992" s="389">
        <f t="shared" ca="1" si="62"/>
        <v>0.13660539132089139</v>
      </c>
      <c r="C992" s="389">
        <f t="shared" ca="1" si="63"/>
        <v>4.6143462006702128E-2</v>
      </c>
      <c r="D992" s="390">
        <f t="shared" ca="1" si="64"/>
        <v>0.98083766965749697</v>
      </c>
      <c r="E992" s="391" cm="1">
        <f t="array" aca="1" ref="E992" ca="1">(SUMPRODUCT($B$13:$F$13*D992/(1+B992)^$B$14:$F$14)+($F$13*D992*(1+C992))/(B992-C992)/(1+B992)^$F$14-$B$15+$B$16)/$B$17</f>
        <v>1156.9098962720798</v>
      </c>
      <c r="F992" s="304"/>
      <c r="G992" s="304"/>
      <c r="H992" s="304"/>
      <c r="I992" s="304"/>
      <c r="J992" s="304"/>
      <c r="K992" s="304"/>
      <c r="L992" s="304"/>
      <c r="M992" s="304"/>
      <c r="N992" s="304"/>
      <c r="O992" s="304"/>
      <c r="P992" s="304"/>
      <c r="Q992" s="304"/>
    </row>
    <row r="993" spans="1:17" ht="13.8" x14ac:dyDescent="0.3">
      <c r="A993" s="388">
        <f t="shared" si="61"/>
        <v>971</v>
      </c>
      <c r="B993" s="389">
        <f t="shared" ca="1" si="62"/>
        <v>0.12722952707562107</v>
      </c>
      <c r="C993" s="389">
        <f t="shared" ca="1" si="63"/>
        <v>5.9105222381647296E-2</v>
      </c>
      <c r="D993" s="390">
        <f t="shared" ca="1" si="64"/>
        <v>1.1168672893636582</v>
      </c>
      <c r="E993" s="391" cm="1">
        <f t="array" aca="1" ref="E993" ca="1">(SUMPRODUCT($B$13:$F$13*D993/(1+B993)^$B$14:$F$14)+($F$13*D993*(1+C993))/(B993-C993)/(1+B993)^$F$14-$B$15+$B$16)/$B$17</f>
        <v>1732.6279526331789</v>
      </c>
      <c r="F993" s="304"/>
      <c r="G993" s="304"/>
      <c r="H993" s="304"/>
      <c r="I993" s="304"/>
      <c r="J993" s="304"/>
      <c r="K993" s="304"/>
      <c r="L993" s="304"/>
      <c r="M993" s="304"/>
      <c r="N993" s="304"/>
      <c r="O993" s="304"/>
      <c r="P993" s="304"/>
      <c r="Q993" s="304"/>
    </row>
    <row r="994" spans="1:17" ht="13.8" x14ac:dyDescent="0.3">
      <c r="A994" s="388">
        <f t="shared" si="61"/>
        <v>972</v>
      </c>
      <c r="B994" s="389">
        <f t="shared" ca="1" si="62"/>
        <v>0.12077681819801574</v>
      </c>
      <c r="C994" s="389">
        <f t="shared" ca="1" si="63"/>
        <v>3.1296639199374657E-2</v>
      </c>
      <c r="D994" s="390">
        <f t="shared" ca="1" si="64"/>
        <v>0.820385779762282</v>
      </c>
      <c r="E994" s="391" cm="1">
        <f t="array" aca="1" ref="E994" ca="1">(SUMPRODUCT($B$13:$F$13*D994/(1+B994)^$B$14:$F$14)+($F$13*D994*(1+C994))/(B994-C994)/(1+B994)^$F$14-$B$15+$B$16)/$B$17</f>
        <v>1018.9118528874028</v>
      </c>
      <c r="F994" s="304"/>
      <c r="G994" s="304"/>
      <c r="H994" s="304"/>
      <c r="I994" s="304"/>
      <c r="J994" s="304"/>
      <c r="K994" s="304"/>
      <c r="L994" s="304"/>
      <c r="M994" s="304"/>
      <c r="N994" s="304"/>
      <c r="O994" s="304"/>
      <c r="P994" s="304"/>
      <c r="Q994" s="304"/>
    </row>
    <row r="995" spans="1:17" ht="13.8" x14ac:dyDescent="0.3">
      <c r="A995" s="388">
        <f t="shared" si="61"/>
        <v>973</v>
      </c>
      <c r="B995" s="389">
        <f t="shared" ca="1" si="62"/>
        <v>0.12772005546117673</v>
      </c>
      <c r="C995" s="389">
        <f t="shared" ca="1" si="63"/>
        <v>4.0540532287877309E-2</v>
      </c>
      <c r="D995" s="390">
        <f t="shared" ca="1" si="64"/>
        <v>0.84111037453169302</v>
      </c>
      <c r="E995" s="391" cm="1">
        <f t="array" aca="1" ref="E995" ca="1">(SUMPRODUCT($B$13:$F$13*D995/(1+B995)^$B$14:$F$14)+($F$13*D995*(1+C995))/(B995-C995)/(1+B995)^$F$14-$B$15+$B$16)/$B$17</f>
        <v>1045.4287270476029</v>
      </c>
      <c r="F995" s="304"/>
      <c r="G995" s="304"/>
      <c r="H995" s="304"/>
      <c r="I995" s="304"/>
      <c r="J995" s="304"/>
      <c r="K995" s="304"/>
      <c r="L995" s="304"/>
      <c r="M995" s="304"/>
      <c r="N995" s="304"/>
      <c r="O995" s="304"/>
      <c r="P995" s="304"/>
      <c r="Q995" s="304"/>
    </row>
    <row r="996" spans="1:17" ht="13.8" x14ac:dyDescent="0.3">
      <c r="A996" s="388">
        <f t="shared" si="61"/>
        <v>974</v>
      </c>
      <c r="B996" s="389">
        <f t="shared" ca="1" si="62"/>
        <v>0.13589708402391676</v>
      </c>
      <c r="C996" s="389">
        <f t="shared" ca="1" si="63"/>
        <v>5.1958503525536062E-2</v>
      </c>
      <c r="D996" s="390">
        <f t="shared" ca="1" si="64"/>
        <v>1.0656519139308755</v>
      </c>
      <c r="E996" s="391" cm="1">
        <f t="array" aca="1" ref="E996" ca="1">(SUMPRODUCT($B$13:$F$13*D996/(1+B996)^$B$14:$F$14)+($F$13*D996*(1+C996))/(B996-C996)/(1+B996)^$F$14-$B$15+$B$16)/$B$17</f>
        <v>1344.9817843981523</v>
      </c>
      <c r="F996" s="304"/>
      <c r="G996" s="304"/>
      <c r="H996" s="304"/>
      <c r="I996" s="304"/>
      <c r="J996" s="304"/>
      <c r="K996" s="304"/>
      <c r="L996" s="304"/>
      <c r="M996" s="304"/>
      <c r="N996" s="304"/>
      <c r="O996" s="304"/>
      <c r="P996" s="304"/>
      <c r="Q996" s="304"/>
    </row>
    <row r="997" spans="1:17" ht="13.8" x14ac:dyDescent="0.3">
      <c r="A997" s="388">
        <f t="shared" si="61"/>
        <v>975</v>
      </c>
      <c r="B997" s="389">
        <f t="shared" ca="1" si="62"/>
        <v>0.14085879483123762</v>
      </c>
      <c r="C997" s="389">
        <f t="shared" ca="1" si="63"/>
        <v>5.2024082047747555E-2</v>
      </c>
      <c r="D997" s="390">
        <f t="shared" ca="1" si="64"/>
        <v>1.0257555549072224</v>
      </c>
      <c r="E997" s="391" cm="1">
        <f t="array" aca="1" ref="E997" ca="1">(SUMPRODUCT($B$13:$F$13*D997/(1+B997)^$B$14:$F$14)+($F$13*D997*(1+C997))/(B997-C997)/(1+B997)^$F$14-$B$15+$B$16)/$B$17</f>
        <v>1214.1260031092768</v>
      </c>
      <c r="F997" s="304"/>
      <c r="G997" s="304"/>
      <c r="H997" s="304"/>
      <c r="I997" s="304"/>
      <c r="J997" s="304"/>
      <c r="K997" s="304"/>
      <c r="L997" s="304"/>
      <c r="M997" s="304"/>
      <c r="N997" s="304"/>
      <c r="O997" s="304"/>
      <c r="P997" s="304"/>
      <c r="Q997" s="304"/>
    </row>
    <row r="998" spans="1:17" ht="13.8" x14ac:dyDescent="0.3">
      <c r="A998" s="388">
        <f t="shared" si="61"/>
        <v>976</v>
      </c>
      <c r="B998" s="389">
        <f t="shared" ca="1" si="62"/>
        <v>0.12247198883261008</v>
      </c>
      <c r="C998" s="389">
        <f t="shared" ca="1" si="63"/>
        <v>5.7144137528295308E-2</v>
      </c>
      <c r="D998" s="390">
        <f t="shared" ca="1" si="64"/>
        <v>0.94201077887301321</v>
      </c>
      <c r="E998" s="391" cm="1">
        <f t="array" aca="1" ref="E998" ca="1">(SUMPRODUCT($B$13:$F$13*D998/(1+B998)^$B$14:$F$14)+($F$13*D998*(1+C998))/(B998-C998)/(1+B998)^$F$14-$B$15+$B$16)/$B$17</f>
        <v>1531.1332323658166</v>
      </c>
      <c r="F998" s="304"/>
      <c r="G998" s="304"/>
      <c r="H998" s="304"/>
      <c r="I998" s="304"/>
      <c r="J998" s="304"/>
      <c r="K998" s="304"/>
      <c r="L998" s="304"/>
      <c r="M998" s="304"/>
      <c r="N998" s="304"/>
      <c r="O998" s="304"/>
      <c r="P998" s="304"/>
      <c r="Q998" s="304"/>
    </row>
    <row r="999" spans="1:17" ht="13.8" x14ac:dyDescent="0.3">
      <c r="A999" s="388">
        <f t="shared" si="61"/>
        <v>977</v>
      </c>
      <c r="B999" s="389">
        <f t="shared" ca="1" si="62"/>
        <v>0.11775623491404748</v>
      </c>
      <c r="C999" s="389">
        <f t="shared" ca="1" si="63"/>
        <v>3.9245223730856343E-2</v>
      </c>
      <c r="D999" s="390">
        <f t="shared" ca="1" si="64"/>
        <v>1.0212364243123222</v>
      </c>
      <c r="E999" s="391" cm="1">
        <f t="array" aca="1" ref="E999" ca="1">(SUMPRODUCT($B$13:$F$13*D999/(1+B999)^$B$14:$F$14)+($F$13*D999*(1+C999))/(B999-C999)/(1+B999)^$F$14-$B$15+$B$16)/$B$17</f>
        <v>1442.4180888541089</v>
      </c>
      <c r="F999" s="304"/>
      <c r="G999" s="304"/>
      <c r="H999" s="304"/>
      <c r="I999" s="304"/>
      <c r="J999" s="304"/>
      <c r="K999" s="304"/>
      <c r="L999" s="304"/>
      <c r="M999" s="304"/>
      <c r="N999" s="304"/>
      <c r="O999" s="304"/>
      <c r="P999" s="304"/>
      <c r="Q999" s="304"/>
    </row>
    <row r="1000" spans="1:17" ht="13.8" x14ac:dyDescent="0.3">
      <c r="A1000" s="388">
        <f t="shared" si="61"/>
        <v>978</v>
      </c>
      <c r="B1000" s="389">
        <f t="shared" ca="1" si="62"/>
        <v>0.11477925512406263</v>
      </c>
      <c r="C1000" s="389">
        <f t="shared" ca="1" si="63"/>
        <v>4.9895742096831161E-2</v>
      </c>
      <c r="D1000" s="390">
        <f t="shared" ca="1" si="64"/>
        <v>1.0827559571785161</v>
      </c>
      <c r="E1000" s="391" cm="1">
        <f t="array" aca="1" ref="E1000" ca="1">(SUMPRODUCT($B$13:$F$13*D1000/(1+B1000)^$B$14:$F$14)+($F$13*D1000*(1+C1000))/(B1000-C1000)/(1+B1000)^$F$14-$B$15+$B$16)/$B$17</f>
        <v>1822.1045318180659</v>
      </c>
      <c r="F1000" s="304"/>
      <c r="G1000" s="304"/>
      <c r="H1000" s="304"/>
      <c r="I1000" s="304"/>
      <c r="J1000" s="304"/>
      <c r="K1000" s="304"/>
      <c r="L1000" s="304"/>
      <c r="M1000" s="304"/>
      <c r="N1000" s="304"/>
      <c r="O1000" s="304"/>
      <c r="P1000" s="304"/>
      <c r="Q1000" s="304"/>
    </row>
    <row r="1001" spans="1:17" ht="13.8" x14ac:dyDescent="0.3">
      <c r="A1001" s="388">
        <f t="shared" si="61"/>
        <v>979</v>
      </c>
      <c r="B1001" s="389">
        <f t="shared" ca="1" si="62"/>
        <v>0.11687049510316434</v>
      </c>
      <c r="C1001" s="389">
        <f t="shared" ca="1" si="63"/>
        <v>5.8044791839768517E-2</v>
      </c>
      <c r="D1001" s="390">
        <f t="shared" ca="1" si="64"/>
        <v>1.0956755756504686</v>
      </c>
      <c r="E1001" s="391" cm="1">
        <f t="array" aca="1" ref="E1001" ca="1">(SUMPRODUCT($B$13:$F$13*D1001/(1+B1001)^$B$14:$F$14)+($F$13*D1001*(1+C1001))/(B1001-C1001)/(1+B1001)^$F$14-$B$15+$B$16)/$B$17</f>
        <v>1996.0897957064903</v>
      </c>
      <c r="F1001" s="304"/>
      <c r="G1001" s="304"/>
      <c r="H1001" s="304"/>
      <c r="I1001" s="304"/>
      <c r="J1001" s="304"/>
      <c r="K1001" s="304"/>
      <c r="L1001" s="304"/>
      <c r="M1001" s="304"/>
      <c r="N1001" s="304"/>
      <c r="O1001" s="304"/>
      <c r="P1001" s="304"/>
      <c r="Q1001" s="304"/>
    </row>
    <row r="1002" spans="1:17" ht="13.8" x14ac:dyDescent="0.3">
      <c r="A1002" s="388">
        <f t="shared" si="61"/>
        <v>980</v>
      </c>
      <c r="B1002" s="389">
        <f t="shared" ca="1" si="62"/>
        <v>0.10120902862725541</v>
      </c>
      <c r="C1002" s="389">
        <f t="shared" ca="1" si="63"/>
        <v>4.1190482494247789E-2</v>
      </c>
      <c r="D1002" s="390">
        <f t="shared" ca="1" si="64"/>
        <v>1.0153086899686106</v>
      </c>
      <c r="E1002" s="391" cm="1">
        <f t="array" aca="1" ref="E1002" ca="1">(SUMPRODUCT($B$13:$F$13*D1002/(1+B1002)^$B$14:$F$14)+($F$13*D1002*(1+C1002))/(B1002-C1002)/(1+B1002)^$F$14-$B$15+$B$16)/$B$17</f>
        <v>1908.8975685582482</v>
      </c>
      <c r="F1002" s="304"/>
      <c r="G1002" s="304"/>
      <c r="H1002" s="304"/>
      <c r="I1002" s="304"/>
      <c r="J1002" s="304"/>
      <c r="K1002" s="304"/>
      <c r="L1002" s="304"/>
      <c r="M1002" s="304"/>
      <c r="N1002" s="304"/>
      <c r="O1002" s="304"/>
      <c r="P1002" s="304"/>
      <c r="Q1002" s="304"/>
    </row>
    <row r="1003" spans="1:17" ht="13.8" x14ac:dyDescent="0.3">
      <c r="A1003" s="388">
        <f t="shared" si="61"/>
        <v>981</v>
      </c>
      <c r="B1003" s="389">
        <f t="shared" ca="1" si="62"/>
        <v>0.12245649621718425</v>
      </c>
      <c r="C1003" s="389">
        <f t="shared" ca="1" si="63"/>
        <v>4.39638812601304E-2</v>
      </c>
      <c r="D1003" s="390">
        <f t="shared" ca="1" si="64"/>
        <v>0.95256556224737765</v>
      </c>
      <c r="E1003" s="391" cm="1">
        <f t="array" aca="1" ref="E1003" ca="1">(SUMPRODUCT($B$13:$F$13*D1003/(1+B1003)^$B$14:$F$14)+($F$13*D1003*(1+C1003))/(B1003-C1003)/(1+B1003)^$F$14-$B$15+$B$16)/$B$17</f>
        <v>1322.3871858818588</v>
      </c>
      <c r="F1003" s="304"/>
      <c r="G1003" s="304"/>
      <c r="H1003" s="304"/>
      <c r="I1003" s="304"/>
      <c r="J1003" s="304"/>
      <c r="K1003" s="304"/>
      <c r="L1003" s="304"/>
      <c r="M1003" s="304"/>
      <c r="N1003" s="304"/>
      <c r="O1003" s="304"/>
      <c r="P1003" s="304"/>
      <c r="Q1003" s="304"/>
    </row>
    <row r="1004" spans="1:17" ht="13.8" x14ac:dyDescent="0.3">
      <c r="A1004" s="388">
        <f t="shared" si="61"/>
        <v>982</v>
      </c>
      <c r="B1004" s="389">
        <f t="shared" ca="1" si="62"/>
        <v>0.11949325402525744</v>
      </c>
      <c r="C1004" s="389">
        <f t="shared" ca="1" si="63"/>
        <v>5.0875013021627398E-2</v>
      </c>
      <c r="D1004" s="390">
        <f t="shared" ca="1" si="64"/>
        <v>0.87075782986794825</v>
      </c>
      <c r="E1004" s="391" cm="1">
        <f t="array" aca="1" ref="E1004" ca="1">(SUMPRODUCT($B$13:$F$13*D1004/(1+B1004)^$B$14:$F$14)+($F$13*D1004*(1+C1004))/(B1004-C1004)/(1+B1004)^$F$14-$B$15+$B$16)/$B$17</f>
        <v>1365.6068889181015</v>
      </c>
      <c r="F1004" s="304"/>
      <c r="G1004" s="304"/>
      <c r="H1004" s="304"/>
      <c r="I1004" s="304"/>
      <c r="J1004" s="304"/>
      <c r="K1004" s="304"/>
      <c r="L1004" s="304"/>
      <c r="M1004" s="304"/>
      <c r="N1004" s="304"/>
      <c r="O1004" s="304"/>
      <c r="P1004" s="304"/>
      <c r="Q1004" s="304"/>
    </row>
    <row r="1005" spans="1:17" ht="13.8" x14ac:dyDescent="0.3">
      <c r="A1005" s="388">
        <f t="shared" si="61"/>
        <v>983</v>
      </c>
      <c r="B1005" s="389">
        <f t="shared" ca="1" si="62"/>
        <v>0.11832886216195686</v>
      </c>
      <c r="C1005" s="389">
        <f t="shared" ca="1" si="63"/>
        <v>5.2071907065401685E-2</v>
      </c>
      <c r="D1005" s="390">
        <f t="shared" ca="1" si="64"/>
        <v>1.0235077144438962</v>
      </c>
      <c r="E1005" s="391" cm="1">
        <f t="array" aca="1" ref="E1005" ca="1">(SUMPRODUCT($B$13:$F$13*D1005/(1+B1005)^$B$14:$F$14)+($F$13*D1005*(1+C1005))/(B1005-C1005)/(1+B1005)^$F$14-$B$15+$B$16)/$B$17</f>
        <v>1669.4768879906921</v>
      </c>
      <c r="F1005" s="304"/>
      <c r="G1005" s="304"/>
      <c r="H1005" s="304"/>
      <c r="I1005" s="304"/>
      <c r="J1005" s="304"/>
      <c r="K1005" s="304"/>
      <c r="L1005" s="304"/>
      <c r="M1005" s="304"/>
      <c r="N1005" s="304"/>
      <c r="O1005" s="304"/>
      <c r="P1005" s="304"/>
      <c r="Q1005" s="304"/>
    </row>
    <row r="1006" spans="1:17" ht="13.8" x14ac:dyDescent="0.3">
      <c r="A1006" s="388">
        <f t="shared" si="61"/>
        <v>984</v>
      </c>
      <c r="B1006" s="389">
        <f t="shared" ca="1" si="62"/>
        <v>0.12432108613539537</v>
      </c>
      <c r="C1006" s="389">
        <f t="shared" ca="1" si="63"/>
        <v>5.8759209936369031E-2</v>
      </c>
      <c r="D1006" s="390">
        <f t="shared" ca="1" si="64"/>
        <v>0.87930927001511183</v>
      </c>
      <c r="E1006" s="391" cm="1">
        <f t="array" aca="1" ref="E1006" ca="1">(SUMPRODUCT($B$13:$F$13*D1006/(1+B1006)^$B$14:$F$14)+($F$13*D1006*(1+C1006))/(B1006-C1006)/(1+B1006)^$F$14-$B$15+$B$16)/$B$17</f>
        <v>1413.1509653534879</v>
      </c>
      <c r="F1006" s="304"/>
      <c r="G1006" s="304"/>
      <c r="H1006" s="304"/>
      <c r="I1006" s="304"/>
      <c r="J1006" s="304"/>
      <c r="K1006" s="304"/>
      <c r="L1006" s="304"/>
      <c r="M1006" s="304"/>
      <c r="N1006" s="304"/>
      <c r="O1006" s="304"/>
      <c r="P1006" s="304"/>
      <c r="Q1006" s="304"/>
    </row>
    <row r="1007" spans="1:17" ht="13.8" x14ac:dyDescent="0.3">
      <c r="A1007" s="388">
        <f t="shared" si="61"/>
        <v>985</v>
      </c>
      <c r="B1007" s="389">
        <f t="shared" ca="1" si="62"/>
        <v>0.13433797762385116</v>
      </c>
      <c r="C1007" s="389">
        <f t="shared" ca="1" si="63"/>
        <v>6.3189860944287357E-2</v>
      </c>
      <c r="D1007" s="390">
        <f t="shared" ca="1" si="64"/>
        <v>1.0867548410545416</v>
      </c>
      <c r="E1007" s="391" cm="1">
        <f t="array" aca="1" ref="E1007" ca="1">(SUMPRODUCT($B$13:$F$13*D1007/(1+B1007)^$B$14:$F$14)+($F$13*D1007*(1+C1007))/(B1007-C1007)/(1+B1007)^$F$14-$B$15+$B$16)/$B$17</f>
        <v>1586.5946097128281</v>
      </c>
      <c r="F1007" s="304"/>
      <c r="G1007" s="304"/>
      <c r="H1007" s="304"/>
      <c r="I1007" s="304"/>
      <c r="J1007" s="304"/>
      <c r="K1007" s="304"/>
      <c r="L1007" s="304"/>
      <c r="M1007" s="304"/>
      <c r="N1007" s="304"/>
      <c r="O1007" s="304"/>
      <c r="P1007" s="304"/>
      <c r="Q1007" s="304"/>
    </row>
    <row r="1008" spans="1:17" ht="13.8" x14ac:dyDescent="0.3">
      <c r="A1008" s="388">
        <f t="shared" si="61"/>
        <v>986</v>
      </c>
      <c r="B1008" s="389">
        <f t="shared" ca="1" si="62"/>
        <v>0.12236762841828598</v>
      </c>
      <c r="C1008" s="389">
        <f t="shared" ca="1" si="63"/>
        <v>4.8363752693257607E-2</v>
      </c>
      <c r="D1008" s="390">
        <f t="shared" ca="1" si="64"/>
        <v>1.0639335762795998</v>
      </c>
      <c r="E1008" s="391" cm="1">
        <f t="array" aca="1" ref="E1008" ca="1">(SUMPRODUCT($B$13:$F$13*D1008/(1+B1008)^$B$14:$F$14)+($F$13*D1008*(1+C1008))/(B1008-C1008)/(1+B1008)^$F$14-$B$15+$B$16)/$B$17</f>
        <v>1559.140795968023</v>
      </c>
      <c r="F1008" s="304"/>
      <c r="G1008" s="304"/>
      <c r="H1008" s="304"/>
      <c r="I1008" s="304"/>
      <c r="J1008" s="304"/>
      <c r="K1008" s="304"/>
      <c r="L1008" s="304"/>
      <c r="M1008" s="304"/>
      <c r="N1008" s="304"/>
      <c r="O1008" s="304"/>
      <c r="P1008" s="304"/>
      <c r="Q1008" s="304"/>
    </row>
    <row r="1009" spans="1:17" ht="13.8" x14ac:dyDescent="0.3">
      <c r="A1009" s="388">
        <f t="shared" si="61"/>
        <v>987</v>
      </c>
      <c r="B1009" s="389">
        <f t="shared" ca="1" si="62"/>
        <v>0.11505382813943324</v>
      </c>
      <c r="C1009" s="389">
        <f t="shared" ca="1" si="63"/>
        <v>6.3756182440981149E-2</v>
      </c>
      <c r="D1009" s="390">
        <f t="shared" ca="1" si="64"/>
        <v>1.0198829591284415</v>
      </c>
      <c r="E1009" s="391" cm="1">
        <f t="array" aca="1" ref="E1009" ca="1">(SUMPRODUCT($B$13:$F$13*D1009/(1+B1009)^$B$14:$F$14)+($F$13*D1009*(1+C1009))/(B1009-C1009)/(1+B1009)^$F$14-$B$15+$B$16)/$B$17</f>
        <v>2107.215479918762</v>
      </c>
      <c r="F1009" s="304"/>
      <c r="G1009" s="304"/>
      <c r="H1009" s="304"/>
      <c r="I1009" s="304"/>
      <c r="J1009" s="304"/>
      <c r="K1009" s="304"/>
      <c r="L1009" s="304"/>
      <c r="M1009" s="304"/>
      <c r="N1009" s="304"/>
      <c r="O1009" s="304"/>
      <c r="P1009" s="304"/>
      <c r="Q1009" s="304"/>
    </row>
    <row r="1010" spans="1:17" ht="13.8" x14ac:dyDescent="0.3">
      <c r="A1010" s="388">
        <f t="shared" si="61"/>
        <v>988</v>
      </c>
      <c r="B1010" s="389">
        <f t="shared" ca="1" si="62"/>
        <v>0.13298738960414772</v>
      </c>
      <c r="C1010" s="389">
        <f t="shared" ca="1" si="63"/>
        <v>5.3827868526740624E-2</v>
      </c>
      <c r="D1010" s="390">
        <f t="shared" ca="1" si="64"/>
        <v>1.1509318711763388</v>
      </c>
      <c r="E1010" s="391" cm="1">
        <f t="array" aca="1" ref="E1010" ca="1">(SUMPRODUCT($B$13:$F$13*D1010/(1+B1010)^$B$14:$F$14)+($F$13*D1010*(1+C1010))/(B1010-C1010)/(1+B1010)^$F$14-$B$15+$B$16)/$B$17</f>
        <v>1543.845416315907</v>
      </c>
      <c r="F1010" s="304"/>
      <c r="G1010" s="304"/>
      <c r="H1010" s="304"/>
      <c r="I1010" s="304"/>
      <c r="J1010" s="304"/>
      <c r="K1010" s="304"/>
      <c r="L1010" s="304"/>
      <c r="M1010" s="304"/>
      <c r="N1010" s="304"/>
      <c r="O1010" s="304"/>
      <c r="P1010" s="304"/>
      <c r="Q1010" s="304"/>
    </row>
    <row r="1011" spans="1:17" ht="13.8" x14ac:dyDescent="0.3">
      <c r="A1011" s="388">
        <f t="shared" si="61"/>
        <v>989</v>
      </c>
      <c r="B1011" s="389">
        <f t="shared" ca="1" si="62"/>
        <v>0.12667252126595968</v>
      </c>
      <c r="C1011" s="389">
        <f t="shared" ca="1" si="63"/>
        <v>5.254854508976603E-2</v>
      </c>
      <c r="D1011" s="390">
        <f t="shared" ca="1" si="64"/>
        <v>0.93868570141243479</v>
      </c>
      <c r="E1011" s="391" cm="1">
        <f t="array" aca="1" ref="E1011" ca="1">(SUMPRODUCT($B$13:$F$13*D1011/(1+B1011)^$B$14:$F$14)+($F$13*D1011*(1+C1011))/(B1011-C1011)/(1+B1011)^$F$14-$B$15+$B$16)/$B$17</f>
        <v>1349.3498919403394</v>
      </c>
      <c r="F1011" s="304"/>
      <c r="G1011" s="304"/>
      <c r="H1011" s="304"/>
      <c r="I1011" s="304"/>
      <c r="J1011" s="304"/>
      <c r="K1011" s="304"/>
      <c r="L1011" s="304"/>
      <c r="M1011" s="304"/>
      <c r="N1011" s="304"/>
      <c r="O1011" s="304"/>
      <c r="P1011" s="304"/>
      <c r="Q1011" s="304"/>
    </row>
    <row r="1012" spans="1:17" ht="13.8" x14ac:dyDescent="0.3">
      <c r="A1012" s="388">
        <f t="shared" si="61"/>
        <v>990</v>
      </c>
      <c r="B1012" s="389">
        <f t="shared" ca="1" si="62"/>
        <v>0.10616984077803765</v>
      </c>
      <c r="C1012" s="389">
        <f t="shared" ca="1" si="63"/>
        <v>6.1951469684659879E-2</v>
      </c>
      <c r="D1012" s="390">
        <f t="shared" ca="1" si="64"/>
        <v>0.92507159247011628</v>
      </c>
      <c r="E1012" s="391" cm="1">
        <f t="array" aca="1" ref="E1012" ca="1">(SUMPRODUCT($B$13:$F$13*D1012/(1+B1012)^$B$14:$F$14)+($F$13*D1012*(1+C1012))/(B1012-C1012)/(1+B1012)^$F$14-$B$15+$B$16)/$B$17</f>
        <v>2245.5948997844393</v>
      </c>
      <c r="F1012" s="304"/>
      <c r="G1012" s="304"/>
      <c r="H1012" s="304"/>
      <c r="I1012" s="304"/>
      <c r="J1012" s="304"/>
      <c r="K1012" s="304"/>
      <c r="L1012" s="304"/>
      <c r="M1012" s="304"/>
      <c r="N1012" s="304"/>
      <c r="O1012" s="304"/>
      <c r="P1012" s="304"/>
      <c r="Q1012" s="304"/>
    </row>
    <row r="1013" spans="1:17" ht="13.8" x14ac:dyDescent="0.3">
      <c r="A1013" s="388">
        <f t="shared" si="61"/>
        <v>991</v>
      </c>
      <c r="B1013" s="389">
        <f t="shared" ca="1" si="62"/>
        <v>0.12840015811378769</v>
      </c>
      <c r="C1013" s="389">
        <f t="shared" ca="1" si="63"/>
        <v>3.6319941907256736E-2</v>
      </c>
      <c r="D1013" s="390">
        <f t="shared" ca="1" si="64"/>
        <v>0.79512007968706144</v>
      </c>
      <c r="E1013" s="391" cm="1">
        <f t="array" aca="1" ref="E1013" ca="1">(SUMPRODUCT($B$13:$F$13*D1013/(1+B1013)^$B$14:$F$14)+($F$13*D1013*(1+C1013))/(B1013-C1013)/(1+B1013)^$F$14-$B$15+$B$16)/$B$17</f>
        <v>939.43965446334914</v>
      </c>
      <c r="F1013" s="304"/>
      <c r="G1013" s="304"/>
      <c r="H1013" s="304"/>
      <c r="I1013" s="304"/>
      <c r="J1013" s="304"/>
      <c r="K1013" s="304"/>
      <c r="L1013" s="304"/>
      <c r="M1013" s="304"/>
      <c r="N1013" s="304"/>
      <c r="O1013" s="304"/>
      <c r="P1013" s="304"/>
      <c r="Q1013" s="304"/>
    </row>
    <row r="1014" spans="1:17" ht="13.8" x14ac:dyDescent="0.3">
      <c r="A1014" s="388">
        <f t="shared" si="61"/>
        <v>992</v>
      </c>
      <c r="B1014" s="389">
        <f t="shared" ca="1" si="62"/>
        <v>0.1296895262960007</v>
      </c>
      <c r="C1014" s="389">
        <f t="shared" ca="1" si="63"/>
        <v>5.2222990181752103E-2</v>
      </c>
      <c r="D1014" s="390">
        <f t="shared" ca="1" si="64"/>
        <v>0.97753911885152778</v>
      </c>
      <c r="E1014" s="391" cm="1">
        <f t="array" aca="1" ref="E1014" ca="1">(SUMPRODUCT($B$13:$F$13*D1014/(1+B1014)^$B$14:$F$14)+($F$13*D1014*(1+C1014))/(B1014-C1014)/(1+B1014)^$F$14-$B$15+$B$16)/$B$17</f>
        <v>1342.2302688333907</v>
      </c>
      <c r="F1014" s="304"/>
      <c r="G1014" s="304"/>
      <c r="H1014" s="304"/>
      <c r="I1014" s="304"/>
      <c r="J1014" s="304"/>
      <c r="K1014" s="304"/>
      <c r="L1014" s="304"/>
      <c r="M1014" s="304"/>
      <c r="N1014" s="304"/>
      <c r="O1014" s="304"/>
      <c r="P1014" s="304"/>
      <c r="Q1014" s="304"/>
    </row>
    <row r="1015" spans="1:17" ht="13.8" x14ac:dyDescent="0.3">
      <c r="A1015" s="388">
        <f t="shared" si="61"/>
        <v>993</v>
      </c>
      <c r="B1015" s="389">
        <f t="shared" ca="1" si="62"/>
        <v>0.13864414731257124</v>
      </c>
      <c r="C1015" s="389">
        <f t="shared" ca="1" si="63"/>
        <v>4.545447348476412E-2</v>
      </c>
      <c r="D1015" s="390">
        <f t="shared" ca="1" si="64"/>
        <v>1.1459961103764951</v>
      </c>
      <c r="E1015" s="391" cm="1">
        <f t="array" aca="1" ref="E1015" ca="1">(SUMPRODUCT($B$13:$F$13*D1015/(1+B1015)^$B$14:$F$14)+($F$13*D1015*(1+C1015))/(B1015-C1015)/(1+B1015)^$F$14-$B$15+$B$16)/$B$17</f>
        <v>1318.5238577713667</v>
      </c>
      <c r="F1015" s="304"/>
      <c r="G1015" s="304"/>
      <c r="H1015" s="304"/>
      <c r="I1015" s="304"/>
      <c r="J1015" s="304"/>
      <c r="K1015" s="304"/>
      <c r="L1015" s="304"/>
      <c r="M1015" s="304"/>
      <c r="N1015" s="304"/>
      <c r="O1015" s="304"/>
      <c r="P1015" s="304"/>
      <c r="Q1015" s="304"/>
    </row>
    <row r="1016" spans="1:17" ht="13.8" x14ac:dyDescent="0.3">
      <c r="A1016" s="388">
        <f t="shared" si="61"/>
        <v>994</v>
      </c>
      <c r="B1016" s="389">
        <f t="shared" ca="1" si="62"/>
        <v>0.12364959527624611</v>
      </c>
      <c r="C1016" s="389">
        <f t="shared" ca="1" si="63"/>
        <v>4.1876272041298034E-2</v>
      </c>
      <c r="D1016" s="390">
        <f t="shared" ca="1" si="64"/>
        <v>0.98382219677163607</v>
      </c>
      <c r="E1016" s="391" cm="1">
        <f t="array" aca="1" ref="E1016" ca="1">(SUMPRODUCT($B$13:$F$13*D1016/(1+B1016)^$B$14:$F$14)+($F$13*D1016*(1+C1016))/(B1016-C1016)/(1+B1016)^$F$14-$B$15+$B$16)/$B$17</f>
        <v>1315.7384345654455</v>
      </c>
      <c r="F1016" s="304"/>
      <c r="G1016" s="304"/>
      <c r="H1016" s="304"/>
      <c r="I1016" s="304"/>
      <c r="J1016" s="304"/>
      <c r="K1016" s="304"/>
      <c r="L1016" s="304"/>
      <c r="M1016" s="304"/>
      <c r="N1016" s="304"/>
      <c r="O1016" s="304"/>
      <c r="P1016" s="304"/>
      <c r="Q1016" s="304"/>
    </row>
    <row r="1017" spans="1:17" ht="13.8" x14ac:dyDescent="0.3">
      <c r="A1017" s="388">
        <f t="shared" si="61"/>
        <v>995</v>
      </c>
      <c r="B1017" s="389">
        <f t="shared" ca="1" si="62"/>
        <v>0.12208167792030836</v>
      </c>
      <c r="C1017" s="389">
        <f t="shared" ca="1" si="63"/>
        <v>3.9247566841346025E-2</v>
      </c>
      <c r="D1017" s="390">
        <f t="shared" ca="1" si="64"/>
        <v>1.160601014469707</v>
      </c>
      <c r="E1017" s="391" cm="1">
        <f t="array" aca="1" ref="E1017" ca="1">(SUMPRODUCT($B$13:$F$13*D1017/(1+B1017)^$B$14:$F$14)+($F$13*D1017*(1+C1017))/(B1017-C1017)/(1+B1017)^$F$14-$B$15+$B$16)/$B$17</f>
        <v>1551.6374805187877</v>
      </c>
      <c r="F1017" s="304"/>
      <c r="G1017" s="304"/>
      <c r="H1017" s="304"/>
      <c r="I1017" s="304"/>
      <c r="J1017" s="304"/>
      <c r="K1017" s="304"/>
      <c r="L1017" s="304"/>
      <c r="M1017" s="304"/>
      <c r="N1017" s="304"/>
      <c r="O1017" s="304"/>
      <c r="P1017" s="304"/>
      <c r="Q1017" s="304"/>
    </row>
    <row r="1018" spans="1:17" ht="13.8" x14ac:dyDescent="0.3">
      <c r="A1018" s="388">
        <f t="shared" si="61"/>
        <v>996</v>
      </c>
      <c r="B1018" s="389">
        <f t="shared" ca="1" si="62"/>
        <v>0.1138333282180284</v>
      </c>
      <c r="C1018" s="389">
        <f t="shared" ca="1" si="63"/>
        <v>4.3966573054007967E-2</v>
      </c>
      <c r="D1018" s="390">
        <f t="shared" ca="1" si="64"/>
        <v>1.0348511781338385</v>
      </c>
      <c r="E1018" s="391" cm="1">
        <f t="array" aca="1" ref="E1018" ca="1">(SUMPRODUCT($B$13:$F$13*D1018/(1+B1018)^$B$14:$F$14)+($F$13*D1018*(1+C1018))/(B1018-C1018)/(1+B1018)^$F$14-$B$15+$B$16)/$B$17</f>
        <v>1636.2873636008048</v>
      </c>
      <c r="F1018" s="304"/>
      <c r="G1018" s="304"/>
      <c r="H1018" s="304"/>
      <c r="I1018" s="304"/>
      <c r="J1018" s="304"/>
      <c r="K1018" s="304"/>
      <c r="L1018" s="304"/>
      <c r="M1018" s="304"/>
      <c r="N1018" s="304"/>
      <c r="O1018" s="304"/>
      <c r="P1018" s="304"/>
      <c r="Q1018" s="304"/>
    </row>
    <row r="1019" spans="1:17" ht="13.8" x14ac:dyDescent="0.3">
      <c r="A1019" s="388">
        <f t="shared" si="61"/>
        <v>997</v>
      </c>
      <c r="B1019" s="389">
        <f t="shared" ca="1" si="62"/>
        <v>0.14380259732128958</v>
      </c>
      <c r="C1019" s="389">
        <f t="shared" ca="1" si="63"/>
        <v>3.8108710479115904E-2</v>
      </c>
      <c r="D1019" s="390">
        <f t="shared" ca="1" si="64"/>
        <v>1.0853754555332664</v>
      </c>
      <c r="E1019" s="391" cm="1">
        <f t="array" aca="1" ref="E1019" ca="1">(SUMPRODUCT($B$13:$F$13*D1019/(1+B1019)^$B$14:$F$14)+($F$13*D1019*(1+C1019))/(B1019-C1019)/(1+B1019)^$F$14-$B$15+$B$16)/$B$17</f>
        <v>1107.4109166028029</v>
      </c>
      <c r="F1019" s="304"/>
      <c r="G1019" s="304"/>
      <c r="H1019" s="304"/>
      <c r="I1019" s="304"/>
      <c r="J1019" s="304"/>
      <c r="K1019" s="304"/>
      <c r="L1019" s="304"/>
      <c r="M1019" s="304"/>
      <c r="N1019" s="304"/>
      <c r="O1019" s="304"/>
      <c r="P1019" s="304"/>
      <c r="Q1019" s="304"/>
    </row>
    <row r="1020" spans="1:17" ht="13.8" x14ac:dyDescent="0.3">
      <c r="A1020" s="388">
        <f t="shared" si="61"/>
        <v>998</v>
      </c>
      <c r="B1020" s="389">
        <f t="shared" ca="1" si="62"/>
        <v>0.14578944027442281</v>
      </c>
      <c r="C1020" s="389">
        <f t="shared" ca="1" si="63"/>
        <v>4.7274755510899463E-2</v>
      </c>
      <c r="D1020" s="390">
        <f t="shared" ca="1" si="64"/>
        <v>1.0628104644116414</v>
      </c>
      <c r="E1020" s="391" cm="1">
        <f t="array" aca="1" ref="E1020" ca="1">(SUMPRODUCT($B$13:$F$13*D1020/(1+B1020)^$B$14:$F$14)+($F$13*D1020*(1+C1020))/(B1020-C1020)/(1+B1020)^$F$14-$B$15+$B$16)/$B$17</f>
        <v>1139.6284685924268</v>
      </c>
      <c r="F1020" s="304"/>
      <c r="G1020" s="304"/>
      <c r="H1020" s="304"/>
      <c r="I1020" s="304"/>
      <c r="J1020" s="304"/>
      <c r="K1020" s="304"/>
      <c r="L1020" s="304"/>
      <c r="M1020" s="304"/>
      <c r="N1020" s="304"/>
      <c r="O1020" s="304"/>
      <c r="P1020" s="304"/>
      <c r="Q1020" s="304"/>
    </row>
    <row r="1021" spans="1:17" ht="13.8" x14ac:dyDescent="0.3">
      <c r="A1021" s="388">
        <f t="shared" si="61"/>
        <v>999</v>
      </c>
      <c r="B1021" s="389">
        <f t="shared" ca="1" si="62"/>
        <v>0.12393100775261218</v>
      </c>
      <c r="C1021" s="389">
        <f t="shared" ca="1" si="63"/>
        <v>5.0744757977941389E-2</v>
      </c>
      <c r="D1021" s="390">
        <f t="shared" ca="1" si="64"/>
        <v>0.98653705102304756</v>
      </c>
      <c r="E1021" s="391" cm="1">
        <f t="array" aca="1" ref="E1021" ca="1">(SUMPRODUCT($B$13:$F$13*D1021/(1+B1021)^$B$14:$F$14)+($F$13*D1021*(1+C1021))/(B1021-C1021)/(1+B1021)^$F$14-$B$15+$B$16)/$B$17</f>
        <v>1448.7835065401637</v>
      </c>
      <c r="F1021" s="304"/>
      <c r="G1021" s="304"/>
      <c r="H1021" s="304"/>
      <c r="I1021" s="304"/>
      <c r="J1021" s="304"/>
      <c r="K1021" s="304"/>
      <c r="L1021" s="304"/>
      <c r="M1021" s="304"/>
      <c r="N1021" s="304"/>
      <c r="O1021" s="304"/>
      <c r="P1021" s="304"/>
      <c r="Q1021" s="304"/>
    </row>
    <row r="1022" spans="1:17" ht="13.8" x14ac:dyDescent="0.3">
      <c r="A1022" s="388">
        <f t="shared" si="61"/>
        <v>1000</v>
      </c>
      <c r="B1022" s="389">
        <f t="shared" ca="1" si="62"/>
        <v>0.11299543812003146</v>
      </c>
      <c r="C1022" s="389">
        <f t="shared" ca="1" si="63"/>
        <v>4.4881873130290427E-2</v>
      </c>
      <c r="D1022" s="390">
        <f t="shared" ca="1" si="64"/>
        <v>0.850192866630056</v>
      </c>
      <c r="E1022" s="391" cm="1">
        <f t="array" aca="1" ref="E1022" ca="1">(SUMPRODUCT($B$13:$F$13*D1022/(1+B1022)^$B$14:$F$14)+($F$13*D1022*(1+C1022))/(B1022-C1022)/(1+B1022)^$F$14-$B$15+$B$16)/$B$17</f>
        <v>1369.4153087137838</v>
      </c>
      <c r="F1022" s="304"/>
      <c r="G1022" s="304"/>
      <c r="H1022" s="304"/>
      <c r="I1022" s="304"/>
      <c r="J1022" s="304"/>
      <c r="K1022" s="304"/>
      <c r="L1022" s="304"/>
      <c r="M1022" s="304"/>
      <c r="N1022" s="304"/>
      <c r="O1022" s="304"/>
      <c r="P1022" s="304"/>
      <c r="Q1022" s="30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41E93-7117-4A9B-B8C5-D66121B99F24}">
  <sheetPr>
    <tabColor rgb="FF8E1C2F"/>
  </sheetPr>
  <dimension ref="B1:O58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defaultColWidth="8.77734375" defaultRowHeight="13.8" x14ac:dyDescent="0.3"/>
  <cols>
    <col min="1" max="1" width="2.6640625" style="12" customWidth="1"/>
    <col min="2" max="2" width="55.6640625" style="12" customWidth="1"/>
    <col min="3" max="12" width="10.6640625" style="12" customWidth="1"/>
    <col min="13" max="35" width="10.5546875" style="12" customWidth="1"/>
    <col min="36" max="16384" width="8.77734375" style="12"/>
  </cols>
  <sheetData>
    <row r="1" spans="2:14" ht="12.9" customHeight="1" x14ac:dyDescent="0.3">
      <c r="B1" s="1" t="s">
        <v>83</v>
      </c>
    </row>
    <row r="2" spans="2:14" ht="12.9" customHeight="1" x14ac:dyDescent="0.3">
      <c r="B2" s="12" t="s">
        <v>963</v>
      </c>
    </row>
    <row r="3" spans="2:14" ht="12.9" customHeight="1" x14ac:dyDescent="0.3">
      <c r="B3" s="12" t="s">
        <v>114</v>
      </c>
    </row>
    <row r="4" spans="2:14" ht="12.9" customHeight="1" x14ac:dyDescent="0.3"/>
    <row r="5" spans="2:14" s="360" customFormat="1" x14ac:dyDescent="0.3">
      <c r="B5" s="354" t="s">
        <v>1037</v>
      </c>
    </row>
    <row r="6" spans="2:14" ht="41.4" x14ac:dyDescent="0.3">
      <c r="B6" s="65" t="s">
        <v>251</v>
      </c>
      <c r="C6" s="169" t="s">
        <v>252</v>
      </c>
      <c r="D6" s="169" t="s">
        <v>253</v>
      </c>
      <c r="E6" s="169" t="s">
        <v>254</v>
      </c>
      <c r="F6" s="169" t="s">
        <v>255</v>
      </c>
      <c r="G6" s="169" t="s">
        <v>256</v>
      </c>
      <c r="H6" s="169" t="s">
        <v>257</v>
      </c>
      <c r="I6" s="169" t="s">
        <v>258</v>
      </c>
    </row>
    <row r="7" spans="2:14" ht="12.9" customHeight="1" x14ac:dyDescent="0.3">
      <c r="B7" s="174" t="s">
        <v>271</v>
      </c>
      <c r="C7" s="296"/>
      <c r="D7" s="63"/>
      <c r="E7" s="63"/>
      <c r="F7" s="63"/>
      <c r="G7" s="63"/>
      <c r="H7" s="63"/>
      <c r="I7" s="63"/>
    </row>
    <row r="8" spans="2:14" ht="12.9" customHeight="1" x14ac:dyDescent="0.3">
      <c r="B8" s="56" t="s">
        <v>259</v>
      </c>
      <c r="C8" s="297">
        <v>847.93139086679219</v>
      </c>
      <c r="D8" s="297">
        <v>858.33330000000001</v>
      </c>
      <c r="E8" s="297">
        <f>'Income Statement'!Q8</f>
        <v>732.78600000000006</v>
      </c>
      <c r="F8" s="132">
        <f>'Income Statement'!T8</f>
        <v>822.28769999999997</v>
      </c>
      <c r="G8" s="171">
        <f>(F8/E8)-1</f>
        <v>0.12213893278528776</v>
      </c>
      <c r="H8" s="171">
        <f>(F8/C8)-1</f>
        <v>-3.0242648335708111E-2</v>
      </c>
      <c r="I8" s="171">
        <f>(F8/D8)-1</f>
        <v>-4.1994875417276756E-2</v>
      </c>
    </row>
    <row r="9" spans="2:14" ht="12.9" customHeight="1" x14ac:dyDescent="0.3">
      <c r="B9" s="56" t="s">
        <v>260</v>
      </c>
      <c r="C9" s="297">
        <v>427.15231161606027</v>
      </c>
      <c r="D9" s="297">
        <v>424.44580000000002</v>
      </c>
      <c r="E9" s="297">
        <f>'Income Statement'!Q17</f>
        <v>335.11800000000005</v>
      </c>
      <c r="F9" s="132">
        <f>'Income Statement'!T17</f>
        <v>428.98929999999996</v>
      </c>
      <c r="G9" s="171">
        <f t="shared" ref="G9:G27" si="0">(F9/E9)-1</f>
        <v>0.28011416874056261</v>
      </c>
      <c r="H9" s="171">
        <f t="shared" ref="H9:H27" si="1">(F9/C9)-1</f>
        <v>4.3005465122960551E-3</v>
      </c>
      <c r="I9" s="171">
        <f t="shared" ref="I9:I27" si="2">(F9/D9)-1</f>
        <v>1.0704546964535711E-2</v>
      </c>
    </row>
    <row r="10" spans="2:14" ht="12.9" customHeight="1" x14ac:dyDescent="0.3">
      <c r="B10" s="175" t="s">
        <v>261</v>
      </c>
      <c r="C10" s="298">
        <f>C9/C8</f>
        <v>0.50375810615928096</v>
      </c>
      <c r="D10" s="171">
        <f>D9/D8</f>
        <v>0.49449998036893128</v>
      </c>
      <c r="E10" s="171">
        <f>E9/E8</f>
        <v>0.45732041823943148</v>
      </c>
      <c r="F10" s="171">
        <f>F9/F8</f>
        <v>0.52170219741825152</v>
      </c>
      <c r="G10" s="171">
        <f t="shared" si="0"/>
        <v>0.1407804607252694</v>
      </c>
      <c r="H10" s="171">
        <f t="shared" si="1"/>
        <v>3.562045164052785E-2</v>
      </c>
      <c r="I10" s="171">
        <f t="shared" si="2"/>
        <v>5.5009541211761936E-2</v>
      </c>
    </row>
    <row r="11" spans="2:14" ht="12.9" customHeight="1" x14ac:dyDescent="0.3">
      <c r="B11" s="175"/>
      <c r="C11" s="56"/>
      <c r="D11" s="170"/>
      <c r="E11" s="170"/>
      <c r="F11" s="171"/>
      <c r="G11" s="171"/>
      <c r="H11" s="171"/>
      <c r="I11" s="171"/>
      <c r="N11" s="23"/>
    </row>
    <row r="12" spans="2:14" ht="12.9" customHeight="1" x14ac:dyDescent="0.3">
      <c r="B12" s="56" t="s">
        <v>84</v>
      </c>
      <c r="C12" s="297">
        <v>191.75500200897699</v>
      </c>
      <c r="D12" s="297">
        <v>190.0667</v>
      </c>
      <c r="E12" s="297">
        <f>'Income Statement'!Q23</f>
        <v>165.22400000000007</v>
      </c>
      <c r="F12" s="132">
        <f>'Income Statement'!T23</f>
        <v>174.16219999999998</v>
      </c>
      <c r="G12" s="171">
        <f t="shared" si="0"/>
        <v>5.4097467680239486E-2</v>
      </c>
      <c r="H12" s="171">
        <f t="shared" si="1"/>
        <v>-9.1746248205579528E-2</v>
      </c>
      <c r="I12" s="171">
        <f t="shared" si="2"/>
        <v>-8.3678519172480037E-2</v>
      </c>
    </row>
    <row r="13" spans="2:14" ht="12.9" customHeight="1" x14ac:dyDescent="0.3">
      <c r="B13" s="175" t="s">
        <v>262</v>
      </c>
      <c r="C13" s="298">
        <f>C12/C8</f>
        <v>0.22614447828491963</v>
      </c>
      <c r="D13" s="171">
        <f>D12/D8</f>
        <v>0.22143694063832778</v>
      </c>
      <c r="E13" s="171">
        <f>E12/E8</f>
        <v>0.22547373994590517</v>
      </c>
      <c r="F13" s="171">
        <f>F12/F8</f>
        <v>0.21180202500900838</v>
      </c>
      <c r="G13" s="171">
        <f t="shared" si="0"/>
        <v>-6.063550877444468E-2</v>
      </c>
      <c r="H13" s="171">
        <f t="shared" si="1"/>
        <v>-6.3421638169918859E-2</v>
      </c>
      <c r="I13" s="171">
        <f t="shared" si="2"/>
        <v>-4.3510877641034895E-2</v>
      </c>
    </row>
    <row r="14" spans="2:14" ht="12.9" customHeight="1" x14ac:dyDescent="0.3">
      <c r="B14" s="175"/>
      <c r="C14" s="56"/>
      <c r="D14" s="170"/>
      <c r="E14" s="170"/>
      <c r="F14" s="171"/>
      <c r="G14" s="171"/>
      <c r="H14" s="171"/>
      <c r="I14" s="171"/>
    </row>
    <row r="15" spans="2:14" ht="12.9" customHeight="1" x14ac:dyDescent="0.3">
      <c r="B15" s="56" t="s">
        <v>228</v>
      </c>
      <c r="C15" s="297">
        <v>165.94381400897697</v>
      </c>
      <c r="D15" s="297">
        <v>153.30000000000001</v>
      </c>
      <c r="E15" s="297">
        <f>'Income Statement'!Q27</f>
        <v>141.40500000000009</v>
      </c>
      <c r="F15" s="132">
        <f>'Income Statement'!T27</f>
        <v>146.32119999999998</v>
      </c>
      <c r="G15" s="171">
        <f t="shared" si="0"/>
        <v>3.4766804568437282E-2</v>
      </c>
      <c r="H15" s="171">
        <f t="shared" si="1"/>
        <v>-0.11824854168963161</v>
      </c>
      <c r="I15" s="171">
        <f t="shared" si="2"/>
        <v>-4.5523809523809744E-2</v>
      </c>
    </row>
    <row r="16" spans="2:14" ht="12.9" customHeight="1" x14ac:dyDescent="0.3">
      <c r="B16" s="175" t="s">
        <v>266</v>
      </c>
      <c r="C16" s="298">
        <f>C15/C8</f>
        <v>0.19570429376289752</v>
      </c>
      <c r="D16" s="171">
        <f>D15/D8</f>
        <v>0.17860194868357082</v>
      </c>
      <c r="E16" s="171">
        <f>E15/E8</f>
        <v>0.19296902506325186</v>
      </c>
      <c r="F16" s="171">
        <f>F15/F8</f>
        <v>0.1779440456180969</v>
      </c>
      <c r="G16" s="171">
        <f t="shared" si="0"/>
        <v>-7.7862130672163743E-2</v>
      </c>
      <c r="H16" s="171">
        <f t="shared" si="1"/>
        <v>-9.0750426591650446E-2</v>
      </c>
      <c r="I16" s="171">
        <f t="shared" si="2"/>
        <v>-3.6836275881823033E-3</v>
      </c>
    </row>
    <row r="17" spans="2:15" ht="12.9" customHeight="1" x14ac:dyDescent="0.3">
      <c r="B17" s="56"/>
      <c r="C17" s="56"/>
      <c r="D17" s="170"/>
      <c r="E17" s="170"/>
      <c r="F17" s="132"/>
      <c r="G17" s="171"/>
      <c r="H17" s="171"/>
      <c r="I17" s="171"/>
    </row>
    <row r="18" spans="2:15" ht="12.9" customHeight="1" x14ac:dyDescent="0.3">
      <c r="B18" s="56" t="s">
        <v>85</v>
      </c>
      <c r="C18" s="297">
        <v>157.83447500302472</v>
      </c>
      <c r="D18" s="297">
        <v>163.6</v>
      </c>
      <c r="E18" s="297">
        <f>'Income Statement'!Q32</f>
        <v>143.20020000000008</v>
      </c>
      <c r="F18" s="132">
        <f>'Income Statement'!T32</f>
        <v>139.3005</v>
      </c>
      <c r="G18" s="171">
        <f t="shared" si="0"/>
        <v>-2.7232503865218582E-2</v>
      </c>
      <c r="H18" s="171">
        <f t="shared" si="1"/>
        <v>-0.11742665854636347</v>
      </c>
      <c r="I18" s="171">
        <f t="shared" si="2"/>
        <v>-0.14852995110024447</v>
      </c>
    </row>
    <row r="19" spans="2:15" ht="12.9" customHeight="1" x14ac:dyDescent="0.3">
      <c r="B19" s="175" t="s">
        <v>274</v>
      </c>
      <c r="C19" s="298">
        <f t="shared" ref="C19:E19" si="3">C18/C8</f>
        <v>0.18614062022362385</v>
      </c>
      <c r="D19" s="171">
        <f t="shared" si="3"/>
        <v>0.19060194914959025</v>
      </c>
      <c r="E19" s="171">
        <f t="shared" si="3"/>
        <v>0.19541885352613186</v>
      </c>
      <c r="F19" s="171">
        <f>F18/F8</f>
        <v>0.16940603635442925</v>
      </c>
      <c r="G19" s="171">
        <f t="shared" si="0"/>
        <v>-0.13311313981393369</v>
      </c>
      <c r="H19" s="171">
        <f t="shared" si="1"/>
        <v>-8.9902912373936217E-2</v>
      </c>
      <c r="I19" s="171">
        <f t="shared" si="2"/>
        <v>-0.11120512088009027</v>
      </c>
    </row>
    <row r="20" spans="2:15" ht="12.9" customHeight="1" x14ac:dyDescent="0.3">
      <c r="B20" s="56"/>
      <c r="C20" s="56"/>
      <c r="D20" s="170"/>
      <c r="E20" s="170"/>
      <c r="F20" s="170"/>
      <c r="G20" s="171"/>
      <c r="H20" s="171"/>
      <c r="I20" s="171"/>
    </row>
    <row r="21" spans="2:15" ht="12.9" customHeight="1" x14ac:dyDescent="0.3">
      <c r="B21" s="56" t="s">
        <v>86</v>
      </c>
      <c r="C21" s="297">
        <v>117.83181182226346</v>
      </c>
      <c r="D21" s="297">
        <v>124.0333</v>
      </c>
      <c r="E21" s="297">
        <f>'Income Statement'!Q43</f>
        <v>118.30270000000009</v>
      </c>
      <c r="F21" s="132">
        <f>'Income Statement'!T43</f>
        <v>110.39239999999999</v>
      </c>
      <c r="G21" s="171">
        <f t="shared" si="0"/>
        <v>-6.6864915170998462E-2</v>
      </c>
      <c r="H21" s="171">
        <f t="shared" si="1"/>
        <v>-6.3135851916501284E-2</v>
      </c>
      <c r="I21" s="171">
        <f t="shared" si="2"/>
        <v>-0.10997772372419345</v>
      </c>
    </row>
    <row r="22" spans="2:15" ht="12.9" customHeight="1" x14ac:dyDescent="0.3">
      <c r="B22" s="175" t="s">
        <v>263</v>
      </c>
      <c r="C22" s="298">
        <f>C21/C8</f>
        <v>0.13896385142884105</v>
      </c>
      <c r="D22" s="171">
        <f>D21/D8</f>
        <v>0.14450482114581828</v>
      </c>
      <c r="E22" s="171">
        <f>E21/E8</f>
        <v>0.16144235834199899</v>
      </c>
      <c r="F22" s="171">
        <f>F21/F8</f>
        <v>0.13425033598337904</v>
      </c>
      <c r="G22" s="171">
        <f t="shared" si="0"/>
        <v>-0.16843177117752739</v>
      </c>
      <c r="H22" s="171">
        <f t="shared" si="1"/>
        <v>-3.3919004093490024E-2</v>
      </c>
      <c r="I22" s="171">
        <f t="shared" si="2"/>
        <v>-7.0962927611193938E-2</v>
      </c>
    </row>
    <row r="23" spans="2:15" ht="12.9" customHeight="1" x14ac:dyDescent="0.3">
      <c r="B23" s="175"/>
      <c r="C23" s="56"/>
      <c r="D23" s="170"/>
      <c r="E23" s="170"/>
      <c r="F23" s="170"/>
      <c r="G23" s="171"/>
      <c r="H23" s="171"/>
      <c r="I23" s="171"/>
    </row>
    <row r="24" spans="2:15" ht="12.9" customHeight="1" x14ac:dyDescent="0.3">
      <c r="B24" s="56" t="s">
        <v>264</v>
      </c>
      <c r="C24" s="297">
        <v>58.837945633167784</v>
      </c>
      <c r="D24" s="297">
        <v>61.9</v>
      </c>
      <c r="E24" s="297">
        <f>'Income Statement'!Q49</f>
        <v>59.073078171422907</v>
      </c>
      <c r="F24" s="132">
        <f>'Income Statement'!T49</f>
        <v>55.109402690762039</v>
      </c>
      <c r="G24" s="171">
        <f t="shared" si="0"/>
        <v>-6.7097832098045762E-2</v>
      </c>
      <c r="H24" s="171">
        <f t="shared" si="1"/>
        <v>-6.3369699643352484E-2</v>
      </c>
      <c r="I24" s="171">
        <f t="shared" si="2"/>
        <v>-0.10970270289560513</v>
      </c>
    </row>
    <row r="25" spans="2:15" ht="12.9" customHeight="1" x14ac:dyDescent="0.3">
      <c r="B25" s="56" t="s">
        <v>265</v>
      </c>
      <c r="C25" s="297">
        <v>17</v>
      </c>
      <c r="D25" s="297">
        <v>17.420000000000002</v>
      </c>
      <c r="E25" s="297">
        <f>'Income Statement'!Q53</f>
        <v>15</v>
      </c>
      <c r="F25" s="132">
        <f>'Income Statement'!T53</f>
        <v>17</v>
      </c>
      <c r="G25" s="171">
        <f t="shared" si="0"/>
        <v>0.1333333333333333</v>
      </c>
      <c r="H25" s="171">
        <f t="shared" si="1"/>
        <v>0</v>
      </c>
      <c r="I25" s="171">
        <f t="shared" si="2"/>
        <v>-2.4110218140068973E-2</v>
      </c>
    </row>
    <row r="26" spans="2:15" ht="12.9" customHeight="1" x14ac:dyDescent="0.3">
      <c r="B26" s="56"/>
      <c r="C26" s="56"/>
      <c r="D26" s="170"/>
      <c r="E26" s="170"/>
      <c r="F26" s="170"/>
      <c r="G26" s="171"/>
      <c r="H26" s="171"/>
      <c r="I26" s="171"/>
      <c r="O26" s="12" t="s">
        <v>273</v>
      </c>
    </row>
    <row r="27" spans="2:15" ht="12.9" customHeight="1" x14ac:dyDescent="0.3">
      <c r="B27" s="56" t="s">
        <v>103</v>
      </c>
      <c r="C27" s="297">
        <v>66</v>
      </c>
      <c r="D27" s="297">
        <v>60</v>
      </c>
      <c r="E27" s="297">
        <f>'Balance Sheet'!Q64</f>
        <v>12.371300000000019</v>
      </c>
      <c r="F27" s="132">
        <f>'Balance Sheet'!T64</f>
        <v>68.05</v>
      </c>
      <c r="G27" s="171">
        <f t="shared" si="0"/>
        <v>4.5006345331533382</v>
      </c>
      <c r="H27" s="171">
        <f t="shared" si="1"/>
        <v>3.1060606060606011E-2</v>
      </c>
      <c r="I27" s="171">
        <f t="shared" si="2"/>
        <v>0.13416666666666655</v>
      </c>
    </row>
    <row r="28" spans="2:15" ht="12.9" customHeight="1" x14ac:dyDescent="0.3">
      <c r="B28" s="56"/>
      <c r="C28" s="84"/>
      <c r="D28" s="170"/>
      <c r="E28" s="132"/>
      <c r="F28" s="170"/>
      <c r="G28" s="170"/>
      <c r="H28" s="170"/>
      <c r="I28" s="170"/>
    </row>
    <row r="29" spans="2:15" ht="12.9" customHeight="1" x14ac:dyDescent="0.3">
      <c r="B29" s="174" t="s">
        <v>267</v>
      </c>
      <c r="C29" s="56"/>
      <c r="D29" s="170"/>
      <c r="E29" s="170"/>
      <c r="F29" s="170"/>
      <c r="G29" s="170"/>
      <c r="H29" s="170"/>
      <c r="I29" s="170"/>
    </row>
    <row r="30" spans="2:15" ht="12.9" customHeight="1" x14ac:dyDescent="0.3">
      <c r="B30" s="56" t="s">
        <v>269</v>
      </c>
      <c r="C30" s="56"/>
      <c r="D30" s="171"/>
      <c r="E30" s="170"/>
      <c r="F30" s="170"/>
      <c r="G30" s="170"/>
      <c r="H30" s="170"/>
      <c r="I30" s="170"/>
    </row>
    <row r="31" spans="2:15" ht="12.9" customHeight="1" x14ac:dyDescent="0.3">
      <c r="B31" s="56" t="s">
        <v>119</v>
      </c>
      <c r="C31" s="297">
        <v>412.8310576923077</v>
      </c>
      <c r="D31" s="170"/>
      <c r="E31" s="297">
        <f>'Revenue Segments'!Q17</f>
        <v>404.8</v>
      </c>
      <c r="F31" s="131">
        <f>'Revenue Segments'!T17</f>
        <v>363.5</v>
      </c>
      <c r="G31" s="171">
        <f t="shared" ref="G31:G36" si="4">(F31/E31)-1</f>
        <v>-0.10202569169960474</v>
      </c>
      <c r="H31" s="171">
        <f t="shared" ref="H31:H36" si="5">(F31/C31)-1</f>
        <v>-0.11949454086149514</v>
      </c>
      <c r="I31" s="170"/>
    </row>
    <row r="32" spans="2:15" ht="12.9" customHeight="1" x14ac:dyDescent="0.3">
      <c r="B32" s="56" t="s">
        <v>120</v>
      </c>
      <c r="C32" s="297">
        <v>121.09999999999997</v>
      </c>
      <c r="D32" s="170"/>
      <c r="E32" s="297">
        <f>'Revenue Segments'!Q29</f>
        <v>234.3</v>
      </c>
      <c r="F32" s="131">
        <f>'Revenue Segments'!T29</f>
        <v>272.5</v>
      </c>
      <c r="G32" s="171">
        <f t="shared" si="4"/>
        <v>0.16303883909517713</v>
      </c>
      <c r="H32" s="171">
        <f t="shared" si="5"/>
        <v>1.2502064409578866</v>
      </c>
      <c r="I32" s="170"/>
    </row>
    <row r="33" spans="2:9" ht="12.9" customHeight="1" x14ac:dyDescent="0.3">
      <c r="B33" s="56" t="s">
        <v>121</v>
      </c>
      <c r="C33" s="297">
        <v>26.351390146471374</v>
      </c>
      <c r="D33" s="170"/>
      <c r="E33" s="297">
        <f>'Revenue Segments'!Q41</f>
        <v>56</v>
      </c>
      <c r="F33" s="131">
        <f>'Revenue Segments'!T41</f>
        <v>8.1</v>
      </c>
      <c r="G33" s="171">
        <f t="shared" si="4"/>
        <v>-0.85535714285714293</v>
      </c>
      <c r="H33" s="171">
        <f t="shared" si="5"/>
        <v>-0.6926158371540545</v>
      </c>
      <c r="I33" s="170"/>
    </row>
    <row r="34" spans="2:9" ht="12.9" customHeight="1" x14ac:dyDescent="0.3">
      <c r="B34" s="56" t="s">
        <v>122</v>
      </c>
      <c r="C34" s="297">
        <v>54.067999999999998</v>
      </c>
      <c r="D34" s="170"/>
      <c r="E34" s="297">
        <f>'Revenue Segments'!Q53</f>
        <v>26.5</v>
      </c>
      <c r="F34" s="131">
        <f>'Revenue Segments'!T53</f>
        <v>95.2</v>
      </c>
      <c r="G34" s="171">
        <f t="shared" si="4"/>
        <v>2.5924528301886793</v>
      </c>
      <c r="H34" s="171">
        <f t="shared" si="5"/>
        <v>0.76074572760227865</v>
      </c>
      <c r="I34" s="170"/>
    </row>
    <row r="35" spans="2:9" ht="12.9" customHeight="1" x14ac:dyDescent="0.3">
      <c r="B35" s="56" t="s">
        <v>123</v>
      </c>
      <c r="C35" s="297">
        <v>16.586271512669057</v>
      </c>
      <c r="D35" s="170"/>
      <c r="E35" s="297">
        <f>'Revenue Segments'!Q65</f>
        <v>19.7</v>
      </c>
      <c r="F35" s="131">
        <f>'Revenue Segments'!T65</f>
        <v>29.6</v>
      </c>
      <c r="G35" s="171">
        <f t="shared" si="4"/>
        <v>0.50253807106598991</v>
      </c>
      <c r="H35" s="171">
        <f t="shared" si="5"/>
        <v>0.78460843218385135</v>
      </c>
      <c r="I35" s="170"/>
    </row>
    <row r="36" spans="2:9" ht="12.9" customHeight="1" x14ac:dyDescent="0.3">
      <c r="B36" s="95" t="s">
        <v>268</v>
      </c>
      <c r="C36" s="299">
        <f>SUM(C31:C35)</f>
        <v>630.93671935144812</v>
      </c>
      <c r="D36" s="170"/>
      <c r="E36" s="172">
        <f>SUM(E31:E35)</f>
        <v>741.30000000000007</v>
      </c>
      <c r="F36" s="172">
        <f>SUM(F31:F35)</f>
        <v>768.90000000000009</v>
      </c>
      <c r="G36" s="222">
        <f t="shared" si="4"/>
        <v>3.7231889923108108E-2</v>
      </c>
      <c r="H36" s="222">
        <f t="shared" si="5"/>
        <v>0.21866421214217335</v>
      </c>
      <c r="I36" s="170"/>
    </row>
    <row r="37" spans="2:9" ht="12.9" customHeight="1" x14ac:dyDescent="0.3">
      <c r="B37" s="56"/>
      <c r="C37" s="56"/>
      <c r="D37" s="170"/>
      <c r="E37" s="170"/>
      <c r="F37" s="170"/>
      <c r="G37" s="170"/>
      <c r="H37" s="170"/>
      <c r="I37" s="170"/>
    </row>
    <row r="38" spans="2:9" ht="12.9" customHeight="1" x14ac:dyDescent="0.3">
      <c r="B38" s="56" t="s">
        <v>272</v>
      </c>
      <c r="C38" s="56"/>
      <c r="D38" s="170"/>
      <c r="E38" s="170"/>
      <c r="F38" s="170"/>
      <c r="G38" s="170"/>
      <c r="H38" s="170"/>
      <c r="I38" s="170"/>
    </row>
    <row r="39" spans="2:9" ht="12.9" customHeight="1" x14ac:dyDescent="0.3">
      <c r="B39" s="56" t="s">
        <v>119</v>
      </c>
      <c r="C39" s="297">
        <v>567.19831730769238</v>
      </c>
      <c r="D39" s="170"/>
      <c r="E39" s="297">
        <f>'Revenue Segments'!Q11</f>
        <v>298.8</v>
      </c>
      <c r="F39" s="131">
        <f>'Revenue Segments'!T11</f>
        <v>401.9</v>
      </c>
      <c r="G39" s="171">
        <f t="shared" ref="G39:G44" si="6">(F39/E39)-1</f>
        <v>0.34504685408299851</v>
      </c>
      <c r="H39" s="171">
        <f t="shared" ref="H39:H44" si="7">(F39/C39)-1</f>
        <v>-0.2914294917028496</v>
      </c>
      <c r="I39" s="170"/>
    </row>
    <row r="40" spans="2:9" ht="12.9" customHeight="1" x14ac:dyDescent="0.3">
      <c r="B40" s="56" t="s">
        <v>120</v>
      </c>
      <c r="C40" s="297">
        <v>96.333333333333343</v>
      </c>
      <c r="D40" s="170"/>
      <c r="E40" s="297">
        <f>'Revenue Segments'!Q23</f>
        <v>266.5</v>
      </c>
      <c r="F40" s="131">
        <f>'Revenue Segments'!T23</f>
        <v>305.3</v>
      </c>
      <c r="G40" s="171">
        <f t="shared" si="6"/>
        <v>0.14559099437148215</v>
      </c>
      <c r="H40" s="171">
        <f t="shared" si="7"/>
        <v>2.1692041522491348</v>
      </c>
      <c r="I40" s="170"/>
    </row>
    <row r="41" spans="2:9" ht="12.9" customHeight="1" x14ac:dyDescent="0.3">
      <c r="B41" s="56" t="s">
        <v>121</v>
      </c>
      <c r="C41" s="297">
        <v>12.418983577452275</v>
      </c>
      <c r="D41" s="170"/>
      <c r="E41" s="297">
        <f>'Revenue Segments'!Q35</f>
        <v>-23.099999999999994</v>
      </c>
      <c r="F41" s="131">
        <f>'Revenue Segments'!T35</f>
        <v>2</v>
      </c>
      <c r="G41" s="171">
        <f t="shared" si="6"/>
        <v>-1.0865800865800865</v>
      </c>
      <c r="H41" s="171">
        <f t="shared" si="7"/>
        <v>-0.83895622475649534</v>
      </c>
      <c r="I41" s="170"/>
    </row>
    <row r="42" spans="2:9" ht="12.9" customHeight="1" x14ac:dyDescent="0.3">
      <c r="B42" s="56" t="s">
        <v>122</v>
      </c>
      <c r="C42" s="297">
        <v>53.940000000000005</v>
      </c>
      <c r="D42" s="170"/>
      <c r="E42" s="297">
        <f>'Revenue Segments'!Q47</f>
        <v>26.5</v>
      </c>
      <c r="F42" s="131">
        <f>'Revenue Segments'!T47</f>
        <v>95</v>
      </c>
      <c r="G42" s="171">
        <f t="shared" si="6"/>
        <v>2.5849056603773586</v>
      </c>
      <c r="H42" s="171">
        <f t="shared" si="7"/>
        <v>0.76121616611049303</v>
      </c>
      <c r="I42" s="170"/>
    </row>
    <row r="43" spans="2:9" ht="12.9" customHeight="1" x14ac:dyDescent="0.3">
      <c r="B43" s="56" t="s">
        <v>123</v>
      </c>
      <c r="C43" s="297">
        <v>34.658333333333331</v>
      </c>
      <c r="D43" s="170"/>
      <c r="E43" s="297">
        <f>'Revenue Segments'!Q59</f>
        <v>26.8</v>
      </c>
      <c r="F43" s="131">
        <f>'Revenue Segments'!T59</f>
        <v>45.7</v>
      </c>
      <c r="G43" s="171">
        <f t="shared" si="6"/>
        <v>0.70522388059701502</v>
      </c>
      <c r="H43" s="171">
        <f t="shared" si="7"/>
        <v>0.31858619860543413</v>
      </c>
      <c r="I43" s="170"/>
    </row>
    <row r="44" spans="2:9" ht="12.9" customHeight="1" x14ac:dyDescent="0.3">
      <c r="B44" s="165" t="s">
        <v>270</v>
      </c>
      <c r="C44" s="300">
        <f>SUM(C39:C43)</f>
        <v>764.54896755181142</v>
      </c>
      <c r="D44" s="126"/>
      <c r="E44" s="173">
        <f>SUM(E39:E43)</f>
        <v>595.49999999999989</v>
      </c>
      <c r="F44" s="173">
        <f>SUM(F39:F43)</f>
        <v>849.90000000000009</v>
      </c>
      <c r="G44" s="221">
        <f t="shared" si="6"/>
        <v>0.42720403022670062</v>
      </c>
      <c r="H44" s="221">
        <f t="shared" si="7"/>
        <v>0.11163579583593464</v>
      </c>
      <c r="I44" s="126"/>
    </row>
    <row r="45" spans="2:9" ht="12.9" customHeight="1" x14ac:dyDescent="0.3"/>
    <row r="46" spans="2:9" ht="12.9" customHeight="1" x14ac:dyDescent="0.3"/>
    <row r="47" spans="2:9" ht="12.9" customHeight="1" x14ac:dyDescent="0.3"/>
    <row r="48" spans="2:9" ht="12.9" customHeight="1" x14ac:dyDescent="0.3"/>
    <row r="49" ht="12.9" customHeight="1" x14ac:dyDescent="0.3"/>
    <row r="50" ht="12.9" customHeight="1" x14ac:dyDescent="0.3"/>
    <row r="51" ht="12.9" customHeight="1" x14ac:dyDescent="0.3"/>
    <row r="52" ht="12.9" customHeight="1" x14ac:dyDescent="0.3"/>
    <row r="53" ht="12.9" customHeight="1" x14ac:dyDescent="0.3"/>
    <row r="54" ht="12.9" customHeight="1" x14ac:dyDescent="0.3"/>
    <row r="55" ht="12.9" customHeight="1" x14ac:dyDescent="0.3"/>
    <row r="56" ht="12.9" customHeight="1" x14ac:dyDescent="0.3"/>
    <row r="57" ht="12.9" customHeight="1" x14ac:dyDescent="0.3"/>
    <row r="58" ht="12.9" customHeight="1" x14ac:dyDescent="0.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F8EE9-BD3E-4157-A940-79156F1F2657}">
  <sheetPr>
    <tabColor rgb="FF8E1C2F"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defaultColWidth="8.77734375" defaultRowHeight="13.8" x14ac:dyDescent="0.3"/>
  <cols>
    <col min="1" max="1" width="2.6640625" style="12" customWidth="1"/>
    <col min="2" max="2" width="55.6640625" style="12" customWidth="1"/>
    <col min="3" max="26" width="10.6640625" style="12" customWidth="1"/>
    <col min="27" max="31" width="10.5546875" style="12" customWidth="1"/>
    <col min="32" max="16384" width="8.77734375" style="12"/>
  </cols>
  <sheetData>
    <row r="1" spans="1:26" x14ac:dyDescent="0.3">
      <c r="B1" s="1" t="s">
        <v>83</v>
      </c>
    </row>
    <row r="2" spans="1:26" x14ac:dyDescent="0.3">
      <c r="B2" s="12" t="s">
        <v>963</v>
      </c>
    </row>
    <row r="3" spans="1:26" x14ac:dyDescent="0.3">
      <c r="B3" s="12" t="s">
        <v>114</v>
      </c>
    </row>
    <row r="5" spans="1:26" s="360" customFormat="1" x14ac:dyDescent="0.3">
      <c r="B5" s="354" t="s">
        <v>922</v>
      </c>
    </row>
    <row r="6" spans="1:26" x14ac:dyDescent="0.3">
      <c r="C6" s="326" t="s">
        <v>638</v>
      </c>
      <c r="D6" s="327"/>
      <c r="E6" s="327"/>
      <c r="F6" s="327"/>
      <c r="G6" s="327"/>
      <c r="H6" s="327"/>
      <c r="I6" s="327"/>
      <c r="J6" s="327"/>
      <c r="K6" s="328"/>
      <c r="L6" s="326" t="s">
        <v>639</v>
      </c>
      <c r="M6" s="327"/>
      <c r="N6" s="327"/>
      <c r="O6" s="327"/>
      <c r="P6" s="327"/>
      <c r="Q6" s="327"/>
      <c r="R6" s="328"/>
      <c r="S6" s="326" t="s">
        <v>303</v>
      </c>
      <c r="T6" s="327"/>
      <c r="U6" s="327"/>
      <c r="V6" s="327"/>
      <c r="W6" s="327"/>
      <c r="X6" s="327"/>
      <c r="Y6" s="328"/>
    </row>
    <row r="7" spans="1:26" s="16" customFormat="1" ht="27.6" x14ac:dyDescent="0.3">
      <c r="B7" s="195" t="s">
        <v>313</v>
      </c>
      <c r="C7" s="196" t="s">
        <v>315</v>
      </c>
      <c r="D7" s="196" t="s">
        <v>316</v>
      </c>
      <c r="E7" s="197" t="s">
        <v>317</v>
      </c>
      <c r="F7" s="196" t="s">
        <v>84</v>
      </c>
      <c r="G7" s="198" t="s">
        <v>318</v>
      </c>
      <c r="H7" s="198" t="s">
        <v>308</v>
      </c>
      <c r="I7" s="196" t="s">
        <v>319</v>
      </c>
      <c r="J7" s="196" t="s">
        <v>106</v>
      </c>
      <c r="K7" s="196" t="s">
        <v>297</v>
      </c>
      <c r="L7" s="196" t="s">
        <v>305</v>
      </c>
      <c r="M7" s="196" t="s">
        <v>9</v>
      </c>
      <c r="N7" s="196" t="s">
        <v>6</v>
      </c>
      <c r="O7" s="196" t="s">
        <v>640</v>
      </c>
      <c r="P7" s="196" t="s">
        <v>320</v>
      </c>
      <c r="Q7" s="196" t="s">
        <v>681</v>
      </c>
      <c r="R7" s="196" t="s">
        <v>321</v>
      </c>
      <c r="S7" s="196" t="s">
        <v>322</v>
      </c>
      <c r="T7" s="197" t="s">
        <v>314</v>
      </c>
      <c r="U7" s="197" t="s">
        <v>108</v>
      </c>
      <c r="V7" s="197" t="s">
        <v>306</v>
      </c>
      <c r="W7" s="197" t="s">
        <v>79</v>
      </c>
      <c r="X7" s="197" t="s">
        <v>80</v>
      </c>
      <c r="Y7" s="197" t="s">
        <v>914</v>
      </c>
    </row>
    <row r="8" spans="1:26" ht="12.9" customHeight="1" x14ac:dyDescent="0.3">
      <c r="B8" s="117" t="s">
        <v>277</v>
      </c>
      <c r="C8" s="84">
        <f>'Peer Data'!I9</f>
        <v>6789.26</v>
      </c>
      <c r="D8" s="84">
        <f>'Peer Data'!J9</f>
        <v>2399.6100000000006</v>
      </c>
      <c r="E8" s="118">
        <f>D8/C8</f>
        <v>0.35344205406774826</v>
      </c>
      <c r="F8" s="119">
        <f>'Peer Data'!K9</f>
        <v>554.73000000000047</v>
      </c>
      <c r="G8" s="120">
        <f>F8/C8</f>
        <v>8.1706990157984882E-2</v>
      </c>
      <c r="H8" s="121">
        <f>'Peer Data'!M9</f>
        <v>154.04000000000056</v>
      </c>
      <c r="I8" s="118">
        <f t="shared" ref="I8:I11" si="0">H8/C8</f>
        <v>2.2688776096364046E-2</v>
      </c>
      <c r="J8" s="121">
        <f>H8/T8</f>
        <v>20.949272405820832</v>
      </c>
      <c r="K8" s="112">
        <f>'Peer Data'!D46</f>
        <v>918.06999999999994</v>
      </c>
      <c r="L8" s="112">
        <f>'Peer Data'!D47</f>
        <v>397.16</v>
      </c>
      <c r="M8" s="112">
        <f>'Peer Data'!D48</f>
        <v>2887.67</v>
      </c>
      <c r="N8" s="112">
        <f>'Peer Data'!D49</f>
        <v>8077.14</v>
      </c>
      <c r="O8" s="121">
        <f>K8/M8</f>
        <v>0.31792760253076008</v>
      </c>
      <c r="P8" s="118">
        <f>H8/M8</f>
        <v>5.3344045545370679E-2</v>
      </c>
      <c r="Q8" s="118">
        <f>'Peer Data'!D30/('Peer Data'!D49-'Peer Data'!D51)</f>
        <v>7.4105354600516524E-2</v>
      </c>
      <c r="R8" s="118">
        <f>H8/N8</f>
        <v>1.9071106852177944E-2</v>
      </c>
      <c r="S8" s="83">
        <f>'Peer Data'!D9</f>
        <v>920.4</v>
      </c>
      <c r="T8" s="130">
        <f>'Peer Data'!C9</f>
        <v>7.3529999999999998</v>
      </c>
      <c r="U8" s="131">
        <f>'Peer Data'!E9</f>
        <v>6767.7011999999995</v>
      </c>
      <c r="V8" s="130">
        <f>'Peer Data'!H9</f>
        <v>7288.6111999999994</v>
      </c>
      <c r="W8" s="131">
        <f>S8/J8</f>
        <v>43.934700077901681</v>
      </c>
      <c r="X8" s="132">
        <f>V8/F8</f>
        <v>13.139024750779646</v>
      </c>
      <c r="Y8" s="132">
        <f>U8/M8</f>
        <v>2.3436546419777882</v>
      </c>
      <c r="Z8" s="23"/>
    </row>
    <row r="9" spans="1:26" ht="12.9" customHeight="1" x14ac:dyDescent="0.3">
      <c r="B9" s="76" t="s">
        <v>278</v>
      </c>
      <c r="C9" s="84">
        <f>'Peer Data'!I10</f>
        <v>3167.8827999999999</v>
      </c>
      <c r="D9" s="84">
        <f>'Peer Data'!J10</f>
        <v>1547.8445999999999</v>
      </c>
      <c r="E9" s="77">
        <f t="shared" ref="E9:E11" si="1">D9/C9</f>
        <v>0.4886053865376585</v>
      </c>
      <c r="F9" s="23">
        <f>'Peer Data'!K10</f>
        <v>151.77349999999979</v>
      </c>
      <c r="G9" s="122">
        <f t="shared" ref="G9:G11" si="2">F9/C9</f>
        <v>4.7910074198451974E-2</v>
      </c>
      <c r="H9" s="84">
        <f>'Peer Data'!M10</f>
        <v>23.8466999999998</v>
      </c>
      <c r="I9" s="77">
        <f t="shared" si="0"/>
        <v>7.5276459091225848E-3</v>
      </c>
      <c r="J9" s="84">
        <f>H9/T9</f>
        <v>1.2973347913368369</v>
      </c>
      <c r="K9" s="83">
        <f>'Peer Data'!E46</f>
        <v>0</v>
      </c>
      <c r="L9" s="83">
        <f>'Peer Data'!E47</f>
        <v>203.74199999999999</v>
      </c>
      <c r="M9" s="83">
        <f>'Peer Data'!E48</f>
        <v>1309.2537</v>
      </c>
      <c r="N9" s="83">
        <f>'Peer Data'!E49</f>
        <v>3055.8942999999999</v>
      </c>
      <c r="O9" s="84">
        <f>K9/M9</f>
        <v>0</v>
      </c>
      <c r="P9" s="77">
        <f>H9/M9</f>
        <v>1.8213964184328676E-2</v>
      </c>
      <c r="Q9" s="77">
        <f>'Peer Data'!E30/('Peer Data'!E49-'Peer Data'!E51)</f>
        <v>3.215846274071596E-2</v>
      </c>
      <c r="R9" s="77">
        <f>H9/N9</f>
        <v>7.8035094342104048E-3</v>
      </c>
      <c r="S9" s="83">
        <f>'Peer Data'!D10</f>
        <v>353.3</v>
      </c>
      <c r="T9" s="130">
        <f>'Peer Data'!C10</f>
        <v>18.3813</v>
      </c>
      <c r="U9" s="131">
        <f>'Peer Data'!E10</f>
        <v>6494.1132900000002</v>
      </c>
      <c r="V9" s="130">
        <f>'Peer Data'!H10</f>
        <v>6290.37129</v>
      </c>
      <c r="W9" s="131">
        <f>S9/J9</f>
        <v>272.32754594975631</v>
      </c>
      <c r="X9" s="132">
        <f>V9/F9</f>
        <v>41.445781312284481</v>
      </c>
      <c r="Y9" s="132">
        <f>U9/M9</f>
        <v>4.960164168334984</v>
      </c>
      <c r="Z9" s="23"/>
    </row>
    <row r="10" spans="1:26" ht="12.9" customHeight="1" x14ac:dyDescent="0.3">
      <c r="B10" s="76" t="s">
        <v>275</v>
      </c>
      <c r="C10" s="84">
        <f>'Peer Data'!I11</f>
        <v>3523.94</v>
      </c>
      <c r="D10" s="84">
        <f>'Peer Data'!J11</f>
        <v>2128.79</v>
      </c>
      <c r="E10" s="77">
        <f t="shared" si="1"/>
        <v>0.60409371328683237</v>
      </c>
      <c r="F10" s="23">
        <f>'Peer Data'!K11</f>
        <v>402.61999999999989</v>
      </c>
      <c r="G10" s="122">
        <f t="shared" si="2"/>
        <v>0.1142527965856399</v>
      </c>
      <c r="H10" s="84">
        <f>'Peer Data'!M11</f>
        <v>51.819999999999851</v>
      </c>
      <c r="I10" s="77">
        <f t="shared" si="0"/>
        <v>1.4705131188385685E-2</v>
      </c>
      <c r="J10" s="84">
        <f>H10/T10</f>
        <v>11.528364849833114</v>
      </c>
      <c r="K10" s="83">
        <f>'Peer Data'!F46</f>
        <v>835.06</v>
      </c>
      <c r="L10" s="83">
        <f>'Peer Data'!F47</f>
        <v>687.64</v>
      </c>
      <c r="M10" s="83">
        <f>'Peer Data'!F48</f>
        <v>1232.99</v>
      </c>
      <c r="N10" s="83">
        <f>'Peer Data'!F48</f>
        <v>1232.99</v>
      </c>
      <c r="O10" s="84">
        <f>K10/M10</f>
        <v>0.67726421138857573</v>
      </c>
      <c r="P10" s="77">
        <f>H10/M10</f>
        <v>4.2027915879285192E-2</v>
      </c>
      <c r="Q10" s="77">
        <f>'Peer Data'!F30/('Peer Data'!F49-'Peer Data'!F51)</f>
        <v>9.7687882013803282E-2</v>
      </c>
      <c r="R10" s="77">
        <f>H10/N10</f>
        <v>4.2027915879285192E-2</v>
      </c>
      <c r="S10" s="83">
        <f>'Peer Data'!D11</f>
        <v>786.8</v>
      </c>
      <c r="T10" s="130">
        <f>'Peer Data'!C11</f>
        <v>4.4950000000000001</v>
      </c>
      <c r="U10" s="131">
        <f>'Peer Data'!E11</f>
        <v>3536.6659999999997</v>
      </c>
      <c r="V10" s="130">
        <f>'Peer Data'!H11</f>
        <v>3684.0859999999998</v>
      </c>
      <c r="W10" s="131">
        <f>S10/J10</f>
        <v>68.249054419143391</v>
      </c>
      <c r="X10" s="132">
        <f>V10/F10</f>
        <v>9.1502806616660894</v>
      </c>
      <c r="Y10" s="132">
        <f>U10/M10</f>
        <v>2.8683655179685155</v>
      </c>
      <c r="Z10" s="23"/>
    </row>
    <row r="11" spans="1:26" ht="12.9" customHeight="1" x14ac:dyDescent="0.3">
      <c r="B11" s="123" t="s">
        <v>281</v>
      </c>
      <c r="C11" s="84">
        <f>'Peer Data'!I14</f>
        <v>822.28769999999997</v>
      </c>
      <c r="D11" s="84">
        <f>'Peer Data'!J14</f>
        <v>428.98929999999996</v>
      </c>
      <c r="E11" s="77">
        <f t="shared" si="1"/>
        <v>0.52170219741825152</v>
      </c>
      <c r="F11" s="23">
        <f>'Peer Data'!K14</f>
        <v>174.16219999999998</v>
      </c>
      <c r="G11" s="122">
        <f t="shared" si="2"/>
        <v>0.21180202500900838</v>
      </c>
      <c r="H11" s="84">
        <f>'Peer Data'!M14</f>
        <v>110.39239999999999</v>
      </c>
      <c r="I11" s="77">
        <f t="shared" si="0"/>
        <v>0.13425033598337904</v>
      </c>
      <c r="J11" s="124">
        <f>H11/T11</f>
        <v>55.109402690762039</v>
      </c>
      <c r="K11" s="127">
        <f>'Peer Data'!C46</f>
        <v>107.8015</v>
      </c>
      <c r="L11" s="127">
        <f>'Peer Data'!C47</f>
        <v>12.605400000000001</v>
      </c>
      <c r="M11" s="127">
        <f>'Peer Data'!C48</f>
        <v>691.00650000000007</v>
      </c>
      <c r="N11" s="127">
        <f>'Peer Data'!C48</f>
        <v>691.00650000000007</v>
      </c>
      <c r="O11" s="124">
        <f>K11/M11</f>
        <v>0.15600649197945315</v>
      </c>
      <c r="P11" s="128">
        <f>H11/M11</f>
        <v>0.15975595019728467</v>
      </c>
      <c r="Q11" s="128">
        <f>'Peer Data'!C30/('Peer Data'!C49-'Peer Data'!C51)</f>
        <v>0.19706893342567158</v>
      </c>
      <c r="R11" s="128">
        <f>H11/N11</f>
        <v>0.15975595019728467</v>
      </c>
      <c r="S11" s="83">
        <f>'Peer Data'!D14</f>
        <v>1911.45</v>
      </c>
      <c r="T11" s="130">
        <f>'Peer Data'!C14</f>
        <v>2.0031500000000002</v>
      </c>
      <c r="U11" s="131">
        <f>'Peer Data'!E14</f>
        <v>3828.9210675000004</v>
      </c>
      <c r="V11" s="130">
        <f>'Peer Data'!H14</f>
        <v>3924.1171675000005</v>
      </c>
      <c r="W11" s="131">
        <f>S11/J11</f>
        <v>34.684643757178947</v>
      </c>
      <c r="X11" s="132">
        <f>V11/F11</f>
        <v>22.531394111351378</v>
      </c>
      <c r="Y11" s="132">
        <f>U11/M11</f>
        <v>5.5410782206824392</v>
      </c>
    </row>
    <row r="12" spans="1:26" ht="12.9" customHeight="1" x14ac:dyDescent="0.3">
      <c r="B12" s="125" t="s">
        <v>920</v>
      </c>
      <c r="C12" s="115">
        <f t="shared" ref="C12:I12" si="3">AVERAGE(C8:C11)</f>
        <v>3575.8426250000002</v>
      </c>
      <c r="D12" s="115">
        <f t="shared" si="3"/>
        <v>1626.308475</v>
      </c>
      <c r="E12" s="116">
        <f t="shared" si="3"/>
        <v>0.49196083782762268</v>
      </c>
      <c r="F12" s="115">
        <f t="shared" si="3"/>
        <v>320.82142500000003</v>
      </c>
      <c r="G12" s="116">
        <f t="shared" si="3"/>
        <v>0.11391797148777127</v>
      </c>
      <c r="H12" s="115">
        <f t="shared" si="3"/>
        <v>85.024775000000048</v>
      </c>
      <c r="I12" s="116">
        <f t="shared" si="3"/>
        <v>4.4792972294312838E-2</v>
      </c>
      <c r="J12" s="115">
        <f>AVERAGE(J8:J11)</f>
        <v>22.221093684438205</v>
      </c>
      <c r="K12" s="115">
        <f t="shared" ref="K12" si="4">AVERAGE(K8:K11)</f>
        <v>465.23287499999998</v>
      </c>
      <c r="L12" s="115">
        <f t="shared" ref="L12:R12" si="5">AVERAGE(L8:L11)</f>
        <v>325.28684999999996</v>
      </c>
      <c r="M12" s="115">
        <f t="shared" si="5"/>
        <v>1530.2300500000001</v>
      </c>
      <c r="N12" s="115">
        <f t="shared" si="5"/>
        <v>3264.2576999999997</v>
      </c>
      <c r="O12" s="115">
        <f t="shared" si="5"/>
        <v>0.28779957647469723</v>
      </c>
      <c r="P12" s="116">
        <f t="shared" si="5"/>
        <v>6.8335468951567307E-2</v>
      </c>
      <c r="Q12" s="116">
        <f t="shared" si="5"/>
        <v>0.10025515819517683</v>
      </c>
      <c r="R12" s="116">
        <f t="shared" si="5"/>
        <v>5.7164620590739554E-2</v>
      </c>
      <c r="S12" s="115">
        <f t="shared" ref="S12" si="6">AVERAGE(S8:S11)</f>
        <v>992.98749999999995</v>
      </c>
      <c r="T12" s="115">
        <f t="shared" ref="T12" si="7">AVERAGE(T8:T11)</f>
        <v>8.0581125</v>
      </c>
      <c r="U12" s="115">
        <f t="shared" ref="U12:V12" si="8">AVERAGE(U8:U11)</f>
        <v>5156.8503893750003</v>
      </c>
      <c r="V12" s="115">
        <f t="shared" si="8"/>
        <v>5296.7964143749996</v>
      </c>
      <c r="W12" s="115">
        <f>SUMPRODUCT(W8:W10,U8:U10)/SUM(U8:U10)</f>
        <v>137.34795653059615</v>
      </c>
      <c r="X12" s="115">
        <f>SUMPRODUCT(X8:X10,V8:V10)/SUM(V8:V10)</f>
        <v>22.602297900964732</v>
      </c>
      <c r="Y12" s="115">
        <f t="shared" ref="Y12" si="9">AVERAGE(Y8:Y11)</f>
        <v>3.9283156372409316</v>
      </c>
    </row>
    <row r="13" spans="1:26" ht="12.9" customHeight="1" x14ac:dyDescent="0.3"/>
    <row r="14" spans="1:26" ht="12.9" customHeight="1" x14ac:dyDescent="0.3"/>
    <row r="15" spans="1:26" s="16" customFormat="1" ht="12.9" customHeight="1" x14ac:dyDescent="0.3">
      <c r="A15" s="12"/>
      <c r="B15" s="367" t="s">
        <v>1030</v>
      </c>
      <c r="C15" s="373" t="s">
        <v>915</v>
      </c>
      <c r="D15" s="12"/>
      <c r="E15" s="12"/>
      <c r="F15" s="12"/>
    </row>
    <row r="16" spans="1:26" ht="12.9" customHeight="1" x14ac:dyDescent="0.3">
      <c r="B16" s="95" t="s">
        <v>921</v>
      </c>
      <c r="C16" s="281">
        <f>X12</f>
        <v>22.602297900964732</v>
      </c>
      <c r="D16" s="23"/>
      <c r="E16" s="23"/>
    </row>
    <row r="17" spans="1:7" ht="12.9" customHeight="1" x14ac:dyDescent="0.3">
      <c r="B17" s="165" t="s">
        <v>916</v>
      </c>
      <c r="C17" s="282">
        <f>((C16*F11)-K11+L11)/T11</f>
        <v>1917.6146706374454</v>
      </c>
    </row>
    <row r="18" spans="1:7" ht="12.9" customHeight="1" x14ac:dyDescent="0.3"/>
    <row r="19" spans="1:7" ht="12.9" customHeight="1" x14ac:dyDescent="0.3"/>
    <row r="20" spans="1:7" ht="12.9" customHeight="1" x14ac:dyDescent="0.3"/>
    <row r="21" spans="1:7" ht="12.9" customHeight="1" x14ac:dyDescent="0.3"/>
    <row r="22" spans="1:7" ht="12.9" customHeight="1" x14ac:dyDescent="0.3"/>
    <row r="23" spans="1:7" s="16" customFormat="1" ht="12.9" customHeight="1" x14ac:dyDescent="0.3">
      <c r="A23" s="12"/>
      <c r="B23" s="12"/>
      <c r="C23" s="12"/>
      <c r="D23" s="12"/>
      <c r="E23" s="12"/>
      <c r="F23" s="12"/>
    </row>
    <row r="24" spans="1:7" ht="12.9" customHeight="1" x14ac:dyDescent="0.3"/>
    <row r="25" spans="1:7" ht="12.9" customHeight="1" x14ac:dyDescent="0.3"/>
    <row r="26" spans="1:7" ht="12.9" customHeight="1" x14ac:dyDescent="0.3"/>
    <row r="27" spans="1:7" ht="12.9" customHeight="1" x14ac:dyDescent="0.3"/>
    <row r="29" spans="1:7" x14ac:dyDescent="0.3">
      <c r="G29" s="27"/>
    </row>
  </sheetData>
  <mergeCells count="3">
    <mergeCell ref="C6:K6"/>
    <mergeCell ref="L6:R6"/>
    <mergeCell ref="S6:Y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8BB6C-F84A-4EC4-854A-08BB1A681182}">
  <sheetPr>
    <tabColor rgb="FF8E1C2F"/>
  </sheetPr>
  <dimension ref="B1:P59"/>
  <sheetViews>
    <sheetView zoomScale="80" zoomScaleNormal="80" workbookViewId="0">
      <selection activeCell="J20" sqref="J20"/>
    </sheetView>
  </sheetViews>
  <sheetFormatPr defaultColWidth="8.77734375" defaultRowHeight="13.8" x14ac:dyDescent="0.3"/>
  <cols>
    <col min="1" max="1" width="2.6640625" style="12" customWidth="1"/>
    <col min="2" max="2" width="55.6640625" style="12" customWidth="1"/>
    <col min="3" max="22" width="10.6640625" style="12" customWidth="1"/>
    <col min="23" max="45" width="10.5546875" style="12" customWidth="1"/>
    <col min="46" max="16384" width="8.77734375" style="12"/>
  </cols>
  <sheetData>
    <row r="1" spans="2:16" ht="12.9" customHeight="1" x14ac:dyDescent="0.3">
      <c r="B1" s="1" t="s">
        <v>83</v>
      </c>
    </row>
    <row r="2" spans="2:16" ht="12.9" customHeight="1" x14ac:dyDescent="0.3">
      <c r="B2" s="12" t="s">
        <v>963</v>
      </c>
    </row>
    <row r="3" spans="2:16" ht="12.9" customHeight="1" x14ac:dyDescent="0.3">
      <c r="B3" s="12" t="s">
        <v>114</v>
      </c>
    </row>
    <row r="4" spans="2:16" ht="12.9" customHeight="1" x14ac:dyDescent="0.3"/>
    <row r="5" spans="2:16" ht="12.9" customHeight="1" x14ac:dyDescent="0.3">
      <c r="B5" s="374" t="s">
        <v>302</v>
      </c>
      <c r="C5" s="374"/>
      <c r="D5" s="374"/>
      <c r="E5" s="374"/>
      <c r="F5" s="374"/>
      <c r="G5" s="374"/>
      <c r="H5" s="374"/>
      <c r="I5" s="374"/>
      <c r="J5" s="374"/>
      <c r="K5" s="374"/>
      <c r="L5" s="374"/>
      <c r="M5" s="374"/>
      <c r="N5" s="374"/>
      <c r="O5" s="374"/>
      <c r="P5" s="374"/>
    </row>
    <row r="6" spans="2:16" ht="12.9" customHeight="1" x14ac:dyDescent="0.3">
      <c r="B6" s="331" t="s">
        <v>251</v>
      </c>
      <c r="C6" s="329" t="s">
        <v>303</v>
      </c>
      <c r="D6" s="329"/>
      <c r="E6" s="330"/>
      <c r="F6" s="329" t="s">
        <v>311</v>
      </c>
      <c r="G6" s="329"/>
      <c r="H6" s="329"/>
      <c r="I6" s="329"/>
      <c r="J6" s="329"/>
      <c r="K6" s="329"/>
      <c r="L6" s="330"/>
      <c r="M6" s="326" t="s">
        <v>312</v>
      </c>
      <c r="N6" s="327"/>
      <c r="O6" s="327"/>
      <c r="P6" s="328"/>
    </row>
    <row r="7" spans="2:16" s="238" customFormat="1" ht="12.9" customHeight="1" x14ac:dyDescent="0.3">
      <c r="B7" s="332"/>
      <c r="C7" s="62" t="s">
        <v>304</v>
      </c>
      <c r="D7" s="62" t="s">
        <v>107</v>
      </c>
      <c r="E7" s="216" t="s">
        <v>108</v>
      </c>
      <c r="F7" s="216" t="s">
        <v>305</v>
      </c>
      <c r="G7" s="216" t="s">
        <v>297</v>
      </c>
      <c r="H7" s="216" t="s">
        <v>306</v>
      </c>
      <c r="I7" s="145" t="s">
        <v>307</v>
      </c>
      <c r="J7" s="145" t="s">
        <v>260</v>
      </c>
      <c r="K7" s="145" t="s">
        <v>84</v>
      </c>
      <c r="L7" s="145" t="s">
        <v>228</v>
      </c>
      <c r="M7" s="145" t="s">
        <v>308</v>
      </c>
      <c r="N7" s="145" t="s">
        <v>310</v>
      </c>
      <c r="O7" s="145" t="s">
        <v>80</v>
      </c>
      <c r="P7" s="145" t="s">
        <v>309</v>
      </c>
    </row>
    <row r="8" spans="2:16" s="16" customFormat="1" ht="12.9" customHeight="1" x14ac:dyDescent="0.3">
      <c r="B8" s="65" t="s">
        <v>280</v>
      </c>
      <c r="C8" s="64"/>
      <c r="D8" s="215" t="s">
        <v>1029</v>
      </c>
      <c r="E8" s="215" t="s">
        <v>1029</v>
      </c>
      <c r="F8" s="64"/>
      <c r="G8" s="64"/>
      <c r="H8" s="64"/>
      <c r="I8" s="146"/>
      <c r="J8" s="146"/>
      <c r="K8" s="146"/>
      <c r="L8" s="146"/>
      <c r="M8" s="146"/>
      <c r="N8" s="147"/>
      <c r="O8" s="147"/>
      <c r="P8" s="147"/>
    </row>
    <row r="9" spans="2:16" ht="12.9" customHeight="1" x14ac:dyDescent="0.3">
      <c r="B9" s="75" t="s">
        <v>277</v>
      </c>
      <c r="C9" s="148">
        <f>D53</f>
        <v>7.3529999999999998</v>
      </c>
      <c r="D9" s="148">
        <v>920.4</v>
      </c>
      <c r="E9" s="148">
        <f t="shared" ref="E9:E14" si="0">C9*D9</f>
        <v>6767.7011999999995</v>
      </c>
      <c r="F9" s="148">
        <f>D47</f>
        <v>397.16</v>
      </c>
      <c r="G9" s="148">
        <f>D46</f>
        <v>918.06999999999994</v>
      </c>
      <c r="H9" s="148">
        <f t="shared" ref="H9:H14" si="1">E9+G9-F9</f>
        <v>7288.6111999999994</v>
      </c>
      <c r="I9" s="149">
        <f>D$20</f>
        <v>6789.26</v>
      </c>
      <c r="J9" s="150">
        <f>D25</f>
        <v>2399.6100000000006</v>
      </c>
      <c r="K9" s="150">
        <f>D28</f>
        <v>554.73000000000047</v>
      </c>
      <c r="L9" s="150">
        <f>D30</f>
        <v>276.3900000000005</v>
      </c>
      <c r="M9" s="151">
        <f>D40</f>
        <v>154.04000000000056</v>
      </c>
      <c r="N9" s="152">
        <f t="shared" ref="N9:N14" si="2">E9/I9</f>
        <v>0.99682457292841919</v>
      </c>
      <c r="O9" s="152">
        <f t="shared" ref="O9:O14" si="3">H9/K9</f>
        <v>13.139024750779646</v>
      </c>
      <c r="P9" s="149">
        <f t="shared" ref="P9:P14" si="4">H9/L9</f>
        <v>26.370748579905158</v>
      </c>
    </row>
    <row r="10" spans="2:16" ht="12.9" customHeight="1" x14ac:dyDescent="0.3">
      <c r="B10" s="56" t="s">
        <v>278</v>
      </c>
      <c r="C10" s="130">
        <f>E53</f>
        <v>18.3813</v>
      </c>
      <c r="D10" s="130">
        <v>353.3</v>
      </c>
      <c r="E10" s="130">
        <f t="shared" si="0"/>
        <v>6494.1132900000002</v>
      </c>
      <c r="F10" s="130">
        <f>E47</f>
        <v>203.74199999999999</v>
      </c>
      <c r="G10" s="130">
        <f>E46</f>
        <v>0</v>
      </c>
      <c r="H10" s="130">
        <f t="shared" si="1"/>
        <v>6290.37129</v>
      </c>
      <c r="I10" s="153">
        <f>E20</f>
        <v>3167.8827999999999</v>
      </c>
      <c r="J10" s="154">
        <f>E25</f>
        <v>1547.8445999999999</v>
      </c>
      <c r="K10" s="154">
        <f>E28</f>
        <v>151.77349999999979</v>
      </c>
      <c r="L10" s="154">
        <f>E30</f>
        <v>46.20899999999979</v>
      </c>
      <c r="M10" s="155">
        <f>E40</f>
        <v>23.8466999999998</v>
      </c>
      <c r="N10" s="156">
        <f t="shared" si="2"/>
        <v>2.0499853372100763</v>
      </c>
      <c r="O10" s="156">
        <f t="shared" si="3"/>
        <v>41.445781312284481</v>
      </c>
      <c r="P10" s="153">
        <f t="shared" si="4"/>
        <v>136.12870414854311</v>
      </c>
    </row>
    <row r="11" spans="2:16" ht="12.9" customHeight="1" x14ac:dyDescent="0.3">
      <c r="B11" s="56" t="s">
        <v>275</v>
      </c>
      <c r="C11" s="130">
        <f>F53</f>
        <v>4.4950000000000001</v>
      </c>
      <c r="D11" s="130">
        <v>786.8</v>
      </c>
      <c r="E11" s="130">
        <f t="shared" si="0"/>
        <v>3536.6659999999997</v>
      </c>
      <c r="F11" s="130">
        <f>F47</f>
        <v>687.64</v>
      </c>
      <c r="G11" s="130">
        <f>F46</f>
        <v>835.06</v>
      </c>
      <c r="H11" s="130">
        <f t="shared" si="1"/>
        <v>3684.0859999999998</v>
      </c>
      <c r="I11" s="153">
        <f>F20</f>
        <v>3523.94</v>
      </c>
      <c r="J11" s="154">
        <f>F25</f>
        <v>2128.79</v>
      </c>
      <c r="K11" s="154">
        <f>F28</f>
        <v>402.61999999999989</v>
      </c>
      <c r="L11" s="154">
        <f>F30</f>
        <v>245.00999999999988</v>
      </c>
      <c r="M11" s="155">
        <f>F40</f>
        <v>51.819999999999851</v>
      </c>
      <c r="N11" s="156">
        <f t="shared" si="2"/>
        <v>1.0036112987167771</v>
      </c>
      <c r="O11" s="156">
        <f t="shared" si="3"/>
        <v>9.1502806616660894</v>
      </c>
      <c r="P11" s="153">
        <f t="shared" si="4"/>
        <v>15.036471980735486</v>
      </c>
    </row>
    <row r="12" spans="2:16" ht="12.9" customHeight="1" x14ac:dyDescent="0.3">
      <c r="B12" s="56" t="s">
        <v>276</v>
      </c>
      <c r="C12" s="130">
        <f>G53</f>
        <v>11.265000000000001</v>
      </c>
      <c r="D12" s="130">
        <v>4870</v>
      </c>
      <c r="E12" s="130">
        <f t="shared" si="0"/>
        <v>54860.55</v>
      </c>
      <c r="F12" s="130">
        <f>G47</f>
        <v>1190.6600000000001</v>
      </c>
      <c r="G12" s="130">
        <f>G46</f>
        <v>2288.0099999999998</v>
      </c>
      <c r="H12" s="130">
        <f t="shared" si="1"/>
        <v>55957.9</v>
      </c>
      <c r="I12" s="153">
        <f>G20</f>
        <v>10694.15</v>
      </c>
      <c r="J12" s="154">
        <f>G25</f>
        <v>5134.5399999999991</v>
      </c>
      <c r="K12" s="154">
        <f>G28</f>
        <v>1025.8499999999995</v>
      </c>
      <c r="L12" s="154">
        <f>G30</f>
        <v>818.20999999999947</v>
      </c>
      <c r="M12" s="155">
        <f>G40</f>
        <v>720.25999999999954</v>
      </c>
      <c r="N12" s="156">
        <f t="shared" si="2"/>
        <v>5.1299589027645958</v>
      </c>
      <c r="O12" s="156">
        <f t="shared" si="3"/>
        <v>54.547838377930525</v>
      </c>
      <c r="P12" s="153">
        <f t="shared" si="4"/>
        <v>68.390633211522754</v>
      </c>
    </row>
    <row r="13" spans="2:16" ht="12.9" customHeight="1" x14ac:dyDescent="0.3">
      <c r="B13" s="56" t="s">
        <v>279</v>
      </c>
      <c r="C13" s="130">
        <f>H53</f>
        <v>0.54702000000000006</v>
      </c>
      <c r="D13" s="130">
        <v>300.89999999999998</v>
      </c>
      <c r="E13" s="130">
        <f t="shared" si="0"/>
        <v>164.59831800000001</v>
      </c>
      <c r="F13" s="130">
        <f>H47</f>
        <v>33.797899999999998</v>
      </c>
      <c r="G13" s="130">
        <f>H46</f>
        <v>83.139399999999995</v>
      </c>
      <c r="H13" s="130">
        <f t="shared" si="1"/>
        <v>213.939818</v>
      </c>
      <c r="I13" s="153">
        <f>H20</f>
        <v>252.93469999999999</v>
      </c>
      <c r="J13" s="154">
        <f>H25</f>
        <v>102.44909999999999</v>
      </c>
      <c r="K13" s="154">
        <f>H28</f>
        <v>23.320399999999992</v>
      </c>
      <c r="L13" s="154">
        <f>H30</f>
        <v>19.80599999999999</v>
      </c>
      <c r="M13" s="155">
        <f>H40</f>
        <v>10.27429999999999</v>
      </c>
      <c r="N13" s="156">
        <f t="shared" si="2"/>
        <v>0.65075419861331807</v>
      </c>
      <c r="O13" s="156">
        <f t="shared" si="3"/>
        <v>9.1739343235965105</v>
      </c>
      <c r="P13" s="153">
        <f t="shared" si="4"/>
        <v>10.801768050085839</v>
      </c>
    </row>
    <row r="14" spans="2:16" ht="12.9" customHeight="1" x14ac:dyDescent="0.3">
      <c r="B14" s="57" t="s">
        <v>281</v>
      </c>
      <c r="C14" s="157">
        <f>C53</f>
        <v>2.0031500000000002</v>
      </c>
      <c r="D14" s="157">
        <v>1911.45</v>
      </c>
      <c r="E14" s="157">
        <f t="shared" si="0"/>
        <v>3828.9210675000004</v>
      </c>
      <c r="F14" s="157">
        <f>C47</f>
        <v>12.605400000000001</v>
      </c>
      <c r="G14" s="157">
        <f>C46</f>
        <v>107.8015</v>
      </c>
      <c r="H14" s="157">
        <f t="shared" si="1"/>
        <v>3924.1171675000005</v>
      </c>
      <c r="I14" s="158">
        <f>C20</f>
        <v>822.28769999999997</v>
      </c>
      <c r="J14" s="159">
        <f>C25</f>
        <v>428.98929999999996</v>
      </c>
      <c r="K14" s="159">
        <f>C28</f>
        <v>174.16219999999998</v>
      </c>
      <c r="L14" s="159">
        <f>C30</f>
        <v>146.32119999999998</v>
      </c>
      <c r="M14" s="160">
        <f>C40</f>
        <v>110.39239999999999</v>
      </c>
      <c r="N14" s="161">
        <f t="shared" si="2"/>
        <v>4.6564250778650838</v>
      </c>
      <c r="O14" s="161">
        <f t="shared" si="3"/>
        <v>22.531394111351378</v>
      </c>
      <c r="P14" s="158">
        <f t="shared" si="4"/>
        <v>26.818514114837775</v>
      </c>
    </row>
    <row r="15" spans="2:16" ht="12.9" customHeight="1" x14ac:dyDescent="0.3"/>
    <row r="16" spans="2:16" ht="12.9" customHeight="1" x14ac:dyDescent="0.3"/>
    <row r="17" spans="2:8" ht="12.9" customHeight="1" x14ac:dyDescent="0.3">
      <c r="B17" s="375" t="s">
        <v>284</v>
      </c>
      <c r="C17" s="375"/>
      <c r="D17" s="375"/>
      <c r="E17" s="375"/>
      <c r="F17" s="375"/>
      <c r="G17" s="375"/>
      <c r="H17" s="375"/>
    </row>
    <row r="18" spans="2:8" ht="12.9" customHeight="1" x14ac:dyDescent="0.3">
      <c r="B18" s="331" t="s">
        <v>251</v>
      </c>
      <c r="C18" s="326" t="s">
        <v>168</v>
      </c>
      <c r="D18" s="327"/>
      <c r="E18" s="327"/>
      <c r="F18" s="327"/>
      <c r="G18" s="327"/>
      <c r="H18" s="328"/>
    </row>
    <row r="19" spans="2:8" ht="12.9" customHeight="1" x14ac:dyDescent="0.3">
      <c r="B19" s="332"/>
      <c r="C19" s="214" t="s">
        <v>281</v>
      </c>
      <c r="D19" s="214" t="s">
        <v>277</v>
      </c>
      <c r="E19" s="224" t="s">
        <v>278</v>
      </c>
      <c r="F19" s="224" t="s">
        <v>275</v>
      </c>
      <c r="G19" s="214" t="s">
        <v>276</v>
      </c>
      <c r="H19" s="224" t="s">
        <v>279</v>
      </c>
    </row>
    <row r="20" spans="2:8" ht="12.9" customHeight="1" x14ac:dyDescent="0.3">
      <c r="B20" s="162" t="s">
        <v>285</v>
      </c>
      <c r="C20" s="201">
        <f>'Income Statement'!T8</f>
        <v>822.28769999999997</v>
      </c>
      <c r="D20" s="201">
        <v>6789.26</v>
      </c>
      <c r="E20" s="201">
        <v>3167.8827999999999</v>
      </c>
      <c r="F20" s="201">
        <v>3523.94</v>
      </c>
      <c r="G20" s="201">
        <v>10694.15</v>
      </c>
      <c r="H20" s="201">
        <v>252.93469999999999</v>
      </c>
    </row>
    <row r="21" spans="2:8" ht="12.9" customHeight="1" x14ac:dyDescent="0.3">
      <c r="B21" s="56" t="s">
        <v>286</v>
      </c>
      <c r="C21" s="154">
        <f>'Income Statement'!T12</f>
        <v>374.89789999999999</v>
      </c>
      <c r="D21" s="154">
        <v>1994.86</v>
      </c>
      <c r="E21" s="154">
        <v>1476.1768</v>
      </c>
      <c r="F21" s="154">
        <v>1463.15</v>
      </c>
      <c r="G21" s="154">
        <v>5424.02</v>
      </c>
      <c r="H21" s="154">
        <v>116.3751</v>
      </c>
    </row>
    <row r="22" spans="2:8" ht="12.9" customHeight="1" x14ac:dyDescent="0.3">
      <c r="B22" s="56" t="s">
        <v>287</v>
      </c>
      <c r="C22" s="154">
        <v>0</v>
      </c>
      <c r="D22" s="154">
        <f>1770.22+665.46</f>
        <v>2435.6800000000003</v>
      </c>
      <c r="E22" s="154">
        <v>139.2647</v>
      </c>
      <c r="F22" s="154">
        <v>0</v>
      </c>
      <c r="G22" s="154">
        <v>184.67</v>
      </c>
      <c r="H22" s="154">
        <v>0.64790000000000003</v>
      </c>
    </row>
    <row r="23" spans="2:8" ht="12.9" customHeight="1" x14ac:dyDescent="0.3">
      <c r="B23" s="56" t="s">
        <v>288</v>
      </c>
      <c r="C23" s="154">
        <f>'Income Statement'!T13</f>
        <v>18.400500000000001</v>
      </c>
      <c r="D23" s="154">
        <v>-40.89</v>
      </c>
      <c r="E23" s="154">
        <v>4.5967000000000002</v>
      </c>
      <c r="F23" s="154">
        <v>-68</v>
      </c>
      <c r="G23" s="154">
        <v>-49.08</v>
      </c>
      <c r="H23" s="154">
        <v>33.462600000000002</v>
      </c>
    </row>
    <row r="24" spans="2:8" ht="12.9" customHeight="1" x14ac:dyDescent="0.3">
      <c r="B24" s="95" t="s">
        <v>89</v>
      </c>
      <c r="C24" s="202">
        <f t="shared" ref="C24" si="5">SUM(C21:C23)</f>
        <v>393.29840000000002</v>
      </c>
      <c r="D24" s="202">
        <f t="shared" ref="D24:H24" si="6">SUM(D21:D23)</f>
        <v>4389.6499999999996</v>
      </c>
      <c r="E24" s="202">
        <f t="shared" si="6"/>
        <v>1620.0382</v>
      </c>
      <c r="F24" s="202">
        <f t="shared" si="6"/>
        <v>1395.15</v>
      </c>
      <c r="G24" s="202">
        <f t="shared" si="6"/>
        <v>5559.6100000000006</v>
      </c>
      <c r="H24" s="202">
        <f t="shared" si="6"/>
        <v>150.48560000000001</v>
      </c>
    </row>
    <row r="25" spans="2:8" ht="12.9" customHeight="1" x14ac:dyDescent="0.3">
      <c r="B25" s="95" t="s">
        <v>91</v>
      </c>
      <c r="C25" s="202">
        <f>C20-C24</f>
        <v>428.98929999999996</v>
      </c>
      <c r="D25" s="202">
        <f t="shared" ref="D25" si="7">D20-D24</f>
        <v>2399.6100000000006</v>
      </c>
      <c r="E25" s="202">
        <f t="shared" ref="E25" si="8">E20-E24</f>
        <v>1547.8445999999999</v>
      </c>
      <c r="F25" s="202">
        <f t="shared" ref="F25" si="9">F20-F24</f>
        <v>2128.79</v>
      </c>
      <c r="G25" s="202">
        <f t="shared" ref="G25" si="10">G20-G24</f>
        <v>5134.5399999999991</v>
      </c>
      <c r="H25" s="202">
        <f t="shared" ref="H25" si="11">H20-H24</f>
        <v>102.44909999999999</v>
      </c>
    </row>
    <row r="26" spans="2:8" ht="12.9" customHeight="1" x14ac:dyDescent="0.3">
      <c r="B26" s="56" t="s">
        <v>289</v>
      </c>
      <c r="C26" s="154">
        <f>'Income Statement'!T20</f>
        <v>51.275199999999998</v>
      </c>
      <c r="D26" s="154">
        <v>666.42</v>
      </c>
      <c r="E26" s="154">
        <v>345.75959999999998</v>
      </c>
      <c r="F26" s="154">
        <f>1006.97+120.28</f>
        <v>1127.25</v>
      </c>
      <c r="G26" s="154">
        <v>1421.2</v>
      </c>
      <c r="H26" s="154">
        <v>17.3398</v>
      </c>
    </row>
    <row r="27" spans="2:8" ht="12.9" customHeight="1" x14ac:dyDescent="0.3">
      <c r="B27" s="56" t="s">
        <v>290</v>
      </c>
      <c r="C27" s="154">
        <f>'Income Statement'!T22</f>
        <v>203.55189999999999</v>
      </c>
      <c r="D27" s="154">
        <v>1178.46</v>
      </c>
      <c r="E27" s="154">
        <v>1050.3115</v>
      </c>
      <c r="F27" s="154">
        <v>598.91999999999996</v>
      </c>
      <c r="G27" s="154">
        <f>1396.11+42.82+1248.15+0.41</f>
        <v>2687.49</v>
      </c>
      <c r="H27" s="154">
        <v>61.788899999999998</v>
      </c>
    </row>
    <row r="28" spans="2:8" ht="12.9" customHeight="1" x14ac:dyDescent="0.3">
      <c r="B28" s="95" t="s">
        <v>84</v>
      </c>
      <c r="C28" s="163">
        <f>C25-(C26+C27)</f>
        <v>174.16219999999998</v>
      </c>
      <c r="D28" s="163">
        <f t="shared" ref="D28" si="12">D25-(D26+D27)</f>
        <v>554.73000000000047</v>
      </c>
      <c r="E28" s="163">
        <f t="shared" ref="E28" si="13">E25-(E26+E27)</f>
        <v>151.77349999999979</v>
      </c>
      <c r="F28" s="163">
        <f t="shared" ref="F28" si="14">F25-(F26+F27)</f>
        <v>402.61999999999989</v>
      </c>
      <c r="G28" s="163">
        <f t="shared" ref="G28" si="15">G25-(G26+G27)</f>
        <v>1025.8499999999995</v>
      </c>
      <c r="H28" s="163">
        <f t="shared" ref="H28" si="16">H25-(H26+H27)</f>
        <v>23.320399999999992</v>
      </c>
    </row>
    <row r="29" spans="2:8" ht="12.9" customHeight="1" x14ac:dyDescent="0.3">
      <c r="B29" s="56" t="s">
        <v>95</v>
      </c>
      <c r="C29" s="154">
        <f>'Income Statement'!T26</f>
        <v>27.841000000000001</v>
      </c>
      <c r="D29" s="154">
        <v>278.33999999999997</v>
      </c>
      <c r="E29" s="154">
        <v>105.5645</v>
      </c>
      <c r="F29" s="154">
        <v>157.61000000000001</v>
      </c>
      <c r="G29" s="154">
        <v>207.64</v>
      </c>
      <c r="H29" s="154">
        <v>3.5144000000000002</v>
      </c>
    </row>
    <row r="30" spans="2:8" ht="12.9" customHeight="1" x14ac:dyDescent="0.3">
      <c r="B30" s="95" t="s">
        <v>291</v>
      </c>
      <c r="C30" s="163">
        <f>C28-C29</f>
        <v>146.32119999999998</v>
      </c>
      <c r="D30" s="163">
        <f t="shared" ref="D30" si="17">D28-D29</f>
        <v>276.3900000000005</v>
      </c>
      <c r="E30" s="163">
        <f t="shared" ref="E30" si="18">E28-E29</f>
        <v>46.20899999999979</v>
      </c>
      <c r="F30" s="163">
        <f t="shared" ref="F30" si="19">F28-F29</f>
        <v>245.00999999999988</v>
      </c>
      <c r="G30" s="163">
        <f t="shared" ref="G30" si="20">G28-G29</f>
        <v>818.20999999999947</v>
      </c>
      <c r="H30" s="163">
        <f t="shared" ref="H30" si="21">H28-H29</f>
        <v>19.80599999999999</v>
      </c>
    </row>
    <row r="31" spans="2:8" ht="12.9" customHeight="1" x14ac:dyDescent="0.3">
      <c r="B31" s="56" t="s">
        <v>97</v>
      </c>
      <c r="C31" s="154">
        <f>'Income Statement'!T30</f>
        <v>1.6776</v>
      </c>
      <c r="D31" s="154">
        <v>133.02000000000001</v>
      </c>
      <c r="E31" s="154">
        <v>50.354900000000001</v>
      </c>
      <c r="F31" s="154">
        <v>45.07</v>
      </c>
      <c r="G31" s="154">
        <v>267.48</v>
      </c>
      <c r="H31" s="154">
        <v>4.0430000000000001</v>
      </c>
    </row>
    <row r="32" spans="2:8" ht="12.9" customHeight="1" x14ac:dyDescent="0.3">
      <c r="B32" s="56" t="s">
        <v>15</v>
      </c>
      <c r="C32" s="154">
        <f>'Income Statement'!T31</f>
        <v>8.6982999999999997</v>
      </c>
      <c r="D32" s="154">
        <f>85.1-0.08</f>
        <v>85.02</v>
      </c>
      <c r="E32" s="154">
        <v>20.2652</v>
      </c>
      <c r="F32" s="154">
        <v>122.8</v>
      </c>
      <c r="G32" s="154">
        <v>138.96</v>
      </c>
      <c r="H32" s="154">
        <v>9.9503000000000004</v>
      </c>
    </row>
    <row r="33" spans="2:8" ht="12.9" customHeight="1" x14ac:dyDescent="0.3">
      <c r="B33" s="95" t="s">
        <v>85</v>
      </c>
      <c r="C33" s="202">
        <f>C30+C31-C32</f>
        <v>139.3005</v>
      </c>
      <c r="D33" s="202">
        <f t="shared" ref="D33" si="22">D30+D31-D32</f>
        <v>324.39000000000055</v>
      </c>
      <c r="E33" s="202">
        <f t="shared" ref="E33" si="23">E30+E31-E32</f>
        <v>76.298699999999798</v>
      </c>
      <c r="F33" s="202">
        <f t="shared" ref="F33" si="24">F30+F31-F32</f>
        <v>167.27999999999986</v>
      </c>
      <c r="G33" s="202">
        <f t="shared" ref="G33" si="25">G30+G31-G32</f>
        <v>946.72999999999956</v>
      </c>
      <c r="H33" s="202">
        <f t="shared" ref="H33" si="26">H30+H31-H32</f>
        <v>13.898699999999989</v>
      </c>
    </row>
    <row r="34" spans="2:8" ht="12.9" customHeight="1" x14ac:dyDescent="0.3">
      <c r="B34" s="56" t="s">
        <v>1</v>
      </c>
      <c r="C34" s="154">
        <f>'Income Statement'!T38</f>
        <v>34.688600000000001</v>
      </c>
      <c r="D34" s="154">
        <v>150.69999999999999</v>
      </c>
      <c r="E34" s="154">
        <v>58.357999999999997</v>
      </c>
      <c r="F34" s="154">
        <v>72.930000000000007</v>
      </c>
      <c r="G34" s="154">
        <v>268.05</v>
      </c>
      <c r="H34" s="154">
        <v>3.5573000000000001</v>
      </c>
    </row>
    <row r="35" spans="2:8" ht="12.9" customHeight="1" x14ac:dyDescent="0.3">
      <c r="B35" s="56" t="s">
        <v>292</v>
      </c>
      <c r="C35" s="154">
        <f>'Income Statement'!T39</f>
        <v>-5.3208000000000002</v>
      </c>
      <c r="D35" s="154">
        <v>0.22</v>
      </c>
      <c r="E35" s="154">
        <v>0</v>
      </c>
      <c r="F35" s="154">
        <v>0</v>
      </c>
      <c r="G35" s="154">
        <v>0</v>
      </c>
      <c r="H35" s="154">
        <v>0</v>
      </c>
    </row>
    <row r="36" spans="2:8" ht="12.9" customHeight="1" x14ac:dyDescent="0.3">
      <c r="B36" s="56" t="s">
        <v>293</v>
      </c>
      <c r="C36" s="154">
        <f>'Income Statement'!T40</f>
        <v>-0.4597</v>
      </c>
      <c r="D36" s="154">
        <v>2.94</v>
      </c>
      <c r="E36" s="154">
        <v>-32.2881</v>
      </c>
      <c r="F36" s="154">
        <v>-22.78</v>
      </c>
      <c r="G36" s="154">
        <v>19.63</v>
      </c>
      <c r="H36" s="154">
        <v>6.7100000000000007E-2</v>
      </c>
    </row>
    <row r="37" spans="2:8" ht="12.9" customHeight="1" x14ac:dyDescent="0.3">
      <c r="B37" s="95" t="s">
        <v>3</v>
      </c>
      <c r="C37" s="202">
        <f>SUM(C34:C36)</f>
        <v>28.908100000000001</v>
      </c>
      <c r="D37" s="202">
        <f t="shared" ref="D37" si="27">SUM(D34:D36)</f>
        <v>153.85999999999999</v>
      </c>
      <c r="E37" s="202">
        <f t="shared" ref="E37" si="28">SUM(E34:E36)</f>
        <v>26.069899999999997</v>
      </c>
      <c r="F37" s="202">
        <f t="shared" ref="F37" si="29">SUM(F34:F36)</f>
        <v>50.150000000000006</v>
      </c>
      <c r="G37" s="202">
        <f t="shared" ref="G37" si="30">SUM(G34:G36)</f>
        <v>287.68</v>
      </c>
      <c r="H37" s="202">
        <f t="shared" ref="H37" si="31">SUM(H34:H36)</f>
        <v>3.6244000000000001</v>
      </c>
    </row>
    <row r="38" spans="2:8" ht="12.9" customHeight="1" x14ac:dyDescent="0.3">
      <c r="B38" s="95" t="s">
        <v>86</v>
      </c>
      <c r="C38" s="202">
        <f t="shared" ref="C38" si="32">C33-C37</f>
        <v>110.39239999999999</v>
      </c>
      <c r="D38" s="202">
        <f t="shared" ref="D38:H38" si="33">D33-D37</f>
        <v>170.53000000000057</v>
      </c>
      <c r="E38" s="202">
        <f t="shared" si="33"/>
        <v>50.228799999999801</v>
      </c>
      <c r="F38" s="202">
        <f t="shared" si="33"/>
        <v>117.12999999999985</v>
      </c>
      <c r="G38" s="202">
        <f t="shared" si="33"/>
        <v>659.0499999999995</v>
      </c>
      <c r="H38" s="202">
        <f t="shared" si="33"/>
        <v>10.27429999999999</v>
      </c>
    </row>
    <row r="39" spans="2:8" ht="12.9" customHeight="1" x14ac:dyDescent="0.3">
      <c r="B39" s="56" t="s">
        <v>294</v>
      </c>
      <c r="C39" s="154">
        <v>0</v>
      </c>
      <c r="D39" s="154">
        <v>-16.489999999999998</v>
      </c>
      <c r="E39" s="154">
        <v>-26.382100000000001</v>
      </c>
      <c r="F39" s="154">
        <v>-65.31</v>
      </c>
      <c r="G39" s="154">
        <v>61.21</v>
      </c>
      <c r="H39" s="154">
        <v>0</v>
      </c>
    </row>
    <row r="40" spans="2:8" ht="12.9" customHeight="1" x14ac:dyDescent="0.3">
      <c r="B40" s="165" t="s">
        <v>295</v>
      </c>
      <c r="C40" s="203">
        <f>SUM(C38:C39)</f>
        <v>110.39239999999999</v>
      </c>
      <c r="D40" s="203">
        <f t="shared" ref="D40" si="34">SUM(D38:D39)</f>
        <v>154.04000000000056</v>
      </c>
      <c r="E40" s="203">
        <f t="shared" ref="E40" si="35">SUM(E38:E39)</f>
        <v>23.8466999999998</v>
      </c>
      <c r="F40" s="203">
        <f t="shared" ref="F40" si="36">SUM(F38:F39)</f>
        <v>51.819999999999851</v>
      </c>
      <c r="G40" s="203">
        <f t="shared" ref="G40" si="37">SUM(G38:G39)</f>
        <v>720.25999999999954</v>
      </c>
      <c r="H40" s="203">
        <f t="shared" ref="H40" si="38">SUM(H38:H39)</f>
        <v>10.27429999999999</v>
      </c>
    </row>
    <row r="41" spans="2:8" ht="12.9" customHeight="1" x14ac:dyDescent="0.3">
      <c r="E41" s="23"/>
      <c r="G41" s="23"/>
      <c r="H41" s="223"/>
    </row>
    <row r="42" spans="2:8" ht="12.9" customHeight="1" x14ac:dyDescent="0.3">
      <c r="D42" s="23"/>
    </row>
    <row r="43" spans="2:8" ht="12.9" customHeight="1" x14ac:dyDescent="0.3">
      <c r="B43" s="375" t="s">
        <v>296</v>
      </c>
      <c r="C43" s="375"/>
      <c r="D43" s="375"/>
      <c r="E43" s="375"/>
      <c r="F43" s="375"/>
      <c r="G43" s="375"/>
      <c r="H43" s="375"/>
    </row>
    <row r="44" spans="2:8" ht="12.9" customHeight="1" x14ac:dyDescent="0.3">
      <c r="B44" s="331" t="s">
        <v>251</v>
      </c>
      <c r="C44" s="326" t="s">
        <v>168</v>
      </c>
      <c r="D44" s="327"/>
      <c r="E44" s="327"/>
      <c r="F44" s="327"/>
      <c r="G44" s="327"/>
      <c r="H44" s="328"/>
    </row>
    <row r="45" spans="2:8" ht="12.9" customHeight="1" x14ac:dyDescent="0.3">
      <c r="B45" s="332"/>
      <c r="C45" s="214" t="s">
        <v>281</v>
      </c>
      <c r="D45" s="214" t="s">
        <v>277</v>
      </c>
      <c r="E45" s="224" t="s">
        <v>278</v>
      </c>
      <c r="F45" s="224" t="s">
        <v>275</v>
      </c>
      <c r="G45" s="214" t="s">
        <v>276</v>
      </c>
      <c r="H45" s="224" t="s">
        <v>279</v>
      </c>
    </row>
    <row r="46" spans="2:8" ht="12.9" customHeight="1" x14ac:dyDescent="0.3">
      <c r="B46" s="75" t="s">
        <v>297</v>
      </c>
      <c r="C46" s="148">
        <f>'Balance Sheet'!T13+'Balance Sheet'!T19</f>
        <v>107.8015</v>
      </c>
      <c r="D46" s="148">
        <f>517.42+400.65</f>
        <v>918.06999999999994</v>
      </c>
      <c r="E46" s="148">
        <v>0</v>
      </c>
      <c r="F46" s="148">
        <f>544.6+290.46</f>
        <v>835.06</v>
      </c>
      <c r="G46" s="148">
        <f>672.18+1615.83</f>
        <v>2288.0099999999998</v>
      </c>
      <c r="H46" s="148">
        <f>83.1394</f>
        <v>83.139399999999995</v>
      </c>
    </row>
    <row r="47" spans="2:8" ht="12.9" customHeight="1" x14ac:dyDescent="0.3">
      <c r="B47" s="56" t="s">
        <v>298</v>
      </c>
      <c r="C47" s="130">
        <f>'Balance Sheet'!T49+'Balance Sheet'!T50</f>
        <v>12.605400000000001</v>
      </c>
      <c r="D47" s="130">
        <f>324.22+72.94</f>
        <v>397.16</v>
      </c>
      <c r="E47" s="130">
        <f>142.3696+61.3724</f>
        <v>203.74199999999999</v>
      </c>
      <c r="F47" s="130">
        <f>635.38+52.26</f>
        <v>687.64</v>
      </c>
      <c r="G47" s="130">
        <f>674.45+516.21</f>
        <v>1190.6600000000001</v>
      </c>
      <c r="H47" s="130">
        <f>33.6562+0.1417</f>
        <v>33.797899999999998</v>
      </c>
    </row>
    <row r="48" spans="2:8" ht="12.9" customHeight="1" x14ac:dyDescent="0.3">
      <c r="B48" s="56" t="s">
        <v>8</v>
      </c>
      <c r="C48" s="130">
        <f>'Balance Sheet'!T11</f>
        <v>691.00650000000007</v>
      </c>
      <c r="D48" s="130">
        <v>2887.67</v>
      </c>
      <c r="E48" s="130">
        <v>1309.2537</v>
      </c>
      <c r="F48" s="130">
        <v>1232.99</v>
      </c>
      <c r="G48" s="130">
        <v>5579.19</v>
      </c>
      <c r="H48" s="130">
        <v>166.10659999999999</v>
      </c>
    </row>
    <row r="49" spans="2:9" ht="12.9" customHeight="1" x14ac:dyDescent="0.3">
      <c r="B49" s="56" t="s">
        <v>6</v>
      </c>
      <c r="C49" s="130">
        <f>'Balance Sheet'!T55</f>
        <v>970.65919999999994</v>
      </c>
      <c r="D49" s="130">
        <v>8077.14</v>
      </c>
      <c r="E49" s="130">
        <v>3055.8942999999999</v>
      </c>
      <c r="F49" s="130">
        <v>4023.55</v>
      </c>
      <c r="G49" s="130">
        <v>13282.11</v>
      </c>
      <c r="H49" s="130">
        <v>297.36739999999998</v>
      </c>
    </row>
    <row r="50" spans="2:9" ht="12.9" customHeight="1" x14ac:dyDescent="0.3">
      <c r="B50" s="56" t="s">
        <v>299</v>
      </c>
      <c r="C50" s="130">
        <f>'Balance Sheet'!T28+'Balance Sheet'!T17</f>
        <v>279.65269999999998</v>
      </c>
      <c r="D50" s="130">
        <f>D49-D48</f>
        <v>5189.47</v>
      </c>
      <c r="E50" s="130">
        <f>E49-E48</f>
        <v>1746.6405999999999</v>
      </c>
      <c r="F50" s="130">
        <f t="shared" ref="F50" si="39">F49-F48</f>
        <v>2790.5600000000004</v>
      </c>
      <c r="G50" s="130">
        <f t="shared" ref="G50" si="40">G49-G48</f>
        <v>7702.920000000001</v>
      </c>
      <c r="H50" s="130">
        <f>H49-H48</f>
        <v>131.26079999999999</v>
      </c>
    </row>
    <row r="51" spans="2:9" ht="12.9" customHeight="1" x14ac:dyDescent="0.3">
      <c r="B51" s="56" t="s">
        <v>300</v>
      </c>
      <c r="C51" s="130">
        <f>'Balance Sheet'!T28</f>
        <v>228.17179999999996</v>
      </c>
      <c r="D51" s="130">
        <v>4347.45</v>
      </c>
      <c r="E51" s="130">
        <v>1618.9785999999999</v>
      </c>
      <c r="F51" s="130">
        <v>1515.46</v>
      </c>
      <c r="G51" s="130">
        <v>5820.36</v>
      </c>
      <c r="H51" s="130">
        <v>15.5746</v>
      </c>
      <c r="I51" s="23"/>
    </row>
    <row r="52" spans="2:9" ht="12.9" customHeight="1" x14ac:dyDescent="0.3">
      <c r="B52" s="56" t="s">
        <v>264</v>
      </c>
      <c r="C52" s="130">
        <f>'Income Statement'!T49</f>
        <v>55.109402690762039</v>
      </c>
      <c r="D52" s="130">
        <f>'Income Statement'!U49</f>
        <v>27.479639245636598</v>
      </c>
      <c r="E52" s="130">
        <f>E40/E53</f>
        <v>1.2973347913368369</v>
      </c>
      <c r="F52" s="130">
        <f>F40/F53</f>
        <v>11.528364849833114</v>
      </c>
      <c r="G52" s="130">
        <v>21.68</v>
      </c>
      <c r="H52" s="130">
        <v>18.78</v>
      </c>
      <c r="I52" s="23"/>
    </row>
    <row r="53" spans="2:9" ht="12.9" customHeight="1" x14ac:dyDescent="0.3">
      <c r="B53" s="57" t="s">
        <v>301</v>
      </c>
      <c r="C53" s="157">
        <v>2.0031500000000002</v>
      </c>
      <c r="D53" s="157">
        <v>7.3529999999999998</v>
      </c>
      <c r="E53" s="157">
        <f>36.7626/2</f>
        <v>18.3813</v>
      </c>
      <c r="F53" s="157">
        <f>8.99/2</f>
        <v>4.4950000000000001</v>
      </c>
      <c r="G53" s="157">
        <f>22.53/2</f>
        <v>11.265000000000001</v>
      </c>
      <c r="H53" s="157">
        <f>5.4702/10</f>
        <v>0.54702000000000006</v>
      </c>
      <c r="I53" s="23"/>
    </row>
    <row r="54" spans="2:9" ht="12.9" customHeight="1" x14ac:dyDescent="0.3">
      <c r="I54" s="23"/>
    </row>
    <row r="55" spans="2:9" ht="12.9" customHeight="1" x14ac:dyDescent="0.3">
      <c r="I55" s="23"/>
    </row>
    <row r="56" spans="2:9" ht="12.9" customHeight="1" x14ac:dyDescent="0.3">
      <c r="I56" s="23"/>
    </row>
    <row r="57" spans="2:9" ht="12.9" customHeight="1" x14ac:dyDescent="0.3">
      <c r="C57" s="217"/>
      <c r="D57" s="217"/>
      <c r="E57" s="217"/>
      <c r="F57" s="217"/>
      <c r="G57" s="217"/>
      <c r="H57" s="217"/>
      <c r="I57" s="23"/>
    </row>
    <row r="58" spans="2:9" ht="12.9" customHeight="1" x14ac:dyDescent="0.3">
      <c r="I58" s="23"/>
    </row>
    <row r="59" spans="2:9" ht="12.9" customHeight="1" x14ac:dyDescent="0.3">
      <c r="I59" s="23"/>
    </row>
  </sheetData>
  <mergeCells count="11">
    <mergeCell ref="B44:B45"/>
    <mergeCell ref="C44:H44"/>
    <mergeCell ref="B17:H17"/>
    <mergeCell ref="B43:H43"/>
    <mergeCell ref="B18:B19"/>
    <mergeCell ref="C18:H18"/>
    <mergeCell ref="B5:P5"/>
    <mergeCell ref="F6:L6"/>
    <mergeCell ref="M6:P6"/>
    <mergeCell ref="C6:E6"/>
    <mergeCell ref="B6:B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F2A8D-EF3C-4012-A2D1-8D133B0E0AB4}">
  <sheetPr>
    <tabColor rgb="FF8E1C2F"/>
  </sheetPr>
  <dimension ref="B1:AB1256"/>
  <sheetViews>
    <sheetView topLeftCell="Q1" zoomScale="80" zoomScaleNormal="80" workbookViewId="0">
      <selection activeCell="AA9" sqref="AA9"/>
    </sheetView>
  </sheetViews>
  <sheetFormatPr defaultColWidth="8.77734375" defaultRowHeight="13.8" x14ac:dyDescent="0.3"/>
  <cols>
    <col min="1" max="1" width="2.6640625" style="12" customWidth="1"/>
    <col min="2" max="27" width="10.6640625" style="12" customWidth="1"/>
    <col min="28" max="52" width="10.5546875" style="12" customWidth="1"/>
    <col min="53" max="16384" width="8.77734375" style="12"/>
  </cols>
  <sheetData>
    <row r="1" spans="2:28" x14ac:dyDescent="0.3">
      <c r="B1" s="392" t="s">
        <v>191</v>
      </c>
      <c r="C1" s="393" t="s">
        <v>193</v>
      </c>
      <c r="D1" s="394"/>
      <c r="E1" s="393" t="s">
        <v>1012</v>
      </c>
      <c r="F1" s="394"/>
      <c r="G1" s="394" t="s">
        <v>194</v>
      </c>
      <c r="H1" s="394"/>
      <c r="I1" s="166"/>
      <c r="J1" s="392" t="s">
        <v>191</v>
      </c>
      <c r="K1" s="394" t="s">
        <v>193</v>
      </c>
      <c r="L1" s="394"/>
      <c r="M1" s="393" t="s">
        <v>1012</v>
      </c>
      <c r="N1" s="394"/>
      <c r="O1" s="394" t="s">
        <v>194</v>
      </c>
      <c r="P1" s="394"/>
      <c r="Q1" s="166"/>
      <c r="R1" s="392" t="s">
        <v>191</v>
      </c>
      <c r="S1" s="394" t="s">
        <v>193</v>
      </c>
      <c r="T1" s="394"/>
      <c r="U1" s="393" t="s">
        <v>1012</v>
      </c>
      <c r="V1" s="394"/>
      <c r="W1" s="394" t="s">
        <v>194</v>
      </c>
      <c r="X1" s="394"/>
    </row>
    <row r="2" spans="2:28" ht="41.4" x14ac:dyDescent="0.3">
      <c r="B2" s="395"/>
      <c r="C2" s="396" t="s">
        <v>196</v>
      </c>
      <c r="D2" s="397" t="s">
        <v>192</v>
      </c>
      <c r="E2" s="396" t="s">
        <v>196</v>
      </c>
      <c r="F2" s="397" t="s">
        <v>192</v>
      </c>
      <c r="G2" s="397" t="s">
        <v>196</v>
      </c>
      <c r="H2" s="397" t="s">
        <v>192</v>
      </c>
      <c r="I2" s="166"/>
      <c r="J2" s="395"/>
      <c r="K2" s="397" t="s">
        <v>195</v>
      </c>
      <c r="L2" s="397" t="s">
        <v>192</v>
      </c>
      <c r="M2" s="397" t="s">
        <v>195</v>
      </c>
      <c r="N2" s="397" t="s">
        <v>192</v>
      </c>
      <c r="O2" s="397" t="s">
        <v>195</v>
      </c>
      <c r="P2" s="397" t="s">
        <v>192</v>
      </c>
      <c r="Q2" s="166"/>
      <c r="R2" s="395"/>
      <c r="S2" s="397" t="s">
        <v>197</v>
      </c>
      <c r="T2" s="397" t="s">
        <v>192</v>
      </c>
      <c r="U2" s="397" t="s">
        <v>197</v>
      </c>
      <c r="V2" s="397" t="s">
        <v>192</v>
      </c>
      <c r="W2" s="397" t="s">
        <v>197</v>
      </c>
      <c r="X2" s="397" t="s">
        <v>192</v>
      </c>
    </row>
    <row r="3" spans="2:28" x14ac:dyDescent="0.3">
      <c r="B3" s="269">
        <v>46176</v>
      </c>
      <c r="C3" s="270">
        <v>1934.7</v>
      </c>
      <c r="D3" s="129">
        <f t="shared" ref="D3:H18" si="0">C3/C4-1</f>
        <v>3.4432978666524061E-2</v>
      </c>
      <c r="E3" s="270">
        <v>79354.73</v>
      </c>
      <c r="F3" s="129">
        <f t="shared" si="0"/>
        <v>6.7565224463961293E-4</v>
      </c>
      <c r="G3" s="270">
        <v>23405.599999999999</v>
      </c>
      <c r="H3" s="129">
        <f t="shared" si="0"/>
        <v>-3.3193448179683616E-3</v>
      </c>
      <c r="J3" s="269">
        <v>46176</v>
      </c>
      <c r="K3" s="270">
        <v>1934.7</v>
      </c>
      <c r="L3" s="129">
        <f t="shared" ref="L3:P66" si="1">K3/K4-1</f>
        <v>5.1238861117148371E-2</v>
      </c>
      <c r="M3" s="270">
        <v>79354.73</v>
      </c>
      <c r="N3" s="129">
        <f t="shared" si="1"/>
        <v>-1.8114734280687994E-2</v>
      </c>
      <c r="O3" s="270">
        <v>23405.599999999999</v>
      </c>
      <c r="P3" s="129">
        <f t="shared" si="1"/>
        <v>-6.0366701701861647E-3</v>
      </c>
      <c r="R3" s="269">
        <v>46176</v>
      </c>
      <c r="S3" s="270">
        <v>1934.7</v>
      </c>
      <c r="T3" s="129">
        <f t="shared" ref="T3:X62" si="2">S3/S4-1</f>
        <v>5.1238861117148371E-2</v>
      </c>
      <c r="U3" s="270">
        <v>79354.73</v>
      </c>
      <c r="V3" s="129">
        <f t="shared" si="2"/>
        <v>-1.8114734280687994E-2</v>
      </c>
      <c r="W3" s="270">
        <v>23405.599999999999</v>
      </c>
      <c r="X3" s="129">
        <f t="shared" si="2"/>
        <v>-6.0366701701861647E-3</v>
      </c>
      <c r="Z3" s="61" t="s">
        <v>198</v>
      </c>
      <c r="AA3" s="142">
        <f>SLOPE(T3:T62,V3:V62)</f>
        <v>0.51723906103877382</v>
      </c>
    </row>
    <row r="4" spans="2:28" x14ac:dyDescent="0.3">
      <c r="B4" s="269">
        <v>46175</v>
      </c>
      <c r="C4" s="270">
        <v>1870.3</v>
      </c>
      <c r="D4" s="129">
        <f t="shared" si="0"/>
        <v>1.6412151513504725E-2</v>
      </c>
      <c r="E4" s="270">
        <v>79301.149999999994</v>
      </c>
      <c r="F4" s="129">
        <f t="shared" si="0"/>
        <v>5.7365467566226069E-3</v>
      </c>
      <c r="G4" s="270">
        <v>23483.55</v>
      </c>
      <c r="H4" s="129">
        <f t="shared" si="0"/>
        <v>4.3173128736753164E-3</v>
      </c>
      <c r="J4" s="269">
        <v>46173</v>
      </c>
      <c r="K4" s="270">
        <v>1840.4</v>
      </c>
      <c r="L4" s="129">
        <f t="shared" si="1"/>
        <v>-6.9377022653721587E-2</v>
      </c>
      <c r="M4" s="270">
        <v>80818.740000000005</v>
      </c>
      <c r="N4" s="129">
        <f t="shared" si="1"/>
        <v>3.1944952884377154E-2</v>
      </c>
      <c r="O4" s="270">
        <v>23547.75</v>
      </c>
      <c r="P4" s="129">
        <f t="shared" si="1"/>
        <v>-7.2325068615008981E-3</v>
      </c>
      <c r="R4" s="269">
        <v>46173</v>
      </c>
      <c r="S4" s="270">
        <v>1840.4</v>
      </c>
      <c r="T4" s="129">
        <f t="shared" si="2"/>
        <v>-0.10755503830860236</v>
      </c>
      <c r="U4" s="270">
        <v>80818.740000000005</v>
      </c>
      <c r="V4" s="129">
        <f t="shared" si="2"/>
        <v>4.6736164365784205E-2</v>
      </c>
      <c r="W4" s="270">
        <v>23547.75</v>
      </c>
      <c r="X4" s="129">
        <f t="shared" si="2"/>
        <v>-1.8743580073799171E-2</v>
      </c>
      <c r="Z4" s="61" t="s">
        <v>199</v>
      </c>
      <c r="AA4" s="142">
        <f>SLOPE(L3:L263,N3:N263)</f>
        <v>0.78549006448632019</v>
      </c>
    </row>
    <row r="5" spans="2:28" x14ac:dyDescent="0.3">
      <c r="B5" s="269">
        <v>46174</v>
      </c>
      <c r="C5" s="270">
        <v>1840.1</v>
      </c>
      <c r="D5" s="129">
        <f t="shared" si="0"/>
        <v>-1.630080417301949E-4</v>
      </c>
      <c r="E5" s="270">
        <v>78848.83</v>
      </c>
      <c r="F5" s="129">
        <f t="shared" si="0"/>
        <v>-2.4374421081051256E-2</v>
      </c>
      <c r="G5" s="270">
        <v>23382.6</v>
      </c>
      <c r="H5" s="129">
        <f t="shared" si="0"/>
        <v>-7.0134089244195952E-3</v>
      </c>
      <c r="J5" s="269">
        <v>46166</v>
      </c>
      <c r="K5" s="270">
        <v>1977.6</v>
      </c>
      <c r="L5" s="129">
        <f t="shared" si="1"/>
        <v>5.6445461479786019E-3</v>
      </c>
      <c r="M5" s="270">
        <v>78316.91</v>
      </c>
      <c r="N5" s="129">
        <f t="shared" si="1"/>
        <v>1.9400747815660369E-2</v>
      </c>
      <c r="O5" s="270">
        <v>23719.3</v>
      </c>
      <c r="P5" s="129">
        <f t="shared" si="1"/>
        <v>3.2059551250871454E-3</v>
      </c>
      <c r="R5" s="269">
        <v>46142</v>
      </c>
      <c r="S5" s="270">
        <v>2062.1999999999998</v>
      </c>
      <c r="T5" s="129">
        <f t="shared" si="2"/>
        <v>0.28590135312090781</v>
      </c>
      <c r="U5" s="270">
        <v>77210.23</v>
      </c>
      <c r="V5" s="129">
        <f t="shared" si="2"/>
        <v>0.20183947357688847</v>
      </c>
      <c r="W5" s="270">
        <v>23997.55</v>
      </c>
      <c r="X5" s="129">
        <f t="shared" si="2"/>
        <v>7.4610190135862453E-2</v>
      </c>
      <c r="Z5" s="61" t="s">
        <v>200</v>
      </c>
      <c r="AA5" s="142">
        <f>SLOPE(D3:D1240,F3:F1240)</f>
        <v>0.83333043691197639</v>
      </c>
    </row>
    <row r="6" spans="2:28" x14ac:dyDescent="0.3">
      <c r="B6" s="269">
        <v>46171</v>
      </c>
      <c r="C6" s="270">
        <v>1840.4</v>
      </c>
      <c r="D6" s="129">
        <f t="shared" si="0"/>
        <v>-5.4750898818695437E-2</v>
      </c>
      <c r="E6" s="270">
        <v>80818.740000000005</v>
      </c>
      <c r="F6" s="129">
        <f t="shared" si="0"/>
        <v>-1.0155434474685254E-2</v>
      </c>
      <c r="G6" s="270">
        <v>23547.75</v>
      </c>
      <c r="H6" s="129">
        <f t="shared" si="0"/>
        <v>-1.5033159535954743E-2</v>
      </c>
      <c r="J6" s="269">
        <v>46159</v>
      </c>
      <c r="K6" s="270">
        <v>1966.5</v>
      </c>
      <c r="L6" s="129">
        <f t="shared" si="1"/>
        <v>-9.0383458994403143E-2</v>
      </c>
      <c r="M6" s="270">
        <v>76826.42</v>
      </c>
      <c r="N6" s="129">
        <f t="shared" si="1"/>
        <v>-4.1170318451623222E-2</v>
      </c>
      <c r="O6" s="270">
        <v>23643.5</v>
      </c>
      <c r="P6" s="129">
        <f t="shared" si="1"/>
        <v>-2.2032043977225579E-2</v>
      </c>
      <c r="R6" s="269">
        <v>46112</v>
      </c>
      <c r="S6" s="270">
        <v>1603.7</v>
      </c>
      <c r="T6" s="129">
        <f t="shared" si="2"/>
        <v>2.0684826883910379E-2</v>
      </c>
      <c r="U6" s="270">
        <v>64243.38</v>
      </c>
      <c r="V6" s="129">
        <f t="shared" si="2"/>
        <v>-8.8157500865452598E-2</v>
      </c>
      <c r="W6" s="270">
        <v>22331.4</v>
      </c>
      <c r="X6" s="129">
        <f t="shared" si="2"/>
        <v>-0.11308191662380629</v>
      </c>
      <c r="Z6" s="61" t="s">
        <v>201</v>
      </c>
      <c r="AA6" s="167">
        <v>6.9599999999999995E-2</v>
      </c>
      <c r="AB6" s="141" t="s">
        <v>203</v>
      </c>
    </row>
    <row r="7" spans="2:28" x14ac:dyDescent="0.3">
      <c r="B7" s="269">
        <v>46169</v>
      </c>
      <c r="C7" s="270">
        <v>1947</v>
      </c>
      <c r="D7" s="129">
        <f t="shared" si="0"/>
        <v>-1.7262265293761403E-2</v>
      </c>
      <c r="E7" s="270">
        <v>81647.91</v>
      </c>
      <c r="F7" s="129">
        <f t="shared" si="0"/>
        <v>3.2112868128626015E-2</v>
      </c>
      <c r="G7" s="270">
        <v>23907.15</v>
      </c>
      <c r="H7" s="129">
        <f t="shared" si="0"/>
        <v>-2.7390157106588209E-4</v>
      </c>
      <c r="J7" s="269">
        <v>46152</v>
      </c>
      <c r="K7" s="270">
        <v>2161.9</v>
      </c>
      <c r="L7" s="129">
        <f t="shared" si="1"/>
        <v>4.8346426146833599E-2</v>
      </c>
      <c r="M7" s="270">
        <v>80125.2</v>
      </c>
      <c r="N7" s="129">
        <f t="shared" si="1"/>
        <v>3.7753675905382034E-2</v>
      </c>
      <c r="O7" s="270">
        <v>24176.15</v>
      </c>
      <c r="P7" s="129">
        <f t="shared" si="1"/>
        <v>7.4424264143633234E-3</v>
      </c>
      <c r="R7" s="269">
        <v>46081</v>
      </c>
      <c r="S7" s="270">
        <v>1571.2</v>
      </c>
      <c r="T7" s="129">
        <f t="shared" si="2"/>
        <v>-0.11291779584462514</v>
      </c>
      <c r="U7" s="270">
        <v>70454.47</v>
      </c>
      <c r="V7" s="129">
        <f t="shared" si="2"/>
        <v>5.6816046024756428E-2</v>
      </c>
      <c r="W7" s="270">
        <v>25178.65</v>
      </c>
      <c r="X7" s="129">
        <f t="shared" si="2"/>
        <v>-5.6080708828565307E-3</v>
      </c>
      <c r="Z7" s="61" t="s">
        <v>205</v>
      </c>
      <c r="AA7" s="167">
        <v>7.0800000000000002E-2</v>
      </c>
      <c r="AB7" s="141" t="s">
        <v>204</v>
      </c>
    </row>
    <row r="8" spans="2:28" x14ac:dyDescent="0.3">
      <c r="B8" s="269">
        <v>46168</v>
      </c>
      <c r="C8" s="270">
        <v>1981.2</v>
      </c>
      <c r="D8" s="129">
        <f t="shared" si="0"/>
        <v>1.7697325175709544E-3</v>
      </c>
      <c r="E8" s="270">
        <v>79107.539999999994</v>
      </c>
      <c r="F8" s="129">
        <f t="shared" si="0"/>
        <v>5.2038164624492733E-3</v>
      </c>
      <c r="G8" s="270">
        <v>23913.7</v>
      </c>
      <c r="H8" s="129">
        <f t="shared" si="0"/>
        <v>-4.9101811357498137E-3</v>
      </c>
      <c r="J8" s="269">
        <v>46145</v>
      </c>
      <c r="K8" s="270">
        <v>2062.1999999999998</v>
      </c>
      <c r="L8" s="129">
        <f t="shared" si="1"/>
        <v>-2.209787556904419E-2</v>
      </c>
      <c r="M8" s="270">
        <v>77210.23</v>
      </c>
      <c r="N8" s="129">
        <f t="shared" si="1"/>
        <v>1.5718183617752235E-3</v>
      </c>
      <c r="O8" s="270">
        <v>23997.55</v>
      </c>
      <c r="P8" s="129">
        <f t="shared" si="1"/>
        <v>4.167721499124255E-3</v>
      </c>
      <c r="R8" s="269">
        <v>46053</v>
      </c>
      <c r="S8" s="270">
        <v>1771.2</v>
      </c>
      <c r="T8" s="129">
        <f t="shared" si="2"/>
        <v>-0.21037849404841513</v>
      </c>
      <c r="U8" s="270">
        <v>66666.73</v>
      </c>
      <c r="V8" s="129">
        <f t="shared" si="2"/>
        <v>-6.6347300035761725E-3</v>
      </c>
      <c r="W8" s="270">
        <v>25320.65</v>
      </c>
      <c r="X8" s="129">
        <f t="shared" si="2"/>
        <v>-3.0959142122343852E-2</v>
      </c>
      <c r="Z8" s="61" t="s">
        <v>202</v>
      </c>
      <c r="AA8" s="167">
        <f>AA6+AA4*AA7</f>
        <v>0.12521269656563147</v>
      </c>
    </row>
    <row r="9" spans="2:28" x14ac:dyDescent="0.3">
      <c r="B9" s="269">
        <v>46167</v>
      </c>
      <c r="C9" s="270">
        <v>1977.7</v>
      </c>
      <c r="D9" s="129">
        <f t="shared" si="0"/>
        <v>5.0566343042124373E-5</v>
      </c>
      <c r="E9" s="270">
        <v>78698.009999999995</v>
      </c>
      <c r="F9" s="129">
        <f t="shared" si="0"/>
        <v>4.866126613013666E-3</v>
      </c>
      <c r="G9" s="270">
        <v>24031.7</v>
      </c>
      <c r="H9" s="129">
        <f>G9/G10-1</f>
        <v>1.3170709085006838E-2</v>
      </c>
      <c r="J9" s="269">
        <v>46138</v>
      </c>
      <c r="K9" s="270">
        <v>2108.8000000000002</v>
      </c>
      <c r="L9" s="129">
        <f t="shared" si="1"/>
        <v>4.2773080156257803E-2</v>
      </c>
      <c r="M9" s="270">
        <v>77089.06</v>
      </c>
      <c r="N9" s="129">
        <f t="shared" si="1"/>
        <v>1.2834340245802656E-2</v>
      </c>
      <c r="O9" s="270">
        <v>23897.95</v>
      </c>
      <c r="P9" s="129">
        <f t="shared" si="1"/>
        <v>-1.8707744866764742E-2</v>
      </c>
      <c r="R9" s="269">
        <v>46022</v>
      </c>
      <c r="S9" s="270">
        <v>2243.1</v>
      </c>
      <c r="T9" s="129">
        <f t="shared" si="2"/>
        <v>-7.3900345163290249E-3</v>
      </c>
      <c r="U9" s="270">
        <v>67112</v>
      </c>
      <c r="V9" s="129">
        <f t="shared" si="2"/>
        <v>-3.0293782896024801E-2</v>
      </c>
      <c r="W9" s="270">
        <v>26129.599999999999</v>
      </c>
      <c r="X9" s="129">
        <f t="shared" si="2"/>
        <v>-2.7993031318993555E-3</v>
      </c>
    </row>
    <row r="10" spans="2:28" x14ac:dyDescent="0.3">
      <c r="B10" s="269">
        <v>46164</v>
      </c>
      <c r="C10" s="270">
        <v>1977.6</v>
      </c>
      <c r="D10" s="129">
        <f t="shared" si="0"/>
        <v>-4.0436716538627682E-4</v>
      </c>
      <c r="E10" s="270">
        <v>78316.91</v>
      </c>
      <c r="F10" s="129">
        <f t="shared" si="0"/>
        <v>5.366982263792508E-4</v>
      </c>
      <c r="G10" s="270">
        <v>23719.3</v>
      </c>
      <c r="H10" s="129">
        <f t="shared" ref="H10:H73" si="3">G10/G11-1</f>
        <v>2.7309583296342144E-3</v>
      </c>
      <c r="J10" s="269">
        <v>46131</v>
      </c>
      <c r="K10" s="270">
        <v>2022.3</v>
      </c>
      <c r="L10" s="129">
        <f t="shared" si="1"/>
        <v>5.7798932942776382E-2</v>
      </c>
      <c r="M10" s="270">
        <v>76112.210000000006</v>
      </c>
      <c r="N10" s="129">
        <f t="shared" si="1"/>
        <v>5.4466584382516281E-2</v>
      </c>
      <c r="O10" s="270">
        <v>24353.55</v>
      </c>
      <c r="P10" s="129">
        <f t="shared" si="1"/>
        <v>1.2596359342386565E-2</v>
      </c>
      <c r="R10" s="269">
        <v>45991</v>
      </c>
      <c r="S10" s="270">
        <v>2259.8000000000002</v>
      </c>
      <c r="T10" s="129">
        <f t="shared" si="2"/>
        <v>-2.0544382801664152E-2</v>
      </c>
      <c r="U10" s="270">
        <v>69208.59</v>
      </c>
      <c r="V10" s="129">
        <f t="shared" si="2"/>
        <v>-1.6984736321130067E-2</v>
      </c>
      <c r="W10" s="270">
        <v>26202.95</v>
      </c>
      <c r="X10" s="129">
        <f t="shared" si="2"/>
        <v>1.8694041310779452E-2</v>
      </c>
    </row>
    <row r="11" spans="2:28" x14ac:dyDescent="0.3">
      <c r="B11" s="269">
        <v>46163</v>
      </c>
      <c r="C11" s="270">
        <v>1978.4</v>
      </c>
      <c r="D11" s="129">
        <f t="shared" si="0"/>
        <v>1.352459016393448E-2</v>
      </c>
      <c r="E11" s="270">
        <v>78274.899999999994</v>
      </c>
      <c r="F11" s="129">
        <f t="shared" si="0"/>
        <v>1.2893887146848693E-2</v>
      </c>
      <c r="G11" s="270">
        <v>23654.7</v>
      </c>
      <c r="H11" s="129">
        <f t="shared" si="3"/>
        <v>-1.8174901728729154E-4</v>
      </c>
      <c r="J11" s="269">
        <v>46124</v>
      </c>
      <c r="K11" s="270">
        <v>1911.8</v>
      </c>
      <c r="L11" s="129">
        <f t="shared" si="1"/>
        <v>9.3206770356816016E-2</v>
      </c>
      <c r="M11" s="270">
        <v>72180.77</v>
      </c>
      <c r="N11" s="129">
        <f t="shared" si="1"/>
        <v>8.7710449684660796E-2</v>
      </c>
      <c r="O11" s="270">
        <v>24050.6</v>
      </c>
      <c r="P11" s="129">
        <f t="shared" si="1"/>
        <v>5.8886721759689342E-2</v>
      </c>
      <c r="R11" s="269">
        <v>45961</v>
      </c>
      <c r="S11" s="270">
        <v>2307.1999999999998</v>
      </c>
      <c r="T11" s="129">
        <f t="shared" si="2"/>
        <v>-1.6999701759618291E-2</v>
      </c>
      <c r="U11" s="270">
        <v>70404.39</v>
      </c>
      <c r="V11" s="129">
        <f t="shared" si="2"/>
        <v>3.0962078043941688E-2</v>
      </c>
      <c r="W11" s="270">
        <v>25722.1</v>
      </c>
      <c r="X11" s="129">
        <f t="shared" si="2"/>
        <v>4.5142232569856722E-2</v>
      </c>
    </row>
    <row r="12" spans="2:28" x14ac:dyDescent="0.3">
      <c r="B12" s="269">
        <v>46162</v>
      </c>
      <c r="C12" s="270">
        <v>1952</v>
      </c>
      <c r="D12" s="129">
        <f t="shared" si="0"/>
        <v>-1.789823574533389E-3</v>
      </c>
      <c r="E12" s="270">
        <v>77278.48</v>
      </c>
      <c r="F12" s="129">
        <f t="shared" si="0"/>
        <v>1.5243535150674337E-2</v>
      </c>
      <c r="G12" s="270">
        <v>23659</v>
      </c>
      <c r="H12" s="129">
        <f t="shared" si="3"/>
        <v>1.7359640951817301E-3</v>
      </c>
      <c r="J12" s="269">
        <v>46117</v>
      </c>
      <c r="K12" s="270">
        <v>1748.8</v>
      </c>
      <c r="L12" s="129">
        <f t="shared" si="1"/>
        <v>4.5432807269249142E-2</v>
      </c>
      <c r="M12" s="270">
        <v>66360.28</v>
      </c>
      <c r="N12" s="129">
        <f t="shared" si="1"/>
        <v>1.0010107668510626E-2</v>
      </c>
      <c r="O12" s="270">
        <v>22713.1</v>
      </c>
      <c r="P12" s="129">
        <f t="shared" si="1"/>
        <v>-4.6670406142088616E-3</v>
      </c>
      <c r="R12" s="269">
        <v>45930</v>
      </c>
      <c r="S12" s="270">
        <v>2347.1</v>
      </c>
      <c r="T12" s="129">
        <f t="shared" si="2"/>
        <v>5.9782363299769825E-2</v>
      </c>
      <c r="U12" s="270">
        <v>68289.990000000005</v>
      </c>
      <c r="V12" s="129">
        <f t="shared" si="2"/>
        <v>4.3916818054245299E-2</v>
      </c>
      <c r="W12" s="270">
        <v>24611.1</v>
      </c>
      <c r="X12" s="129">
        <f t="shared" si="2"/>
        <v>7.5429291947182175E-3</v>
      </c>
    </row>
    <row r="13" spans="2:28" x14ac:dyDescent="0.3">
      <c r="B13" s="269">
        <v>46161</v>
      </c>
      <c r="C13" s="270">
        <v>1955.5</v>
      </c>
      <c r="D13" s="129">
        <f t="shared" si="0"/>
        <v>1.3422470978441181E-2</v>
      </c>
      <c r="E13" s="270">
        <v>76118.17</v>
      </c>
      <c r="F13" s="129">
        <f t="shared" si="0"/>
        <v>-1.323029517176888E-3</v>
      </c>
      <c r="G13" s="270">
        <v>23618</v>
      </c>
      <c r="H13" s="129">
        <f t="shared" si="3"/>
        <v>-1.3509542303472566E-3</v>
      </c>
      <c r="J13" s="269">
        <v>46110</v>
      </c>
      <c r="K13" s="270">
        <v>1672.8</v>
      </c>
      <c r="L13" s="129">
        <f t="shared" si="1"/>
        <v>5.3267850396675476E-2</v>
      </c>
      <c r="M13" s="270">
        <v>65702.59</v>
      </c>
      <c r="N13" s="129">
        <f t="shared" si="1"/>
        <v>-2.4379165064825736E-2</v>
      </c>
      <c r="O13" s="270">
        <v>22819.599999999999</v>
      </c>
      <c r="P13" s="129">
        <f t="shared" si="1"/>
        <v>-1.275822535637805E-2</v>
      </c>
      <c r="R13" s="269">
        <v>45900</v>
      </c>
      <c r="S13" s="270">
        <v>2214.6999999999998</v>
      </c>
      <c r="T13" s="129">
        <f t="shared" si="2"/>
        <v>-0.16277926889199723</v>
      </c>
      <c r="U13" s="270">
        <v>65417.08</v>
      </c>
      <c r="V13" s="129">
        <f t="shared" si="2"/>
        <v>-4.132060390998038E-2</v>
      </c>
      <c r="W13" s="270">
        <v>24426.85</v>
      </c>
      <c r="X13" s="129">
        <f t="shared" si="2"/>
        <v>-1.3787757359694952E-2</v>
      </c>
    </row>
    <row r="14" spans="2:28" x14ac:dyDescent="0.3">
      <c r="B14" s="269">
        <v>46160</v>
      </c>
      <c r="C14" s="270">
        <v>1929.6</v>
      </c>
      <c r="D14" s="129">
        <f t="shared" si="0"/>
        <v>-1.876430205949664E-2</v>
      </c>
      <c r="E14" s="270">
        <v>76219.009999999995</v>
      </c>
      <c r="F14" s="129">
        <f t="shared" si="0"/>
        <v>-7.9062645376422047E-3</v>
      </c>
      <c r="G14" s="270">
        <v>23649.95</v>
      </c>
      <c r="H14" s="129">
        <f t="shared" si="3"/>
        <v>2.7280225008996517E-4</v>
      </c>
      <c r="J14" s="269">
        <v>46103</v>
      </c>
      <c r="K14" s="270">
        <v>1588.2</v>
      </c>
      <c r="L14" s="129">
        <f t="shared" si="1"/>
        <v>4.3632540412669174E-2</v>
      </c>
      <c r="M14" s="270">
        <v>67344.39</v>
      </c>
      <c r="N14" s="129">
        <f t="shared" si="1"/>
        <v>-4.0788107695629572E-3</v>
      </c>
      <c r="O14" s="270">
        <v>23114.5</v>
      </c>
      <c r="P14" s="129">
        <f t="shared" si="1"/>
        <v>-1.5809184012853805E-3</v>
      </c>
      <c r="R14" s="269">
        <v>45869</v>
      </c>
      <c r="S14" s="270">
        <v>2645.3</v>
      </c>
      <c r="T14" s="129">
        <f t="shared" si="2"/>
        <v>-4.4707666750929853E-2</v>
      </c>
      <c r="U14" s="270">
        <v>68236.66</v>
      </c>
      <c r="V14" s="129">
        <f t="shared" si="2"/>
        <v>-5.6628689873206906E-2</v>
      </c>
      <c r="W14" s="270">
        <v>24768.35</v>
      </c>
      <c r="X14" s="129">
        <f t="shared" si="2"/>
        <v>-2.9341166004691055E-2</v>
      </c>
    </row>
    <row r="15" spans="2:28" x14ac:dyDescent="0.3">
      <c r="B15" s="269">
        <v>46157</v>
      </c>
      <c r="C15" s="270">
        <v>1966.5</v>
      </c>
      <c r="D15" s="129">
        <f t="shared" si="0"/>
        <v>2.6001835423676845E-3</v>
      </c>
      <c r="E15" s="270">
        <v>76826.42</v>
      </c>
      <c r="F15" s="129">
        <f t="shared" si="0"/>
        <v>-1.0023798935909656E-2</v>
      </c>
      <c r="G15" s="270">
        <v>23643.5</v>
      </c>
      <c r="H15" s="129">
        <f t="shared" si="3"/>
        <v>-1.946001620964366E-3</v>
      </c>
      <c r="J15" s="269">
        <v>46096</v>
      </c>
      <c r="K15" s="270">
        <v>1521.8</v>
      </c>
      <c r="L15" s="129">
        <f t="shared" si="1"/>
        <v>2.8799351000540874E-2</v>
      </c>
      <c r="M15" s="270">
        <v>67620.2</v>
      </c>
      <c r="N15" s="129">
        <f t="shared" si="1"/>
        <v>-4.2457170547191336E-2</v>
      </c>
      <c r="O15" s="270">
        <v>23151.1</v>
      </c>
      <c r="P15" s="129">
        <f t="shared" si="1"/>
        <v>-5.3142171207482991E-2</v>
      </c>
      <c r="R15" s="269">
        <v>45838</v>
      </c>
      <c r="S15" s="270">
        <v>2769.1</v>
      </c>
      <c r="T15" s="129">
        <f t="shared" si="2"/>
        <v>-3.2755021236772208E-3</v>
      </c>
      <c r="U15" s="270">
        <v>72332.77</v>
      </c>
      <c r="V15" s="129">
        <f t="shared" si="2"/>
        <v>1.7486795544329636E-2</v>
      </c>
      <c r="W15" s="270">
        <v>25517.05</v>
      </c>
      <c r="X15" s="129">
        <f t="shared" si="2"/>
        <v>3.0962760649193788E-2</v>
      </c>
    </row>
    <row r="16" spans="2:28" x14ac:dyDescent="0.3">
      <c r="B16" s="269">
        <v>46156</v>
      </c>
      <c r="C16" s="270">
        <v>1961.4</v>
      </c>
      <c r="D16" s="129">
        <f t="shared" si="0"/>
        <v>-8.9935327405011867E-3</v>
      </c>
      <c r="E16" s="270">
        <v>77604.31</v>
      </c>
      <c r="F16" s="129">
        <f t="shared" si="0"/>
        <v>6.8810529522551622E-3</v>
      </c>
      <c r="G16" s="270">
        <v>23689.599999999999</v>
      </c>
      <c r="H16" s="129">
        <f t="shared" si="3"/>
        <v>1.1831236171975679E-2</v>
      </c>
      <c r="J16" s="269">
        <v>46089</v>
      </c>
      <c r="K16" s="270">
        <v>1479.2</v>
      </c>
      <c r="L16" s="129">
        <f t="shared" si="1"/>
        <v>-5.8553971486761669E-2</v>
      </c>
      <c r="M16" s="270">
        <v>70618.460000000006</v>
      </c>
      <c r="N16" s="129">
        <f t="shared" si="1"/>
        <v>2.3276024927871841E-3</v>
      </c>
      <c r="O16" s="270">
        <v>24450.45</v>
      </c>
      <c r="P16" s="129">
        <f t="shared" si="1"/>
        <v>-2.892132818876314E-2</v>
      </c>
      <c r="R16" s="269">
        <v>45808</v>
      </c>
      <c r="S16" s="270">
        <v>2778.2</v>
      </c>
      <c r="T16" s="129">
        <f t="shared" si="2"/>
        <v>-7.0649628688031152E-2</v>
      </c>
      <c r="U16" s="270">
        <v>71089.64</v>
      </c>
      <c r="V16" s="129">
        <f t="shared" si="2"/>
        <v>0.13235422717189227</v>
      </c>
      <c r="W16" s="270">
        <v>24750.7</v>
      </c>
      <c r="X16" s="129">
        <f t="shared" si="2"/>
        <v>1.7115828751304685E-2</v>
      </c>
    </row>
    <row r="17" spans="2:24" x14ac:dyDescent="0.3">
      <c r="B17" s="269">
        <v>46155</v>
      </c>
      <c r="C17" s="270">
        <v>1979.2</v>
      </c>
      <c r="D17" s="129">
        <f t="shared" si="0"/>
        <v>4.4660982541615546E-3</v>
      </c>
      <c r="E17" s="270">
        <v>77073.960000000006</v>
      </c>
      <c r="F17" s="129">
        <f t="shared" si="0"/>
        <v>1.1245277948926713E-2</v>
      </c>
      <c r="G17" s="270">
        <v>23412.6</v>
      </c>
      <c r="H17" s="129">
        <f t="shared" si="3"/>
        <v>1.4136285771111368E-3</v>
      </c>
      <c r="J17" s="269">
        <v>46082</v>
      </c>
      <c r="K17" s="270">
        <v>1571.2</v>
      </c>
      <c r="L17" s="129">
        <f t="shared" si="1"/>
        <v>-7.6036459864745609E-2</v>
      </c>
      <c r="M17" s="270">
        <v>70454.47</v>
      </c>
      <c r="N17" s="129">
        <f t="shared" si="1"/>
        <v>1.2089863855615279E-2</v>
      </c>
      <c r="O17" s="270">
        <v>25178.65</v>
      </c>
      <c r="P17" s="129">
        <f t="shared" si="1"/>
        <v>-1.5353179840641329E-2</v>
      </c>
      <c r="R17" s="269">
        <v>45777</v>
      </c>
      <c r="S17" s="270">
        <v>2989.4</v>
      </c>
      <c r="T17" s="129">
        <f t="shared" si="2"/>
        <v>-0.13986476765932954</v>
      </c>
      <c r="U17" s="270">
        <v>62780.39</v>
      </c>
      <c r="V17" s="129">
        <f t="shared" si="2"/>
        <v>8.9454992548332335E-4</v>
      </c>
      <c r="W17" s="270">
        <v>24334.2</v>
      </c>
      <c r="X17" s="129">
        <f t="shared" si="2"/>
        <v>3.4645940470293679E-2</v>
      </c>
    </row>
    <row r="18" spans="2:24" x14ac:dyDescent="0.3">
      <c r="B18" s="269">
        <v>46154</v>
      </c>
      <c r="C18" s="270">
        <v>1970.4</v>
      </c>
      <c r="D18" s="129">
        <f t="shared" si="0"/>
        <v>-4.7011027278003437E-2</v>
      </c>
      <c r="E18" s="270">
        <v>76216.88</v>
      </c>
      <c r="F18" s="129">
        <f t="shared" si="0"/>
        <v>-2.8503041883786939E-2</v>
      </c>
      <c r="G18" s="270">
        <v>23379.55</v>
      </c>
      <c r="H18" s="129">
        <f t="shared" si="3"/>
        <v>-1.8319732447088732E-2</v>
      </c>
      <c r="J18" s="269">
        <v>46075</v>
      </c>
      <c r="K18" s="270">
        <v>1700.5</v>
      </c>
      <c r="L18" s="129">
        <f t="shared" si="1"/>
        <v>-0.14310909549004791</v>
      </c>
      <c r="M18" s="270">
        <v>69612.86</v>
      </c>
      <c r="N18" s="129">
        <f t="shared" si="1"/>
        <v>2.0070726491750124E-2</v>
      </c>
      <c r="O18" s="270">
        <v>25571.25</v>
      </c>
      <c r="P18" s="129">
        <f t="shared" si="1"/>
        <v>3.9319071418195684E-3</v>
      </c>
      <c r="R18" s="269">
        <v>45747</v>
      </c>
      <c r="S18" s="270">
        <v>3475.5</v>
      </c>
      <c r="T18" s="129">
        <f t="shared" si="2"/>
        <v>0.24207065382484849</v>
      </c>
      <c r="U18" s="270">
        <v>62724.28</v>
      </c>
      <c r="V18" s="129">
        <f t="shared" si="2"/>
        <v>0.13546358220108501</v>
      </c>
      <c r="W18" s="270">
        <v>23519.35</v>
      </c>
      <c r="X18" s="129">
        <f t="shared" si="2"/>
        <v>6.3035882972424462E-2</v>
      </c>
    </row>
    <row r="19" spans="2:24" x14ac:dyDescent="0.3">
      <c r="B19" s="269">
        <v>46153</v>
      </c>
      <c r="C19" s="270">
        <v>2067.6</v>
      </c>
      <c r="D19" s="129">
        <f t="shared" ref="D19:F82" si="4">C19/C20-1</f>
        <v>-4.3619038808455635E-2</v>
      </c>
      <c r="E19" s="270">
        <v>78453.03</v>
      </c>
      <c r="F19" s="129">
        <f t="shared" si="4"/>
        <v>-2.0869464288388651E-2</v>
      </c>
      <c r="G19" s="270">
        <v>23815.85</v>
      </c>
      <c r="H19" s="129">
        <f t="shared" si="3"/>
        <v>-1.4903117328441629E-2</v>
      </c>
      <c r="J19" s="269">
        <v>46068</v>
      </c>
      <c r="K19" s="270">
        <v>1984.5</v>
      </c>
      <c r="L19" s="129">
        <f t="shared" si="1"/>
        <v>2.6270879660754032E-2</v>
      </c>
      <c r="M19" s="270">
        <v>68243.17</v>
      </c>
      <c r="N19" s="129">
        <f t="shared" si="1"/>
        <v>7.2450676951187898E-3</v>
      </c>
      <c r="O19" s="270">
        <v>25471.1</v>
      </c>
      <c r="P19" s="129">
        <f t="shared" si="1"/>
        <v>-8.6636023616685209E-3</v>
      </c>
      <c r="R19" s="269">
        <v>45716</v>
      </c>
      <c r="S19" s="270">
        <v>2798.15</v>
      </c>
      <c r="T19" s="129">
        <f t="shared" si="2"/>
        <v>-9.3641577568505108E-3</v>
      </c>
      <c r="U19" s="270">
        <v>55241.120000000003</v>
      </c>
      <c r="V19" s="129">
        <f t="shared" si="2"/>
        <v>-0.14394364027641804</v>
      </c>
      <c r="W19" s="270">
        <v>22124.7</v>
      </c>
      <c r="X19" s="129">
        <f t="shared" si="2"/>
        <v>-5.8859811811948104E-2</v>
      </c>
    </row>
    <row r="20" spans="2:24" x14ac:dyDescent="0.3">
      <c r="B20" s="269">
        <v>46150</v>
      </c>
      <c r="C20" s="270">
        <v>2161.9</v>
      </c>
      <c r="D20" s="129">
        <f t="shared" si="4"/>
        <v>-1.0481508604906709E-2</v>
      </c>
      <c r="E20" s="270">
        <v>80125.2</v>
      </c>
      <c r="F20" s="129">
        <f t="shared" si="4"/>
        <v>-2.4367250773522642E-3</v>
      </c>
      <c r="G20" s="270">
        <v>24176.15</v>
      </c>
      <c r="H20" s="129">
        <f t="shared" si="3"/>
        <v>-6.1866307115858721E-3</v>
      </c>
      <c r="J20" s="269">
        <v>46061</v>
      </c>
      <c r="K20" s="270">
        <v>1933.7</v>
      </c>
      <c r="L20" s="129">
        <f t="shared" si="1"/>
        <v>0.10031865255491068</v>
      </c>
      <c r="M20" s="270">
        <v>67752.3</v>
      </c>
      <c r="N20" s="129">
        <f t="shared" si="1"/>
        <v>4.7898389322718726E-2</v>
      </c>
      <c r="O20" s="270">
        <v>25693.7</v>
      </c>
      <c r="P20" s="129">
        <f t="shared" si="1"/>
        <v>3.4974189793135713E-2</v>
      </c>
      <c r="R20" s="269">
        <v>45688</v>
      </c>
      <c r="S20" s="270">
        <v>2824.6</v>
      </c>
      <c r="T20" s="129">
        <f t="shared" si="2"/>
        <v>-0.19266002601003251</v>
      </c>
      <c r="U20" s="270">
        <v>64529.77</v>
      </c>
      <c r="V20" s="129">
        <f t="shared" si="2"/>
        <v>-4.7945617775286054E-2</v>
      </c>
      <c r="W20" s="270">
        <v>23508.400000000001</v>
      </c>
      <c r="X20" s="129">
        <f t="shared" si="2"/>
        <v>-5.7687102449586192E-3</v>
      </c>
    </row>
    <row r="21" spans="2:24" x14ac:dyDescent="0.3">
      <c r="B21" s="269">
        <v>46149</v>
      </c>
      <c r="C21" s="270">
        <v>2184.8000000000002</v>
      </c>
      <c r="D21" s="129">
        <f t="shared" si="4"/>
        <v>2.9691771137713152E-2</v>
      </c>
      <c r="E21" s="270">
        <v>80320.92</v>
      </c>
      <c r="F21" s="129">
        <f t="shared" si="4"/>
        <v>2.0517995889260288E-2</v>
      </c>
      <c r="G21" s="270">
        <v>24326.65</v>
      </c>
      <c r="H21" s="129">
        <f t="shared" si="3"/>
        <v>-1.7672963858783586E-4</v>
      </c>
      <c r="J21" s="269">
        <v>46054</v>
      </c>
      <c r="K21" s="270">
        <v>1757.4</v>
      </c>
      <c r="L21" s="129">
        <f t="shared" si="1"/>
        <v>-3.4395604395604296E-2</v>
      </c>
      <c r="M21" s="270">
        <v>64655.41</v>
      </c>
      <c r="N21" s="129">
        <f t="shared" si="1"/>
        <v>4.6518847659838158E-2</v>
      </c>
      <c r="O21" s="270">
        <v>24825.45</v>
      </c>
      <c r="P21" s="129">
        <f t="shared" si="1"/>
        <v>-8.9106598559204331E-3</v>
      </c>
      <c r="R21" s="269">
        <v>45657</v>
      </c>
      <c r="S21" s="270">
        <v>3498.65</v>
      </c>
      <c r="T21" s="129">
        <f t="shared" si="2"/>
        <v>-4.2816300288633813E-2</v>
      </c>
      <c r="U21" s="270">
        <v>67779.5</v>
      </c>
      <c r="V21" s="129">
        <f t="shared" si="2"/>
        <v>-4.1311870705991627E-2</v>
      </c>
      <c r="W21" s="270">
        <v>23644.799999999999</v>
      </c>
      <c r="X21" s="129">
        <f t="shared" si="2"/>
        <v>-2.0152417419844082E-2</v>
      </c>
    </row>
    <row r="22" spans="2:24" x14ac:dyDescent="0.3">
      <c r="B22" s="269">
        <v>46148</v>
      </c>
      <c r="C22" s="270">
        <v>2121.8000000000002</v>
      </c>
      <c r="D22" s="129">
        <f t="shared" si="4"/>
        <v>2.3935913521861085E-2</v>
      </c>
      <c r="E22" s="270">
        <v>78706.03</v>
      </c>
      <c r="F22" s="129">
        <f t="shared" si="4"/>
        <v>3.8561960540377527E-3</v>
      </c>
      <c r="G22" s="270">
        <v>24330.95</v>
      </c>
      <c r="H22" s="129">
        <f t="shared" si="3"/>
        <v>1.2405961852135494E-2</v>
      </c>
      <c r="J22" s="269">
        <v>46047</v>
      </c>
      <c r="K22" s="270">
        <v>1820</v>
      </c>
      <c r="L22" s="129">
        <f t="shared" si="1"/>
        <v>-7.7406600091245559E-2</v>
      </c>
      <c r="M22" s="270">
        <v>61781.41</v>
      </c>
      <c r="N22" s="129">
        <f t="shared" si="1"/>
        <v>-3.3947722096651423E-2</v>
      </c>
      <c r="O22" s="270">
        <v>25048.65</v>
      </c>
      <c r="P22" s="129">
        <f t="shared" si="1"/>
        <v>-2.5130038315816394E-2</v>
      </c>
      <c r="R22" s="269">
        <v>45626</v>
      </c>
      <c r="S22" s="270">
        <v>3655.15</v>
      </c>
      <c r="T22" s="129">
        <f t="shared" si="2"/>
        <v>4.9847771139705843E-2</v>
      </c>
      <c r="U22" s="270">
        <v>70700.259999999995</v>
      </c>
      <c r="V22" s="129">
        <f t="shared" si="2"/>
        <v>2.3072737744154415E-2</v>
      </c>
      <c r="W22" s="270">
        <v>24131.1</v>
      </c>
      <c r="X22" s="129">
        <f t="shared" si="2"/>
        <v>-3.0675036717089377E-3</v>
      </c>
    </row>
    <row r="23" spans="2:24" x14ac:dyDescent="0.3">
      <c r="B23" s="269">
        <v>46147</v>
      </c>
      <c r="C23" s="270">
        <v>2072.1999999999998</v>
      </c>
      <c r="D23" s="129">
        <f t="shared" si="4"/>
        <v>-2.5511432009628354E-3</v>
      </c>
      <c r="E23" s="270">
        <v>78403.69</v>
      </c>
      <c r="F23" s="129">
        <f t="shared" si="4"/>
        <v>4.3233830578108812E-3</v>
      </c>
      <c r="G23" s="270">
        <v>24032.799999999999</v>
      </c>
      <c r="H23" s="129">
        <f t="shared" si="3"/>
        <v>-3.5863395703855661E-3</v>
      </c>
      <c r="J23" s="269">
        <v>46040</v>
      </c>
      <c r="K23" s="270">
        <v>1972.7</v>
      </c>
      <c r="L23" s="129">
        <f t="shared" si="1"/>
        <v>-8.8232575337400587E-2</v>
      </c>
      <c r="M23" s="270">
        <v>63952.45</v>
      </c>
      <c r="N23" s="129">
        <f t="shared" si="1"/>
        <v>-2.4857778782785611E-2</v>
      </c>
      <c r="O23" s="270">
        <v>25694.35</v>
      </c>
      <c r="P23" s="129">
        <f t="shared" si="1"/>
        <v>4.3024066222008273E-4</v>
      </c>
      <c r="R23" s="269">
        <v>45596</v>
      </c>
      <c r="S23" s="270">
        <v>3481.6</v>
      </c>
      <c r="T23" s="129">
        <f t="shared" si="2"/>
        <v>0.49859033681265474</v>
      </c>
      <c r="U23" s="270">
        <v>69105.8</v>
      </c>
      <c r="V23" s="129">
        <f t="shared" si="2"/>
        <v>-5.4730737138714458E-2</v>
      </c>
      <c r="W23" s="270">
        <v>24205.35</v>
      </c>
      <c r="X23" s="129">
        <f t="shared" si="2"/>
        <v>-6.2202523357425266E-2</v>
      </c>
    </row>
    <row r="24" spans="2:24" x14ac:dyDescent="0.3">
      <c r="B24" s="269">
        <v>46146</v>
      </c>
      <c r="C24" s="270">
        <v>2077.5</v>
      </c>
      <c r="D24" s="129">
        <f t="shared" si="4"/>
        <v>7.4192609834158318E-3</v>
      </c>
      <c r="E24" s="270">
        <v>78066.179999999993</v>
      </c>
      <c r="F24" s="129">
        <f t="shared" si="4"/>
        <v>1.1085966199038566E-2</v>
      </c>
      <c r="G24" s="270">
        <v>24119.3</v>
      </c>
      <c r="H24" s="129">
        <f t="shared" si="3"/>
        <v>5.0734345797800451E-3</v>
      </c>
      <c r="J24" s="269">
        <v>46033</v>
      </c>
      <c r="K24" s="270">
        <v>2163.6</v>
      </c>
      <c r="L24" s="129">
        <f t="shared" si="1"/>
        <v>-4.1127459670271316E-2</v>
      </c>
      <c r="M24" s="270">
        <v>65582.69</v>
      </c>
      <c r="N24" s="129">
        <f t="shared" si="1"/>
        <v>-3.3740065227973792E-2</v>
      </c>
      <c r="O24" s="270">
        <v>25683.3</v>
      </c>
      <c r="P24" s="129">
        <f t="shared" si="1"/>
        <v>-2.4507616256877029E-2</v>
      </c>
      <c r="R24" s="269">
        <v>45565</v>
      </c>
      <c r="S24" s="270">
        <v>2323.25</v>
      </c>
      <c r="T24" s="129">
        <f t="shared" si="2"/>
        <v>5.1506030912670697E-2</v>
      </c>
      <c r="U24" s="270">
        <v>73107</v>
      </c>
      <c r="V24" s="129">
        <f t="shared" si="2"/>
        <v>-8.5240586327306467E-4</v>
      </c>
      <c r="W24" s="270">
        <v>25810.85</v>
      </c>
      <c r="X24" s="129">
        <f t="shared" si="2"/>
        <v>2.2783019428670892E-2</v>
      </c>
    </row>
    <row r="25" spans="2:24" x14ac:dyDescent="0.3">
      <c r="B25" s="269">
        <v>46142</v>
      </c>
      <c r="C25" s="270">
        <v>2062.1999999999998</v>
      </c>
      <c r="D25" s="129">
        <f t="shared" si="4"/>
        <v>-1.4762792030958871E-2</v>
      </c>
      <c r="E25" s="270">
        <v>77210.23</v>
      </c>
      <c r="F25" s="129">
        <f t="shared" si="4"/>
        <v>-9.6550965156920743E-3</v>
      </c>
      <c r="G25" s="270">
        <v>23997.55</v>
      </c>
      <c r="H25" s="129">
        <f t="shared" si="3"/>
        <v>-7.4490283381554168E-3</v>
      </c>
      <c r="J25" s="269">
        <v>46026</v>
      </c>
      <c r="K25" s="270">
        <v>2256.4</v>
      </c>
      <c r="L25" s="129">
        <f t="shared" si="1"/>
        <v>1.4613966455326199E-2</v>
      </c>
      <c r="M25" s="270">
        <v>67872.72</v>
      </c>
      <c r="N25" s="129">
        <f t="shared" si="1"/>
        <v>1.0889827403474106E-2</v>
      </c>
      <c r="O25" s="270">
        <v>26328.55</v>
      </c>
      <c r="P25" s="129">
        <f t="shared" si="1"/>
        <v>1.0991732681061128E-2</v>
      </c>
      <c r="R25" s="269">
        <v>45535</v>
      </c>
      <c r="S25" s="270">
        <v>2209.4499999999998</v>
      </c>
      <c r="T25" s="129">
        <f t="shared" si="2"/>
        <v>0.23453651449963675</v>
      </c>
      <c r="U25" s="270">
        <v>73169.37</v>
      </c>
      <c r="V25" s="129">
        <f t="shared" si="2"/>
        <v>-3.2664543631078291E-2</v>
      </c>
      <c r="W25" s="270">
        <v>25235.9</v>
      </c>
      <c r="X25" s="129">
        <f t="shared" si="2"/>
        <v>1.141229963348378E-2</v>
      </c>
    </row>
    <row r="26" spans="2:24" x14ac:dyDescent="0.3">
      <c r="B26" s="269">
        <v>46141</v>
      </c>
      <c r="C26" s="270">
        <v>2093.1</v>
      </c>
      <c r="D26" s="129">
        <f t="shared" si="4"/>
        <v>-3.6370332857603271E-2</v>
      </c>
      <c r="E26" s="270">
        <v>77962.97</v>
      </c>
      <c r="F26" s="129">
        <f t="shared" si="4"/>
        <v>2.7071457228333706E-4</v>
      </c>
      <c r="G26" s="270">
        <v>24177.65</v>
      </c>
      <c r="H26" s="129">
        <f t="shared" si="3"/>
        <v>7.5826085506986995E-3</v>
      </c>
      <c r="J26" s="269">
        <v>46019</v>
      </c>
      <c r="K26" s="270">
        <v>2223.9</v>
      </c>
      <c r="L26" s="129">
        <f t="shared" si="1"/>
        <v>2.1778084079944859E-2</v>
      </c>
      <c r="M26" s="270">
        <v>67141.56</v>
      </c>
      <c r="N26" s="129">
        <f t="shared" si="1"/>
        <v>9.1312684849043091E-3</v>
      </c>
      <c r="O26" s="270">
        <v>26042.3</v>
      </c>
      <c r="P26" s="129">
        <f t="shared" si="1"/>
        <v>2.9230081952060782E-3</v>
      </c>
      <c r="R26" s="269">
        <v>45504</v>
      </c>
      <c r="S26" s="270">
        <v>1789.7</v>
      </c>
      <c r="T26" s="129">
        <f t="shared" si="2"/>
        <v>-1.6405155120771564E-2</v>
      </c>
      <c r="U26" s="270">
        <v>75640.12</v>
      </c>
      <c r="V26" s="129">
        <f t="shared" si="2"/>
        <v>4.584496437648089E-2</v>
      </c>
      <c r="W26" s="270">
        <v>24951.15</v>
      </c>
      <c r="X26" s="129">
        <f t="shared" si="2"/>
        <v>3.917228224200997E-2</v>
      </c>
    </row>
    <row r="27" spans="2:24" x14ac:dyDescent="0.3">
      <c r="B27" s="269">
        <v>46140</v>
      </c>
      <c r="C27" s="270">
        <v>2172.1</v>
      </c>
      <c r="D27" s="129">
        <f t="shared" si="4"/>
        <v>-1.9589257503949464E-2</v>
      </c>
      <c r="E27" s="270">
        <v>77941.87</v>
      </c>
      <c r="F27" s="129">
        <f t="shared" si="4"/>
        <v>4.3009696928464347E-3</v>
      </c>
      <c r="G27" s="270">
        <v>23995.7</v>
      </c>
      <c r="H27" s="129">
        <f t="shared" si="3"/>
        <v>-4.0261157944107007E-3</v>
      </c>
      <c r="J27" s="269">
        <v>46012</v>
      </c>
      <c r="K27" s="270">
        <v>2176.5</v>
      </c>
      <c r="L27" s="129">
        <f t="shared" si="1"/>
        <v>-1.8975930767150428E-2</v>
      </c>
      <c r="M27" s="270">
        <v>66534.02</v>
      </c>
      <c r="N27" s="129">
        <f t="shared" si="1"/>
        <v>-3.7110382536572617E-3</v>
      </c>
      <c r="O27" s="270">
        <v>25966.400000000001</v>
      </c>
      <c r="P27" s="129">
        <f t="shared" si="1"/>
        <v>-3.0924925951022475E-3</v>
      </c>
      <c r="R27" s="269">
        <v>45473</v>
      </c>
      <c r="S27" s="270">
        <v>1819.55</v>
      </c>
      <c r="T27" s="129">
        <f t="shared" si="2"/>
        <v>5.3559537940418567E-2</v>
      </c>
      <c r="U27" s="270">
        <v>72324.41</v>
      </c>
      <c r="V27" s="129">
        <f t="shared" si="2"/>
        <v>3.2386289912422317E-2</v>
      </c>
      <c r="W27" s="270">
        <v>24010.6</v>
      </c>
      <c r="X27" s="129">
        <f t="shared" si="2"/>
        <v>6.5683711558007341E-2</v>
      </c>
    </row>
    <row r="28" spans="2:24" x14ac:dyDescent="0.3">
      <c r="B28" s="269">
        <v>46139</v>
      </c>
      <c r="C28" s="270">
        <v>2215.5</v>
      </c>
      <c r="D28" s="129">
        <f t="shared" si="4"/>
        <v>5.0597496206373105E-2</v>
      </c>
      <c r="E28" s="270">
        <v>77608.08</v>
      </c>
      <c r="F28" s="129">
        <f t="shared" si="4"/>
        <v>6.7327322450163596E-3</v>
      </c>
      <c r="G28" s="270">
        <v>24092.7</v>
      </c>
      <c r="H28" s="129">
        <f t="shared" si="3"/>
        <v>8.1492345577758307E-3</v>
      </c>
      <c r="J28" s="269">
        <v>46005</v>
      </c>
      <c r="K28" s="270">
        <v>2218.6</v>
      </c>
      <c r="L28" s="129">
        <f t="shared" si="1"/>
        <v>1.5656473173411456E-2</v>
      </c>
      <c r="M28" s="270">
        <v>66781.850000000006</v>
      </c>
      <c r="N28" s="129">
        <f t="shared" si="1"/>
        <v>-1.2794584623171401E-2</v>
      </c>
      <c r="O28" s="270">
        <v>26046.95</v>
      </c>
      <c r="P28" s="129">
        <f t="shared" si="1"/>
        <v>-5.3271825696113995E-3</v>
      </c>
      <c r="R28" s="269">
        <v>45443</v>
      </c>
      <c r="S28" s="270">
        <v>1727.05</v>
      </c>
      <c r="T28" s="129">
        <f t="shared" si="2"/>
        <v>-3.0917711752658339E-2</v>
      </c>
      <c r="U28" s="270">
        <v>70055.570000000007</v>
      </c>
      <c r="V28" s="129">
        <f t="shared" si="2"/>
        <v>0.11155314070905908</v>
      </c>
      <c r="W28" s="270">
        <v>22530.7</v>
      </c>
      <c r="X28" s="129">
        <f t="shared" si="2"/>
        <v>-3.2802694996869608E-3</v>
      </c>
    </row>
    <row r="29" spans="2:24" x14ac:dyDescent="0.3">
      <c r="B29" s="269">
        <v>46136</v>
      </c>
      <c r="C29" s="270">
        <v>2108.8000000000002</v>
      </c>
      <c r="D29" s="129">
        <f t="shared" si="4"/>
        <v>-2.2708314023542453E-2</v>
      </c>
      <c r="E29" s="270">
        <v>77089.06</v>
      </c>
      <c r="F29" s="129">
        <f t="shared" si="4"/>
        <v>-7.2026017816481103E-3</v>
      </c>
      <c r="G29" s="270">
        <v>23897.95</v>
      </c>
      <c r="H29" s="129">
        <f t="shared" si="3"/>
        <v>-1.1380442269386726E-2</v>
      </c>
      <c r="J29" s="269">
        <v>45998</v>
      </c>
      <c r="K29" s="270">
        <v>2184.4</v>
      </c>
      <c r="L29" s="129">
        <f t="shared" si="1"/>
        <v>-3.3365784582706448E-2</v>
      </c>
      <c r="M29" s="270">
        <v>67647.37</v>
      </c>
      <c r="N29" s="129">
        <f t="shared" si="1"/>
        <v>-2.2558182445271635E-2</v>
      </c>
      <c r="O29" s="270">
        <v>26186.45</v>
      </c>
      <c r="P29" s="129">
        <f t="shared" si="1"/>
        <v>-6.297000910202577E-4</v>
      </c>
      <c r="R29" s="269">
        <v>45412</v>
      </c>
      <c r="S29" s="270">
        <v>1782.15</v>
      </c>
      <c r="T29" s="129">
        <f t="shared" si="2"/>
        <v>0.12845727166810206</v>
      </c>
      <c r="U29" s="270">
        <v>63024.94</v>
      </c>
      <c r="V29" s="129">
        <f t="shared" si="2"/>
        <v>3.4160049567531159E-2</v>
      </c>
      <c r="W29" s="270">
        <v>22604.85</v>
      </c>
      <c r="X29" s="129">
        <f t="shared" si="2"/>
        <v>1.2449108474530624E-2</v>
      </c>
    </row>
    <row r="30" spans="2:24" x14ac:dyDescent="0.3">
      <c r="B30" s="269">
        <v>46135</v>
      </c>
      <c r="C30" s="270">
        <v>2157.8000000000002</v>
      </c>
      <c r="D30" s="129">
        <f t="shared" si="4"/>
        <v>5.1252070544675288E-2</v>
      </c>
      <c r="E30" s="270">
        <v>77648.33</v>
      </c>
      <c r="F30" s="129">
        <f t="shared" si="4"/>
        <v>3.9870716267409456E-3</v>
      </c>
      <c r="G30" s="270">
        <v>24173.05</v>
      </c>
      <c r="H30" s="129">
        <f t="shared" si="3"/>
        <v>-8.4112379553779038E-3</v>
      </c>
      <c r="J30" s="269">
        <v>45991</v>
      </c>
      <c r="K30" s="270">
        <v>2259.8000000000002</v>
      </c>
      <c r="L30" s="129">
        <f t="shared" si="1"/>
        <v>-2.30426700099432E-2</v>
      </c>
      <c r="M30" s="270">
        <v>69208.59</v>
      </c>
      <c r="N30" s="129">
        <f t="shared" si="1"/>
        <v>-2.2406432384748376E-3</v>
      </c>
      <c r="O30" s="270">
        <v>26202.95</v>
      </c>
      <c r="P30" s="129">
        <f t="shared" si="1"/>
        <v>5.1710612375637233E-3</v>
      </c>
      <c r="R30" s="269">
        <v>45382</v>
      </c>
      <c r="S30" s="270">
        <v>1579.28</v>
      </c>
      <c r="T30" s="129">
        <f t="shared" si="2"/>
        <v>0.12222159058609527</v>
      </c>
      <c r="U30" s="270">
        <v>60943.12</v>
      </c>
      <c r="V30" s="129">
        <f t="shared" si="2"/>
        <v>6.145628736090436E-2</v>
      </c>
      <c r="W30" s="270">
        <v>22326.9</v>
      </c>
      <c r="X30" s="129">
        <f t="shared" si="2"/>
        <v>1.5653147005840973E-2</v>
      </c>
    </row>
    <row r="31" spans="2:24" x14ac:dyDescent="0.3">
      <c r="B31" s="269">
        <v>46134</v>
      </c>
      <c r="C31" s="270">
        <v>2052.6</v>
      </c>
      <c r="D31" s="129">
        <f t="shared" si="4"/>
        <v>3.8636474788475983E-3</v>
      </c>
      <c r="E31" s="270">
        <v>77339.97</v>
      </c>
      <c r="F31" s="129">
        <f t="shared" si="4"/>
        <v>1.1112700281187271E-2</v>
      </c>
      <c r="G31" s="270">
        <v>24378.1</v>
      </c>
      <c r="H31" s="129">
        <f t="shared" si="3"/>
        <v>-8.0767884898643727E-3</v>
      </c>
      <c r="J31" s="269">
        <v>45984</v>
      </c>
      <c r="K31" s="270">
        <v>2313.1</v>
      </c>
      <c r="L31" s="129">
        <f t="shared" si="1"/>
        <v>-5.58390138372995E-2</v>
      </c>
      <c r="M31" s="270">
        <v>69364.009999999995</v>
      </c>
      <c r="N31" s="129">
        <f t="shared" si="1"/>
        <v>-1.9941954416089036E-2</v>
      </c>
      <c r="O31" s="270">
        <v>26068.15</v>
      </c>
      <c r="P31" s="129">
        <f t="shared" si="1"/>
        <v>6.1018793865701415E-3</v>
      </c>
      <c r="R31" s="269">
        <v>45351</v>
      </c>
      <c r="S31" s="270">
        <v>1407.28</v>
      </c>
      <c r="T31" s="129">
        <f t="shared" si="2"/>
        <v>-4.3545043667380212E-2</v>
      </c>
      <c r="U31" s="270">
        <v>57414.63</v>
      </c>
      <c r="V31" s="129">
        <f t="shared" si="2"/>
        <v>1.2785362030544034E-2</v>
      </c>
      <c r="W31" s="270">
        <v>21982.799999999999</v>
      </c>
      <c r="X31" s="129">
        <f t="shared" si="2"/>
        <v>1.1833910990209695E-2</v>
      </c>
    </row>
    <row r="32" spans="2:24" x14ac:dyDescent="0.3">
      <c r="B32" s="269">
        <v>46133</v>
      </c>
      <c r="C32" s="270">
        <v>2044.7</v>
      </c>
      <c r="D32" s="129">
        <f t="shared" si="4"/>
        <v>8.0855889168269801E-3</v>
      </c>
      <c r="E32" s="270">
        <v>76489.960000000006</v>
      </c>
      <c r="F32" s="129">
        <f t="shared" si="4"/>
        <v>-5.6367767671761104E-4</v>
      </c>
      <c r="G32" s="270">
        <v>24576.6</v>
      </c>
      <c r="H32" s="129">
        <f t="shared" si="3"/>
        <v>8.690798424779933E-3</v>
      </c>
      <c r="J32" s="269">
        <v>45977</v>
      </c>
      <c r="K32" s="270">
        <v>2449.9</v>
      </c>
      <c r="L32" s="129">
        <f t="shared" si="1"/>
        <v>5.9187202766969316E-2</v>
      </c>
      <c r="M32" s="270">
        <v>70775.41</v>
      </c>
      <c r="N32" s="129">
        <f t="shared" si="1"/>
        <v>2.0317867359878283E-2</v>
      </c>
      <c r="O32" s="270">
        <v>25910.05</v>
      </c>
      <c r="P32" s="129">
        <f t="shared" si="1"/>
        <v>1.6387301263518728E-2</v>
      </c>
      <c r="R32" s="269">
        <v>45322</v>
      </c>
      <c r="S32" s="270">
        <v>1471.35</v>
      </c>
      <c r="T32" s="129">
        <f t="shared" si="2"/>
        <v>8.1835226646079118E-2</v>
      </c>
      <c r="U32" s="270">
        <v>56689.83</v>
      </c>
      <c r="V32" s="129">
        <f t="shared" si="2"/>
        <v>1.8800328015511569E-2</v>
      </c>
      <c r="W32" s="270">
        <v>21725.7</v>
      </c>
      <c r="X32" s="129">
        <f t="shared" si="2"/>
        <v>-2.6229327148741266E-4</v>
      </c>
    </row>
    <row r="33" spans="2:24" x14ac:dyDescent="0.3">
      <c r="B33" s="269">
        <v>46132</v>
      </c>
      <c r="C33" s="270">
        <v>2028.3</v>
      </c>
      <c r="D33" s="129">
        <f t="shared" si="4"/>
        <v>2.966918854769407E-3</v>
      </c>
      <c r="E33" s="270">
        <v>76533.100000000006</v>
      </c>
      <c r="F33" s="129">
        <f t="shared" si="4"/>
        <v>5.5298617659373939E-3</v>
      </c>
      <c r="G33" s="270">
        <v>24364.85</v>
      </c>
      <c r="H33" s="129">
        <f t="shared" si="3"/>
        <v>4.6399806188412995E-4</v>
      </c>
      <c r="J33" s="269">
        <v>45970</v>
      </c>
      <c r="K33" s="270">
        <v>2313</v>
      </c>
      <c r="L33" s="129">
        <f t="shared" si="1"/>
        <v>2.5138696255202486E-3</v>
      </c>
      <c r="M33" s="270">
        <v>69366.039999999994</v>
      </c>
      <c r="N33" s="129">
        <f t="shared" si="1"/>
        <v>-1.4748370094535335E-2</v>
      </c>
      <c r="O33" s="270">
        <v>25492.3</v>
      </c>
      <c r="P33" s="129">
        <f t="shared" si="1"/>
        <v>-8.9339517379996014E-3</v>
      </c>
      <c r="R33" s="269">
        <v>45291</v>
      </c>
      <c r="S33" s="270">
        <v>1360.05</v>
      </c>
      <c r="T33" s="129">
        <f t="shared" si="2"/>
        <v>6.7727551068473391E-2</v>
      </c>
      <c r="U33" s="270">
        <v>55643.71</v>
      </c>
      <c r="V33" s="129">
        <f t="shared" si="2"/>
        <v>0.11310438998784944</v>
      </c>
      <c r="W33" s="270">
        <v>21731.4</v>
      </c>
      <c r="X33" s="129">
        <f t="shared" si="2"/>
        <v>7.9384001013254268E-2</v>
      </c>
    </row>
    <row r="34" spans="2:24" x14ac:dyDescent="0.3">
      <c r="B34" s="269">
        <v>46129</v>
      </c>
      <c r="C34" s="270">
        <v>2022.3</v>
      </c>
      <c r="D34" s="129">
        <f t="shared" si="4"/>
        <v>-1.3512195121951232E-2</v>
      </c>
      <c r="E34" s="270">
        <v>76112.210000000006</v>
      </c>
      <c r="F34" s="129">
        <f t="shared" si="4"/>
        <v>2.191680031579013E-2</v>
      </c>
      <c r="G34" s="270">
        <v>24353.55</v>
      </c>
      <c r="H34" s="129">
        <f t="shared" si="3"/>
        <v>6.4802091189932742E-3</v>
      </c>
      <c r="J34" s="269">
        <v>45963</v>
      </c>
      <c r="K34" s="270">
        <v>2307.1999999999998</v>
      </c>
      <c r="L34" s="129">
        <f t="shared" si="1"/>
        <v>-3.9286793593231728E-3</v>
      </c>
      <c r="M34" s="270">
        <v>70404.39</v>
      </c>
      <c r="N34" s="129">
        <f t="shared" si="1"/>
        <v>1.5610430361165495E-2</v>
      </c>
      <c r="O34" s="270">
        <v>25722.1</v>
      </c>
      <c r="P34" s="129">
        <f t="shared" si="1"/>
        <v>-2.8319277073404203E-3</v>
      </c>
      <c r="R34" s="269">
        <v>45260</v>
      </c>
      <c r="S34" s="270">
        <v>1273.78</v>
      </c>
      <c r="T34" s="129">
        <f t="shared" si="2"/>
        <v>3.4668182925838842E-2</v>
      </c>
      <c r="U34" s="270">
        <v>49989.66</v>
      </c>
      <c r="V34" s="129">
        <f t="shared" si="2"/>
        <v>9.1848473378395301E-2</v>
      </c>
      <c r="W34" s="270">
        <v>20133.150000000001</v>
      </c>
      <c r="X34" s="129">
        <f t="shared" si="2"/>
        <v>5.5218662865049728E-2</v>
      </c>
    </row>
    <row r="35" spans="2:24" x14ac:dyDescent="0.3">
      <c r="B35" s="269">
        <v>46128</v>
      </c>
      <c r="C35" s="270">
        <v>2050</v>
      </c>
      <c r="D35" s="129">
        <f t="shared" si="4"/>
        <v>1.6159413105977904E-2</v>
      </c>
      <c r="E35" s="270">
        <v>74479.850000000006</v>
      </c>
      <c r="F35" s="129">
        <f t="shared" si="4"/>
        <v>1.0221048692400148E-2</v>
      </c>
      <c r="G35" s="270">
        <v>24196.75</v>
      </c>
      <c r="H35" s="129">
        <f t="shared" si="3"/>
        <v>-1.4258417831481962E-3</v>
      </c>
      <c r="J35" s="269">
        <v>45956</v>
      </c>
      <c r="K35" s="270">
        <v>2316.3000000000002</v>
      </c>
      <c r="L35" s="129">
        <f t="shared" si="1"/>
        <v>-2.8601383937932434E-2</v>
      </c>
      <c r="M35" s="270">
        <v>69322.240000000005</v>
      </c>
      <c r="N35" s="129">
        <f t="shared" si="1"/>
        <v>3.7702430835195866E-3</v>
      </c>
      <c r="O35" s="270">
        <v>25795.15</v>
      </c>
      <c r="P35" s="129">
        <f t="shared" si="1"/>
        <v>3.3177945417808274E-3</v>
      </c>
      <c r="R35" s="269">
        <v>45230</v>
      </c>
      <c r="S35" s="270">
        <v>1231.0999999999999</v>
      </c>
      <c r="T35" s="129">
        <f t="shared" si="2"/>
        <v>0.24184193271801058</v>
      </c>
      <c r="U35" s="270">
        <v>45784.43</v>
      </c>
      <c r="V35" s="129">
        <f t="shared" si="2"/>
        <v>-4.0742298920028008E-2</v>
      </c>
      <c r="W35" s="270">
        <v>19079.599999999999</v>
      </c>
      <c r="X35" s="129">
        <f t="shared" si="2"/>
        <v>-2.844950937708457E-2</v>
      </c>
    </row>
    <row r="36" spans="2:24" x14ac:dyDescent="0.3">
      <c r="B36" s="269">
        <v>46127</v>
      </c>
      <c r="C36" s="270">
        <v>2017.4</v>
      </c>
      <c r="D36" s="129">
        <f t="shared" si="4"/>
        <v>4.4473207351799271E-2</v>
      </c>
      <c r="E36" s="270">
        <v>73726.289999999994</v>
      </c>
      <c r="F36" s="129">
        <f t="shared" si="4"/>
        <v>2.5360486656986758E-2</v>
      </c>
      <c r="G36" s="270">
        <v>24231.3</v>
      </c>
      <c r="H36" s="129">
        <f t="shared" si="3"/>
        <v>1.6300620946077649E-2</v>
      </c>
      <c r="J36" s="269">
        <v>45949</v>
      </c>
      <c r="K36" s="270">
        <v>2384.5</v>
      </c>
      <c r="L36" s="129">
        <f t="shared" si="1"/>
        <v>-5.7540758036943584E-3</v>
      </c>
      <c r="M36" s="270">
        <v>69061.86</v>
      </c>
      <c r="N36" s="129">
        <f t="shared" si="1"/>
        <v>-7.0555244599804778E-3</v>
      </c>
      <c r="O36" s="270">
        <v>25709.85</v>
      </c>
      <c r="P36" s="129">
        <f t="shared" si="1"/>
        <v>1.6788377459675319E-2</v>
      </c>
      <c r="R36" s="269">
        <v>45199</v>
      </c>
      <c r="S36" s="270">
        <v>991.35</v>
      </c>
      <c r="T36" s="129">
        <f t="shared" si="2"/>
        <v>-0.10895494216094259</v>
      </c>
      <c r="U36" s="270">
        <v>47729.02</v>
      </c>
      <c r="V36" s="129">
        <f t="shared" si="2"/>
        <v>5.558465064804885E-2</v>
      </c>
      <c r="W36" s="270">
        <v>19638.3</v>
      </c>
      <c r="X36" s="129">
        <f t="shared" si="2"/>
        <v>1.9970083827608009E-2</v>
      </c>
    </row>
    <row r="37" spans="2:24" x14ac:dyDescent="0.3">
      <c r="B37" s="269">
        <v>46125</v>
      </c>
      <c r="C37" s="270">
        <v>1931.5</v>
      </c>
      <c r="D37" s="129">
        <f t="shared" si="4"/>
        <v>1.0304425149074259E-2</v>
      </c>
      <c r="E37" s="270">
        <v>71902.8</v>
      </c>
      <c r="F37" s="129">
        <f t="shared" si="4"/>
        <v>-3.85102569562501E-3</v>
      </c>
      <c r="G37" s="270">
        <v>23842.65</v>
      </c>
      <c r="H37" s="129">
        <f t="shared" si="3"/>
        <v>-8.6463539371157694E-3</v>
      </c>
      <c r="J37" s="269">
        <v>45942</v>
      </c>
      <c r="K37" s="270">
        <v>2398.3000000000002</v>
      </c>
      <c r="L37" s="129">
        <f t="shared" si="1"/>
        <v>3.1393798649636651E-2</v>
      </c>
      <c r="M37" s="270">
        <v>69552.59</v>
      </c>
      <c r="N37" s="129">
        <f t="shared" si="1"/>
        <v>1.3588026527027175E-3</v>
      </c>
      <c r="O37" s="270">
        <v>25285.35</v>
      </c>
      <c r="P37" s="129">
        <f t="shared" si="1"/>
        <v>1.5710455225604214E-2</v>
      </c>
      <c r="R37" s="269">
        <v>45169</v>
      </c>
      <c r="S37" s="270">
        <v>1112.57</v>
      </c>
      <c r="T37" s="129">
        <f t="shared" si="2"/>
        <v>6.1967260058225504E-2</v>
      </c>
      <c r="U37" s="270">
        <v>45215.72</v>
      </c>
      <c r="V37" s="129">
        <f t="shared" si="2"/>
        <v>2.6558413002063963E-2</v>
      </c>
      <c r="W37" s="270">
        <v>19253.8</v>
      </c>
      <c r="X37" s="129">
        <f t="shared" si="2"/>
        <v>-2.5311585618969512E-2</v>
      </c>
    </row>
    <row r="38" spans="2:24" x14ac:dyDescent="0.3">
      <c r="B38" s="269">
        <v>46122</v>
      </c>
      <c r="C38" s="270">
        <v>1911.8</v>
      </c>
      <c r="D38" s="129">
        <f t="shared" si="4"/>
        <v>2.6029088176890536E-2</v>
      </c>
      <c r="E38" s="270">
        <v>72180.77</v>
      </c>
      <c r="F38" s="129">
        <f t="shared" si="4"/>
        <v>2.2701811075354295E-2</v>
      </c>
      <c r="G38" s="270">
        <v>24050.6</v>
      </c>
      <c r="H38" s="129">
        <f t="shared" si="3"/>
        <v>1.1587753574117565E-2</v>
      </c>
      <c r="J38" s="269">
        <v>45935</v>
      </c>
      <c r="K38" s="270">
        <v>2325.3000000000002</v>
      </c>
      <c r="L38" s="129">
        <f t="shared" si="1"/>
        <v>1.4219043049679581E-2</v>
      </c>
      <c r="M38" s="270">
        <v>69458.210000000006</v>
      </c>
      <c r="N38" s="129">
        <f t="shared" si="1"/>
        <v>1.6274119574622992E-2</v>
      </c>
      <c r="O38" s="270">
        <v>24894.25</v>
      </c>
      <c r="P38" s="129">
        <f t="shared" si="1"/>
        <v>9.7162001565624934E-3</v>
      </c>
      <c r="R38" s="269">
        <v>45138</v>
      </c>
      <c r="S38" s="270">
        <v>1047.6500000000001</v>
      </c>
      <c r="T38" s="129">
        <f t="shared" si="2"/>
        <v>0.19227267554341654</v>
      </c>
      <c r="U38" s="270">
        <v>44045.93</v>
      </c>
      <c r="V38" s="129">
        <f t="shared" si="2"/>
        <v>8.1525059323632076E-2</v>
      </c>
      <c r="W38" s="270">
        <v>19753.8</v>
      </c>
      <c r="X38" s="129">
        <f t="shared" si="2"/>
        <v>2.9430847280089489E-2</v>
      </c>
    </row>
    <row r="39" spans="2:24" x14ac:dyDescent="0.3">
      <c r="B39" s="269">
        <v>46121</v>
      </c>
      <c r="C39" s="270">
        <v>1863.3</v>
      </c>
      <c r="D39" s="129">
        <f t="shared" si="4"/>
        <v>1.791860147500679E-2</v>
      </c>
      <c r="E39" s="270">
        <v>70578.509999999995</v>
      </c>
      <c r="F39" s="129">
        <f t="shared" si="4"/>
        <v>1.6360172931761285E-2</v>
      </c>
      <c r="G39" s="270">
        <v>23775.1</v>
      </c>
      <c r="H39" s="129">
        <f t="shared" si="3"/>
        <v>-9.2614392839209803E-3</v>
      </c>
      <c r="J39" s="269">
        <v>45928</v>
      </c>
      <c r="K39" s="270">
        <v>2292.6999999999998</v>
      </c>
      <c r="L39" s="129">
        <f t="shared" si="1"/>
        <v>-9.6187960736389799E-2</v>
      </c>
      <c r="M39" s="270">
        <v>68345.94</v>
      </c>
      <c r="N39" s="129">
        <f t="shared" si="1"/>
        <v>-4.050502617113072E-2</v>
      </c>
      <c r="O39" s="270">
        <v>24654.7</v>
      </c>
      <c r="P39" s="129">
        <f t="shared" si="1"/>
        <v>-2.6546715863079107E-2</v>
      </c>
      <c r="R39" s="269">
        <v>45107</v>
      </c>
      <c r="S39" s="270">
        <v>878.7</v>
      </c>
      <c r="T39" s="129">
        <f t="shared" si="2"/>
        <v>0.13468491735537191</v>
      </c>
      <c r="U39" s="270">
        <v>40725.760000000002</v>
      </c>
      <c r="V39" s="129">
        <f t="shared" si="2"/>
        <v>9.4161411118138139E-2</v>
      </c>
      <c r="W39" s="270">
        <v>19189.05</v>
      </c>
      <c r="X39" s="129">
        <f t="shared" si="2"/>
        <v>3.5320808874309328E-2</v>
      </c>
    </row>
    <row r="40" spans="2:24" x14ac:dyDescent="0.3">
      <c r="B40" s="269">
        <v>46120</v>
      </c>
      <c r="C40" s="270">
        <v>1830.5</v>
      </c>
      <c r="D40" s="129">
        <f t="shared" si="4"/>
        <v>5.3403924728088858E-2</v>
      </c>
      <c r="E40" s="270">
        <v>69442.42</v>
      </c>
      <c r="F40" s="129">
        <f t="shared" si="4"/>
        <v>3.0574219386527046E-2</v>
      </c>
      <c r="G40" s="270">
        <v>23997.35</v>
      </c>
      <c r="H40" s="129">
        <f t="shared" si="3"/>
        <v>3.7783827380192925E-2</v>
      </c>
      <c r="J40" s="269">
        <v>45921</v>
      </c>
      <c r="K40" s="270">
        <v>2536.6999999999998</v>
      </c>
      <c r="L40" s="129">
        <f t="shared" si="1"/>
        <v>0.11493495077355842</v>
      </c>
      <c r="M40" s="270">
        <v>71231.16</v>
      </c>
      <c r="N40" s="129">
        <f t="shared" si="1"/>
        <v>2.2088254584937683E-2</v>
      </c>
      <c r="O40" s="270">
        <v>25327.05</v>
      </c>
      <c r="P40" s="129">
        <f t="shared" si="1"/>
        <v>8.4833160786812467E-3</v>
      </c>
      <c r="R40" s="269">
        <v>45077</v>
      </c>
      <c r="S40" s="270">
        <v>774.4</v>
      </c>
      <c r="T40" s="129">
        <f t="shared" si="2"/>
        <v>0.36254068795636485</v>
      </c>
      <c r="U40" s="270">
        <v>37220.980000000003</v>
      </c>
      <c r="V40" s="129">
        <f t="shared" si="2"/>
        <v>1.3122337970019826E-2</v>
      </c>
      <c r="W40" s="270">
        <v>18534.400000000001</v>
      </c>
      <c r="X40" s="129">
        <f t="shared" si="2"/>
        <v>2.5983946858566309E-2</v>
      </c>
    </row>
    <row r="41" spans="2:24" x14ac:dyDescent="0.3">
      <c r="B41" s="269">
        <v>46119</v>
      </c>
      <c r="C41" s="270">
        <v>1737.7</v>
      </c>
      <c r="D41" s="129">
        <f t="shared" si="4"/>
        <v>1.1702375407545595E-2</v>
      </c>
      <c r="E41" s="270">
        <v>67382.259999999995</v>
      </c>
      <c r="F41" s="129">
        <f t="shared" si="4"/>
        <v>6.4729965690251134E-3</v>
      </c>
      <c r="G41" s="270">
        <v>23123.65</v>
      </c>
      <c r="H41" s="129">
        <f t="shared" si="3"/>
        <v>6.7658615697756552E-3</v>
      </c>
      <c r="J41" s="269">
        <v>45914</v>
      </c>
      <c r="K41" s="270">
        <v>2275.1999999999998</v>
      </c>
      <c r="L41" s="129">
        <f t="shared" si="1"/>
        <v>6.1469066466190991E-3</v>
      </c>
      <c r="M41" s="270">
        <v>69691.789999999994</v>
      </c>
      <c r="N41" s="129">
        <f t="shared" si="1"/>
        <v>4.246971470659755E-2</v>
      </c>
      <c r="O41" s="270">
        <v>25114</v>
      </c>
      <c r="P41" s="129">
        <f t="shared" si="1"/>
        <v>1.5076189321369338E-2</v>
      </c>
      <c r="R41" s="269">
        <v>45046</v>
      </c>
      <c r="S41" s="270">
        <v>568.35</v>
      </c>
      <c r="T41" s="129">
        <f t="shared" si="2"/>
        <v>0.13477088948787053</v>
      </c>
      <c r="U41" s="270">
        <v>36738.879999999997</v>
      </c>
      <c r="V41" s="129">
        <f t="shared" si="2"/>
        <v>6.8932228096259207E-2</v>
      </c>
      <c r="W41" s="270">
        <v>18065</v>
      </c>
      <c r="X41" s="129">
        <f t="shared" si="2"/>
        <v>4.0625585045867663E-2</v>
      </c>
    </row>
    <row r="42" spans="2:24" x14ac:dyDescent="0.3">
      <c r="B42" s="269">
        <v>46118</v>
      </c>
      <c r="C42" s="270">
        <v>1717.6</v>
      </c>
      <c r="D42" s="129">
        <f t="shared" si="4"/>
        <v>-1.784080512351327E-2</v>
      </c>
      <c r="E42" s="270">
        <v>66948.899999999994</v>
      </c>
      <c r="F42" s="129">
        <f t="shared" si="4"/>
        <v>8.8700650449333729E-3</v>
      </c>
      <c r="G42" s="270">
        <v>22968.25</v>
      </c>
      <c r="H42" s="129">
        <f t="shared" si="3"/>
        <v>1.123360527625028E-2</v>
      </c>
      <c r="J42" s="269">
        <v>45907</v>
      </c>
      <c r="K42" s="270">
        <v>2261.3000000000002</v>
      </c>
      <c r="L42" s="129">
        <f t="shared" si="1"/>
        <v>2.104122454508528E-2</v>
      </c>
      <c r="M42" s="270">
        <v>66852.58</v>
      </c>
      <c r="N42" s="129">
        <f t="shared" si="1"/>
        <v>2.1943810393248997E-2</v>
      </c>
      <c r="O42" s="270">
        <v>24741</v>
      </c>
      <c r="P42" s="129">
        <f t="shared" si="1"/>
        <v>1.2860847796584585E-2</v>
      </c>
      <c r="R42" s="269">
        <v>45016</v>
      </c>
      <c r="S42" s="270">
        <v>500.85</v>
      </c>
      <c r="T42" s="129">
        <f t="shared" si="2"/>
        <v>-0.14252696456086289</v>
      </c>
      <c r="U42" s="270">
        <v>34369.699999999997</v>
      </c>
      <c r="V42" s="129">
        <f t="shared" si="2"/>
        <v>1.4972226077660578E-2</v>
      </c>
      <c r="W42" s="270">
        <v>17359.75</v>
      </c>
      <c r="X42" s="129">
        <f t="shared" si="2"/>
        <v>3.2246972512055549E-3</v>
      </c>
    </row>
    <row r="43" spans="2:24" x14ac:dyDescent="0.3">
      <c r="B43" s="269">
        <v>46114</v>
      </c>
      <c r="C43" s="270">
        <v>1748.8</v>
      </c>
      <c r="D43" s="129">
        <f t="shared" si="4"/>
        <v>1.1568718186024896E-2</v>
      </c>
      <c r="E43" s="270">
        <v>66360.28</v>
      </c>
      <c r="F43" s="129">
        <f t="shared" si="4"/>
        <v>1.9590070245989466E-6</v>
      </c>
      <c r="G43" s="270">
        <v>22713.1</v>
      </c>
      <c r="H43" s="129">
        <f t="shared" si="3"/>
        <v>1.4859299628737777E-3</v>
      </c>
      <c r="J43" s="269">
        <v>45900</v>
      </c>
      <c r="K43" s="270">
        <v>2214.6999999999998</v>
      </c>
      <c r="L43" s="129">
        <f t="shared" si="1"/>
        <v>-3.1613467424573716E-2</v>
      </c>
      <c r="M43" s="270">
        <v>65417.08</v>
      </c>
      <c r="N43" s="129">
        <f t="shared" si="1"/>
        <v>-2.5821499062858688E-2</v>
      </c>
      <c r="O43" s="270">
        <v>24426.85</v>
      </c>
      <c r="P43" s="129">
        <f t="shared" si="1"/>
        <v>-1.7822606262138052E-2</v>
      </c>
      <c r="R43" s="269">
        <v>44985</v>
      </c>
      <c r="S43" s="270">
        <v>584.1</v>
      </c>
      <c r="T43" s="129">
        <f t="shared" si="2"/>
        <v>0.11210540344998288</v>
      </c>
      <c r="U43" s="270">
        <v>33862.699999999997</v>
      </c>
      <c r="V43" s="129">
        <f t="shared" si="2"/>
        <v>1.6721799600487586E-3</v>
      </c>
      <c r="W43" s="270">
        <v>17303.95</v>
      </c>
      <c r="X43" s="129">
        <f t="shared" si="2"/>
        <v>-2.0280656658447582E-2</v>
      </c>
    </row>
    <row r="44" spans="2:24" x14ac:dyDescent="0.3">
      <c r="B44" s="269">
        <v>46113</v>
      </c>
      <c r="C44" s="270">
        <v>1728.8</v>
      </c>
      <c r="D44" s="129">
        <f t="shared" si="4"/>
        <v>7.8007108561451544E-2</v>
      </c>
      <c r="E44" s="270">
        <v>66360.149999999994</v>
      </c>
      <c r="F44" s="129">
        <f t="shared" si="4"/>
        <v>3.2949231500584153E-2</v>
      </c>
      <c r="G44" s="270">
        <v>22679.4</v>
      </c>
      <c r="H44" s="129">
        <f t="shared" si="3"/>
        <v>1.5583438566323604E-2</v>
      </c>
      <c r="J44" s="269">
        <v>45893</v>
      </c>
      <c r="K44" s="270">
        <v>2287</v>
      </c>
      <c r="L44" s="129">
        <f t="shared" si="1"/>
        <v>3.0272997567348359E-2</v>
      </c>
      <c r="M44" s="270">
        <v>67151.02</v>
      </c>
      <c r="N44" s="129">
        <f t="shared" si="1"/>
        <v>5.8372123259395892E-3</v>
      </c>
      <c r="O44" s="270">
        <v>24870.1</v>
      </c>
      <c r="P44" s="129">
        <f t="shared" si="1"/>
        <v>9.6949815884666002E-3</v>
      </c>
      <c r="R44" s="269">
        <v>44957</v>
      </c>
      <c r="S44" s="270">
        <v>525.22</v>
      </c>
      <c r="T44" s="129">
        <f t="shared" si="2"/>
        <v>0.21466234967622588</v>
      </c>
      <c r="U44" s="270">
        <v>33806.17</v>
      </c>
      <c r="V44" s="129">
        <f t="shared" si="2"/>
        <v>1.391479031690146E-2</v>
      </c>
      <c r="W44" s="270">
        <v>17662.150000000001</v>
      </c>
      <c r="X44" s="129">
        <f t="shared" si="2"/>
        <v>-2.4476258333195111E-2</v>
      </c>
    </row>
    <row r="45" spans="2:24" x14ac:dyDescent="0.3">
      <c r="B45" s="269">
        <v>46111</v>
      </c>
      <c r="C45" s="270">
        <v>1603.7</v>
      </c>
      <c r="D45" s="129">
        <f t="shared" si="4"/>
        <v>-4.1307986609277814E-2</v>
      </c>
      <c r="E45" s="270">
        <v>64243.38</v>
      </c>
      <c r="F45" s="129">
        <f t="shared" si="4"/>
        <v>-2.2209322341782856E-2</v>
      </c>
      <c r="G45" s="270">
        <v>22331.4</v>
      </c>
      <c r="H45" s="129">
        <f t="shared" si="3"/>
        <v>-2.1393889463443561E-2</v>
      </c>
      <c r="J45" s="269">
        <v>45886</v>
      </c>
      <c r="K45" s="270">
        <v>2219.8000000000002</v>
      </c>
      <c r="L45" s="129">
        <f t="shared" si="1"/>
        <v>-3.9130811185178582E-2</v>
      </c>
      <c r="M45" s="270">
        <v>66761.320000000007</v>
      </c>
      <c r="N45" s="129">
        <f t="shared" si="1"/>
        <v>1.5070876564737823E-4</v>
      </c>
      <c r="O45" s="270">
        <v>24631.3</v>
      </c>
      <c r="P45" s="129">
        <f t="shared" si="1"/>
        <v>1.100015186776826E-2</v>
      </c>
      <c r="R45" s="269">
        <v>44926</v>
      </c>
      <c r="S45" s="270">
        <v>432.4</v>
      </c>
      <c r="T45" s="129">
        <f t="shared" si="2"/>
        <v>-3.4605938825630678E-2</v>
      </c>
      <c r="U45" s="270">
        <v>33342.22</v>
      </c>
      <c r="V45" s="129">
        <f t="shared" si="2"/>
        <v>-1.4891753148428499E-2</v>
      </c>
      <c r="W45" s="270">
        <v>18105.3</v>
      </c>
      <c r="X45" s="129">
        <f t="shared" si="2"/>
        <v>-3.4813829574562805E-2</v>
      </c>
    </row>
    <row r="46" spans="2:24" x14ac:dyDescent="0.3">
      <c r="B46" s="269">
        <v>46108</v>
      </c>
      <c r="C46" s="270">
        <v>1672.8</v>
      </c>
      <c r="D46" s="129">
        <f t="shared" si="4"/>
        <v>-2.4492652204338716E-2</v>
      </c>
      <c r="E46" s="270">
        <v>65702.59</v>
      </c>
      <c r="F46" s="129">
        <f t="shared" si="4"/>
        <v>-2.2761908076606607E-2</v>
      </c>
      <c r="G46" s="270">
        <v>22819.599999999999</v>
      </c>
      <c r="H46" s="129">
        <f t="shared" si="3"/>
        <v>-2.0889067189554966E-2</v>
      </c>
      <c r="J46" s="269">
        <v>45879</v>
      </c>
      <c r="K46" s="270">
        <v>2310.1999999999998</v>
      </c>
      <c r="L46" s="129">
        <f t="shared" si="1"/>
        <v>-0.114831985899843</v>
      </c>
      <c r="M46" s="270">
        <v>66751.259999999995</v>
      </c>
      <c r="N46" s="129">
        <f t="shared" si="1"/>
        <v>-1.6196852419933294E-2</v>
      </c>
      <c r="O46" s="270">
        <v>24363.3</v>
      </c>
      <c r="P46" s="129">
        <f t="shared" si="1"/>
        <v>-8.2249998473459263E-3</v>
      </c>
      <c r="R46" s="269">
        <v>44895</v>
      </c>
      <c r="S46" s="270">
        <v>447.9</v>
      </c>
      <c r="T46" s="129">
        <f t="shared" si="2"/>
        <v>6.0695763374144507E-2</v>
      </c>
      <c r="U46" s="270">
        <v>33846.25</v>
      </c>
      <c r="V46" s="129">
        <f t="shared" si="2"/>
        <v>1.7437840736652443E-2</v>
      </c>
      <c r="W46" s="270">
        <v>18758.349999999999</v>
      </c>
      <c r="X46" s="129">
        <f t="shared" si="2"/>
        <v>4.1424701035964295E-2</v>
      </c>
    </row>
    <row r="47" spans="2:24" x14ac:dyDescent="0.3">
      <c r="B47" s="269">
        <v>46106</v>
      </c>
      <c r="C47" s="270">
        <v>1714.8</v>
      </c>
      <c r="D47" s="129">
        <f t="shared" si="4"/>
        <v>3.9209744863947682E-2</v>
      </c>
      <c r="E47" s="270">
        <v>67232.94</v>
      </c>
      <c r="F47" s="129">
        <f t="shared" si="4"/>
        <v>2.0432342056183828E-2</v>
      </c>
      <c r="G47" s="270">
        <v>23306.45</v>
      </c>
      <c r="H47" s="129">
        <f t="shared" si="3"/>
        <v>1.7198111066496713E-2</v>
      </c>
      <c r="J47" s="269">
        <v>45872</v>
      </c>
      <c r="K47" s="270">
        <v>2609.9</v>
      </c>
      <c r="L47" s="129">
        <f t="shared" si="1"/>
        <v>-1.5132075471698037E-2</v>
      </c>
      <c r="M47" s="270">
        <v>67850.22</v>
      </c>
      <c r="N47" s="129">
        <f t="shared" si="1"/>
        <v>-1.859939762303664E-2</v>
      </c>
      <c r="O47" s="270">
        <v>24565.35</v>
      </c>
      <c r="P47" s="129">
        <f t="shared" si="1"/>
        <v>-1.0937311269477057E-2</v>
      </c>
      <c r="R47" s="269">
        <v>44865</v>
      </c>
      <c r="S47" s="270">
        <v>422.27</v>
      </c>
      <c r="T47" s="129">
        <f t="shared" si="2"/>
        <v>2.2148528272656787E-2</v>
      </c>
      <c r="U47" s="270">
        <v>33266.160000000003</v>
      </c>
      <c r="V47" s="129">
        <f t="shared" si="2"/>
        <v>6.5614447133079956E-2</v>
      </c>
      <c r="W47" s="270">
        <v>18012.2</v>
      </c>
      <c r="X47" s="129">
        <f t="shared" si="2"/>
        <v>5.3693179325332796E-2</v>
      </c>
    </row>
    <row r="48" spans="2:24" x14ac:dyDescent="0.3">
      <c r="B48" s="269">
        <v>46105</v>
      </c>
      <c r="C48" s="270">
        <v>1650.1</v>
      </c>
      <c r="D48" s="129">
        <f t="shared" si="4"/>
        <v>9.4448497711746349E-2</v>
      </c>
      <c r="E48" s="270">
        <v>65886.720000000001</v>
      </c>
      <c r="F48" s="129">
        <f t="shared" si="4"/>
        <v>1.9007469175384095E-2</v>
      </c>
      <c r="G48" s="270">
        <v>22912.400000000001</v>
      </c>
      <c r="H48" s="129">
        <f t="shared" si="3"/>
        <v>1.7756683464629885E-2</v>
      </c>
      <c r="J48" s="269">
        <v>45865</v>
      </c>
      <c r="K48" s="270">
        <v>2650</v>
      </c>
      <c r="L48" s="129">
        <f t="shared" si="1"/>
        <v>-5.8514228869861684E-2</v>
      </c>
      <c r="M48" s="270">
        <v>69136.11</v>
      </c>
      <c r="N48" s="129">
        <f t="shared" si="1"/>
        <v>-1.5163685899595492E-2</v>
      </c>
      <c r="O48" s="270">
        <v>24837</v>
      </c>
      <c r="P48" s="129">
        <f t="shared" si="1"/>
        <v>-5.2626519921180615E-3</v>
      </c>
      <c r="R48" s="269">
        <v>44834</v>
      </c>
      <c r="S48" s="270">
        <v>413.12</v>
      </c>
      <c r="T48" s="129">
        <f t="shared" si="2"/>
        <v>-0.12344578824527908</v>
      </c>
      <c r="U48" s="270">
        <v>31217.82</v>
      </c>
      <c r="V48" s="129">
        <f t="shared" si="2"/>
        <v>-3.1248002313747358E-2</v>
      </c>
      <c r="W48" s="270">
        <v>17094.349999999999</v>
      </c>
      <c r="X48" s="129">
        <f t="shared" si="2"/>
        <v>-3.7442354146841383E-2</v>
      </c>
    </row>
    <row r="49" spans="2:24" x14ac:dyDescent="0.3">
      <c r="B49" s="269">
        <v>46104</v>
      </c>
      <c r="C49" s="270">
        <v>1507.7</v>
      </c>
      <c r="D49" s="129">
        <f t="shared" si="4"/>
        <v>-5.0686311547664009E-2</v>
      </c>
      <c r="E49" s="270">
        <v>64657.74</v>
      </c>
      <c r="F49" s="129">
        <f t="shared" si="4"/>
        <v>-3.9894191631997922E-2</v>
      </c>
      <c r="G49" s="270">
        <v>22512.65</v>
      </c>
      <c r="H49" s="129">
        <f t="shared" si="3"/>
        <v>-2.6037768500291936E-2</v>
      </c>
      <c r="J49" s="269">
        <v>45858</v>
      </c>
      <c r="K49" s="270">
        <v>2814.7</v>
      </c>
      <c r="L49" s="129">
        <f t="shared" si="1"/>
        <v>-1.2178002386467379E-2</v>
      </c>
      <c r="M49" s="270">
        <v>70200.61</v>
      </c>
      <c r="N49" s="129">
        <f t="shared" si="1"/>
        <v>-1.0799802274407799E-2</v>
      </c>
      <c r="O49" s="270">
        <v>24968.400000000001</v>
      </c>
      <c r="P49" s="129">
        <f t="shared" si="1"/>
        <v>-7.214754759968578E-3</v>
      </c>
      <c r="R49" s="269">
        <v>44804</v>
      </c>
      <c r="S49" s="270">
        <v>471.3</v>
      </c>
      <c r="T49" s="129">
        <f t="shared" si="2"/>
        <v>8.5369504640397942E-2</v>
      </c>
      <c r="U49" s="270">
        <v>32224.78</v>
      </c>
      <c r="V49" s="129">
        <f t="shared" si="2"/>
        <v>8.4379246269676189E-2</v>
      </c>
      <c r="W49" s="270">
        <v>17759.3</v>
      </c>
      <c r="X49" s="129">
        <f t="shared" si="2"/>
        <v>3.5029796162195925E-2</v>
      </c>
    </row>
    <row r="50" spans="2:24" x14ac:dyDescent="0.3">
      <c r="B50" s="269">
        <v>46101</v>
      </c>
      <c r="C50" s="270">
        <v>1588.2</v>
      </c>
      <c r="D50" s="129">
        <f t="shared" si="4"/>
        <v>-2.7195883866225623E-2</v>
      </c>
      <c r="E50" s="270">
        <v>67344.39</v>
      </c>
      <c r="F50" s="129">
        <f t="shared" si="4"/>
        <v>1.8436351075252766E-3</v>
      </c>
      <c r="G50" s="270">
        <v>23114.5</v>
      </c>
      <c r="H50" s="129">
        <f t="shared" si="3"/>
        <v>4.8843260303927938E-3</v>
      </c>
      <c r="J50" s="269">
        <v>45851</v>
      </c>
      <c r="K50" s="270">
        <v>2849.4</v>
      </c>
      <c r="L50" s="129">
        <f t="shared" si="1"/>
        <v>3.2241704100854918E-2</v>
      </c>
      <c r="M50" s="270">
        <v>70967.039999999994</v>
      </c>
      <c r="N50" s="129">
        <f t="shared" si="1"/>
        <v>-1.8740664200764479E-2</v>
      </c>
      <c r="O50" s="270">
        <v>25149.85</v>
      </c>
      <c r="P50" s="129">
        <f t="shared" si="1"/>
        <v>-1.2220651192019205E-2</v>
      </c>
      <c r="R50" s="269">
        <v>44773</v>
      </c>
      <c r="S50" s="270">
        <v>434.23</v>
      </c>
      <c r="T50" s="129">
        <f t="shared" si="2"/>
        <v>0.16197484613326196</v>
      </c>
      <c r="U50" s="270">
        <v>29717.26</v>
      </c>
      <c r="V50" s="129">
        <f t="shared" si="2"/>
        <v>0.14185164550152729</v>
      </c>
      <c r="W50" s="270">
        <v>17158.25</v>
      </c>
      <c r="X50" s="129">
        <f t="shared" si="2"/>
        <v>8.7324345305048956E-2</v>
      </c>
    </row>
    <row r="51" spans="2:24" x14ac:dyDescent="0.3">
      <c r="B51" s="269">
        <v>46100</v>
      </c>
      <c r="C51" s="270">
        <v>1632.6</v>
      </c>
      <c r="D51" s="129">
        <f t="shared" si="4"/>
        <v>-1.5438427210228034E-2</v>
      </c>
      <c r="E51" s="270">
        <v>67220.460000000006</v>
      </c>
      <c r="F51" s="129">
        <f t="shared" si="4"/>
        <v>-2.8794415880619595E-2</v>
      </c>
      <c r="G51" s="270">
        <v>23002.15</v>
      </c>
      <c r="H51" s="129">
        <f t="shared" si="3"/>
        <v>-3.2620763905828021E-2</v>
      </c>
      <c r="J51" s="269">
        <v>45844</v>
      </c>
      <c r="K51" s="270">
        <v>2760.4</v>
      </c>
      <c r="L51" s="129">
        <f t="shared" si="1"/>
        <v>1.8823355724514546E-2</v>
      </c>
      <c r="M51" s="270">
        <v>72322.41</v>
      </c>
      <c r="N51" s="129">
        <f t="shared" si="1"/>
        <v>1.0812623220130435E-2</v>
      </c>
      <c r="O51" s="270">
        <v>25461</v>
      </c>
      <c r="P51" s="129">
        <f t="shared" si="1"/>
        <v>-6.8960675252947023E-3</v>
      </c>
      <c r="R51" s="269">
        <v>44742</v>
      </c>
      <c r="S51" s="270">
        <v>373.7</v>
      </c>
      <c r="T51" s="129">
        <f t="shared" si="2"/>
        <v>-2.720291552778864E-2</v>
      </c>
      <c r="U51" s="270">
        <v>26025.5</v>
      </c>
      <c r="V51" s="129">
        <f t="shared" si="2"/>
        <v>-4.1227352769980019E-2</v>
      </c>
      <c r="W51" s="270">
        <v>15780.25</v>
      </c>
      <c r="X51" s="129">
        <f t="shared" si="2"/>
        <v>-4.8496944445281853E-2</v>
      </c>
    </row>
    <row r="52" spans="2:24" x14ac:dyDescent="0.3">
      <c r="B52" s="269">
        <v>46099</v>
      </c>
      <c r="C52" s="270">
        <v>1658.2</v>
      </c>
      <c r="D52" s="129">
        <f t="shared" si="4"/>
        <v>7.3407560849301001E-2</v>
      </c>
      <c r="E52" s="270">
        <v>69213.42</v>
      </c>
      <c r="F52" s="129">
        <f t="shared" si="4"/>
        <v>1.8689174743585113E-2</v>
      </c>
      <c r="G52" s="270">
        <v>23777.8</v>
      </c>
      <c r="H52" s="129">
        <f t="shared" si="3"/>
        <v>8.3392879482127036E-3</v>
      </c>
      <c r="J52" s="269">
        <v>45837</v>
      </c>
      <c r="K52" s="270">
        <v>2709.4</v>
      </c>
      <c r="L52" s="129">
        <f t="shared" si="1"/>
        <v>4.6261970960766119E-2</v>
      </c>
      <c r="M52" s="270">
        <v>71548.78</v>
      </c>
      <c r="N52" s="129">
        <f t="shared" si="1"/>
        <v>1.8584247678357091E-2</v>
      </c>
      <c r="O52" s="270">
        <v>25637.8</v>
      </c>
      <c r="P52" s="129">
        <f t="shared" si="1"/>
        <v>2.092193498032846E-2</v>
      </c>
      <c r="R52" s="269">
        <v>44712</v>
      </c>
      <c r="S52" s="270">
        <v>384.15</v>
      </c>
      <c r="T52" s="129">
        <f t="shared" si="2"/>
        <v>-0.10673177537495648</v>
      </c>
      <c r="U52" s="270">
        <v>27144.6</v>
      </c>
      <c r="V52" s="129">
        <f t="shared" si="2"/>
        <v>-8.2599336224018494E-3</v>
      </c>
      <c r="W52" s="270">
        <v>16584.55</v>
      </c>
      <c r="X52" s="129">
        <f t="shared" si="2"/>
        <v>-3.0287881046978327E-2</v>
      </c>
    </row>
    <row r="53" spans="2:24" x14ac:dyDescent="0.3">
      <c r="B53" s="269">
        <v>46098</v>
      </c>
      <c r="C53" s="270">
        <v>1544.8</v>
      </c>
      <c r="D53" s="129">
        <f t="shared" si="4"/>
        <v>2.6581605528974039E-2</v>
      </c>
      <c r="E53" s="270">
        <v>67943.61</v>
      </c>
      <c r="F53" s="129">
        <f t="shared" si="4"/>
        <v>1.3974918214000542E-2</v>
      </c>
      <c r="G53" s="270">
        <v>23581.15</v>
      </c>
      <c r="H53" s="129">
        <f t="shared" si="3"/>
        <v>7.3626157684290039E-3</v>
      </c>
      <c r="J53" s="269">
        <v>45830</v>
      </c>
      <c r="K53" s="270">
        <v>2589.6</v>
      </c>
      <c r="L53" s="129">
        <f t="shared" si="1"/>
        <v>-5.31627056672761E-2</v>
      </c>
      <c r="M53" s="270">
        <v>70243.360000000001</v>
      </c>
      <c r="N53" s="129">
        <f t="shared" si="1"/>
        <v>6.82137587083953E-3</v>
      </c>
      <c r="O53" s="270">
        <v>25112.400000000001</v>
      </c>
      <c r="P53" s="129">
        <f t="shared" si="1"/>
        <v>1.5931322971365791E-2</v>
      </c>
      <c r="R53" s="269">
        <v>44681</v>
      </c>
      <c r="S53" s="270">
        <v>430.05</v>
      </c>
      <c r="T53" s="129">
        <f t="shared" si="2"/>
        <v>8.2785708890399601E-2</v>
      </c>
      <c r="U53" s="270">
        <v>27370.68</v>
      </c>
      <c r="V53" s="129">
        <f t="shared" si="2"/>
        <v>-4.921100965460723E-3</v>
      </c>
      <c r="W53" s="270">
        <v>17102.55</v>
      </c>
      <c r="X53" s="129">
        <f t="shared" si="2"/>
        <v>-2.0738916961307807E-2</v>
      </c>
    </row>
    <row r="54" spans="2:24" x14ac:dyDescent="0.3">
      <c r="B54" s="269">
        <v>46097</v>
      </c>
      <c r="C54" s="270">
        <v>1504.8</v>
      </c>
      <c r="D54" s="129">
        <f t="shared" si="4"/>
        <v>-1.1170981732159246E-2</v>
      </c>
      <c r="E54" s="270">
        <v>67007.19</v>
      </c>
      <c r="F54" s="129">
        <f t="shared" si="4"/>
        <v>-9.0654863487537041E-3</v>
      </c>
      <c r="G54" s="270">
        <v>23408.799999999999</v>
      </c>
      <c r="H54" s="129">
        <f t="shared" si="3"/>
        <v>1.1131220546755971E-2</v>
      </c>
      <c r="J54" s="269">
        <v>45823</v>
      </c>
      <c r="K54" s="270">
        <v>2735</v>
      </c>
      <c r="L54" s="129">
        <f t="shared" si="1"/>
        <v>-2.1956801602059817E-2</v>
      </c>
      <c r="M54" s="270">
        <v>69767.45</v>
      </c>
      <c r="N54" s="129">
        <f t="shared" si="1"/>
        <v>-1.4552026407637531E-2</v>
      </c>
      <c r="O54" s="270">
        <v>24718.6</v>
      </c>
      <c r="P54" s="129">
        <f t="shared" si="1"/>
        <v>-1.1376612053329516E-2</v>
      </c>
      <c r="R54" s="269">
        <v>44651</v>
      </c>
      <c r="S54" s="270">
        <v>397.17</v>
      </c>
      <c r="T54" s="129">
        <f t="shared" si="2"/>
        <v>-6.1950873878129364E-2</v>
      </c>
      <c r="U54" s="270">
        <v>27506.04</v>
      </c>
      <c r="V54" s="129">
        <f t="shared" si="2"/>
        <v>-5.4956894993282157E-3</v>
      </c>
      <c r="W54" s="270">
        <v>17464.75</v>
      </c>
      <c r="X54" s="129">
        <f t="shared" si="2"/>
        <v>3.9946051840251462E-2</v>
      </c>
    </row>
    <row r="55" spans="2:24" x14ac:dyDescent="0.3">
      <c r="B55" s="269">
        <v>46094</v>
      </c>
      <c r="C55" s="270">
        <v>1521.8</v>
      </c>
      <c r="D55" s="129">
        <f t="shared" si="4"/>
        <v>-2.2356417833740205E-2</v>
      </c>
      <c r="E55" s="270">
        <v>67620.2</v>
      </c>
      <c r="F55" s="129">
        <f t="shared" si="4"/>
        <v>-2.9904309137393503E-2</v>
      </c>
      <c r="G55" s="270">
        <v>23151.1</v>
      </c>
      <c r="H55" s="129">
        <f t="shared" si="3"/>
        <v>-2.0645835404403456E-2</v>
      </c>
      <c r="J55" s="269">
        <v>45816</v>
      </c>
      <c r="K55" s="270">
        <v>2796.4</v>
      </c>
      <c r="L55" s="129">
        <f t="shared" si="1"/>
        <v>6.5510042473544416E-3</v>
      </c>
      <c r="M55" s="270">
        <v>70797.7</v>
      </c>
      <c r="N55" s="129">
        <f t="shared" si="1"/>
        <v>-4.106646200487174E-3</v>
      </c>
      <c r="O55" s="270">
        <v>25003.05</v>
      </c>
      <c r="P55" s="129">
        <f t="shared" si="1"/>
        <v>1.0195671233540704E-2</v>
      </c>
      <c r="R55" s="269">
        <v>44620</v>
      </c>
      <c r="S55" s="270">
        <v>423.4</v>
      </c>
      <c r="T55" s="129">
        <f t="shared" si="2"/>
        <v>-7.9224930952743411E-2</v>
      </c>
      <c r="U55" s="270">
        <v>27658.04</v>
      </c>
      <c r="V55" s="129">
        <f t="shared" si="2"/>
        <v>-5.145224515832536E-2</v>
      </c>
      <c r="W55" s="270">
        <v>16793.900000000001</v>
      </c>
      <c r="X55" s="129">
        <f t="shared" si="2"/>
        <v>-3.1485278131010208E-2</v>
      </c>
    </row>
    <row r="56" spans="2:24" x14ac:dyDescent="0.3">
      <c r="B56" s="269">
        <v>46093</v>
      </c>
      <c r="C56" s="270">
        <v>1556.6</v>
      </c>
      <c r="D56" s="129">
        <f t="shared" si="4"/>
        <v>1.9184181234858766E-2</v>
      </c>
      <c r="E56" s="270">
        <v>69704.67</v>
      </c>
      <c r="F56" s="129">
        <f t="shared" si="4"/>
        <v>5.5024853144443053E-3</v>
      </c>
      <c r="G56" s="270">
        <v>23639.15</v>
      </c>
      <c r="H56" s="129">
        <f t="shared" si="3"/>
        <v>-9.5404295078738155E-3</v>
      </c>
      <c r="J56" s="269">
        <v>45809</v>
      </c>
      <c r="K56" s="270">
        <v>2778.2</v>
      </c>
      <c r="L56" s="129">
        <f t="shared" si="1"/>
        <v>-1.4377111638271822E-3</v>
      </c>
      <c r="M56" s="270">
        <v>71089.64</v>
      </c>
      <c r="N56" s="129">
        <f t="shared" si="1"/>
        <v>2.6624053393385916E-2</v>
      </c>
      <c r="O56" s="270">
        <v>24750.7</v>
      </c>
      <c r="P56" s="129">
        <f t="shared" si="1"/>
        <v>-4.1222138843567402E-3</v>
      </c>
      <c r="R56" s="269">
        <v>44592</v>
      </c>
      <c r="S56" s="270">
        <v>459.83</v>
      </c>
      <c r="T56" s="129">
        <f t="shared" si="2"/>
        <v>-9.2590034533793775E-2</v>
      </c>
      <c r="U56" s="270">
        <v>29158.3</v>
      </c>
      <c r="V56" s="129">
        <f t="shared" si="2"/>
        <v>1.4176340627295447E-2</v>
      </c>
      <c r="W56" s="270">
        <v>17339.849999999999</v>
      </c>
      <c r="X56" s="129">
        <f t="shared" si="2"/>
        <v>-8.1825279977876253E-4</v>
      </c>
    </row>
    <row r="57" spans="2:24" x14ac:dyDescent="0.3">
      <c r="B57" s="269">
        <v>46092</v>
      </c>
      <c r="C57" s="270">
        <v>1527.3</v>
      </c>
      <c r="D57" s="129">
        <f t="shared" si="4"/>
        <v>1.9287239722370453E-2</v>
      </c>
      <c r="E57" s="270">
        <v>69323.22</v>
      </c>
      <c r="F57" s="129">
        <f t="shared" si="4"/>
        <v>-1.0435763462879888E-2</v>
      </c>
      <c r="G57" s="270">
        <v>23866.85</v>
      </c>
      <c r="H57" s="129">
        <f t="shared" si="3"/>
        <v>-1.6270567481122433E-2</v>
      </c>
      <c r="J57" s="269">
        <v>45802</v>
      </c>
      <c r="K57" s="270">
        <v>2782.2</v>
      </c>
      <c r="L57" s="129">
        <f t="shared" si="1"/>
        <v>-6.9871623428724217E-2</v>
      </c>
      <c r="M57" s="270">
        <v>69246.03</v>
      </c>
      <c r="N57" s="129">
        <f t="shared" si="1"/>
        <v>4.8889015303339445E-3</v>
      </c>
      <c r="O57" s="270">
        <v>24853.15</v>
      </c>
      <c r="P57" s="129">
        <f t="shared" si="1"/>
        <v>-6.660724706032739E-3</v>
      </c>
      <c r="R57" s="269">
        <v>44561</v>
      </c>
      <c r="S57" s="270">
        <v>506.75</v>
      </c>
      <c r="T57" s="129">
        <f t="shared" si="2"/>
        <v>3.067097850184064E-2</v>
      </c>
      <c r="U57" s="270">
        <v>28750.720000000001</v>
      </c>
      <c r="V57" s="129">
        <f t="shared" si="2"/>
        <v>6.9086546988988529E-2</v>
      </c>
      <c r="W57" s="270">
        <v>17354.05</v>
      </c>
      <c r="X57" s="129">
        <f t="shared" si="2"/>
        <v>2.1836285270149247E-2</v>
      </c>
    </row>
    <row r="58" spans="2:24" x14ac:dyDescent="0.3">
      <c r="B58" s="269">
        <v>46091</v>
      </c>
      <c r="C58" s="270">
        <v>1498.4</v>
      </c>
      <c r="D58" s="129">
        <f t="shared" si="4"/>
        <v>3.366445916114813E-2</v>
      </c>
      <c r="E58" s="270">
        <v>70054.289999999994</v>
      </c>
      <c r="F58" s="129">
        <f t="shared" si="4"/>
        <v>1.3835070640656699E-2</v>
      </c>
      <c r="G58" s="270">
        <v>24261.599999999999</v>
      </c>
      <c r="H58" s="129">
        <f t="shared" si="3"/>
        <v>9.7198898787043131E-3</v>
      </c>
      <c r="J58" s="269">
        <v>45795</v>
      </c>
      <c r="K58" s="270">
        <v>2991.2</v>
      </c>
      <c r="L58" s="129">
        <f t="shared" si="1"/>
        <v>-5.281823939202035E-2</v>
      </c>
      <c r="M58" s="270">
        <v>68909.14</v>
      </c>
      <c r="N58" s="129">
        <f t="shared" si="1"/>
        <v>9.6367812683118004E-2</v>
      </c>
      <c r="O58" s="270">
        <v>25019.8</v>
      </c>
      <c r="P58" s="129">
        <f t="shared" si="1"/>
        <v>4.2144285238253865E-2</v>
      </c>
      <c r="R58" s="269">
        <v>44530</v>
      </c>
      <c r="S58" s="270">
        <v>491.67</v>
      </c>
      <c r="T58" s="129">
        <f t="shared" si="2"/>
        <v>-2.8032025303943886E-2</v>
      </c>
      <c r="U58" s="270">
        <v>26892.79</v>
      </c>
      <c r="V58" s="129">
        <f t="shared" si="2"/>
        <v>8.2276941049355123E-3</v>
      </c>
      <c r="W58" s="270">
        <v>16983.2</v>
      </c>
      <c r="X58" s="129">
        <f t="shared" si="2"/>
        <v>-3.8957878862471818E-2</v>
      </c>
    </row>
    <row r="59" spans="2:24" x14ac:dyDescent="0.3">
      <c r="B59" s="269">
        <v>46090</v>
      </c>
      <c r="C59" s="270">
        <v>1449.6</v>
      </c>
      <c r="D59" s="129">
        <f t="shared" si="4"/>
        <v>-2.0010816657652919E-2</v>
      </c>
      <c r="E59" s="270">
        <v>69098.31</v>
      </c>
      <c r="F59" s="129">
        <f t="shared" si="4"/>
        <v>-2.1526241155641279E-2</v>
      </c>
      <c r="G59" s="270">
        <v>24028.05</v>
      </c>
      <c r="H59" s="129">
        <f t="shared" si="3"/>
        <v>-1.7275755660938863E-2</v>
      </c>
      <c r="J59" s="269">
        <v>45788</v>
      </c>
      <c r="K59" s="270">
        <v>3158</v>
      </c>
      <c r="L59" s="129">
        <f t="shared" si="1"/>
        <v>8.3696510071720187E-2</v>
      </c>
      <c r="M59" s="270">
        <v>62852.21</v>
      </c>
      <c r="N59" s="129">
        <f t="shared" si="1"/>
        <v>2.9344975155705111E-3</v>
      </c>
      <c r="O59" s="270">
        <v>24008</v>
      </c>
      <c r="P59" s="129">
        <f t="shared" si="1"/>
        <v>-1.391153626569519E-2</v>
      </c>
      <c r="R59" s="269">
        <v>44500</v>
      </c>
      <c r="S59" s="270">
        <v>505.85</v>
      </c>
      <c r="T59" s="129">
        <f t="shared" si="2"/>
        <v>5.5327227588509054E-2</v>
      </c>
      <c r="U59" s="270">
        <v>26673.33</v>
      </c>
      <c r="V59" s="129">
        <f t="shared" si="2"/>
        <v>2.7212139230522681E-2</v>
      </c>
      <c r="W59" s="270">
        <v>17671.650000000001</v>
      </c>
      <c r="X59" s="129">
        <f t="shared" si="2"/>
        <v>3.0366411910445201E-3</v>
      </c>
    </row>
    <row r="60" spans="2:24" x14ac:dyDescent="0.3">
      <c r="B60" s="269">
        <v>46087</v>
      </c>
      <c r="C60" s="270">
        <v>1479.2</v>
      </c>
      <c r="D60" s="129">
        <f t="shared" si="4"/>
        <v>1.238792690438717E-2</v>
      </c>
      <c r="E60" s="270">
        <v>70618.460000000006</v>
      </c>
      <c r="F60" s="129">
        <f t="shared" si="4"/>
        <v>1.3038383831428746E-2</v>
      </c>
      <c r="G60" s="270">
        <v>24450.45</v>
      </c>
      <c r="H60" s="129">
        <f t="shared" si="3"/>
        <v>-1.2737271813259343E-2</v>
      </c>
      <c r="J60" s="269">
        <v>45781</v>
      </c>
      <c r="K60" s="270">
        <v>2914.1</v>
      </c>
      <c r="L60" s="129">
        <f t="shared" si="1"/>
        <v>-3.9930155174118021E-2</v>
      </c>
      <c r="M60" s="270">
        <v>62668.31</v>
      </c>
      <c r="N60" s="129">
        <f t="shared" si="1"/>
        <v>1.8848473458175752E-2</v>
      </c>
      <c r="O60" s="270">
        <v>24346.7</v>
      </c>
      <c r="P60" s="129">
        <f t="shared" si="1"/>
        <v>1.2785287455775673E-2</v>
      </c>
      <c r="R60" s="269">
        <v>44469</v>
      </c>
      <c r="S60" s="270">
        <v>479.33</v>
      </c>
      <c r="T60" s="129">
        <f t="shared" si="2"/>
        <v>-5.2201767741680394E-2</v>
      </c>
      <c r="U60" s="270">
        <v>25966.720000000001</v>
      </c>
      <c r="V60" s="129">
        <f t="shared" si="2"/>
        <v>3.9755968841020284E-2</v>
      </c>
      <c r="W60" s="270">
        <v>17618.150000000001</v>
      </c>
      <c r="X60" s="129">
        <f t="shared" si="2"/>
        <v>2.8364716732235173E-2</v>
      </c>
    </row>
    <row r="61" spans="2:24" x14ac:dyDescent="0.3">
      <c r="B61" s="269">
        <v>46086</v>
      </c>
      <c r="C61" s="270">
        <v>1461.1</v>
      </c>
      <c r="D61" s="129">
        <f t="shared" si="4"/>
        <v>-1.9527580190578542E-2</v>
      </c>
      <c r="E61" s="270">
        <v>69709.56</v>
      </c>
      <c r="F61" s="129">
        <f t="shared" si="4"/>
        <v>2.2931657579426945E-2</v>
      </c>
      <c r="G61" s="270">
        <v>24765.9</v>
      </c>
      <c r="H61" s="129">
        <f t="shared" si="3"/>
        <v>1.1658258613999051E-2</v>
      </c>
      <c r="J61" s="269">
        <v>45774</v>
      </c>
      <c r="K61" s="270">
        <v>3035.3</v>
      </c>
      <c r="L61" s="129">
        <f t="shared" si="1"/>
        <v>-4.1615357898392769E-2</v>
      </c>
      <c r="M61" s="270">
        <v>61508.959999999999</v>
      </c>
      <c r="N61" s="129">
        <f t="shared" si="1"/>
        <v>6.5007202386317964E-3</v>
      </c>
      <c r="O61" s="270">
        <v>24039.35</v>
      </c>
      <c r="P61" s="129">
        <f t="shared" si="1"/>
        <v>7.86947653516612E-3</v>
      </c>
      <c r="R61" s="269">
        <v>44439</v>
      </c>
      <c r="S61" s="270">
        <v>505.73</v>
      </c>
      <c r="T61" s="129">
        <f t="shared" si="2"/>
        <v>-1.5859733789989838E-2</v>
      </c>
      <c r="U61" s="270">
        <v>24973.86</v>
      </c>
      <c r="V61" s="129">
        <f t="shared" si="2"/>
        <v>5.500780889271728E-2</v>
      </c>
      <c r="W61" s="270">
        <v>17132.2</v>
      </c>
      <c r="X61" s="129">
        <f t="shared" si="2"/>
        <v>8.6858190515160638E-2</v>
      </c>
    </row>
    <row r="62" spans="2:24" x14ac:dyDescent="0.3">
      <c r="B62" s="269">
        <v>46085</v>
      </c>
      <c r="C62" s="270">
        <v>1490.2</v>
      </c>
      <c r="D62" s="129">
        <f t="shared" si="4"/>
        <v>-4.3394530748491422E-2</v>
      </c>
      <c r="E62" s="270">
        <v>68146.84</v>
      </c>
      <c r="F62" s="129">
        <f t="shared" si="4"/>
        <v>-2.6386367234089048E-2</v>
      </c>
      <c r="G62" s="270">
        <v>24480.5</v>
      </c>
      <c r="H62" s="129">
        <f t="shared" si="3"/>
        <v>-1.5491218827541564E-2</v>
      </c>
      <c r="J62" s="269">
        <v>45767</v>
      </c>
      <c r="K62" s="270">
        <v>3167.1</v>
      </c>
      <c r="L62" s="129">
        <f t="shared" si="1"/>
        <v>3.3497038620307062E-2</v>
      </c>
      <c r="M62" s="270">
        <v>61111.69</v>
      </c>
      <c r="N62" s="129">
        <f t="shared" si="1"/>
        <v>4.3824737261838775E-2</v>
      </c>
      <c r="O62" s="270">
        <v>23851.65</v>
      </c>
      <c r="P62" s="129">
        <f t="shared" si="1"/>
        <v>4.4816687875489425E-2</v>
      </c>
      <c r="R62" s="269">
        <v>44408</v>
      </c>
      <c r="S62" s="270">
        <v>513.88</v>
      </c>
      <c r="T62" s="129">
        <f t="shared" si="2"/>
        <v>0.18816184971098271</v>
      </c>
      <c r="U62" s="270">
        <v>23671.73</v>
      </c>
      <c r="V62" s="129">
        <f t="shared" si="2"/>
        <v>3.1493774450977785E-2</v>
      </c>
      <c r="W62" s="270">
        <v>15763.05</v>
      </c>
      <c r="X62" s="129">
        <f t="shared" si="2"/>
        <v>2.6428775880162902E-3</v>
      </c>
    </row>
    <row r="63" spans="2:24" x14ac:dyDescent="0.3">
      <c r="B63" s="269">
        <v>46083</v>
      </c>
      <c r="C63" s="270">
        <v>1557.8</v>
      </c>
      <c r="D63" s="129">
        <f t="shared" si="4"/>
        <v>-8.5285132382892925E-3</v>
      </c>
      <c r="E63" s="270">
        <v>69993.72</v>
      </c>
      <c r="F63" s="129">
        <f t="shared" si="4"/>
        <v>-6.5396844231458973E-3</v>
      </c>
      <c r="G63" s="270">
        <v>24865.7</v>
      </c>
      <c r="H63" s="129">
        <f t="shared" si="3"/>
        <v>-1.2429181072059148E-2</v>
      </c>
      <c r="J63" s="269">
        <v>45760</v>
      </c>
      <c r="K63" s="270">
        <v>3064.45</v>
      </c>
      <c r="L63" s="129">
        <f t="shared" si="1"/>
        <v>-3.5730018879798653E-2</v>
      </c>
      <c r="M63" s="270">
        <v>58545.93</v>
      </c>
      <c r="N63" s="129">
        <f t="shared" si="1"/>
        <v>-1.8403324951876576E-2</v>
      </c>
      <c r="O63" s="270">
        <v>22828.55</v>
      </c>
      <c r="P63" s="129">
        <f t="shared" si="1"/>
        <v>-3.3137665388167648E-3</v>
      </c>
      <c r="R63" s="269">
        <v>44377</v>
      </c>
      <c r="S63" s="270">
        <v>432.5</v>
      </c>
      <c r="T63" s="60"/>
      <c r="U63" s="270">
        <v>22948.98</v>
      </c>
      <c r="V63" s="60"/>
      <c r="W63" s="270">
        <v>15721.5</v>
      </c>
      <c r="X63" s="60"/>
    </row>
    <row r="64" spans="2:24" x14ac:dyDescent="0.3">
      <c r="B64" s="269">
        <v>46080</v>
      </c>
      <c r="C64" s="270">
        <v>1571.2</v>
      </c>
      <c r="D64" s="129">
        <f t="shared" si="4"/>
        <v>-2.6095580487200065E-2</v>
      </c>
      <c r="E64" s="270">
        <v>70454.47</v>
      </c>
      <c r="F64" s="129">
        <f t="shared" si="4"/>
        <v>-4.9403800081548876E-3</v>
      </c>
      <c r="G64" s="270">
        <v>25178.65</v>
      </c>
      <c r="H64" s="129">
        <f t="shared" si="3"/>
        <v>-1.2468353561560175E-2</v>
      </c>
      <c r="J64" s="269">
        <v>45753</v>
      </c>
      <c r="K64" s="270">
        <v>3178</v>
      </c>
      <c r="L64" s="129">
        <f t="shared" si="1"/>
        <v>-8.5599194360523656E-2</v>
      </c>
      <c r="M64" s="270">
        <v>59643.57</v>
      </c>
      <c r="N64" s="129">
        <f t="shared" si="1"/>
        <v>-4.9115111405025336E-2</v>
      </c>
      <c r="O64" s="270">
        <v>22904.45</v>
      </c>
      <c r="P64" s="129">
        <f t="shared" si="1"/>
        <v>-2.6144430011883713E-2</v>
      </c>
    </row>
    <row r="65" spans="2:16" x14ac:dyDescent="0.3">
      <c r="B65" s="269">
        <v>46079</v>
      </c>
      <c r="C65" s="270">
        <v>1613.3</v>
      </c>
      <c r="D65" s="129">
        <f t="shared" si="4"/>
        <v>1.7084856890682065E-2</v>
      </c>
      <c r="E65" s="270">
        <v>70804.27</v>
      </c>
      <c r="F65" s="129">
        <f t="shared" si="4"/>
        <v>8.7758203609691332E-3</v>
      </c>
      <c r="G65" s="270">
        <v>25496.55</v>
      </c>
      <c r="H65" s="129">
        <f t="shared" si="3"/>
        <v>5.5135877563028401E-4</v>
      </c>
      <c r="J65" s="269">
        <v>45746</v>
      </c>
      <c r="K65" s="270">
        <v>3475.5</v>
      </c>
      <c r="L65" s="129">
        <f t="shared" si="1"/>
        <v>6.3966570234651243E-2</v>
      </c>
      <c r="M65" s="270">
        <v>62724.28</v>
      </c>
      <c r="N65" s="129">
        <f t="shared" si="1"/>
        <v>1.3287178494705731E-2</v>
      </c>
      <c r="O65" s="270">
        <v>23519.35</v>
      </c>
      <c r="P65" s="129">
        <f t="shared" si="1"/>
        <v>7.2354220912702605E-3</v>
      </c>
    </row>
    <row r="66" spans="2:16" x14ac:dyDescent="0.3">
      <c r="B66" s="269">
        <v>46078</v>
      </c>
      <c r="C66" s="270">
        <v>1586.2</v>
      </c>
      <c r="D66" s="129">
        <f t="shared" si="4"/>
        <v>-2.7229240770268559E-2</v>
      </c>
      <c r="E66" s="270">
        <v>70188.31</v>
      </c>
      <c r="F66" s="129">
        <f t="shared" si="4"/>
        <v>2.6983076862197031E-3</v>
      </c>
      <c r="G66" s="270">
        <v>25482.5</v>
      </c>
      <c r="H66" s="129">
        <f t="shared" si="3"/>
        <v>2.275350889786143E-3</v>
      </c>
      <c r="J66" s="269">
        <v>45739</v>
      </c>
      <c r="K66" s="270">
        <v>3266.55</v>
      </c>
      <c r="L66" s="129">
        <f t="shared" si="1"/>
        <v>0.13170385254988926</v>
      </c>
      <c r="M66" s="270">
        <v>61901.78</v>
      </c>
      <c r="N66" s="129">
        <f t="shared" si="1"/>
        <v>7.1766280639903979E-2</v>
      </c>
      <c r="O66" s="270">
        <v>23350.400000000001</v>
      </c>
      <c r="P66" s="129">
        <f t="shared" si="1"/>
        <v>4.2558891289982803E-2</v>
      </c>
    </row>
    <row r="67" spans="2:16" x14ac:dyDescent="0.3">
      <c r="B67" s="269">
        <v>46077</v>
      </c>
      <c r="C67" s="270">
        <v>1630.6</v>
      </c>
      <c r="D67" s="129">
        <f t="shared" si="4"/>
        <v>-5.7184157270887548E-2</v>
      </c>
      <c r="E67" s="270">
        <v>69999.429999999993</v>
      </c>
      <c r="F67" s="129">
        <f t="shared" si="4"/>
        <v>3.2301407185046926E-3</v>
      </c>
      <c r="G67" s="270">
        <v>25424.65</v>
      </c>
      <c r="H67" s="129">
        <f t="shared" si="3"/>
        <v>-1.1214171819702079E-2</v>
      </c>
      <c r="J67" s="269">
        <v>45732</v>
      </c>
      <c r="K67" s="270">
        <v>2886.4</v>
      </c>
      <c r="L67" s="129">
        <f t="shared" ref="L67:P130" si="5">K67/K68-1</f>
        <v>-5.6099674618616979E-2</v>
      </c>
      <c r="M67" s="270">
        <v>57756.79</v>
      </c>
      <c r="N67" s="129">
        <f t="shared" si="5"/>
        <v>-1.9606748114895711E-2</v>
      </c>
      <c r="O67" s="270">
        <v>22397.200000000001</v>
      </c>
      <c r="P67" s="129">
        <f t="shared" si="5"/>
        <v>-6.8861545283227521E-3</v>
      </c>
    </row>
    <row r="68" spans="2:16" x14ac:dyDescent="0.3">
      <c r="B68" s="269">
        <v>46076</v>
      </c>
      <c r="C68" s="270">
        <v>1729.5</v>
      </c>
      <c r="D68" s="129">
        <f t="shared" si="4"/>
        <v>1.7053807703616641E-2</v>
      </c>
      <c r="E68" s="270">
        <v>69774.05</v>
      </c>
      <c r="F68" s="129">
        <f t="shared" si="4"/>
        <v>2.3155204368847659E-3</v>
      </c>
      <c r="G68" s="270">
        <v>25713</v>
      </c>
      <c r="H68" s="129">
        <f t="shared" si="3"/>
        <v>5.5433347998239402E-3</v>
      </c>
      <c r="J68" s="269">
        <v>45725</v>
      </c>
      <c r="K68" s="270">
        <v>3057.95</v>
      </c>
      <c r="L68" s="129">
        <f t="shared" si="5"/>
        <v>9.2847059664421083E-2</v>
      </c>
      <c r="M68" s="270">
        <v>58911.86</v>
      </c>
      <c r="N68" s="129">
        <f t="shared" si="5"/>
        <v>6.6449413045933881E-2</v>
      </c>
      <c r="O68" s="270">
        <v>22552.5</v>
      </c>
      <c r="P68" s="129">
        <f t="shared" si="5"/>
        <v>1.9335855401429125E-2</v>
      </c>
    </row>
    <row r="69" spans="2:16" x14ac:dyDescent="0.3">
      <c r="B69" s="269">
        <v>46073</v>
      </c>
      <c r="C69" s="270">
        <v>1700.5</v>
      </c>
      <c r="D69" s="129">
        <f t="shared" si="4"/>
        <v>-1.6142096736866507E-2</v>
      </c>
      <c r="E69" s="270">
        <v>69612.86</v>
      </c>
      <c r="F69" s="129">
        <f t="shared" si="4"/>
        <v>1.5085081516251098E-2</v>
      </c>
      <c r="G69" s="270">
        <v>25571.25</v>
      </c>
      <c r="H69" s="129">
        <f t="shared" si="3"/>
        <v>4.5925352641100758E-3</v>
      </c>
      <c r="J69" s="269">
        <v>45718</v>
      </c>
      <c r="K69" s="270">
        <v>2798.15</v>
      </c>
      <c r="L69" s="129">
        <f t="shared" si="5"/>
        <v>-0.12003710866864781</v>
      </c>
      <c r="M69" s="270">
        <v>55241.120000000003</v>
      </c>
      <c r="N69" s="129">
        <f t="shared" si="5"/>
        <v>-5.407113603855962E-2</v>
      </c>
      <c r="O69" s="270">
        <v>22124.7</v>
      </c>
      <c r="P69" s="129">
        <f t="shared" si="5"/>
        <v>-2.9443891226053842E-2</v>
      </c>
    </row>
    <row r="70" spans="2:16" x14ac:dyDescent="0.3">
      <c r="B70" s="269">
        <v>46072</v>
      </c>
      <c r="C70" s="270">
        <v>1728.4</v>
      </c>
      <c r="D70" s="129">
        <f t="shared" si="4"/>
        <v>-3.8870043930378628E-2</v>
      </c>
      <c r="E70" s="270">
        <v>68578.350000000006</v>
      </c>
      <c r="F70" s="129">
        <f t="shared" si="4"/>
        <v>-2.1771318352485025E-2</v>
      </c>
      <c r="G70" s="270">
        <v>25454.35</v>
      </c>
      <c r="H70" s="129">
        <f t="shared" si="3"/>
        <v>-1.4136684308474035E-2</v>
      </c>
      <c r="J70" s="269">
        <v>45711</v>
      </c>
      <c r="K70" s="270">
        <v>3179.85</v>
      </c>
      <c r="L70" s="129">
        <f t="shared" si="5"/>
        <v>0.16388492368507745</v>
      </c>
      <c r="M70" s="270">
        <v>58398.81</v>
      </c>
      <c r="N70" s="129">
        <f t="shared" si="5"/>
        <v>1.8303861786845843E-2</v>
      </c>
      <c r="O70" s="270">
        <v>22795.9</v>
      </c>
      <c r="P70" s="129">
        <f t="shared" si="5"/>
        <v>-5.8157157342695331E-3</v>
      </c>
    </row>
    <row r="71" spans="2:16" x14ac:dyDescent="0.3">
      <c r="B71" s="269">
        <v>46071</v>
      </c>
      <c r="C71" s="270">
        <v>1798.3</v>
      </c>
      <c r="D71" s="129">
        <f t="shared" si="4"/>
        <v>1.0576708973502047E-3</v>
      </c>
      <c r="E71" s="270">
        <v>70104.62</v>
      </c>
      <c r="F71" s="129">
        <f t="shared" si="4"/>
        <v>8.9341636846782535E-3</v>
      </c>
      <c r="G71" s="270">
        <v>25819.35</v>
      </c>
      <c r="H71" s="129">
        <f t="shared" si="3"/>
        <v>3.6520326214557475E-3</v>
      </c>
      <c r="J71" s="269">
        <v>45704</v>
      </c>
      <c r="K71" s="270">
        <v>2732.1</v>
      </c>
      <c r="L71" s="129">
        <f t="shared" si="5"/>
        <v>-2.3796762782720471E-2</v>
      </c>
      <c r="M71" s="270">
        <v>57349.1</v>
      </c>
      <c r="N71" s="129">
        <f t="shared" si="5"/>
        <v>-6.1003783878483708E-2</v>
      </c>
      <c r="O71" s="270">
        <v>22929.25</v>
      </c>
      <c r="P71" s="129">
        <f t="shared" si="5"/>
        <v>-2.6770005878620329E-2</v>
      </c>
    </row>
    <row r="72" spans="2:16" x14ac:dyDescent="0.3">
      <c r="B72" s="269">
        <v>46070</v>
      </c>
      <c r="C72" s="270">
        <v>1796.4</v>
      </c>
      <c r="D72" s="129">
        <f t="shared" si="4"/>
        <v>-4.6243695248208039E-2</v>
      </c>
      <c r="E72" s="270">
        <v>69483.839999999997</v>
      </c>
      <c r="F72" s="129">
        <f t="shared" si="4"/>
        <v>7.639100675246091E-3</v>
      </c>
      <c r="G72" s="270">
        <v>25725.4</v>
      </c>
      <c r="H72" s="129">
        <f t="shared" si="3"/>
        <v>1.6606477110123752E-3</v>
      </c>
      <c r="J72" s="269">
        <v>45697</v>
      </c>
      <c r="K72" s="270">
        <v>2798.7</v>
      </c>
      <c r="L72" s="129">
        <f t="shared" si="5"/>
        <v>-7.5665499702754602E-2</v>
      </c>
      <c r="M72" s="270">
        <v>61074.9</v>
      </c>
      <c r="N72" s="129">
        <f t="shared" si="5"/>
        <v>-2.4077793950406989E-2</v>
      </c>
      <c r="O72" s="270">
        <v>23559.95</v>
      </c>
      <c r="P72" s="129">
        <f t="shared" si="5"/>
        <v>3.3131548857323612E-3</v>
      </c>
    </row>
    <row r="73" spans="2:16" x14ac:dyDescent="0.3">
      <c r="B73" s="269">
        <v>46069</v>
      </c>
      <c r="C73" s="270">
        <v>1883.5</v>
      </c>
      <c r="D73" s="129">
        <f t="shared" si="4"/>
        <v>-5.0894431846812749E-2</v>
      </c>
      <c r="E73" s="270">
        <v>68957.070000000007</v>
      </c>
      <c r="F73" s="129">
        <f t="shared" si="4"/>
        <v>1.0461120138469671E-2</v>
      </c>
      <c r="G73" s="270">
        <v>25682.75</v>
      </c>
      <c r="H73" s="129">
        <f t="shared" si="3"/>
        <v>8.3094173396516258E-3</v>
      </c>
      <c r="J73" s="269">
        <v>45690</v>
      </c>
      <c r="K73" s="270">
        <v>3027.8</v>
      </c>
      <c r="L73" s="129">
        <f t="shared" si="5"/>
        <v>2.6059846148632548E-2</v>
      </c>
      <c r="M73" s="270">
        <v>62581.73</v>
      </c>
      <c r="N73" s="129">
        <f t="shared" si="5"/>
        <v>5.6333515235775788E-3</v>
      </c>
      <c r="O73" s="270">
        <v>23482.15</v>
      </c>
      <c r="P73" s="129">
        <f t="shared" si="5"/>
        <v>1.6886654368141629E-2</v>
      </c>
    </row>
    <row r="74" spans="2:16" x14ac:dyDescent="0.3">
      <c r="B74" s="269">
        <v>46066</v>
      </c>
      <c r="C74" s="270">
        <v>1984.5</v>
      </c>
      <c r="D74" s="129">
        <f t="shared" si="4"/>
        <v>-3.0248240813135263E-2</v>
      </c>
      <c r="E74" s="270">
        <v>68243.17</v>
      </c>
      <c r="F74" s="129">
        <f t="shared" si="4"/>
        <v>-1.1617874807753115E-2</v>
      </c>
      <c r="G74" s="270">
        <v>25471.1</v>
      </c>
      <c r="H74" s="129">
        <f t="shared" ref="H74:H137" si="6">G74/G75-1</f>
        <v>-1.3023497318577881E-2</v>
      </c>
      <c r="J74" s="269">
        <v>45683</v>
      </c>
      <c r="K74" s="270">
        <v>2950.9</v>
      </c>
      <c r="L74" s="129">
        <f t="shared" si="5"/>
        <v>-4.8219584569732965E-2</v>
      </c>
      <c r="M74" s="270">
        <v>62231.16</v>
      </c>
      <c r="N74" s="129">
        <f t="shared" si="5"/>
        <v>-4.5236065316725416E-2</v>
      </c>
      <c r="O74" s="270">
        <v>23092.2</v>
      </c>
      <c r="P74" s="129">
        <f t="shared" si="5"/>
        <v>-4.7838229209764549E-3</v>
      </c>
    </row>
    <row r="75" spans="2:16" x14ac:dyDescent="0.3">
      <c r="B75" s="269">
        <v>46065</v>
      </c>
      <c r="C75" s="270">
        <v>2046.4</v>
      </c>
      <c r="D75" s="129">
        <f t="shared" si="4"/>
        <v>-1.6721122429367519E-2</v>
      </c>
      <c r="E75" s="270">
        <v>69045.33</v>
      </c>
      <c r="F75" s="129">
        <f t="shared" si="4"/>
        <v>6.8668706823915571E-4</v>
      </c>
      <c r="G75" s="270">
        <v>25807.200000000001</v>
      </c>
      <c r="H75" s="129">
        <f t="shared" si="6"/>
        <v>-5.6504141004127817E-3</v>
      </c>
      <c r="J75" s="269">
        <v>45676</v>
      </c>
      <c r="K75" s="270">
        <v>3100.4</v>
      </c>
      <c r="L75" s="129">
        <f t="shared" si="5"/>
        <v>2.4897338894818155E-3</v>
      </c>
      <c r="M75" s="270">
        <v>65179.63</v>
      </c>
      <c r="N75" s="129">
        <f t="shared" si="5"/>
        <v>1.4742969502270276E-2</v>
      </c>
      <c r="O75" s="270">
        <v>23203.200000000001</v>
      </c>
      <c r="P75" s="129">
        <f t="shared" si="5"/>
        <v>-9.7432942833365344E-3</v>
      </c>
    </row>
    <row r="76" spans="2:16" x14ac:dyDescent="0.3">
      <c r="B76" s="269">
        <v>46064</v>
      </c>
      <c r="C76" s="270">
        <v>2081.1999999999998</v>
      </c>
      <c r="D76" s="129">
        <f t="shared" si="4"/>
        <v>-1.6213661073032459E-2</v>
      </c>
      <c r="E76" s="270">
        <v>68997.95</v>
      </c>
      <c r="F76" s="129">
        <f t="shared" si="4"/>
        <v>3.3301930642104516E-4</v>
      </c>
      <c r="G76" s="270">
        <v>25953.85</v>
      </c>
      <c r="H76" s="129">
        <f t="shared" si="6"/>
        <v>7.2102918240291025E-4</v>
      </c>
      <c r="J76" s="269">
        <v>45669</v>
      </c>
      <c r="K76" s="270">
        <v>3092.7</v>
      </c>
      <c r="L76" s="129">
        <f t="shared" si="5"/>
        <v>-0.12045503021685033</v>
      </c>
      <c r="M76" s="270">
        <v>64232.65</v>
      </c>
      <c r="N76" s="129">
        <f t="shared" si="5"/>
        <v>-5.8327069700127021E-2</v>
      </c>
      <c r="O76" s="270">
        <v>23431.5</v>
      </c>
      <c r="P76" s="129">
        <f t="shared" si="5"/>
        <v>-2.3880690280048689E-2</v>
      </c>
    </row>
    <row r="77" spans="2:16" x14ac:dyDescent="0.3">
      <c r="B77" s="269">
        <v>46063</v>
      </c>
      <c r="C77" s="270">
        <v>2115.5</v>
      </c>
      <c r="D77" s="129">
        <f t="shared" si="4"/>
        <v>4.7640271381171662E-2</v>
      </c>
      <c r="E77" s="270">
        <v>68974.98</v>
      </c>
      <c r="F77" s="129">
        <f t="shared" si="4"/>
        <v>-8.754926094459714E-4</v>
      </c>
      <c r="G77" s="270">
        <v>25935.15</v>
      </c>
      <c r="H77" s="129">
        <f t="shared" si="6"/>
        <v>2.6230027873028749E-3</v>
      </c>
      <c r="J77" s="269">
        <v>45662</v>
      </c>
      <c r="K77" s="270">
        <v>3516.25</v>
      </c>
      <c r="L77" s="129">
        <f t="shared" si="5"/>
        <v>2.1393714053331792E-2</v>
      </c>
      <c r="M77" s="270">
        <v>68211.210000000006</v>
      </c>
      <c r="N77" s="129">
        <f t="shared" si="5"/>
        <v>7.4911806972277617E-4</v>
      </c>
      <c r="O77" s="270">
        <v>24004.75</v>
      </c>
      <c r="P77" s="129">
        <f t="shared" si="5"/>
        <v>8.035391838208783E-3</v>
      </c>
    </row>
    <row r="78" spans="2:16" x14ac:dyDescent="0.3">
      <c r="B78" s="269">
        <v>46062</v>
      </c>
      <c r="C78" s="270">
        <v>2019.3</v>
      </c>
      <c r="D78" s="129">
        <f t="shared" si="4"/>
        <v>4.4267466514971154E-2</v>
      </c>
      <c r="E78" s="270">
        <v>69035.42</v>
      </c>
      <c r="F78" s="129">
        <f t="shared" si="4"/>
        <v>1.8938397663252671E-2</v>
      </c>
      <c r="G78" s="270">
        <v>25867.3</v>
      </c>
      <c r="H78" s="129">
        <f t="shared" si="6"/>
        <v>6.7565200807979675E-3</v>
      </c>
      <c r="J78" s="269">
        <v>45655</v>
      </c>
      <c r="K78" s="270">
        <v>3442.6</v>
      </c>
      <c r="L78" s="129">
        <f t="shared" si="5"/>
        <v>6.1815896768913081E-3</v>
      </c>
      <c r="M78" s="270">
        <v>68160.149999999994</v>
      </c>
      <c r="N78" s="129">
        <f t="shared" si="5"/>
        <v>-5.7944146073217739E-3</v>
      </c>
      <c r="O78" s="270">
        <v>23813.4</v>
      </c>
      <c r="P78" s="129">
        <f t="shared" si="5"/>
        <v>9.5771065182830295E-3</v>
      </c>
    </row>
    <row r="79" spans="2:16" x14ac:dyDescent="0.3">
      <c r="B79" s="269">
        <v>46059</v>
      </c>
      <c r="C79" s="270">
        <v>1933.7</v>
      </c>
      <c r="D79" s="129">
        <f t="shared" si="4"/>
        <v>1.7522626815407172E-2</v>
      </c>
      <c r="E79" s="270">
        <v>67752.3</v>
      </c>
      <c r="F79" s="129">
        <f t="shared" si="4"/>
        <v>4.0500001407846042E-3</v>
      </c>
      <c r="G79" s="270">
        <v>25693.7</v>
      </c>
      <c r="H79" s="129">
        <f t="shared" si="6"/>
        <v>1.9849626405852305E-3</v>
      </c>
      <c r="J79" s="269">
        <v>45648</v>
      </c>
      <c r="K79" s="270">
        <v>3421.45</v>
      </c>
      <c r="L79" s="129">
        <f t="shared" si="5"/>
        <v>-8.2856415273887318E-2</v>
      </c>
      <c r="M79" s="270">
        <v>68557.399999999994</v>
      </c>
      <c r="N79" s="129">
        <f t="shared" si="5"/>
        <v>-6.170444238754913E-2</v>
      </c>
      <c r="O79" s="270">
        <v>23587.5</v>
      </c>
      <c r="P79" s="129">
        <f t="shared" si="5"/>
        <v>-4.7673841159869612E-2</v>
      </c>
    </row>
    <row r="80" spans="2:16" x14ac:dyDescent="0.3">
      <c r="B80" s="269">
        <v>46058</v>
      </c>
      <c r="C80" s="270">
        <v>1900.4</v>
      </c>
      <c r="D80" s="129">
        <f t="shared" si="4"/>
        <v>-1.9502631307398599E-2</v>
      </c>
      <c r="E80" s="270">
        <v>67479.009999999995</v>
      </c>
      <c r="F80" s="129">
        <f t="shared" si="4"/>
        <v>-1.0653807909783541E-2</v>
      </c>
      <c r="G80" s="270">
        <v>25642.799999999999</v>
      </c>
      <c r="H80" s="129">
        <f t="shared" si="6"/>
        <v>-5.16759776536313E-3</v>
      </c>
      <c r="J80" s="269">
        <v>45641</v>
      </c>
      <c r="K80" s="270">
        <v>3730.55</v>
      </c>
      <c r="L80" s="129">
        <f t="shared" si="5"/>
        <v>3.6955192350455857E-2</v>
      </c>
      <c r="M80" s="270">
        <v>73065.89</v>
      </c>
      <c r="N80" s="129">
        <f t="shared" si="5"/>
        <v>3.4499911281626883E-3</v>
      </c>
      <c r="O80" s="270">
        <v>24768.3</v>
      </c>
      <c r="P80" s="129">
        <f t="shared" si="5"/>
        <v>3.6672636944945491E-3</v>
      </c>
    </row>
    <row r="81" spans="2:16" x14ac:dyDescent="0.3">
      <c r="B81" s="269">
        <v>46057</v>
      </c>
      <c r="C81" s="270">
        <v>1938.2</v>
      </c>
      <c r="D81" s="129">
        <f t="shared" si="4"/>
        <v>-6.4575289575289574E-2</v>
      </c>
      <c r="E81" s="270">
        <v>68205.66</v>
      </c>
      <c r="F81" s="129">
        <f t="shared" si="4"/>
        <v>1.6540606285255777E-3</v>
      </c>
      <c r="G81" s="270">
        <v>25776</v>
      </c>
      <c r="H81" s="129">
        <f t="shared" si="6"/>
        <v>1.8831952517825989E-3</v>
      </c>
      <c r="J81" s="269">
        <v>45634</v>
      </c>
      <c r="K81" s="270">
        <v>3597.6</v>
      </c>
      <c r="L81" s="129">
        <f t="shared" si="5"/>
        <v>-1.5744907869718161E-2</v>
      </c>
      <c r="M81" s="270">
        <v>72814.679999999993</v>
      </c>
      <c r="N81" s="129">
        <f t="shared" si="5"/>
        <v>2.9906820710418947E-2</v>
      </c>
      <c r="O81" s="270">
        <v>24677.8</v>
      </c>
      <c r="P81" s="129">
        <f t="shared" si="5"/>
        <v>2.2655411481449228E-2</v>
      </c>
    </row>
    <row r="82" spans="2:16" x14ac:dyDescent="0.3">
      <c r="B82" s="269">
        <v>46056</v>
      </c>
      <c r="C82" s="270">
        <v>2072</v>
      </c>
      <c r="D82" s="129">
        <f t="shared" si="4"/>
        <v>0.16627265563435789</v>
      </c>
      <c r="E82" s="270">
        <v>68093.03</v>
      </c>
      <c r="F82" s="129">
        <f t="shared" si="4"/>
        <v>3.7061929747929989E-2</v>
      </c>
      <c r="G82" s="270">
        <v>25727.55</v>
      </c>
      <c r="H82" s="129">
        <f t="shared" si="6"/>
        <v>2.5475917156932981E-2</v>
      </c>
      <c r="J82" s="269">
        <v>45627</v>
      </c>
      <c r="K82" s="270">
        <v>3655.15</v>
      </c>
      <c r="L82" s="129">
        <f t="shared" si="5"/>
        <v>6.4322632306908378E-2</v>
      </c>
      <c r="M82" s="270">
        <v>70700.259999999995</v>
      </c>
      <c r="N82" s="129">
        <f t="shared" si="5"/>
        <v>4.8696417298354389E-2</v>
      </c>
      <c r="O82" s="270">
        <v>24131.1</v>
      </c>
      <c r="P82" s="129">
        <f t="shared" si="5"/>
        <v>9.3632684645870157E-3</v>
      </c>
    </row>
    <row r="83" spans="2:16" x14ac:dyDescent="0.3">
      <c r="B83" s="269">
        <v>46055</v>
      </c>
      <c r="C83" s="270">
        <v>1776.6</v>
      </c>
      <c r="D83" s="129">
        <f t="shared" ref="D83:F146" si="7">C83/C84-1</f>
        <v>1.0925230454079893E-2</v>
      </c>
      <c r="E83" s="270">
        <v>65659.56</v>
      </c>
      <c r="F83" s="129">
        <f t="shared" si="7"/>
        <v>1.5530796262833935E-2</v>
      </c>
      <c r="G83" s="270">
        <v>25088.400000000001</v>
      </c>
      <c r="H83" s="129">
        <f t="shared" si="6"/>
        <v>1.05919530159575E-2</v>
      </c>
      <c r="J83" s="269">
        <v>45620</v>
      </c>
      <c r="K83" s="270">
        <v>3434.25</v>
      </c>
      <c r="L83" s="129">
        <f t="shared" si="5"/>
        <v>-2.8322039413187672E-2</v>
      </c>
      <c r="M83" s="270">
        <v>67417.279999999999</v>
      </c>
      <c r="N83" s="129">
        <f t="shared" si="5"/>
        <v>2.1068142161077441E-2</v>
      </c>
      <c r="O83" s="270">
        <v>23907.25</v>
      </c>
      <c r="P83" s="129">
        <f t="shared" si="5"/>
        <v>1.5916150717937061E-2</v>
      </c>
    </row>
    <row r="84" spans="2:16" x14ac:dyDescent="0.3">
      <c r="B84" s="269">
        <v>46054</v>
      </c>
      <c r="C84" s="270">
        <v>1757.4</v>
      </c>
      <c r="D84" s="129">
        <f t="shared" si="7"/>
        <v>-7.791327913279078E-3</v>
      </c>
      <c r="E84" s="270">
        <v>64655.41</v>
      </c>
      <c r="F84" s="129">
        <f t="shared" si="7"/>
        <v>-3.0169771338717122E-2</v>
      </c>
      <c r="G84" s="270">
        <v>24825.45</v>
      </c>
      <c r="H84" s="129">
        <f t="shared" si="6"/>
        <v>-1.955715986753892E-2</v>
      </c>
      <c r="J84" s="269">
        <v>45613</v>
      </c>
      <c r="K84" s="270">
        <v>3534.35</v>
      </c>
      <c r="L84" s="129">
        <f t="shared" si="5"/>
        <v>-7.7485646906890748E-3</v>
      </c>
      <c r="M84" s="270">
        <v>66026.23</v>
      </c>
      <c r="N84" s="129">
        <f t="shared" si="5"/>
        <v>-4.9701041013145875E-2</v>
      </c>
      <c r="O84" s="270">
        <v>23532.7</v>
      </c>
      <c r="P84" s="129">
        <f t="shared" si="5"/>
        <v>-2.5488442202731498E-2</v>
      </c>
    </row>
    <row r="85" spans="2:16" x14ac:dyDescent="0.3">
      <c r="B85" s="269">
        <v>46052</v>
      </c>
      <c r="C85" s="270">
        <v>1771.2</v>
      </c>
      <c r="D85" s="129">
        <f t="shared" si="7"/>
        <v>2.304626581181779E-2</v>
      </c>
      <c r="E85" s="270">
        <v>66666.73</v>
      </c>
      <c r="F85" s="129">
        <f t="shared" si="7"/>
        <v>1.0016883426184009E-2</v>
      </c>
      <c r="G85" s="270">
        <v>25320.65</v>
      </c>
      <c r="H85" s="129">
        <f t="shared" si="6"/>
        <v>-3.8652341368037302E-3</v>
      </c>
      <c r="J85" s="269">
        <v>45606</v>
      </c>
      <c r="K85" s="270">
        <v>3561.95</v>
      </c>
      <c r="L85" s="129">
        <f t="shared" si="5"/>
        <v>-1.1475591818610797E-2</v>
      </c>
      <c r="M85" s="270">
        <v>69479.429999999993</v>
      </c>
      <c r="N85" s="129">
        <f t="shared" si="5"/>
        <v>-1.4143871094590699E-3</v>
      </c>
      <c r="O85" s="270">
        <v>24148.2</v>
      </c>
      <c r="P85" s="129">
        <f t="shared" si="5"/>
        <v>-6.4247758117372822E-3</v>
      </c>
    </row>
    <row r="86" spans="2:16" x14ac:dyDescent="0.3">
      <c r="B86" s="269">
        <v>46051</v>
      </c>
      <c r="C86" s="270">
        <v>1731.3</v>
      </c>
      <c r="D86" s="129">
        <f t="shared" si="7"/>
        <v>-2.8287590503451865E-2</v>
      </c>
      <c r="E86" s="270">
        <v>66005.56</v>
      </c>
      <c r="F86" s="129">
        <f t="shared" si="7"/>
        <v>6.2395316075136709E-3</v>
      </c>
      <c r="G86" s="270">
        <v>25418.9</v>
      </c>
      <c r="H86" s="129">
        <f t="shared" si="6"/>
        <v>3.004804135305017E-3</v>
      </c>
      <c r="J86" s="269">
        <v>45599</v>
      </c>
      <c r="K86" s="270">
        <v>3603.3</v>
      </c>
      <c r="L86" s="129">
        <f t="shared" si="5"/>
        <v>0.31361076174331481</v>
      </c>
      <c r="M86" s="270">
        <v>69577.84</v>
      </c>
      <c r="N86" s="129">
        <f t="shared" si="5"/>
        <v>4.7395279800811041E-2</v>
      </c>
      <c r="O86" s="270">
        <v>24304.35</v>
      </c>
      <c r="P86" s="129">
        <f t="shared" si="5"/>
        <v>5.1094256600276999E-3</v>
      </c>
    </row>
    <row r="87" spans="2:16" x14ac:dyDescent="0.3">
      <c r="B87" s="269">
        <v>46050</v>
      </c>
      <c r="C87" s="270">
        <v>1781.7</v>
      </c>
      <c r="D87" s="129">
        <f t="shared" si="7"/>
        <v>2.8932778932779124E-2</v>
      </c>
      <c r="E87" s="270">
        <v>65596.27</v>
      </c>
      <c r="F87" s="129">
        <f t="shared" si="7"/>
        <v>5.3243355117656987E-2</v>
      </c>
      <c r="G87" s="270">
        <v>25342.75</v>
      </c>
      <c r="H87" s="129">
        <f t="shared" si="6"/>
        <v>6.6473621074540912E-3</v>
      </c>
      <c r="J87" s="269">
        <v>45592</v>
      </c>
      <c r="K87" s="270">
        <v>2743.05</v>
      </c>
      <c r="L87" s="129">
        <f t="shared" si="5"/>
        <v>1.6264379526888195E-2</v>
      </c>
      <c r="M87" s="270">
        <v>66429.399999999994</v>
      </c>
      <c r="N87" s="129">
        <f t="shared" si="5"/>
        <v>-7.5070094391599396E-2</v>
      </c>
      <c r="O87" s="270">
        <v>24180.799999999999</v>
      </c>
      <c r="P87" s="129">
        <f t="shared" si="5"/>
        <v>-2.7088140564616281E-2</v>
      </c>
    </row>
    <row r="88" spans="2:16" x14ac:dyDescent="0.3">
      <c r="B88" s="269">
        <v>46049</v>
      </c>
      <c r="C88" s="270">
        <v>1731.6</v>
      </c>
      <c r="D88" s="129">
        <f t="shared" si="7"/>
        <v>-4.8571428571428599E-2</v>
      </c>
      <c r="E88" s="270">
        <v>62280.26</v>
      </c>
      <c r="F88" s="129">
        <f t="shared" si="7"/>
        <v>8.0744353358073173E-3</v>
      </c>
      <c r="G88" s="270">
        <v>25175.4</v>
      </c>
      <c r="H88" s="129">
        <f t="shared" si="6"/>
        <v>5.0601529423741631E-3</v>
      </c>
      <c r="J88" s="269">
        <v>45585</v>
      </c>
      <c r="K88" s="270">
        <v>2699.15</v>
      </c>
      <c r="L88" s="129">
        <f t="shared" si="5"/>
        <v>-1.3161983803447685E-2</v>
      </c>
      <c r="M88" s="270">
        <v>71821.009999999995</v>
      </c>
      <c r="N88" s="129">
        <f t="shared" si="5"/>
        <v>3.3688242239053867E-3</v>
      </c>
      <c r="O88" s="270">
        <v>24854.05</v>
      </c>
      <c r="P88" s="129">
        <f t="shared" si="5"/>
        <v>-4.4143124668275524E-3</v>
      </c>
    </row>
    <row r="89" spans="2:16" x14ac:dyDescent="0.3">
      <c r="B89" s="269">
        <v>46045</v>
      </c>
      <c r="C89" s="270">
        <v>1820</v>
      </c>
      <c r="D89" s="129">
        <f t="shared" si="7"/>
        <v>-2.9488615154908526E-2</v>
      </c>
      <c r="E89" s="270">
        <v>61781.41</v>
      </c>
      <c r="F89" s="129">
        <f t="shared" si="7"/>
        <v>-2.0934069068688332E-2</v>
      </c>
      <c r="G89" s="270">
        <v>25048.65</v>
      </c>
      <c r="H89" s="129">
        <f t="shared" si="6"/>
        <v>-9.5393813340503009E-3</v>
      </c>
      <c r="J89" s="269">
        <v>45578</v>
      </c>
      <c r="K89" s="270">
        <v>2735.15</v>
      </c>
      <c r="L89" s="129">
        <f t="shared" si="5"/>
        <v>3.0867803637048885E-2</v>
      </c>
      <c r="M89" s="270">
        <v>71579.87</v>
      </c>
      <c r="N89" s="129">
        <f t="shared" si="5"/>
        <v>1.8189900300279671E-2</v>
      </c>
      <c r="O89" s="270">
        <v>24964.25</v>
      </c>
      <c r="P89" s="129">
        <f t="shared" si="5"/>
        <v>-2.0128245104857889E-3</v>
      </c>
    </row>
    <row r="90" spans="2:16" x14ac:dyDescent="0.3">
      <c r="B90" s="269">
        <v>46044</v>
      </c>
      <c r="C90" s="270">
        <v>1875.3</v>
      </c>
      <c r="D90" s="129">
        <f t="shared" si="7"/>
        <v>2.0293797606093511E-2</v>
      </c>
      <c r="E90" s="270">
        <v>63102.400000000001</v>
      </c>
      <c r="F90" s="129">
        <f t="shared" si="7"/>
        <v>2.0299468332628967E-2</v>
      </c>
      <c r="G90" s="270">
        <v>25289.9</v>
      </c>
      <c r="H90" s="129">
        <f t="shared" si="6"/>
        <v>5.2628440822817257E-3</v>
      </c>
      <c r="J90" s="269">
        <v>45571</v>
      </c>
      <c r="K90" s="270">
        <v>2653.25</v>
      </c>
      <c r="L90" s="129">
        <f t="shared" si="5"/>
        <v>0.1949154450674413</v>
      </c>
      <c r="M90" s="270">
        <v>70301.100000000006</v>
      </c>
      <c r="N90" s="129">
        <f t="shared" si="5"/>
        <v>-4.6171237940462184E-2</v>
      </c>
      <c r="O90" s="270">
        <v>25014.6</v>
      </c>
      <c r="P90" s="129">
        <f t="shared" si="5"/>
        <v>-4.4476573735768743E-2</v>
      </c>
    </row>
    <row r="91" spans="2:16" x14ac:dyDescent="0.3">
      <c r="B91" s="269">
        <v>46043</v>
      </c>
      <c r="C91" s="270">
        <v>1838</v>
      </c>
      <c r="D91" s="129">
        <f t="shared" si="7"/>
        <v>-6.667343726197128E-2</v>
      </c>
      <c r="E91" s="270">
        <v>61846.94</v>
      </c>
      <c r="F91" s="129">
        <f t="shared" si="7"/>
        <v>-9.1816637151581615E-3</v>
      </c>
      <c r="G91" s="270">
        <v>25157.5</v>
      </c>
      <c r="H91" s="129">
        <f t="shared" si="6"/>
        <v>-2.9723570791637677E-3</v>
      </c>
      <c r="J91" s="269">
        <v>45564</v>
      </c>
      <c r="K91" s="270">
        <v>2220.4499999999998</v>
      </c>
      <c r="L91" s="129">
        <f t="shared" si="5"/>
        <v>-2.8292354328057767E-3</v>
      </c>
      <c r="M91" s="270">
        <v>73704.11</v>
      </c>
      <c r="N91" s="129">
        <f t="shared" si="5"/>
        <v>4.5005110128413239E-3</v>
      </c>
      <c r="O91" s="270">
        <v>26178.95</v>
      </c>
      <c r="P91" s="129">
        <f t="shared" si="5"/>
        <v>1.5044036764834123E-2</v>
      </c>
    </row>
    <row r="92" spans="2:16" x14ac:dyDescent="0.3">
      <c r="B92" s="269">
        <v>46042</v>
      </c>
      <c r="C92" s="270">
        <v>1969.3</v>
      </c>
      <c r="D92" s="129">
        <f t="shared" si="7"/>
        <v>-8.8580200312045054E-3</v>
      </c>
      <c r="E92" s="270">
        <v>62420.06</v>
      </c>
      <c r="F92" s="129">
        <f t="shared" si="7"/>
        <v>-2.7558152885720721E-2</v>
      </c>
      <c r="G92" s="270">
        <v>25232.5</v>
      </c>
      <c r="H92" s="129">
        <f t="shared" si="6"/>
        <v>-1.3796877137441155E-2</v>
      </c>
      <c r="J92" s="269">
        <v>45557</v>
      </c>
      <c r="K92" s="270">
        <v>2226.75</v>
      </c>
      <c r="L92" s="129">
        <f t="shared" si="5"/>
        <v>-1.5670586155070221E-2</v>
      </c>
      <c r="M92" s="270">
        <v>73373.89</v>
      </c>
      <c r="N92" s="129">
        <f t="shared" si="5"/>
        <v>9.9083312813705859E-3</v>
      </c>
      <c r="O92" s="270">
        <v>25790.95</v>
      </c>
      <c r="P92" s="129">
        <f t="shared" si="5"/>
        <v>1.7133673811448702E-2</v>
      </c>
    </row>
    <row r="93" spans="2:16" x14ac:dyDescent="0.3">
      <c r="B93" s="269">
        <v>46041</v>
      </c>
      <c r="C93" s="270">
        <v>1986.9</v>
      </c>
      <c r="D93" s="129">
        <f t="shared" si="7"/>
        <v>7.198256197090247E-3</v>
      </c>
      <c r="E93" s="270">
        <v>64188.99</v>
      </c>
      <c r="F93" s="129">
        <f t="shared" si="7"/>
        <v>3.6986855077483227E-3</v>
      </c>
      <c r="G93" s="270">
        <v>25585.5</v>
      </c>
      <c r="H93" s="129">
        <f t="shared" si="6"/>
        <v>-4.2363398957357967E-3</v>
      </c>
      <c r="J93" s="269">
        <v>45550</v>
      </c>
      <c r="K93" s="270">
        <v>2262.1999999999998</v>
      </c>
      <c r="L93" s="129">
        <f t="shared" si="5"/>
        <v>-5.1890941072999519E-3</v>
      </c>
      <c r="M93" s="270">
        <v>72654.009999999995</v>
      </c>
      <c r="N93" s="129">
        <f t="shared" si="5"/>
        <v>2.1233311874327088E-2</v>
      </c>
      <c r="O93" s="270">
        <v>25356.5</v>
      </c>
      <c r="P93" s="129">
        <f t="shared" si="5"/>
        <v>2.0294018827344829E-2</v>
      </c>
    </row>
    <row r="94" spans="2:16" x14ac:dyDescent="0.3">
      <c r="B94" s="269">
        <v>46038</v>
      </c>
      <c r="C94" s="270">
        <v>1972.7</v>
      </c>
      <c r="D94" s="129">
        <f t="shared" si="7"/>
        <v>-1.4586143163994203E-2</v>
      </c>
      <c r="E94" s="270">
        <v>63952.45</v>
      </c>
      <c r="F94" s="129">
        <f t="shared" si="7"/>
        <v>-1.2261847615835153E-2</v>
      </c>
      <c r="G94" s="270">
        <v>25694.35</v>
      </c>
      <c r="H94" s="129">
        <f t="shared" si="6"/>
        <v>1.1201764229162858E-3</v>
      </c>
      <c r="J94" s="269">
        <v>45543</v>
      </c>
      <c r="K94" s="270">
        <v>2274</v>
      </c>
      <c r="L94" s="129">
        <f t="shared" si="5"/>
        <v>2.9215415601167694E-2</v>
      </c>
      <c r="M94" s="270">
        <v>71143.399999999994</v>
      </c>
      <c r="N94" s="129">
        <f t="shared" si="5"/>
        <v>-2.7688771954712754E-2</v>
      </c>
      <c r="O94" s="270">
        <v>24852.15</v>
      </c>
      <c r="P94" s="129">
        <f t="shared" si="5"/>
        <v>-1.5206511358818231E-2</v>
      </c>
    </row>
    <row r="95" spans="2:16" x14ac:dyDescent="0.3">
      <c r="B95" s="269">
        <v>46036</v>
      </c>
      <c r="C95" s="270">
        <v>2001.9</v>
      </c>
      <c r="D95" s="129">
        <f t="shared" si="7"/>
        <v>-2.650262594825914E-2</v>
      </c>
      <c r="E95" s="270">
        <v>64746.36</v>
      </c>
      <c r="F95" s="129">
        <f t="shared" si="7"/>
        <v>2.0835222824830968E-3</v>
      </c>
      <c r="G95" s="270">
        <v>25665.599999999999</v>
      </c>
      <c r="H95" s="129">
        <f t="shared" si="6"/>
        <v>-2.5920729977498835E-3</v>
      </c>
      <c r="J95" s="269">
        <v>45536</v>
      </c>
      <c r="K95" s="270">
        <v>2209.4499999999998</v>
      </c>
      <c r="L95" s="129">
        <f t="shared" si="5"/>
        <v>9.9776007964161195E-2</v>
      </c>
      <c r="M95" s="270">
        <v>73169.37</v>
      </c>
      <c r="N95" s="129">
        <f t="shared" si="5"/>
        <v>-2.5536863026827117E-3</v>
      </c>
      <c r="O95" s="270">
        <v>25235.9</v>
      </c>
      <c r="P95" s="129">
        <f t="shared" si="5"/>
        <v>1.6627623810837822E-2</v>
      </c>
    </row>
    <row r="96" spans="2:16" x14ac:dyDescent="0.3">
      <c r="B96" s="269">
        <v>46035</v>
      </c>
      <c r="C96" s="270">
        <v>2056.4</v>
      </c>
      <c r="D96" s="129">
        <f t="shared" si="7"/>
        <v>-3.0182984342576824E-2</v>
      </c>
      <c r="E96" s="270">
        <v>64611.74</v>
      </c>
      <c r="F96" s="129">
        <f t="shared" si="7"/>
        <v>-6.7055180242504564E-3</v>
      </c>
      <c r="G96" s="270">
        <v>25732.3</v>
      </c>
      <c r="H96" s="129">
        <f t="shared" si="6"/>
        <v>-2.2469731778482771E-3</v>
      </c>
      <c r="J96" s="269">
        <v>45529</v>
      </c>
      <c r="K96" s="270">
        <v>2009</v>
      </c>
      <c r="L96" s="129">
        <f t="shared" si="5"/>
        <v>5.9515333702502282E-2</v>
      </c>
      <c r="M96" s="270">
        <v>73356.7</v>
      </c>
      <c r="N96" s="129">
        <f t="shared" si="5"/>
        <v>6.988977120307327E-3</v>
      </c>
      <c r="O96" s="270">
        <v>24823.15</v>
      </c>
      <c r="P96" s="129">
        <f t="shared" si="5"/>
        <v>1.1490904052988471E-2</v>
      </c>
    </row>
    <row r="97" spans="2:16" x14ac:dyDescent="0.3">
      <c r="B97" s="269">
        <v>46034</v>
      </c>
      <c r="C97" s="270">
        <v>2120.4</v>
      </c>
      <c r="D97" s="129">
        <f t="shared" si="7"/>
        <v>-1.9966722129783565E-2</v>
      </c>
      <c r="E97" s="270">
        <v>65047.92</v>
      </c>
      <c r="F97" s="129">
        <f t="shared" si="7"/>
        <v>-8.1541333543958538E-3</v>
      </c>
      <c r="G97" s="270">
        <v>25790.25</v>
      </c>
      <c r="H97" s="129">
        <f t="shared" si="6"/>
        <v>4.164184509000135E-3</v>
      </c>
      <c r="J97" s="269">
        <v>45522</v>
      </c>
      <c r="K97" s="270">
        <v>1896.15</v>
      </c>
      <c r="L97" s="129">
        <f t="shared" si="5"/>
        <v>5.0993542665521252E-2</v>
      </c>
      <c r="M97" s="270">
        <v>72847.570000000007</v>
      </c>
      <c r="N97" s="129">
        <f t="shared" si="5"/>
        <v>4.4292879565257515E-3</v>
      </c>
      <c r="O97" s="270">
        <v>24541.15</v>
      </c>
      <c r="P97" s="129">
        <f t="shared" si="5"/>
        <v>7.1262952703396998E-3</v>
      </c>
    </row>
    <row r="98" spans="2:16" x14ac:dyDescent="0.3">
      <c r="B98" s="269">
        <v>46031</v>
      </c>
      <c r="C98" s="270">
        <v>2163.6</v>
      </c>
      <c r="D98" s="129">
        <f t="shared" si="7"/>
        <v>-1.6545454545454641E-2</v>
      </c>
      <c r="E98" s="270">
        <v>65582.69</v>
      </c>
      <c r="F98" s="129">
        <f t="shared" si="7"/>
        <v>-1.0336265130874489E-2</v>
      </c>
      <c r="G98" s="270">
        <v>25683.3</v>
      </c>
      <c r="H98" s="129">
        <f t="shared" si="6"/>
        <v>-7.4796584592019544E-3</v>
      </c>
      <c r="J98" s="269">
        <v>45515</v>
      </c>
      <c r="K98" s="270">
        <v>1804.15</v>
      </c>
      <c r="L98" s="129">
        <f t="shared" si="5"/>
        <v>6.3028139554341944E-3</v>
      </c>
      <c r="M98" s="270">
        <v>72526.33</v>
      </c>
      <c r="N98" s="129">
        <f t="shared" si="5"/>
        <v>-1.2953245531220126E-2</v>
      </c>
      <c r="O98" s="270">
        <v>24367.5</v>
      </c>
      <c r="P98" s="129">
        <f t="shared" si="5"/>
        <v>-1.4167984885325113E-2</v>
      </c>
    </row>
    <row r="99" spans="2:16" x14ac:dyDescent="0.3">
      <c r="B99" s="269">
        <v>46030</v>
      </c>
      <c r="C99" s="270">
        <v>2200</v>
      </c>
      <c r="D99" s="129">
        <f t="shared" si="7"/>
        <v>-7.8022820547513083E-3</v>
      </c>
      <c r="E99" s="270">
        <v>66267.649999999994</v>
      </c>
      <c r="F99" s="129">
        <f t="shared" si="7"/>
        <v>-2.3126066167387438E-2</v>
      </c>
      <c r="G99" s="270">
        <v>25876.85</v>
      </c>
      <c r="H99" s="129">
        <f t="shared" si="6"/>
        <v>-1.0095349215305638E-2</v>
      </c>
      <c r="J99" s="269">
        <v>45508</v>
      </c>
      <c r="K99" s="270">
        <v>1792.85</v>
      </c>
      <c r="L99" s="129">
        <f t="shared" si="5"/>
        <v>-5.6846542066441019E-3</v>
      </c>
      <c r="M99" s="270">
        <v>73478.11</v>
      </c>
      <c r="N99" s="129">
        <f t="shared" si="5"/>
        <v>1.1151794382984193E-3</v>
      </c>
      <c r="O99" s="270">
        <v>24717.7</v>
      </c>
      <c r="P99" s="129">
        <f t="shared" si="5"/>
        <v>-4.7171615693268887E-3</v>
      </c>
    </row>
    <row r="100" spans="2:16" x14ac:dyDescent="0.3">
      <c r="B100" s="269">
        <v>46029</v>
      </c>
      <c r="C100" s="270">
        <v>2217.3000000000002</v>
      </c>
      <c r="D100" s="129">
        <f t="shared" si="7"/>
        <v>-1.3437152391546081E-2</v>
      </c>
      <c r="E100" s="270">
        <v>67836.44</v>
      </c>
      <c r="F100" s="129">
        <f t="shared" si="7"/>
        <v>4.1406693724428401E-3</v>
      </c>
      <c r="G100" s="270">
        <v>26140.75</v>
      </c>
      <c r="H100" s="129">
        <f t="shared" si="6"/>
        <v>-1.4496518161711824E-3</v>
      </c>
      <c r="J100" s="269">
        <v>45501</v>
      </c>
      <c r="K100" s="270">
        <v>1803.1</v>
      </c>
      <c r="L100" s="129">
        <f t="shared" si="5"/>
        <v>1.5401942841053007E-2</v>
      </c>
      <c r="M100" s="270">
        <v>73396.259999999995</v>
      </c>
      <c r="N100" s="129">
        <f t="shared" si="5"/>
        <v>2.5099313302095583E-2</v>
      </c>
      <c r="O100" s="270">
        <v>24834.85</v>
      </c>
      <c r="P100" s="129">
        <f t="shared" si="5"/>
        <v>1.2390495252925682E-2</v>
      </c>
    </row>
    <row r="101" spans="2:16" x14ac:dyDescent="0.3">
      <c r="B101" s="269">
        <v>46028</v>
      </c>
      <c r="C101" s="270">
        <v>2247.5</v>
      </c>
      <c r="D101" s="129">
        <f t="shared" si="7"/>
        <v>-8.8908646365859489E-4</v>
      </c>
      <c r="E101" s="270">
        <v>67556.710000000006</v>
      </c>
      <c r="F101" s="129">
        <f t="shared" si="7"/>
        <v>-6.3401118083605823E-3</v>
      </c>
      <c r="G101" s="270">
        <v>26178.7</v>
      </c>
      <c r="H101" s="129">
        <f t="shared" si="6"/>
        <v>-2.7275878751861216E-3</v>
      </c>
      <c r="J101" s="269">
        <v>45494</v>
      </c>
      <c r="K101" s="270">
        <v>1775.75</v>
      </c>
      <c r="L101" s="129">
        <f t="shared" si="5"/>
        <v>-7.5173261792980117E-3</v>
      </c>
      <c r="M101" s="270">
        <v>71599.17</v>
      </c>
      <c r="N101" s="129">
        <f t="shared" si="5"/>
        <v>-4.4719009378139551E-2</v>
      </c>
      <c r="O101" s="270">
        <v>24530.9</v>
      </c>
      <c r="P101" s="129">
        <f t="shared" si="5"/>
        <v>1.1733664188653403E-3</v>
      </c>
    </row>
    <row r="102" spans="2:16" x14ac:dyDescent="0.3">
      <c r="B102" s="269">
        <v>46027</v>
      </c>
      <c r="C102" s="270">
        <v>2249.5</v>
      </c>
      <c r="D102" s="129">
        <f t="shared" si="7"/>
        <v>-3.0579684453111433E-3</v>
      </c>
      <c r="E102" s="270">
        <v>67987.759999999995</v>
      </c>
      <c r="F102" s="129">
        <f t="shared" si="7"/>
        <v>1.6949372295671505E-3</v>
      </c>
      <c r="G102" s="270">
        <v>26250.3</v>
      </c>
      <c r="H102" s="129">
        <f t="shared" si="6"/>
        <v>-2.9720588486642496E-3</v>
      </c>
      <c r="J102" s="269">
        <v>45487</v>
      </c>
      <c r="K102" s="270">
        <v>1789.2</v>
      </c>
      <c r="L102" s="129">
        <f t="shared" si="5"/>
        <v>-8.698542855559932E-3</v>
      </c>
      <c r="M102" s="270">
        <v>74950.899999999994</v>
      </c>
      <c r="N102" s="129">
        <f t="shared" si="5"/>
        <v>-2.402855901983969E-3</v>
      </c>
      <c r="O102" s="270">
        <v>24502.15</v>
      </c>
      <c r="P102" s="129">
        <f t="shared" si="5"/>
        <v>7.3302540510651326E-3</v>
      </c>
    </row>
    <row r="103" spans="2:16" x14ac:dyDescent="0.3">
      <c r="B103" s="269">
        <v>46024</v>
      </c>
      <c r="C103" s="270">
        <v>2256.4</v>
      </c>
      <c r="D103" s="129">
        <f t="shared" si="7"/>
        <v>1.1022493054933191E-2</v>
      </c>
      <c r="E103" s="270">
        <v>67872.72</v>
      </c>
      <c r="F103" s="129">
        <f t="shared" si="7"/>
        <v>9.1130241579737703E-3</v>
      </c>
      <c r="G103" s="270">
        <v>26328.55</v>
      </c>
      <c r="H103" s="129">
        <f t="shared" si="6"/>
        <v>6.9607653782239876E-3</v>
      </c>
      <c r="J103" s="269">
        <v>45480</v>
      </c>
      <c r="K103" s="270">
        <v>1804.9</v>
      </c>
      <c r="L103" s="129">
        <f t="shared" si="5"/>
        <v>-8.0514412904288957E-3</v>
      </c>
      <c r="M103" s="270">
        <v>75131.429999999993</v>
      </c>
      <c r="N103" s="129">
        <f t="shared" si="5"/>
        <v>3.8811516056612039E-2</v>
      </c>
      <c r="O103" s="270">
        <v>24323.85</v>
      </c>
      <c r="P103" s="129">
        <f t="shared" si="5"/>
        <v>1.3046321208133094E-2</v>
      </c>
    </row>
    <row r="104" spans="2:16" x14ac:dyDescent="0.3">
      <c r="B104" s="269">
        <v>46023</v>
      </c>
      <c r="C104" s="270">
        <v>2231.8000000000002</v>
      </c>
      <c r="D104" s="129">
        <f t="shared" si="7"/>
        <v>-5.0376710802013669E-3</v>
      </c>
      <c r="E104" s="270">
        <v>67259.78</v>
      </c>
      <c r="F104" s="129">
        <f t="shared" si="7"/>
        <v>2.2019907021098017E-3</v>
      </c>
      <c r="G104" s="270">
        <v>26146.55</v>
      </c>
      <c r="H104" s="129">
        <f t="shared" si="6"/>
        <v>6.4868960871966586E-4</v>
      </c>
      <c r="J104" s="269">
        <v>45473</v>
      </c>
      <c r="K104" s="270">
        <v>1819.55</v>
      </c>
      <c r="L104" s="129">
        <f t="shared" si="5"/>
        <v>-4.7380958613648883E-2</v>
      </c>
      <c r="M104" s="270">
        <v>72324.41</v>
      </c>
      <c r="N104" s="129">
        <f t="shared" si="5"/>
        <v>7.5953737028626733E-3</v>
      </c>
      <c r="O104" s="270">
        <v>24010.6</v>
      </c>
      <c r="P104" s="129">
        <f t="shared" si="5"/>
        <v>2.1679836262983532E-2</v>
      </c>
    </row>
    <row r="105" spans="2:16" x14ac:dyDescent="0.3">
      <c r="B105" s="269">
        <v>46022</v>
      </c>
      <c r="C105" s="270">
        <v>2243.1</v>
      </c>
      <c r="D105" s="129">
        <f t="shared" si="7"/>
        <v>6.8225683378966284E-3</v>
      </c>
      <c r="E105" s="270">
        <v>67112</v>
      </c>
      <c r="F105" s="129">
        <f t="shared" si="7"/>
        <v>1.1236429102248868E-2</v>
      </c>
      <c r="G105" s="270">
        <v>26129.599999999999</v>
      </c>
      <c r="H105" s="129">
        <f t="shared" si="6"/>
        <v>7.3538341136942798E-3</v>
      </c>
      <c r="J105" s="269">
        <v>45466</v>
      </c>
      <c r="K105" s="270">
        <v>1910.05</v>
      </c>
      <c r="L105" s="129">
        <f t="shared" si="5"/>
        <v>6.8320375859947324E-2</v>
      </c>
      <c r="M105" s="270">
        <v>71779.22</v>
      </c>
      <c r="N105" s="129">
        <f t="shared" si="5"/>
        <v>-2.015542267552628E-2</v>
      </c>
      <c r="O105" s="270">
        <v>23501.1</v>
      </c>
      <c r="P105" s="129">
        <f t="shared" si="5"/>
        <v>1.5128528569481325E-3</v>
      </c>
    </row>
    <row r="106" spans="2:16" x14ac:dyDescent="0.3">
      <c r="B106" s="269">
        <v>46021</v>
      </c>
      <c r="C106" s="270">
        <v>2227.9</v>
      </c>
      <c r="D106" s="129">
        <f t="shared" si="7"/>
        <v>-8.3236891302411742E-3</v>
      </c>
      <c r="E106" s="270">
        <v>66366.28</v>
      </c>
      <c r="F106" s="129">
        <f t="shared" si="7"/>
        <v>-4.4867359209929125E-3</v>
      </c>
      <c r="G106" s="270">
        <v>25938.85</v>
      </c>
      <c r="H106" s="129">
        <f t="shared" si="6"/>
        <v>-1.2527898666647719E-4</v>
      </c>
      <c r="J106" s="269">
        <v>45459</v>
      </c>
      <c r="K106" s="270">
        <v>1787.9</v>
      </c>
      <c r="L106" s="129">
        <f t="shared" si="5"/>
        <v>1.3749893686389125E-2</v>
      </c>
      <c r="M106" s="270">
        <v>73255.72</v>
      </c>
      <c r="N106" s="129">
        <f t="shared" si="5"/>
        <v>6.3955199146694675E-2</v>
      </c>
      <c r="O106" s="270">
        <v>23465.599999999999</v>
      </c>
      <c r="P106" s="129">
        <f t="shared" si="5"/>
        <v>7.5332275661599279E-3</v>
      </c>
    </row>
    <row r="107" spans="2:16" x14ac:dyDescent="0.3">
      <c r="B107" s="269">
        <v>46020</v>
      </c>
      <c r="C107" s="270">
        <v>2246.6</v>
      </c>
      <c r="D107" s="129">
        <f t="shared" si="7"/>
        <v>1.0207293493412317E-2</v>
      </c>
      <c r="E107" s="270">
        <v>66665.39</v>
      </c>
      <c r="F107" s="129">
        <f t="shared" si="7"/>
        <v>-7.0920306290171986E-3</v>
      </c>
      <c r="G107" s="270">
        <v>25942.1</v>
      </c>
      <c r="H107" s="129">
        <f t="shared" si="6"/>
        <v>-3.8475864266981352E-3</v>
      </c>
      <c r="J107" s="269">
        <v>45452</v>
      </c>
      <c r="K107" s="270">
        <v>1763.65</v>
      </c>
      <c r="L107" s="129">
        <f t="shared" si="5"/>
        <v>2.1192206363452204E-2</v>
      </c>
      <c r="M107" s="270">
        <v>68852.259999999995</v>
      </c>
      <c r="N107" s="129">
        <f t="shared" si="5"/>
        <v>-1.717650716424135E-2</v>
      </c>
      <c r="O107" s="270">
        <v>23290.15</v>
      </c>
      <c r="P107" s="129">
        <f t="shared" si="5"/>
        <v>3.3707341538434354E-2</v>
      </c>
    </row>
    <row r="108" spans="2:16" x14ac:dyDescent="0.3">
      <c r="B108" s="269">
        <v>46017</v>
      </c>
      <c r="C108" s="270">
        <v>2223.9</v>
      </c>
      <c r="D108" s="129">
        <f t="shared" si="7"/>
        <v>4.5622910832052721E-3</v>
      </c>
      <c r="E108" s="270">
        <v>67141.56</v>
      </c>
      <c r="F108" s="129">
        <f t="shared" si="7"/>
        <v>-5.3660690755288343E-3</v>
      </c>
      <c r="G108" s="270">
        <v>26042.3</v>
      </c>
      <c r="H108" s="129">
        <f t="shared" si="6"/>
        <v>-3.8175969030797008E-3</v>
      </c>
      <c r="J108" s="269">
        <v>45445</v>
      </c>
      <c r="K108" s="270">
        <v>1727.05</v>
      </c>
      <c r="L108" s="129">
        <f t="shared" si="5"/>
        <v>-1.9056003635124386E-2</v>
      </c>
      <c r="M108" s="270">
        <v>70055.570000000007</v>
      </c>
      <c r="N108" s="129">
        <f t="shared" si="5"/>
        <v>-2.5616678975258766E-3</v>
      </c>
      <c r="O108" s="270">
        <v>22530.7</v>
      </c>
      <c r="P108" s="129">
        <f t="shared" si="5"/>
        <v>-1.8573774562117951E-2</v>
      </c>
    </row>
    <row r="109" spans="2:16" x14ac:dyDescent="0.3">
      <c r="B109" s="269">
        <v>46015</v>
      </c>
      <c r="C109" s="270">
        <v>2213.8000000000002</v>
      </c>
      <c r="D109" s="129">
        <f t="shared" si="7"/>
        <v>3.9453993016191902E-3</v>
      </c>
      <c r="E109" s="270">
        <v>67503.789999999994</v>
      </c>
      <c r="F109" s="129">
        <f t="shared" si="7"/>
        <v>-2.0764514352662466E-3</v>
      </c>
      <c r="G109" s="270">
        <v>26142.1</v>
      </c>
      <c r="H109" s="129">
        <f t="shared" si="6"/>
        <v>-1.3389540114184806E-3</v>
      </c>
      <c r="J109" s="269">
        <v>45438</v>
      </c>
      <c r="K109" s="270">
        <v>1760.6</v>
      </c>
      <c r="L109" s="129">
        <f t="shared" si="5"/>
        <v>-5.242195909580194E-2</v>
      </c>
      <c r="M109" s="270">
        <v>70235.490000000005</v>
      </c>
      <c r="N109" s="129">
        <f t="shared" si="5"/>
        <v>4.7000896656433033E-2</v>
      </c>
      <c r="O109" s="270">
        <v>22957.1</v>
      </c>
      <c r="P109" s="129">
        <f t="shared" si="5"/>
        <v>2.0224868900542203E-2</v>
      </c>
    </row>
    <row r="110" spans="2:16" x14ac:dyDescent="0.3">
      <c r="B110" s="269">
        <v>46014</v>
      </c>
      <c r="C110" s="270">
        <v>2205.1</v>
      </c>
      <c r="D110" s="129">
        <f t="shared" si="7"/>
        <v>-4.3796279573777852E-3</v>
      </c>
      <c r="E110" s="270">
        <v>67644.25</v>
      </c>
      <c r="F110" s="129">
        <f t="shared" si="7"/>
        <v>1.858596444743732E-4</v>
      </c>
      <c r="G110" s="270">
        <v>26177.15</v>
      </c>
      <c r="H110" s="129">
        <f t="shared" si="6"/>
        <v>1.8148889670044355E-4</v>
      </c>
      <c r="J110" s="269">
        <v>45431</v>
      </c>
      <c r="K110" s="270">
        <v>1858</v>
      </c>
      <c r="L110" s="129">
        <f t="shared" si="5"/>
        <v>2.3494092048365278E-2</v>
      </c>
      <c r="M110" s="270">
        <v>67082.55</v>
      </c>
      <c r="N110" s="129">
        <f t="shared" si="5"/>
        <v>9.9939692540173874E-2</v>
      </c>
      <c r="O110" s="270">
        <v>22502</v>
      </c>
      <c r="P110" s="129">
        <f t="shared" si="5"/>
        <v>2.0258261090355001E-2</v>
      </c>
    </row>
    <row r="111" spans="2:16" x14ac:dyDescent="0.3">
      <c r="B111" s="269">
        <v>46013</v>
      </c>
      <c r="C111" s="270">
        <v>2214.8000000000002</v>
      </c>
      <c r="D111" s="129">
        <f t="shared" si="7"/>
        <v>1.7597059499196099E-2</v>
      </c>
      <c r="E111" s="270">
        <v>67631.679999999993</v>
      </c>
      <c r="F111" s="129">
        <f t="shared" si="7"/>
        <v>1.6497725524475815E-2</v>
      </c>
      <c r="G111" s="270">
        <v>26172.400000000001</v>
      </c>
      <c r="H111" s="129">
        <f t="shared" si="6"/>
        <v>7.9333292254606391E-3</v>
      </c>
      <c r="J111" s="269">
        <v>45424</v>
      </c>
      <c r="K111" s="270">
        <v>1815.35</v>
      </c>
      <c r="L111" s="129">
        <f t="shared" si="5"/>
        <v>-1.1408811196427671E-2</v>
      </c>
      <c r="M111" s="270">
        <v>60987.48</v>
      </c>
      <c r="N111" s="129">
        <f t="shared" si="5"/>
        <v>-2.6019559625748534E-2</v>
      </c>
      <c r="O111" s="270">
        <v>22055.200000000001</v>
      </c>
      <c r="P111" s="129">
        <f t="shared" si="5"/>
        <v>-1.8715643679771743E-2</v>
      </c>
    </row>
    <row r="112" spans="2:16" x14ac:dyDescent="0.3">
      <c r="B112" s="269">
        <v>46010</v>
      </c>
      <c r="C112" s="270">
        <v>2176.5</v>
      </c>
      <c r="D112" s="129">
        <f t="shared" si="7"/>
        <v>1.0398774430156577E-2</v>
      </c>
      <c r="E112" s="270">
        <v>66534.02</v>
      </c>
      <c r="F112" s="129">
        <f t="shared" si="7"/>
        <v>1.652715535654381E-2</v>
      </c>
      <c r="G112" s="270">
        <v>25966.400000000001</v>
      </c>
      <c r="H112" s="129">
        <f t="shared" si="6"/>
        <v>5.8433773442752024E-3</v>
      </c>
      <c r="J112" s="269">
        <v>45417</v>
      </c>
      <c r="K112" s="270">
        <v>1836.3</v>
      </c>
      <c r="L112" s="129">
        <f t="shared" si="5"/>
        <v>2.6525421360091617E-2</v>
      </c>
      <c r="M112" s="270">
        <v>62616.74</v>
      </c>
      <c r="N112" s="129">
        <f t="shared" si="5"/>
        <v>-7.8952642832416098E-3</v>
      </c>
      <c r="O112" s="270">
        <v>22475.85</v>
      </c>
      <c r="P112" s="129">
        <f t="shared" si="5"/>
        <v>2.4933151055197555E-3</v>
      </c>
    </row>
    <row r="113" spans="2:16" x14ac:dyDescent="0.3">
      <c r="B113" s="269">
        <v>46009</v>
      </c>
      <c r="C113" s="270">
        <v>2154.1</v>
      </c>
      <c r="D113" s="129">
        <f t="shared" si="7"/>
        <v>-1.0246278257673325E-2</v>
      </c>
      <c r="E113" s="270">
        <v>65452.28</v>
      </c>
      <c r="F113" s="129">
        <f t="shared" si="7"/>
        <v>-8.0255440059096017E-3</v>
      </c>
      <c r="G113" s="270">
        <v>25815.55</v>
      </c>
      <c r="H113" s="129">
        <f t="shared" si="6"/>
        <v>-1.1619552608488348E-4</v>
      </c>
      <c r="J113" s="269">
        <v>45410</v>
      </c>
      <c r="K113" s="270">
        <v>1788.85</v>
      </c>
      <c r="L113" s="129">
        <f t="shared" si="5"/>
        <v>7.4513455069677992E-2</v>
      </c>
      <c r="M113" s="270">
        <v>63115.05</v>
      </c>
      <c r="N113" s="129">
        <f t="shared" si="5"/>
        <v>3.4073018948514999E-2</v>
      </c>
      <c r="O113" s="270">
        <v>22419.95</v>
      </c>
      <c r="P113" s="129">
        <f t="shared" si="5"/>
        <v>1.2324468325281002E-2</v>
      </c>
    </row>
    <row r="114" spans="2:16" x14ac:dyDescent="0.3">
      <c r="B114" s="269">
        <v>46008</v>
      </c>
      <c r="C114" s="270">
        <v>2176.4</v>
      </c>
      <c r="D114" s="129">
        <f t="shared" si="7"/>
        <v>-1.1805303305484904E-2</v>
      </c>
      <c r="E114" s="270">
        <v>65981.820000000007</v>
      </c>
      <c r="F114" s="129">
        <f t="shared" si="7"/>
        <v>-9.5556182676255208E-3</v>
      </c>
      <c r="G114" s="270">
        <v>25818.55</v>
      </c>
      <c r="H114" s="129">
        <f t="shared" si="6"/>
        <v>-1.6067223251263751E-3</v>
      </c>
      <c r="J114" s="269">
        <v>45403</v>
      </c>
      <c r="K114" s="270">
        <v>1664.8</v>
      </c>
      <c r="L114" s="129">
        <f t="shared" si="5"/>
        <v>-1.2468709589398608E-2</v>
      </c>
      <c r="M114" s="270">
        <v>61035.39</v>
      </c>
      <c r="N114" s="129">
        <f t="shared" si="5"/>
        <v>-1.9539055380468962E-2</v>
      </c>
      <c r="O114" s="270">
        <v>22147</v>
      </c>
      <c r="P114" s="129">
        <f t="shared" si="5"/>
        <v>-1.6536852669254087E-2</v>
      </c>
    </row>
    <row r="115" spans="2:16" x14ac:dyDescent="0.3">
      <c r="B115" s="269">
        <v>46007</v>
      </c>
      <c r="C115" s="270">
        <v>2202.4</v>
      </c>
      <c r="D115" s="129">
        <f t="shared" si="7"/>
        <v>-3.2889825670750494E-2</v>
      </c>
      <c r="E115" s="270">
        <v>66618.399999999994</v>
      </c>
      <c r="F115" s="129">
        <f t="shared" si="7"/>
        <v>-5.0907066340479812E-3</v>
      </c>
      <c r="G115" s="270">
        <v>25860.1</v>
      </c>
      <c r="H115" s="129">
        <f t="shared" si="6"/>
        <v>-6.4240240055634112E-3</v>
      </c>
      <c r="J115" s="269">
        <v>45396</v>
      </c>
      <c r="K115" s="270">
        <v>1685.82</v>
      </c>
      <c r="L115" s="129">
        <f t="shared" si="5"/>
        <v>-2.2962656092798683E-3</v>
      </c>
      <c r="M115" s="270">
        <v>62251.73</v>
      </c>
      <c r="N115" s="129">
        <f t="shared" si="5"/>
        <v>-3.4774070194220075E-3</v>
      </c>
      <c r="O115" s="270">
        <v>22519.4</v>
      </c>
      <c r="P115" s="129">
        <f t="shared" si="5"/>
        <v>2.5317917534661838E-4</v>
      </c>
    </row>
    <row r="116" spans="2:16" x14ac:dyDescent="0.3">
      <c r="B116" s="269">
        <v>46006</v>
      </c>
      <c r="C116" s="270">
        <v>2277.3000000000002</v>
      </c>
      <c r="D116" s="129">
        <f t="shared" si="7"/>
        <v>2.6458126746597088E-2</v>
      </c>
      <c r="E116" s="270">
        <v>66959.27</v>
      </c>
      <c r="F116" s="129">
        <f t="shared" si="7"/>
        <v>2.656709869522933E-3</v>
      </c>
      <c r="G116" s="270">
        <v>26027.3</v>
      </c>
      <c r="H116" s="129">
        <f t="shared" si="6"/>
        <v>-7.5440694591888402E-4</v>
      </c>
      <c r="J116" s="269">
        <v>45389</v>
      </c>
      <c r="K116" s="270">
        <v>1689.7</v>
      </c>
      <c r="L116" s="129">
        <f t="shared" si="5"/>
        <v>6.9917937287877985E-2</v>
      </c>
      <c r="M116" s="270">
        <v>62468.959999999999</v>
      </c>
      <c r="N116" s="129">
        <f t="shared" si="5"/>
        <v>2.5037116576899887E-2</v>
      </c>
      <c r="O116" s="270">
        <v>22513.7</v>
      </c>
      <c r="P116" s="129">
        <f t="shared" si="5"/>
        <v>8.3665891816597782E-3</v>
      </c>
    </row>
    <row r="117" spans="2:16" x14ac:dyDescent="0.3">
      <c r="B117" s="269">
        <v>46003</v>
      </c>
      <c r="C117" s="270">
        <v>2218.6</v>
      </c>
      <c r="D117" s="129">
        <f t="shared" si="7"/>
        <v>-8.106647450910609E-4</v>
      </c>
      <c r="E117" s="270">
        <v>66781.850000000006</v>
      </c>
      <c r="F117" s="129">
        <f t="shared" si="7"/>
        <v>7.6662293896621048E-3</v>
      </c>
      <c r="G117" s="270">
        <v>26046.95</v>
      </c>
      <c r="H117" s="129">
        <f t="shared" si="6"/>
        <v>5.7300505240640565E-3</v>
      </c>
      <c r="J117" s="269">
        <v>45382</v>
      </c>
      <c r="K117" s="270">
        <v>1579.28</v>
      </c>
      <c r="L117" s="129">
        <f t="shared" si="5"/>
        <v>-7.6346430568734469E-3</v>
      </c>
      <c r="M117" s="270">
        <v>60943.12</v>
      </c>
      <c r="N117" s="129">
        <f t="shared" si="5"/>
        <v>3.7747450675889249E-2</v>
      </c>
      <c r="O117" s="270">
        <v>22326.9</v>
      </c>
      <c r="P117" s="129">
        <f t="shared" si="5"/>
        <v>1.0415558849152129E-2</v>
      </c>
    </row>
    <row r="118" spans="2:16" x14ac:dyDescent="0.3">
      <c r="B118" s="269">
        <v>46002</v>
      </c>
      <c r="C118" s="270">
        <v>2220.4</v>
      </c>
      <c r="D118" s="129">
        <f t="shared" si="7"/>
        <v>8.9516971872587447E-3</v>
      </c>
      <c r="E118" s="270">
        <v>66273.78</v>
      </c>
      <c r="F118" s="129">
        <f t="shared" si="7"/>
        <v>5.5342956093109574E-3</v>
      </c>
      <c r="G118" s="270">
        <v>25898.55</v>
      </c>
      <c r="H118" s="129">
        <f t="shared" si="6"/>
        <v>5.4565571861169282E-3</v>
      </c>
      <c r="J118" s="269">
        <v>45375</v>
      </c>
      <c r="K118" s="270">
        <v>1591.43</v>
      </c>
      <c r="L118" s="129">
        <f t="shared" si="5"/>
        <v>0.17265238151379414</v>
      </c>
      <c r="M118" s="270">
        <v>58726.35</v>
      </c>
      <c r="N118" s="129">
        <f t="shared" si="5"/>
        <v>3.3549776883335936E-2</v>
      </c>
      <c r="O118" s="270">
        <v>22096.75</v>
      </c>
      <c r="P118" s="129">
        <f t="shared" si="5"/>
        <v>3.3328262957270649E-3</v>
      </c>
    </row>
    <row r="119" spans="2:16" x14ac:dyDescent="0.3">
      <c r="B119" s="269">
        <v>46001</v>
      </c>
      <c r="C119" s="270">
        <v>2200.6999999999998</v>
      </c>
      <c r="D119" s="129">
        <f t="shared" si="7"/>
        <v>-7.9787234042554278E-3</v>
      </c>
      <c r="E119" s="270">
        <v>65909.02</v>
      </c>
      <c r="F119" s="129">
        <f t="shared" si="7"/>
        <v>-9.8536872193809577E-3</v>
      </c>
      <c r="G119" s="270">
        <v>25758</v>
      </c>
      <c r="H119" s="129">
        <f t="shared" si="6"/>
        <v>-3.15987252149319E-3</v>
      </c>
      <c r="J119" s="269">
        <v>45368</v>
      </c>
      <c r="K119" s="270">
        <v>1357.12</v>
      </c>
      <c r="L119" s="129">
        <f t="shared" si="5"/>
        <v>-3.5417036852766759E-2</v>
      </c>
      <c r="M119" s="270">
        <v>56820.05</v>
      </c>
      <c r="N119" s="129">
        <f t="shared" si="5"/>
        <v>-4.4507867332337914E-2</v>
      </c>
      <c r="O119" s="270">
        <v>22023.35</v>
      </c>
      <c r="P119" s="129">
        <f t="shared" si="5"/>
        <v>-2.0903770191899484E-2</v>
      </c>
    </row>
    <row r="120" spans="2:16" x14ac:dyDescent="0.3">
      <c r="B120" s="269">
        <v>46000</v>
      </c>
      <c r="C120" s="270">
        <v>2218.4</v>
      </c>
      <c r="D120" s="129">
        <f t="shared" si="7"/>
        <v>-1.3342821561999618E-2</v>
      </c>
      <c r="E120" s="270">
        <v>66564.929999999993</v>
      </c>
      <c r="F120" s="129">
        <f t="shared" si="7"/>
        <v>1.2655583858589114E-2</v>
      </c>
      <c r="G120" s="270">
        <v>25839.65</v>
      </c>
      <c r="H120" s="129">
        <f t="shared" si="6"/>
        <v>-4.6570662023723841E-3</v>
      </c>
      <c r="J120" s="269">
        <v>45361</v>
      </c>
      <c r="K120" s="270">
        <v>1406.95</v>
      </c>
      <c r="L120" s="129">
        <f t="shared" si="5"/>
        <v>1.2471035247046069E-2</v>
      </c>
      <c r="M120" s="270">
        <v>59466.79</v>
      </c>
      <c r="N120" s="129">
        <f t="shared" si="5"/>
        <v>5.270559501215466E-3</v>
      </c>
      <c r="O120" s="270">
        <v>22493.55</v>
      </c>
      <c r="P120" s="129">
        <f t="shared" si="5"/>
        <v>5.1455868158580831E-3</v>
      </c>
    </row>
    <row r="121" spans="2:16" x14ac:dyDescent="0.3">
      <c r="B121" s="269">
        <v>45999</v>
      </c>
      <c r="C121" s="270">
        <v>2248.4</v>
      </c>
      <c r="D121" s="129">
        <f t="shared" si="7"/>
        <v>2.9298663248489287E-2</v>
      </c>
      <c r="E121" s="270">
        <v>65733.039999999994</v>
      </c>
      <c r="F121" s="129">
        <f t="shared" si="7"/>
        <v>-2.8298661130506608E-2</v>
      </c>
      <c r="G121" s="270">
        <v>25960.55</v>
      </c>
      <c r="H121" s="129">
        <f t="shared" si="6"/>
        <v>-8.626598870790092E-3</v>
      </c>
      <c r="J121" s="269">
        <v>45354</v>
      </c>
      <c r="K121" s="270">
        <v>1389.62</v>
      </c>
      <c r="L121" s="129">
        <f t="shared" si="5"/>
        <v>-1.0326752699199471E-2</v>
      </c>
      <c r="M121" s="270">
        <v>59155.01</v>
      </c>
      <c r="N121" s="129">
        <f t="shared" si="5"/>
        <v>4.2707736412412656E-2</v>
      </c>
      <c r="O121" s="270">
        <v>22378.400000000001</v>
      </c>
      <c r="P121" s="129">
        <f t="shared" si="5"/>
        <v>7.4596964799416021E-3</v>
      </c>
    </row>
    <row r="122" spans="2:16" x14ac:dyDescent="0.3">
      <c r="B122" s="269">
        <v>45996</v>
      </c>
      <c r="C122" s="270">
        <v>2184.4</v>
      </c>
      <c r="D122" s="129">
        <f t="shared" si="7"/>
        <v>-1.2343446217841336E-2</v>
      </c>
      <c r="E122" s="270">
        <v>67647.37</v>
      </c>
      <c r="F122" s="129">
        <f t="shared" si="7"/>
        <v>-4.2081019542128395E-3</v>
      </c>
      <c r="G122" s="270">
        <v>26186.45</v>
      </c>
      <c r="H122" s="129">
        <f t="shared" si="6"/>
        <v>5.8654631007826197E-3</v>
      </c>
      <c r="J122" s="269">
        <v>45347</v>
      </c>
      <c r="K122" s="270">
        <v>1404.12</v>
      </c>
      <c r="L122" s="129">
        <f t="shared" si="5"/>
        <v>-3.7878580238454251E-2</v>
      </c>
      <c r="M122" s="270">
        <v>56732.11</v>
      </c>
      <c r="N122" s="129">
        <f t="shared" si="5"/>
        <v>1.3084790061030915E-2</v>
      </c>
      <c r="O122" s="270">
        <v>22212.7</v>
      </c>
      <c r="P122" s="129">
        <f t="shared" si="5"/>
        <v>7.8037448901351336E-3</v>
      </c>
    </row>
    <row r="123" spans="2:16" x14ac:dyDescent="0.3">
      <c r="B123" s="269">
        <v>45995</v>
      </c>
      <c r="C123" s="270">
        <v>2211.6999999999998</v>
      </c>
      <c r="D123" s="129">
        <f t="shared" si="7"/>
        <v>1.2312339802269978E-2</v>
      </c>
      <c r="E123" s="270">
        <v>67933.240000000005</v>
      </c>
      <c r="F123" s="129">
        <f t="shared" si="7"/>
        <v>-2.0744931358985808E-3</v>
      </c>
      <c r="G123" s="270">
        <v>26033.75</v>
      </c>
      <c r="H123" s="129">
        <f t="shared" si="6"/>
        <v>1.8375278996383138E-3</v>
      </c>
      <c r="J123" s="269">
        <v>45340</v>
      </c>
      <c r="K123" s="270">
        <v>1459.4</v>
      </c>
      <c r="L123" s="129">
        <f t="shared" si="5"/>
        <v>-5.6808634395398294E-2</v>
      </c>
      <c r="M123" s="270">
        <v>55999.37</v>
      </c>
      <c r="N123" s="129">
        <f t="shared" si="5"/>
        <v>9.8757947000400748E-3</v>
      </c>
      <c r="O123" s="270">
        <v>22040.7</v>
      </c>
      <c r="P123" s="129">
        <f t="shared" si="5"/>
        <v>1.1853552163433978E-2</v>
      </c>
    </row>
    <row r="124" spans="2:16" x14ac:dyDescent="0.3">
      <c r="B124" s="269">
        <v>45994</v>
      </c>
      <c r="C124" s="270">
        <v>2184.8000000000002</v>
      </c>
      <c r="D124" s="129">
        <f t="shared" si="7"/>
        <v>-2.0532592127678551E-2</v>
      </c>
      <c r="E124" s="270">
        <v>68074.460000000006</v>
      </c>
      <c r="F124" s="129">
        <f t="shared" si="7"/>
        <v>-1.3132723575232097E-2</v>
      </c>
      <c r="G124" s="270">
        <v>25986</v>
      </c>
      <c r="H124" s="129">
        <f t="shared" si="6"/>
        <v>-1.7747251480858539E-3</v>
      </c>
      <c r="J124" s="269">
        <v>45333</v>
      </c>
      <c r="K124" s="270">
        <v>1547.3</v>
      </c>
      <c r="L124" s="129">
        <f t="shared" si="5"/>
        <v>2.6401326699834193E-2</v>
      </c>
      <c r="M124" s="270">
        <v>55451.74</v>
      </c>
      <c r="N124" s="129">
        <f t="shared" si="5"/>
        <v>-1.1065376425394402E-2</v>
      </c>
      <c r="O124" s="270">
        <v>21782.5</v>
      </c>
      <c r="P124" s="129">
        <f t="shared" si="5"/>
        <v>-3.2625904876955047E-3</v>
      </c>
    </row>
    <row r="125" spans="2:16" x14ac:dyDescent="0.3">
      <c r="B125" s="269">
        <v>45993</v>
      </c>
      <c r="C125" s="270">
        <v>2230.6</v>
      </c>
      <c r="D125" s="129">
        <f t="shared" si="7"/>
        <v>-1.1872065207761184E-2</v>
      </c>
      <c r="E125" s="270">
        <v>68980.36</v>
      </c>
      <c r="F125" s="129">
        <f t="shared" si="7"/>
        <v>-3.7087031613379784E-3</v>
      </c>
      <c r="G125" s="270">
        <v>26032.2</v>
      </c>
      <c r="H125" s="129">
        <f t="shared" si="6"/>
        <v>-5.4840835506145824E-3</v>
      </c>
      <c r="J125" s="269">
        <v>45326</v>
      </c>
      <c r="K125" s="270">
        <v>1507.5</v>
      </c>
      <c r="L125" s="129">
        <f t="shared" si="5"/>
        <v>1.5069489334195385E-2</v>
      </c>
      <c r="M125" s="270">
        <v>56072.2</v>
      </c>
      <c r="N125" s="129">
        <f t="shared" si="5"/>
        <v>-1.4613965080357616E-2</v>
      </c>
      <c r="O125" s="270">
        <v>21853.8</v>
      </c>
      <c r="P125" s="129">
        <f t="shared" si="5"/>
        <v>2.3472551352060167E-2</v>
      </c>
    </row>
    <row r="126" spans="2:16" x14ac:dyDescent="0.3">
      <c r="B126" s="269">
        <v>45992</v>
      </c>
      <c r="C126" s="270">
        <v>2257.4</v>
      </c>
      <c r="D126" s="129">
        <f t="shared" si="7"/>
        <v>-1.0620408885742005E-3</v>
      </c>
      <c r="E126" s="270">
        <v>69237.14</v>
      </c>
      <c r="F126" s="129">
        <f t="shared" si="7"/>
        <v>4.1252104688171976E-4</v>
      </c>
      <c r="G126" s="270">
        <v>26175.75</v>
      </c>
      <c r="H126" s="129">
        <f t="shared" si="6"/>
        <v>-1.0380510591364578E-3</v>
      </c>
      <c r="J126" s="269">
        <v>45319</v>
      </c>
      <c r="K126" s="270">
        <v>1485.12</v>
      </c>
      <c r="L126" s="129">
        <f t="shared" si="5"/>
        <v>-9.404890543082467E-3</v>
      </c>
      <c r="M126" s="270">
        <v>56903.79</v>
      </c>
      <c r="N126" s="129">
        <f t="shared" si="5"/>
        <v>-6.9359767669908701E-3</v>
      </c>
      <c r="O126" s="270">
        <v>21352.6</v>
      </c>
      <c r="P126" s="129">
        <f t="shared" si="5"/>
        <v>-1.0161414439221583E-2</v>
      </c>
    </row>
    <row r="127" spans="2:16" x14ac:dyDescent="0.3">
      <c r="B127" s="269">
        <v>45989</v>
      </c>
      <c r="C127" s="270">
        <v>2259.8000000000002</v>
      </c>
      <c r="D127" s="129">
        <f t="shared" si="7"/>
        <v>-8.5987540580854116E-3</v>
      </c>
      <c r="E127" s="270">
        <v>69208.59</v>
      </c>
      <c r="F127" s="129">
        <f t="shared" si="7"/>
        <v>-2.1031094616135171E-3</v>
      </c>
      <c r="G127" s="270">
        <v>26202.95</v>
      </c>
      <c r="H127" s="129">
        <f t="shared" si="6"/>
        <v>-4.806307706685109E-4</v>
      </c>
      <c r="J127" s="269">
        <v>45312</v>
      </c>
      <c r="K127" s="270">
        <v>1499.22</v>
      </c>
      <c r="L127" s="129">
        <f t="shared" si="5"/>
        <v>4.9469742046130749E-2</v>
      </c>
      <c r="M127" s="270">
        <v>57301.23</v>
      </c>
      <c r="N127" s="129">
        <f t="shared" si="5"/>
        <v>1.5689315638621082E-2</v>
      </c>
      <c r="O127" s="270">
        <v>21571.8</v>
      </c>
      <c r="P127" s="129">
        <f t="shared" si="5"/>
        <v>-1.474111137246481E-2</v>
      </c>
    </row>
    <row r="128" spans="2:16" x14ac:dyDescent="0.3">
      <c r="B128" s="269">
        <v>45988</v>
      </c>
      <c r="C128" s="270">
        <v>2279.4</v>
      </c>
      <c r="D128" s="129">
        <f t="shared" si="7"/>
        <v>-1.2776646888128518E-2</v>
      </c>
      <c r="E128" s="270">
        <v>69354.45</v>
      </c>
      <c r="F128" s="129">
        <f t="shared" si="7"/>
        <v>-4.8334584087253996E-3</v>
      </c>
      <c r="G128" s="270">
        <v>26215.55</v>
      </c>
      <c r="H128" s="129">
        <f t="shared" si="6"/>
        <v>3.9114224985015156E-4</v>
      </c>
      <c r="J128" s="269">
        <v>45305</v>
      </c>
      <c r="K128" s="270">
        <v>1428.55</v>
      </c>
      <c r="L128" s="129">
        <f t="shared" si="5"/>
        <v>5.4887684423505778E-2</v>
      </c>
      <c r="M128" s="270">
        <v>56416.1</v>
      </c>
      <c r="N128" s="129">
        <f t="shared" si="5"/>
        <v>3.1781358196514287E-3</v>
      </c>
      <c r="O128" s="270">
        <v>21894.55</v>
      </c>
      <c r="P128" s="129">
        <f t="shared" si="5"/>
        <v>8.4635296718684749E-3</v>
      </c>
    </row>
    <row r="129" spans="2:16" x14ac:dyDescent="0.3">
      <c r="B129" s="269">
        <v>45987</v>
      </c>
      <c r="C129" s="270">
        <v>2308.9</v>
      </c>
      <c r="D129" s="129">
        <f t="shared" si="7"/>
        <v>1.6151747205351841E-2</v>
      </c>
      <c r="E129" s="270">
        <v>69691.3</v>
      </c>
      <c r="F129" s="129">
        <f t="shared" si="7"/>
        <v>1.646529293023602E-2</v>
      </c>
      <c r="G129" s="270">
        <v>26205.3</v>
      </c>
      <c r="H129" s="129">
        <f t="shared" si="6"/>
        <v>1.238178390406719E-2</v>
      </c>
      <c r="J129" s="269">
        <v>45298</v>
      </c>
      <c r="K129" s="270">
        <v>1354.22</v>
      </c>
      <c r="L129" s="129">
        <f t="shared" si="5"/>
        <v>-4.286607110032703E-3</v>
      </c>
      <c r="M129" s="270">
        <v>56237.37</v>
      </c>
      <c r="N129" s="129">
        <f t="shared" si="5"/>
        <v>1.0668950722372728E-2</v>
      </c>
      <c r="O129" s="270">
        <v>21710.799999999999</v>
      </c>
      <c r="P129" s="129">
        <f t="shared" si="5"/>
        <v>-9.479370864280412E-4</v>
      </c>
    </row>
    <row r="130" spans="2:16" x14ac:dyDescent="0.3">
      <c r="B130" s="269">
        <v>45986</v>
      </c>
      <c r="C130" s="270">
        <v>2272.1999999999998</v>
      </c>
      <c r="D130" s="129">
        <f t="shared" si="7"/>
        <v>1.5427337241591399E-3</v>
      </c>
      <c r="E130" s="270">
        <v>68562.399999999994</v>
      </c>
      <c r="F130" s="129">
        <f t="shared" si="7"/>
        <v>1.8664516099806683E-3</v>
      </c>
      <c r="G130" s="270">
        <v>25884.799999999999</v>
      </c>
      <c r="H130" s="129">
        <f t="shared" si="6"/>
        <v>-2.8775592750245327E-3</v>
      </c>
      <c r="J130" s="269">
        <v>45291</v>
      </c>
      <c r="K130" s="270">
        <v>1360.05</v>
      </c>
      <c r="L130" s="129">
        <f t="shared" si="5"/>
        <v>3.1122062168309261E-2</v>
      </c>
      <c r="M130" s="270">
        <v>55643.71</v>
      </c>
      <c r="N130" s="129">
        <f t="shared" si="5"/>
        <v>2.3937262077891042E-2</v>
      </c>
      <c r="O130" s="270">
        <v>21731.4</v>
      </c>
      <c r="P130" s="129">
        <f t="shared" si="5"/>
        <v>1.7892774504201459E-2</v>
      </c>
    </row>
    <row r="131" spans="2:16" x14ac:dyDescent="0.3">
      <c r="B131" s="269">
        <v>45985</v>
      </c>
      <c r="C131" s="270">
        <v>2268.6999999999998</v>
      </c>
      <c r="D131" s="129">
        <f t="shared" si="7"/>
        <v>-1.9195019670572022E-2</v>
      </c>
      <c r="E131" s="270">
        <v>68434.67</v>
      </c>
      <c r="F131" s="129">
        <f t="shared" si="7"/>
        <v>-1.3398014330486374E-2</v>
      </c>
      <c r="G131" s="270">
        <v>25959.5</v>
      </c>
      <c r="H131" s="129">
        <f t="shared" si="6"/>
        <v>-4.1679213906625767E-3</v>
      </c>
      <c r="J131" s="269">
        <v>45284</v>
      </c>
      <c r="K131" s="270">
        <v>1319</v>
      </c>
      <c r="L131" s="129">
        <f t="shared" ref="L131:P194" si="8">K131/K132-1</f>
        <v>-3.1770267492732707E-2</v>
      </c>
      <c r="M131" s="270">
        <v>54342.89</v>
      </c>
      <c r="N131" s="129">
        <f t="shared" si="8"/>
        <v>-2.7092786047920869E-3</v>
      </c>
      <c r="O131" s="270">
        <v>21349.4</v>
      </c>
      <c r="P131" s="129">
        <f t="shared" si="8"/>
        <v>-4.9984503638732525E-3</v>
      </c>
    </row>
    <row r="132" spans="2:16" x14ac:dyDescent="0.3">
      <c r="B132" s="269">
        <v>45982</v>
      </c>
      <c r="C132" s="270">
        <v>2313.1</v>
      </c>
      <c r="D132" s="129">
        <f t="shared" si="7"/>
        <v>-3.7331446645580302E-2</v>
      </c>
      <c r="E132" s="270">
        <v>69364.009999999995</v>
      </c>
      <c r="F132" s="129">
        <f t="shared" si="7"/>
        <v>-1.7905759799809351E-2</v>
      </c>
      <c r="G132" s="270">
        <v>26068.15</v>
      </c>
      <c r="H132" s="129">
        <f t="shared" si="6"/>
        <v>-4.7342428933859759E-3</v>
      </c>
      <c r="J132" s="269">
        <v>45277</v>
      </c>
      <c r="K132" s="270">
        <v>1362.28</v>
      </c>
      <c r="L132" s="129">
        <f t="shared" si="8"/>
        <v>2.155932000029992E-2</v>
      </c>
      <c r="M132" s="270">
        <v>54490.52</v>
      </c>
      <c r="N132" s="129">
        <f t="shared" si="8"/>
        <v>2.4194748895180807E-2</v>
      </c>
      <c r="O132" s="270">
        <v>21456.65</v>
      </c>
      <c r="P132" s="129">
        <f t="shared" si="8"/>
        <v>2.3236239472755438E-2</v>
      </c>
    </row>
    <row r="133" spans="2:16" x14ac:dyDescent="0.3">
      <c r="B133" s="269">
        <v>45981</v>
      </c>
      <c r="C133" s="270">
        <v>2402.8000000000002</v>
      </c>
      <c r="D133" s="129">
        <f t="shared" si="7"/>
        <v>2.3778732635268973E-3</v>
      </c>
      <c r="E133" s="270">
        <v>70628.67</v>
      </c>
      <c r="F133" s="129">
        <f t="shared" si="7"/>
        <v>3.3975228130549429E-3</v>
      </c>
      <c r="G133" s="270">
        <v>26192.15</v>
      </c>
      <c r="H133" s="129">
        <f t="shared" si="6"/>
        <v>5.3545416685059077E-3</v>
      </c>
      <c r="J133" s="269">
        <v>45270</v>
      </c>
      <c r="K133" s="270">
        <v>1333.53</v>
      </c>
      <c r="L133" s="129">
        <f t="shared" si="8"/>
        <v>3.5912374737823383E-2</v>
      </c>
      <c r="M133" s="270">
        <v>53203.28</v>
      </c>
      <c r="N133" s="129">
        <f t="shared" si="8"/>
        <v>4.8439448767676696E-2</v>
      </c>
      <c r="O133" s="270">
        <v>20969.400000000001</v>
      </c>
      <c r="P133" s="129">
        <f t="shared" si="8"/>
        <v>3.4611380557433069E-2</v>
      </c>
    </row>
    <row r="134" spans="2:16" x14ac:dyDescent="0.3">
      <c r="B134" s="269">
        <v>45980</v>
      </c>
      <c r="C134" s="270">
        <v>2397.1</v>
      </c>
      <c r="D134" s="129">
        <f t="shared" si="7"/>
        <v>-1.5645532194480949E-2</v>
      </c>
      <c r="E134" s="270">
        <v>70389.52</v>
      </c>
      <c r="F134" s="129">
        <f t="shared" si="7"/>
        <v>-1.9929085575969285E-3</v>
      </c>
      <c r="G134" s="270">
        <v>26052.65</v>
      </c>
      <c r="H134" s="129">
        <f t="shared" si="6"/>
        <v>5.5036559172985111E-3</v>
      </c>
      <c r="J134" s="269">
        <v>45263</v>
      </c>
      <c r="K134" s="270">
        <v>1287.3</v>
      </c>
      <c r="L134" s="129">
        <f t="shared" si="8"/>
        <v>-5.1607912476516749E-2</v>
      </c>
      <c r="M134" s="270">
        <v>50745.21</v>
      </c>
      <c r="N134" s="129">
        <f t="shared" si="8"/>
        <v>3.6662078365567785E-2</v>
      </c>
      <c r="O134" s="270">
        <v>20267.900000000001</v>
      </c>
      <c r="P134" s="129">
        <f t="shared" si="8"/>
        <v>2.3905388816198414E-2</v>
      </c>
    </row>
    <row r="135" spans="2:16" x14ac:dyDescent="0.3">
      <c r="B135" s="269">
        <v>45979</v>
      </c>
      <c r="C135" s="270">
        <v>2435.1999999999998</v>
      </c>
      <c r="D135" s="129">
        <f t="shared" si="7"/>
        <v>-4.8628989416044099E-3</v>
      </c>
      <c r="E135" s="270">
        <v>70530.080000000002</v>
      </c>
      <c r="F135" s="129">
        <f t="shared" si="7"/>
        <v>-9.4327790723004457E-3</v>
      </c>
      <c r="G135" s="270">
        <v>25910.05</v>
      </c>
      <c r="H135" s="129">
        <f t="shared" si="6"/>
        <v>-3.9748668477268545E-3</v>
      </c>
      <c r="J135" s="269">
        <v>45256</v>
      </c>
      <c r="K135" s="270">
        <v>1357.35</v>
      </c>
      <c r="L135" s="129">
        <f t="shared" si="8"/>
        <v>6.1673943500144546E-3</v>
      </c>
      <c r="M135" s="270">
        <v>48950.58</v>
      </c>
      <c r="N135" s="129">
        <f t="shared" si="8"/>
        <v>-3.3571907181179084E-3</v>
      </c>
      <c r="O135" s="270">
        <v>19794.7</v>
      </c>
      <c r="P135" s="129">
        <f t="shared" si="8"/>
        <v>3.1877476966115648E-3</v>
      </c>
    </row>
    <row r="136" spans="2:16" x14ac:dyDescent="0.3">
      <c r="B136" s="269">
        <v>45978</v>
      </c>
      <c r="C136" s="270">
        <v>2447.1</v>
      </c>
      <c r="D136" s="129">
        <f t="shared" si="7"/>
        <v>-1.1429037919915563E-3</v>
      </c>
      <c r="E136" s="270">
        <v>71201.710000000006</v>
      </c>
      <c r="F136" s="129">
        <f t="shared" si="7"/>
        <v>6.0232784239611092E-3</v>
      </c>
      <c r="G136" s="270">
        <v>26013.45</v>
      </c>
      <c r="H136" s="129">
        <f t="shared" si="6"/>
        <v>3.9907294659795589E-3</v>
      </c>
      <c r="J136" s="269">
        <v>45249</v>
      </c>
      <c r="K136" s="270">
        <v>1349.03</v>
      </c>
      <c r="L136" s="129">
        <f t="shared" si="8"/>
        <v>-3.8076766754847058E-2</v>
      </c>
      <c r="M136" s="270">
        <v>49115.47</v>
      </c>
      <c r="N136" s="129">
        <f t="shared" si="8"/>
        <v>2.3036482362865707E-2</v>
      </c>
      <c r="O136" s="270">
        <v>19731.8</v>
      </c>
      <c r="P136" s="129">
        <f t="shared" si="8"/>
        <v>1.0563082730064011E-2</v>
      </c>
    </row>
    <row r="137" spans="2:16" x14ac:dyDescent="0.3">
      <c r="B137" s="269">
        <v>45975</v>
      </c>
      <c r="C137" s="270">
        <v>2449.9</v>
      </c>
      <c r="D137" s="129">
        <f t="shared" si="7"/>
        <v>1.062395292771523E-3</v>
      </c>
      <c r="E137" s="270">
        <v>70775.41</v>
      </c>
      <c r="F137" s="129">
        <f t="shared" si="7"/>
        <v>1.5508204673773118E-3</v>
      </c>
      <c r="G137" s="270">
        <v>25910.05</v>
      </c>
      <c r="H137" s="129">
        <f t="shared" si="6"/>
        <v>1.194011395273753E-3</v>
      </c>
      <c r="J137" s="269">
        <v>45242</v>
      </c>
      <c r="K137" s="270">
        <v>1402.43</v>
      </c>
      <c r="L137" s="129">
        <f t="shared" si="8"/>
        <v>0.13291057435980291</v>
      </c>
      <c r="M137" s="270">
        <v>48009.5</v>
      </c>
      <c r="N137" s="129">
        <f t="shared" si="8"/>
        <v>3.8589148155495412E-2</v>
      </c>
      <c r="O137" s="270">
        <v>19525.55</v>
      </c>
      <c r="P137" s="129">
        <f t="shared" si="8"/>
        <v>1.5337534970307765E-2</v>
      </c>
    </row>
    <row r="138" spans="2:16" x14ac:dyDescent="0.3">
      <c r="B138" s="269">
        <v>45974</v>
      </c>
      <c r="C138" s="270">
        <v>2447.3000000000002</v>
      </c>
      <c r="D138" s="129">
        <f t="shared" si="7"/>
        <v>1.2326783867631974E-2</v>
      </c>
      <c r="E138" s="270">
        <v>70665.820000000007</v>
      </c>
      <c r="F138" s="129">
        <f t="shared" si="7"/>
        <v>-7.0453784762141147E-3</v>
      </c>
      <c r="G138" s="270">
        <v>25879.15</v>
      </c>
      <c r="H138" s="129">
        <f t="shared" ref="H138:H201" si="9">G138/G139-1</f>
        <v>1.2946459626372864E-4</v>
      </c>
      <c r="J138" s="269">
        <v>45235</v>
      </c>
      <c r="K138" s="270">
        <v>1237.9000000000001</v>
      </c>
      <c r="L138" s="129">
        <f t="shared" si="8"/>
        <v>0.15873521042384309</v>
      </c>
      <c r="M138" s="270">
        <v>46225.69</v>
      </c>
      <c r="N138" s="129">
        <f t="shared" si="8"/>
        <v>1.0026259198257614E-2</v>
      </c>
      <c r="O138" s="270">
        <v>19230.599999999999</v>
      </c>
      <c r="P138" s="129">
        <f t="shared" si="8"/>
        <v>9.6260615049414966E-3</v>
      </c>
    </row>
    <row r="139" spans="2:16" x14ac:dyDescent="0.3">
      <c r="B139" s="269">
        <v>45973</v>
      </c>
      <c r="C139" s="270">
        <v>2417.5</v>
      </c>
      <c r="D139" s="129">
        <f t="shared" si="7"/>
        <v>6.2016149171730817E-3</v>
      </c>
      <c r="E139" s="270">
        <v>71167.22</v>
      </c>
      <c r="F139" s="129">
        <f t="shared" si="7"/>
        <v>1.4860342333880006E-3</v>
      </c>
      <c r="G139" s="270">
        <v>25875.8</v>
      </c>
      <c r="H139" s="129">
        <f t="shared" si="9"/>
        <v>7.0383480022337963E-3</v>
      </c>
      <c r="J139" s="269">
        <v>45228</v>
      </c>
      <c r="K139" s="270">
        <v>1068.32</v>
      </c>
      <c r="L139" s="129">
        <f t="shared" si="8"/>
        <v>6.3300678221551721E-3</v>
      </c>
      <c r="M139" s="270">
        <v>45766.82</v>
      </c>
      <c r="N139" s="129">
        <f t="shared" si="8"/>
        <v>-3.06332287790404E-2</v>
      </c>
      <c r="O139" s="270">
        <v>19047.25</v>
      </c>
      <c r="P139" s="129">
        <f t="shared" si="8"/>
        <v>-2.5349683896503383E-2</v>
      </c>
    </row>
    <row r="140" spans="2:16" x14ac:dyDescent="0.3">
      <c r="B140" s="269">
        <v>45972</v>
      </c>
      <c r="C140" s="270">
        <v>2402.6</v>
      </c>
      <c r="D140" s="129">
        <f t="shared" si="7"/>
        <v>2.0436251407598416E-3</v>
      </c>
      <c r="E140" s="270">
        <v>71061.62</v>
      </c>
      <c r="F140" s="129">
        <f t="shared" si="7"/>
        <v>1.1904199093094814E-2</v>
      </c>
      <c r="G140" s="270">
        <v>25694.95</v>
      </c>
      <c r="H140" s="129">
        <f t="shared" si="9"/>
        <v>4.7156623726507529E-3</v>
      </c>
      <c r="J140" s="269">
        <v>45221</v>
      </c>
      <c r="K140" s="270">
        <v>1061.5999999999999</v>
      </c>
      <c r="L140" s="129">
        <f t="shared" si="8"/>
        <v>2.5769858831032E-2</v>
      </c>
      <c r="M140" s="270">
        <v>47213.11</v>
      </c>
      <c r="N140" s="129">
        <f t="shared" si="8"/>
        <v>-1.4318270926246046E-2</v>
      </c>
      <c r="O140" s="270">
        <v>19542.650000000001</v>
      </c>
      <c r="P140" s="129">
        <f t="shared" si="8"/>
        <v>-1.0551337776978809E-2</v>
      </c>
    </row>
    <row r="141" spans="2:16" x14ac:dyDescent="0.3">
      <c r="B141" s="269">
        <v>45971</v>
      </c>
      <c r="C141" s="270">
        <v>2397.6999999999998</v>
      </c>
      <c r="D141" s="129">
        <f t="shared" si="7"/>
        <v>3.6619109381755166E-2</v>
      </c>
      <c r="E141" s="270">
        <v>70225.64</v>
      </c>
      <c r="F141" s="129">
        <f t="shared" si="7"/>
        <v>1.2392231126355346E-2</v>
      </c>
      <c r="G141" s="270">
        <v>25574.35</v>
      </c>
      <c r="H141" s="129">
        <f t="shared" si="9"/>
        <v>3.2186189555276634E-3</v>
      </c>
      <c r="J141" s="269">
        <v>45214</v>
      </c>
      <c r="K141" s="270">
        <v>1034.93</v>
      </c>
      <c r="L141" s="129">
        <f t="shared" si="8"/>
        <v>3.3483123626922406E-2</v>
      </c>
      <c r="M141" s="270">
        <v>47898.94</v>
      </c>
      <c r="N141" s="129">
        <f t="shared" si="8"/>
        <v>-6.3520197223780883E-3</v>
      </c>
      <c r="O141" s="270">
        <v>19751.05</v>
      </c>
      <c r="P141" s="129">
        <f t="shared" si="8"/>
        <v>4.9634925076957881E-3</v>
      </c>
    </row>
    <row r="142" spans="2:16" x14ac:dyDescent="0.3">
      <c r="B142" s="269">
        <v>45968</v>
      </c>
      <c r="C142" s="270">
        <v>2313</v>
      </c>
      <c r="D142" s="129">
        <f t="shared" si="7"/>
        <v>8.3264309690918026E-3</v>
      </c>
      <c r="E142" s="270">
        <v>69366.039999999994</v>
      </c>
      <c r="F142" s="129">
        <f t="shared" si="7"/>
        <v>-2.0433598573520451E-3</v>
      </c>
      <c r="G142" s="270">
        <v>25492.3</v>
      </c>
      <c r="H142" s="129">
        <f t="shared" si="9"/>
        <v>-6.8209347816716726E-4</v>
      </c>
      <c r="J142" s="269">
        <v>45207</v>
      </c>
      <c r="K142" s="270">
        <v>1001.4</v>
      </c>
      <c r="L142" s="129">
        <f t="shared" si="8"/>
        <v>1.013769102738693E-2</v>
      </c>
      <c r="M142" s="270">
        <v>48205.14</v>
      </c>
      <c r="N142" s="129">
        <f t="shared" si="8"/>
        <v>9.9754824213864612E-3</v>
      </c>
      <c r="O142" s="270">
        <v>19653.5</v>
      </c>
      <c r="P142" s="129">
        <f t="shared" si="8"/>
        <v>7.7399774929598486E-4</v>
      </c>
    </row>
    <row r="143" spans="2:16" x14ac:dyDescent="0.3">
      <c r="B143" s="269">
        <v>45967</v>
      </c>
      <c r="C143" s="270">
        <v>2293.9</v>
      </c>
      <c r="D143" s="129">
        <f t="shared" si="7"/>
        <v>-1.4774728342567545E-2</v>
      </c>
      <c r="E143" s="270">
        <v>69508.070000000007</v>
      </c>
      <c r="F143" s="129">
        <f t="shared" si="7"/>
        <v>-1.246662311605462E-2</v>
      </c>
      <c r="G143" s="270">
        <v>25509.7</v>
      </c>
      <c r="H143" s="129">
        <f t="shared" si="9"/>
        <v>-3.4358622764198987E-3</v>
      </c>
      <c r="J143" s="269">
        <v>45200</v>
      </c>
      <c r="K143" s="270">
        <v>991.35</v>
      </c>
      <c r="L143" s="129">
        <f t="shared" si="8"/>
        <v>-1.3238441248195842E-2</v>
      </c>
      <c r="M143" s="270">
        <v>47729.02</v>
      </c>
      <c r="N143" s="129">
        <f t="shared" si="8"/>
        <v>2.1602203949206089E-2</v>
      </c>
      <c r="O143" s="270">
        <v>19638.3</v>
      </c>
      <c r="P143" s="129">
        <f t="shared" si="8"/>
        <v>-1.8272615220402688E-3</v>
      </c>
    </row>
    <row r="144" spans="2:16" x14ac:dyDescent="0.3">
      <c r="B144" s="269">
        <v>45965</v>
      </c>
      <c r="C144" s="270">
        <v>2328.3000000000002</v>
      </c>
      <c r="D144" s="129">
        <f t="shared" si="7"/>
        <v>-1.3181317284055249E-2</v>
      </c>
      <c r="E144" s="270">
        <v>70385.539999999994</v>
      </c>
      <c r="F144" s="129">
        <f t="shared" si="7"/>
        <v>-1.9859455289995553E-3</v>
      </c>
      <c r="G144" s="270">
        <v>25597.65</v>
      </c>
      <c r="H144" s="129">
        <f t="shared" si="9"/>
        <v>-6.4316170063286604E-3</v>
      </c>
      <c r="J144" s="269">
        <v>45193</v>
      </c>
      <c r="K144" s="270">
        <v>1004.65</v>
      </c>
      <c r="L144" s="129">
        <f t="shared" si="8"/>
        <v>-8.1404067003145397E-2</v>
      </c>
      <c r="M144" s="270">
        <v>46719.77</v>
      </c>
      <c r="N144" s="129">
        <f t="shared" si="8"/>
        <v>-6.9273112700913853E-3</v>
      </c>
      <c r="O144" s="270">
        <v>19674.25</v>
      </c>
      <c r="P144" s="129">
        <f t="shared" si="8"/>
        <v>-2.5658231954180599E-2</v>
      </c>
    </row>
    <row r="145" spans="2:16" x14ac:dyDescent="0.3">
      <c r="B145" s="269">
        <v>45964</v>
      </c>
      <c r="C145" s="270">
        <v>2359.4</v>
      </c>
      <c r="D145" s="129">
        <f t="shared" si="7"/>
        <v>2.2624826629681127E-2</v>
      </c>
      <c r="E145" s="270">
        <v>70525.600000000006</v>
      </c>
      <c r="F145" s="129">
        <f t="shared" si="7"/>
        <v>1.7216255974947803E-3</v>
      </c>
      <c r="G145" s="270">
        <v>25763.35</v>
      </c>
      <c r="H145" s="129">
        <f t="shared" si="9"/>
        <v>1.6036793263380922E-3</v>
      </c>
      <c r="J145" s="269">
        <v>45186</v>
      </c>
      <c r="K145" s="270">
        <v>1093.68</v>
      </c>
      <c r="L145" s="129">
        <f t="shared" si="8"/>
        <v>4.5281285878302491E-3</v>
      </c>
      <c r="M145" s="270">
        <v>47045.67</v>
      </c>
      <c r="N145" s="129">
        <f t="shared" si="8"/>
        <v>-1.1729466658712218E-2</v>
      </c>
      <c r="O145" s="270">
        <v>20192.349999999999</v>
      </c>
      <c r="P145" s="129">
        <f t="shared" si="8"/>
        <v>1.8789149316723597E-2</v>
      </c>
    </row>
    <row r="146" spans="2:16" x14ac:dyDescent="0.3">
      <c r="B146" s="269">
        <v>45961</v>
      </c>
      <c r="C146" s="270">
        <v>2307.1999999999998</v>
      </c>
      <c r="D146" s="129">
        <f t="shared" si="7"/>
        <v>-1.4732886364606901E-2</v>
      </c>
      <c r="E146" s="270">
        <v>70404.39</v>
      </c>
      <c r="F146" s="129">
        <f t="shared" si="7"/>
        <v>4.0629211560265777E-3</v>
      </c>
      <c r="G146" s="270">
        <v>25722.1</v>
      </c>
      <c r="H146" s="129">
        <f t="shared" si="9"/>
        <v>-6.0186607465457787E-3</v>
      </c>
      <c r="J146" s="269">
        <v>45179</v>
      </c>
      <c r="K146" s="270">
        <v>1088.75</v>
      </c>
      <c r="L146" s="129">
        <f t="shared" si="8"/>
        <v>4.5672633327182854E-3</v>
      </c>
      <c r="M146" s="270">
        <v>47604.04</v>
      </c>
      <c r="N146" s="129">
        <f t="shared" si="8"/>
        <v>4.8395650320129935E-2</v>
      </c>
      <c r="O146" s="270">
        <v>19819.95</v>
      </c>
      <c r="P146" s="129">
        <f t="shared" si="8"/>
        <v>1.9791307569216876E-2</v>
      </c>
    </row>
    <row r="147" spans="2:16" x14ac:dyDescent="0.3">
      <c r="B147" s="269">
        <v>45960</v>
      </c>
      <c r="C147" s="270">
        <v>2341.6999999999998</v>
      </c>
      <c r="D147" s="129">
        <f t="shared" ref="D147:F210" si="10">C147/C148-1</f>
        <v>1.6760019104685053E-2</v>
      </c>
      <c r="E147" s="270">
        <v>70119.5</v>
      </c>
      <c r="F147" s="129">
        <f t="shared" si="10"/>
        <v>1.3968528894403587E-3</v>
      </c>
      <c r="G147" s="270">
        <v>25877.85</v>
      </c>
      <c r="H147" s="129">
        <f t="shared" si="9"/>
        <v>-6.7571457632064069E-3</v>
      </c>
      <c r="J147" s="269">
        <v>45172</v>
      </c>
      <c r="K147" s="270">
        <v>1083.8</v>
      </c>
      <c r="L147" s="129">
        <f t="shared" si="8"/>
        <v>-9.0337210152879877E-3</v>
      </c>
      <c r="M147" s="270">
        <v>45406.559999999998</v>
      </c>
      <c r="N147" s="129">
        <f t="shared" si="8"/>
        <v>3.2161976009110749E-2</v>
      </c>
      <c r="O147" s="270">
        <v>19435.3</v>
      </c>
      <c r="P147" s="129">
        <f t="shared" si="8"/>
        <v>8.7979736112697715E-3</v>
      </c>
    </row>
    <row r="148" spans="2:16" x14ac:dyDescent="0.3">
      <c r="B148" s="269">
        <v>45959</v>
      </c>
      <c r="C148" s="270">
        <v>2303.1</v>
      </c>
      <c r="D148" s="129">
        <f t="shared" si="10"/>
        <v>1.4349073832506942E-3</v>
      </c>
      <c r="E148" s="270">
        <v>70021.69</v>
      </c>
      <c r="F148" s="129">
        <f t="shared" si="10"/>
        <v>1.009974386035184E-2</v>
      </c>
      <c r="G148" s="270">
        <v>26053.9</v>
      </c>
      <c r="H148" s="129">
        <f t="shared" si="9"/>
        <v>4.5380587749941359E-3</v>
      </c>
      <c r="J148" s="269">
        <v>45165</v>
      </c>
      <c r="K148" s="270">
        <v>1093.68</v>
      </c>
      <c r="L148" s="129">
        <f t="shared" si="8"/>
        <v>2.3201856148491906E-2</v>
      </c>
      <c r="M148" s="270">
        <v>43991.7</v>
      </c>
      <c r="N148" s="129">
        <f t="shared" si="8"/>
        <v>1.8965837126029728E-2</v>
      </c>
      <c r="O148" s="270">
        <v>19265.8</v>
      </c>
      <c r="P148" s="129">
        <f t="shared" si="8"/>
        <v>-2.2967196008317758E-3</v>
      </c>
    </row>
    <row r="149" spans="2:16" x14ac:dyDescent="0.3">
      <c r="B149" s="269">
        <v>45958</v>
      </c>
      <c r="C149" s="270">
        <v>2299.8000000000002</v>
      </c>
      <c r="D149" s="129">
        <f t="shared" si="10"/>
        <v>6.5265631118660572E-4</v>
      </c>
      <c r="E149" s="270">
        <v>69321.56</v>
      </c>
      <c r="F149" s="129">
        <f t="shared" si="10"/>
        <v>-1.4039379985486544E-3</v>
      </c>
      <c r="G149" s="270">
        <v>25936.2</v>
      </c>
      <c r="H149" s="129">
        <f t="shared" si="9"/>
        <v>-1.1495780066663741E-3</v>
      </c>
      <c r="J149" s="269">
        <v>45158</v>
      </c>
      <c r="K149" s="270">
        <v>1068.8800000000001</v>
      </c>
      <c r="L149" s="129">
        <f t="shared" si="8"/>
        <v>2.0459210463506627E-2</v>
      </c>
      <c r="M149" s="270">
        <v>43172.89</v>
      </c>
      <c r="N149" s="129">
        <f t="shared" si="8"/>
        <v>-5.6295518999218697E-3</v>
      </c>
      <c r="O149" s="270">
        <v>19310.150000000001</v>
      </c>
      <c r="P149" s="129">
        <f t="shared" si="8"/>
        <v>-6.0813349598265454E-3</v>
      </c>
    </row>
    <row r="150" spans="2:16" x14ac:dyDescent="0.3">
      <c r="B150" s="269">
        <v>45957</v>
      </c>
      <c r="C150" s="270">
        <v>2298.3000000000002</v>
      </c>
      <c r="D150" s="129">
        <f t="shared" si="10"/>
        <v>-7.7710141173422675E-3</v>
      </c>
      <c r="E150" s="270">
        <v>69419.02</v>
      </c>
      <c r="F150" s="129">
        <f t="shared" si="10"/>
        <v>1.3960887588166937E-3</v>
      </c>
      <c r="G150" s="270">
        <v>25966.05</v>
      </c>
      <c r="H150" s="129">
        <f t="shared" si="9"/>
        <v>6.6252764570082778E-3</v>
      </c>
      <c r="J150" s="269">
        <v>45151</v>
      </c>
      <c r="K150" s="270">
        <v>1047.45</v>
      </c>
      <c r="L150" s="129">
        <f t="shared" si="8"/>
        <v>-1.2584841628959231E-2</v>
      </c>
      <c r="M150" s="270">
        <v>43417.31</v>
      </c>
      <c r="N150" s="129">
        <f t="shared" si="8"/>
        <v>8.0629133383669505E-3</v>
      </c>
      <c r="O150" s="270">
        <v>19428.3</v>
      </c>
      <c r="P150" s="129">
        <f t="shared" si="8"/>
        <v>-4.5447558538710409E-3</v>
      </c>
    </row>
    <row r="151" spans="2:16" x14ac:dyDescent="0.3">
      <c r="B151" s="269">
        <v>45954</v>
      </c>
      <c r="C151" s="270">
        <v>2316.3000000000002</v>
      </c>
      <c r="D151" s="129">
        <f t="shared" si="10"/>
        <v>-7.3709020784229473E-3</v>
      </c>
      <c r="E151" s="270">
        <v>69322.240000000005</v>
      </c>
      <c r="F151" s="129">
        <f t="shared" si="10"/>
        <v>9.6815848747233701E-4</v>
      </c>
      <c r="G151" s="270">
        <v>25795.15</v>
      </c>
      <c r="H151" s="129">
        <f t="shared" si="9"/>
        <v>-3.7174505820465331E-3</v>
      </c>
      <c r="J151" s="269">
        <v>45144</v>
      </c>
      <c r="K151" s="270">
        <v>1060.8</v>
      </c>
      <c r="L151" s="129">
        <f t="shared" si="8"/>
        <v>5.9316956261234344E-2</v>
      </c>
      <c r="M151" s="270">
        <v>43070.04</v>
      </c>
      <c r="N151" s="129">
        <f t="shared" si="8"/>
        <v>-9.2862934529457375E-3</v>
      </c>
      <c r="O151" s="270">
        <v>19517</v>
      </c>
      <c r="P151" s="129">
        <f t="shared" si="8"/>
        <v>-6.568750461288575E-3</v>
      </c>
    </row>
    <row r="152" spans="2:16" x14ac:dyDescent="0.3">
      <c r="B152" s="269">
        <v>45953</v>
      </c>
      <c r="C152" s="270">
        <v>2333.5</v>
      </c>
      <c r="D152" s="129">
        <f t="shared" si="10"/>
        <v>5.4722509479490089E-3</v>
      </c>
      <c r="E152" s="270">
        <v>69255.19</v>
      </c>
      <c r="F152" s="129">
        <f t="shared" si="10"/>
        <v>-2.8109265301673458E-3</v>
      </c>
      <c r="G152" s="270">
        <v>25891.4</v>
      </c>
      <c r="H152" s="129">
        <f t="shared" si="9"/>
        <v>8.8137742282157205E-4</v>
      </c>
      <c r="J152" s="269">
        <v>45137</v>
      </c>
      <c r="K152" s="270">
        <v>1001.4</v>
      </c>
      <c r="L152" s="129">
        <f t="shared" si="8"/>
        <v>3.5734602058230314E-2</v>
      </c>
      <c r="M152" s="270">
        <v>43473.75</v>
      </c>
      <c r="N152" s="129">
        <f t="shared" si="8"/>
        <v>2.5277381176427305E-2</v>
      </c>
      <c r="O152" s="270">
        <v>19646.05</v>
      </c>
      <c r="P152" s="129">
        <f t="shared" si="8"/>
        <v>-5.0113952899468739E-3</v>
      </c>
    </row>
    <row r="153" spans="2:16" x14ac:dyDescent="0.3">
      <c r="B153" s="269">
        <v>45951</v>
      </c>
      <c r="C153" s="270">
        <v>2320.8000000000002</v>
      </c>
      <c r="D153" s="129">
        <f t="shared" si="10"/>
        <v>-1.0066541545811214E-2</v>
      </c>
      <c r="E153" s="270">
        <v>69450.41</v>
      </c>
      <c r="F153" s="129">
        <f t="shared" si="10"/>
        <v>3.9961557799623737E-3</v>
      </c>
      <c r="G153" s="270">
        <v>25868.6</v>
      </c>
      <c r="H153" s="129">
        <f t="shared" si="9"/>
        <v>9.8478707123539344E-4</v>
      </c>
      <c r="J153" s="269">
        <v>45130</v>
      </c>
      <c r="K153" s="270">
        <v>966.85</v>
      </c>
      <c r="L153" s="129">
        <f t="shared" si="8"/>
        <v>3.4927533129241572E-2</v>
      </c>
      <c r="M153" s="270">
        <v>42401.94</v>
      </c>
      <c r="N153" s="129">
        <f t="shared" si="8"/>
        <v>2.5503640734140021E-2</v>
      </c>
      <c r="O153" s="270">
        <v>19745</v>
      </c>
      <c r="P153" s="129">
        <f t="shared" si="8"/>
        <v>9.225893838329613E-3</v>
      </c>
    </row>
    <row r="154" spans="2:16" x14ac:dyDescent="0.3">
      <c r="B154" s="269">
        <v>45950</v>
      </c>
      <c r="C154" s="270">
        <v>2344.4</v>
      </c>
      <c r="D154" s="129">
        <f t="shared" si="10"/>
        <v>-1.6816942755294551E-2</v>
      </c>
      <c r="E154" s="270">
        <v>69173.98</v>
      </c>
      <c r="F154" s="129">
        <f t="shared" si="10"/>
        <v>1.6234720582386508E-3</v>
      </c>
      <c r="G154" s="270">
        <v>25843.15</v>
      </c>
      <c r="H154" s="129">
        <f t="shared" si="9"/>
        <v>5.1847832640019575E-3</v>
      </c>
      <c r="J154" s="269">
        <v>45123</v>
      </c>
      <c r="K154" s="270">
        <v>934.22</v>
      </c>
      <c r="L154" s="129">
        <f t="shared" si="8"/>
        <v>1.6395582875482928E-2</v>
      </c>
      <c r="M154" s="270">
        <v>41347.43</v>
      </c>
      <c r="N154" s="129">
        <f t="shared" si="8"/>
        <v>1.6647250406807146E-2</v>
      </c>
      <c r="O154" s="270">
        <v>19564.5</v>
      </c>
      <c r="P154" s="129">
        <f t="shared" si="8"/>
        <v>1.2037161567986399E-2</v>
      </c>
    </row>
    <row r="155" spans="2:16" x14ac:dyDescent="0.3">
      <c r="B155" s="269">
        <v>45947</v>
      </c>
      <c r="C155" s="270">
        <v>2384.5</v>
      </c>
      <c r="D155" s="129">
        <f t="shared" si="10"/>
        <v>4.1955108034397171E-4</v>
      </c>
      <c r="E155" s="270">
        <v>69061.86</v>
      </c>
      <c r="F155" s="129">
        <f t="shared" si="10"/>
        <v>-2.5471480924842416E-3</v>
      </c>
      <c r="G155" s="270">
        <v>25709.85</v>
      </c>
      <c r="H155" s="129">
        <f t="shared" si="9"/>
        <v>4.8680296889229702E-3</v>
      </c>
      <c r="J155" s="269">
        <v>45116</v>
      </c>
      <c r="K155" s="270">
        <v>919.15</v>
      </c>
      <c r="L155" s="129">
        <f t="shared" si="8"/>
        <v>4.6033913736201137E-2</v>
      </c>
      <c r="M155" s="270">
        <v>40670.379999999997</v>
      </c>
      <c r="N155" s="129">
        <f t="shared" si="8"/>
        <v>-1.3598272935853029E-3</v>
      </c>
      <c r="O155" s="270">
        <v>19331.8</v>
      </c>
      <c r="P155" s="129">
        <f t="shared" si="8"/>
        <v>7.4391384669902916E-3</v>
      </c>
    </row>
    <row r="156" spans="2:16" x14ac:dyDescent="0.3">
      <c r="B156" s="269">
        <v>45946</v>
      </c>
      <c r="C156" s="270">
        <v>2383.5</v>
      </c>
      <c r="D156" s="129">
        <f t="shared" si="10"/>
        <v>2.168974238072785E-2</v>
      </c>
      <c r="E156" s="270">
        <v>69238.22</v>
      </c>
      <c r="F156" s="129">
        <f t="shared" si="10"/>
        <v>2.1934763691062731E-3</v>
      </c>
      <c r="G156" s="270">
        <v>25585.3</v>
      </c>
      <c r="H156" s="129">
        <f t="shared" si="9"/>
        <v>1.0336228530360092E-2</v>
      </c>
      <c r="J156" s="269">
        <v>45109</v>
      </c>
      <c r="K156" s="270">
        <v>878.7</v>
      </c>
      <c r="L156" s="129">
        <f t="shared" si="8"/>
        <v>9.420334972915767E-2</v>
      </c>
      <c r="M156" s="270">
        <v>40725.760000000002</v>
      </c>
      <c r="N156" s="129">
        <f t="shared" si="8"/>
        <v>3.1638868032736189E-2</v>
      </c>
      <c r="O156" s="270">
        <v>19189.05</v>
      </c>
      <c r="P156" s="129">
        <f t="shared" si="8"/>
        <v>2.8049074495727355E-2</v>
      </c>
    </row>
    <row r="157" spans="2:16" x14ac:dyDescent="0.3">
      <c r="B157" s="269">
        <v>45945</v>
      </c>
      <c r="C157" s="270">
        <v>2332.9</v>
      </c>
      <c r="D157" s="129">
        <f t="shared" si="10"/>
        <v>9.6948712399913539E-3</v>
      </c>
      <c r="E157" s="270">
        <v>69086.679999999993</v>
      </c>
      <c r="F157" s="129">
        <f t="shared" si="10"/>
        <v>8.7310753452758405E-3</v>
      </c>
      <c r="G157" s="270">
        <v>25323.55</v>
      </c>
      <c r="H157" s="129">
        <f t="shared" si="9"/>
        <v>7.0807898033444783E-3</v>
      </c>
      <c r="J157" s="269">
        <v>45102</v>
      </c>
      <c r="K157" s="270">
        <v>803.05</v>
      </c>
      <c r="L157" s="129">
        <f t="shared" si="8"/>
        <v>-1.5447802366211016E-2</v>
      </c>
      <c r="M157" s="270">
        <v>39476.76</v>
      </c>
      <c r="N157" s="129">
        <f t="shared" si="8"/>
        <v>-1.1342940890084696E-2</v>
      </c>
      <c r="O157" s="270">
        <v>18665.5</v>
      </c>
      <c r="P157" s="129">
        <f t="shared" si="8"/>
        <v>-8.5254435355359703E-3</v>
      </c>
    </row>
    <row r="158" spans="2:16" x14ac:dyDescent="0.3">
      <c r="B158" s="269">
        <v>45944</v>
      </c>
      <c r="C158" s="270">
        <v>2310.5</v>
      </c>
      <c r="D158" s="129">
        <f t="shared" si="10"/>
        <v>-1.6515557825735439E-2</v>
      </c>
      <c r="E158" s="270">
        <v>68488.7</v>
      </c>
      <c r="F158" s="129">
        <f t="shared" si="10"/>
        <v>-6.8804811841678415E-3</v>
      </c>
      <c r="G158" s="270">
        <v>25145.5</v>
      </c>
      <c r="H158" s="129">
        <f t="shared" si="9"/>
        <v>-3.2444945664129587E-3</v>
      </c>
      <c r="J158" s="269">
        <v>45095</v>
      </c>
      <c r="K158" s="270">
        <v>815.65</v>
      </c>
      <c r="L158" s="129">
        <f t="shared" si="8"/>
        <v>1.5753424657534154E-2</v>
      </c>
      <c r="M158" s="270">
        <v>39929.68</v>
      </c>
      <c r="N158" s="129">
        <f t="shared" si="8"/>
        <v>1.3122746906563565E-2</v>
      </c>
      <c r="O158" s="270">
        <v>18826</v>
      </c>
      <c r="P158" s="129">
        <f t="shared" si="8"/>
        <v>1.4146115474535925E-2</v>
      </c>
    </row>
    <row r="159" spans="2:16" x14ac:dyDescent="0.3">
      <c r="B159" s="269">
        <v>45943</v>
      </c>
      <c r="C159" s="270">
        <v>2349.3000000000002</v>
      </c>
      <c r="D159" s="129">
        <f t="shared" si="10"/>
        <v>-2.0431138723262299E-2</v>
      </c>
      <c r="E159" s="270">
        <v>68963.199999999997</v>
      </c>
      <c r="F159" s="129">
        <f t="shared" si="10"/>
        <v>-8.4740194434168581E-3</v>
      </c>
      <c r="G159" s="270">
        <v>25227.35</v>
      </c>
      <c r="H159" s="129">
        <f t="shared" si="9"/>
        <v>-2.2938183572701609E-3</v>
      </c>
      <c r="J159" s="269">
        <v>45088</v>
      </c>
      <c r="K159" s="270">
        <v>803</v>
      </c>
      <c r="L159" s="129">
        <f t="shared" si="8"/>
        <v>1.5234844174726536E-2</v>
      </c>
      <c r="M159" s="270">
        <v>39412.480000000003</v>
      </c>
      <c r="N159" s="129">
        <f t="shared" si="8"/>
        <v>5.0956307394309786E-2</v>
      </c>
      <c r="O159" s="270">
        <v>18563.400000000001</v>
      </c>
      <c r="P159" s="129">
        <f t="shared" si="8"/>
        <v>1.5808698561032841E-3</v>
      </c>
    </row>
    <row r="160" spans="2:16" x14ac:dyDescent="0.3">
      <c r="B160" s="269">
        <v>45940</v>
      </c>
      <c r="C160" s="270">
        <v>2398.3000000000002</v>
      </c>
      <c r="D160" s="129">
        <f t="shared" si="10"/>
        <v>1.6288005345808099E-3</v>
      </c>
      <c r="E160" s="270">
        <v>69552.59</v>
      </c>
      <c r="F160" s="129">
        <f t="shared" si="10"/>
        <v>4.7358784249851293E-3</v>
      </c>
      <c r="G160" s="270">
        <v>25285.35</v>
      </c>
      <c r="H160" s="129">
        <f t="shared" si="9"/>
        <v>4.1120968318388851E-3</v>
      </c>
      <c r="J160" s="269">
        <v>45081</v>
      </c>
      <c r="K160" s="270">
        <v>790.95</v>
      </c>
      <c r="L160" s="129">
        <f t="shared" si="8"/>
        <v>0.12638849330675028</v>
      </c>
      <c r="M160" s="270">
        <v>37501.54</v>
      </c>
      <c r="N160" s="129">
        <f t="shared" si="8"/>
        <v>1.4472272906181249E-2</v>
      </c>
      <c r="O160" s="270">
        <v>18534.099999999999</v>
      </c>
      <c r="P160" s="129">
        <f t="shared" si="8"/>
        <v>1.8784443777755122E-3</v>
      </c>
    </row>
    <row r="161" spans="2:16" x14ac:dyDescent="0.3">
      <c r="B161" s="269">
        <v>45939</v>
      </c>
      <c r="C161" s="270">
        <v>2394.4</v>
      </c>
      <c r="D161" s="129">
        <f t="shared" si="10"/>
        <v>4.9947534102834368E-3</v>
      </c>
      <c r="E161" s="270">
        <v>69224.75</v>
      </c>
      <c r="F161" s="129">
        <f t="shared" si="10"/>
        <v>7.7820416886251742E-3</v>
      </c>
      <c r="G161" s="270">
        <v>25181.8</v>
      </c>
      <c r="H161" s="129">
        <f t="shared" si="9"/>
        <v>5.4160020601967673E-3</v>
      </c>
      <c r="J161" s="269">
        <v>45074</v>
      </c>
      <c r="K161" s="270">
        <v>702.2</v>
      </c>
      <c r="L161" s="129">
        <f t="shared" si="8"/>
        <v>-1.2682433002446425E-2</v>
      </c>
      <c r="M161" s="270">
        <v>36966.550000000003</v>
      </c>
      <c r="N161" s="129">
        <f t="shared" si="8"/>
        <v>1.4922426827202573E-2</v>
      </c>
      <c r="O161" s="270">
        <v>18499.349999999999</v>
      </c>
      <c r="P161" s="129">
        <f t="shared" si="8"/>
        <v>1.6257951811200044E-2</v>
      </c>
    </row>
    <row r="162" spans="2:16" x14ac:dyDescent="0.3">
      <c r="B162" s="269">
        <v>45938</v>
      </c>
      <c r="C162" s="270">
        <v>2382.5</v>
      </c>
      <c r="D162" s="129">
        <f t="shared" si="10"/>
        <v>-3.9624314737181643E-2</v>
      </c>
      <c r="E162" s="270">
        <v>68690.2</v>
      </c>
      <c r="F162" s="129">
        <f t="shared" si="10"/>
        <v>-1.1957452011248315E-2</v>
      </c>
      <c r="G162" s="270">
        <v>25046.15</v>
      </c>
      <c r="H162" s="129">
        <f t="shared" si="9"/>
        <v>-2.4752770996043783E-3</v>
      </c>
      <c r="J162" s="269">
        <v>45067</v>
      </c>
      <c r="K162" s="270">
        <v>711.22</v>
      </c>
      <c r="L162" s="129">
        <f t="shared" si="8"/>
        <v>0.13922793528752209</v>
      </c>
      <c r="M162" s="270">
        <v>36423.03</v>
      </c>
      <c r="N162" s="129">
        <f t="shared" si="8"/>
        <v>-3.2543419275653518E-3</v>
      </c>
      <c r="O162" s="270">
        <v>18203.400000000001</v>
      </c>
      <c r="P162" s="129">
        <f t="shared" si="8"/>
        <v>-6.0825125035489647E-3</v>
      </c>
    </row>
    <row r="163" spans="2:16" x14ac:dyDescent="0.3">
      <c r="B163" s="269">
        <v>45937</v>
      </c>
      <c r="C163" s="270">
        <v>2480.8000000000002</v>
      </c>
      <c r="D163" s="129">
        <f t="shared" si="10"/>
        <v>-4.6940822467401722E-3</v>
      </c>
      <c r="E163" s="270">
        <v>69521.5</v>
      </c>
      <c r="F163" s="129">
        <f t="shared" si="10"/>
        <v>-6.1267216490334953E-4</v>
      </c>
      <c r="G163" s="270">
        <v>25108.3</v>
      </c>
      <c r="H163" s="129">
        <f t="shared" si="9"/>
        <v>1.222203834888802E-3</v>
      </c>
      <c r="J163" s="269">
        <v>45060</v>
      </c>
      <c r="K163" s="270">
        <v>624.29999999999995</v>
      </c>
      <c r="L163" s="129">
        <f t="shared" si="8"/>
        <v>8.1263639197755255E-2</v>
      </c>
      <c r="M163" s="270">
        <v>36541.949999999997</v>
      </c>
      <c r="N163" s="129">
        <f t="shared" si="8"/>
        <v>-1.7020720280384483E-2</v>
      </c>
      <c r="O163" s="270">
        <v>18314.8</v>
      </c>
      <c r="P163" s="129">
        <f t="shared" si="8"/>
        <v>1.3603409153799317E-2</v>
      </c>
    </row>
    <row r="164" spans="2:16" x14ac:dyDescent="0.3">
      <c r="B164" s="269">
        <v>45936</v>
      </c>
      <c r="C164" s="270">
        <v>2492.5</v>
      </c>
      <c r="D164" s="129">
        <f t="shared" si="10"/>
        <v>7.1904700468756744E-2</v>
      </c>
      <c r="E164" s="270">
        <v>69564.12</v>
      </c>
      <c r="F164" s="129">
        <f t="shared" si="10"/>
        <v>1.5248017476983122E-3</v>
      </c>
      <c r="G164" s="270">
        <v>25077.65</v>
      </c>
      <c r="H164" s="129">
        <f t="shared" si="9"/>
        <v>7.3671630999125881E-3</v>
      </c>
      <c r="J164" s="269">
        <v>45053</v>
      </c>
      <c r="K164" s="270">
        <v>577.38</v>
      </c>
      <c r="L164" s="129">
        <f t="shared" si="8"/>
        <v>1.5888097123251566E-2</v>
      </c>
      <c r="M164" s="270">
        <v>37174.69</v>
      </c>
      <c r="N164" s="129">
        <f t="shared" si="8"/>
        <v>1.1862364884286158E-2</v>
      </c>
      <c r="O164" s="270">
        <v>18069</v>
      </c>
      <c r="P164" s="129">
        <f t="shared" si="8"/>
        <v>2.2142264046509652E-4</v>
      </c>
    </row>
    <row r="165" spans="2:16" x14ac:dyDescent="0.3">
      <c r="B165" s="269">
        <v>45933</v>
      </c>
      <c r="C165" s="270">
        <v>2325.3000000000002</v>
      </c>
      <c r="D165" s="129">
        <f t="shared" si="10"/>
        <v>9.0392561983487774E-4</v>
      </c>
      <c r="E165" s="270">
        <v>69458.210000000006</v>
      </c>
      <c r="F165" s="129">
        <f t="shared" si="10"/>
        <v>1.0176341834100544E-2</v>
      </c>
      <c r="G165" s="270">
        <v>24894.25</v>
      </c>
      <c r="H165" s="129">
        <f t="shared" si="9"/>
        <v>2.3332783063501061E-3</v>
      </c>
      <c r="J165" s="269">
        <v>45046</v>
      </c>
      <c r="K165" s="270">
        <v>568.35</v>
      </c>
      <c r="L165" s="129">
        <f t="shared" si="8"/>
        <v>4.7591838239360085E-2</v>
      </c>
      <c r="M165" s="270">
        <v>36738.879999999997</v>
      </c>
      <c r="N165" s="129">
        <f t="shared" si="8"/>
        <v>4.4502448855774368E-2</v>
      </c>
      <c r="O165" s="270">
        <v>18065</v>
      </c>
      <c r="P165" s="129">
        <f t="shared" si="8"/>
        <v>2.5019788300645995E-2</v>
      </c>
    </row>
    <row r="166" spans="2:16" x14ac:dyDescent="0.3">
      <c r="B166" s="269">
        <v>45931</v>
      </c>
      <c r="C166" s="270">
        <v>2323.1999999999998</v>
      </c>
      <c r="D166" s="129">
        <f t="shared" si="10"/>
        <v>-1.0182778748242582E-2</v>
      </c>
      <c r="E166" s="270">
        <v>68758.5</v>
      </c>
      <c r="F166" s="129">
        <f t="shared" si="10"/>
        <v>6.8605955279827935E-3</v>
      </c>
      <c r="G166" s="270">
        <v>24836.3</v>
      </c>
      <c r="H166" s="129">
        <f t="shared" si="9"/>
        <v>9.1503427315318131E-3</v>
      </c>
      <c r="J166" s="269">
        <v>45039</v>
      </c>
      <c r="K166" s="270">
        <v>542.53</v>
      </c>
      <c r="L166" s="129">
        <f t="shared" si="8"/>
        <v>3.5461398988452908E-2</v>
      </c>
      <c r="M166" s="270">
        <v>35173.57</v>
      </c>
      <c r="N166" s="129">
        <f t="shared" si="8"/>
        <v>-8.0663628467325665E-3</v>
      </c>
      <c r="O166" s="270">
        <v>17624.05</v>
      </c>
      <c r="P166" s="129">
        <f t="shared" si="8"/>
        <v>-1.143986986762402E-2</v>
      </c>
    </row>
    <row r="167" spans="2:16" x14ac:dyDescent="0.3">
      <c r="B167" s="269">
        <v>45930</v>
      </c>
      <c r="C167" s="270">
        <v>2347.1</v>
      </c>
      <c r="D167" s="129">
        <f t="shared" si="10"/>
        <v>1.8883486716443798E-2</v>
      </c>
      <c r="E167" s="270">
        <v>68289.990000000005</v>
      </c>
      <c r="F167" s="129">
        <f t="shared" si="10"/>
        <v>1.0075698075273642E-4</v>
      </c>
      <c r="G167" s="270">
        <v>24611.1</v>
      </c>
      <c r="H167" s="129">
        <f t="shared" si="9"/>
        <v>-9.6610905666361102E-4</v>
      </c>
      <c r="J167" s="269">
        <v>45032</v>
      </c>
      <c r="K167" s="270">
        <v>523.95000000000005</v>
      </c>
      <c r="L167" s="129">
        <f t="shared" si="8"/>
        <v>-6.2023443723682181E-3</v>
      </c>
      <c r="M167" s="270">
        <v>35459.599999999999</v>
      </c>
      <c r="N167" s="129">
        <f t="shared" si="8"/>
        <v>-1.9257647301973435E-4</v>
      </c>
      <c r="O167" s="270">
        <v>17828</v>
      </c>
      <c r="P167" s="129">
        <f t="shared" si="8"/>
        <v>1.3003468917532901E-2</v>
      </c>
    </row>
    <row r="168" spans="2:16" x14ac:dyDescent="0.3">
      <c r="B168" s="269">
        <v>45929</v>
      </c>
      <c r="C168" s="270">
        <v>2303.6</v>
      </c>
      <c r="D168" s="129">
        <f t="shared" si="10"/>
        <v>4.7542199153836062E-3</v>
      </c>
      <c r="E168" s="270">
        <v>68283.11</v>
      </c>
      <c r="F168" s="129">
        <f t="shared" si="10"/>
        <v>-9.1929381613597982E-4</v>
      </c>
      <c r="G168" s="270">
        <v>24634.9</v>
      </c>
      <c r="H168" s="129">
        <f t="shared" si="9"/>
        <v>-8.0309231099950917E-4</v>
      </c>
      <c r="J168" s="269">
        <v>45025</v>
      </c>
      <c r="K168" s="270">
        <v>527.22</v>
      </c>
      <c r="L168" s="129">
        <f t="shared" si="8"/>
        <v>5.2650494159928174E-2</v>
      </c>
      <c r="M168" s="270">
        <v>35466.43</v>
      </c>
      <c r="N168" s="129">
        <f t="shared" si="8"/>
        <v>3.1909792637119461E-2</v>
      </c>
      <c r="O168" s="270">
        <v>17599.150000000001</v>
      </c>
      <c r="P168" s="129">
        <f t="shared" si="8"/>
        <v>1.3790521176860304E-2</v>
      </c>
    </row>
    <row r="169" spans="2:16" x14ac:dyDescent="0.3">
      <c r="B169" s="269">
        <v>45926</v>
      </c>
      <c r="C169" s="270">
        <v>2292.6999999999998</v>
      </c>
      <c r="D169" s="129">
        <f t="shared" si="10"/>
        <v>-3.0324818135679332E-2</v>
      </c>
      <c r="E169" s="270">
        <v>68345.94</v>
      </c>
      <c r="F169" s="129">
        <f t="shared" si="10"/>
        <v>-1.7769441056773361E-2</v>
      </c>
      <c r="G169" s="270">
        <v>24654.7</v>
      </c>
      <c r="H169" s="129">
        <f t="shared" si="9"/>
        <v>-9.4874220848222279E-3</v>
      </c>
      <c r="J169" s="269">
        <v>45018</v>
      </c>
      <c r="K169" s="270">
        <v>500.85</v>
      </c>
      <c r="L169" s="129">
        <f t="shared" si="8"/>
        <v>3.8935446398937978E-2</v>
      </c>
      <c r="M169" s="270">
        <v>34369.699999999997</v>
      </c>
      <c r="N169" s="129">
        <f t="shared" si="8"/>
        <v>1.2895148964963576E-2</v>
      </c>
      <c r="O169" s="270">
        <v>17359.75</v>
      </c>
      <c r="P169" s="129">
        <f t="shared" si="8"/>
        <v>2.4473223743807226E-2</v>
      </c>
    </row>
    <row r="170" spans="2:16" x14ac:dyDescent="0.3">
      <c r="B170" s="269">
        <v>45925</v>
      </c>
      <c r="C170" s="270">
        <v>2364.4</v>
      </c>
      <c r="D170" s="129">
        <f t="shared" si="10"/>
        <v>-2.0059681697612741E-2</v>
      </c>
      <c r="E170" s="270">
        <v>69582.38</v>
      </c>
      <c r="F170" s="129">
        <f t="shared" si="10"/>
        <v>-9.206492788581544E-4</v>
      </c>
      <c r="G170" s="270">
        <v>24890.85</v>
      </c>
      <c r="H170" s="129">
        <f t="shared" si="9"/>
        <v>-6.6269171365972435E-3</v>
      </c>
      <c r="J170" s="269">
        <v>45011</v>
      </c>
      <c r="K170" s="270">
        <v>482.08</v>
      </c>
      <c r="L170" s="129">
        <f t="shared" si="8"/>
        <v>-3.1578947368421151E-2</v>
      </c>
      <c r="M170" s="270">
        <v>33932.14</v>
      </c>
      <c r="N170" s="129">
        <f t="shared" si="8"/>
        <v>-1.8372319208776466E-2</v>
      </c>
      <c r="O170" s="270">
        <v>16945.05</v>
      </c>
      <c r="P170" s="129">
        <f t="shared" si="8"/>
        <v>-9.0643009815760678E-3</v>
      </c>
    </row>
    <row r="171" spans="2:16" x14ac:dyDescent="0.3">
      <c r="B171" s="269">
        <v>45924</v>
      </c>
      <c r="C171" s="270">
        <v>2412.8000000000002</v>
      </c>
      <c r="D171" s="129">
        <f t="shared" si="10"/>
        <v>-1.3815090329436619E-2</v>
      </c>
      <c r="E171" s="270">
        <v>69646.5</v>
      </c>
      <c r="F171" s="129">
        <f t="shared" si="10"/>
        <v>-1.0943645522565992E-2</v>
      </c>
      <c r="G171" s="270">
        <v>25056.9</v>
      </c>
      <c r="H171" s="129">
        <f t="shared" si="9"/>
        <v>-4.4736685273842891E-3</v>
      </c>
      <c r="J171" s="269">
        <v>45004</v>
      </c>
      <c r="K171" s="270">
        <v>497.8</v>
      </c>
      <c r="L171" s="129">
        <f t="shared" si="8"/>
        <v>-6.3052889139845525E-2</v>
      </c>
      <c r="M171" s="270">
        <v>34567.22</v>
      </c>
      <c r="N171" s="129">
        <f t="shared" si="8"/>
        <v>8.6601996507562617E-4</v>
      </c>
      <c r="O171" s="270">
        <v>17100.05</v>
      </c>
      <c r="P171" s="129">
        <f t="shared" si="8"/>
        <v>-1.796656501788918E-2</v>
      </c>
    </row>
    <row r="172" spans="2:16" x14ac:dyDescent="0.3">
      <c r="B172" s="269">
        <v>45923</v>
      </c>
      <c r="C172" s="270">
        <v>2446.6</v>
      </c>
      <c r="D172" s="129">
        <f t="shared" si="10"/>
        <v>-1.8808903148185285E-2</v>
      </c>
      <c r="E172" s="270">
        <v>70417.119999999995</v>
      </c>
      <c r="F172" s="129">
        <f t="shared" si="10"/>
        <v>-3.8058380327459229E-3</v>
      </c>
      <c r="G172" s="270">
        <v>25169.5</v>
      </c>
      <c r="H172" s="129">
        <f t="shared" si="9"/>
        <v>-1.3034498766979485E-3</v>
      </c>
      <c r="J172" s="269">
        <v>44997</v>
      </c>
      <c r="K172" s="270">
        <v>531.29999999999995</v>
      </c>
      <c r="L172" s="129">
        <f t="shared" si="8"/>
        <v>-2.5977597301409916E-2</v>
      </c>
      <c r="M172" s="270">
        <v>34537.31</v>
      </c>
      <c r="N172" s="129">
        <f t="shared" si="8"/>
        <v>3.8392429985913967E-3</v>
      </c>
      <c r="O172" s="270">
        <v>17412.900000000001</v>
      </c>
      <c r="P172" s="129">
        <f t="shared" si="8"/>
        <v>-1.0312969788596749E-2</v>
      </c>
    </row>
    <row r="173" spans="2:16" x14ac:dyDescent="0.3">
      <c r="B173" s="269">
        <v>45922</v>
      </c>
      <c r="C173" s="270">
        <v>2493.5</v>
      </c>
      <c r="D173" s="129">
        <f t="shared" si="10"/>
        <v>-1.7029999605786994E-2</v>
      </c>
      <c r="E173" s="270">
        <v>70686.14</v>
      </c>
      <c r="F173" s="129">
        <f t="shared" si="10"/>
        <v>-7.6514267070759701E-3</v>
      </c>
      <c r="G173" s="270">
        <v>25202.35</v>
      </c>
      <c r="H173" s="129">
        <f t="shared" si="9"/>
        <v>-4.9235896008418267E-3</v>
      </c>
      <c r="J173" s="269">
        <v>44990</v>
      </c>
      <c r="K173" s="270">
        <v>545.47</v>
      </c>
      <c r="L173" s="129">
        <f t="shared" si="8"/>
        <v>-6.3168741949334417E-2</v>
      </c>
      <c r="M173" s="270">
        <v>34405.22</v>
      </c>
      <c r="N173" s="129">
        <f t="shared" si="8"/>
        <v>8.0113020768328713E-3</v>
      </c>
      <c r="O173" s="270">
        <v>17594.349999999999</v>
      </c>
      <c r="P173" s="129">
        <f t="shared" si="8"/>
        <v>7.360098020130712E-3</v>
      </c>
    </row>
    <row r="174" spans="2:16" x14ac:dyDescent="0.3">
      <c r="B174" s="269">
        <v>45919</v>
      </c>
      <c r="C174" s="270">
        <v>2536.6999999999998</v>
      </c>
      <c r="D174" s="129">
        <f t="shared" si="10"/>
        <v>0.1132713069428597</v>
      </c>
      <c r="E174" s="270">
        <v>71231.16</v>
      </c>
      <c r="F174" s="129">
        <f t="shared" si="10"/>
        <v>7.1902239927590372E-4</v>
      </c>
      <c r="G174" s="270">
        <v>25327.05</v>
      </c>
      <c r="H174" s="129">
        <f t="shared" si="9"/>
        <v>-3.7976525747730472E-3</v>
      </c>
      <c r="J174" s="269">
        <v>44983</v>
      </c>
      <c r="K174" s="270">
        <v>582.25</v>
      </c>
      <c r="L174" s="129">
        <f t="shared" si="8"/>
        <v>3.8285958843040202E-2</v>
      </c>
      <c r="M174" s="270">
        <v>34131.78</v>
      </c>
      <c r="N174" s="129">
        <f t="shared" si="8"/>
        <v>-2.8205345759204525E-2</v>
      </c>
      <c r="O174" s="270">
        <v>17465.8</v>
      </c>
      <c r="P174" s="129">
        <f t="shared" si="8"/>
        <v>-2.6660425095574092E-2</v>
      </c>
    </row>
    <row r="175" spans="2:16" x14ac:dyDescent="0.3">
      <c r="B175" s="269">
        <v>45918</v>
      </c>
      <c r="C175" s="270">
        <v>2278.6</v>
      </c>
      <c r="D175" s="129">
        <f t="shared" si="10"/>
        <v>-1.3849216653682994E-2</v>
      </c>
      <c r="E175" s="270">
        <v>71179.98</v>
      </c>
      <c r="F175" s="129">
        <f t="shared" si="10"/>
        <v>-3.2865787137072999E-3</v>
      </c>
      <c r="G175" s="270">
        <v>25423.599999999999</v>
      </c>
      <c r="H175" s="129">
        <f t="shared" si="9"/>
        <v>3.685316962919849E-3</v>
      </c>
      <c r="J175" s="269">
        <v>44976</v>
      </c>
      <c r="K175" s="270">
        <v>560.78</v>
      </c>
      <c r="L175" s="129">
        <f t="shared" si="8"/>
        <v>-1.6123655630998268E-2</v>
      </c>
      <c r="M175" s="270">
        <v>35122.42</v>
      </c>
      <c r="N175" s="129">
        <f t="shared" si="8"/>
        <v>1.644460483663468E-2</v>
      </c>
      <c r="O175" s="270">
        <v>17944.2</v>
      </c>
      <c r="P175" s="129">
        <f t="shared" si="8"/>
        <v>4.9113768095652155E-3</v>
      </c>
    </row>
    <row r="176" spans="2:16" x14ac:dyDescent="0.3">
      <c r="B176" s="269">
        <v>45917</v>
      </c>
      <c r="C176" s="270">
        <v>2310.6</v>
      </c>
      <c r="D176" s="129">
        <f t="shared" si="10"/>
        <v>-9.5122794880675432E-4</v>
      </c>
      <c r="E176" s="270">
        <v>71414.69</v>
      </c>
      <c r="F176" s="129">
        <f t="shared" si="10"/>
        <v>9.5634338396275442E-3</v>
      </c>
      <c r="G176" s="270">
        <v>25330.25</v>
      </c>
      <c r="H176" s="129">
        <f t="shared" si="9"/>
        <v>3.6114599965926253E-3</v>
      </c>
      <c r="J176" s="269">
        <v>44969</v>
      </c>
      <c r="K176" s="270">
        <v>569.97</v>
      </c>
      <c r="L176" s="129">
        <f t="shared" si="8"/>
        <v>2.0445797153343603E-2</v>
      </c>
      <c r="M176" s="270">
        <v>34554.19</v>
      </c>
      <c r="N176" s="129">
        <f t="shared" si="8"/>
        <v>1.6262941075955162E-2</v>
      </c>
      <c r="O176" s="270">
        <v>17856.5</v>
      </c>
      <c r="P176" s="129">
        <f t="shared" si="8"/>
        <v>1.372237671564136E-4</v>
      </c>
    </row>
    <row r="177" spans="2:16" x14ac:dyDescent="0.3">
      <c r="B177" s="269">
        <v>45916</v>
      </c>
      <c r="C177" s="270">
        <v>2312.8000000000002</v>
      </c>
      <c r="D177" s="129">
        <f t="shared" si="10"/>
        <v>5.958853464399283E-3</v>
      </c>
      <c r="E177" s="270">
        <v>70738.19</v>
      </c>
      <c r="F177" s="129">
        <f t="shared" si="10"/>
        <v>8.882500689221029E-3</v>
      </c>
      <c r="G177" s="270">
        <v>25239.1</v>
      </c>
      <c r="H177" s="129">
        <f t="shared" si="9"/>
        <v>6.7772405980246475E-3</v>
      </c>
      <c r="J177" s="269">
        <v>44962</v>
      </c>
      <c r="K177" s="270">
        <v>558.54999999999995</v>
      </c>
      <c r="L177" s="129">
        <f t="shared" si="8"/>
        <v>0.10015757337010034</v>
      </c>
      <c r="M177" s="270">
        <v>34001.230000000003</v>
      </c>
      <c r="N177" s="129">
        <f t="shared" si="8"/>
        <v>9.4984429049822516E-3</v>
      </c>
      <c r="O177" s="270">
        <v>17854.05</v>
      </c>
      <c r="P177" s="129">
        <f t="shared" si="8"/>
        <v>1.4183994296864233E-2</v>
      </c>
    </row>
    <row r="178" spans="2:16" x14ac:dyDescent="0.3">
      <c r="B178" s="269">
        <v>45915</v>
      </c>
      <c r="C178" s="270">
        <v>2299.1</v>
      </c>
      <c r="D178" s="129">
        <f t="shared" si="10"/>
        <v>1.0504571026722864E-2</v>
      </c>
      <c r="E178" s="270">
        <v>70115.39</v>
      </c>
      <c r="F178" s="129">
        <f t="shared" si="10"/>
        <v>6.0781908457223643E-3</v>
      </c>
      <c r="G178" s="270">
        <v>25069.200000000001</v>
      </c>
      <c r="H178" s="129">
        <f t="shared" si="9"/>
        <v>-1.7838655729871533E-3</v>
      </c>
      <c r="J178" s="269">
        <v>44955</v>
      </c>
      <c r="K178" s="270">
        <v>507.7</v>
      </c>
      <c r="L178" s="129">
        <f t="shared" si="8"/>
        <v>-4.2382631985966701E-2</v>
      </c>
      <c r="M178" s="270">
        <v>33681.31</v>
      </c>
      <c r="N178" s="129">
        <f t="shared" si="8"/>
        <v>-3.3935704152595503E-2</v>
      </c>
      <c r="O178" s="270">
        <v>17604.349999999999</v>
      </c>
      <c r="P178" s="129">
        <f t="shared" si="8"/>
        <v>-2.3480597859399488E-2</v>
      </c>
    </row>
    <row r="179" spans="2:16" x14ac:dyDescent="0.3">
      <c r="B179" s="269">
        <v>45912</v>
      </c>
      <c r="C179" s="270">
        <v>2275.1999999999998</v>
      </c>
      <c r="D179" s="129">
        <f t="shared" si="10"/>
        <v>-5.8116670308062668E-3</v>
      </c>
      <c r="E179" s="270">
        <v>69691.789999999994</v>
      </c>
      <c r="F179" s="129">
        <f t="shared" si="10"/>
        <v>1.7581707419993542E-2</v>
      </c>
      <c r="G179" s="270">
        <v>25114</v>
      </c>
      <c r="H179" s="129">
        <f t="shared" si="9"/>
        <v>4.3390454100098452E-3</v>
      </c>
      <c r="J179" s="269">
        <v>44948</v>
      </c>
      <c r="K179" s="270">
        <v>530.16999999999996</v>
      </c>
      <c r="L179" s="129">
        <f t="shared" si="8"/>
        <v>0.11497371188222916</v>
      </c>
      <c r="M179" s="270">
        <v>34864.46</v>
      </c>
      <c r="N179" s="129">
        <f t="shared" si="8"/>
        <v>2.0968167497012358E-2</v>
      </c>
      <c r="O179" s="270">
        <v>18027.650000000001</v>
      </c>
      <c r="P179" s="129">
        <f t="shared" si="8"/>
        <v>3.9567624160476988E-3</v>
      </c>
    </row>
    <row r="180" spans="2:16" x14ac:dyDescent="0.3">
      <c r="B180" s="269">
        <v>45911</v>
      </c>
      <c r="C180" s="270">
        <v>2288.5</v>
      </c>
      <c r="D180" s="129">
        <f t="shared" si="10"/>
        <v>-1.7448200654307522E-3</v>
      </c>
      <c r="E180" s="270">
        <v>68487.66</v>
      </c>
      <c r="F180" s="129">
        <f t="shared" si="10"/>
        <v>1.7758762547310791E-3</v>
      </c>
      <c r="G180" s="270">
        <v>25005.5</v>
      </c>
      <c r="H180" s="129">
        <f t="shared" si="9"/>
        <v>1.2973959980939753E-3</v>
      </c>
      <c r="J180" s="269">
        <v>44941</v>
      </c>
      <c r="K180" s="270">
        <v>475.5</v>
      </c>
      <c r="L180" s="129">
        <f t="shared" si="8"/>
        <v>2.0933977455716679E-2</v>
      </c>
      <c r="M180" s="270">
        <v>34148.43</v>
      </c>
      <c r="N180" s="129">
        <f t="shared" si="8"/>
        <v>2.2382677316701294E-2</v>
      </c>
      <c r="O180" s="270">
        <v>17956.599999999999</v>
      </c>
      <c r="P180" s="129">
        <f t="shared" si="8"/>
        <v>5.4396971911228054E-3</v>
      </c>
    </row>
    <row r="181" spans="2:16" x14ac:dyDescent="0.3">
      <c r="B181" s="269">
        <v>45910</v>
      </c>
      <c r="C181" s="270">
        <v>2292.5</v>
      </c>
      <c r="D181" s="129">
        <f t="shared" si="10"/>
        <v>2.1112645316466949E-2</v>
      </c>
      <c r="E181" s="270">
        <v>68366.25</v>
      </c>
      <c r="F181" s="129">
        <f t="shared" si="10"/>
        <v>1.8801851915875689E-2</v>
      </c>
      <c r="G181" s="270">
        <v>24973.1</v>
      </c>
      <c r="H181" s="129">
        <f t="shared" si="9"/>
        <v>4.2020861648826013E-3</v>
      </c>
      <c r="J181" s="269">
        <v>44934</v>
      </c>
      <c r="K181" s="270">
        <v>465.75</v>
      </c>
      <c r="L181" s="129">
        <f t="shared" si="8"/>
        <v>7.7127659574468099E-2</v>
      </c>
      <c r="M181" s="270">
        <v>33400.83</v>
      </c>
      <c r="N181" s="129">
        <f t="shared" si="8"/>
        <v>1.7578313621589015E-3</v>
      </c>
      <c r="O181" s="270">
        <v>17859.45</v>
      </c>
      <c r="P181" s="129">
        <f t="shared" si="8"/>
        <v>-1.3578896787128536E-2</v>
      </c>
    </row>
    <row r="182" spans="2:16" x14ac:dyDescent="0.3">
      <c r="B182" s="269">
        <v>45909</v>
      </c>
      <c r="C182" s="270">
        <v>2245.1</v>
      </c>
      <c r="D182" s="129">
        <f t="shared" si="10"/>
        <v>-8.4356505609044508E-3</v>
      </c>
      <c r="E182" s="270">
        <v>67104.56</v>
      </c>
      <c r="F182" s="129">
        <f t="shared" si="10"/>
        <v>4.8583261426982105E-5</v>
      </c>
      <c r="G182" s="270">
        <v>24868.6</v>
      </c>
      <c r="H182" s="129">
        <f t="shared" si="9"/>
        <v>3.8529617751474898E-3</v>
      </c>
      <c r="J182" s="269">
        <v>44927</v>
      </c>
      <c r="K182" s="270">
        <v>432.4</v>
      </c>
      <c r="L182" s="129">
        <f t="shared" si="8"/>
        <v>4.6213404306798767E-2</v>
      </c>
      <c r="M182" s="270">
        <v>33342.22</v>
      </c>
      <c r="N182" s="129">
        <f t="shared" si="8"/>
        <v>2.2654867148065527E-2</v>
      </c>
      <c r="O182" s="270">
        <v>18105.3</v>
      </c>
      <c r="P182" s="129">
        <f t="shared" si="8"/>
        <v>1.6763258979715534E-2</v>
      </c>
    </row>
    <row r="183" spans="2:16" x14ac:dyDescent="0.3">
      <c r="B183" s="269">
        <v>45908</v>
      </c>
      <c r="C183" s="270">
        <v>2264.1999999999998</v>
      </c>
      <c r="D183" s="129">
        <f t="shared" si="10"/>
        <v>1.2824481492945683E-3</v>
      </c>
      <c r="E183" s="270">
        <v>67101.3</v>
      </c>
      <c r="F183" s="129">
        <f t="shared" si="10"/>
        <v>3.7204248512174853E-3</v>
      </c>
      <c r="G183" s="270">
        <v>24773.15</v>
      </c>
      <c r="H183" s="129">
        <f t="shared" si="9"/>
        <v>1.2994624307829383E-3</v>
      </c>
      <c r="J183" s="269">
        <v>44920</v>
      </c>
      <c r="K183" s="270">
        <v>413.3</v>
      </c>
      <c r="L183" s="129">
        <f t="shared" si="8"/>
        <v>-3.2877032877032919E-2</v>
      </c>
      <c r="M183" s="270">
        <v>32603.59</v>
      </c>
      <c r="N183" s="129">
        <f t="shared" si="8"/>
        <v>-5.5928075431727842E-2</v>
      </c>
      <c r="O183" s="270">
        <v>17806.8</v>
      </c>
      <c r="P183" s="129">
        <f t="shared" si="8"/>
        <v>-2.5299687996058973E-2</v>
      </c>
    </row>
    <row r="184" spans="2:16" x14ac:dyDescent="0.3">
      <c r="B184" s="269">
        <v>45905</v>
      </c>
      <c r="C184" s="270">
        <v>2261.3000000000002</v>
      </c>
      <c r="D184" s="129">
        <f t="shared" si="10"/>
        <v>-2.769058778002309E-2</v>
      </c>
      <c r="E184" s="270">
        <v>66852.58</v>
      </c>
      <c r="F184" s="129">
        <f t="shared" si="10"/>
        <v>-2.5196410999761554E-3</v>
      </c>
      <c r="G184" s="270">
        <v>24741</v>
      </c>
      <c r="H184" s="129">
        <f t="shared" si="9"/>
        <v>2.7087890095933709E-4</v>
      </c>
      <c r="J184" s="269">
        <v>44913</v>
      </c>
      <c r="K184" s="270">
        <v>427.35</v>
      </c>
      <c r="L184" s="129">
        <f t="shared" si="8"/>
        <v>-1.5934787114007309E-2</v>
      </c>
      <c r="M184" s="270">
        <v>34535.07</v>
      </c>
      <c r="N184" s="129">
        <f t="shared" si="8"/>
        <v>-5.5142231191340763E-3</v>
      </c>
      <c r="O184" s="270">
        <v>18269</v>
      </c>
      <c r="P184" s="129">
        <f t="shared" si="8"/>
        <v>-1.2304964155574472E-2</v>
      </c>
    </row>
    <row r="185" spans="2:16" x14ac:dyDescent="0.3">
      <c r="B185" s="269">
        <v>45904</v>
      </c>
      <c r="C185" s="270">
        <v>2325.6999999999998</v>
      </c>
      <c r="D185" s="129">
        <f t="shared" si="10"/>
        <v>3.5382955771303681E-3</v>
      </c>
      <c r="E185" s="270">
        <v>67021.45</v>
      </c>
      <c r="F185" s="129">
        <f t="shared" si="10"/>
        <v>-5.7953961697991829E-3</v>
      </c>
      <c r="G185" s="270">
        <v>24734.3</v>
      </c>
      <c r="H185" s="129">
        <f t="shared" si="9"/>
        <v>7.7887764742534671E-4</v>
      </c>
      <c r="J185" s="269">
        <v>44906</v>
      </c>
      <c r="K185" s="270">
        <v>434.27</v>
      </c>
      <c r="L185" s="129">
        <f t="shared" si="8"/>
        <v>-1.3538377666220014E-2</v>
      </c>
      <c r="M185" s="270">
        <v>34726.559999999998</v>
      </c>
      <c r="N185" s="129">
        <f t="shared" si="8"/>
        <v>1.64483071810273E-2</v>
      </c>
      <c r="O185" s="270">
        <v>18496.599999999999</v>
      </c>
      <c r="P185" s="129">
        <f t="shared" si="8"/>
        <v>-1.0670674632677457E-2</v>
      </c>
    </row>
    <row r="186" spans="2:16" x14ac:dyDescent="0.3">
      <c r="B186" s="269">
        <v>45903</v>
      </c>
      <c r="C186" s="270">
        <v>2317.5</v>
      </c>
      <c r="D186" s="129">
        <f t="shared" si="10"/>
        <v>2.9862373409503817E-3</v>
      </c>
      <c r="E186" s="270">
        <v>67412.13</v>
      </c>
      <c r="F186" s="129">
        <f t="shared" si="10"/>
        <v>3.0126626161572911E-3</v>
      </c>
      <c r="G186" s="270">
        <v>24715.05</v>
      </c>
      <c r="H186" s="129">
        <f t="shared" si="9"/>
        <v>5.510667382707668E-3</v>
      </c>
      <c r="J186" s="269">
        <v>44899</v>
      </c>
      <c r="K186" s="270">
        <v>440.23</v>
      </c>
      <c r="L186" s="129">
        <f t="shared" si="8"/>
        <v>1.1209371769840271E-2</v>
      </c>
      <c r="M186" s="270">
        <v>34164.61</v>
      </c>
      <c r="N186" s="129">
        <f t="shared" si="8"/>
        <v>9.5954775280069349E-3</v>
      </c>
      <c r="O186" s="270">
        <v>18696.099999999999</v>
      </c>
      <c r="P186" s="129">
        <f t="shared" si="8"/>
        <v>9.9039850913558158E-3</v>
      </c>
    </row>
    <row r="187" spans="2:16" x14ac:dyDescent="0.3">
      <c r="B187" s="269">
        <v>45902</v>
      </c>
      <c r="C187" s="270">
        <v>2310.6</v>
      </c>
      <c r="D187" s="129">
        <f t="shared" si="10"/>
        <v>2.7527015609018601E-2</v>
      </c>
      <c r="E187" s="270">
        <v>67209.649999999994</v>
      </c>
      <c r="F187" s="129">
        <f t="shared" si="10"/>
        <v>7.9871512089084717E-3</v>
      </c>
      <c r="G187" s="270">
        <v>24579.599999999999</v>
      </c>
      <c r="H187" s="129">
        <f t="shared" si="9"/>
        <v>-1.8456815316111319E-3</v>
      </c>
      <c r="J187" s="269">
        <v>44892</v>
      </c>
      <c r="K187" s="270">
        <v>435.35</v>
      </c>
      <c r="L187" s="129">
        <f t="shared" si="8"/>
        <v>-3.9322991371891325E-2</v>
      </c>
      <c r="M187" s="270">
        <v>33839.9</v>
      </c>
      <c r="N187" s="129">
        <f t="shared" si="8"/>
        <v>1.4002808891968144E-2</v>
      </c>
      <c r="O187" s="270">
        <v>18512.75</v>
      </c>
      <c r="P187" s="129">
        <f t="shared" si="8"/>
        <v>1.1202967065680136E-2</v>
      </c>
    </row>
    <row r="188" spans="2:16" x14ac:dyDescent="0.3">
      <c r="B188" s="269">
        <v>45901</v>
      </c>
      <c r="C188" s="270">
        <v>2248.6999999999998</v>
      </c>
      <c r="D188" s="129">
        <f t="shared" si="10"/>
        <v>1.5351966406285333E-2</v>
      </c>
      <c r="E188" s="270">
        <v>66677.09</v>
      </c>
      <c r="F188" s="129">
        <f t="shared" si="10"/>
        <v>1.9261177661858309E-2</v>
      </c>
      <c r="G188" s="270">
        <v>24625.05</v>
      </c>
      <c r="H188" s="129">
        <f t="shared" si="9"/>
        <v>8.1140220699762455E-3</v>
      </c>
      <c r="J188" s="269">
        <v>44885</v>
      </c>
      <c r="K188" s="270">
        <v>453.17</v>
      </c>
      <c r="L188" s="129">
        <f t="shared" si="8"/>
        <v>3.5178289969618914E-2</v>
      </c>
      <c r="M188" s="270">
        <v>33372.589999999997</v>
      </c>
      <c r="N188" s="129">
        <f t="shared" si="8"/>
        <v>-1.1143430284868971E-3</v>
      </c>
      <c r="O188" s="270">
        <v>18307.650000000001</v>
      </c>
      <c r="P188" s="129">
        <f t="shared" si="8"/>
        <v>-2.2915905982113793E-3</v>
      </c>
    </row>
    <row r="189" spans="2:16" x14ac:dyDescent="0.3">
      <c r="B189" s="269">
        <v>45898</v>
      </c>
      <c r="C189" s="270">
        <v>2214.6999999999998</v>
      </c>
      <c r="D189" s="129">
        <f t="shared" si="10"/>
        <v>-1.0941407645587709E-2</v>
      </c>
      <c r="E189" s="270">
        <v>65417.08</v>
      </c>
      <c r="F189" s="129">
        <f t="shared" si="10"/>
        <v>2.1884593659702301E-3</v>
      </c>
      <c r="G189" s="270">
        <v>24426.85</v>
      </c>
      <c r="H189" s="129">
        <f t="shared" si="9"/>
        <v>-3.0223379549323415E-3</v>
      </c>
      <c r="J189" s="269">
        <v>44878</v>
      </c>
      <c r="K189" s="270">
        <v>437.77</v>
      </c>
      <c r="L189" s="129">
        <f t="shared" si="8"/>
        <v>3.5847806540154181E-2</v>
      </c>
      <c r="M189" s="270">
        <v>33409.82</v>
      </c>
      <c r="N189" s="129">
        <f t="shared" si="8"/>
        <v>-3.3449724732599329E-3</v>
      </c>
      <c r="O189" s="270">
        <v>18349.7</v>
      </c>
      <c r="P189" s="129">
        <f t="shared" si="8"/>
        <v>1.2835904101914375E-2</v>
      </c>
    </row>
    <row r="190" spans="2:16" x14ac:dyDescent="0.3">
      <c r="B190" s="269">
        <v>45897</v>
      </c>
      <c r="C190" s="270">
        <v>2239.1999999999998</v>
      </c>
      <c r="D190" s="129">
        <f t="shared" si="10"/>
        <v>1.2520121624037817E-3</v>
      </c>
      <c r="E190" s="270">
        <v>65274.23</v>
      </c>
      <c r="F190" s="129">
        <f t="shared" si="10"/>
        <v>-9.184824615676157E-3</v>
      </c>
      <c r="G190" s="270">
        <v>24500.9</v>
      </c>
      <c r="H190" s="129">
        <f t="shared" si="9"/>
        <v>-8.5444145669824056E-3</v>
      </c>
      <c r="J190" s="269">
        <v>44871</v>
      </c>
      <c r="K190" s="270">
        <v>422.62</v>
      </c>
      <c r="L190" s="129">
        <f t="shared" si="8"/>
        <v>6.2380952380951538E-3</v>
      </c>
      <c r="M190" s="270">
        <v>33521.949999999997</v>
      </c>
      <c r="N190" s="129">
        <f t="shared" si="8"/>
        <v>2.320607490214166E-2</v>
      </c>
      <c r="O190" s="270">
        <v>18117.150000000001</v>
      </c>
      <c r="P190" s="129">
        <f t="shared" si="8"/>
        <v>1.8572761823374861E-2</v>
      </c>
    </row>
    <row r="191" spans="2:16" x14ac:dyDescent="0.3">
      <c r="B191" s="269">
        <v>45895</v>
      </c>
      <c r="C191" s="270">
        <v>2236.4</v>
      </c>
      <c r="D191" s="129">
        <f t="shared" si="10"/>
        <v>-2.0411738939991153E-2</v>
      </c>
      <c r="E191" s="270">
        <v>65879.320000000007</v>
      </c>
      <c r="F191" s="129">
        <f t="shared" si="10"/>
        <v>-1.4830483445377296E-2</v>
      </c>
      <c r="G191" s="270">
        <v>24712.05</v>
      </c>
      <c r="H191" s="129">
        <f t="shared" si="9"/>
        <v>-1.0241211162399511E-2</v>
      </c>
      <c r="J191" s="269">
        <v>44864</v>
      </c>
      <c r="K191" s="270">
        <v>420</v>
      </c>
      <c r="L191" s="129">
        <f t="shared" si="8"/>
        <v>-1.2461791676463663E-2</v>
      </c>
      <c r="M191" s="270">
        <v>32761.68</v>
      </c>
      <c r="N191" s="129">
        <f t="shared" si="8"/>
        <v>3.2220906631647672E-2</v>
      </c>
      <c r="O191" s="270">
        <v>17786.8</v>
      </c>
      <c r="P191" s="129">
        <f t="shared" si="8"/>
        <v>1.1976354522851729E-2</v>
      </c>
    </row>
    <row r="192" spans="2:16" x14ac:dyDescent="0.3">
      <c r="B192" s="269">
        <v>45894</v>
      </c>
      <c r="C192" s="270">
        <v>2283</v>
      </c>
      <c r="D192" s="129">
        <f t="shared" si="10"/>
        <v>-1.7490161783996205E-3</v>
      </c>
      <c r="E192" s="270">
        <v>66871.05</v>
      </c>
      <c r="F192" s="129">
        <f t="shared" si="10"/>
        <v>-4.1692590819916164E-3</v>
      </c>
      <c r="G192" s="270">
        <v>24967.75</v>
      </c>
      <c r="H192" s="129">
        <f t="shared" si="9"/>
        <v>3.9264015826234733E-3</v>
      </c>
      <c r="J192" s="269">
        <v>44857</v>
      </c>
      <c r="K192" s="270">
        <v>425.3</v>
      </c>
      <c r="L192" s="129">
        <f t="shared" si="8"/>
        <v>-1.8462958689129949E-2</v>
      </c>
      <c r="M192" s="270">
        <v>31739.02</v>
      </c>
      <c r="N192" s="129">
        <f t="shared" si="8"/>
        <v>2.1666919268465978E-3</v>
      </c>
      <c r="O192" s="270">
        <v>17576.3</v>
      </c>
      <c r="P192" s="129">
        <f t="shared" si="8"/>
        <v>2.2728198444055048E-2</v>
      </c>
    </row>
    <row r="193" spans="2:16" x14ac:dyDescent="0.3">
      <c r="B193" s="269">
        <v>45891</v>
      </c>
      <c r="C193" s="270">
        <v>2287</v>
      </c>
      <c r="D193" s="129">
        <f t="shared" si="10"/>
        <v>-9.6566058978911906E-3</v>
      </c>
      <c r="E193" s="270">
        <v>67151.02</v>
      </c>
      <c r="F193" s="129">
        <f t="shared" si="10"/>
        <v>8.1211353254784235E-4</v>
      </c>
      <c r="G193" s="270">
        <v>24870.1</v>
      </c>
      <c r="H193" s="129">
        <f t="shared" si="9"/>
        <v>-8.5174664872676997E-3</v>
      </c>
      <c r="J193" s="269">
        <v>44850</v>
      </c>
      <c r="K193" s="270">
        <v>433.3</v>
      </c>
      <c r="L193" s="129">
        <f t="shared" si="8"/>
        <v>-3.3244087460954863E-2</v>
      </c>
      <c r="M193" s="270">
        <v>31670.400000000001</v>
      </c>
      <c r="N193" s="129">
        <f t="shared" si="8"/>
        <v>-2.0887268356354127E-2</v>
      </c>
      <c r="O193" s="270">
        <v>17185.7</v>
      </c>
      <c r="P193" s="129">
        <f t="shared" si="8"/>
        <v>-7.4474505693156168E-3</v>
      </c>
    </row>
    <row r="194" spans="2:16" x14ac:dyDescent="0.3">
      <c r="B194" s="269">
        <v>45890</v>
      </c>
      <c r="C194" s="270">
        <v>2309.3000000000002</v>
      </c>
      <c r="D194" s="129">
        <f t="shared" si="10"/>
        <v>-7.5210589651022453E-3</v>
      </c>
      <c r="E194" s="270">
        <v>67096.53</v>
      </c>
      <c r="F194" s="129">
        <f t="shared" si="10"/>
        <v>-4.5406461571873002E-4</v>
      </c>
      <c r="G194" s="270">
        <v>25083.75</v>
      </c>
      <c r="H194" s="129">
        <f t="shared" si="9"/>
        <v>1.3253202025504951E-3</v>
      </c>
      <c r="J194" s="269">
        <v>44843</v>
      </c>
      <c r="K194" s="270">
        <v>448.2</v>
      </c>
      <c r="L194" s="129">
        <f t="shared" si="8"/>
        <v>8.4914794732765309E-2</v>
      </c>
      <c r="M194" s="270">
        <v>32346.02</v>
      </c>
      <c r="N194" s="129">
        <f t="shared" si="8"/>
        <v>3.6139615130076352E-2</v>
      </c>
      <c r="O194" s="270">
        <v>17314.650000000001</v>
      </c>
      <c r="P194" s="129">
        <f t="shared" si="8"/>
        <v>1.2887299019851861E-2</v>
      </c>
    </row>
    <row r="195" spans="2:16" x14ac:dyDescent="0.3">
      <c r="B195" s="269">
        <v>45889</v>
      </c>
      <c r="C195" s="270">
        <v>2326.8000000000002</v>
      </c>
      <c r="D195" s="129">
        <f t="shared" si="10"/>
        <v>9.2825540036436394E-3</v>
      </c>
      <c r="E195" s="270">
        <v>67127.009999999995</v>
      </c>
      <c r="F195" s="129">
        <f t="shared" si="10"/>
        <v>1.3153570848416507E-3</v>
      </c>
      <c r="G195" s="270">
        <v>25050.55</v>
      </c>
      <c r="H195" s="129">
        <f t="shared" si="9"/>
        <v>2.7981657803137772E-3</v>
      </c>
      <c r="J195" s="269">
        <v>44836</v>
      </c>
      <c r="K195" s="270">
        <v>413.12</v>
      </c>
      <c r="L195" s="129">
        <f t="shared" ref="L195:P258" si="11">K195/K196-1</f>
        <v>-8.8437775816416542E-2</v>
      </c>
      <c r="M195" s="270">
        <v>31217.82</v>
      </c>
      <c r="N195" s="129">
        <f t="shared" si="11"/>
        <v>-1.5144240021250699E-2</v>
      </c>
      <c r="O195" s="270">
        <v>17094.349999999999</v>
      </c>
      <c r="P195" s="129">
        <f t="shared" si="11"/>
        <v>-1.3446949475828696E-2</v>
      </c>
    </row>
    <row r="196" spans="2:16" x14ac:dyDescent="0.3">
      <c r="B196" s="269">
        <v>45888</v>
      </c>
      <c r="C196" s="270">
        <v>2305.4</v>
      </c>
      <c r="D196" s="129">
        <f t="shared" si="10"/>
        <v>-1.8477520435967287E-2</v>
      </c>
      <c r="E196" s="270">
        <v>67038.83</v>
      </c>
      <c r="F196" s="129">
        <f t="shared" si="10"/>
        <v>3.9803483591058786E-3</v>
      </c>
      <c r="G196" s="270">
        <v>24980.65</v>
      </c>
      <c r="H196" s="129">
        <f t="shared" si="9"/>
        <v>4.1685174428538474E-3</v>
      </c>
      <c r="J196" s="269">
        <v>44829</v>
      </c>
      <c r="K196" s="270">
        <v>453.2</v>
      </c>
      <c r="L196" s="129">
        <f t="shared" si="11"/>
        <v>-4.5090602612726571E-2</v>
      </c>
      <c r="M196" s="270">
        <v>31697.86</v>
      </c>
      <c r="N196" s="129">
        <f t="shared" si="11"/>
        <v>-3.0150287899588957E-2</v>
      </c>
      <c r="O196" s="270">
        <v>17327.349999999999</v>
      </c>
      <c r="P196" s="129">
        <f t="shared" si="11"/>
        <v>-1.1608107992481798E-2</v>
      </c>
    </row>
    <row r="197" spans="2:16" x14ac:dyDescent="0.3">
      <c r="B197" s="269">
        <v>45887</v>
      </c>
      <c r="C197" s="270">
        <v>2348.8000000000002</v>
      </c>
      <c r="D197" s="129">
        <f t="shared" si="10"/>
        <v>5.8113343544463403E-2</v>
      </c>
      <c r="E197" s="270">
        <v>66773.05</v>
      </c>
      <c r="F197" s="129">
        <f t="shared" si="10"/>
        <v>1.7570054037263638E-4</v>
      </c>
      <c r="G197" s="270">
        <v>24876.95</v>
      </c>
      <c r="H197" s="129">
        <f t="shared" si="9"/>
        <v>9.9730830285045258E-3</v>
      </c>
      <c r="J197" s="269">
        <v>44822</v>
      </c>
      <c r="K197" s="270">
        <v>474.6</v>
      </c>
      <c r="L197" s="129">
        <f t="shared" si="11"/>
        <v>8.9285714285716189E-3</v>
      </c>
      <c r="M197" s="270">
        <v>32683.27</v>
      </c>
      <c r="N197" s="129">
        <f t="shared" si="11"/>
        <v>-1.9338816045108342E-2</v>
      </c>
      <c r="O197" s="270">
        <v>17530.849999999999</v>
      </c>
      <c r="P197" s="129">
        <f t="shared" si="11"/>
        <v>-1.6962600969531838E-2</v>
      </c>
    </row>
    <row r="198" spans="2:16" x14ac:dyDescent="0.3">
      <c r="B198" s="269">
        <v>45883</v>
      </c>
      <c r="C198" s="270">
        <v>2219.8000000000002</v>
      </c>
      <c r="D198" s="129">
        <f t="shared" si="10"/>
        <v>-1.3466068174747714E-2</v>
      </c>
      <c r="E198" s="270">
        <v>66761.320000000007</v>
      </c>
      <c r="F198" s="129">
        <f t="shared" si="10"/>
        <v>-5.5369167755423554E-3</v>
      </c>
      <c r="G198" s="270">
        <v>24631.3</v>
      </c>
      <c r="H198" s="129">
        <f t="shared" si="9"/>
        <v>4.8539055661511732E-4</v>
      </c>
      <c r="J198" s="269">
        <v>44815</v>
      </c>
      <c r="K198" s="270">
        <v>470.4</v>
      </c>
      <c r="L198" s="129">
        <f t="shared" si="11"/>
        <v>5.5063362117304004E-2</v>
      </c>
      <c r="M198" s="270">
        <v>33327.79</v>
      </c>
      <c r="N198" s="129">
        <f t="shared" si="11"/>
        <v>1.553137782588121E-2</v>
      </c>
      <c r="O198" s="270">
        <v>17833.349999999999</v>
      </c>
      <c r="P198" s="129">
        <f t="shared" si="11"/>
        <v>1.6756511749228098E-2</v>
      </c>
    </row>
    <row r="199" spans="2:16" x14ac:dyDescent="0.3">
      <c r="B199" s="269">
        <v>45882</v>
      </c>
      <c r="C199" s="270">
        <v>2250.1</v>
      </c>
      <c r="D199" s="129">
        <f t="shared" si="10"/>
        <v>1.4687555634678162E-3</v>
      </c>
      <c r="E199" s="270">
        <v>67133.03</v>
      </c>
      <c r="F199" s="129">
        <f t="shared" si="10"/>
        <v>1.0116811960639405E-2</v>
      </c>
      <c r="G199" s="270">
        <v>24619.35</v>
      </c>
      <c r="H199" s="129">
        <f t="shared" si="9"/>
        <v>5.3884855068320192E-3</v>
      </c>
      <c r="J199" s="269">
        <v>44808</v>
      </c>
      <c r="K199" s="270">
        <v>445.85</v>
      </c>
      <c r="L199" s="129">
        <f t="shared" si="11"/>
        <v>1.232914036601418E-2</v>
      </c>
      <c r="M199" s="270">
        <v>32818.080000000002</v>
      </c>
      <c r="N199" s="129">
        <f t="shared" si="11"/>
        <v>2.7469671904292614E-2</v>
      </c>
      <c r="O199" s="270">
        <v>17539.45</v>
      </c>
      <c r="P199" s="129">
        <f t="shared" si="11"/>
        <v>-1.1077003684741848E-3</v>
      </c>
    </row>
    <row r="200" spans="2:16" x14ac:dyDescent="0.3">
      <c r="B200" s="269">
        <v>45881</v>
      </c>
      <c r="C200" s="270">
        <v>2246.8000000000002</v>
      </c>
      <c r="D200" s="129">
        <f t="shared" si="10"/>
        <v>-3.2760773171466639E-2</v>
      </c>
      <c r="E200" s="270">
        <v>66460.66</v>
      </c>
      <c r="F200" s="129">
        <f t="shared" si="10"/>
        <v>-7.5552577620399131E-3</v>
      </c>
      <c r="G200" s="270">
        <v>24487.4</v>
      </c>
      <c r="H200" s="129">
        <f t="shared" si="9"/>
        <v>-3.9719260282162772E-3</v>
      </c>
      <c r="J200" s="269">
        <v>44801</v>
      </c>
      <c r="K200" s="270">
        <v>440.42</v>
      </c>
      <c r="L200" s="129">
        <f t="shared" si="11"/>
        <v>2.3875392305009902E-2</v>
      </c>
      <c r="M200" s="270">
        <v>31940.68</v>
      </c>
      <c r="N200" s="129">
        <f t="shared" si="11"/>
        <v>1.4096079906783965E-2</v>
      </c>
      <c r="O200" s="270">
        <v>17558.900000000001</v>
      </c>
      <c r="P200" s="129">
        <f t="shared" si="11"/>
        <v>-1.1236904121699753E-2</v>
      </c>
    </row>
    <row r="201" spans="2:16" x14ac:dyDescent="0.3">
      <c r="B201" s="269">
        <v>45880</v>
      </c>
      <c r="C201" s="270">
        <v>2322.9</v>
      </c>
      <c r="D201" s="129">
        <f t="shared" si="10"/>
        <v>5.4973595359710803E-3</v>
      </c>
      <c r="E201" s="270">
        <v>66966.61</v>
      </c>
      <c r="F201" s="129">
        <f t="shared" si="10"/>
        <v>3.2261563302327101E-3</v>
      </c>
      <c r="G201" s="270">
        <v>24585.05</v>
      </c>
      <c r="H201" s="129">
        <f t="shared" si="9"/>
        <v>9.1018047637225763E-3</v>
      </c>
      <c r="J201" s="269">
        <v>44794</v>
      </c>
      <c r="K201" s="270">
        <v>430.15</v>
      </c>
      <c r="L201" s="129">
        <f t="shared" si="11"/>
        <v>2.575414331703807E-2</v>
      </c>
      <c r="M201" s="270">
        <v>31496.7</v>
      </c>
      <c r="N201" s="129">
        <f t="shared" si="11"/>
        <v>1.7858995277608924E-2</v>
      </c>
      <c r="O201" s="270">
        <v>17758.45</v>
      </c>
      <c r="P201" s="129">
        <f t="shared" si="11"/>
        <v>3.4071357740781405E-3</v>
      </c>
    </row>
    <row r="202" spans="2:16" x14ac:dyDescent="0.3">
      <c r="B202" s="269">
        <v>45877</v>
      </c>
      <c r="C202" s="270">
        <v>2310.1999999999998</v>
      </c>
      <c r="D202" s="129">
        <f t="shared" si="10"/>
        <v>-1.8940037370477447E-2</v>
      </c>
      <c r="E202" s="270">
        <v>66751.259999999995</v>
      </c>
      <c r="F202" s="129">
        <f t="shared" si="10"/>
        <v>-1.6175682503261624E-2</v>
      </c>
      <c r="G202" s="270">
        <v>24363.3</v>
      </c>
      <c r="H202" s="129">
        <f t="shared" ref="H202:H265" si="12">G202/G203-1</f>
        <v>-9.4669287673071478E-3</v>
      </c>
      <c r="J202" s="269">
        <v>44787</v>
      </c>
      <c r="K202" s="270">
        <v>419.35</v>
      </c>
      <c r="L202" s="129">
        <f t="shared" si="11"/>
        <v>-1.399012461791671E-2</v>
      </c>
      <c r="M202" s="270">
        <v>30944.07</v>
      </c>
      <c r="N202" s="129">
        <f t="shared" si="11"/>
        <v>4.1932432800998676E-2</v>
      </c>
      <c r="O202" s="270">
        <v>17698.150000000001</v>
      </c>
      <c r="P202" s="129">
        <f t="shared" si="11"/>
        <v>1.7281218565885936E-2</v>
      </c>
    </row>
    <row r="203" spans="2:16" x14ac:dyDescent="0.3">
      <c r="B203" s="269">
        <v>45876</v>
      </c>
      <c r="C203" s="270">
        <v>2354.8000000000002</v>
      </c>
      <c r="D203" s="129">
        <f t="shared" si="10"/>
        <v>-3.9797749143695937E-2</v>
      </c>
      <c r="E203" s="270">
        <v>67848.759999999995</v>
      </c>
      <c r="F203" s="129">
        <f t="shared" si="10"/>
        <v>-4.149185141370082E-3</v>
      </c>
      <c r="G203" s="270">
        <v>24596.15</v>
      </c>
      <c r="H203" s="129">
        <f t="shared" si="12"/>
        <v>8.9321320734758736E-4</v>
      </c>
      <c r="J203" s="269">
        <v>44780</v>
      </c>
      <c r="K203" s="270">
        <v>425.3</v>
      </c>
      <c r="L203" s="129">
        <f t="shared" si="11"/>
        <v>-2.056513829076756E-2</v>
      </c>
      <c r="M203" s="270">
        <v>29698.73</v>
      </c>
      <c r="N203" s="129">
        <f t="shared" si="11"/>
        <v>-6.2354335493919333E-4</v>
      </c>
      <c r="O203" s="270">
        <v>17397.5</v>
      </c>
      <c r="P203" s="129">
        <f t="shared" si="11"/>
        <v>1.3943729692713402E-2</v>
      </c>
    </row>
    <row r="204" spans="2:16" x14ac:dyDescent="0.3">
      <c r="B204" s="269">
        <v>45875</v>
      </c>
      <c r="C204" s="270">
        <v>2452.4</v>
      </c>
      <c r="D204" s="129">
        <f t="shared" si="10"/>
        <v>-6.3540552925003824E-2</v>
      </c>
      <c r="E204" s="270">
        <v>68131.45</v>
      </c>
      <c r="F204" s="129">
        <f t="shared" si="10"/>
        <v>-8.2876740044734998E-3</v>
      </c>
      <c r="G204" s="270">
        <v>24574.2</v>
      </c>
      <c r="H204" s="129">
        <f t="shared" si="12"/>
        <v>-3.0568509364268248E-3</v>
      </c>
      <c r="J204" s="269">
        <v>44773</v>
      </c>
      <c r="K204" s="270">
        <v>434.23</v>
      </c>
      <c r="L204" s="129">
        <f t="shared" si="11"/>
        <v>1.5386414123699454E-2</v>
      </c>
      <c r="M204" s="270">
        <v>29717.26</v>
      </c>
      <c r="N204" s="129">
        <f t="shared" si="11"/>
        <v>2.4402115592306872E-2</v>
      </c>
      <c r="O204" s="270">
        <v>17158.25</v>
      </c>
      <c r="P204" s="129">
        <f t="shared" si="11"/>
        <v>2.6244882457257868E-2</v>
      </c>
    </row>
    <row r="205" spans="2:16" x14ac:dyDescent="0.3">
      <c r="B205" s="269">
        <v>45874</v>
      </c>
      <c r="C205" s="270">
        <v>2618.8000000000002</v>
      </c>
      <c r="D205" s="129">
        <f t="shared" si="10"/>
        <v>-1.6671673175127522E-2</v>
      </c>
      <c r="E205" s="270">
        <v>68700.820000000007</v>
      </c>
      <c r="F205" s="129">
        <f t="shared" si="10"/>
        <v>2.8511579362242578E-3</v>
      </c>
      <c r="G205" s="270">
        <v>24649.55</v>
      </c>
      <c r="H205" s="129">
        <f t="shared" si="12"/>
        <v>-2.9608356675532299E-3</v>
      </c>
      <c r="J205" s="269">
        <v>44766</v>
      </c>
      <c r="K205" s="270">
        <v>427.65</v>
      </c>
      <c r="L205" s="129">
        <f t="shared" si="11"/>
        <v>5.9851301115241506E-2</v>
      </c>
      <c r="M205" s="270">
        <v>29009.37</v>
      </c>
      <c r="N205" s="129">
        <f t="shared" si="11"/>
        <v>4.973902508572503E-2</v>
      </c>
      <c r="O205" s="270">
        <v>16719.45</v>
      </c>
      <c r="P205" s="129">
        <f t="shared" si="11"/>
        <v>4.1762206215886222E-2</v>
      </c>
    </row>
    <row r="206" spans="2:16" x14ac:dyDescent="0.3">
      <c r="B206" s="269">
        <v>45873</v>
      </c>
      <c r="C206" s="270">
        <v>2663.2</v>
      </c>
      <c r="D206" s="129">
        <f t="shared" si="10"/>
        <v>2.0422238399938619E-2</v>
      </c>
      <c r="E206" s="270">
        <v>68505.5</v>
      </c>
      <c r="F206" s="129">
        <f t="shared" si="10"/>
        <v>9.6577431878628328E-3</v>
      </c>
      <c r="G206" s="270">
        <v>24722.75</v>
      </c>
      <c r="H206" s="129">
        <f t="shared" si="12"/>
        <v>6.4073990397044422E-3</v>
      </c>
      <c r="J206" s="269">
        <v>44759</v>
      </c>
      <c r="K206" s="270">
        <v>403.5</v>
      </c>
      <c r="L206" s="129">
        <f t="shared" si="11"/>
        <v>2.3903775883069578E-2</v>
      </c>
      <c r="M206" s="270">
        <v>27634.84</v>
      </c>
      <c r="N206" s="129">
        <f t="shared" si="11"/>
        <v>1.9698693026344305E-3</v>
      </c>
      <c r="O206" s="270">
        <v>16049.2</v>
      </c>
      <c r="P206" s="129">
        <f t="shared" si="11"/>
        <v>-1.0566810105668067E-2</v>
      </c>
    </row>
    <row r="207" spans="2:16" x14ac:dyDescent="0.3">
      <c r="B207" s="269">
        <v>45870</v>
      </c>
      <c r="C207" s="270">
        <v>2609.9</v>
      </c>
      <c r="D207" s="129">
        <f t="shared" si="10"/>
        <v>-1.3382225078441001E-2</v>
      </c>
      <c r="E207" s="270">
        <v>67850.22</v>
      </c>
      <c r="F207" s="129">
        <f t="shared" si="10"/>
        <v>-5.6632314653149995E-3</v>
      </c>
      <c r="G207" s="270">
        <v>24565.35</v>
      </c>
      <c r="H207" s="129">
        <f t="shared" si="12"/>
        <v>-8.195943613522938E-3</v>
      </c>
      <c r="J207" s="269">
        <v>44752</v>
      </c>
      <c r="K207" s="270">
        <v>394.08</v>
      </c>
      <c r="L207" s="129">
        <f t="shared" si="11"/>
        <v>3.8418972332015855E-2</v>
      </c>
      <c r="M207" s="270">
        <v>27580.51</v>
      </c>
      <c r="N207" s="129">
        <f t="shared" si="11"/>
        <v>5.9685143319957445E-2</v>
      </c>
      <c r="O207" s="270">
        <v>16220.6</v>
      </c>
      <c r="P207" s="129">
        <f t="shared" si="11"/>
        <v>2.9745334734209372E-2</v>
      </c>
    </row>
    <row r="208" spans="2:16" x14ac:dyDescent="0.3">
      <c r="B208" s="269">
        <v>45869</v>
      </c>
      <c r="C208" s="270">
        <v>2645.3</v>
      </c>
      <c r="D208" s="129">
        <f t="shared" si="10"/>
        <v>-1.8732843682765732E-2</v>
      </c>
      <c r="E208" s="270">
        <v>68236.66</v>
      </c>
      <c r="F208" s="129">
        <f t="shared" si="10"/>
        <v>-6.6398545290865529E-3</v>
      </c>
      <c r="G208" s="270">
        <v>24768.35</v>
      </c>
      <c r="H208" s="129">
        <f t="shared" si="12"/>
        <v>-3.4882247269669708E-3</v>
      </c>
      <c r="J208" s="269">
        <v>44745</v>
      </c>
      <c r="K208" s="270">
        <v>379.5</v>
      </c>
      <c r="L208" s="129">
        <f t="shared" si="11"/>
        <v>0.11127379209370414</v>
      </c>
      <c r="M208" s="270">
        <v>26027.08</v>
      </c>
      <c r="N208" s="129">
        <f t="shared" si="11"/>
        <v>2.5948409069408207E-2</v>
      </c>
      <c r="O208" s="270">
        <v>15752.05</v>
      </c>
      <c r="P208" s="129">
        <f t="shared" si="11"/>
        <v>3.3632179881204483E-3</v>
      </c>
    </row>
    <row r="209" spans="2:16" x14ac:dyDescent="0.3">
      <c r="B209" s="269">
        <v>45868</v>
      </c>
      <c r="C209" s="270">
        <v>2695.8</v>
      </c>
      <c r="D209" s="129">
        <f t="shared" si="10"/>
        <v>1.076905937836603E-3</v>
      </c>
      <c r="E209" s="270">
        <v>68692.77</v>
      </c>
      <c r="F209" s="129">
        <f t="shared" si="10"/>
        <v>2.6751034528058604E-3</v>
      </c>
      <c r="G209" s="270">
        <v>24855.05</v>
      </c>
      <c r="H209" s="129">
        <f t="shared" si="12"/>
        <v>1.3677878901419138E-3</v>
      </c>
      <c r="J209" s="269">
        <v>44738</v>
      </c>
      <c r="K209" s="270">
        <v>341.5</v>
      </c>
      <c r="L209" s="129">
        <f t="shared" si="11"/>
        <v>2.6758869512928385E-2</v>
      </c>
      <c r="M209" s="270">
        <v>25368.799999999999</v>
      </c>
      <c r="N209" s="129">
        <f t="shared" si="11"/>
        <v>5.4750846787201546E-3</v>
      </c>
      <c r="O209" s="270">
        <v>15699.25</v>
      </c>
      <c r="P209" s="129">
        <f t="shared" si="11"/>
        <v>2.6530879131657192E-2</v>
      </c>
    </row>
    <row r="210" spans="2:16" x14ac:dyDescent="0.3">
      <c r="B210" s="269">
        <v>45867</v>
      </c>
      <c r="C210" s="270">
        <v>2692.9</v>
      </c>
      <c r="D210" s="129">
        <f t="shared" si="10"/>
        <v>5.0191092738476106E-2</v>
      </c>
      <c r="E210" s="270">
        <v>68509.5</v>
      </c>
      <c r="F210" s="129">
        <f t="shared" si="10"/>
        <v>5.9242927424036917E-3</v>
      </c>
      <c r="G210" s="270">
        <v>24821.1</v>
      </c>
      <c r="H210" s="129">
        <f t="shared" si="12"/>
        <v>5.6805059783069378E-3</v>
      </c>
      <c r="J210" s="269">
        <v>44731</v>
      </c>
      <c r="K210" s="270">
        <v>332.6</v>
      </c>
      <c r="L210" s="129">
        <f t="shared" si="11"/>
        <v>3.9239360096590126E-3</v>
      </c>
      <c r="M210" s="270">
        <v>25230.66</v>
      </c>
      <c r="N210" s="129">
        <f t="shared" si="11"/>
        <v>-5.136589586052176E-2</v>
      </c>
      <c r="O210" s="270">
        <v>15293.5</v>
      </c>
      <c r="P210" s="129">
        <f t="shared" si="11"/>
        <v>-5.6061672159883447E-2</v>
      </c>
    </row>
    <row r="211" spans="2:16" x14ac:dyDescent="0.3">
      <c r="B211" s="269">
        <v>45866</v>
      </c>
      <c r="C211" s="270">
        <v>2564.1999999999998</v>
      </c>
      <c r="D211" s="129">
        <f t="shared" ref="D211:F274" si="13">C211/C212-1</f>
        <v>-3.237735849056611E-2</v>
      </c>
      <c r="E211" s="270">
        <v>68106.02</v>
      </c>
      <c r="F211" s="129">
        <f t="shared" si="13"/>
        <v>-1.4899449795483077E-2</v>
      </c>
      <c r="G211" s="270">
        <v>24680.9</v>
      </c>
      <c r="H211" s="129">
        <f t="shared" si="12"/>
        <v>-6.2849780569311786E-3</v>
      </c>
      <c r="J211" s="269">
        <v>44724</v>
      </c>
      <c r="K211" s="270">
        <v>331.3</v>
      </c>
      <c r="L211" s="129">
        <f t="shared" si="11"/>
        <v>-9.2328767123287636E-2</v>
      </c>
      <c r="M211" s="270">
        <v>26596.83</v>
      </c>
      <c r="N211" s="129">
        <f t="shared" si="11"/>
        <v>-1.9376263717464037E-2</v>
      </c>
      <c r="O211" s="270">
        <v>16201.8</v>
      </c>
      <c r="P211" s="129">
        <f t="shared" si="11"/>
        <v>-2.3063982200032584E-2</v>
      </c>
    </row>
    <row r="212" spans="2:16" x14ac:dyDescent="0.3">
      <c r="B212" s="269">
        <v>45863</v>
      </c>
      <c r="C212" s="270">
        <v>2650</v>
      </c>
      <c r="D212" s="129">
        <f t="shared" si="13"/>
        <v>-2.2897385789609537E-2</v>
      </c>
      <c r="E212" s="270">
        <v>69136.11</v>
      </c>
      <c r="F212" s="129">
        <f t="shared" si="13"/>
        <v>-1.834745668253468E-2</v>
      </c>
      <c r="G212" s="270">
        <v>24837</v>
      </c>
      <c r="H212" s="129">
        <f t="shared" si="12"/>
        <v>-8.9816894833233407E-3</v>
      </c>
      <c r="J212" s="269">
        <v>44717</v>
      </c>
      <c r="K212" s="270">
        <v>365</v>
      </c>
      <c r="L212" s="129">
        <f t="shared" si="11"/>
        <v>-1.3646804485880293E-2</v>
      </c>
      <c r="M212" s="270">
        <v>27122.36</v>
      </c>
      <c r="N212" s="129">
        <f t="shared" si="11"/>
        <v>3.361628276549089E-2</v>
      </c>
      <c r="O212" s="270">
        <v>16584.3</v>
      </c>
      <c r="P212" s="129">
        <f t="shared" si="11"/>
        <v>1.4178303556959371E-2</v>
      </c>
    </row>
    <row r="213" spans="2:16" x14ac:dyDescent="0.3">
      <c r="B213" s="269">
        <v>45862</v>
      </c>
      <c r="C213" s="270">
        <v>2712.1</v>
      </c>
      <c r="D213" s="129">
        <f t="shared" si="13"/>
        <v>-1.2093395985866895E-2</v>
      </c>
      <c r="E213" s="270">
        <v>70428.289999999994</v>
      </c>
      <c r="F213" s="129">
        <f t="shared" si="13"/>
        <v>-4.8737361391781864E-3</v>
      </c>
      <c r="G213" s="270">
        <v>25062.1</v>
      </c>
      <c r="H213" s="129">
        <f t="shared" si="12"/>
        <v>-6.2569637468825601E-3</v>
      </c>
      <c r="J213" s="269">
        <v>44710</v>
      </c>
      <c r="K213" s="270">
        <v>370.05</v>
      </c>
      <c r="L213" s="129">
        <f t="shared" si="11"/>
        <v>-7.5914596079410646E-2</v>
      </c>
      <c r="M213" s="270">
        <v>26240.26</v>
      </c>
      <c r="N213" s="129">
        <f t="shared" si="11"/>
        <v>-6.7930293004508924E-3</v>
      </c>
      <c r="O213" s="270">
        <v>16352.45</v>
      </c>
      <c r="P213" s="129">
        <f t="shared" si="11"/>
        <v>5.3054963835941216E-3</v>
      </c>
    </row>
    <row r="214" spans="2:16" x14ac:dyDescent="0.3">
      <c r="B214" s="269">
        <v>45861</v>
      </c>
      <c r="C214" s="270">
        <v>2745.3</v>
      </c>
      <c r="D214" s="129">
        <f t="shared" si="13"/>
        <v>9.1901628496857679E-3</v>
      </c>
      <c r="E214" s="270">
        <v>70773.22</v>
      </c>
      <c r="F214" s="129">
        <f t="shared" si="13"/>
        <v>-3.0587251564859752E-3</v>
      </c>
      <c r="G214" s="270">
        <v>25219.9</v>
      </c>
      <c r="H214" s="129">
        <f t="shared" si="12"/>
        <v>6.3445446891372548E-3</v>
      </c>
      <c r="J214" s="269">
        <v>44703</v>
      </c>
      <c r="K214" s="270">
        <v>400.45</v>
      </c>
      <c r="L214" s="129">
        <f t="shared" si="11"/>
        <v>3.2066538066486405E-3</v>
      </c>
      <c r="M214" s="270">
        <v>26419.73</v>
      </c>
      <c r="N214" s="129">
        <f t="shared" si="11"/>
        <v>5.3443463559734283E-2</v>
      </c>
      <c r="O214" s="270">
        <v>16266.15</v>
      </c>
      <c r="P214" s="129">
        <f t="shared" si="11"/>
        <v>3.0667557968971249E-2</v>
      </c>
    </row>
    <row r="215" spans="2:16" x14ac:dyDescent="0.3">
      <c r="B215" s="269">
        <v>45860</v>
      </c>
      <c r="C215" s="270">
        <v>2720.3</v>
      </c>
      <c r="D215" s="129">
        <f t="shared" si="13"/>
        <v>-2.4142631654469726E-2</v>
      </c>
      <c r="E215" s="270">
        <v>70990.36</v>
      </c>
      <c r="F215" s="129">
        <f t="shared" si="13"/>
        <v>-2.0407523497750768E-3</v>
      </c>
      <c r="G215" s="270">
        <v>25060.9</v>
      </c>
      <c r="H215" s="129">
        <f t="shared" si="12"/>
        <v>-1.1876910568456855E-3</v>
      </c>
      <c r="J215" s="269">
        <v>44696</v>
      </c>
      <c r="K215" s="270">
        <v>399.17</v>
      </c>
      <c r="L215" s="129">
        <f t="shared" si="11"/>
        <v>-2.9255836575875382E-2</v>
      </c>
      <c r="M215" s="270">
        <v>25079.4</v>
      </c>
      <c r="N215" s="129">
        <f t="shared" si="11"/>
        <v>-4.7277877095905807E-2</v>
      </c>
      <c r="O215" s="270">
        <v>15782.15</v>
      </c>
      <c r="P215" s="129">
        <f t="shared" si="11"/>
        <v>-3.8333460278772158E-2</v>
      </c>
    </row>
    <row r="216" spans="2:16" x14ac:dyDescent="0.3">
      <c r="B216" s="269">
        <v>45859</v>
      </c>
      <c r="C216" s="270">
        <v>2787.6</v>
      </c>
      <c r="D216" s="129">
        <f t="shared" si="13"/>
        <v>-9.6280243009911892E-3</v>
      </c>
      <c r="E216" s="270">
        <v>71135.53</v>
      </c>
      <c r="F216" s="129">
        <f t="shared" si="13"/>
        <v>1.3317832993189116E-2</v>
      </c>
      <c r="G216" s="270">
        <v>25090.7</v>
      </c>
      <c r="H216" s="129">
        <f t="shared" si="12"/>
        <v>4.8981913138206323E-3</v>
      </c>
      <c r="J216" s="269">
        <v>44689</v>
      </c>
      <c r="K216" s="270">
        <v>411.2</v>
      </c>
      <c r="L216" s="129">
        <f t="shared" si="11"/>
        <v>-4.3832112545052926E-2</v>
      </c>
      <c r="M216" s="270">
        <v>26323.94</v>
      </c>
      <c r="N216" s="129">
        <f t="shared" si="11"/>
        <v>-3.8243112703082338E-2</v>
      </c>
      <c r="O216" s="270">
        <v>16411.25</v>
      </c>
      <c r="P216" s="129">
        <f t="shared" si="11"/>
        <v>-4.0420872910764682E-2</v>
      </c>
    </row>
    <row r="217" spans="2:16" x14ac:dyDescent="0.3">
      <c r="B217" s="269">
        <v>45856</v>
      </c>
      <c r="C217" s="270">
        <v>2814.7</v>
      </c>
      <c r="D217" s="129">
        <f t="shared" si="13"/>
        <v>-1.9473280847209673E-2</v>
      </c>
      <c r="E217" s="270">
        <v>70200.61</v>
      </c>
      <c r="F217" s="129">
        <f t="shared" si="13"/>
        <v>-1.5024257272306052E-2</v>
      </c>
      <c r="G217" s="270">
        <v>24968.400000000001</v>
      </c>
      <c r="H217" s="129">
        <f t="shared" si="12"/>
        <v>-5.6966045369741813E-3</v>
      </c>
      <c r="J217" s="269">
        <v>44682</v>
      </c>
      <c r="K217" s="270">
        <v>430.05</v>
      </c>
      <c r="L217" s="129">
        <f t="shared" si="11"/>
        <v>-4.9129944502177891E-2</v>
      </c>
      <c r="M217" s="270">
        <v>27370.68</v>
      </c>
      <c r="N217" s="129">
        <f t="shared" si="11"/>
        <v>-9.2538531176599159E-3</v>
      </c>
      <c r="O217" s="270">
        <v>17102.55</v>
      </c>
      <c r="P217" s="129">
        <f t="shared" si="11"/>
        <v>-4.0414746141237412E-3</v>
      </c>
    </row>
    <row r="218" spans="2:16" x14ac:dyDescent="0.3">
      <c r="B218" s="269">
        <v>45855</v>
      </c>
      <c r="C218" s="270">
        <v>2870.6</v>
      </c>
      <c r="D218" s="129">
        <f t="shared" si="13"/>
        <v>8.6791524649494356E-3</v>
      </c>
      <c r="E218" s="270">
        <v>71271.41</v>
      </c>
      <c r="F218" s="129">
        <f t="shared" si="13"/>
        <v>4.8528261500657699E-4</v>
      </c>
      <c r="G218" s="270">
        <v>25111.45</v>
      </c>
      <c r="H218" s="129">
        <f t="shared" si="12"/>
        <v>-3.9901555010400935E-3</v>
      </c>
      <c r="J218" s="269">
        <v>44675</v>
      </c>
      <c r="K218" s="270">
        <v>452.27</v>
      </c>
      <c r="L218" s="129">
        <f t="shared" si="11"/>
        <v>-8.6146427005698856E-3</v>
      </c>
      <c r="M218" s="270">
        <v>27626.33</v>
      </c>
      <c r="N218" s="129">
        <f t="shared" si="11"/>
        <v>-2.3218179394625893E-2</v>
      </c>
      <c r="O218" s="270">
        <v>17171.95</v>
      </c>
      <c r="P218" s="129">
        <f t="shared" si="11"/>
        <v>-1.7378466609253462E-2</v>
      </c>
    </row>
    <row r="219" spans="2:16" x14ac:dyDescent="0.3">
      <c r="B219" s="269">
        <v>45854</v>
      </c>
      <c r="C219" s="270">
        <v>2845.9</v>
      </c>
      <c r="D219" s="129">
        <f t="shared" si="13"/>
        <v>-2.2665613516947736E-2</v>
      </c>
      <c r="E219" s="270">
        <v>71236.84</v>
      </c>
      <c r="F219" s="129">
        <f t="shared" si="13"/>
        <v>-2.4099226805386342E-3</v>
      </c>
      <c r="G219" s="270">
        <v>25212.05</v>
      </c>
      <c r="H219" s="129">
        <f t="shared" si="12"/>
        <v>6.4494876130138934E-4</v>
      </c>
      <c r="J219" s="269">
        <v>44668</v>
      </c>
      <c r="K219" s="270">
        <v>456.2</v>
      </c>
      <c r="L219" s="129">
        <f t="shared" si="11"/>
        <v>2.2411474675033682E-2</v>
      </c>
      <c r="M219" s="270">
        <v>28283.01</v>
      </c>
      <c r="N219" s="129">
        <f t="shared" si="11"/>
        <v>-1.9465082908439735E-2</v>
      </c>
      <c r="O219" s="270">
        <v>17475.650000000001</v>
      </c>
      <c r="P219" s="129">
        <f t="shared" si="11"/>
        <v>-1.7357957979909133E-2</v>
      </c>
    </row>
    <row r="220" spans="2:16" x14ac:dyDescent="0.3">
      <c r="B220" s="269">
        <v>45853</v>
      </c>
      <c r="C220" s="270">
        <v>2911.9</v>
      </c>
      <c r="D220" s="129">
        <f t="shared" si="13"/>
        <v>1.3822157231390575E-2</v>
      </c>
      <c r="E220" s="270">
        <v>71408.929999999993</v>
      </c>
      <c r="F220" s="129">
        <f t="shared" si="13"/>
        <v>6.9494797373232942E-3</v>
      </c>
      <c r="G220" s="270">
        <v>25195.8</v>
      </c>
      <c r="H220" s="129">
        <f t="shared" si="12"/>
        <v>4.5251033597397683E-3</v>
      </c>
      <c r="J220" s="269">
        <v>44661</v>
      </c>
      <c r="K220" s="270">
        <v>446.2</v>
      </c>
      <c r="L220" s="129">
        <f t="shared" si="11"/>
        <v>8.2090457135928219E-2</v>
      </c>
      <c r="M220" s="270">
        <v>28844.47</v>
      </c>
      <c r="N220" s="129">
        <f t="shared" si="11"/>
        <v>3.682010112821188E-2</v>
      </c>
      <c r="O220" s="270">
        <v>17784.349999999999</v>
      </c>
      <c r="P220" s="129">
        <f t="shared" si="11"/>
        <v>6.4457894394311932E-3</v>
      </c>
    </row>
    <row r="221" spans="2:16" x14ac:dyDescent="0.3">
      <c r="B221" s="269">
        <v>45852</v>
      </c>
      <c r="C221" s="270">
        <v>2872.2</v>
      </c>
      <c r="D221" s="129">
        <f t="shared" si="13"/>
        <v>8.0016845651715851E-3</v>
      </c>
      <c r="E221" s="270">
        <v>70916.100000000006</v>
      </c>
      <c r="F221" s="129">
        <f t="shared" si="13"/>
        <v>-7.1779800876559108E-4</v>
      </c>
      <c r="G221" s="270">
        <v>25082.3</v>
      </c>
      <c r="H221" s="129">
        <f t="shared" si="12"/>
        <v>-2.68590071113739E-3</v>
      </c>
      <c r="J221" s="269">
        <v>44654</v>
      </c>
      <c r="K221" s="270">
        <v>412.35</v>
      </c>
      <c r="L221" s="129">
        <f t="shared" si="11"/>
        <v>-1.0439164866810624E-2</v>
      </c>
      <c r="M221" s="270">
        <v>27820.13</v>
      </c>
      <c r="N221" s="129">
        <f t="shared" si="11"/>
        <v>2.7332758246319422E-2</v>
      </c>
      <c r="O221" s="270">
        <v>17670.45</v>
      </c>
      <c r="P221" s="129">
        <f t="shared" si="11"/>
        <v>3.0166734681979834E-2</v>
      </c>
    </row>
    <row r="222" spans="2:16" x14ac:dyDescent="0.3">
      <c r="B222" s="269">
        <v>45849</v>
      </c>
      <c r="C222" s="270">
        <v>2849.4</v>
      </c>
      <c r="D222" s="129">
        <f t="shared" si="13"/>
        <v>-6.6585323339724001E-3</v>
      </c>
      <c r="E222" s="270">
        <v>70967.039999999994</v>
      </c>
      <c r="F222" s="129">
        <f t="shared" si="13"/>
        <v>-1.208984079185349E-2</v>
      </c>
      <c r="G222" s="270">
        <v>25149.85</v>
      </c>
      <c r="H222" s="129">
        <f t="shared" si="12"/>
        <v>-8.1008864041963724E-3</v>
      </c>
      <c r="J222" s="269">
        <v>44647</v>
      </c>
      <c r="K222" s="270">
        <v>416.7</v>
      </c>
      <c r="L222" s="129">
        <f t="shared" si="11"/>
        <v>-2.183098591549304E-2</v>
      </c>
      <c r="M222" s="270">
        <v>27079.96</v>
      </c>
      <c r="N222" s="129">
        <f t="shared" si="11"/>
        <v>-2.0420713285256187E-2</v>
      </c>
      <c r="O222" s="270">
        <v>17153</v>
      </c>
      <c r="P222" s="129">
        <f t="shared" si="11"/>
        <v>-7.7543594771808388E-3</v>
      </c>
    </row>
    <row r="223" spans="2:16" x14ac:dyDescent="0.3">
      <c r="B223" s="269">
        <v>45848</v>
      </c>
      <c r="C223" s="270">
        <v>2868.5</v>
      </c>
      <c r="D223" s="129">
        <f t="shared" si="13"/>
        <v>-1.0076957587051738E-2</v>
      </c>
      <c r="E223" s="270">
        <v>71835.520000000004</v>
      </c>
      <c r="F223" s="129">
        <f t="shared" si="13"/>
        <v>-4.3306831779188482E-3</v>
      </c>
      <c r="G223" s="270">
        <v>25355.25</v>
      </c>
      <c r="H223" s="129">
        <f t="shared" si="12"/>
        <v>-4.7436617064621212E-3</v>
      </c>
      <c r="J223" s="269">
        <v>44640</v>
      </c>
      <c r="K223" s="270">
        <v>426</v>
      </c>
      <c r="L223" s="129">
        <f t="shared" si="11"/>
        <v>3.7556627210287852E-2</v>
      </c>
      <c r="M223" s="270">
        <v>27644.48</v>
      </c>
      <c r="N223" s="129">
        <f t="shared" si="11"/>
        <v>2.6000671023370003E-2</v>
      </c>
      <c r="O223" s="270">
        <v>17287.05</v>
      </c>
      <c r="P223" s="129">
        <f t="shared" si="11"/>
        <v>3.9481793938227705E-2</v>
      </c>
    </row>
    <row r="224" spans="2:16" x14ac:dyDescent="0.3">
      <c r="B224" s="269">
        <v>45847</v>
      </c>
      <c r="C224" s="270">
        <v>2897.7</v>
      </c>
      <c r="D224" s="129">
        <f t="shared" si="13"/>
        <v>1.6059469125845771E-2</v>
      </c>
      <c r="E224" s="270">
        <v>72147.97</v>
      </c>
      <c r="F224" s="129">
        <f t="shared" si="13"/>
        <v>-7.747365479948698E-5</v>
      </c>
      <c r="G224" s="270">
        <v>25476.1</v>
      </c>
      <c r="H224" s="129">
        <f t="shared" si="12"/>
        <v>-1.8180037222059742E-3</v>
      </c>
      <c r="J224" s="269">
        <v>44633</v>
      </c>
      <c r="K224" s="270">
        <v>410.58</v>
      </c>
      <c r="L224" s="129">
        <f t="shared" si="11"/>
        <v>3.8139944257005176E-3</v>
      </c>
      <c r="M224" s="270">
        <v>26943.919999999998</v>
      </c>
      <c r="N224" s="129">
        <f t="shared" si="11"/>
        <v>1.4832706907805582E-2</v>
      </c>
      <c r="O224" s="270">
        <v>16630.45</v>
      </c>
      <c r="P224" s="129">
        <f t="shared" si="11"/>
        <v>2.3705244885459553E-2</v>
      </c>
    </row>
    <row r="225" spans="2:16" x14ac:dyDescent="0.3">
      <c r="B225" s="269">
        <v>45846</v>
      </c>
      <c r="C225" s="270">
        <v>2851.9</v>
      </c>
      <c r="D225" s="129">
        <f t="shared" si="13"/>
        <v>2.0357781753130633E-2</v>
      </c>
      <c r="E225" s="270">
        <v>72153.56</v>
      </c>
      <c r="F225" s="129">
        <f t="shared" si="13"/>
        <v>2.120529637970936E-3</v>
      </c>
      <c r="G225" s="270">
        <v>25522.5</v>
      </c>
      <c r="H225" s="129">
        <f t="shared" si="12"/>
        <v>2.403647889149374E-3</v>
      </c>
      <c r="J225" s="269">
        <v>44626</v>
      </c>
      <c r="K225" s="270">
        <v>409.02</v>
      </c>
      <c r="L225" s="129">
        <f t="shared" si="11"/>
        <v>6.1497589294499111E-3</v>
      </c>
      <c r="M225" s="270">
        <v>26550.11</v>
      </c>
      <c r="N225" s="129">
        <f t="shared" si="11"/>
        <v>-2.3306998905225473E-2</v>
      </c>
      <c r="O225" s="270">
        <v>16245.35</v>
      </c>
      <c r="P225" s="129">
        <f t="shared" si="11"/>
        <v>-2.4795298468040183E-2</v>
      </c>
    </row>
    <row r="226" spans="2:16" x14ac:dyDescent="0.3">
      <c r="B226" s="269">
        <v>45845</v>
      </c>
      <c r="C226" s="270">
        <v>2795</v>
      </c>
      <c r="D226" s="129">
        <f t="shared" si="13"/>
        <v>1.2534415302130064E-2</v>
      </c>
      <c r="E226" s="270">
        <v>72000.88</v>
      </c>
      <c r="F226" s="129">
        <f t="shared" si="13"/>
        <v>-4.4457865826097454E-3</v>
      </c>
      <c r="G226" s="270">
        <v>25461.3</v>
      </c>
      <c r="H226" s="129">
        <f t="shared" si="12"/>
        <v>1.1782726522913123E-5</v>
      </c>
      <c r="J226" s="269">
        <v>44619</v>
      </c>
      <c r="K226" s="270">
        <v>406.52</v>
      </c>
      <c r="L226" s="129">
        <f t="shared" si="11"/>
        <v>-5.6425968479446698E-2</v>
      </c>
      <c r="M226" s="270">
        <v>27183.68</v>
      </c>
      <c r="N226" s="129">
        <f t="shared" si="11"/>
        <v>-4.3907812551108649E-2</v>
      </c>
      <c r="O226" s="270">
        <v>16658.400000000001</v>
      </c>
      <c r="P226" s="129">
        <f t="shared" si="11"/>
        <v>-3.5765760029635829E-2</v>
      </c>
    </row>
    <row r="227" spans="2:16" x14ac:dyDescent="0.3">
      <c r="B227" s="269">
        <v>45842</v>
      </c>
      <c r="C227" s="270">
        <v>2760.4</v>
      </c>
      <c r="D227" s="129">
        <f t="shared" si="13"/>
        <v>-7.3717141932467811E-3</v>
      </c>
      <c r="E227" s="270">
        <v>72322.41</v>
      </c>
      <c r="F227" s="129">
        <f t="shared" si="13"/>
        <v>2.6988225752224704E-3</v>
      </c>
      <c r="G227" s="270">
        <v>25461</v>
      </c>
      <c r="H227" s="129">
        <f t="shared" si="12"/>
        <v>2.1924559048702719E-3</v>
      </c>
      <c r="J227" s="269">
        <v>44612</v>
      </c>
      <c r="K227" s="270">
        <v>430.83</v>
      </c>
      <c r="L227" s="129">
        <f t="shared" si="11"/>
        <v>-4.1748220640569489E-2</v>
      </c>
      <c r="M227" s="270">
        <v>28432.07</v>
      </c>
      <c r="N227" s="129">
        <f t="shared" si="11"/>
        <v>-4.1861066231337896E-3</v>
      </c>
      <c r="O227" s="270">
        <v>17276.3</v>
      </c>
      <c r="P227" s="129">
        <f t="shared" si="11"/>
        <v>-5.6662685794041101E-3</v>
      </c>
    </row>
    <row r="228" spans="2:16" x14ac:dyDescent="0.3">
      <c r="B228" s="269">
        <v>45841</v>
      </c>
      <c r="C228" s="270">
        <v>2780.9</v>
      </c>
      <c r="D228" s="129">
        <f t="shared" si="13"/>
        <v>6.2599507888261297E-3</v>
      </c>
      <c r="E228" s="270">
        <v>72127.75</v>
      </c>
      <c r="F228" s="129">
        <f t="shared" si="13"/>
        <v>1.3134232382483457E-3</v>
      </c>
      <c r="G228" s="270">
        <v>25405.3</v>
      </c>
      <c r="H228" s="129">
        <f t="shared" si="12"/>
        <v>-1.8897278948981633E-3</v>
      </c>
      <c r="J228" s="269">
        <v>44605</v>
      </c>
      <c r="K228" s="270">
        <v>449.6</v>
      </c>
      <c r="L228" s="129">
        <f t="shared" si="11"/>
        <v>-2.7849852966614796E-2</v>
      </c>
      <c r="M228" s="270">
        <v>28551.59</v>
      </c>
      <c r="N228" s="129">
        <f t="shared" si="11"/>
        <v>-3.7797457365511433E-2</v>
      </c>
      <c r="O228" s="270">
        <v>17374.75</v>
      </c>
      <c r="P228" s="129">
        <f t="shared" si="11"/>
        <v>-8.0810445128252084E-3</v>
      </c>
    </row>
    <row r="229" spans="2:16" x14ac:dyDescent="0.3">
      <c r="B229" s="269">
        <v>45840</v>
      </c>
      <c r="C229" s="270">
        <v>2763.6</v>
      </c>
      <c r="D229" s="129">
        <f t="shared" si="13"/>
        <v>5.12820512820511E-3</v>
      </c>
      <c r="E229" s="270">
        <v>72033.14</v>
      </c>
      <c r="F229" s="129">
        <f t="shared" si="13"/>
        <v>-6.897918988296059E-3</v>
      </c>
      <c r="G229" s="270">
        <v>25453.4</v>
      </c>
      <c r="H229" s="129">
        <f t="shared" si="12"/>
        <v>-3.4609933520737268E-3</v>
      </c>
      <c r="J229" s="269">
        <v>44598</v>
      </c>
      <c r="K229" s="270">
        <v>462.48</v>
      </c>
      <c r="L229" s="129">
        <f t="shared" si="11"/>
        <v>1.5323819978046105E-2</v>
      </c>
      <c r="M229" s="270">
        <v>29673.16</v>
      </c>
      <c r="N229" s="129">
        <f t="shared" si="11"/>
        <v>2.7514510755030086E-2</v>
      </c>
      <c r="O229" s="270">
        <v>17516.3</v>
      </c>
      <c r="P229" s="129">
        <f t="shared" si="11"/>
        <v>2.4228231283567103E-2</v>
      </c>
    </row>
    <row r="230" spans="2:16" x14ac:dyDescent="0.3">
      <c r="B230" s="269">
        <v>45839</v>
      </c>
      <c r="C230" s="270">
        <v>2749.5</v>
      </c>
      <c r="D230" s="129">
        <f t="shared" si="13"/>
        <v>-7.0781120219565175E-3</v>
      </c>
      <c r="E230" s="270">
        <v>72533.47</v>
      </c>
      <c r="F230" s="129">
        <f t="shared" si="13"/>
        <v>2.7746759871078996E-3</v>
      </c>
      <c r="G230" s="270">
        <v>25541.8</v>
      </c>
      <c r="H230" s="129">
        <f t="shared" si="12"/>
        <v>9.6993970698022736E-4</v>
      </c>
      <c r="J230" s="269">
        <v>44591</v>
      </c>
      <c r="K230" s="270">
        <v>455.5</v>
      </c>
      <c r="L230" s="129">
        <f t="shared" si="11"/>
        <v>-4.4612706336388586E-2</v>
      </c>
      <c r="M230" s="270">
        <v>28878.58</v>
      </c>
      <c r="N230" s="129">
        <f t="shared" si="11"/>
        <v>-2.8762879698228994E-2</v>
      </c>
      <c r="O230" s="270">
        <v>17101.95</v>
      </c>
      <c r="P230" s="129">
        <f t="shared" si="11"/>
        <v>-2.9244230763772805E-2</v>
      </c>
    </row>
    <row r="231" spans="2:16" x14ac:dyDescent="0.3">
      <c r="B231" s="269">
        <v>45838</v>
      </c>
      <c r="C231" s="270">
        <v>2769.1</v>
      </c>
      <c r="D231" s="129">
        <f t="shared" si="13"/>
        <v>2.2034398759873008E-2</v>
      </c>
      <c r="E231" s="270">
        <v>72332.77</v>
      </c>
      <c r="F231" s="129">
        <f t="shared" si="13"/>
        <v>1.0957419539508573E-2</v>
      </c>
      <c r="G231" s="270">
        <v>25517.05</v>
      </c>
      <c r="H231" s="129">
        <f t="shared" si="12"/>
        <v>-4.7098424981862896E-3</v>
      </c>
      <c r="J231" s="269">
        <v>44584</v>
      </c>
      <c r="K231" s="270">
        <v>476.77</v>
      </c>
      <c r="L231" s="129">
        <f t="shared" si="11"/>
        <v>-0.18228282308549859</v>
      </c>
      <c r="M231" s="270">
        <v>29733.81</v>
      </c>
      <c r="N231" s="129">
        <f t="shared" si="11"/>
        <v>-3.6966610051575421E-2</v>
      </c>
      <c r="O231" s="270">
        <v>17617.150000000001</v>
      </c>
      <c r="P231" s="129">
        <f t="shared" si="11"/>
        <v>-3.4980759486736956E-2</v>
      </c>
    </row>
    <row r="232" spans="2:16" x14ac:dyDescent="0.3">
      <c r="B232" s="269">
        <v>45835</v>
      </c>
      <c r="C232" s="270">
        <v>2709.4</v>
      </c>
      <c r="D232" s="129">
        <f t="shared" si="13"/>
        <v>3.5940965053146812E-2</v>
      </c>
      <c r="E232" s="270">
        <v>71548.78</v>
      </c>
      <c r="F232" s="129">
        <f t="shared" si="13"/>
        <v>8.3371384440198426E-3</v>
      </c>
      <c r="G232" s="270">
        <v>25637.8</v>
      </c>
      <c r="H232" s="129">
        <f t="shared" si="12"/>
        <v>3.4756741946846414E-3</v>
      </c>
      <c r="J232" s="269">
        <v>44577</v>
      </c>
      <c r="K232" s="270">
        <v>583.04999999999995</v>
      </c>
      <c r="L232" s="129">
        <f t="shared" si="11"/>
        <v>0.12703690101095999</v>
      </c>
      <c r="M232" s="270">
        <v>30875.16</v>
      </c>
      <c r="N232" s="129">
        <f t="shared" si="11"/>
        <v>6.1412036814219695E-2</v>
      </c>
      <c r="O232" s="270">
        <v>18255.75</v>
      </c>
      <c r="P232" s="129">
        <f t="shared" si="11"/>
        <v>2.4872703183683509E-2</v>
      </c>
    </row>
    <row r="233" spans="2:16" x14ac:dyDescent="0.3">
      <c r="B233" s="269">
        <v>45834</v>
      </c>
      <c r="C233" s="270">
        <v>2615.4</v>
      </c>
      <c r="D233" s="129">
        <f t="shared" si="13"/>
        <v>-1.9604903100048587E-2</v>
      </c>
      <c r="E233" s="270">
        <v>70957.2</v>
      </c>
      <c r="F233" s="129">
        <f t="shared" si="13"/>
        <v>3.5936179336923946E-3</v>
      </c>
      <c r="G233" s="270">
        <v>25549</v>
      </c>
      <c r="H233" s="129">
        <f t="shared" si="12"/>
        <v>1.2052010814129765E-2</v>
      </c>
      <c r="J233" s="269">
        <v>44570</v>
      </c>
      <c r="K233" s="270">
        <v>517.33000000000004</v>
      </c>
      <c r="L233" s="129">
        <f t="shared" si="11"/>
        <v>2.0878145041933971E-2</v>
      </c>
      <c r="M233" s="270">
        <v>29088.76</v>
      </c>
      <c r="N233" s="129">
        <f t="shared" si="11"/>
        <v>1.1757618591812458E-2</v>
      </c>
      <c r="O233" s="270">
        <v>17812.7</v>
      </c>
      <c r="P233" s="129">
        <f t="shared" si="11"/>
        <v>2.6428989198486796E-2</v>
      </c>
    </row>
    <row r="234" spans="2:16" x14ac:dyDescent="0.3">
      <c r="B234" s="269">
        <v>45833</v>
      </c>
      <c r="C234" s="270">
        <v>2667.7</v>
      </c>
      <c r="D234" s="129">
        <f t="shared" si="13"/>
        <v>3.1393775372124511E-2</v>
      </c>
      <c r="E234" s="270">
        <v>70703.12</v>
      </c>
      <c r="F234" s="129">
        <f t="shared" si="13"/>
        <v>-5.4036412999518557E-3</v>
      </c>
      <c r="G234" s="270">
        <v>25244.75</v>
      </c>
      <c r="H234" s="129">
        <f t="shared" si="12"/>
        <v>8.001804798287937E-3</v>
      </c>
      <c r="J234" s="269">
        <v>44563</v>
      </c>
      <c r="K234" s="270">
        <v>506.75</v>
      </c>
      <c r="L234" s="129">
        <f t="shared" si="11"/>
        <v>6.9115323854673782E-4</v>
      </c>
      <c r="M234" s="270">
        <v>28750.720000000001</v>
      </c>
      <c r="N234" s="129">
        <f t="shared" si="11"/>
        <v>2.5618414579897664E-2</v>
      </c>
      <c r="O234" s="270">
        <v>17354.05</v>
      </c>
      <c r="P234" s="129">
        <f t="shared" si="11"/>
        <v>2.0601337940160169E-2</v>
      </c>
    </row>
    <row r="235" spans="2:16" x14ac:dyDescent="0.3">
      <c r="B235" s="269">
        <v>45832</v>
      </c>
      <c r="C235" s="270">
        <v>2586.5</v>
      </c>
      <c r="D235" s="129">
        <f t="shared" si="13"/>
        <v>1.1224647778294017E-3</v>
      </c>
      <c r="E235" s="270">
        <v>71087.25</v>
      </c>
      <c r="F235" s="129">
        <f t="shared" si="13"/>
        <v>2.5932473176877302E-3</v>
      </c>
      <c r="G235" s="270">
        <v>25044.35</v>
      </c>
      <c r="H235" s="129">
        <f t="shared" si="12"/>
        <v>2.9012610173835274E-3</v>
      </c>
      <c r="J235" s="269">
        <v>44556</v>
      </c>
      <c r="K235" s="270">
        <v>506.4</v>
      </c>
      <c r="L235" s="129">
        <f t="shared" si="11"/>
        <v>-2.2676831033484501E-2</v>
      </c>
      <c r="M235" s="270">
        <v>28032.57</v>
      </c>
      <c r="N235" s="129">
        <f t="shared" si="11"/>
        <v>-8.8675200347865246E-4</v>
      </c>
      <c r="O235" s="270">
        <v>17003.75</v>
      </c>
      <c r="P235" s="129">
        <f t="shared" si="11"/>
        <v>1.0921272637354207E-3</v>
      </c>
    </row>
    <row r="236" spans="2:16" x14ac:dyDescent="0.3">
      <c r="B236" s="269">
        <v>45831</v>
      </c>
      <c r="C236" s="270">
        <v>2583.6</v>
      </c>
      <c r="D236" s="129">
        <f t="shared" si="13"/>
        <v>-2.3169601482854185E-3</v>
      </c>
      <c r="E236" s="270">
        <v>70903.38</v>
      </c>
      <c r="F236" s="129">
        <f t="shared" si="13"/>
        <v>9.3961906150274999E-3</v>
      </c>
      <c r="G236" s="270">
        <v>24971.9</v>
      </c>
      <c r="H236" s="129">
        <f t="shared" si="12"/>
        <v>-5.594845574297902E-3</v>
      </c>
      <c r="J236" s="269">
        <v>44549</v>
      </c>
      <c r="K236" s="270">
        <v>518.15</v>
      </c>
      <c r="L236" s="129">
        <f t="shared" si="11"/>
        <v>1.8076431869535226E-2</v>
      </c>
      <c r="M236" s="270">
        <v>28057.45</v>
      </c>
      <c r="N236" s="129">
        <f t="shared" si="11"/>
        <v>-1.5541887131408694E-2</v>
      </c>
      <c r="O236" s="270">
        <v>16985.2</v>
      </c>
      <c r="P236" s="129">
        <f t="shared" si="11"/>
        <v>-3.004345765305827E-2</v>
      </c>
    </row>
    <row r="237" spans="2:16" x14ac:dyDescent="0.3">
      <c r="B237" s="269">
        <v>45828</v>
      </c>
      <c r="C237" s="270">
        <v>2589.6</v>
      </c>
      <c r="D237" s="129">
        <f t="shared" si="13"/>
        <v>-3.8850636611916789E-3</v>
      </c>
      <c r="E237" s="270">
        <v>70243.360000000001</v>
      </c>
      <c r="F237" s="129">
        <f t="shared" si="13"/>
        <v>1.1471531404660062E-2</v>
      </c>
      <c r="G237" s="270">
        <v>25112.400000000001</v>
      </c>
      <c r="H237" s="129">
        <f t="shared" si="12"/>
        <v>1.2872455204541611E-2</v>
      </c>
      <c r="J237" s="269">
        <v>44542</v>
      </c>
      <c r="K237" s="270">
        <v>508.95</v>
      </c>
      <c r="L237" s="129">
        <f t="shared" si="11"/>
        <v>1.7737162054071387E-2</v>
      </c>
      <c r="M237" s="270">
        <v>28500.400000000001</v>
      </c>
      <c r="N237" s="129">
        <f t="shared" si="11"/>
        <v>3.3795947504215995E-2</v>
      </c>
      <c r="O237" s="270">
        <v>17511.3</v>
      </c>
      <c r="P237" s="129">
        <f t="shared" si="11"/>
        <v>1.8294207609599322E-2</v>
      </c>
    </row>
    <row r="238" spans="2:16" x14ac:dyDescent="0.3">
      <c r="B238" s="269">
        <v>45827</v>
      </c>
      <c r="C238" s="270">
        <v>2599.6999999999998</v>
      </c>
      <c r="D238" s="129">
        <f t="shared" si="13"/>
        <v>-1.7200967790715227E-2</v>
      </c>
      <c r="E238" s="270">
        <v>69446.7</v>
      </c>
      <c r="F238" s="129">
        <f t="shared" si="13"/>
        <v>-5.7271121679014492E-3</v>
      </c>
      <c r="G238" s="270">
        <v>24793.25</v>
      </c>
      <c r="H238" s="129">
        <f t="shared" si="12"/>
        <v>-7.5769636124378703E-4</v>
      </c>
      <c r="J238" s="269">
        <v>44535</v>
      </c>
      <c r="K238" s="270">
        <v>500.08</v>
      </c>
      <c r="L238" s="129">
        <f t="shared" si="11"/>
        <v>3.1262888723913251E-2</v>
      </c>
      <c r="M238" s="270">
        <v>27568.69</v>
      </c>
      <c r="N238" s="129">
        <f t="shared" si="11"/>
        <v>1.8841894611190124E-2</v>
      </c>
      <c r="O238" s="270">
        <v>17196.7</v>
      </c>
      <c r="P238" s="129">
        <f t="shared" si="11"/>
        <v>9.9991483838381967E-3</v>
      </c>
    </row>
    <row r="239" spans="2:16" x14ac:dyDescent="0.3">
      <c r="B239" s="269">
        <v>45826</v>
      </c>
      <c r="C239" s="270">
        <v>2645.2</v>
      </c>
      <c r="D239" s="129">
        <f t="shared" si="13"/>
        <v>-8.1739782527184834E-3</v>
      </c>
      <c r="E239" s="270">
        <v>69846.720000000001</v>
      </c>
      <c r="F239" s="129">
        <f t="shared" si="13"/>
        <v>-4.7587163933554555E-3</v>
      </c>
      <c r="G239" s="270">
        <v>24812.05</v>
      </c>
      <c r="H239" s="129">
        <f t="shared" si="12"/>
        <v>-1.6637562667483063E-3</v>
      </c>
      <c r="J239" s="269">
        <v>44528</v>
      </c>
      <c r="K239" s="270">
        <v>484.92</v>
      </c>
      <c r="L239" s="129">
        <f t="shared" si="11"/>
        <v>-4.3116206563135084E-2</v>
      </c>
      <c r="M239" s="270">
        <v>27058.85</v>
      </c>
      <c r="N239" s="129">
        <f t="shared" si="11"/>
        <v>-5.015473377226054E-2</v>
      </c>
      <c r="O239" s="270">
        <v>17026.45</v>
      </c>
      <c r="P239" s="129">
        <f t="shared" si="11"/>
        <v>-4.1562528145546174E-2</v>
      </c>
    </row>
    <row r="240" spans="2:16" x14ac:dyDescent="0.3">
      <c r="B240" s="269">
        <v>45825</v>
      </c>
      <c r="C240" s="270">
        <v>2667</v>
      </c>
      <c r="D240" s="129">
        <f t="shared" si="13"/>
        <v>-1.99536985999339E-2</v>
      </c>
      <c r="E240" s="270">
        <v>70180.69</v>
      </c>
      <c r="F240" s="129">
        <f t="shared" si="13"/>
        <v>-2.2215919228797398E-3</v>
      </c>
      <c r="G240" s="270">
        <v>24853.4</v>
      </c>
      <c r="H240" s="129">
        <f t="shared" si="12"/>
        <v>-3.7319864510051426E-3</v>
      </c>
      <c r="J240" s="269">
        <v>44521</v>
      </c>
      <c r="K240" s="270">
        <v>506.77</v>
      </c>
      <c r="L240" s="129">
        <f t="shared" si="11"/>
        <v>-2.5217357851812006E-2</v>
      </c>
      <c r="M240" s="270">
        <v>28487.64</v>
      </c>
      <c r="N240" s="129">
        <f t="shared" si="11"/>
        <v>-2.1222237034329128E-2</v>
      </c>
      <c r="O240" s="270">
        <v>17764.8</v>
      </c>
      <c r="P240" s="129">
        <f t="shared" si="11"/>
        <v>-1.8668434353896535E-2</v>
      </c>
    </row>
    <row r="241" spans="2:16" x14ac:dyDescent="0.3">
      <c r="B241" s="269">
        <v>45824</v>
      </c>
      <c r="C241" s="270">
        <v>2721.3</v>
      </c>
      <c r="D241" s="129">
        <f t="shared" si="13"/>
        <v>-5.0091407678244382E-3</v>
      </c>
      <c r="E241" s="270">
        <v>70336.95</v>
      </c>
      <c r="F241" s="129">
        <f t="shared" si="13"/>
        <v>8.1628323810027936E-3</v>
      </c>
      <c r="G241" s="270">
        <v>24946.5</v>
      </c>
      <c r="H241" s="129">
        <f t="shared" si="12"/>
        <v>9.2197778191323021E-3</v>
      </c>
      <c r="J241" s="269">
        <v>44514</v>
      </c>
      <c r="K241" s="270">
        <v>519.88</v>
      </c>
      <c r="L241" s="129">
        <f t="shared" si="11"/>
        <v>-1.2386018237082075E-2</v>
      </c>
      <c r="M241" s="270">
        <v>29105.32</v>
      </c>
      <c r="N241" s="129">
        <f t="shared" si="11"/>
        <v>3.5664100515780284E-2</v>
      </c>
      <c r="O241" s="270">
        <v>18102.75</v>
      </c>
      <c r="P241" s="129">
        <f t="shared" si="11"/>
        <v>1.0378527415610073E-2</v>
      </c>
    </row>
    <row r="242" spans="2:16" x14ac:dyDescent="0.3">
      <c r="B242" s="269">
        <v>45821</v>
      </c>
      <c r="C242" s="270">
        <v>2735</v>
      </c>
      <c r="D242" s="129">
        <f t="shared" si="13"/>
        <v>5.071292077024836E-3</v>
      </c>
      <c r="E242" s="270">
        <v>69767.45</v>
      </c>
      <c r="F242" s="129">
        <f t="shared" si="13"/>
        <v>-1.0204290760962298E-4</v>
      </c>
      <c r="G242" s="270">
        <v>24718.6</v>
      </c>
      <c r="H242" s="129">
        <f t="shared" si="12"/>
        <v>-6.8144743292002374E-3</v>
      </c>
      <c r="J242" s="269">
        <v>44507</v>
      </c>
      <c r="K242" s="270">
        <v>526.4</v>
      </c>
      <c r="L242" s="129">
        <f t="shared" si="11"/>
        <v>4.0624691113966493E-2</v>
      </c>
      <c r="M242" s="270">
        <v>28103.05</v>
      </c>
      <c r="N242" s="129">
        <f t="shared" si="11"/>
        <v>5.3601106423532219E-2</v>
      </c>
      <c r="O242" s="270">
        <v>17916.8</v>
      </c>
      <c r="P242" s="129">
        <f t="shared" si="11"/>
        <v>1.3872502001793796E-2</v>
      </c>
    </row>
    <row r="243" spans="2:16" x14ac:dyDescent="0.3">
      <c r="B243" s="269">
        <v>45820</v>
      </c>
      <c r="C243" s="270">
        <v>2721.2</v>
      </c>
      <c r="D243" s="129">
        <f t="shared" si="13"/>
        <v>-1.4200840457904707E-2</v>
      </c>
      <c r="E243" s="270">
        <v>69774.570000000007</v>
      </c>
      <c r="F243" s="129">
        <f t="shared" si="13"/>
        <v>-1.9482589964695429E-2</v>
      </c>
      <c r="G243" s="270">
        <v>24888.2</v>
      </c>
      <c r="H243" s="129">
        <f t="shared" si="12"/>
        <v>-1.0071038207896121E-2</v>
      </c>
      <c r="J243" s="269">
        <v>44500</v>
      </c>
      <c r="K243" s="270">
        <v>505.85</v>
      </c>
      <c r="L243" s="129">
        <f t="shared" si="11"/>
        <v>8.4932975871313765E-2</v>
      </c>
      <c r="M243" s="270">
        <v>26673.33</v>
      </c>
      <c r="N243" s="129">
        <f t="shared" si="11"/>
        <v>-6.032373139617575E-3</v>
      </c>
      <c r="O243" s="270">
        <v>17671.650000000001</v>
      </c>
      <c r="P243" s="129">
        <f t="shared" si="11"/>
        <v>-2.4468807445804264E-2</v>
      </c>
    </row>
    <row r="244" spans="2:16" x14ac:dyDescent="0.3">
      <c r="B244" s="269">
        <v>45819</v>
      </c>
      <c r="C244" s="270">
        <v>2760.4</v>
      </c>
      <c r="D244" s="129">
        <f t="shared" si="13"/>
        <v>-4.2924647404681826E-3</v>
      </c>
      <c r="E244" s="270">
        <v>71160.97</v>
      </c>
      <c r="F244" s="129">
        <f t="shared" si="13"/>
        <v>-4.2419888469905631E-3</v>
      </c>
      <c r="G244" s="270">
        <v>25141.4</v>
      </c>
      <c r="H244" s="129">
        <f t="shared" si="12"/>
        <v>1.4798291126005836E-3</v>
      </c>
      <c r="J244" s="269">
        <v>44493</v>
      </c>
      <c r="K244" s="270">
        <v>466.25</v>
      </c>
      <c r="L244" s="129">
        <f t="shared" si="11"/>
        <v>-4.5019765274563306E-2</v>
      </c>
      <c r="M244" s="270">
        <v>26835.21</v>
      </c>
      <c r="N244" s="129">
        <f t="shared" si="11"/>
        <v>-1.5433017132101878E-2</v>
      </c>
      <c r="O244" s="270">
        <v>18114.900000000001</v>
      </c>
      <c r="P244" s="129">
        <f t="shared" si="11"/>
        <v>-1.2195620700655052E-2</v>
      </c>
    </row>
    <row r="245" spans="2:16" x14ac:dyDescent="0.3">
      <c r="B245" s="269">
        <v>45818</v>
      </c>
      <c r="C245" s="270">
        <v>2772.3</v>
      </c>
      <c r="D245" s="129">
        <f t="shared" si="13"/>
        <v>-9.3267581475128258E-3</v>
      </c>
      <c r="E245" s="270">
        <v>71464.12</v>
      </c>
      <c r="F245" s="129">
        <f t="shared" si="13"/>
        <v>2.0688036358444961E-3</v>
      </c>
      <c r="G245" s="270">
        <v>25104.25</v>
      </c>
      <c r="H245" s="129">
        <f t="shared" si="12"/>
        <v>4.1827336753952338E-5</v>
      </c>
      <c r="J245" s="269">
        <v>44486</v>
      </c>
      <c r="K245" s="270">
        <v>488.23</v>
      </c>
      <c r="L245" s="129">
        <f t="shared" si="11"/>
        <v>-2.6963537943008875E-3</v>
      </c>
      <c r="M245" s="270">
        <v>27255.85</v>
      </c>
      <c r="N245" s="129">
        <f t="shared" si="11"/>
        <v>3.5059923752393862E-2</v>
      </c>
      <c r="O245" s="270">
        <v>18338.55</v>
      </c>
      <c r="P245" s="129">
        <f t="shared" si="11"/>
        <v>2.4774799946354342E-2</v>
      </c>
    </row>
    <row r="246" spans="2:16" x14ac:dyDescent="0.3">
      <c r="B246" s="269">
        <v>45817</v>
      </c>
      <c r="C246" s="270">
        <v>2798.4</v>
      </c>
      <c r="D246" s="129">
        <f t="shared" si="13"/>
        <v>7.1520526391077865E-4</v>
      </c>
      <c r="E246" s="270">
        <v>71316.58</v>
      </c>
      <c r="F246" s="129">
        <f t="shared" si="13"/>
        <v>7.3290516499830982E-3</v>
      </c>
      <c r="G246" s="270">
        <v>25103.200000000001</v>
      </c>
      <c r="H246" s="129">
        <f t="shared" si="12"/>
        <v>4.0055113276180609E-3</v>
      </c>
      <c r="J246" s="269">
        <v>44479</v>
      </c>
      <c r="K246" s="270">
        <v>489.55</v>
      </c>
      <c r="L246" s="129">
        <f t="shared" si="11"/>
        <v>3.4989429175475761E-2</v>
      </c>
      <c r="M246" s="270">
        <v>26332.63</v>
      </c>
      <c r="N246" s="129">
        <f t="shared" si="11"/>
        <v>1.620988098835352E-2</v>
      </c>
      <c r="O246" s="270">
        <v>17895.2</v>
      </c>
      <c r="P246" s="129">
        <f t="shared" si="11"/>
        <v>2.0713493288006868E-2</v>
      </c>
    </row>
    <row r="247" spans="2:16" x14ac:dyDescent="0.3">
      <c r="B247" s="269">
        <v>45814</v>
      </c>
      <c r="C247" s="270">
        <v>2796.4</v>
      </c>
      <c r="D247" s="129">
        <f t="shared" si="13"/>
        <v>-3.3146808283136542E-3</v>
      </c>
      <c r="E247" s="270">
        <v>70797.7</v>
      </c>
      <c r="F247" s="129">
        <f t="shared" si="13"/>
        <v>-2.9675353993230402E-3</v>
      </c>
      <c r="G247" s="270">
        <v>25003.05</v>
      </c>
      <c r="H247" s="129">
        <f t="shared" si="12"/>
        <v>1.0187508333030282E-2</v>
      </c>
      <c r="J247" s="269">
        <v>44472</v>
      </c>
      <c r="K247" s="270">
        <v>473</v>
      </c>
      <c r="L247" s="129">
        <f t="shared" si="11"/>
        <v>-1.9729752134626466E-2</v>
      </c>
      <c r="M247" s="270">
        <v>25912.59</v>
      </c>
      <c r="N247" s="129">
        <f t="shared" si="11"/>
        <v>-1.6835064102320829E-2</v>
      </c>
      <c r="O247" s="270">
        <v>17532.05</v>
      </c>
      <c r="P247" s="129">
        <f t="shared" si="11"/>
        <v>-1.7988371832500683E-2</v>
      </c>
    </row>
    <row r="248" spans="2:16" x14ac:dyDescent="0.3">
      <c r="B248" s="269">
        <v>45813</v>
      </c>
      <c r="C248" s="270">
        <v>2805.7</v>
      </c>
      <c r="D248" s="129">
        <f t="shared" si="13"/>
        <v>9.0994101568118158E-3</v>
      </c>
      <c r="E248" s="270">
        <v>71008.42</v>
      </c>
      <c r="F248" s="129">
        <f t="shared" si="13"/>
        <v>4.1713422269737954E-3</v>
      </c>
      <c r="G248" s="270">
        <v>24750.9</v>
      </c>
      <c r="H248" s="129">
        <f t="shared" si="12"/>
        <v>5.3086489955402882E-3</v>
      </c>
      <c r="J248" s="269">
        <v>44465</v>
      </c>
      <c r="K248" s="270">
        <v>482.52</v>
      </c>
      <c r="L248" s="129">
        <f t="shared" si="11"/>
        <v>-8.2085719177430683E-2</v>
      </c>
      <c r="M248" s="270">
        <v>26356.3</v>
      </c>
      <c r="N248" s="129">
        <f t="shared" si="11"/>
        <v>1.2093838417041258E-2</v>
      </c>
      <c r="O248" s="270">
        <v>17853.2</v>
      </c>
      <c r="P248" s="129">
        <f t="shared" si="11"/>
        <v>1.5242974896432449E-2</v>
      </c>
    </row>
    <row r="249" spans="2:16" x14ac:dyDescent="0.3">
      <c r="B249" s="269">
        <v>45812</v>
      </c>
      <c r="C249" s="270">
        <v>2780.4</v>
      </c>
      <c r="D249" s="129">
        <f t="shared" si="13"/>
        <v>-5.36595836016307E-3</v>
      </c>
      <c r="E249" s="270">
        <v>70713.45</v>
      </c>
      <c r="F249" s="129">
        <f t="shared" si="13"/>
        <v>1.7715375330791261E-3</v>
      </c>
      <c r="G249" s="270">
        <v>24620.2</v>
      </c>
      <c r="H249" s="129">
        <f t="shared" si="12"/>
        <v>3.1659366405216716E-3</v>
      </c>
      <c r="J249" s="269">
        <v>44458</v>
      </c>
      <c r="K249" s="270">
        <v>525.66999999999996</v>
      </c>
      <c r="L249" s="129">
        <f t="shared" si="11"/>
        <v>-2.4724229745154425E-4</v>
      </c>
      <c r="M249" s="270">
        <v>26041.360000000001</v>
      </c>
      <c r="N249" s="129">
        <f t="shared" si="11"/>
        <v>1.064341325045759E-2</v>
      </c>
      <c r="O249" s="270">
        <v>17585.150000000001</v>
      </c>
      <c r="P249" s="129">
        <f t="shared" si="11"/>
        <v>1.2430012809994784E-2</v>
      </c>
    </row>
    <row r="250" spans="2:16" x14ac:dyDescent="0.3">
      <c r="B250" s="269">
        <v>45811</v>
      </c>
      <c r="C250" s="270">
        <v>2795.4</v>
      </c>
      <c r="D250" s="129">
        <f t="shared" si="13"/>
        <v>2.3431207439408297E-2</v>
      </c>
      <c r="E250" s="270">
        <v>70588.399999999994</v>
      </c>
      <c r="F250" s="129">
        <f t="shared" si="13"/>
        <v>-8.7416392715160551E-3</v>
      </c>
      <c r="G250" s="270">
        <v>24542.5</v>
      </c>
      <c r="H250" s="129">
        <f t="shared" si="12"/>
        <v>-7.0438490730925229E-3</v>
      </c>
      <c r="J250" s="269">
        <v>44451</v>
      </c>
      <c r="K250" s="270">
        <v>525.79999999999995</v>
      </c>
      <c r="L250" s="129">
        <f t="shared" si="11"/>
        <v>4.8099348177088386E-2</v>
      </c>
      <c r="M250" s="270">
        <v>25767.11</v>
      </c>
      <c r="N250" s="129">
        <f t="shared" si="11"/>
        <v>8.1036839621939638E-3</v>
      </c>
      <c r="O250" s="270">
        <v>17369.25</v>
      </c>
      <c r="P250" s="129">
        <f t="shared" si="11"/>
        <v>2.6351335750076643E-3</v>
      </c>
    </row>
    <row r="251" spans="2:16" x14ac:dyDescent="0.3">
      <c r="B251" s="269">
        <v>45810</v>
      </c>
      <c r="C251" s="270">
        <v>2731.4</v>
      </c>
      <c r="D251" s="129">
        <f t="shared" si="13"/>
        <v>-1.6845439493196945E-2</v>
      </c>
      <c r="E251" s="270">
        <v>71210.899999999994</v>
      </c>
      <c r="F251" s="129">
        <f t="shared" si="13"/>
        <v>1.7057337749915025E-3</v>
      </c>
      <c r="G251" s="270">
        <v>24716.6</v>
      </c>
      <c r="H251" s="129">
        <f t="shared" si="12"/>
        <v>-1.3777388114276645E-3</v>
      </c>
      <c r="J251" s="269">
        <v>44444</v>
      </c>
      <c r="K251" s="270">
        <v>501.67</v>
      </c>
      <c r="L251" s="129">
        <f t="shared" si="11"/>
        <v>5.8107652071205607E-2</v>
      </c>
      <c r="M251" s="270">
        <v>25559.98</v>
      </c>
      <c r="N251" s="129">
        <f t="shared" si="11"/>
        <v>4.4521326069082212E-2</v>
      </c>
      <c r="O251" s="270">
        <v>17323.599999999999</v>
      </c>
      <c r="P251" s="129">
        <f t="shared" si="11"/>
        <v>3.7018413428153929E-2</v>
      </c>
    </row>
    <row r="252" spans="2:16" x14ac:dyDescent="0.3">
      <c r="B252" s="269">
        <v>45807</v>
      </c>
      <c r="C252" s="270">
        <v>2778.2</v>
      </c>
      <c r="D252" s="129">
        <f t="shared" si="13"/>
        <v>-6.5083679015878193E-3</v>
      </c>
      <c r="E252" s="270">
        <v>71089.64</v>
      </c>
      <c r="F252" s="129">
        <f t="shared" si="13"/>
        <v>6.2206520439094248E-3</v>
      </c>
      <c r="G252" s="270">
        <v>24750.7</v>
      </c>
      <c r="H252" s="129">
        <f t="shared" si="12"/>
        <v>-3.3382191869080202E-3</v>
      </c>
      <c r="J252" s="269">
        <v>44437</v>
      </c>
      <c r="K252" s="270">
        <v>474.12</v>
      </c>
      <c r="L252" s="129">
        <f t="shared" si="11"/>
        <v>-1.6695356409565099E-2</v>
      </c>
      <c r="M252" s="270">
        <v>24470.52</v>
      </c>
      <c r="N252" s="129">
        <f t="shared" si="11"/>
        <v>3.9155851380515028E-2</v>
      </c>
      <c r="O252" s="270">
        <v>16705.2</v>
      </c>
      <c r="P252" s="129">
        <f t="shared" si="11"/>
        <v>1.5482812072581398E-2</v>
      </c>
    </row>
    <row r="253" spans="2:16" x14ac:dyDescent="0.3">
      <c r="B253" s="269">
        <v>45806</v>
      </c>
      <c r="C253" s="270">
        <v>2796.4</v>
      </c>
      <c r="D253" s="129">
        <f t="shared" si="13"/>
        <v>-6.6427480373698611E-3</v>
      </c>
      <c r="E253" s="270">
        <v>70650.149999999994</v>
      </c>
      <c r="F253" s="129">
        <f t="shared" si="13"/>
        <v>3.1128378151012992E-3</v>
      </c>
      <c r="G253" s="270">
        <v>24833.599999999999</v>
      </c>
      <c r="H253" s="129">
        <f t="shared" si="12"/>
        <v>3.2784633440325894E-3</v>
      </c>
      <c r="J253" s="269">
        <v>44430</v>
      </c>
      <c r="K253" s="270">
        <v>482.17</v>
      </c>
      <c r="L253" s="129">
        <f t="shared" si="11"/>
        <v>-3.5949215235429266E-2</v>
      </c>
      <c r="M253" s="270">
        <v>23548.46</v>
      </c>
      <c r="N253" s="129">
        <f t="shared" si="11"/>
        <v>-3.16165987246112E-2</v>
      </c>
      <c r="O253" s="270">
        <v>16450.5</v>
      </c>
      <c r="P253" s="129">
        <f t="shared" si="11"/>
        <v>-4.7552498321141723E-3</v>
      </c>
    </row>
    <row r="254" spans="2:16" x14ac:dyDescent="0.3">
      <c r="B254" s="269">
        <v>45805</v>
      </c>
      <c r="C254" s="270">
        <v>2815.1</v>
      </c>
      <c r="D254" s="129">
        <f t="shared" si="13"/>
        <v>-3.1515580736544146E-3</v>
      </c>
      <c r="E254" s="270">
        <v>70430.91</v>
      </c>
      <c r="F254" s="129">
        <f t="shared" si="13"/>
        <v>3.7447189358705835E-3</v>
      </c>
      <c r="G254" s="270">
        <v>24752.45</v>
      </c>
      <c r="H254" s="129">
        <f t="shared" si="12"/>
        <v>-2.9706519725128944E-3</v>
      </c>
      <c r="J254" s="269">
        <v>44423</v>
      </c>
      <c r="K254" s="270">
        <v>500.15</v>
      </c>
      <c r="L254" s="129">
        <f t="shared" si="11"/>
        <v>-6.5547720726983894E-3</v>
      </c>
      <c r="M254" s="270">
        <v>24317.29</v>
      </c>
      <c r="N254" s="129">
        <f t="shared" si="11"/>
        <v>2.2491001749192607E-2</v>
      </c>
      <c r="O254" s="270">
        <v>16529.099999999999</v>
      </c>
      <c r="P254" s="129">
        <f t="shared" si="11"/>
        <v>1.7914547178874418E-2</v>
      </c>
    </row>
    <row r="255" spans="2:16" x14ac:dyDescent="0.3">
      <c r="B255" s="269">
        <v>45804</v>
      </c>
      <c r="C255" s="270">
        <v>2824</v>
      </c>
      <c r="D255" s="129">
        <f t="shared" si="13"/>
        <v>8.0314117437088051E-3</v>
      </c>
      <c r="E255" s="270">
        <v>70168.149999999994</v>
      </c>
      <c r="F255" s="129">
        <f t="shared" si="13"/>
        <v>4.1975045384710086E-3</v>
      </c>
      <c r="G255" s="270">
        <v>24826.2</v>
      </c>
      <c r="H255" s="129">
        <f t="shared" si="12"/>
        <v>-6.9976781068070704E-3</v>
      </c>
      <c r="J255" s="269">
        <v>44416</v>
      </c>
      <c r="K255" s="270">
        <v>503.45</v>
      </c>
      <c r="L255" s="129">
        <f t="shared" si="11"/>
        <v>-2.0296567291974821E-2</v>
      </c>
      <c r="M255" s="270">
        <v>23782.400000000001</v>
      </c>
      <c r="N255" s="129">
        <f t="shared" si="11"/>
        <v>4.6751969543417093E-3</v>
      </c>
      <c r="O255" s="270">
        <v>16238.2</v>
      </c>
      <c r="P255" s="129">
        <f t="shared" si="11"/>
        <v>3.0143278109249216E-2</v>
      </c>
    </row>
    <row r="256" spans="2:16" x14ac:dyDescent="0.3">
      <c r="B256" s="269">
        <v>45803</v>
      </c>
      <c r="C256" s="270">
        <v>2801.5</v>
      </c>
      <c r="D256" s="129">
        <f t="shared" si="13"/>
        <v>6.936956365466207E-3</v>
      </c>
      <c r="E256" s="270">
        <v>69874.850000000006</v>
      </c>
      <c r="F256" s="129">
        <f t="shared" si="13"/>
        <v>9.0809538106373378E-3</v>
      </c>
      <c r="G256" s="270">
        <v>25001.15</v>
      </c>
      <c r="H256" s="129">
        <f t="shared" si="12"/>
        <v>5.954979549875894E-3</v>
      </c>
      <c r="J256" s="269">
        <v>44409</v>
      </c>
      <c r="K256" s="270">
        <v>513.88</v>
      </c>
      <c r="L256" s="129">
        <f t="shared" si="11"/>
        <v>6.0464732345536287E-2</v>
      </c>
      <c r="M256" s="270">
        <v>23671.73</v>
      </c>
      <c r="N256" s="129">
        <f t="shared" si="11"/>
        <v>-7.3064787494401262E-3</v>
      </c>
      <c r="O256" s="270">
        <v>15763.05</v>
      </c>
      <c r="P256" s="129">
        <f t="shared" si="11"/>
        <v>-5.8652690928698847E-3</v>
      </c>
    </row>
    <row r="257" spans="2:16" x14ac:dyDescent="0.3">
      <c r="B257" s="269">
        <v>45800</v>
      </c>
      <c r="C257" s="270">
        <v>2782.2</v>
      </c>
      <c r="D257" s="129">
        <f t="shared" si="13"/>
        <v>-9.1880341880342664E-3</v>
      </c>
      <c r="E257" s="270">
        <v>69246.03</v>
      </c>
      <c r="F257" s="129">
        <f t="shared" si="13"/>
        <v>4.2613578682044739E-3</v>
      </c>
      <c r="G257" s="270">
        <v>24853.15</v>
      </c>
      <c r="H257" s="129">
        <f t="shared" si="12"/>
        <v>9.8924407855438545E-3</v>
      </c>
      <c r="J257" s="269">
        <v>44402</v>
      </c>
      <c r="K257" s="270">
        <v>484.58</v>
      </c>
      <c r="L257" s="129">
        <f t="shared" si="11"/>
        <v>-1.8538353794184115E-3</v>
      </c>
      <c r="M257" s="270">
        <v>23845.96</v>
      </c>
      <c r="N257" s="129">
        <f t="shared" si="11"/>
        <v>-9.5313068867153294E-4</v>
      </c>
      <c r="O257" s="270">
        <v>15856.05</v>
      </c>
      <c r="P257" s="129">
        <f t="shared" si="11"/>
        <v>-4.2296243264630107E-3</v>
      </c>
    </row>
    <row r="258" spans="2:16" x14ac:dyDescent="0.3">
      <c r="B258" s="269">
        <v>45799</v>
      </c>
      <c r="C258" s="270">
        <v>2808</v>
      </c>
      <c r="D258" s="129">
        <f t="shared" si="13"/>
        <v>-1.3941075253713464E-2</v>
      </c>
      <c r="E258" s="270">
        <v>68952.2</v>
      </c>
      <c r="F258" s="129">
        <f t="shared" si="13"/>
        <v>-2.0979154570174297E-3</v>
      </c>
      <c r="G258" s="270">
        <v>24609.7</v>
      </c>
      <c r="H258" s="129">
        <f t="shared" si="12"/>
        <v>-8.2112725155107924E-3</v>
      </c>
      <c r="J258" s="269">
        <v>44395</v>
      </c>
      <c r="K258" s="270">
        <v>485.48</v>
      </c>
      <c r="L258" s="129">
        <f t="shared" si="11"/>
        <v>0.11946872045564594</v>
      </c>
      <c r="M258" s="270">
        <v>23868.71</v>
      </c>
      <c r="N258" s="129">
        <f t="shared" si="11"/>
        <v>3.9548984697290734E-2</v>
      </c>
      <c r="O258" s="270">
        <v>15923.4</v>
      </c>
      <c r="P258" s="129">
        <f t="shared" si="11"/>
        <v>1.4888653775064098E-2</v>
      </c>
    </row>
    <row r="259" spans="2:16" x14ac:dyDescent="0.3">
      <c r="B259" s="269">
        <v>45798</v>
      </c>
      <c r="C259" s="270">
        <v>2847.7</v>
      </c>
      <c r="D259" s="129">
        <f t="shared" si="13"/>
        <v>-6.0730864542249963E-3</v>
      </c>
      <c r="E259" s="270">
        <v>69097.16</v>
      </c>
      <c r="F259" s="129">
        <f t="shared" si="13"/>
        <v>1.6459973073736478E-2</v>
      </c>
      <c r="G259" s="270">
        <v>24813.45</v>
      </c>
      <c r="H259" s="129">
        <f t="shared" si="12"/>
        <v>5.2483602672186436E-3</v>
      </c>
      <c r="J259" s="269">
        <v>44388</v>
      </c>
      <c r="K259" s="270">
        <v>433.67</v>
      </c>
      <c r="L259" s="129">
        <f t="shared" ref="L259:P263" si="14">K259/K260-1</f>
        <v>-1.3816289405207405E-3</v>
      </c>
      <c r="M259" s="270">
        <v>22960.639999999999</v>
      </c>
      <c r="N259" s="129">
        <f t="shared" si="14"/>
        <v>8.1014676775499339E-3</v>
      </c>
      <c r="O259" s="270">
        <v>15689.8</v>
      </c>
      <c r="P259" s="129">
        <f t="shared" si="14"/>
        <v>-2.0607802979227818E-3</v>
      </c>
    </row>
    <row r="260" spans="2:16" x14ac:dyDescent="0.3">
      <c r="B260" s="269">
        <v>45797</v>
      </c>
      <c r="C260" s="270">
        <v>2865.1</v>
      </c>
      <c r="D260" s="129">
        <f t="shared" si="13"/>
        <v>-2.3749488891917747E-2</v>
      </c>
      <c r="E260" s="270">
        <v>67978.240000000005</v>
      </c>
      <c r="F260" s="129">
        <f t="shared" si="13"/>
        <v>-1.1949212467669112E-2</v>
      </c>
      <c r="G260" s="270">
        <v>24683.9</v>
      </c>
      <c r="H260" s="129">
        <f t="shared" si="12"/>
        <v>-1.0484878003804265E-2</v>
      </c>
      <c r="J260" s="269">
        <v>44381</v>
      </c>
      <c r="K260" s="270">
        <v>434.27</v>
      </c>
      <c r="L260" s="129">
        <f t="shared" si="14"/>
        <v>-2.2057303035177833E-3</v>
      </c>
      <c r="M260" s="270">
        <v>22776.12</v>
      </c>
      <c r="N260" s="129">
        <f t="shared" si="14"/>
        <v>-1.3347207162638708E-2</v>
      </c>
      <c r="O260" s="270">
        <v>15722.2</v>
      </c>
      <c r="P260" s="129">
        <f t="shared" si="14"/>
        <v>-8.7104004640502497E-3</v>
      </c>
    </row>
    <row r="261" spans="2:16" x14ac:dyDescent="0.3">
      <c r="B261" s="269">
        <v>45796</v>
      </c>
      <c r="C261" s="270">
        <v>2934.8</v>
      </c>
      <c r="D261" s="129">
        <f t="shared" si="13"/>
        <v>-1.8855308906124524E-2</v>
      </c>
      <c r="E261" s="270">
        <v>68800.350000000006</v>
      </c>
      <c r="F261" s="129">
        <f t="shared" si="13"/>
        <v>-1.5787455771468784E-3</v>
      </c>
      <c r="G261" s="270">
        <v>24945.45</v>
      </c>
      <c r="H261" s="129">
        <f t="shared" si="12"/>
        <v>-2.9716464560067823E-3</v>
      </c>
      <c r="J261" s="269">
        <v>44374</v>
      </c>
      <c r="K261" s="270">
        <v>435.23</v>
      </c>
      <c r="L261" s="129">
        <f t="shared" si="14"/>
        <v>2.4022398945932055E-2</v>
      </c>
      <c r="M261" s="270">
        <v>23084.23</v>
      </c>
      <c r="N261" s="129">
        <f t="shared" si="14"/>
        <v>4.0632216992465775E-2</v>
      </c>
      <c r="O261" s="270">
        <v>15860.35</v>
      </c>
      <c r="P261" s="129">
        <f t="shared" si="14"/>
        <v>1.1285854106424908E-2</v>
      </c>
    </row>
    <row r="262" spans="2:16" x14ac:dyDescent="0.3">
      <c r="B262" s="269">
        <v>45793</v>
      </c>
      <c r="C262" s="270">
        <v>2991.2</v>
      </c>
      <c r="D262" s="129">
        <f t="shared" si="13"/>
        <v>3.8257601181286294E-3</v>
      </c>
      <c r="E262" s="270">
        <v>68909.14</v>
      </c>
      <c r="F262" s="129">
        <f t="shared" si="13"/>
        <v>1.6325569232752413E-2</v>
      </c>
      <c r="G262" s="270">
        <v>25019.8</v>
      </c>
      <c r="H262" s="129">
        <f t="shared" si="12"/>
        <v>-1.6878074862042292E-3</v>
      </c>
      <c r="J262" s="269">
        <v>44367</v>
      </c>
      <c r="K262" s="270">
        <v>425.02</v>
      </c>
      <c r="L262" s="129">
        <f t="shared" si="14"/>
        <v>-4.3501744120625685E-2</v>
      </c>
      <c r="M262" s="270">
        <v>22182.89</v>
      </c>
      <c r="N262" s="129">
        <f t="shared" si="14"/>
        <v>-3.2062568260588176E-2</v>
      </c>
      <c r="O262" s="270">
        <v>15683.35</v>
      </c>
      <c r="P262" s="129">
        <f t="shared" si="14"/>
        <v>-7.3420741992550331E-3</v>
      </c>
    </row>
    <row r="263" spans="2:16" x14ac:dyDescent="0.3">
      <c r="B263" s="269">
        <v>45792</v>
      </c>
      <c r="C263" s="270">
        <v>2979.8</v>
      </c>
      <c r="D263" s="129">
        <f t="shared" si="13"/>
        <v>-4.6763310842408146E-3</v>
      </c>
      <c r="E263" s="270">
        <v>67802.23</v>
      </c>
      <c r="F263" s="129">
        <f t="shared" si="13"/>
        <v>1.2907422260791668E-2</v>
      </c>
      <c r="G263" s="270">
        <v>25062.1</v>
      </c>
      <c r="H263" s="129">
        <f t="shared" si="12"/>
        <v>1.6021470067175025E-2</v>
      </c>
      <c r="J263" s="269">
        <v>44360</v>
      </c>
      <c r="K263" s="270">
        <v>444.35</v>
      </c>
      <c r="L263" s="129">
        <f t="shared" si="14"/>
        <v>-3.9228872450123298E-3</v>
      </c>
      <c r="M263" s="270">
        <v>22917.69</v>
      </c>
      <c r="N263" s="129">
        <f t="shared" si="14"/>
        <v>-1.5543269129574377E-2</v>
      </c>
      <c r="O263" s="270">
        <v>15799.35</v>
      </c>
      <c r="P263" s="129">
        <f t="shared" si="14"/>
        <v>8.238541184728998E-3</v>
      </c>
    </row>
    <row r="264" spans="2:16" x14ac:dyDescent="0.3">
      <c r="B264" s="269">
        <v>45791</v>
      </c>
      <c r="C264" s="270">
        <v>2993.8</v>
      </c>
      <c r="D264" s="129">
        <f t="shared" si="13"/>
        <v>-1.0379479042707751E-2</v>
      </c>
      <c r="E264" s="270">
        <v>66938.23</v>
      </c>
      <c r="F264" s="129">
        <f t="shared" si="13"/>
        <v>1.4941750749551286E-2</v>
      </c>
      <c r="G264" s="270">
        <v>24666.9</v>
      </c>
      <c r="H264" s="129">
        <f t="shared" si="12"/>
        <v>3.602764221357635E-3</v>
      </c>
      <c r="J264" s="269">
        <v>44353</v>
      </c>
      <c r="K264" s="270">
        <v>446.1</v>
      </c>
      <c r="L264" s="129"/>
      <c r="M264" s="270">
        <v>23279.53</v>
      </c>
      <c r="N264" s="270"/>
      <c r="O264" s="270">
        <v>15670.25</v>
      </c>
      <c r="P264" s="60"/>
    </row>
    <row r="265" spans="2:16" x14ac:dyDescent="0.3">
      <c r="B265" s="269">
        <v>45790</v>
      </c>
      <c r="C265" s="270">
        <v>3025.2</v>
      </c>
      <c r="D265" s="129">
        <f t="shared" si="13"/>
        <v>-8.3772487733963397E-2</v>
      </c>
      <c r="E265" s="270">
        <v>65952.78</v>
      </c>
      <c r="F265" s="129">
        <f t="shared" si="13"/>
        <v>1.0392122858503106E-2</v>
      </c>
      <c r="G265" s="270">
        <v>24578.35</v>
      </c>
      <c r="H265" s="129">
        <f t="shared" si="12"/>
        <v>-1.3895854313191403E-2</v>
      </c>
    </row>
    <row r="266" spans="2:16" x14ac:dyDescent="0.3">
      <c r="B266" s="269">
        <v>45789</v>
      </c>
      <c r="C266" s="270">
        <v>3301.8</v>
      </c>
      <c r="D266" s="129">
        <f t="shared" si="13"/>
        <v>4.5535148828372396E-2</v>
      </c>
      <c r="E266" s="270">
        <v>65274.44</v>
      </c>
      <c r="F266" s="129">
        <f t="shared" si="13"/>
        <v>3.8538501669233227E-2</v>
      </c>
      <c r="G266" s="270">
        <v>24924.7</v>
      </c>
      <c r="H266" s="129">
        <f t="shared" ref="H266:H329" si="15">G266/G267-1</f>
        <v>3.8183105631456105E-2</v>
      </c>
    </row>
    <row r="267" spans="2:16" x14ac:dyDescent="0.3">
      <c r="B267" s="269">
        <v>45786</v>
      </c>
      <c r="C267" s="270">
        <v>3158</v>
      </c>
      <c r="D267" s="129">
        <f t="shared" si="13"/>
        <v>2.0817170933540297E-2</v>
      </c>
      <c r="E267" s="270">
        <v>62852.21</v>
      </c>
      <c r="F267" s="129">
        <f t="shared" si="13"/>
        <v>1.668666268849095E-2</v>
      </c>
      <c r="G267" s="270">
        <v>24008</v>
      </c>
      <c r="H267" s="129">
        <f t="shared" si="15"/>
        <v>-1.0950077861727414E-2</v>
      </c>
    </row>
    <row r="268" spans="2:16" x14ac:dyDescent="0.3">
      <c r="B268" s="269">
        <v>45785</v>
      </c>
      <c r="C268" s="270">
        <v>3093.6</v>
      </c>
      <c r="D268" s="129">
        <f t="shared" si="13"/>
        <v>-8.3026125981727761E-3</v>
      </c>
      <c r="E268" s="270">
        <v>61820.63</v>
      </c>
      <c r="F268" s="129">
        <f t="shared" si="13"/>
        <v>-9.0306809438317481E-3</v>
      </c>
      <c r="G268" s="270">
        <v>24273.8</v>
      </c>
      <c r="H268" s="129">
        <f t="shared" si="15"/>
        <v>-5.758896389016388E-3</v>
      </c>
    </row>
    <row r="269" spans="2:16" x14ac:dyDescent="0.3">
      <c r="B269" s="269">
        <v>45784</v>
      </c>
      <c r="C269" s="270">
        <v>3119.5</v>
      </c>
      <c r="D269" s="129">
        <f t="shared" si="13"/>
        <v>2.5678963635167973E-2</v>
      </c>
      <c r="E269" s="270">
        <v>62384</v>
      </c>
      <c r="F269" s="129">
        <f t="shared" si="13"/>
        <v>4.2973701588582269E-3</v>
      </c>
      <c r="G269" s="270">
        <v>24414.400000000001</v>
      </c>
      <c r="H269" s="129">
        <f t="shared" si="15"/>
        <v>1.4274229273656402E-3</v>
      </c>
    </row>
    <row r="270" spans="2:16" x14ac:dyDescent="0.3">
      <c r="B270" s="269">
        <v>45783</v>
      </c>
      <c r="C270" s="270">
        <v>3041.4</v>
      </c>
      <c r="D270" s="129">
        <f t="shared" si="13"/>
        <v>-2.3878297708453733E-2</v>
      </c>
      <c r="E270" s="270">
        <v>62117.06</v>
      </c>
      <c r="F270" s="129">
        <f t="shared" si="13"/>
        <v>-1.714461300294412E-2</v>
      </c>
      <c r="G270" s="270">
        <v>24379.599999999999</v>
      </c>
      <c r="H270" s="129">
        <f t="shared" si="15"/>
        <v>-3.3338579747886898E-3</v>
      </c>
    </row>
    <row r="271" spans="2:16" x14ac:dyDescent="0.3">
      <c r="B271" s="269">
        <v>45782</v>
      </c>
      <c r="C271" s="270">
        <v>3115.8</v>
      </c>
      <c r="D271" s="129">
        <f t="shared" si="13"/>
        <v>6.9215195085961412E-2</v>
      </c>
      <c r="E271" s="270">
        <v>63200.61</v>
      </c>
      <c r="F271" s="129">
        <f t="shared" si="13"/>
        <v>8.4939261965097934E-3</v>
      </c>
      <c r="G271" s="270">
        <v>24461.15</v>
      </c>
      <c r="H271" s="129">
        <f t="shared" si="15"/>
        <v>4.7008424139616256E-3</v>
      </c>
    </row>
    <row r="272" spans="2:16" x14ac:dyDescent="0.3">
      <c r="B272" s="269">
        <v>45779</v>
      </c>
      <c r="C272" s="270">
        <v>2914.1</v>
      </c>
      <c r="D272" s="129">
        <f t="shared" si="13"/>
        <v>-2.5189001137352007E-2</v>
      </c>
      <c r="E272" s="270">
        <v>62668.31</v>
      </c>
      <c r="F272" s="129">
        <f t="shared" si="13"/>
        <v>-1.7852708465175837E-3</v>
      </c>
      <c r="G272" s="270">
        <v>24346.7</v>
      </c>
      <c r="H272" s="129">
        <f t="shared" si="15"/>
        <v>5.1368033467302787E-4</v>
      </c>
    </row>
    <row r="273" spans="2:8" x14ac:dyDescent="0.3">
      <c r="B273" s="269">
        <v>45777</v>
      </c>
      <c r="C273" s="270">
        <v>2989.4</v>
      </c>
      <c r="D273" s="129">
        <f t="shared" si="13"/>
        <v>-3.2368744740079003E-2</v>
      </c>
      <c r="E273" s="270">
        <v>62780.39</v>
      </c>
      <c r="F273" s="129">
        <f t="shared" si="13"/>
        <v>-8.0499454336058207E-3</v>
      </c>
      <c r="G273" s="270">
        <v>24334.2</v>
      </c>
      <c r="H273" s="129">
        <f t="shared" si="15"/>
        <v>-7.1910075423398112E-5</v>
      </c>
    </row>
    <row r="274" spans="2:8" x14ac:dyDescent="0.3">
      <c r="B274" s="269">
        <v>45776</v>
      </c>
      <c r="C274" s="270">
        <v>3089.4</v>
      </c>
      <c r="D274" s="129">
        <f t="shared" si="13"/>
        <v>2.3658051689860793E-2</v>
      </c>
      <c r="E274" s="270">
        <v>63289.87</v>
      </c>
      <c r="F274" s="129">
        <f t="shared" si="13"/>
        <v>9.4330910678306346E-3</v>
      </c>
      <c r="G274" s="270">
        <v>24335.95</v>
      </c>
      <c r="H274" s="129">
        <f t="shared" si="15"/>
        <v>3.0622520911682827E-4</v>
      </c>
    </row>
    <row r="275" spans="2:8" x14ac:dyDescent="0.3">
      <c r="B275" s="269">
        <v>45775</v>
      </c>
      <c r="C275" s="270">
        <v>3018</v>
      </c>
      <c r="D275" s="129">
        <f t="shared" ref="D275:F338" si="16">C275/C276-1</f>
        <v>-5.6996013573618054E-3</v>
      </c>
      <c r="E275" s="270">
        <v>62698.43</v>
      </c>
      <c r="F275" s="129">
        <f t="shared" si="16"/>
        <v>1.9338158213047407E-2</v>
      </c>
      <c r="G275" s="270">
        <v>24328.5</v>
      </c>
      <c r="H275" s="129">
        <f t="shared" si="15"/>
        <v>1.2028195437896683E-2</v>
      </c>
    </row>
    <row r="276" spans="2:8" x14ac:dyDescent="0.3">
      <c r="B276" s="269">
        <v>45772</v>
      </c>
      <c r="C276" s="270">
        <v>3035.3</v>
      </c>
      <c r="D276" s="129">
        <f t="shared" si="16"/>
        <v>-1.537613131345883E-2</v>
      </c>
      <c r="E276" s="270">
        <v>61508.959999999999</v>
      </c>
      <c r="F276" s="129">
        <f t="shared" si="16"/>
        <v>-2.0598822151050467E-2</v>
      </c>
      <c r="G276" s="270">
        <v>24039.35</v>
      </c>
      <c r="H276" s="129">
        <f t="shared" si="15"/>
        <v>-8.5516791975815964E-3</v>
      </c>
    </row>
    <row r="277" spans="2:8" x14ac:dyDescent="0.3">
      <c r="B277" s="269">
        <v>45771</v>
      </c>
      <c r="C277" s="270">
        <v>3082.7</v>
      </c>
      <c r="D277" s="129">
        <f t="shared" si="16"/>
        <v>-2.4060531231202664E-2</v>
      </c>
      <c r="E277" s="270">
        <v>62802.62</v>
      </c>
      <c r="F277" s="129">
        <f t="shared" si="16"/>
        <v>-4.3164272206119847E-4</v>
      </c>
      <c r="G277" s="270">
        <v>24246.7</v>
      </c>
      <c r="H277" s="129">
        <f t="shared" si="15"/>
        <v>-3.380745983694311E-3</v>
      </c>
    </row>
    <row r="278" spans="2:8" x14ac:dyDescent="0.3">
      <c r="B278" s="269">
        <v>45770</v>
      </c>
      <c r="C278" s="270">
        <v>3158.7</v>
      </c>
      <c r="D278" s="129">
        <f t="shared" si="16"/>
        <v>-2.2407229736003287E-2</v>
      </c>
      <c r="E278" s="270">
        <v>62829.74</v>
      </c>
      <c r="F278" s="129">
        <f t="shared" si="16"/>
        <v>1.0290924147468017E-2</v>
      </c>
      <c r="G278" s="270">
        <v>24328.95</v>
      </c>
      <c r="H278" s="129">
        <f t="shared" si="15"/>
        <v>6.6908729789281196E-3</v>
      </c>
    </row>
    <row r="279" spans="2:8" x14ac:dyDescent="0.3">
      <c r="B279" s="269">
        <v>45769</v>
      </c>
      <c r="C279" s="270">
        <v>3231.1</v>
      </c>
      <c r="D279" s="129">
        <f t="shared" si="16"/>
        <v>-2.9087412482346253E-2</v>
      </c>
      <c r="E279" s="270">
        <v>62189.75</v>
      </c>
      <c r="F279" s="129">
        <f t="shared" si="16"/>
        <v>-1.3755027867340397E-3</v>
      </c>
      <c r="G279" s="270">
        <v>24167.25</v>
      </c>
      <c r="H279" s="129">
        <f t="shared" si="15"/>
        <v>1.7284580040661801E-3</v>
      </c>
    </row>
    <row r="280" spans="2:8" x14ac:dyDescent="0.3">
      <c r="B280" s="269">
        <v>45768</v>
      </c>
      <c r="C280" s="270">
        <v>3327.9</v>
      </c>
      <c r="D280" s="129">
        <f t="shared" si="16"/>
        <v>5.0771999621104458E-2</v>
      </c>
      <c r="E280" s="270">
        <v>62275.41</v>
      </c>
      <c r="F280" s="129">
        <f t="shared" si="16"/>
        <v>1.9042510524582168E-2</v>
      </c>
      <c r="G280" s="270">
        <v>24125.55</v>
      </c>
      <c r="H280" s="129">
        <f t="shared" si="15"/>
        <v>1.1483482274811108E-2</v>
      </c>
    </row>
    <row r="281" spans="2:8" x14ac:dyDescent="0.3">
      <c r="B281" s="269">
        <v>45764</v>
      </c>
      <c r="C281" s="270">
        <v>3167.1</v>
      </c>
      <c r="D281" s="129">
        <f t="shared" si="16"/>
        <v>4.4719314938153065E-3</v>
      </c>
      <c r="E281" s="270">
        <v>61111.69</v>
      </c>
      <c r="F281" s="129">
        <f t="shared" si="16"/>
        <v>7.5402683468324128E-3</v>
      </c>
      <c r="G281" s="270">
        <v>23851.65</v>
      </c>
      <c r="H281" s="129">
        <f t="shared" si="15"/>
        <v>1.7683426347857356E-2</v>
      </c>
    </row>
    <row r="282" spans="2:8" x14ac:dyDescent="0.3">
      <c r="B282" s="269">
        <v>45763</v>
      </c>
      <c r="C282" s="270">
        <v>3153</v>
      </c>
      <c r="D282" s="129">
        <f t="shared" si="16"/>
        <v>-1.1784617313358003E-2</v>
      </c>
      <c r="E282" s="270">
        <v>60654.34</v>
      </c>
      <c r="F282" s="129">
        <f t="shared" si="16"/>
        <v>-6.8735927834528976E-4</v>
      </c>
      <c r="G282" s="270">
        <v>23437.200000000001</v>
      </c>
      <c r="H282" s="129">
        <f t="shared" si="15"/>
        <v>4.6573833350123106E-3</v>
      </c>
    </row>
    <row r="283" spans="2:8" x14ac:dyDescent="0.3">
      <c r="B283" s="269">
        <v>45762</v>
      </c>
      <c r="C283" s="270">
        <v>3190.6</v>
      </c>
      <c r="D283" s="129">
        <f t="shared" si="16"/>
        <v>4.1165625152963958E-2</v>
      </c>
      <c r="E283" s="270">
        <v>60696.06</v>
      </c>
      <c r="F283" s="129">
        <f t="shared" si="16"/>
        <v>3.6725524729046111E-2</v>
      </c>
      <c r="G283" s="270">
        <v>23328.55</v>
      </c>
      <c r="H283" s="129">
        <f t="shared" si="15"/>
        <v>2.1902398531663314E-2</v>
      </c>
    </row>
    <row r="284" spans="2:8" x14ac:dyDescent="0.3">
      <c r="B284" s="269">
        <v>45758</v>
      </c>
      <c r="C284" s="270">
        <v>3064.45</v>
      </c>
      <c r="D284" s="129">
        <f t="shared" si="16"/>
        <v>5.3799862448418168E-2</v>
      </c>
      <c r="E284" s="270">
        <v>58545.93</v>
      </c>
      <c r="F284" s="129">
        <f t="shared" si="16"/>
        <v>2.1477289698884849E-2</v>
      </c>
      <c r="G284" s="270">
        <v>22828.55</v>
      </c>
      <c r="H284" s="129">
        <f t="shared" si="15"/>
        <v>1.91703703042303E-2</v>
      </c>
    </row>
    <row r="285" spans="2:8" x14ac:dyDescent="0.3">
      <c r="B285" s="269">
        <v>45756</v>
      </c>
      <c r="C285" s="270">
        <v>2908</v>
      </c>
      <c r="D285" s="129">
        <f t="shared" si="16"/>
        <v>-4.6713653499426355E-2</v>
      </c>
      <c r="E285" s="270">
        <v>57314.96</v>
      </c>
      <c r="F285" s="129">
        <f t="shared" si="16"/>
        <v>-1.6490842367644531E-2</v>
      </c>
      <c r="G285" s="270">
        <v>22399.15</v>
      </c>
      <c r="H285" s="129">
        <f t="shared" si="15"/>
        <v>-6.0658905699140231E-3</v>
      </c>
    </row>
    <row r="286" spans="2:8" x14ac:dyDescent="0.3">
      <c r="B286" s="269">
        <v>45755</v>
      </c>
      <c r="C286" s="270">
        <v>3050.5</v>
      </c>
      <c r="D286" s="129">
        <f t="shared" si="16"/>
        <v>2.192593088892969E-2</v>
      </c>
      <c r="E286" s="270">
        <v>58275.98</v>
      </c>
      <c r="F286" s="129">
        <f t="shared" si="16"/>
        <v>2.1383761997661566E-2</v>
      </c>
      <c r="G286" s="270">
        <v>22535.85</v>
      </c>
      <c r="H286" s="129">
        <f t="shared" si="15"/>
        <v>1.68873186051548E-2</v>
      </c>
    </row>
    <row r="287" spans="2:8" x14ac:dyDescent="0.3">
      <c r="B287" s="269">
        <v>45754</v>
      </c>
      <c r="C287" s="270">
        <v>2985.05</v>
      </c>
      <c r="D287" s="129">
        <f t="shared" si="16"/>
        <v>-6.071428571428561E-2</v>
      </c>
      <c r="E287" s="270">
        <v>57055.91</v>
      </c>
      <c r="F287" s="129">
        <f t="shared" si="16"/>
        <v>-4.33853976212355E-2</v>
      </c>
      <c r="G287" s="270">
        <v>22161.599999999999</v>
      </c>
      <c r="H287" s="129">
        <f t="shared" si="15"/>
        <v>-3.2432562231356932E-2</v>
      </c>
    </row>
    <row r="288" spans="2:8" x14ac:dyDescent="0.3">
      <c r="B288" s="269">
        <v>45751</v>
      </c>
      <c r="C288" s="270">
        <v>3178</v>
      </c>
      <c r="D288" s="129">
        <f t="shared" si="16"/>
        <v>-7.0991127936039233E-2</v>
      </c>
      <c r="E288" s="270">
        <v>59643.57</v>
      </c>
      <c r="F288" s="129">
        <f t="shared" si="16"/>
        <v>-3.988257133805706E-2</v>
      </c>
      <c r="G288" s="270">
        <v>22904.45</v>
      </c>
      <c r="H288" s="129">
        <f t="shared" si="15"/>
        <v>-1.4866602724289302E-2</v>
      </c>
    </row>
    <row r="289" spans="2:8" x14ac:dyDescent="0.3">
      <c r="B289" s="269">
        <v>45750</v>
      </c>
      <c r="C289" s="270">
        <v>3420.85</v>
      </c>
      <c r="D289" s="129">
        <f t="shared" si="16"/>
        <v>8.9217247684776346E-3</v>
      </c>
      <c r="E289" s="270">
        <v>62121.120000000003</v>
      </c>
      <c r="F289" s="129">
        <f t="shared" si="16"/>
        <v>3.6707967438482925E-3</v>
      </c>
      <c r="G289" s="270">
        <v>23250.1</v>
      </c>
      <c r="H289" s="129">
        <f t="shared" si="15"/>
        <v>-3.5251485598322141E-3</v>
      </c>
    </row>
    <row r="290" spans="2:8" x14ac:dyDescent="0.3">
      <c r="B290" s="269">
        <v>45749</v>
      </c>
      <c r="C290" s="270">
        <v>3390.6</v>
      </c>
      <c r="D290" s="129">
        <f t="shared" si="16"/>
        <v>-7.2206421950760102E-4</v>
      </c>
      <c r="E290" s="270">
        <v>61893.919999999998</v>
      </c>
      <c r="F290" s="129">
        <f t="shared" si="16"/>
        <v>1.471936210164726E-3</v>
      </c>
      <c r="G290" s="270">
        <v>23332.35</v>
      </c>
      <c r="H290" s="129">
        <f t="shared" si="15"/>
        <v>7.1938253538634811E-3</v>
      </c>
    </row>
    <row r="291" spans="2:8" x14ac:dyDescent="0.3">
      <c r="B291" s="269">
        <v>45748</v>
      </c>
      <c r="C291" s="270">
        <v>3393.05</v>
      </c>
      <c r="D291" s="129">
        <f t="shared" si="16"/>
        <v>-2.3723205294202243E-2</v>
      </c>
      <c r="E291" s="270">
        <v>61802.95</v>
      </c>
      <c r="F291" s="129">
        <f t="shared" si="16"/>
        <v>-1.4688570359038033E-2</v>
      </c>
      <c r="G291" s="270">
        <v>23165.7</v>
      </c>
      <c r="H291" s="129">
        <f t="shared" si="15"/>
        <v>-1.5036555006834651E-2</v>
      </c>
    </row>
    <row r="292" spans="2:8" x14ac:dyDescent="0.3">
      <c r="B292" s="269">
        <v>45744</v>
      </c>
      <c r="C292" s="270">
        <v>3475.5</v>
      </c>
      <c r="D292" s="129">
        <f t="shared" si="16"/>
        <v>-2.0047369311453234E-2</v>
      </c>
      <c r="E292" s="270">
        <v>62724.28</v>
      </c>
      <c r="F292" s="129">
        <f t="shared" si="16"/>
        <v>-1.4812791310933049E-3</v>
      </c>
      <c r="G292" s="270">
        <v>23519.35</v>
      </c>
      <c r="H292" s="129">
        <f t="shared" si="15"/>
        <v>-3.0773208658039231E-3</v>
      </c>
    </row>
    <row r="293" spans="2:8" x14ac:dyDescent="0.3">
      <c r="B293" s="269">
        <v>45743</v>
      </c>
      <c r="C293" s="270">
        <v>3546.6</v>
      </c>
      <c r="D293" s="129">
        <f t="shared" si="16"/>
        <v>5.4311959332917104E-2</v>
      </c>
      <c r="E293" s="270">
        <v>62817.33</v>
      </c>
      <c r="F293" s="129">
        <f t="shared" si="16"/>
        <v>5.077923249870997E-3</v>
      </c>
      <c r="G293" s="270">
        <v>23591.95</v>
      </c>
      <c r="H293" s="129">
        <f t="shared" si="15"/>
        <v>4.4748444342259663E-3</v>
      </c>
    </row>
    <row r="294" spans="2:8" x14ac:dyDescent="0.3">
      <c r="B294" s="269">
        <v>45742</v>
      </c>
      <c r="C294" s="270">
        <v>3363.9</v>
      </c>
      <c r="D294" s="129">
        <f t="shared" si="16"/>
        <v>2.2260039809764098E-2</v>
      </c>
      <c r="E294" s="270">
        <v>62499.96</v>
      </c>
      <c r="F294" s="129">
        <f t="shared" si="16"/>
        <v>5.1146178660088637E-4</v>
      </c>
      <c r="G294" s="270">
        <v>23486.85</v>
      </c>
      <c r="H294" s="129">
        <f t="shared" si="15"/>
        <v>-7.6810464475161044E-3</v>
      </c>
    </row>
    <row r="295" spans="2:8" x14ac:dyDescent="0.3">
      <c r="B295" s="269">
        <v>45741</v>
      </c>
      <c r="C295" s="270">
        <v>3290.65</v>
      </c>
      <c r="D295" s="129">
        <f t="shared" si="16"/>
        <v>-2.3864613924238331E-2</v>
      </c>
      <c r="E295" s="270">
        <v>62468.01</v>
      </c>
      <c r="F295" s="129">
        <f t="shared" si="16"/>
        <v>-1.0122050277323602E-2</v>
      </c>
      <c r="G295" s="270">
        <v>23668.65</v>
      </c>
      <c r="H295" s="129">
        <f t="shared" si="15"/>
        <v>4.353642582852757E-4</v>
      </c>
    </row>
    <row r="296" spans="2:8" x14ac:dyDescent="0.3">
      <c r="B296" s="269">
        <v>45740</v>
      </c>
      <c r="C296" s="270">
        <v>3371.1</v>
      </c>
      <c r="D296" s="129">
        <f t="shared" si="16"/>
        <v>3.2006245120999033E-2</v>
      </c>
      <c r="E296" s="270">
        <v>63106.78</v>
      </c>
      <c r="F296" s="129">
        <f t="shared" si="16"/>
        <v>1.946632229315548E-2</v>
      </c>
      <c r="G296" s="270">
        <v>23658.35</v>
      </c>
      <c r="H296" s="129">
        <f t="shared" si="15"/>
        <v>1.3188210908592346E-2</v>
      </c>
    </row>
    <row r="297" spans="2:8" x14ac:dyDescent="0.3">
      <c r="B297" s="269">
        <v>45737</v>
      </c>
      <c r="C297" s="270">
        <v>3266.55</v>
      </c>
      <c r="D297" s="129">
        <f t="shared" si="16"/>
        <v>4.1729119494849698E-2</v>
      </c>
      <c r="E297" s="270">
        <v>61901.78</v>
      </c>
      <c r="F297" s="129">
        <f t="shared" si="16"/>
        <v>9.9701912361909173E-3</v>
      </c>
      <c r="G297" s="270">
        <v>23350.400000000001</v>
      </c>
      <c r="H297" s="129">
        <f t="shared" si="15"/>
        <v>6.8885520673203082E-3</v>
      </c>
    </row>
    <row r="298" spans="2:8" x14ac:dyDescent="0.3">
      <c r="B298" s="269">
        <v>45736</v>
      </c>
      <c r="C298" s="270">
        <v>3135.7</v>
      </c>
      <c r="D298" s="129">
        <f t="shared" si="16"/>
        <v>-1.1708716138487563E-2</v>
      </c>
      <c r="E298" s="270">
        <v>61290.7</v>
      </c>
      <c r="F298" s="129">
        <f t="shared" si="16"/>
        <v>8.6009027113593817E-3</v>
      </c>
      <c r="G298" s="270">
        <v>23190.65</v>
      </c>
      <c r="H298" s="129">
        <f t="shared" si="15"/>
        <v>1.2356161273987754E-2</v>
      </c>
    </row>
    <row r="299" spans="2:8" x14ac:dyDescent="0.3">
      <c r="B299" s="269">
        <v>45735</v>
      </c>
      <c r="C299" s="270">
        <v>3172.85</v>
      </c>
      <c r="D299" s="129">
        <f t="shared" si="16"/>
        <v>1.5467415836740717E-3</v>
      </c>
      <c r="E299" s="270">
        <v>60768.04</v>
      </c>
      <c r="F299" s="129">
        <f t="shared" si="16"/>
        <v>2.2384498959916899E-2</v>
      </c>
      <c r="G299" s="270">
        <v>22907.599999999999</v>
      </c>
      <c r="H299" s="129">
        <f t="shared" si="15"/>
        <v>3.2100830767747279E-3</v>
      </c>
    </row>
    <row r="300" spans="2:8" x14ac:dyDescent="0.3">
      <c r="B300" s="269">
        <v>45734</v>
      </c>
      <c r="C300" s="270">
        <v>3167.95</v>
      </c>
      <c r="D300" s="129">
        <f t="shared" si="16"/>
        <v>3.01606399583767E-2</v>
      </c>
      <c r="E300" s="270">
        <v>59437.56</v>
      </c>
      <c r="F300" s="129">
        <f t="shared" si="16"/>
        <v>2.4431381910218875E-2</v>
      </c>
      <c r="G300" s="270">
        <v>22834.3</v>
      </c>
      <c r="H300" s="129">
        <f t="shared" si="15"/>
        <v>1.4463264286110888E-2</v>
      </c>
    </row>
    <row r="301" spans="2:8" x14ac:dyDescent="0.3">
      <c r="B301" s="269">
        <v>45733</v>
      </c>
      <c r="C301" s="270">
        <v>3075.2</v>
      </c>
      <c r="D301" s="129">
        <f t="shared" si="16"/>
        <v>6.5410199556540816E-2</v>
      </c>
      <c r="E301" s="270">
        <v>58020.05</v>
      </c>
      <c r="F301" s="129">
        <f t="shared" si="16"/>
        <v>4.5580787990469052E-3</v>
      </c>
      <c r="G301" s="270">
        <v>22508.75</v>
      </c>
      <c r="H301" s="129">
        <f t="shared" si="15"/>
        <v>4.9805332809458314E-3</v>
      </c>
    </row>
    <row r="302" spans="2:8" x14ac:dyDescent="0.3">
      <c r="B302" s="269">
        <v>45729</v>
      </c>
      <c r="C302" s="270">
        <v>2886.4</v>
      </c>
      <c r="D302" s="129">
        <f t="shared" si="16"/>
        <v>-3.0254161837087734E-2</v>
      </c>
      <c r="E302" s="270">
        <v>57756.79</v>
      </c>
      <c r="F302" s="129">
        <f t="shared" si="16"/>
        <v>-6.0700579510586383E-4</v>
      </c>
      <c r="G302" s="270">
        <v>22397.200000000001</v>
      </c>
      <c r="H302" s="129">
        <f t="shared" si="15"/>
        <v>-3.2620546939320372E-3</v>
      </c>
    </row>
    <row r="303" spans="2:8" x14ac:dyDescent="0.3">
      <c r="B303" s="269">
        <v>45728</v>
      </c>
      <c r="C303" s="270">
        <v>2976.45</v>
      </c>
      <c r="D303" s="129">
        <f t="shared" si="16"/>
        <v>-1.2032396189464611E-2</v>
      </c>
      <c r="E303" s="270">
        <v>57791.87</v>
      </c>
      <c r="F303" s="129">
        <f t="shared" si="16"/>
        <v>-3.0507832500009657E-3</v>
      </c>
      <c r="G303" s="270">
        <v>22470.5</v>
      </c>
      <c r="H303" s="129">
        <f t="shared" si="15"/>
        <v>-1.2178914476462799E-3</v>
      </c>
    </row>
    <row r="304" spans="2:8" x14ac:dyDescent="0.3">
      <c r="B304" s="269">
        <v>45727</v>
      </c>
      <c r="C304" s="270">
        <v>3012.7</v>
      </c>
      <c r="D304" s="129">
        <f t="shared" si="16"/>
        <v>-5.1422410218138204E-4</v>
      </c>
      <c r="E304" s="270">
        <v>57968.72</v>
      </c>
      <c r="F304" s="129">
        <f t="shared" si="16"/>
        <v>4.699852940029503E-3</v>
      </c>
      <c r="G304" s="270">
        <v>22497.9</v>
      </c>
      <c r="H304" s="129">
        <f t="shared" si="15"/>
        <v>1.6740649056334878E-3</v>
      </c>
    </row>
    <row r="305" spans="2:8" x14ac:dyDescent="0.3">
      <c r="B305" s="269">
        <v>45726</v>
      </c>
      <c r="C305" s="270">
        <v>3014.25</v>
      </c>
      <c r="D305" s="129">
        <f t="shared" si="16"/>
        <v>-1.4290619532693394E-2</v>
      </c>
      <c r="E305" s="270">
        <v>57697.55</v>
      </c>
      <c r="F305" s="129">
        <f t="shared" si="16"/>
        <v>-2.0612318130848295E-2</v>
      </c>
      <c r="G305" s="270">
        <v>22460.3</v>
      </c>
      <c r="H305" s="129">
        <f t="shared" si="15"/>
        <v>-4.0882385544840361E-3</v>
      </c>
    </row>
    <row r="306" spans="2:8" x14ac:dyDescent="0.3">
      <c r="B306" s="269">
        <v>45723</v>
      </c>
      <c r="C306" s="270">
        <v>3057.95</v>
      </c>
      <c r="D306" s="129">
        <f t="shared" si="16"/>
        <v>-3.7465995536659635E-3</v>
      </c>
      <c r="E306" s="270">
        <v>58911.86</v>
      </c>
      <c r="F306" s="129">
        <f t="shared" si="16"/>
        <v>4.7238094458452728E-3</v>
      </c>
      <c r="G306" s="270">
        <v>22552.5</v>
      </c>
      <c r="H306" s="129">
        <f t="shared" si="15"/>
        <v>3.459793210820461E-4</v>
      </c>
    </row>
    <row r="307" spans="2:8" x14ac:dyDescent="0.3">
      <c r="B307" s="269">
        <v>45722</v>
      </c>
      <c r="C307" s="270">
        <v>3069.45</v>
      </c>
      <c r="D307" s="129">
        <f t="shared" si="16"/>
        <v>8.0278740739437193E-2</v>
      </c>
      <c r="E307" s="270">
        <v>58634.879999999997</v>
      </c>
      <c r="F307" s="129">
        <f t="shared" si="16"/>
        <v>8.1609016744084162E-3</v>
      </c>
      <c r="G307" s="270">
        <v>22544.7</v>
      </c>
      <c r="H307" s="129">
        <f t="shared" si="15"/>
        <v>9.2849180518683738E-3</v>
      </c>
    </row>
    <row r="308" spans="2:8" x14ac:dyDescent="0.3">
      <c r="B308" s="269">
        <v>45721</v>
      </c>
      <c r="C308" s="270">
        <v>2841.35</v>
      </c>
      <c r="D308" s="129">
        <f t="shared" si="16"/>
        <v>3.2598622644594899E-2</v>
      </c>
      <c r="E308" s="270">
        <v>58160.24</v>
      </c>
      <c r="F308" s="129">
        <f t="shared" si="16"/>
        <v>2.2576590512335848E-2</v>
      </c>
      <c r="G308" s="270">
        <v>22337.3</v>
      </c>
      <c r="H308" s="129">
        <f t="shared" si="15"/>
        <v>1.1531677583985545E-2</v>
      </c>
    </row>
    <row r="309" spans="2:8" x14ac:dyDescent="0.3">
      <c r="B309" s="269">
        <v>45720</v>
      </c>
      <c r="C309" s="270">
        <v>2751.65</v>
      </c>
      <c r="D309" s="129">
        <f t="shared" si="16"/>
        <v>3.3729579929988596E-3</v>
      </c>
      <c r="E309" s="270">
        <v>56876.17</v>
      </c>
      <c r="F309" s="129">
        <f t="shared" si="16"/>
        <v>1.4132481224002014E-2</v>
      </c>
      <c r="G309" s="270">
        <v>22082.65</v>
      </c>
      <c r="H309" s="129">
        <f t="shared" si="15"/>
        <v>-1.6569240437083188E-3</v>
      </c>
    </row>
    <row r="310" spans="2:8" x14ac:dyDescent="0.3">
      <c r="B310" s="269">
        <v>45719</v>
      </c>
      <c r="C310" s="270">
        <v>2742.4</v>
      </c>
      <c r="D310" s="129">
        <f t="shared" si="16"/>
        <v>-1.9923878276718598E-2</v>
      </c>
      <c r="E310" s="270">
        <v>56083.57</v>
      </c>
      <c r="F310" s="129">
        <f t="shared" si="16"/>
        <v>1.525041490831458E-2</v>
      </c>
      <c r="G310" s="270">
        <v>22119.3</v>
      </c>
      <c r="H310" s="129">
        <f t="shared" si="15"/>
        <v>-2.4407110604895976E-4</v>
      </c>
    </row>
    <row r="311" spans="2:8" x14ac:dyDescent="0.3">
      <c r="B311" s="269">
        <v>45716</v>
      </c>
      <c r="C311" s="270">
        <v>2798.15</v>
      </c>
      <c r="D311" s="129">
        <f t="shared" si="16"/>
        <v>-4.0168081639653463E-2</v>
      </c>
      <c r="E311" s="270">
        <v>55241.120000000003</v>
      </c>
      <c r="F311" s="129">
        <f t="shared" si="16"/>
        <v>-2.2163894682601826E-2</v>
      </c>
      <c r="G311" s="270">
        <v>22124.7</v>
      </c>
      <c r="H311" s="129">
        <f t="shared" si="15"/>
        <v>-1.8644891007116748E-2</v>
      </c>
    </row>
    <row r="312" spans="2:8" x14ac:dyDescent="0.3">
      <c r="B312" s="269">
        <v>45715</v>
      </c>
      <c r="C312" s="270">
        <v>2915.25</v>
      </c>
      <c r="D312" s="129">
        <f t="shared" si="16"/>
        <v>-4.3082225504677552E-2</v>
      </c>
      <c r="E312" s="270">
        <v>56493.23</v>
      </c>
      <c r="F312" s="129">
        <f t="shared" si="16"/>
        <v>-1.5789156425001338E-2</v>
      </c>
      <c r="G312" s="270">
        <v>22545.05</v>
      </c>
      <c r="H312" s="129">
        <f t="shared" si="15"/>
        <v>-1.1087679149179852E-4</v>
      </c>
    </row>
    <row r="313" spans="2:8" x14ac:dyDescent="0.3">
      <c r="B313" s="269">
        <v>45713</v>
      </c>
      <c r="C313" s="270">
        <v>3046.5</v>
      </c>
      <c r="D313" s="129">
        <f t="shared" si="16"/>
        <v>-5.2675767281320951E-2</v>
      </c>
      <c r="E313" s="270">
        <v>57399.519999999997</v>
      </c>
      <c r="F313" s="129">
        <f t="shared" si="16"/>
        <v>-6.2146729302213766E-3</v>
      </c>
      <c r="G313" s="270">
        <v>22547.55</v>
      </c>
      <c r="H313" s="129">
        <f t="shared" si="15"/>
        <v>-2.5716800386632599E-4</v>
      </c>
    </row>
    <row r="314" spans="2:8" x14ac:dyDescent="0.3">
      <c r="B314" s="269">
        <v>45712</v>
      </c>
      <c r="C314" s="270">
        <v>3215.9</v>
      </c>
      <c r="D314" s="129">
        <f t="shared" si="16"/>
        <v>1.1337012752173914E-2</v>
      </c>
      <c r="E314" s="270">
        <v>57758.47</v>
      </c>
      <c r="F314" s="129">
        <f t="shared" si="16"/>
        <v>-1.0964949457017981E-2</v>
      </c>
      <c r="G314" s="270">
        <v>22553.35</v>
      </c>
      <c r="H314" s="129">
        <f t="shared" si="15"/>
        <v>-1.0640071240881177E-2</v>
      </c>
    </row>
    <row r="315" spans="2:8" x14ac:dyDescent="0.3">
      <c r="B315" s="269">
        <v>45709</v>
      </c>
      <c r="C315" s="270">
        <v>3179.85</v>
      </c>
      <c r="D315" s="129">
        <f t="shared" si="16"/>
        <v>2.3628257335543745E-2</v>
      </c>
      <c r="E315" s="270">
        <v>58398.81</v>
      </c>
      <c r="F315" s="129">
        <f t="shared" si="16"/>
        <v>-6.2923992540164786E-4</v>
      </c>
      <c r="G315" s="270">
        <v>22795.9</v>
      </c>
      <c r="H315" s="129">
        <f t="shared" si="15"/>
        <v>-5.1171488861200265E-3</v>
      </c>
    </row>
    <row r="316" spans="2:8" x14ac:dyDescent="0.3">
      <c r="B316" s="269">
        <v>45708</v>
      </c>
      <c r="C316" s="270">
        <v>3106.45</v>
      </c>
      <c r="D316" s="129">
        <f t="shared" si="16"/>
        <v>6.0887730150760433E-3</v>
      </c>
      <c r="E316" s="270">
        <v>58435.58</v>
      </c>
      <c r="F316" s="129">
        <f t="shared" si="16"/>
        <v>1.1345265364083312E-2</v>
      </c>
      <c r="G316" s="270">
        <v>22913.15</v>
      </c>
      <c r="H316" s="129">
        <f t="shared" si="15"/>
        <v>-8.6120813329326751E-4</v>
      </c>
    </row>
    <row r="317" spans="2:8" x14ac:dyDescent="0.3">
      <c r="B317" s="269">
        <v>45707</v>
      </c>
      <c r="C317" s="270">
        <v>3087.65</v>
      </c>
      <c r="D317" s="129">
        <f t="shared" si="16"/>
        <v>8.5194622616641791E-2</v>
      </c>
      <c r="E317" s="270">
        <v>57780.05</v>
      </c>
      <c r="F317" s="129">
        <f t="shared" si="16"/>
        <v>2.1876413192133848E-2</v>
      </c>
      <c r="G317" s="270">
        <v>22932.9</v>
      </c>
      <c r="H317" s="129">
        <f t="shared" si="15"/>
        <v>-5.4041568425766684E-4</v>
      </c>
    </row>
    <row r="318" spans="2:8" x14ac:dyDescent="0.3">
      <c r="B318" s="269">
        <v>45706</v>
      </c>
      <c r="C318" s="270">
        <v>2845.25</v>
      </c>
      <c r="D318" s="129">
        <f t="shared" si="16"/>
        <v>6.5062952802974472E-4</v>
      </c>
      <c r="E318" s="270">
        <v>56543.09</v>
      </c>
      <c r="F318" s="129">
        <f t="shared" si="16"/>
        <v>-9.1271332218326728E-3</v>
      </c>
      <c r="G318" s="270">
        <v>22945.3</v>
      </c>
      <c r="H318" s="129">
        <f t="shared" si="15"/>
        <v>-6.1848036760381309E-4</v>
      </c>
    </row>
    <row r="319" spans="2:8" x14ac:dyDescent="0.3">
      <c r="B319" s="269">
        <v>45705</v>
      </c>
      <c r="C319" s="270">
        <v>2843.4</v>
      </c>
      <c r="D319" s="129">
        <f t="shared" si="16"/>
        <v>4.0737893927747848E-2</v>
      </c>
      <c r="E319" s="270">
        <v>57063.92</v>
      </c>
      <c r="F319" s="129">
        <f t="shared" si="16"/>
        <v>-4.972702274316454E-3</v>
      </c>
      <c r="G319" s="270">
        <v>22959.5</v>
      </c>
      <c r="H319" s="129">
        <f t="shared" si="15"/>
        <v>1.3192755977626813E-3</v>
      </c>
    </row>
    <row r="320" spans="2:8" x14ac:dyDescent="0.3">
      <c r="B320" s="269">
        <v>45702</v>
      </c>
      <c r="C320" s="270">
        <v>2732.1</v>
      </c>
      <c r="D320" s="129">
        <f t="shared" si="16"/>
        <v>-2.8500311138767942E-2</v>
      </c>
      <c r="E320" s="270">
        <v>57349.1</v>
      </c>
      <c r="F320" s="129">
        <f t="shared" si="16"/>
        <v>-2.7648284268221412E-2</v>
      </c>
      <c r="G320" s="270">
        <v>22929.25</v>
      </c>
      <c r="H320" s="129">
        <f t="shared" si="15"/>
        <v>-4.4352492683902289E-3</v>
      </c>
    </row>
    <row r="321" spans="2:8" x14ac:dyDescent="0.3">
      <c r="B321" s="269">
        <v>45701</v>
      </c>
      <c r="C321" s="270">
        <v>2812.25</v>
      </c>
      <c r="D321" s="129">
        <f t="shared" si="16"/>
        <v>5.3296878218693333E-2</v>
      </c>
      <c r="E321" s="270">
        <v>58979.79</v>
      </c>
      <c r="F321" s="129">
        <f t="shared" si="16"/>
        <v>9.5071988774653171E-4</v>
      </c>
      <c r="G321" s="270">
        <v>23031.4</v>
      </c>
      <c r="H321" s="129">
        <f t="shared" si="15"/>
        <v>-6.0099152753811946E-4</v>
      </c>
    </row>
    <row r="322" spans="2:8" x14ac:dyDescent="0.3">
      <c r="B322" s="269">
        <v>45700</v>
      </c>
      <c r="C322" s="270">
        <v>2669.95</v>
      </c>
      <c r="D322" s="129">
        <f t="shared" si="16"/>
        <v>-6.715029761904856E-3</v>
      </c>
      <c r="E322" s="270">
        <v>58923.77</v>
      </c>
      <c r="F322" s="129">
        <f t="shared" si="16"/>
        <v>1.6405659553069274E-3</v>
      </c>
      <c r="G322" s="270">
        <v>23045.25</v>
      </c>
      <c r="H322" s="129">
        <f t="shared" si="15"/>
        <v>-1.1507554677138154E-3</v>
      </c>
    </row>
    <row r="323" spans="2:8" x14ac:dyDescent="0.3">
      <c r="B323" s="269">
        <v>45699</v>
      </c>
      <c r="C323" s="270">
        <v>2688</v>
      </c>
      <c r="D323" s="129">
        <f t="shared" si="16"/>
        <v>-4.7129513107286525E-2</v>
      </c>
      <c r="E323" s="270">
        <v>58827.26</v>
      </c>
      <c r="F323" s="129">
        <f t="shared" si="16"/>
        <v>-2.5897948494873479E-2</v>
      </c>
      <c r="G323" s="270">
        <v>23071.8</v>
      </c>
      <c r="H323" s="129">
        <f t="shared" si="15"/>
        <v>-1.3249734834228644E-2</v>
      </c>
    </row>
    <row r="324" spans="2:8" x14ac:dyDescent="0.3">
      <c r="B324" s="269">
        <v>45698</v>
      </c>
      <c r="C324" s="270">
        <v>2820.95</v>
      </c>
      <c r="D324" s="129">
        <f t="shared" si="16"/>
        <v>7.9501196984315126E-3</v>
      </c>
      <c r="E324" s="270">
        <v>60391.27</v>
      </c>
      <c r="F324" s="129">
        <f t="shared" si="16"/>
        <v>-1.1193305269431519E-2</v>
      </c>
      <c r="G324" s="270">
        <v>23381.599999999999</v>
      </c>
      <c r="H324" s="129">
        <f t="shared" si="15"/>
        <v>-7.5700500213287114E-3</v>
      </c>
    </row>
    <row r="325" spans="2:8" x14ac:dyDescent="0.3">
      <c r="B325" s="269">
        <v>45695</v>
      </c>
      <c r="C325" s="270">
        <v>2798.7</v>
      </c>
      <c r="D325" s="129">
        <f t="shared" si="16"/>
        <v>-6.0199243513932021E-3</v>
      </c>
      <c r="E325" s="270">
        <v>61074.9</v>
      </c>
      <c r="F325" s="129">
        <f t="shared" si="16"/>
        <v>-7.316532046702906E-3</v>
      </c>
      <c r="G325" s="270">
        <v>23559.95</v>
      </c>
      <c r="H325" s="129">
        <f t="shared" si="15"/>
        <v>-1.8387220458111475E-3</v>
      </c>
    </row>
    <row r="326" spans="2:8" x14ac:dyDescent="0.3">
      <c r="B326" s="269">
        <v>45694</v>
      </c>
      <c r="C326" s="270">
        <v>2815.65</v>
      </c>
      <c r="D326" s="129">
        <f t="shared" si="16"/>
        <v>-5.8259626079126825E-3</v>
      </c>
      <c r="E326" s="270">
        <v>61525.05</v>
      </c>
      <c r="F326" s="129">
        <f t="shared" si="16"/>
        <v>-8.4294308542665064E-3</v>
      </c>
      <c r="G326" s="270">
        <v>23603.35</v>
      </c>
      <c r="H326" s="129">
        <f t="shared" si="15"/>
        <v>-3.922553310010457E-3</v>
      </c>
    </row>
    <row r="327" spans="2:8" x14ac:dyDescent="0.3">
      <c r="B327" s="269">
        <v>45693</v>
      </c>
      <c r="C327" s="270">
        <v>2832.15</v>
      </c>
      <c r="D327" s="129">
        <f t="shared" si="16"/>
        <v>-1.11099354565658E-3</v>
      </c>
      <c r="E327" s="270">
        <v>62048.08</v>
      </c>
      <c r="F327" s="129">
        <f t="shared" si="16"/>
        <v>1.622986158933859E-3</v>
      </c>
      <c r="G327" s="270">
        <v>23696.3</v>
      </c>
      <c r="H327" s="129">
        <f t="shared" si="15"/>
        <v>-1.8092399717767327E-3</v>
      </c>
    </row>
    <row r="328" spans="2:8" x14ac:dyDescent="0.3">
      <c r="B328" s="269">
        <v>45692</v>
      </c>
      <c r="C328" s="270">
        <v>2835.3</v>
      </c>
      <c r="D328" s="129">
        <f t="shared" si="16"/>
        <v>-3.5021441698999234E-2</v>
      </c>
      <c r="E328" s="270">
        <v>61947.54</v>
      </c>
      <c r="F328" s="129">
        <f t="shared" si="16"/>
        <v>3.4205946210807747E-2</v>
      </c>
      <c r="G328" s="270">
        <v>23739.25</v>
      </c>
      <c r="H328" s="129">
        <f t="shared" si="15"/>
        <v>1.6189340804458663E-2</v>
      </c>
    </row>
    <row r="329" spans="2:8" x14ac:dyDescent="0.3">
      <c r="B329" s="269">
        <v>45691</v>
      </c>
      <c r="C329" s="270">
        <v>2938.2</v>
      </c>
      <c r="D329" s="129">
        <f t="shared" si="16"/>
        <v>-2.9592443358213982E-2</v>
      </c>
      <c r="E329" s="270">
        <v>59898.65</v>
      </c>
      <c r="F329" s="129">
        <f t="shared" si="16"/>
        <v>-4.2873215553485E-2</v>
      </c>
      <c r="G329" s="270">
        <v>23361.05</v>
      </c>
      <c r="H329" s="129">
        <f t="shared" si="15"/>
        <v>-5.1571086974575575E-3</v>
      </c>
    </row>
    <row r="330" spans="2:8" x14ac:dyDescent="0.3">
      <c r="B330" s="269">
        <v>45689</v>
      </c>
      <c r="C330" s="270">
        <v>3027.8</v>
      </c>
      <c r="D330" s="129">
        <f t="shared" si="16"/>
        <v>7.1939389648091767E-2</v>
      </c>
      <c r="E330" s="270">
        <v>62581.73</v>
      </c>
      <c r="F330" s="129">
        <f t="shared" si="16"/>
        <v>-3.0188237150078123E-2</v>
      </c>
      <c r="G330" s="270">
        <v>23482.15</v>
      </c>
      <c r="H330" s="129">
        <f t="shared" ref="H330:H393" si="17">G330/G331-1</f>
        <v>-1.1166221435742196E-3</v>
      </c>
    </row>
    <row r="331" spans="2:8" x14ac:dyDescent="0.3">
      <c r="B331" s="269">
        <v>45688</v>
      </c>
      <c r="C331" s="270">
        <v>2824.6</v>
      </c>
      <c r="D331" s="129">
        <f t="shared" si="16"/>
        <v>-5.6674347927729407E-2</v>
      </c>
      <c r="E331" s="270">
        <v>64529.77</v>
      </c>
      <c r="F331" s="129">
        <f t="shared" si="16"/>
        <v>3.8920954464735535E-2</v>
      </c>
      <c r="G331" s="270">
        <v>23508.400000000001</v>
      </c>
      <c r="H331" s="129">
        <f t="shared" si="17"/>
        <v>1.1135723348889348E-2</v>
      </c>
    </row>
    <row r="332" spans="2:8" x14ac:dyDescent="0.3">
      <c r="B332" s="269">
        <v>45687</v>
      </c>
      <c r="C332" s="270">
        <v>2994.3</v>
      </c>
      <c r="D332" s="129">
        <f t="shared" si="16"/>
        <v>-2.2732094192137509E-2</v>
      </c>
      <c r="E332" s="270">
        <v>62112.3</v>
      </c>
      <c r="F332" s="129">
        <f t="shared" si="16"/>
        <v>5.7149241369931492E-3</v>
      </c>
      <c r="G332" s="270">
        <v>23249.5</v>
      </c>
      <c r="H332" s="129">
        <f t="shared" si="17"/>
        <v>3.7300706727512178E-3</v>
      </c>
    </row>
    <row r="333" spans="2:8" x14ac:dyDescent="0.3">
      <c r="B333" s="269">
        <v>45686</v>
      </c>
      <c r="C333" s="270">
        <v>3063.95</v>
      </c>
      <c r="D333" s="129">
        <f t="shared" si="16"/>
        <v>3.4698770768607279E-2</v>
      </c>
      <c r="E333" s="270">
        <v>61759.35</v>
      </c>
      <c r="F333" s="129">
        <f t="shared" si="16"/>
        <v>2.6990034466720436E-2</v>
      </c>
      <c r="G333" s="270">
        <v>23163.1</v>
      </c>
      <c r="H333" s="129">
        <f t="shared" si="17"/>
        <v>8.9666663036731542E-3</v>
      </c>
    </row>
    <row r="334" spans="2:8" x14ac:dyDescent="0.3">
      <c r="B334" s="269">
        <v>45685</v>
      </c>
      <c r="C334" s="270">
        <v>2961.2</v>
      </c>
      <c r="D334" s="129">
        <f t="shared" si="16"/>
        <v>4.3282188595486826E-2</v>
      </c>
      <c r="E334" s="270">
        <v>60136.27</v>
      </c>
      <c r="F334" s="129">
        <f t="shared" si="16"/>
        <v>-1.5802794841727419E-2</v>
      </c>
      <c r="G334" s="270">
        <v>22957.25</v>
      </c>
      <c r="H334" s="129">
        <f t="shared" si="17"/>
        <v>5.6112470240896606E-3</v>
      </c>
    </row>
    <row r="335" spans="2:8" x14ac:dyDescent="0.3">
      <c r="B335" s="269">
        <v>45684</v>
      </c>
      <c r="C335" s="270">
        <v>2838.35</v>
      </c>
      <c r="D335" s="129">
        <f t="shared" si="16"/>
        <v>-3.8140906164221167E-2</v>
      </c>
      <c r="E335" s="270">
        <v>61101.85</v>
      </c>
      <c r="F335" s="129">
        <f t="shared" si="16"/>
        <v>-1.8147018310441299E-2</v>
      </c>
      <c r="G335" s="270">
        <v>22829.15</v>
      </c>
      <c r="H335" s="129">
        <f t="shared" si="17"/>
        <v>-1.139129229783209E-2</v>
      </c>
    </row>
    <row r="336" spans="2:8" x14ac:dyDescent="0.3">
      <c r="B336" s="269">
        <v>45681</v>
      </c>
      <c r="C336" s="270">
        <v>2950.9</v>
      </c>
      <c r="D336" s="129">
        <f t="shared" si="16"/>
        <v>-3.9889376931836584E-2</v>
      </c>
      <c r="E336" s="270">
        <v>62231.16</v>
      </c>
      <c r="F336" s="129">
        <f t="shared" si="16"/>
        <v>-1.8896338074799179E-2</v>
      </c>
      <c r="G336" s="270">
        <v>23092.2</v>
      </c>
      <c r="H336" s="129">
        <f t="shared" si="17"/>
        <v>-4.876030742910431E-3</v>
      </c>
    </row>
    <row r="337" spans="2:8" x14ac:dyDescent="0.3">
      <c r="B337" s="269">
        <v>45680</v>
      </c>
      <c r="C337" s="270">
        <v>3073.5</v>
      </c>
      <c r="D337" s="129">
        <f t="shared" si="16"/>
        <v>1.5328201909418304E-2</v>
      </c>
      <c r="E337" s="270">
        <v>63429.75</v>
      </c>
      <c r="F337" s="129">
        <f t="shared" si="16"/>
        <v>3.3922162210389128E-3</v>
      </c>
      <c r="G337" s="270">
        <v>23205.35</v>
      </c>
      <c r="H337" s="129">
        <f t="shared" si="17"/>
        <v>2.1593281898135697E-3</v>
      </c>
    </row>
    <row r="338" spans="2:8" x14ac:dyDescent="0.3">
      <c r="B338" s="269">
        <v>45679</v>
      </c>
      <c r="C338" s="270">
        <v>3027.1</v>
      </c>
      <c r="D338" s="129">
        <f t="shared" si="16"/>
        <v>8.7619236555402935E-4</v>
      </c>
      <c r="E338" s="270">
        <v>63215.31</v>
      </c>
      <c r="F338" s="129">
        <f t="shared" si="16"/>
        <v>-1.8157512452168234E-2</v>
      </c>
      <c r="G338" s="270">
        <v>23155.35</v>
      </c>
      <c r="H338" s="129">
        <f t="shared" si="17"/>
        <v>5.6765249417471964E-3</v>
      </c>
    </row>
    <row r="339" spans="2:8" x14ac:dyDescent="0.3">
      <c r="B339" s="269">
        <v>45678</v>
      </c>
      <c r="C339" s="270">
        <v>3024.45</v>
      </c>
      <c r="D339" s="129">
        <f t="shared" ref="D339:F402" si="18">C339/C340-1</f>
        <v>-2.8757225433526101E-2</v>
      </c>
      <c r="E339" s="270">
        <v>64384.37</v>
      </c>
      <c r="F339" s="129">
        <f t="shared" si="18"/>
        <v>-2.1627137291133636E-2</v>
      </c>
      <c r="G339" s="270">
        <v>23024.65</v>
      </c>
      <c r="H339" s="129">
        <f t="shared" si="17"/>
        <v>-1.3711862410177855E-2</v>
      </c>
    </row>
    <row r="340" spans="2:8" x14ac:dyDescent="0.3">
      <c r="B340" s="269">
        <v>45677</v>
      </c>
      <c r="C340" s="270">
        <v>3114</v>
      </c>
      <c r="D340" s="129">
        <f t="shared" si="18"/>
        <v>4.3865307702231071E-3</v>
      </c>
      <c r="E340" s="270">
        <v>65807.600000000006</v>
      </c>
      <c r="F340" s="129">
        <f t="shared" si="18"/>
        <v>9.6344517451236733E-3</v>
      </c>
      <c r="G340" s="270">
        <v>23344.75</v>
      </c>
      <c r="H340" s="129">
        <f t="shared" si="17"/>
        <v>6.1004516618397009E-3</v>
      </c>
    </row>
    <row r="341" spans="2:8" x14ac:dyDescent="0.3">
      <c r="B341" s="269">
        <v>45674</v>
      </c>
      <c r="C341" s="270">
        <v>3100.4</v>
      </c>
      <c r="D341" s="129">
        <f t="shared" si="18"/>
        <v>9.2008200029058962E-4</v>
      </c>
      <c r="E341" s="270">
        <v>65179.63</v>
      </c>
      <c r="F341" s="129">
        <f t="shared" si="18"/>
        <v>1.5915898270049578E-2</v>
      </c>
      <c r="G341" s="270">
        <v>23203.200000000001</v>
      </c>
      <c r="H341" s="129">
        <f t="shared" si="17"/>
        <v>-4.6585849226571385E-3</v>
      </c>
    </row>
    <row r="342" spans="2:8" x14ac:dyDescent="0.3">
      <c r="B342" s="269">
        <v>45673</v>
      </c>
      <c r="C342" s="270">
        <v>3097.55</v>
      </c>
      <c r="D342" s="129">
        <f t="shared" si="18"/>
        <v>1.7458284062541018E-2</v>
      </c>
      <c r="E342" s="270">
        <v>64158.49</v>
      </c>
      <c r="F342" s="129">
        <f t="shared" si="18"/>
        <v>1.5553723280739895E-2</v>
      </c>
      <c r="G342" s="270">
        <v>23311.8</v>
      </c>
      <c r="H342" s="129">
        <f t="shared" si="17"/>
        <v>4.2475832715866968E-3</v>
      </c>
    </row>
    <row r="343" spans="2:8" x14ac:dyDescent="0.3">
      <c r="B343" s="269">
        <v>45672</v>
      </c>
      <c r="C343" s="270">
        <v>3044.4</v>
      </c>
      <c r="D343" s="129">
        <f t="shared" si="18"/>
        <v>-2.3839679358717447E-2</v>
      </c>
      <c r="E343" s="270">
        <v>63175.87</v>
      </c>
      <c r="F343" s="129">
        <f t="shared" si="18"/>
        <v>3.5603463859776863E-3</v>
      </c>
      <c r="G343" s="270">
        <v>23213.200000000001</v>
      </c>
      <c r="H343" s="129">
        <f t="shared" si="17"/>
        <v>1.6029478707546563E-3</v>
      </c>
    </row>
    <row r="344" spans="2:8" x14ac:dyDescent="0.3">
      <c r="B344" s="269">
        <v>45671</v>
      </c>
      <c r="C344" s="270">
        <v>3118.75</v>
      </c>
      <c r="D344" s="129">
        <f t="shared" si="18"/>
        <v>7.8331374040522928E-2</v>
      </c>
      <c r="E344" s="270">
        <v>62951.74</v>
      </c>
      <c r="F344" s="129">
        <f t="shared" si="18"/>
        <v>1.6480085695218305E-2</v>
      </c>
      <c r="G344" s="270">
        <v>23176.05</v>
      </c>
      <c r="H344" s="129">
        <f t="shared" si="17"/>
        <v>3.9028066854513987E-3</v>
      </c>
    </row>
    <row r="345" spans="2:8" x14ac:dyDescent="0.3">
      <c r="B345" s="269">
        <v>45670</v>
      </c>
      <c r="C345" s="270">
        <v>2892.2</v>
      </c>
      <c r="D345" s="129">
        <f t="shared" si="18"/>
        <v>-6.4830083745594513E-2</v>
      </c>
      <c r="E345" s="270">
        <v>61931.11</v>
      </c>
      <c r="F345" s="129">
        <f t="shared" si="18"/>
        <v>-3.583131008918361E-2</v>
      </c>
      <c r="G345" s="270">
        <v>23085.95</v>
      </c>
      <c r="H345" s="129">
        <f t="shared" si="17"/>
        <v>-1.4747241960608504E-2</v>
      </c>
    </row>
    <row r="346" spans="2:8" x14ac:dyDescent="0.3">
      <c r="B346" s="269">
        <v>45667</v>
      </c>
      <c r="C346" s="270">
        <v>3092.7</v>
      </c>
      <c r="D346" s="129">
        <f t="shared" si="18"/>
        <v>-6.1011340002732561E-2</v>
      </c>
      <c r="E346" s="270">
        <v>64232.65</v>
      </c>
      <c r="F346" s="129">
        <f t="shared" si="18"/>
        <v>-1.7183507663984576E-2</v>
      </c>
      <c r="G346" s="270">
        <v>23431.5</v>
      </c>
      <c r="H346" s="129">
        <f t="shared" si="17"/>
        <v>-4.037999702463213E-3</v>
      </c>
    </row>
    <row r="347" spans="2:8" x14ac:dyDescent="0.3">
      <c r="B347" s="269">
        <v>45666</v>
      </c>
      <c r="C347" s="270">
        <v>3293.65</v>
      </c>
      <c r="D347" s="129">
        <f t="shared" si="18"/>
        <v>-3.8813418353202067E-2</v>
      </c>
      <c r="E347" s="270">
        <v>65355.69</v>
      </c>
      <c r="F347" s="129">
        <f t="shared" si="18"/>
        <v>-1.536143484678254E-2</v>
      </c>
      <c r="G347" s="270">
        <v>23526.5</v>
      </c>
      <c r="H347" s="129">
        <f t="shared" si="17"/>
        <v>-6.8576277124988705E-3</v>
      </c>
    </row>
    <row r="348" spans="2:8" x14ac:dyDescent="0.3">
      <c r="B348" s="269">
        <v>45665</v>
      </c>
      <c r="C348" s="270">
        <v>3426.65</v>
      </c>
      <c r="D348" s="129">
        <f t="shared" si="18"/>
        <v>-1.8953003993873119E-2</v>
      </c>
      <c r="E348" s="270">
        <v>66375.31</v>
      </c>
      <c r="F348" s="129">
        <f t="shared" si="18"/>
        <v>-1.341012769348926E-2</v>
      </c>
      <c r="G348" s="270">
        <v>23688.95</v>
      </c>
      <c r="H348" s="129">
        <f t="shared" si="17"/>
        <v>-7.9931162186441806E-4</v>
      </c>
    </row>
    <row r="349" spans="2:8" x14ac:dyDescent="0.3">
      <c r="B349" s="269">
        <v>45664</v>
      </c>
      <c r="C349" s="270">
        <v>3492.85</v>
      </c>
      <c r="D349" s="129">
        <f t="shared" si="18"/>
        <v>1.6589781276830973E-2</v>
      </c>
      <c r="E349" s="270">
        <v>67277.509999999995</v>
      </c>
      <c r="F349" s="129">
        <f t="shared" si="18"/>
        <v>1.1357903465261554E-2</v>
      </c>
      <c r="G349" s="270">
        <v>23707.9</v>
      </c>
      <c r="H349" s="129">
        <f t="shared" si="17"/>
        <v>3.8893040961549552E-3</v>
      </c>
    </row>
    <row r="350" spans="2:8" x14ac:dyDescent="0.3">
      <c r="B350" s="269">
        <v>45663</v>
      </c>
      <c r="C350" s="270">
        <v>3435.85</v>
      </c>
      <c r="D350" s="129">
        <f t="shared" si="18"/>
        <v>-2.2865268396729532E-2</v>
      </c>
      <c r="E350" s="270">
        <v>66521.960000000006</v>
      </c>
      <c r="F350" s="129">
        <f t="shared" si="18"/>
        <v>-2.476499097435747E-2</v>
      </c>
      <c r="G350" s="270">
        <v>23616.05</v>
      </c>
      <c r="H350" s="129">
        <f t="shared" si="17"/>
        <v>-1.6192628542267662E-2</v>
      </c>
    </row>
    <row r="351" spans="2:8" x14ac:dyDescent="0.3">
      <c r="B351" s="269">
        <v>45660</v>
      </c>
      <c r="C351" s="270">
        <v>3516.25</v>
      </c>
      <c r="D351" s="129">
        <f t="shared" si="18"/>
        <v>-7.4940724850400819E-3</v>
      </c>
      <c r="E351" s="270">
        <v>68211.210000000006</v>
      </c>
      <c r="F351" s="129">
        <f t="shared" si="18"/>
        <v>-1.0555865975271916E-2</v>
      </c>
      <c r="G351" s="270">
        <v>24004.75</v>
      </c>
      <c r="H351" s="129">
        <f t="shared" si="17"/>
        <v>-7.6027393012839672E-3</v>
      </c>
    </row>
    <row r="352" spans="2:8" x14ac:dyDescent="0.3">
      <c r="B352" s="269">
        <v>45659</v>
      </c>
      <c r="C352" s="270">
        <v>3542.8</v>
      </c>
      <c r="D352" s="129">
        <f t="shared" si="18"/>
        <v>1.4620176129447993E-2</v>
      </c>
      <c r="E352" s="270">
        <v>68938.92</v>
      </c>
      <c r="F352" s="129">
        <f t="shared" si="18"/>
        <v>4.8803198525568803E-3</v>
      </c>
      <c r="G352" s="270">
        <v>24188.65</v>
      </c>
      <c r="H352" s="129">
        <f t="shared" si="17"/>
        <v>1.8774033500541298E-2</v>
      </c>
    </row>
    <row r="353" spans="2:8" x14ac:dyDescent="0.3">
      <c r="B353" s="269">
        <v>45658</v>
      </c>
      <c r="C353" s="270">
        <v>3491.75</v>
      </c>
      <c r="D353" s="129">
        <f t="shared" si="18"/>
        <v>-1.9721892730053536E-3</v>
      </c>
      <c r="E353" s="270">
        <v>68604.11</v>
      </c>
      <c r="F353" s="129">
        <f t="shared" si="18"/>
        <v>1.2166067911389078E-2</v>
      </c>
      <c r="G353" s="270">
        <v>23742.9</v>
      </c>
      <c r="H353" s="129">
        <f t="shared" si="17"/>
        <v>4.1489037758830616E-3</v>
      </c>
    </row>
    <row r="354" spans="2:8" x14ac:dyDescent="0.3">
      <c r="B354" s="269">
        <v>45657</v>
      </c>
      <c r="C354" s="270">
        <v>3498.65</v>
      </c>
      <c r="D354" s="129">
        <f t="shared" si="18"/>
        <v>7.226036763541499E-3</v>
      </c>
      <c r="E354" s="270">
        <v>67779.5</v>
      </c>
      <c r="F354" s="129">
        <f t="shared" si="18"/>
        <v>1.3081825719045925E-2</v>
      </c>
      <c r="G354" s="270">
        <v>23644.799999999999</v>
      </c>
      <c r="H354" s="129">
        <f t="shared" si="17"/>
        <v>-4.2292418238609741E-6</v>
      </c>
    </row>
    <row r="355" spans="2:8" x14ac:dyDescent="0.3">
      <c r="B355" s="269">
        <v>45656</v>
      </c>
      <c r="C355" s="270">
        <v>3473.55</v>
      </c>
      <c r="D355" s="129">
        <f t="shared" si="18"/>
        <v>8.9902980305582858E-3</v>
      </c>
      <c r="E355" s="270">
        <v>66904.27</v>
      </c>
      <c r="F355" s="129">
        <f t="shared" si="18"/>
        <v>-1.8425428934648602E-2</v>
      </c>
      <c r="G355" s="270">
        <v>23644.9</v>
      </c>
      <c r="H355" s="129">
        <f t="shared" si="17"/>
        <v>-7.0758480519371725E-3</v>
      </c>
    </row>
    <row r="356" spans="2:8" x14ac:dyDescent="0.3">
      <c r="B356" s="269">
        <v>45653</v>
      </c>
      <c r="C356" s="270">
        <v>3442.6</v>
      </c>
      <c r="D356" s="129">
        <f t="shared" si="18"/>
        <v>-1.6301630163016334E-2</v>
      </c>
      <c r="E356" s="270">
        <v>68160.149999999994</v>
      </c>
      <c r="F356" s="129">
        <f t="shared" si="18"/>
        <v>-6.0748002894277509E-3</v>
      </c>
      <c r="G356" s="270">
        <v>23813.4</v>
      </c>
      <c r="H356" s="129">
        <f t="shared" si="17"/>
        <v>2.6610302229033156E-3</v>
      </c>
    </row>
    <row r="357" spans="2:8" x14ac:dyDescent="0.3">
      <c r="B357" s="269">
        <v>45652</v>
      </c>
      <c r="C357" s="270">
        <v>3499.65</v>
      </c>
      <c r="D357" s="129">
        <f t="shared" si="18"/>
        <v>3.4802406895430238E-2</v>
      </c>
      <c r="E357" s="270">
        <v>68576.740000000005</v>
      </c>
      <c r="F357" s="129">
        <f t="shared" si="18"/>
        <v>3.746112751576991E-4</v>
      </c>
      <c r="G357" s="270">
        <v>23750.2</v>
      </c>
      <c r="H357" s="129">
        <f t="shared" si="17"/>
        <v>9.5036803054671104E-4</v>
      </c>
    </row>
    <row r="358" spans="2:8" x14ac:dyDescent="0.3">
      <c r="B358" s="269">
        <v>45650</v>
      </c>
      <c r="C358" s="270">
        <v>3381.95</v>
      </c>
      <c r="D358" s="129">
        <f t="shared" si="18"/>
        <v>-1.321759428112923E-2</v>
      </c>
      <c r="E358" s="270">
        <v>68551.06</v>
      </c>
      <c r="F358" s="129">
        <f t="shared" si="18"/>
        <v>-9.5254168025671326E-4</v>
      </c>
      <c r="G358" s="270">
        <v>23727.65</v>
      </c>
      <c r="H358" s="129">
        <f t="shared" si="17"/>
        <v>-1.0861580107310864E-3</v>
      </c>
    </row>
    <row r="359" spans="2:8" x14ac:dyDescent="0.3">
      <c r="B359" s="269">
        <v>45649</v>
      </c>
      <c r="C359" s="270">
        <v>3427.25</v>
      </c>
      <c r="D359" s="129">
        <f t="shared" si="18"/>
        <v>1.695187712811963E-3</v>
      </c>
      <c r="E359" s="270">
        <v>68616.42</v>
      </c>
      <c r="F359" s="129">
        <f t="shared" si="18"/>
        <v>8.6088445594501017E-4</v>
      </c>
      <c r="G359" s="270">
        <v>23753.45</v>
      </c>
      <c r="H359" s="129">
        <f t="shared" si="17"/>
        <v>7.0355060943296799E-3</v>
      </c>
    </row>
    <row r="360" spans="2:8" x14ac:dyDescent="0.3">
      <c r="B360" s="269">
        <v>45646</v>
      </c>
      <c r="C360" s="270">
        <v>3421.45</v>
      </c>
      <c r="D360" s="129">
        <f t="shared" si="18"/>
        <v>-6.9224740951442376E-3</v>
      </c>
      <c r="E360" s="270">
        <v>68557.399999999994</v>
      </c>
      <c r="F360" s="129">
        <f t="shared" si="18"/>
        <v>-3.0243106168784561E-2</v>
      </c>
      <c r="G360" s="270">
        <v>23587.5</v>
      </c>
      <c r="H360" s="129">
        <f t="shared" si="17"/>
        <v>-1.5205601272561098E-2</v>
      </c>
    </row>
    <row r="361" spans="2:8" x14ac:dyDescent="0.3">
      <c r="B361" s="269">
        <v>45645</v>
      </c>
      <c r="C361" s="270">
        <v>3445.3</v>
      </c>
      <c r="D361" s="129">
        <f t="shared" si="18"/>
        <v>1.394979251890871E-2</v>
      </c>
      <c r="E361" s="270">
        <v>70695.45</v>
      </c>
      <c r="F361" s="129">
        <f t="shared" si="18"/>
        <v>-1.0727787380384157E-2</v>
      </c>
      <c r="G361" s="270">
        <v>23951.7</v>
      </c>
      <c r="H361" s="129">
        <f t="shared" si="17"/>
        <v>-1.0213295259898669E-2</v>
      </c>
    </row>
    <row r="362" spans="2:8" x14ac:dyDescent="0.3">
      <c r="B362" s="269">
        <v>45644</v>
      </c>
      <c r="C362" s="270">
        <v>3397.9</v>
      </c>
      <c r="D362" s="129">
        <f t="shared" si="18"/>
        <v>-6.0081325551160414E-2</v>
      </c>
      <c r="E362" s="270">
        <v>71462.080000000002</v>
      </c>
      <c r="F362" s="129">
        <f t="shared" si="18"/>
        <v>-1.563586474409473E-2</v>
      </c>
      <c r="G362" s="270">
        <v>24198.85</v>
      </c>
      <c r="H362" s="129">
        <f t="shared" si="17"/>
        <v>-5.6356837606837962E-3</v>
      </c>
    </row>
    <row r="363" spans="2:8" x14ac:dyDescent="0.3">
      <c r="B363" s="269">
        <v>45643</v>
      </c>
      <c r="C363" s="270">
        <v>3615.1</v>
      </c>
      <c r="D363" s="129">
        <f t="shared" si="18"/>
        <v>-1.7529079247744273E-2</v>
      </c>
      <c r="E363" s="270">
        <v>72597.2</v>
      </c>
      <c r="F363" s="129">
        <f t="shared" si="18"/>
        <v>-1.0196865257101728E-2</v>
      </c>
      <c r="G363" s="270">
        <v>24336</v>
      </c>
      <c r="H363" s="129">
        <f t="shared" si="17"/>
        <v>-1.3468730047733413E-2</v>
      </c>
    </row>
    <row r="364" spans="2:8" x14ac:dyDescent="0.3">
      <c r="B364" s="269">
        <v>45642</v>
      </c>
      <c r="C364" s="270">
        <v>3679.6</v>
      </c>
      <c r="D364" s="129">
        <f t="shared" si="18"/>
        <v>-1.3657503585262298E-2</v>
      </c>
      <c r="E364" s="270">
        <v>73345.09</v>
      </c>
      <c r="F364" s="129">
        <f t="shared" si="18"/>
        <v>3.821208500984552E-3</v>
      </c>
      <c r="G364" s="270">
        <v>24668.25</v>
      </c>
      <c r="H364" s="129">
        <f t="shared" si="17"/>
        <v>-4.0394375068131261E-3</v>
      </c>
    </row>
    <row r="365" spans="2:8" x14ac:dyDescent="0.3">
      <c r="B365" s="269">
        <v>45639</v>
      </c>
      <c r="C365" s="270">
        <v>3730.55</v>
      </c>
      <c r="D365" s="129">
        <f t="shared" si="18"/>
        <v>-2.9932518206721159E-3</v>
      </c>
      <c r="E365" s="270">
        <v>73065.89</v>
      </c>
      <c r="F365" s="129">
        <f t="shared" si="18"/>
        <v>1.8264788843629365E-3</v>
      </c>
      <c r="G365" s="270">
        <v>24768.3</v>
      </c>
      <c r="H365" s="129">
        <f t="shared" si="17"/>
        <v>8.9454838749098986E-3</v>
      </c>
    </row>
    <row r="366" spans="2:8" x14ac:dyDescent="0.3">
      <c r="B366" s="269">
        <v>45638</v>
      </c>
      <c r="C366" s="270">
        <v>3741.75</v>
      </c>
      <c r="D366" s="129">
        <f t="shared" si="18"/>
        <v>3.1182825332084052E-2</v>
      </c>
      <c r="E366" s="270">
        <v>72932.679999999993</v>
      </c>
      <c r="F366" s="129">
        <f t="shared" si="18"/>
        <v>-7.9806135549783663E-3</v>
      </c>
      <c r="G366" s="270">
        <v>24548.7</v>
      </c>
      <c r="H366" s="129">
        <f t="shared" si="17"/>
        <v>-3.778133090926783E-3</v>
      </c>
    </row>
    <row r="367" spans="2:8" x14ac:dyDescent="0.3">
      <c r="B367" s="269">
        <v>45637</v>
      </c>
      <c r="C367" s="270">
        <v>3628.6</v>
      </c>
      <c r="D367" s="129">
        <f t="shared" si="18"/>
        <v>1.469498468981123E-2</v>
      </c>
      <c r="E367" s="270">
        <v>73519.41</v>
      </c>
      <c r="F367" s="129">
        <f t="shared" si="18"/>
        <v>2.3608568945243658E-3</v>
      </c>
      <c r="G367" s="270">
        <v>24641.8</v>
      </c>
      <c r="H367" s="129">
        <f t="shared" si="17"/>
        <v>1.2901233439184256E-3</v>
      </c>
    </row>
    <row r="368" spans="2:8" x14ac:dyDescent="0.3">
      <c r="B368" s="269">
        <v>45636</v>
      </c>
      <c r="C368" s="270">
        <v>3576.05</v>
      </c>
      <c r="D368" s="129">
        <f t="shared" si="18"/>
        <v>-3.0065909029265758E-2</v>
      </c>
      <c r="E368" s="270">
        <v>73346.25</v>
      </c>
      <c r="F368" s="129">
        <f t="shared" si="18"/>
        <v>-3.4720618245749346E-3</v>
      </c>
      <c r="G368" s="270">
        <v>24610.05</v>
      </c>
      <c r="H368" s="129">
        <f t="shared" si="17"/>
        <v>-3.6354035501040549E-4</v>
      </c>
    </row>
    <row r="369" spans="2:8" x14ac:dyDescent="0.3">
      <c r="B369" s="269">
        <v>45635</v>
      </c>
      <c r="C369" s="270">
        <v>3686.9</v>
      </c>
      <c r="D369" s="129">
        <f t="shared" si="18"/>
        <v>2.4822103624638769E-2</v>
      </c>
      <c r="E369" s="270">
        <v>73601.8</v>
      </c>
      <c r="F369" s="129">
        <f t="shared" si="18"/>
        <v>1.0809908111935718E-2</v>
      </c>
      <c r="G369" s="270">
        <v>24619</v>
      </c>
      <c r="H369" s="129">
        <f t="shared" si="17"/>
        <v>-2.3827083451523068E-3</v>
      </c>
    </row>
    <row r="370" spans="2:8" x14ac:dyDescent="0.3">
      <c r="B370" s="269">
        <v>45632</v>
      </c>
      <c r="C370" s="270">
        <v>3597.6</v>
      </c>
      <c r="D370" s="129">
        <f t="shared" si="18"/>
        <v>-1.0261630306198311E-2</v>
      </c>
      <c r="E370" s="270">
        <v>72814.679999999993</v>
      </c>
      <c r="F370" s="129">
        <f t="shared" si="18"/>
        <v>2.7785688827828281E-3</v>
      </c>
      <c r="G370" s="270">
        <v>24677.8</v>
      </c>
      <c r="H370" s="129">
        <f t="shared" si="17"/>
        <v>-1.2384452251057443E-3</v>
      </c>
    </row>
    <row r="371" spans="2:8" x14ac:dyDescent="0.3">
      <c r="B371" s="269">
        <v>45631</v>
      </c>
      <c r="C371" s="270">
        <v>3634.9</v>
      </c>
      <c r="D371" s="129">
        <f t="shared" si="18"/>
        <v>-1.8271191476144866E-2</v>
      </c>
      <c r="E371" s="270">
        <v>72612.92</v>
      </c>
      <c r="F371" s="129">
        <f t="shared" si="18"/>
        <v>5.2812175305909648E-3</v>
      </c>
      <c r="G371" s="270">
        <v>24708.400000000001</v>
      </c>
      <c r="H371" s="129">
        <f t="shared" si="17"/>
        <v>9.8477773531773227E-3</v>
      </c>
    </row>
    <row r="372" spans="2:8" x14ac:dyDescent="0.3">
      <c r="B372" s="269">
        <v>45630</v>
      </c>
      <c r="C372" s="270">
        <v>3702.55</v>
      </c>
      <c r="D372" s="129">
        <f t="shared" si="18"/>
        <v>3.9253936621101992E-2</v>
      </c>
      <c r="E372" s="270">
        <v>72231.45</v>
      </c>
      <c r="F372" s="129">
        <f t="shared" si="18"/>
        <v>5.5232367537187965E-3</v>
      </c>
      <c r="G372" s="270">
        <v>24467.45</v>
      </c>
      <c r="H372" s="129">
        <f t="shared" si="17"/>
        <v>4.2114473681520437E-4</v>
      </c>
    </row>
    <row r="373" spans="2:8" x14ac:dyDescent="0.3">
      <c r="B373" s="269">
        <v>45629</v>
      </c>
      <c r="C373" s="270">
        <v>3562.7</v>
      </c>
      <c r="D373" s="129">
        <f t="shared" si="18"/>
        <v>-9.0398308856253218E-3</v>
      </c>
      <c r="E373" s="270">
        <v>71834.69</v>
      </c>
      <c r="F373" s="129">
        <f t="shared" si="18"/>
        <v>1.2285151818767437E-2</v>
      </c>
      <c r="G373" s="270">
        <v>24457.15</v>
      </c>
      <c r="H373" s="129">
        <f t="shared" si="17"/>
        <v>7.4600274756395635E-3</v>
      </c>
    </row>
    <row r="374" spans="2:8" x14ac:dyDescent="0.3">
      <c r="B374" s="269">
        <v>45628</v>
      </c>
      <c r="C374" s="270">
        <v>3595.2</v>
      </c>
      <c r="D374" s="129">
        <f t="shared" si="18"/>
        <v>-1.6401515669671629E-2</v>
      </c>
      <c r="E374" s="270">
        <v>70962.899999999994</v>
      </c>
      <c r="F374" s="129">
        <f t="shared" si="18"/>
        <v>3.7148378237930046E-3</v>
      </c>
      <c r="G374" s="270">
        <v>24276.05</v>
      </c>
      <c r="H374" s="129">
        <f t="shared" si="17"/>
        <v>6.0067713448621607E-3</v>
      </c>
    </row>
    <row r="375" spans="2:8" x14ac:dyDescent="0.3">
      <c r="B375" s="269">
        <v>45625</v>
      </c>
      <c r="C375" s="270">
        <v>3655.15</v>
      </c>
      <c r="D375" s="129">
        <f t="shared" si="18"/>
        <v>5.0209746006206091E-2</v>
      </c>
      <c r="E375" s="270">
        <v>70700.259999999995</v>
      </c>
      <c r="F375" s="129">
        <f t="shared" si="18"/>
        <v>7.5945557030283606E-3</v>
      </c>
      <c r="G375" s="270">
        <v>24131.1</v>
      </c>
      <c r="H375" s="129">
        <f t="shared" si="17"/>
        <v>9.0720347576642713E-3</v>
      </c>
    </row>
    <row r="376" spans="2:8" x14ac:dyDescent="0.3">
      <c r="B376" s="269">
        <v>45624</v>
      </c>
      <c r="C376" s="270">
        <v>3480.4</v>
      </c>
      <c r="D376" s="129">
        <f t="shared" si="18"/>
        <v>2.7803788806455287E-3</v>
      </c>
      <c r="E376" s="270">
        <v>70167.37</v>
      </c>
      <c r="F376" s="129">
        <f t="shared" si="18"/>
        <v>-2.3472803311587187E-3</v>
      </c>
      <c r="G376" s="270">
        <v>23914.15</v>
      </c>
      <c r="H376" s="129">
        <f t="shared" si="17"/>
        <v>-1.4861029293632533E-2</v>
      </c>
    </row>
    <row r="377" spans="2:8" x14ac:dyDescent="0.3">
      <c r="B377" s="269">
        <v>45623</v>
      </c>
      <c r="C377" s="270">
        <v>3470.75</v>
      </c>
      <c r="D377" s="129">
        <f t="shared" si="18"/>
        <v>-3.0056171925215924E-2</v>
      </c>
      <c r="E377" s="270">
        <v>70332.460000000006</v>
      </c>
      <c r="F377" s="129">
        <f t="shared" si="18"/>
        <v>1.1285075073032891E-2</v>
      </c>
      <c r="G377" s="270">
        <v>24274.9</v>
      </c>
      <c r="H377" s="129">
        <f t="shared" si="17"/>
        <v>3.3230692926078387E-3</v>
      </c>
    </row>
    <row r="378" spans="2:8" x14ac:dyDescent="0.3">
      <c r="B378" s="269">
        <v>45622</v>
      </c>
      <c r="C378" s="270">
        <v>3578.3</v>
      </c>
      <c r="D378" s="129">
        <f t="shared" si="18"/>
        <v>-2.7490521681229452E-2</v>
      </c>
      <c r="E378" s="270">
        <v>69547.61</v>
      </c>
      <c r="F378" s="129">
        <f t="shared" si="18"/>
        <v>-1.0692014957904838E-3</v>
      </c>
      <c r="G378" s="270">
        <v>24194.5</v>
      </c>
      <c r="H378" s="129">
        <f t="shared" si="17"/>
        <v>-1.1312077087264338E-3</v>
      </c>
    </row>
    <row r="379" spans="2:8" x14ac:dyDescent="0.3">
      <c r="B379" s="269">
        <v>45621</v>
      </c>
      <c r="C379" s="270">
        <v>3679.45</v>
      </c>
      <c r="D379" s="129">
        <f t="shared" si="18"/>
        <v>7.1398413045060671E-2</v>
      </c>
      <c r="E379" s="270">
        <v>69622.05</v>
      </c>
      <c r="F379" s="129">
        <f t="shared" si="18"/>
        <v>3.2703336592636356E-2</v>
      </c>
      <c r="G379" s="270">
        <v>24221.9</v>
      </c>
      <c r="H379" s="129">
        <f t="shared" si="17"/>
        <v>1.3161279528176584E-2</v>
      </c>
    </row>
    <row r="380" spans="2:8" x14ac:dyDescent="0.3">
      <c r="B380" s="269">
        <v>45618</v>
      </c>
      <c r="C380" s="270">
        <v>3434.25</v>
      </c>
      <c r="D380" s="129">
        <f t="shared" si="18"/>
        <v>-1.5508764888844229E-2</v>
      </c>
      <c r="E380" s="270">
        <v>67417.279999999999</v>
      </c>
      <c r="F380" s="129">
        <f t="shared" si="18"/>
        <v>2.3604432437635658E-2</v>
      </c>
      <c r="G380" s="270">
        <v>23907.25</v>
      </c>
      <c r="H380" s="129">
        <f t="shared" si="17"/>
        <v>2.3869481239748191E-2</v>
      </c>
    </row>
    <row r="381" spans="2:8" x14ac:dyDescent="0.3">
      <c r="B381" s="269">
        <v>45617</v>
      </c>
      <c r="C381" s="270">
        <v>3488.35</v>
      </c>
      <c r="D381" s="129">
        <f t="shared" si="18"/>
        <v>2.1822868608755597E-2</v>
      </c>
      <c r="E381" s="270">
        <v>65862.63</v>
      </c>
      <c r="F381" s="129">
        <f t="shared" si="18"/>
        <v>-7.0146951735241547E-3</v>
      </c>
      <c r="G381" s="270">
        <v>23349.9</v>
      </c>
      <c r="H381" s="129">
        <f t="shared" si="17"/>
        <v>-7.1688245423814356E-3</v>
      </c>
    </row>
    <row r="382" spans="2:8" x14ac:dyDescent="0.3">
      <c r="B382" s="269">
        <v>45615</v>
      </c>
      <c r="C382" s="270">
        <v>3413.85</v>
      </c>
      <c r="D382" s="129">
        <f t="shared" si="18"/>
        <v>4.3735477559006863E-2</v>
      </c>
      <c r="E382" s="270">
        <v>66327.899999999994</v>
      </c>
      <c r="F382" s="129">
        <f t="shared" si="18"/>
        <v>3.9408157167650781E-3</v>
      </c>
      <c r="G382" s="270">
        <v>23518.5</v>
      </c>
      <c r="H382" s="129">
        <f t="shared" si="17"/>
        <v>2.758614808687776E-3</v>
      </c>
    </row>
    <row r="383" spans="2:8" x14ac:dyDescent="0.3">
      <c r="B383" s="269">
        <v>45614</v>
      </c>
      <c r="C383" s="270">
        <v>3270.8</v>
      </c>
      <c r="D383" s="129">
        <f t="shared" si="18"/>
        <v>-7.4568166706749373E-2</v>
      </c>
      <c r="E383" s="270">
        <v>66067.539999999994</v>
      </c>
      <c r="F383" s="129">
        <f t="shared" si="18"/>
        <v>6.2566043828327089E-4</v>
      </c>
      <c r="G383" s="270">
        <v>23453.8</v>
      </c>
      <c r="H383" s="129">
        <f t="shared" si="17"/>
        <v>-3.3527814487925856E-3</v>
      </c>
    </row>
    <row r="384" spans="2:8" x14ac:dyDescent="0.3">
      <c r="B384" s="269">
        <v>45610</v>
      </c>
      <c r="C384" s="270">
        <v>3534.35</v>
      </c>
      <c r="D384" s="129">
        <f t="shared" si="18"/>
        <v>8.9554079257672115E-2</v>
      </c>
      <c r="E384" s="270">
        <v>66026.23</v>
      </c>
      <c r="F384" s="129">
        <f t="shared" si="18"/>
        <v>1.4972503136776449E-3</v>
      </c>
      <c r="G384" s="270">
        <v>23532.7</v>
      </c>
      <c r="H384" s="129">
        <f t="shared" si="17"/>
        <v>-1.1184661520731165E-3</v>
      </c>
    </row>
    <row r="385" spans="2:8" x14ac:dyDescent="0.3">
      <c r="B385" s="269">
        <v>45609</v>
      </c>
      <c r="C385" s="270">
        <v>3243.85</v>
      </c>
      <c r="D385" s="129">
        <f t="shared" si="18"/>
        <v>-7.319895430065293E-2</v>
      </c>
      <c r="E385" s="270">
        <v>65927.520000000004</v>
      </c>
      <c r="F385" s="129">
        <f t="shared" si="18"/>
        <v>-2.7151793786788336E-2</v>
      </c>
      <c r="G385" s="270">
        <v>23559.05</v>
      </c>
      <c r="H385" s="129">
        <f t="shared" si="17"/>
        <v>-1.3582627300494754E-2</v>
      </c>
    </row>
    <row r="386" spans="2:8" x14ac:dyDescent="0.3">
      <c r="B386" s="269">
        <v>45608</v>
      </c>
      <c r="C386" s="270">
        <v>3500.05</v>
      </c>
      <c r="D386" s="129">
        <f t="shared" si="18"/>
        <v>3.1079229942112985E-2</v>
      </c>
      <c r="E386" s="270">
        <v>67767.53</v>
      </c>
      <c r="F386" s="129">
        <f t="shared" si="18"/>
        <v>-2.1373592731011692E-2</v>
      </c>
      <c r="G386" s="270">
        <v>23883.45</v>
      </c>
      <c r="H386" s="129">
        <f t="shared" si="17"/>
        <v>-1.0680866399075395E-2</v>
      </c>
    </row>
    <row r="387" spans="2:8" x14ac:dyDescent="0.3">
      <c r="B387" s="269">
        <v>45607</v>
      </c>
      <c r="C387" s="270">
        <v>3394.55</v>
      </c>
      <c r="D387" s="129">
        <f t="shared" si="18"/>
        <v>-4.6996729319614183E-2</v>
      </c>
      <c r="E387" s="270">
        <v>69247.600000000006</v>
      </c>
      <c r="F387" s="129">
        <f t="shared" si="18"/>
        <v>-3.3366710118374332E-3</v>
      </c>
      <c r="G387" s="270">
        <v>24141.3</v>
      </c>
      <c r="H387" s="129">
        <f t="shared" si="17"/>
        <v>-2.8573558277644739E-4</v>
      </c>
    </row>
    <row r="388" spans="2:8" x14ac:dyDescent="0.3">
      <c r="B388" s="269">
        <v>45604</v>
      </c>
      <c r="C388" s="270">
        <v>3561.95</v>
      </c>
      <c r="D388" s="129">
        <f t="shared" si="18"/>
        <v>1.2003863965678985E-2</v>
      </c>
      <c r="E388" s="270">
        <v>69479.429999999993</v>
      </c>
      <c r="F388" s="129">
        <f t="shared" si="18"/>
        <v>-9.0450341952155178E-3</v>
      </c>
      <c r="G388" s="270">
        <v>24148.2</v>
      </c>
      <c r="H388" s="129">
        <f t="shared" si="17"/>
        <v>-2.1136931363857636E-3</v>
      </c>
    </row>
    <row r="389" spans="2:8" x14ac:dyDescent="0.3">
      <c r="B389" s="269">
        <v>45603</v>
      </c>
      <c r="C389" s="270">
        <v>3519.7</v>
      </c>
      <c r="D389" s="129">
        <f t="shared" si="18"/>
        <v>-1.094516178888072E-2</v>
      </c>
      <c r="E389" s="270">
        <v>70113.61</v>
      </c>
      <c r="F389" s="129">
        <f t="shared" si="18"/>
        <v>-5.0885306420787035E-3</v>
      </c>
      <c r="G389" s="270">
        <v>24199.35</v>
      </c>
      <c r="H389" s="129">
        <f t="shared" si="17"/>
        <v>-1.1627978214388546E-2</v>
      </c>
    </row>
    <row r="390" spans="2:8" x14ac:dyDescent="0.3">
      <c r="B390" s="269">
        <v>45602</v>
      </c>
      <c r="C390" s="270">
        <v>3558.65</v>
      </c>
      <c r="D390" s="129">
        <f t="shared" si="18"/>
        <v>8.7158415690347768E-2</v>
      </c>
      <c r="E390" s="270">
        <v>70472.210000000006</v>
      </c>
      <c r="F390" s="129">
        <f t="shared" si="18"/>
        <v>2.6763641089538881E-2</v>
      </c>
      <c r="G390" s="270">
        <v>24484.05</v>
      </c>
      <c r="H390" s="129">
        <f t="shared" si="17"/>
        <v>1.1181871120417242E-2</v>
      </c>
    </row>
    <row r="391" spans="2:8" x14ac:dyDescent="0.3">
      <c r="B391" s="269">
        <v>45601</v>
      </c>
      <c r="C391" s="270">
        <v>3273.35</v>
      </c>
      <c r="D391" s="129">
        <f t="shared" si="18"/>
        <v>-1.0938042936350922E-2</v>
      </c>
      <c r="E391" s="270">
        <v>68635.28</v>
      </c>
      <c r="F391" s="129">
        <f t="shared" si="18"/>
        <v>1.6242489125704029E-3</v>
      </c>
      <c r="G391" s="270">
        <v>24213.3</v>
      </c>
      <c r="H391" s="129">
        <f t="shared" si="17"/>
        <v>9.0830098331551312E-3</v>
      </c>
    </row>
    <row r="392" spans="2:8" x14ac:dyDescent="0.3">
      <c r="B392" s="269">
        <v>45600</v>
      </c>
      <c r="C392" s="270">
        <v>3309.55</v>
      </c>
      <c r="D392" s="129">
        <f t="shared" si="18"/>
        <v>-8.1522493270058005E-2</v>
      </c>
      <c r="E392" s="270">
        <v>68523.98</v>
      </c>
      <c r="F392" s="129">
        <f t="shared" si="18"/>
        <v>-1.51464891695402E-2</v>
      </c>
      <c r="G392" s="270">
        <v>23995.35</v>
      </c>
      <c r="H392" s="129">
        <f t="shared" si="17"/>
        <v>-1.2713773460306443E-2</v>
      </c>
    </row>
    <row r="393" spans="2:8" x14ac:dyDescent="0.3">
      <c r="B393" s="269">
        <v>45597</v>
      </c>
      <c r="C393" s="270">
        <v>3603.3</v>
      </c>
      <c r="D393" s="129">
        <f t="shared" si="18"/>
        <v>3.4955193014706065E-2</v>
      </c>
      <c r="E393" s="270">
        <v>69577.84</v>
      </c>
      <c r="F393" s="129">
        <f t="shared" si="18"/>
        <v>6.830685702213124E-3</v>
      </c>
      <c r="G393" s="270">
        <v>24304.35</v>
      </c>
      <c r="H393" s="129">
        <f t="shared" si="17"/>
        <v>4.0900048956118429E-3</v>
      </c>
    </row>
    <row r="394" spans="2:8" x14ac:dyDescent="0.3">
      <c r="B394" s="269">
        <v>45596</v>
      </c>
      <c r="C394" s="270">
        <v>3481.6</v>
      </c>
      <c r="D394" s="129">
        <f t="shared" si="18"/>
        <v>0.11926959429049067</v>
      </c>
      <c r="E394" s="270">
        <v>69105.8</v>
      </c>
      <c r="F394" s="129">
        <f t="shared" si="18"/>
        <v>2.1374193148854026E-2</v>
      </c>
      <c r="G394" s="270">
        <v>24205.35</v>
      </c>
      <c r="H394" s="129">
        <f t="shared" ref="H394:H457" si="19">G394/G395-1</f>
        <v>-5.5667735514577377E-3</v>
      </c>
    </row>
    <row r="395" spans="2:8" x14ac:dyDescent="0.3">
      <c r="B395" s="269">
        <v>45595</v>
      </c>
      <c r="C395" s="270">
        <v>3110.6</v>
      </c>
      <c r="D395" s="129">
        <f t="shared" si="18"/>
        <v>-1.2147291868459864E-2</v>
      </c>
      <c r="E395" s="270">
        <v>67659.63</v>
      </c>
      <c r="F395" s="129">
        <f t="shared" si="18"/>
        <v>5.7651200057082796E-3</v>
      </c>
      <c r="G395" s="270">
        <v>24340.85</v>
      </c>
      <c r="H395" s="129">
        <f t="shared" si="19"/>
        <v>-5.1498251716097787E-3</v>
      </c>
    </row>
    <row r="396" spans="2:8" x14ac:dyDescent="0.3">
      <c r="B396" s="269">
        <v>45594</v>
      </c>
      <c r="C396" s="270">
        <v>3148.85</v>
      </c>
      <c r="D396" s="129">
        <f t="shared" si="18"/>
        <v>0.14898469285362426</v>
      </c>
      <c r="E396" s="270">
        <v>67271.8</v>
      </c>
      <c r="F396" s="129">
        <f t="shared" si="18"/>
        <v>1.2784957647691941E-2</v>
      </c>
      <c r="G396" s="270">
        <v>24466.85</v>
      </c>
      <c r="H396" s="129">
        <f t="shared" si="19"/>
        <v>5.2466910307056303E-3</v>
      </c>
    </row>
    <row r="397" spans="2:8" x14ac:dyDescent="0.3">
      <c r="B397" s="269">
        <v>45593</v>
      </c>
      <c r="C397" s="270">
        <v>2740.55</v>
      </c>
      <c r="D397" s="129">
        <f t="shared" si="18"/>
        <v>-9.1139425092501281E-4</v>
      </c>
      <c r="E397" s="270">
        <v>66422.59</v>
      </c>
      <c r="F397" s="129">
        <f t="shared" si="18"/>
        <v>-1.025148503523976E-4</v>
      </c>
      <c r="G397" s="270">
        <v>24339.15</v>
      </c>
      <c r="H397" s="129">
        <f t="shared" si="19"/>
        <v>6.5485840005294893E-3</v>
      </c>
    </row>
    <row r="398" spans="2:8" x14ac:dyDescent="0.3">
      <c r="B398" s="269">
        <v>45590</v>
      </c>
      <c r="C398" s="270">
        <v>2743.05</v>
      </c>
      <c r="D398" s="129">
        <f t="shared" si="18"/>
        <v>-1.3106875648516425E-3</v>
      </c>
      <c r="E398" s="270">
        <v>66429.399999999994</v>
      </c>
      <c r="F398" s="129">
        <f t="shared" si="18"/>
        <v>-2.225864561214197E-2</v>
      </c>
      <c r="G398" s="270">
        <v>24180.799999999999</v>
      </c>
      <c r="H398" s="129">
        <f t="shared" si="19"/>
        <v>-8.9592367025419506E-3</v>
      </c>
    </row>
    <row r="399" spans="2:8" x14ac:dyDescent="0.3">
      <c r="B399" s="269">
        <v>45589</v>
      </c>
      <c r="C399" s="270">
        <v>2746.65</v>
      </c>
      <c r="D399" s="129">
        <f t="shared" si="18"/>
        <v>8.563203731370983E-4</v>
      </c>
      <c r="E399" s="270">
        <v>67941.69</v>
      </c>
      <c r="F399" s="129">
        <f t="shared" si="18"/>
        <v>4.8182147365816164E-4</v>
      </c>
      <c r="G399" s="270">
        <v>24399.4</v>
      </c>
      <c r="H399" s="129">
        <f t="shared" si="19"/>
        <v>-1.4773587608192251E-3</v>
      </c>
    </row>
    <row r="400" spans="2:8" x14ac:dyDescent="0.3">
      <c r="B400" s="269">
        <v>45588</v>
      </c>
      <c r="C400" s="270">
        <v>2744.3</v>
      </c>
      <c r="D400" s="129">
        <f t="shared" si="18"/>
        <v>-1.0510375164506147E-2</v>
      </c>
      <c r="E400" s="270">
        <v>67908.97</v>
      </c>
      <c r="F400" s="129">
        <f t="shared" si="18"/>
        <v>-1.1737523051561061E-2</v>
      </c>
      <c r="G400" s="270">
        <v>24435.5</v>
      </c>
      <c r="H400" s="129">
        <f t="shared" si="19"/>
        <v>-1.4955806816742134E-3</v>
      </c>
    </row>
    <row r="401" spans="2:8" x14ac:dyDescent="0.3">
      <c r="B401" s="269">
        <v>45587</v>
      </c>
      <c r="C401" s="270">
        <v>2773.45</v>
      </c>
      <c r="D401" s="129">
        <f t="shared" si="18"/>
        <v>-1.2427225951181287E-2</v>
      </c>
      <c r="E401" s="270">
        <v>68715.520000000004</v>
      </c>
      <c r="F401" s="129">
        <f t="shared" si="18"/>
        <v>-2.9531727003825559E-2</v>
      </c>
      <c r="G401" s="270">
        <v>24472.1</v>
      </c>
      <c r="H401" s="129">
        <f t="shared" si="19"/>
        <v>-1.2469180141317371E-2</v>
      </c>
    </row>
    <row r="402" spans="2:8" x14ac:dyDescent="0.3">
      <c r="B402" s="269">
        <v>45586</v>
      </c>
      <c r="C402" s="270">
        <v>2808.35</v>
      </c>
      <c r="D402" s="129">
        <f t="shared" si="18"/>
        <v>4.045718096437767E-2</v>
      </c>
      <c r="E402" s="270">
        <v>70806.559999999998</v>
      </c>
      <c r="F402" s="129">
        <f t="shared" si="18"/>
        <v>-1.4124696937567349E-2</v>
      </c>
      <c r="G402" s="270">
        <v>24781.1</v>
      </c>
      <c r="H402" s="129">
        <f t="shared" si="19"/>
        <v>-2.9351353199982277E-3</v>
      </c>
    </row>
    <row r="403" spans="2:8" x14ac:dyDescent="0.3">
      <c r="B403" s="269">
        <v>45583</v>
      </c>
      <c r="C403" s="270">
        <v>2699.15</v>
      </c>
      <c r="D403" s="129">
        <f t="shared" ref="D403:F466" si="20">C403/C404-1</f>
        <v>-7.1178958984733365E-3</v>
      </c>
      <c r="E403" s="270">
        <v>71821.009999999995</v>
      </c>
      <c r="F403" s="129">
        <f t="shared" si="20"/>
        <v>3.829109755648652E-5</v>
      </c>
      <c r="G403" s="270">
        <v>24854.05</v>
      </c>
      <c r="H403" s="129">
        <f t="shared" si="19"/>
        <v>4.2101265260194864E-3</v>
      </c>
    </row>
    <row r="404" spans="2:8" x14ac:dyDescent="0.3">
      <c r="B404" s="269">
        <v>45582</v>
      </c>
      <c r="C404" s="270">
        <v>2718.5</v>
      </c>
      <c r="D404" s="129">
        <f t="shared" si="20"/>
        <v>-5.9420422342079116E-3</v>
      </c>
      <c r="E404" s="270">
        <v>71818.259999999995</v>
      </c>
      <c r="F404" s="129">
        <f t="shared" si="20"/>
        <v>-7.3553132103448826E-3</v>
      </c>
      <c r="G404" s="270">
        <v>24749.85</v>
      </c>
      <c r="H404" s="129">
        <f t="shared" si="19"/>
        <v>-8.8681806714108191E-3</v>
      </c>
    </row>
    <row r="405" spans="2:8" x14ac:dyDescent="0.3">
      <c r="B405" s="269">
        <v>45581</v>
      </c>
      <c r="C405" s="270">
        <v>2734.75</v>
      </c>
      <c r="D405" s="129">
        <f t="shared" si="20"/>
        <v>1.8490931436445646E-2</v>
      </c>
      <c r="E405" s="270">
        <v>72350.42</v>
      </c>
      <c r="F405" s="129">
        <f t="shared" si="20"/>
        <v>-7.3663806953838673E-5</v>
      </c>
      <c r="G405" s="270">
        <v>24971.3</v>
      </c>
      <c r="H405" s="129">
        <f t="shared" si="19"/>
        <v>-3.4341221238478603E-3</v>
      </c>
    </row>
    <row r="406" spans="2:8" x14ac:dyDescent="0.3">
      <c r="B406" s="269">
        <v>45580</v>
      </c>
      <c r="C406" s="270">
        <v>2685.1</v>
      </c>
      <c r="D406" s="129">
        <f t="shared" si="20"/>
        <v>-1.7849957935549998E-2</v>
      </c>
      <c r="E406" s="270">
        <v>72355.75</v>
      </c>
      <c r="F406" s="129">
        <f t="shared" si="20"/>
        <v>4.087915863703051E-3</v>
      </c>
      <c r="G406" s="270">
        <v>25057.35</v>
      </c>
      <c r="H406" s="129">
        <f t="shared" si="19"/>
        <v>-2.809620362982379E-3</v>
      </c>
    </row>
    <row r="407" spans="2:8" x14ac:dyDescent="0.3">
      <c r="B407" s="269">
        <v>45579</v>
      </c>
      <c r="C407" s="270">
        <v>2733.9</v>
      </c>
      <c r="D407" s="129">
        <f t="shared" si="20"/>
        <v>-4.5701332650860405E-4</v>
      </c>
      <c r="E407" s="270">
        <v>72061.17</v>
      </c>
      <c r="F407" s="129">
        <f t="shared" si="20"/>
        <v>6.7239574478132891E-3</v>
      </c>
      <c r="G407" s="270">
        <v>25127.95</v>
      </c>
      <c r="H407" s="129">
        <f t="shared" si="19"/>
        <v>6.5573770491802463E-3</v>
      </c>
    </row>
    <row r="408" spans="2:8" x14ac:dyDescent="0.3">
      <c r="B408" s="269">
        <v>45576</v>
      </c>
      <c r="C408" s="270">
        <v>2735.15</v>
      </c>
      <c r="D408" s="129">
        <f t="shared" si="20"/>
        <v>-1.0773894306269627E-3</v>
      </c>
      <c r="E408" s="270">
        <v>71579.87</v>
      </c>
      <c r="F408" s="129">
        <f t="shared" si="20"/>
        <v>1.0164012877584838E-3</v>
      </c>
      <c r="G408" s="270">
        <v>24964.25</v>
      </c>
      <c r="H408" s="129">
        <f t="shared" si="19"/>
        <v>-1.3680848212589414E-3</v>
      </c>
    </row>
    <row r="409" spans="2:8" x14ac:dyDescent="0.3">
      <c r="B409" s="269">
        <v>45575</v>
      </c>
      <c r="C409" s="270">
        <v>2738.1</v>
      </c>
      <c r="D409" s="129">
        <f t="shared" si="20"/>
        <v>-5.123174187922408E-3</v>
      </c>
      <c r="E409" s="270">
        <v>71507.19</v>
      </c>
      <c r="F409" s="129">
        <f t="shared" si="20"/>
        <v>3.7724009997410768E-3</v>
      </c>
      <c r="G409" s="270">
        <v>24998.45</v>
      </c>
      <c r="H409" s="129">
        <f t="shared" si="19"/>
        <v>6.6047686429593355E-4</v>
      </c>
    </row>
    <row r="410" spans="2:8" x14ac:dyDescent="0.3">
      <c r="B410" s="269">
        <v>45574</v>
      </c>
      <c r="C410" s="270">
        <v>2752.2</v>
      </c>
      <c r="D410" s="129">
        <f t="shared" si="20"/>
        <v>-1.9906698479398965E-2</v>
      </c>
      <c r="E410" s="270">
        <v>71238.45</v>
      </c>
      <c r="F410" s="129">
        <f t="shared" si="20"/>
        <v>7.1723713204678852E-3</v>
      </c>
      <c r="G410" s="270">
        <v>24981.95</v>
      </c>
      <c r="H410" s="129">
        <f t="shared" si="19"/>
        <v>-1.2473438971101203E-3</v>
      </c>
    </row>
    <row r="411" spans="2:8" x14ac:dyDescent="0.3">
      <c r="B411" s="269">
        <v>45573</v>
      </c>
      <c r="C411" s="270">
        <v>2808.1</v>
      </c>
      <c r="D411" s="129">
        <f t="shared" si="20"/>
        <v>2.3397354130981318E-2</v>
      </c>
      <c r="E411" s="270">
        <v>70731.14</v>
      </c>
      <c r="F411" s="129">
        <f t="shared" si="20"/>
        <v>2.8184865037103046E-2</v>
      </c>
      <c r="G411" s="270">
        <v>25013.15</v>
      </c>
      <c r="H411" s="129">
        <f t="shared" si="19"/>
        <v>8.7676315497615676E-3</v>
      </c>
    </row>
    <row r="412" spans="2:8" x14ac:dyDescent="0.3">
      <c r="B412" s="269">
        <v>45572</v>
      </c>
      <c r="C412" s="270">
        <v>2743.9</v>
      </c>
      <c r="D412" s="129">
        <f t="shared" si="20"/>
        <v>3.4165645905964492E-2</v>
      </c>
      <c r="E412" s="270">
        <v>68792.240000000005</v>
      </c>
      <c r="F412" s="129">
        <f t="shared" si="20"/>
        <v>-2.1462822061105724E-2</v>
      </c>
      <c r="G412" s="270">
        <v>24795.75</v>
      </c>
      <c r="H412" s="129">
        <f t="shared" si="19"/>
        <v>-8.7488906478615514E-3</v>
      </c>
    </row>
    <row r="413" spans="2:8" x14ac:dyDescent="0.3">
      <c r="B413" s="269">
        <v>45569</v>
      </c>
      <c r="C413" s="270">
        <v>2653.25</v>
      </c>
      <c r="D413" s="129">
        <f t="shared" si="20"/>
        <v>1.7604080771664643E-2</v>
      </c>
      <c r="E413" s="270">
        <v>70301.100000000006</v>
      </c>
      <c r="F413" s="129">
        <f t="shared" si="20"/>
        <v>-6.3683302457735458E-3</v>
      </c>
      <c r="G413" s="270">
        <v>25014.6</v>
      </c>
      <c r="H413" s="129">
        <f t="shared" si="19"/>
        <v>-9.3266957358584257E-3</v>
      </c>
    </row>
    <row r="414" spans="2:8" x14ac:dyDescent="0.3">
      <c r="B414" s="269">
        <v>45568</v>
      </c>
      <c r="C414" s="270">
        <v>2607.35</v>
      </c>
      <c r="D414" s="129">
        <f t="shared" si="20"/>
        <v>0.11939465493184498</v>
      </c>
      <c r="E414" s="270">
        <v>70751.67</v>
      </c>
      <c r="F414" s="129">
        <f t="shared" si="20"/>
        <v>-3.1833917799918843E-2</v>
      </c>
      <c r="G414" s="270">
        <v>25250.1</v>
      </c>
      <c r="H414" s="129">
        <f t="shared" si="19"/>
        <v>-2.1196345297303298E-2</v>
      </c>
    </row>
    <row r="415" spans="2:8" x14ac:dyDescent="0.3">
      <c r="B415" s="269">
        <v>45566</v>
      </c>
      <c r="C415" s="270">
        <v>2329.25</v>
      </c>
      <c r="D415" s="129">
        <f t="shared" si="20"/>
        <v>2.5825890455182243E-3</v>
      </c>
      <c r="E415" s="270">
        <v>73078.03</v>
      </c>
      <c r="F415" s="129">
        <f t="shared" si="20"/>
        <v>-3.9626848318219388E-4</v>
      </c>
      <c r="G415" s="270">
        <v>25796.9</v>
      </c>
      <c r="H415" s="129">
        <f t="shared" si="19"/>
        <v>-5.4047038357885047E-4</v>
      </c>
    </row>
    <row r="416" spans="2:8" x14ac:dyDescent="0.3">
      <c r="B416" s="269">
        <v>45565</v>
      </c>
      <c r="C416" s="270">
        <v>2323.25</v>
      </c>
      <c r="D416" s="129">
        <f t="shared" si="20"/>
        <v>4.6296921795131674E-2</v>
      </c>
      <c r="E416" s="270">
        <v>73107</v>
      </c>
      <c r="F416" s="129">
        <f t="shared" si="20"/>
        <v>-8.1014478025717152E-3</v>
      </c>
      <c r="G416" s="270">
        <v>25810.85</v>
      </c>
      <c r="H416" s="129">
        <f t="shared" si="19"/>
        <v>-1.4060915353747983E-2</v>
      </c>
    </row>
    <row r="417" spans="2:8" x14ac:dyDescent="0.3">
      <c r="B417" s="269">
        <v>45562</v>
      </c>
      <c r="C417" s="270">
        <v>2220.4499999999998</v>
      </c>
      <c r="D417" s="129">
        <f t="shared" si="20"/>
        <v>-8.1963551902807241E-3</v>
      </c>
      <c r="E417" s="270">
        <v>73704.11</v>
      </c>
      <c r="F417" s="129">
        <f t="shared" si="20"/>
        <v>1.6203056932346804E-3</v>
      </c>
      <c r="G417" s="270">
        <v>26178.95</v>
      </c>
      <c r="H417" s="129">
        <f t="shared" si="19"/>
        <v>-1.4151636116043198E-3</v>
      </c>
    </row>
    <row r="418" spans="2:8" x14ac:dyDescent="0.3">
      <c r="B418" s="269">
        <v>45561</v>
      </c>
      <c r="C418" s="270">
        <v>2238.8000000000002</v>
      </c>
      <c r="D418" s="129">
        <f t="shared" si="20"/>
        <v>2.6878268048803111E-2</v>
      </c>
      <c r="E418" s="270">
        <v>73584.88</v>
      </c>
      <c r="F418" s="129">
        <f t="shared" si="20"/>
        <v>-6.4985107916970541E-3</v>
      </c>
      <c r="G418" s="270">
        <v>26216.05</v>
      </c>
      <c r="H418" s="129">
        <f t="shared" si="19"/>
        <v>8.1486993422204002E-3</v>
      </c>
    </row>
    <row r="419" spans="2:8" x14ac:dyDescent="0.3">
      <c r="B419" s="269">
        <v>45560</v>
      </c>
      <c r="C419" s="270">
        <v>2180.1999999999998</v>
      </c>
      <c r="D419" s="129">
        <f t="shared" si="20"/>
        <v>-1.115747460087102E-2</v>
      </c>
      <c r="E419" s="270">
        <v>74066.2</v>
      </c>
      <c r="F419" s="129">
        <f t="shared" si="20"/>
        <v>-2.6861663845041406E-3</v>
      </c>
      <c r="G419" s="270">
        <v>26004.15</v>
      </c>
      <c r="H419" s="129">
        <f t="shared" si="19"/>
        <v>2.4575565527131804E-3</v>
      </c>
    </row>
    <row r="420" spans="2:8" x14ac:dyDescent="0.3">
      <c r="B420" s="269">
        <v>45559</v>
      </c>
      <c r="C420" s="270">
        <v>2204.8000000000002</v>
      </c>
      <c r="D420" s="129">
        <f t="shared" si="20"/>
        <v>-2.2044799290308226E-2</v>
      </c>
      <c r="E420" s="270">
        <v>74265.69</v>
      </c>
      <c r="F420" s="129">
        <f t="shared" si="20"/>
        <v>4.8418408655970246E-3</v>
      </c>
      <c r="G420" s="270">
        <v>25940.400000000001</v>
      </c>
      <c r="H420" s="129">
        <f t="shared" si="19"/>
        <v>5.2045082607143911E-5</v>
      </c>
    </row>
    <row r="421" spans="2:8" x14ac:dyDescent="0.3">
      <c r="B421" s="269">
        <v>45558</v>
      </c>
      <c r="C421" s="270">
        <v>2254.5</v>
      </c>
      <c r="D421" s="129">
        <f t="shared" si="20"/>
        <v>1.2462108454024845E-2</v>
      </c>
      <c r="E421" s="270">
        <v>73907.839999999997</v>
      </c>
      <c r="F421" s="129">
        <f t="shared" si="20"/>
        <v>7.2771117900385374E-3</v>
      </c>
      <c r="G421" s="270">
        <v>25939.05</v>
      </c>
      <c r="H421" s="129">
        <f t="shared" si="19"/>
        <v>5.7423243424534753E-3</v>
      </c>
    </row>
    <row r="422" spans="2:8" x14ac:dyDescent="0.3">
      <c r="B422" s="269">
        <v>45555</v>
      </c>
      <c r="C422" s="270">
        <v>2226.75</v>
      </c>
      <c r="D422" s="129">
        <f t="shared" si="20"/>
        <v>3.4278548038737533E-2</v>
      </c>
      <c r="E422" s="270">
        <v>73373.89</v>
      </c>
      <c r="F422" s="129">
        <f t="shared" si="20"/>
        <v>2.3160521289172564E-2</v>
      </c>
      <c r="G422" s="270">
        <v>25790.95</v>
      </c>
      <c r="H422" s="129">
        <f t="shared" si="19"/>
        <v>1.4760503308965278E-2</v>
      </c>
    </row>
    <row r="423" spans="2:8" x14ac:dyDescent="0.3">
      <c r="B423" s="269">
        <v>45554</v>
      </c>
      <c r="C423" s="270">
        <v>2152.9499999999998</v>
      </c>
      <c r="D423" s="129">
        <f t="shared" si="20"/>
        <v>-2.7332896609365442E-2</v>
      </c>
      <c r="E423" s="270">
        <v>71712.98</v>
      </c>
      <c r="F423" s="129">
        <f t="shared" si="20"/>
        <v>-1.4645055437137455E-2</v>
      </c>
      <c r="G423" s="270">
        <v>25415.8</v>
      </c>
      <c r="H423" s="129">
        <f t="shared" si="19"/>
        <v>1.5072376963103373E-3</v>
      </c>
    </row>
    <row r="424" spans="2:8" x14ac:dyDescent="0.3">
      <c r="B424" s="269">
        <v>45553</v>
      </c>
      <c r="C424" s="270">
        <v>2213.4499999999998</v>
      </c>
      <c r="D424" s="129">
        <f t="shared" si="20"/>
        <v>-1.8817323462919533E-2</v>
      </c>
      <c r="E424" s="270">
        <v>72778.83</v>
      </c>
      <c r="F424" s="129">
        <f t="shared" si="20"/>
        <v>-1.9512865408539692E-3</v>
      </c>
      <c r="G424" s="270">
        <v>25377.55</v>
      </c>
      <c r="H424" s="129">
        <f t="shared" si="19"/>
        <v>-1.6129952337957665E-3</v>
      </c>
    </row>
    <row r="425" spans="2:8" x14ac:dyDescent="0.3">
      <c r="B425" s="269">
        <v>45552</v>
      </c>
      <c r="C425" s="270">
        <v>2255.9</v>
      </c>
      <c r="D425" s="129">
        <f t="shared" si="20"/>
        <v>1.19546932824941E-2</v>
      </c>
      <c r="E425" s="270">
        <v>72921.119999999995</v>
      </c>
      <c r="F425" s="129">
        <f t="shared" si="20"/>
        <v>-1.8704376002718348E-3</v>
      </c>
      <c r="G425" s="270">
        <v>25418.55</v>
      </c>
      <c r="H425" s="129">
        <f t="shared" si="19"/>
        <v>1.3709558280394774E-3</v>
      </c>
    </row>
    <row r="426" spans="2:8" x14ac:dyDescent="0.3">
      <c r="B426" s="269">
        <v>45551</v>
      </c>
      <c r="C426" s="270">
        <v>2229.25</v>
      </c>
      <c r="D426" s="129">
        <f t="shared" si="20"/>
        <v>-1.4565467244275432E-2</v>
      </c>
      <c r="E426" s="270">
        <v>73057.77</v>
      </c>
      <c r="F426" s="129">
        <f t="shared" si="20"/>
        <v>5.557298213822115E-3</v>
      </c>
      <c r="G426" s="270">
        <v>25383.75</v>
      </c>
      <c r="H426" s="129">
        <f t="shared" si="19"/>
        <v>1.0746751326089488E-3</v>
      </c>
    </row>
    <row r="427" spans="2:8" x14ac:dyDescent="0.3">
      <c r="B427" s="269">
        <v>45548</v>
      </c>
      <c r="C427" s="270">
        <v>2262.1999999999998</v>
      </c>
      <c r="D427" s="129">
        <f t="shared" si="20"/>
        <v>1.6879059627356918E-2</v>
      </c>
      <c r="E427" s="270">
        <v>72654.009999999995</v>
      </c>
      <c r="F427" s="129">
        <f t="shared" si="20"/>
        <v>6.5076585155421363E-4</v>
      </c>
      <c r="G427" s="270">
        <v>25356.5</v>
      </c>
      <c r="H427" s="129">
        <f t="shared" si="19"/>
        <v>-1.276148238009589E-3</v>
      </c>
    </row>
    <row r="428" spans="2:8" x14ac:dyDescent="0.3">
      <c r="B428" s="269">
        <v>45547</v>
      </c>
      <c r="C428" s="270">
        <v>2224.65</v>
      </c>
      <c r="D428" s="129">
        <f t="shared" si="20"/>
        <v>-2.3955248436985821E-2</v>
      </c>
      <c r="E428" s="270">
        <v>72606.759999999995</v>
      </c>
      <c r="F428" s="129">
        <f t="shared" si="20"/>
        <v>1.64107048039972E-2</v>
      </c>
      <c r="G428" s="270">
        <v>25388.9</v>
      </c>
      <c r="H428" s="129">
        <f t="shared" si="19"/>
        <v>1.8879585206944993E-2</v>
      </c>
    </row>
    <row r="429" spans="2:8" x14ac:dyDescent="0.3">
      <c r="B429" s="269">
        <v>45546</v>
      </c>
      <c r="C429" s="270">
        <v>2279.25</v>
      </c>
      <c r="D429" s="129">
        <f t="shared" si="20"/>
        <v>-1.9485921968733777E-3</v>
      </c>
      <c r="E429" s="270">
        <v>71434.47</v>
      </c>
      <c r="F429" s="129">
        <f t="shared" si="20"/>
        <v>-1.7269894861584589E-3</v>
      </c>
      <c r="G429" s="270">
        <v>24918.45</v>
      </c>
      <c r="H429" s="129">
        <f t="shared" si="19"/>
        <v>-4.8979477738596566E-3</v>
      </c>
    </row>
    <row r="430" spans="2:8" x14ac:dyDescent="0.3">
      <c r="B430" s="269">
        <v>45545</v>
      </c>
      <c r="C430" s="270">
        <v>2283.6999999999998</v>
      </c>
      <c r="D430" s="129">
        <f t="shared" si="20"/>
        <v>1.8985788546058924E-2</v>
      </c>
      <c r="E430" s="270">
        <v>71558.05</v>
      </c>
      <c r="F430" s="129">
        <f t="shared" si="20"/>
        <v>1.0743467560409004E-2</v>
      </c>
      <c r="G430" s="270">
        <v>25041.1</v>
      </c>
      <c r="H430" s="129">
        <f t="shared" si="19"/>
        <v>4.1986814455974297E-3</v>
      </c>
    </row>
    <row r="431" spans="2:8" x14ac:dyDescent="0.3">
      <c r="B431" s="269">
        <v>45544</v>
      </c>
      <c r="C431" s="270">
        <v>2241.15</v>
      </c>
      <c r="D431" s="129">
        <f t="shared" si="20"/>
        <v>-1.4445910290237451E-2</v>
      </c>
      <c r="E431" s="270">
        <v>70797.440000000002</v>
      </c>
      <c r="F431" s="129">
        <f t="shared" si="20"/>
        <v>-4.8628544601465595E-3</v>
      </c>
      <c r="G431" s="270">
        <v>24936.400000000001</v>
      </c>
      <c r="H431" s="129">
        <f t="shared" si="19"/>
        <v>3.3900487482974029E-3</v>
      </c>
    </row>
    <row r="432" spans="2:8" x14ac:dyDescent="0.3">
      <c r="B432" s="269">
        <v>45541</v>
      </c>
      <c r="C432" s="270">
        <v>2274</v>
      </c>
      <c r="D432" s="129">
        <f t="shared" si="20"/>
        <v>-2.2440030951766721E-2</v>
      </c>
      <c r="E432" s="270">
        <v>71143.399999999994</v>
      </c>
      <c r="F432" s="129">
        <f t="shared" si="20"/>
        <v>-1.7023852405323336E-2</v>
      </c>
      <c r="G432" s="270">
        <v>24852.15</v>
      </c>
      <c r="H432" s="129">
        <f t="shared" si="19"/>
        <v>-1.16503811875871E-2</v>
      </c>
    </row>
    <row r="433" spans="2:8" x14ac:dyDescent="0.3">
      <c r="B433" s="269">
        <v>45540</v>
      </c>
      <c r="C433" s="270">
        <v>2326.1999999999998</v>
      </c>
      <c r="D433" s="129">
        <f t="shared" si="20"/>
        <v>1.6096271867560574E-2</v>
      </c>
      <c r="E433" s="270">
        <v>72375.509999999995</v>
      </c>
      <c r="F433" s="129">
        <f t="shared" si="20"/>
        <v>-6.1068211695628483E-3</v>
      </c>
      <c r="G433" s="270">
        <v>25145.1</v>
      </c>
      <c r="H433" s="129">
        <f t="shared" si="19"/>
        <v>-2.127093858016571E-3</v>
      </c>
    </row>
    <row r="434" spans="2:8" x14ac:dyDescent="0.3">
      <c r="B434" s="269">
        <v>45539</v>
      </c>
      <c r="C434" s="270">
        <v>2289.35</v>
      </c>
      <c r="D434" s="129">
        <f t="shared" si="20"/>
        <v>2.2510551821166125E-2</v>
      </c>
      <c r="E434" s="270">
        <v>72820.210000000006</v>
      </c>
      <c r="F434" s="129">
        <f t="shared" si="20"/>
        <v>-2.8310096478080249E-3</v>
      </c>
      <c r="G434" s="270">
        <v>25198.7</v>
      </c>
      <c r="H434" s="129">
        <f t="shared" si="19"/>
        <v>-3.2100665154262131E-3</v>
      </c>
    </row>
    <row r="435" spans="2:8" x14ac:dyDescent="0.3">
      <c r="B435" s="269">
        <v>45538</v>
      </c>
      <c r="C435" s="270">
        <v>2238.9499999999998</v>
      </c>
      <c r="D435" s="129">
        <f t="shared" si="20"/>
        <v>6.5410897320623551E-3</v>
      </c>
      <c r="E435" s="270">
        <v>73026.95</v>
      </c>
      <c r="F435" s="129">
        <f t="shared" si="20"/>
        <v>6.2399680106219879E-3</v>
      </c>
      <c r="G435" s="270">
        <v>25279.85</v>
      </c>
      <c r="H435" s="129">
        <f t="shared" si="19"/>
        <v>4.5492845755390476E-5</v>
      </c>
    </row>
    <row r="436" spans="2:8" x14ac:dyDescent="0.3">
      <c r="B436" s="269">
        <v>45537</v>
      </c>
      <c r="C436" s="270">
        <v>2224.4</v>
      </c>
      <c r="D436" s="129">
        <f t="shared" si="20"/>
        <v>6.7663898255223565E-3</v>
      </c>
      <c r="E436" s="270">
        <v>72574.09</v>
      </c>
      <c r="F436" s="129">
        <f t="shared" si="20"/>
        <v>-8.135644737681913E-3</v>
      </c>
      <c r="G436" s="270">
        <v>25278.7</v>
      </c>
      <c r="H436" s="129">
        <f t="shared" si="19"/>
        <v>1.6959965763059248E-3</v>
      </c>
    </row>
    <row r="437" spans="2:8" x14ac:dyDescent="0.3">
      <c r="B437" s="269">
        <v>45534</v>
      </c>
      <c r="C437" s="270">
        <v>2209.4499999999998</v>
      </c>
      <c r="D437" s="129">
        <f t="shared" si="20"/>
        <v>-1.4462296341491987E-3</v>
      </c>
      <c r="E437" s="270">
        <v>73169.37</v>
      </c>
      <c r="F437" s="129">
        <f t="shared" si="20"/>
        <v>5.2304857968927809E-3</v>
      </c>
      <c r="G437" s="270">
        <v>25235.9</v>
      </c>
      <c r="H437" s="129">
        <f t="shared" si="19"/>
        <v>3.3377133780880808E-3</v>
      </c>
    </row>
    <row r="438" spans="2:8" x14ac:dyDescent="0.3">
      <c r="B438" s="269">
        <v>45533</v>
      </c>
      <c r="C438" s="270">
        <v>2212.65</v>
      </c>
      <c r="D438" s="129">
        <f t="shared" si="20"/>
        <v>3.8791343405473189E-3</v>
      </c>
      <c r="E438" s="270">
        <v>72788.649999999994</v>
      </c>
      <c r="F438" s="129">
        <f t="shared" si="20"/>
        <v>-8.8776471552600711E-3</v>
      </c>
      <c r="G438" s="270">
        <v>25151.95</v>
      </c>
      <c r="H438" s="129">
        <f t="shared" si="19"/>
        <v>3.975674936682605E-3</v>
      </c>
    </row>
    <row r="439" spans="2:8" x14ac:dyDescent="0.3">
      <c r="B439" s="269">
        <v>45532</v>
      </c>
      <c r="C439" s="270">
        <v>2204.1</v>
      </c>
      <c r="D439" s="129">
        <f t="shared" si="20"/>
        <v>-8.078126054769319E-3</v>
      </c>
      <c r="E439" s="270">
        <v>73440.63</v>
      </c>
      <c r="F439" s="129">
        <f t="shared" si="20"/>
        <v>-3.0920983509622468E-3</v>
      </c>
      <c r="G439" s="270">
        <v>25052.35</v>
      </c>
      <c r="H439" s="129">
        <f t="shared" si="19"/>
        <v>1.3830180571794415E-3</v>
      </c>
    </row>
    <row r="440" spans="2:8" x14ac:dyDescent="0.3">
      <c r="B440" s="269">
        <v>45531</v>
      </c>
      <c r="C440" s="270">
        <v>2222.0500000000002</v>
      </c>
      <c r="D440" s="129">
        <f t="shared" si="20"/>
        <v>0.10401450787499389</v>
      </c>
      <c r="E440" s="270">
        <v>73668.42</v>
      </c>
      <c r="F440" s="129">
        <f t="shared" si="20"/>
        <v>2.6416028563989169E-3</v>
      </c>
      <c r="G440" s="270">
        <v>25017.75</v>
      </c>
      <c r="H440" s="129">
        <f t="shared" si="19"/>
        <v>2.8587878739427808E-4</v>
      </c>
    </row>
    <row r="441" spans="2:8" x14ac:dyDescent="0.3">
      <c r="B441" s="269">
        <v>45530</v>
      </c>
      <c r="C441" s="270">
        <v>2012.7</v>
      </c>
      <c r="D441" s="129">
        <f t="shared" si="20"/>
        <v>1.8417122946738917E-3</v>
      </c>
      <c r="E441" s="270">
        <v>73474.33</v>
      </c>
      <c r="F441" s="129">
        <f t="shared" si="20"/>
        <v>1.6035345101401699E-3</v>
      </c>
      <c r="G441" s="270">
        <v>25010.6</v>
      </c>
      <c r="H441" s="129">
        <f t="shared" si="19"/>
        <v>7.5514187361394036E-3</v>
      </c>
    </row>
    <row r="442" spans="2:8" x14ac:dyDescent="0.3">
      <c r="B442" s="269">
        <v>45527</v>
      </c>
      <c r="C442" s="270">
        <v>2009</v>
      </c>
      <c r="D442" s="129">
        <f t="shared" si="20"/>
        <v>1.2422203744299143E-2</v>
      </c>
      <c r="E442" s="270">
        <v>73356.7</v>
      </c>
      <c r="F442" s="129">
        <f t="shared" si="20"/>
        <v>2.3417264555241069E-3</v>
      </c>
      <c r="G442" s="270">
        <v>24823.15</v>
      </c>
      <c r="H442" s="129">
        <f t="shared" si="19"/>
        <v>4.6954033411927831E-4</v>
      </c>
    </row>
    <row r="443" spans="2:8" x14ac:dyDescent="0.3">
      <c r="B443" s="269">
        <v>45526</v>
      </c>
      <c r="C443" s="270">
        <v>1984.35</v>
      </c>
      <c r="D443" s="129">
        <f t="shared" si="20"/>
        <v>4.4036140004555246E-3</v>
      </c>
      <c r="E443" s="270">
        <v>73185.320000000007</v>
      </c>
      <c r="F443" s="129">
        <f t="shared" si="20"/>
        <v>8.7799530422971728E-4</v>
      </c>
      <c r="G443" s="270">
        <v>24811.5</v>
      </c>
      <c r="H443" s="129">
        <f t="shared" si="19"/>
        <v>1.6673260611541618E-3</v>
      </c>
    </row>
    <row r="444" spans="2:8" x14ac:dyDescent="0.3">
      <c r="B444" s="269">
        <v>45525</v>
      </c>
      <c r="C444" s="270">
        <v>1975.65</v>
      </c>
      <c r="D444" s="129">
        <f t="shared" si="20"/>
        <v>1.5471203515715404E-2</v>
      </c>
      <c r="E444" s="270">
        <v>73121.119999999995</v>
      </c>
      <c r="F444" s="129">
        <f t="shared" si="20"/>
        <v>4.3551148596814304E-3</v>
      </c>
      <c r="G444" s="270">
        <v>24770.2</v>
      </c>
      <c r="H444" s="129">
        <f t="shared" si="19"/>
        <v>2.888798466325504E-3</v>
      </c>
    </row>
    <row r="445" spans="2:8" x14ac:dyDescent="0.3">
      <c r="B445" s="269">
        <v>45524</v>
      </c>
      <c r="C445" s="270">
        <v>1945.55</v>
      </c>
      <c r="D445" s="129">
        <f t="shared" si="20"/>
        <v>4.9068980656490346E-3</v>
      </c>
      <c r="E445" s="270">
        <v>72804.05</v>
      </c>
      <c r="F445" s="129">
        <f t="shared" si="20"/>
        <v>-1.2607598921232643E-4</v>
      </c>
      <c r="G445" s="270">
        <v>24698.85</v>
      </c>
      <c r="H445" s="129">
        <f t="shared" si="19"/>
        <v>5.1357912150296059E-3</v>
      </c>
    </row>
    <row r="446" spans="2:8" x14ac:dyDescent="0.3">
      <c r="B446" s="269">
        <v>45523</v>
      </c>
      <c r="C446" s="270">
        <v>1936.05</v>
      </c>
      <c r="D446" s="129">
        <f t="shared" si="20"/>
        <v>2.104263903172221E-2</v>
      </c>
      <c r="E446" s="270">
        <v>72813.23</v>
      </c>
      <c r="F446" s="129">
        <f t="shared" si="20"/>
        <v>-4.7139527097483924E-4</v>
      </c>
      <c r="G446" s="270">
        <v>24572.65</v>
      </c>
      <c r="H446" s="129">
        <f t="shared" si="19"/>
        <v>1.283558431450782E-3</v>
      </c>
    </row>
    <row r="447" spans="2:8" x14ac:dyDescent="0.3">
      <c r="B447" s="269">
        <v>45520</v>
      </c>
      <c r="C447" s="270">
        <v>1896.15</v>
      </c>
      <c r="D447" s="129">
        <f t="shared" si="20"/>
        <v>-3.8089734159924005E-3</v>
      </c>
      <c r="E447" s="270">
        <v>72847.570000000007</v>
      </c>
      <c r="F447" s="129">
        <f t="shared" si="20"/>
        <v>1.8284157024794689E-2</v>
      </c>
      <c r="G447" s="270">
        <v>24541.15</v>
      </c>
      <c r="H447" s="129">
        <f t="shared" si="19"/>
        <v>1.6459746311157097E-2</v>
      </c>
    </row>
    <row r="448" spans="2:8" x14ac:dyDescent="0.3">
      <c r="B448" s="269">
        <v>45518</v>
      </c>
      <c r="C448" s="270">
        <v>1903.4</v>
      </c>
      <c r="D448" s="129">
        <f t="shared" si="20"/>
        <v>7.3831009023790362E-3</v>
      </c>
      <c r="E448" s="270">
        <v>71539.53</v>
      </c>
      <c r="F448" s="129">
        <f t="shared" si="20"/>
        <v>-5.7331244534553072E-3</v>
      </c>
      <c r="G448" s="270">
        <v>24143.75</v>
      </c>
      <c r="H448" s="129">
        <f t="shared" si="19"/>
        <v>1.9677699987563635E-4</v>
      </c>
    </row>
    <row r="449" spans="2:8" x14ac:dyDescent="0.3">
      <c r="B449" s="269">
        <v>45517</v>
      </c>
      <c r="C449" s="270">
        <v>1889.45</v>
      </c>
      <c r="D449" s="129">
        <f t="shared" si="20"/>
        <v>1.8132341847181932E-2</v>
      </c>
      <c r="E449" s="270">
        <v>71952.039999999994</v>
      </c>
      <c r="F449" s="129">
        <f t="shared" si="20"/>
        <v>-8.4365258199529114E-3</v>
      </c>
      <c r="G449" s="270">
        <v>24139</v>
      </c>
      <c r="H449" s="129">
        <f t="shared" si="19"/>
        <v>-8.5431469996303244E-3</v>
      </c>
    </row>
    <row r="450" spans="2:8" x14ac:dyDescent="0.3">
      <c r="B450" s="269">
        <v>45516</v>
      </c>
      <c r="C450" s="270">
        <v>1855.8</v>
      </c>
      <c r="D450" s="129">
        <f t="shared" si="20"/>
        <v>2.8628439985588727E-2</v>
      </c>
      <c r="E450" s="270">
        <v>72564.23</v>
      </c>
      <c r="F450" s="129">
        <f t="shared" si="20"/>
        <v>5.2256883810319898E-4</v>
      </c>
      <c r="G450" s="270">
        <v>24347</v>
      </c>
      <c r="H450" s="129">
        <f t="shared" si="19"/>
        <v>-8.4128449779419245E-4</v>
      </c>
    </row>
    <row r="451" spans="2:8" x14ac:dyDescent="0.3">
      <c r="B451" s="269">
        <v>45513</v>
      </c>
      <c r="C451" s="270">
        <v>1804.15</v>
      </c>
      <c r="D451" s="129">
        <f t="shared" si="20"/>
        <v>3.4460021214988146E-2</v>
      </c>
      <c r="E451" s="270">
        <v>72526.33</v>
      </c>
      <c r="F451" s="129">
        <f t="shared" si="20"/>
        <v>1.3673049090785927E-2</v>
      </c>
      <c r="G451" s="270">
        <v>24367.5</v>
      </c>
      <c r="H451" s="129">
        <f t="shared" si="19"/>
        <v>1.0386864037815746E-2</v>
      </c>
    </row>
    <row r="452" spans="2:8" x14ac:dyDescent="0.3">
      <c r="B452" s="269">
        <v>45512</v>
      </c>
      <c r="C452" s="270">
        <v>1744.05</v>
      </c>
      <c r="D452" s="129">
        <f t="shared" si="20"/>
        <v>1.8988636031667117E-2</v>
      </c>
      <c r="E452" s="270">
        <v>71548.05</v>
      </c>
      <c r="F452" s="129">
        <f t="shared" si="20"/>
        <v>-8.8708133520583043E-3</v>
      </c>
      <c r="G452" s="270">
        <v>24117</v>
      </c>
      <c r="H452" s="129">
        <f t="shared" si="19"/>
        <v>-7.4287478135610652E-3</v>
      </c>
    </row>
    <row r="453" spans="2:8" x14ac:dyDescent="0.3">
      <c r="B453" s="269">
        <v>45511</v>
      </c>
      <c r="C453" s="270">
        <v>1711.55</v>
      </c>
      <c r="D453" s="129">
        <f t="shared" si="20"/>
        <v>1.1554373522458583E-2</v>
      </c>
      <c r="E453" s="270">
        <v>72188.42</v>
      </c>
      <c r="F453" s="129">
        <f t="shared" si="20"/>
        <v>2.8890961253760672E-2</v>
      </c>
      <c r="G453" s="270">
        <v>24297.5</v>
      </c>
      <c r="H453" s="129">
        <f t="shared" si="19"/>
        <v>1.2710195456506312E-2</v>
      </c>
    </row>
    <row r="454" spans="2:8" x14ac:dyDescent="0.3">
      <c r="B454" s="269">
        <v>45510</v>
      </c>
      <c r="C454" s="270">
        <v>1692</v>
      </c>
      <c r="D454" s="129">
        <f t="shared" si="20"/>
        <v>-2.3290780978213466E-3</v>
      </c>
      <c r="E454" s="270">
        <v>70161.39</v>
      </c>
      <c r="F454" s="129">
        <f t="shared" si="20"/>
        <v>-4.0043456121625631E-3</v>
      </c>
      <c r="G454" s="270">
        <v>23992.55</v>
      </c>
      <c r="H454" s="129">
        <f t="shared" si="19"/>
        <v>-2.6210113237665755E-3</v>
      </c>
    </row>
    <row r="455" spans="2:8" x14ac:dyDescent="0.3">
      <c r="B455" s="269">
        <v>45509</v>
      </c>
      <c r="C455" s="270">
        <v>1695.95</v>
      </c>
      <c r="D455" s="129">
        <f t="shared" si="20"/>
        <v>-5.4048024095713409E-2</v>
      </c>
      <c r="E455" s="270">
        <v>70443.47</v>
      </c>
      <c r="F455" s="129">
        <f t="shared" si="20"/>
        <v>-4.1299919118768846E-2</v>
      </c>
      <c r="G455" s="270">
        <v>24055.599999999999</v>
      </c>
      <c r="H455" s="129">
        <f t="shared" si="19"/>
        <v>-2.6786472851438536E-2</v>
      </c>
    </row>
    <row r="456" spans="2:8" x14ac:dyDescent="0.3">
      <c r="B456" s="269">
        <v>45506</v>
      </c>
      <c r="C456" s="270">
        <v>1792.85</v>
      </c>
      <c r="D456" s="129">
        <f t="shared" si="20"/>
        <v>1.9560175482717934E-3</v>
      </c>
      <c r="E456" s="270">
        <v>73478.11</v>
      </c>
      <c r="F456" s="129">
        <f t="shared" si="20"/>
        <v>-1.7030373445759639E-2</v>
      </c>
      <c r="G456" s="270">
        <v>24717.7</v>
      </c>
      <c r="H456" s="129">
        <f t="shared" si="19"/>
        <v>-1.1722888820474342E-2</v>
      </c>
    </row>
    <row r="457" spans="2:8" x14ac:dyDescent="0.3">
      <c r="B457" s="269">
        <v>45505</v>
      </c>
      <c r="C457" s="270">
        <v>1789.35</v>
      </c>
      <c r="D457" s="129">
        <f t="shared" si="20"/>
        <v>-1.9556350226301866E-4</v>
      </c>
      <c r="E457" s="270">
        <v>74751.149999999994</v>
      </c>
      <c r="F457" s="129">
        <f t="shared" si="20"/>
        <v>-1.1752625458552934E-2</v>
      </c>
      <c r="G457" s="270">
        <v>25010.9</v>
      </c>
      <c r="H457" s="129">
        <f t="shared" si="19"/>
        <v>2.3946792031630526E-3</v>
      </c>
    </row>
    <row r="458" spans="2:8" x14ac:dyDescent="0.3">
      <c r="B458" s="269">
        <v>45504</v>
      </c>
      <c r="C458" s="270">
        <v>1789.7</v>
      </c>
      <c r="D458" s="129">
        <f t="shared" si="20"/>
        <v>-1.2633785722167001E-2</v>
      </c>
      <c r="E458" s="270">
        <v>75640.12</v>
      </c>
      <c r="F458" s="129">
        <f t="shared" si="20"/>
        <v>2.0093142738144554E-3</v>
      </c>
      <c r="G458" s="270">
        <v>24951.15</v>
      </c>
      <c r="H458" s="129">
        <f t="shared" ref="H458:H521" si="21">G458/G459-1</f>
        <v>3.7755508442189889E-3</v>
      </c>
    </row>
    <row r="459" spans="2:8" x14ac:dyDescent="0.3">
      <c r="B459" s="269">
        <v>45503</v>
      </c>
      <c r="C459" s="270">
        <v>1812.6</v>
      </c>
      <c r="D459" s="129">
        <f t="shared" si="20"/>
        <v>9.2708594337258532E-3</v>
      </c>
      <c r="E459" s="270">
        <v>75488.44</v>
      </c>
      <c r="F459" s="129">
        <f t="shared" si="20"/>
        <v>1.1283316817711775E-3</v>
      </c>
      <c r="G459" s="270">
        <v>24857.3</v>
      </c>
      <c r="H459" s="129">
        <f t="shared" si="21"/>
        <v>8.5359617653346653E-4</v>
      </c>
    </row>
    <row r="460" spans="2:8" x14ac:dyDescent="0.3">
      <c r="B460" s="269">
        <v>45502</v>
      </c>
      <c r="C460" s="270">
        <v>1795.95</v>
      </c>
      <c r="D460" s="129">
        <f t="shared" si="20"/>
        <v>-3.965392934390688E-3</v>
      </c>
      <c r="E460" s="270">
        <v>75403.360000000001</v>
      </c>
      <c r="F460" s="129">
        <f t="shared" si="20"/>
        <v>2.7346080031871001E-2</v>
      </c>
      <c r="G460" s="270">
        <v>24836.1</v>
      </c>
      <c r="H460" s="129">
        <f t="shared" si="21"/>
        <v>5.0332496471794386E-5</v>
      </c>
    </row>
    <row r="461" spans="2:8" x14ac:dyDescent="0.3">
      <c r="B461" s="269">
        <v>45499</v>
      </c>
      <c r="C461" s="270">
        <v>1803.1</v>
      </c>
      <c r="D461" s="129">
        <f t="shared" si="20"/>
        <v>-3.4542791610246981E-3</v>
      </c>
      <c r="E461" s="270">
        <v>73396.259999999995</v>
      </c>
      <c r="F461" s="129">
        <f t="shared" si="20"/>
        <v>1.5083891830799834E-2</v>
      </c>
      <c r="G461" s="270">
        <v>24834.85</v>
      </c>
      <c r="H461" s="129">
        <f t="shared" si="21"/>
        <v>1.7567329479105664E-2</v>
      </c>
    </row>
    <row r="462" spans="2:8" x14ac:dyDescent="0.3">
      <c r="B462" s="269">
        <v>45498</v>
      </c>
      <c r="C462" s="270">
        <v>1809.35</v>
      </c>
      <c r="D462" s="129">
        <f t="shared" si="20"/>
        <v>-5.1957334506268493E-3</v>
      </c>
      <c r="E462" s="270">
        <v>72305.61</v>
      </c>
      <c r="F462" s="129">
        <f t="shared" si="20"/>
        <v>1.0427557965114964E-2</v>
      </c>
      <c r="G462" s="270">
        <v>24406.1</v>
      </c>
      <c r="H462" s="129">
        <f t="shared" si="21"/>
        <v>-3.0311098367707956E-4</v>
      </c>
    </row>
    <row r="463" spans="2:8" x14ac:dyDescent="0.3">
      <c r="B463" s="269">
        <v>45497</v>
      </c>
      <c r="C463" s="270">
        <v>1818.8</v>
      </c>
      <c r="D463" s="129">
        <f t="shared" si="20"/>
        <v>3.2206804574217429E-2</v>
      </c>
      <c r="E463" s="270">
        <v>71559.42</v>
      </c>
      <c r="F463" s="129">
        <f t="shared" si="20"/>
        <v>5.0617262622818515E-3</v>
      </c>
      <c r="G463" s="270">
        <v>24413.5</v>
      </c>
      <c r="H463" s="129">
        <f t="shared" si="21"/>
        <v>-2.6777999963233379E-3</v>
      </c>
    </row>
    <row r="464" spans="2:8" x14ac:dyDescent="0.3">
      <c r="B464" s="269">
        <v>45496</v>
      </c>
      <c r="C464" s="270">
        <v>1762.05</v>
      </c>
      <c r="D464" s="129">
        <f t="shared" si="20"/>
        <v>-1.4167918166104743E-3</v>
      </c>
      <c r="E464" s="270">
        <v>71199.03</v>
      </c>
      <c r="F464" s="129">
        <f t="shared" si="20"/>
        <v>-2.0346658910054716E-2</v>
      </c>
      <c r="G464" s="270">
        <v>24479.05</v>
      </c>
      <c r="H464" s="129">
        <f t="shared" si="21"/>
        <v>-1.2321878474453873E-3</v>
      </c>
    </row>
    <row r="465" spans="2:8" x14ac:dyDescent="0.3">
      <c r="B465" s="269">
        <v>45495</v>
      </c>
      <c r="C465" s="270">
        <v>1764.55</v>
      </c>
      <c r="D465" s="129">
        <f t="shared" si="20"/>
        <v>-6.3071941433197054E-3</v>
      </c>
      <c r="E465" s="270">
        <v>72677.78</v>
      </c>
      <c r="F465" s="129">
        <f t="shared" si="20"/>
        <v>1.5064560105934266E-2</v>
      </c>
      <c r="G465" s="270">
        <v>24509.25</v>
      </c>
      <c r="H465" s="129">
        <f t="shared" si="21"/>
        <v>-8.8256036264466875E-4</v>
      </c>
    </row>
    <row r="466" spans="2:8" x14ac:dyDescent="0.3">
      <c r="B466" s="269">
        <v>45492</v>
      </c>
      <c r="C466" s="270">
        <v>1775.75</v>
      </c>
      <c r="D466" s="129">
        <f t="shared" si="20"/>
        <v>-2.0978057117653548E-2</v>
      </c>
      <c r="E466" s="270">
        <v>71599.17</v>
      </c>
      <c r="F466" s="129">
        <f t="shared" si="20"/>
        <v>-1.8458808927083625E-2</v>
      </c>
      <c r="G466" s="270">
        <v>24530.9</v>
      </c>
      <c r="H466" s="129">
        <f t="shared" si="21"/>
        <v>-1.0884707580586794E-2</v>
      </c>
    </row>
    <row r="467" spans="2:8" x14ac:dyDescent="0.3">
      <c r="B467" s="269">
        <v>45491</v>
      </c>
      <c r="C467" s="270">
        <v>1813.8</v>
      </c>
      <c r="D467" s="129">
        <f t="shared" ref="D467:F530" si="22">C467/C468-1</f>
        <v>-9.7453116042912624E-3</v>
      </c>
      <c r="E467" s="270">
        <v>72945.66</v>
      </c>
      <c r="F467" s="129">
        <f t="shared" si="22"/>
        <v>-2.0338420355825559E-2</v>
      </c>
      <c r="G467" s="270">
        <v>24800.85</v>
      </c>
      <c r="H467" s="129">
        <f t="shared" si="21"/>
        <v>7.6321456141064115E-3</v>
      </c>
    </row>
    <row r="468" spans="2:8" x14ac:dyDescent="0.3">
      <c r="B468" s="269">
        <v>45489</v>
      </c>
      <c r="C468" s="270">
        <v>1831.65</v>
      </c>
      <c r="D468" s="129">
        <f t="shared" si="22"/>
        <v>1.3136788539189093E-2</v>
      </c>
      <c r="E468" s="270">
        <v>74460.06</v>
      </c>
      <c r="F468" s="129">
        <f t="shared" si="22"/>
        <v>-5.3398486236939657E-3</v>
      </c>
      <c r="G468" s="270">
        <v>24613</v>
      </c>
      <c r="H468" s="129">
        <f t="shared" si="21"/>
        <v>1.0696840161550369E-3</v>
      </c>
    </row>
    <row r="469" spans="2:8" x14ac:dyDescent="0.3">
      <c r="B469" s="269">
        <v>45488</v>
      </c>
      <c r="C469" s="270">
        <v>1807.9</v>
      </c>
      <c r="D469" s="129">
        <f t="shared" si="22"/>
        <v>1.045159847976751E-2</v>
      </c>
      <c r="E469" s="270">
        <v>74859.8</v>
      </c>
      <c r="F469" s="129">
        <f t="shared" si="22"/>
        <v>-1.2154623893774197E-3</v>
      </c>
      <c r="G469" s="270">
        <v>24586.7</v>
      </c>
      <c r="H469" s="129">
        <f t="shared" si="21"/>
        <v>3.4507175900890807E-3</v>
      </c>
    </row>
    <row r="470" spans="2:8" x14ac:dyDescent="0.3">
      <c r="B470" s="269">
        <v>45485</v>
      </c>
      <c r="C470" s="270">
        <v>1789.2</v>
      </c>
      <c r="D470" s="129">
        <f t="shared" si="22"/>
        <v>6.1860308176808765E-3</v>
      </c>
      <c r="E470" s="270">
        <v>74950.899999999994</v>
      </c>
      <c r="F470" s="129">
        <f t="shared" si="22"/>
        <v>-5.7133320898820061E-3</v>
      </c>
      <c r="G470" s="270">
        <v>24502.15</v>
      </c>
      <c r="H470" s="129">
        <f t="shared" si="21"/>
        <v>7.6575252046495734E-3</v>
      </c>
    </row>
    <row r="471" spans="2:8" x14ac:dyDescent="0.3">
      <c r="B471" s="269">
        <v>45484</v>
      </c>
      <c r="C471" s="270">
        <v>1778.2</v>
      </c>
      <c r="D471" s="129">
        <f t="shared" si="22"/>
        <v>1.7181646621411417E-3</v>
      </c>
      <c r="E471" s="270">
        <v>75381.58</v>
      </c>
      <c r="F471" s="129">
        <f t="shared" si="22"/>
        <v>2.3121305813276205E-3</v>
      </c>
      <c r="G471" s="270">
        <v>24315.95</v>
      </c>
      <c r="H471" s="129">
        <f t="shared" si="21"/>
        <v>-3.4944263899083783E-4</v>
      </c>
    </row>
    <row r="472" spans="2:8" x14ac:dyDescent="0.3">
      <c r="B472" s="269">
        <v>45483</v>
      </c>
      <c r="C472" s="270">
        <v>1775.15</v>
      </c>
      <c r="D472" s="129">
        <f t="shared" si="22"/>
        <v>-1.3997278306995709E-2</v>
      </c>
      <c r="E472" s="270">
        <v>75207.69</v>
      </c>
      <c r="F472" s="129">
        <f t="shared" si="22"/>
        <v>-4.3539175792600693E-3</v>
      </c>
      <c r="G472" s="270">
        <v>24324.45</v>
      </c>
      <c r="H472" s="129">
        <f t="shared" si="21"/>
        <v>-4.4509110554491471E-3</v>
      </c>
    </row>
    <row r="473" spans="2:8" x14ac:dyDescent="0.3">
      <c r="B473" s="269">
        <v>45482</v>
      </c>
      <c r="C473" s="270">
        <v>1800.35</v>
      </c>
      <c r="D473" s="129">
        <f t="shared" si="22"/>
        <v>1.7405555084625934E-2</v>
      </c>
      <c r="E473" s="270">
        <v>75536.570000000007</v>
      </c>
      <c r="F473" s="129">
        <f t="shared" si="22"/>
        <v>-1.1047325903121852E-3</v>
      </c>
      <c r="G473" s="270">
        <v>24433.200000000001</v>
      </c>
      <c r="H473" s="129">
        <f t="shared" si="21"/>
        <v>4.6318853808815508E-3</v>
      </c>
    </row>
    <row r="474" spans="2:8" x14ac:dyDescent="0.3">
      <c r="B474" s="269">
        <v>45481</v>
      </c>
      <c r="C474" s="270">
        <v>1769.55</v>
      </c>
      <c r="D474" s="129">
        <f t="shared" si="22"/>
        <v>-1.9585572607900836E-2</v>
      </c>
      <c r="E474" s="270">
        <v>75620.11</v>
      </c>
      <c r="F474" s="129">
        <f t="shared" si="22"/>
        <v>6.5043351364404423E-3</v>
      </c>
      <c r="G474" s="270">
        <v>24320.55</v>
      </c>
      <c r="H474" s="129">
        <f t="shared" si="21"/>
        <v>-1.3566931221820067E-4</v>
      </c>
    </row>
    <row r="475" spans="2:8" x14ac:dyDescent="0.3">
      <c r="B475" s="269">
        <v>45478</v>
      </c>
      <c r="C475" s="270">
        <v>1804.9</v>
      </c>
      <c r="D475" s="129">
        <f t="shared" si="22"/>
        <v>3.2795997776542407E-3</v>
      </c>
      <c r="E475" s="270">
        <v>75131.429999999993</v>
      </c>
      <c r="F475" s="129">
        <f t="shared" si="22"/>
        <v>1.549145782898198E-2</v>
      </c>
      <c r="G475" s="270">
        <v>24323.85</v>
      </c>
      <c r="H475" s="129">
        <f t="shared" si="21"/>
        <v>8.9292511156413568E-4</v>
      </c>
    </row>
    <row r="476" spans="2:8" x14ac:dyDescent="0.3">
      <c r="B476" s="269">
        <v>45477</v>
      </c>
      <c r="C476" s="270">
        <v>1799</v>
      </c>
      <c r="D476" s="129">
        <f t="shared" si="22"/>
        <v>-1.0614310069845478E-2</v>
      </c>
      <c r="E476" s="270">
        <v>73985.289999999994</v>
      </c>
      <c r="F476" s="129">
        <f t="shared" si="22"/>
        <v>3.0860519319548807E-3</v>
      </c>
      <c r="G476" s="270">
        <v>24302.15</v>
      </c>
      <c r="H476" s="129">
        <f t="shared" si="21"/>
        <v>6.4439091676460336E-4</v>
      </c>
    </row>
    <row r="477" spans="2:8" x14ac:dyDescent="0.3">
      <c r="B477" s="269">
        <v>45476</v>
      </c>
      <c r="C477" s="270">
        <v>1818.3</v>
      </c>
      <c r="D477" s="129">
        <f t="shared" si="22"/>
        <v>2.3428240676939271E-3</v>
      </c>
      <c r="E477" s="270">
        <v>73757.67</v>
      </c>
      <c r="F477" s="129">
        <f t="shared" si="22"/>
        <v>9.7583854964764516E-3</v>
      </c>
      <c r="G477" s="270">
        <v>24286.5</v>
      </c>
      <c r="H477" s="129">
        <f t="shared" si="21"/>
        <v>6.7422903060665451E-3</v>
      </c>
    </row>
    <row r="478" spans="2:8" x14ac:dyDescent="0.3">
      <c r="B478" s="269">
        <v>45475</v>
      </c>
      <c r="C478" s="270">
        <v>1814.05</v>
      </c>
      <c r="D478" s="129">
        <f t="shared" si="22"/>
        <v>-2.8309146877748548E-3</v>
      </c>
      <c r="E478" s="270">
        <v>73044.87</v>
      </c>
      <c r="F478" s="129">
        <f t="shared" si="22"/>
        <v>4.3762529803399453E-3</v>
      </c>
      <c r="G478" s="270">
        <v>24123.85</v>
      </c>
      <c r="H478" s="129">
        <f t="shared" si="21"/>
        <v>-7.4973231242725369E-4</v>
      </c>
    </row>
    <row r="479" spans="2:8" x14ac:dyDescent="0.3">
      <c r="B479" s="269">
        <v>45474</v>
      </c>
      <c r="C479" s="270">
        <v>1819.2</v>
      </c>
      <c r="D479" s="129">
        <f t="shared" si="22"/>
        <v>-1.9235525267236042E-4</v>
      </c>
      <c r="E479" s="270">
        <v>72726.600000000006</v>
      </c>
      <c r="F479" s="129">
        <f t="shared" si="22"/>
        <v>5.5609164319487814E-3</v>
      </c>
      <c r="G479" s="270">
        <v>24141.95</v>
      </c>
      <c r="H479" s="129">
        <f t="shared" si="21"/>
        <v>5.4705005289330533E-3</v>
      </c>
    </row>
    <row r="480" spans="2:8" x14ac:dyDescent="0.3">
      <c r="B480" s="269">
        <v>45471</v>
      </c>
      <c r="C480" s="270">
        <v>1819.55</v>
      </c>
      <c r="D480" s="129">
        <f t="shared" si="22"/>
        <v>2.0241666433036931E-2</v>
      </c>
      <c r="E480" s="270">
        <v>72324.41</v>
      </c>
      <c r="F480" s="129">
        <f t="shared" si="22"/>
        <v>-4.1907629454879247E-3</v>
      </c>
      <c r="G480" s="270">
        <v>24010.6</v>
      </c>
      <c r="H480" s="129">
        <f t="shared" si="21"/>
        <v>-1.4098858366778932E-3</v>
      </c>
    </row>
    <row r="481" spans="2:8" x14ac:dyDescent="0.3">
      <c r="B481" s="269">
        <v>45470</v>
      </c>
      <c r="C481" s="270">
        <v>1783.45</v>
      </c>
      <c r="D481" s="129">
        <f t="shared" si="22"/>
        <v>-1.0843039378813035E-2</v>
      </c>
      <c r="E481" s="270">
        <v>72628.78</v>
      </c>
      <c r="F481" s="129">
        <f t="shared" si="22"/>
        <v>-7.4859124922832532E-4</v>
      </c>
      <c r="G481" s="270">
        <v>24044.5</v>
      </c>
      <c r="H481" s="129">
        <f t="shared" si="21"/>
        <v>7.3610738704921186E-3</v>
      </c>
    </row>
    <row r="482" spans="2:8" x14ac:dyDescent="0.3">
      <c r="B482" s="269">
        <v>45469</v>
      </c>
      <c r="C482" s="270">
        <v>1803</v>
      </c>
      <c r="D482" s="129">
        <f t="shared" si="22"/>
        <v>-5.4287962234461085E-2</v>
      </c>
      <c r="E482" s="270">
        <v>72683.19</v>
      </c>
      <c r="F482" s="129">
        <f t="shared" si="22"/>
        <v>-1.4966832920493278E-4</v>
      </c>
      <c r="G482" s="270">
        <v>23868.799999999999</v>
      </c>
      <c r="H482" s="129">
        <f t="shared" si="21"/>
        <v>6.2180403266263173E-3</v>
      </c>
    </row>
    <row r="483" spans="2:8" x14ac:dyDescent="0.3">
      <c r="B483" s="269">
        <v>45468</v>
      </c>
      <c r="C483" s="270">
        <v>1906.5</v>
      </c>
      <c r="D483" s="129">
        <f t="shared" si="22"/>
        <v>-1.1740922167794099E-2</v>
      </c>
      <c r="E483" s="270">
        <v>72694.070000000007</v>
      </c>
      <c r="F483" s="129">
        <f t="shared" si="22"/>
        <v>2.8260757704492434E-3</v>
      </c>
      <c r="G483" s="270">
        <v>23721.3</v>
      </c>
      <c r="H483" s="129">
        <f t="shared" si="21"/>
        <v>7.7938299377386944E-3</v>
      </c>
    </row>
    <row r="484" spans="2:8" x14ac:dyDescent="0.3">
      <c r="B484" s="269">
        <v>45467</v>
      </c>
      <c r="C484" s="270">
        <v>1929.15</v>
      </c>
      <c r="D484" s="129">
        <f t="shared" si="22"/>
        <v>9.999738226748045E-3</v>
      </c>
      <c r="E484" s="270">
        <v>72489.210000000006</v>
      </c>
      <c r="F484" s="129">
        <f t="shared" si="22"/>
        <v>9.8913028032348027E-3</v>
      </c>
      <c r="G484" s="270">
        <v>23537.85</v>
      </c>
      <c r="H484" s="129">
        <f t="shared" si="21"/>
        <v>1.5637565901169825E-3</v>
      </c>
    </row>
    <row r="485" spans="2:8" x14ac:dyDescent="0.3">
      <c r="B485" s="269">
        <v>45464</v>
      </c>
      <c r="C485" s="270">
        <v>1910.05</v>
      </c>
      <c r="D485" s="129">
        <f t="shared" si="22"/>
        <v>-1.0362425843890022E-2</v>
      </c>
      <c r="E485" s="270">
        <v>71779.22</v>
      </c>
      <c r="F485" s="129">
        <f t="shared" si="22"/>
        <v>-9.580597393035406E-3</v>
      </c>
      <c r="G485" s="270">
        <v>23501.1</v>
      </c>
      <c r="H485" s="129">
        <f t="shared" si="21"/>
        <v>-2.7962829380066001E-3</v>
      </c>
    </row>
    <row r="486" spans="2:8" x14ac:dyDescent="0.3">
      <c r="B486" s="269">
        <v>45463</v>
      </c>
      <c r="C486" s="270">
        <v>1930.05</v>
      </c>
      <c r="D486" s="129">
        <f t="shared" si="22"/>
        <v>-8.6547845292517245E-3</v>
      </c>
      <c r="E486" s="270">
        <v>72473.56</v>
      </c>
      <c r="F486" s="129">
        <f t="shared" si="22"/>
        <v>3.693971886038927E-3</v>
      </c>
      <c r="G486" s="270">
        <v>23567</v>
      </c>
      <c r="H486" s="129">
        <f t="shared" si="21"/>
        <v>2.1687361796223215E-3</v>
      </c>
    </row>
    <row r="487" spans="2:8" x14ac:dyDescent="0.3">
      <c r="B487" s="269">
        <v>45462</v>
      </c>
      <c r="C487" s="270">
        <v>1946.9</v>
      </c>
      <c r="D487" s="129">
        <f t="shared" si="22"/>
        <v>-1.5698071235369926E-2</v>
      </c>
      <c r="E487" s="270">
        <v>72206.83</v>
      </c>
      <c r="F487" s="129">
        <f t="shared" si="22"/>
        <v>-2.1457197002960893E-2</v>
      </c>
      <c r="G487" s="270">
        <v>23516</v>
      </c>
      <c r="H487" s="129">
        <f t="shared" si="21"/>
        <v>-1.7785965642099777E-3</v>
      </c>
    </row>
    <row r="488" spans="2:8" x14ac:dyDescent="0.3">
      <c r="B488" s="269">
        <v>45461</v>
      </c>
      <c r="C488" s="270">
        <v>1977.95</v>
      </c>
      <c r="D488" s="129">
        <f t="shared" si="22"/>
        <v>0.10629789138094958</v>
      </c>
      <c r="E488" s="270">
        <v>73790.16</v>
      </c>
      <c r="F488" s="129">
        <f t="shared" si="22"/>
        <v>7.2955395155491765E-3</v>
      </c>
      <c r="G488" s="270">
        <v>23557.9</v>
      </c>
      <c r="H488" s="129">
        <f t="shared" si="21"/>
        <v>3.933417428064967E-3</v>
      </c>
    </row>
    <row r="489" spans="2:8" x14ac:dyDescent="0.3">
      <c r="B489" s="269">
        <v>45457</v>
      </c>
      <c r="C489" s="270">
        <v>1787.9</v>
      </c>
      <c r="D489" s="129">
        <f t="shared" si="22"/>
        <v>-1.1308651533165515E-2</v>
      </c>
      <c r="E489" s="270">
        <v>73255.72</v>
      </c>
      <c r="F489" s="129">
        <f t="shared" si="22"/>
        <v>1.6195715803696054E-2</v>
      </c>
      <c r="G489" s="270">
        <v>23465.599999999999</v>
      </c>
      <c r="H489" s="129">
        <f t="shared" si="21"/>
        <v>2.8505613511744521E-3</v>
      </c>
    </row>
    <row r="490" spans="2:8" x14ac:dyDescent="0.3">
      <c r="B490" s="269">
        <v>45456</v>
      </c>
      <c r="C490" s="270">
        <v>1808.35</v>
      </c>
      <c r="D490" s="129">
        <f t="shared" si="22"/>
        <v>8.1955788476011371E-3</v>
      </c>
      <c r="E490" s="270">
        <v>72088.2</v>
      </c>
      <c r="F490" s="129">
        <f t="shared" si="22"/>
        <v>2.0511389624669363E-2</v>
      </c>
      <c r="G490" s="270">
        <v>23398.9</v>
      </c>
      <c r="H490" s="129">
        <f t="shared" si="21"/>
        <v>3.2564491198583401E-3</v>
      </c>
    </row>
    <row r="491" spans="2:8" x14ac:dyDescent="0.3">
      <c r="B491" s="269">
        <v>45455</v>
      </c>
      <c r="C491" s="270">
        <v>1793.65</v>
      </c>
      <c r="D491" s="129">
        <f t="shared" si="22"/>
        <v>8.928322312435899E-4</v>
      </c>
      <c r="E491" s="270">
        <v>70639.289999999994</v>
      </c>
      <c r="F491" s="129">
        <f t="shared" si="22"/>
        <v>1.1865328882456172E-2</v>
      </c>
      <c r="G491" s="270">
        <v>23322.95</v>
      </c>
      <c r="H491" s="129">
        <f t="shared" si="21"/>
        <v>2.4973296625596664E-3</v>
      </c>
    </row>
    <row r="492" spans="2:8" x14ac:dyDescent="0.3">
      <c r="B492" s="269">
        <v>45454</v>
      </c>
      <c r="C492" s="270">
        <v>1792.05</v>
      </c>
      <c r="D492" s="129">
        <f t="shared" si="22"/>
        <v>2.7908794061004549E-4</v>
      </c>
      <c r="E492" s="270">
        <v>69810.960000000006</v>
      </c>
      <c r="F492" s="129">
        <f t="shared" si="22"/>
        <v>1.3911352165305146E-2</v>
      </c>
      <c r="G492" s="270">
        <v>23264.85</v>
      </c>
      <c r="H492" s="129">
        <f t="shared" si="21"/>
        <v>2.4291463162962046E-4</v>
      </c>
    </row>
    <row r="493" spans="2:8" x14ac:dyDescent="0.3">
      <c r="B493" s="269">
        <v>45453</v>
      </c>
      <c r="C493" s="270">
        <v>1791.55</v>
      </c>
      <c r="D493" s="129">
        <f t="shared" si="22"/>
        <v>1.5819465313412495E-2</v>
      </c>
      <c r="E493" s="270">
        <v>68853.119999999995</v>
      </c>
      <c r="F493" s="129">
        <f t="shared" si="22"/>
        <v>1.2490512294016654E-5</v>
      </c>
      <c r="G493" s="270">
        <v>23259.200000000001</v>
      </c>
      <c r="H493" s="129">
        <f t="shared" si="21"/>
        <v>-1.3288879633664985E-3</v>
      </c>
    </row>
    <row r="494" spans="2:8" x14ac:dyDescent="0.3">
      <c r="B494" s="269">
        <v>45450</v>
      </c>
      <c r="C494" s="270">
        <v>1763.65</v>
      </c>
      <c r="D494" s="129">
        <f t="shared" si="22"/>
        <v>-1.4583042324346929E-2</v>
      </c>
      <c r="E494" s="270">
        <v>68852.259999999995</v>
      </c>
      <c r="F494" s="129">
        <f t="shared" si="22"/>
        <v>1.4223558174233597E-2</v>
      </c>
      <c r="G494" s="270">
        <v>23290.15</v>
      </c>
      <c r="H494" s="129">
        <f t="shared" si="21"/>
        <v>2.0539931818380985E-2</v>
      </c>
    </row>
    <row r="495" spans="2:8" x14ac:dyDescent="0.3">
      <c r="B495" s="269">
        <v>45449</v>
      </c>
      <c r="C495" s="270">
        <v>1789.75</v>
      </c>
      <c r="D495" s="129">
        <f t="shared" si="22"/>
        <v>2.3445318084345912E-2</v>
      </c>
      <c r="E495" s="270">
        <v>67886.67</v>
      </c>
      <c r="F495" s="129">
        <f t="shared" si="22"/>
        <v>3.4175470817424003E-2</v>
      </c>
      <c r="G495" s="270">
        <v>22821.4</v>
      </c>
      <c r="H495" s="129">
        <f t="shared" si="21"/>
        <v>8.888014553267487E-3</v>
      </c>
    </row>
    <row r="496" spans="2:8" x14ac:dyDescent="0.3">
      <c r="B496" s="269">
        <v>45448</v>
      </c>
      <c r="C496" s="270">
        <v>1748.75</v>
      </c>
      <c r="D496" s="129">
        <f t="shared" si="22"/>
        <v>8.665258186789293E-2</v>
      </c>
      <c r="E496" s="270">
        <v>65643.28</v>
      </c>
      <c r="F496" s="129">
        <f t="shared" si="22"/>
        <v>1.2555586354382031E-2</v>
      </c>
      <c r="G496" s="270">
        <v>22620.35</v>
      </c>
      <c r="H496" s="129">
        <f t="shared" si="21"/>
        <v>3.3624254609426751E-2</v>
      </c>
    </row>
    <row r="497" spans="2:8" x14ac:dyDescent="0.3">
      <c r="B497" s="269">
        <v>45447</v>
      </c>
      <c r="C497" s="270">
        <v>1609.3</v>
      </c>
      <c r="D497" s="129">
        <f t="shared" si="22"/>
        <v>-7.6229837552379331E-2</v>
      </c>
      <c r="E497" s="270">
        <v>64829.31</v>
      </c>
      <c r="F497" s="129">
        <f t="shared" si="22"/>
        <v>-0.12062786455164776</v>
      </c>
      <c r="G497" s="270">
        <v>21884.5</v>
      </c>
      <c r="H497" s="129">
        <f t="shared" si="21"/>
        <v>-5.9293583620975032E-2</v>
      </c>
    </row>
    <row r="498" spans="2:8" x14ac:dyDescent="0.3">
      <c r="B498" s="269">
        <v>45446</v>
      </c>
      <c r="C498" s="270">
        <v>1742.1</v>
      </c>
      <c r="D498" s="129">
        <f t="shared" si="22"/>
        <v>8.7142815784140293E-3</v>
      </c>
      <c r="E498" s="270">
        <v>73722.27</v>
      </c>
      <c r="F498" s="129">
        <f t="shared" si="22"/>
        <v>5.2339878185274857E-2</v>
      </c>
      <c r="G498" s="270">
        <v>23263.9</v>
      </c>
      <c r="H498" s="129">
        <f t="shared" si="21"/>
        <v>3.2542264554585643E-2</v>
      </c>
    </row>
    <row r="499" spans="2:8" x14ac:dyDescent="0.3">
      <c r="B499" s="269">
        <v>45443</v>
      </c>
      <c r="C499" s="270">
        <v>1727.05</v>
      </c>
      <c r="D499" s="129">
        <f t="shared" si="22"/>
        <v>1.2754354072597174E-2</v>
      </c>
      <c r="E499" s="270">
        <v>70055.570000000007</v>
      </c>
      <c r="F499" s="129">
        <f t="shared" si="22"/>
        <v>9.0990304776972231E-3</v>
      </c>
      <c r="G499" s="270">
        <v>22530.7</v>
      </c>
      <c r="H499" s="129">
        <f t="shared" si="21"/>
        <v>1.8698321153114428E-3</v>
      </c>
    </row>
    <row r="500" spans="2:8" x14ac:dyDescent="0.3">
      <c r="B500" s="269">
        <v>45442</v>
      </c>
      <c r="C500" s="270">
        <v>1705.3</v>
      </c>
      <c r="D500" s="129">
        <f t="shared" si="22"/>
        <v>-1.1104989996810644E-2</v>
      </c>
      <c r="E500" s="270">
        <v>69423.88</v>
      </c>
      <c r="F500" s="129">
        <f t="shared" si="22"/>
        <v>-4.5418287732703622E-3</v>
      </c>
      <c r="G500" s="270">
        <v>22488.65</v>
      </c>
      <c r="H500" s="129">
        <f t="shared" si="21"/>
        <v>-9.515650944518117E-3</v>
      </c>
    </row>
    <row r="501" spans="2:8" x14ac:dyDescent="0.3">
      <c r="B501" s="269">
        <v>45441</v>
      </c>
      <c r="C501" s="270">
        <v>1724.45</v>
      </c>
      <c r="D501" s="129">
        <f t="shared" si="22"/>
        <v>1.2149669845928024E-2</v>
      </c>
      <c r="E501" s="270">
        <v>69740.63</v>
      </c>
      <c r="F501" s="129">
        <f t="shared" si="22"/>
        <v>1.4743395699701178E-3</v>
      </c>
      <c r="G501" s="270">
        <v>22704.7</v>
      </c>
      <c r="H501" s="129">
        <f t="shared" si="21"/>
        <v>-8.015064563977492E-3</v>
      </c>
    </row>
    <row r="502" spans="2:8" x14ac:dyDescent="0.3">
      <c r="B502" s="269">
        <v>45440</v>
      </c>
      <c r="C502" s="270">
        <v>1703.75</v>
      </c>
      <c r="D502" s="129">
        <f t="shared" si="22"/>
        <v>-1.8803271135683031E-2</v>
      </c>
      <c r="E502" s="270">
        <v>69637.960000000006</v>
      </c>
      <c r="F502" s="129">
        <f t="shared" si="22"/>
        <v>-9.4623017817541122E-3</v>
      </c>
      <c r="G502" s="270">
        <v>22888.15</v>
      </c>
      <c r="H502" s="129">
        <f t="shared" si="21"/>
        <v>-1.9317604529824894E-3</v>
      </c>
    </row>
    <row r="503" spans="2:8" x14ac:dyDescent="0.3">
      <c r="B503" s="269">
        <v>45439</v>
      </c>
      <c r="C503" s="270">
        <v>1736.4</v>
      </c>
      <c r="D503" s="129">
        <f t="shared" si="22"/>
        <v>-1.374531409746671E-2</v>
      </c>
      <c r="E503" s="270">
        <v>70303.19</v>
      </c>
      <c r="F503" s="129">
        <f t="shared" si="22"/>
        <v>9.6390015930691852E-4</v>
      </c>
      <c r="G503" s="270">
        <v>22932.45</v>
      </c>
      <c r="H503" s="129">
        <f t="shared" si="21"/>
        <v>-1.073741892486324E-3</v>
      </c>
    </row>
    <row r="504" spans="2:8" x14ac:dyDescent="0.3">
      <c r="B504" s="269">
        <v>45436</v>
      </c>
      <c r="C504" s="270">
        <v>1760.6</v>
      </c>
      <c r="D504" s="129">
        <f t="shared" si="22"/>
        <v>-7.2457639065099944E-3</v>
      </c>
      <c r="E504" s="270">
        <v>70235.490000000005</v>
      </c>
      <c r="F504" s="129">
        <f t="shared" si="22"/>
        <v>1.0765545763535389E-2</v>
      </c>
      <c r="G504" s="270">
        <v>22957.1</v>
      </c>
      <c r="H504" s="129">
        <f t="shared" si="21"/>
        <v>-4.5934172629780168E-4</v>
      </c>
    </row>
    <row r="505" spans="2:8" x14ac:dyDescent="0.3">
      <c r="B505" s="269">
        <v>45435</v>
      </c>
      <c r="C505" s="270">
        <v>1773.45</v>
      </c>
      <c r="D505" s="129">
        <f t="shared" si="22"/>
        <v>-9.7160566211574872E-3</v>
      </c>
      <c r="E505" s="270">
        <v>69487.42</v>
      </c>
      <c r="F505" s="129">
        <f t="shared" si="22"/>
        <v>2.1252961802339598E-2</v>
      </c>
      <c r="G505" s="270">
        <v>22967.65</v>
      </c>
      <c r="H505" s="129">
        <f t="shared" si="21"/>
        <v>1.6366637460283773E-2</v>
      </c>
    </row>
    <row r="506" spans="2:8" x14ac:dyDescent="0.3">
      <c r="B506" s="269">
        <v>45434</v>
      </c>
      <c r="C506" s="270">
        <v>1790.85</v>
      </c>
      <c r="D506" s="129">
        <f t="shared" si="22"/>
        <v>-1.696171263894608E-2</v>
      </c>
      <c r="E506" s="270">
        <v>68041.34</v>
      </c>
      <c r="F506" s="129">
        <f t="shared" si="22"/>
        <v>5.7977094457828393E-3</v>
      </c>
      <c r="G506" s="270">
        <v>22597.8</v>
      </c>
      <c r="H506" s="129">
        <f t="shared" si="21"/>
        <v>3.0516155807722711E-3</v>
      </c>
    </row>
    <row r="507" spans="2:8" x14ac:dyDescent="0.3">
      <c r="B507" s="269">
        <v>45433</v>
      </c>
      <c r="C507" s="270">
        <v>1821.75</v>
      </c>
      <c r="D507" s="129">
        <f t="shared" si="22"/>
        <v>-1.9510226049515578E-2</v>
      </c>
      <c r="E507" s="270">
        <v>67649.13</v>
      </c>
      <c r="F507" s="129">
        <f t="shared" si="22"/>
        <v>8.4460116677138597E-3</v>
      </c>
      <c r="G507" s="270">
        <v>22529.05</v>
      </c>
      <c r="H507" s="129">
        <f t="shared" si="21"/>
        <v>1.2021153675227936E-3</v>
      </c>
    </row>
    <row r="508" spans="2:8" x14ac:dyDescent="0.3">
      <c r="B508" s="269">
        <v>45430</v>
      </c>
      <c r="C508" s="270">
        <v>1858</v>
      </c>
      <c r="D508" s="129">
        <f t="shared" si="22"/>
        <v>-1.1289715606687123E-3</v>
      </c>
      <c r="E508" s="270">
        <v>67082.55</v>
      </c>
      <c r="F508" s="129">
        <f t="shared" si="22"/>
        <v>1.1917179808946798E-2</v>
      </c>
      <c r="G508" s="270">
        <v>22502</v>
      </c>
      <c r="H508" s="129">
        <f t="shared" si="21"/>
        <v>1.5979631533733496E-3</v>
      </c>
    </row>
    <row r="509" spans="2:8" x14ac:dyDescent="0.3">
      <c r="B509" s="269">
        <v>45429</v>
      </c>
      <c r="C509" s="270">
        <v>1860.1</v>
      </c>
      <c r="D509" s="129">
        <f t="shared" si="22"/>
        <v>2.881637168141582E-2</v>
      </c>
      <c r="E509" s="270">
        <v>66292.53</v>
      </c>
      <c r="F509" s="129">
        <f t="shared" si="22"/>
        <v>7.8367758967603507E-3</v>
      </c>
      <c r="G509" s="270">
        <v>22466.1</v>
      </c>
      <c r="H509" s="129">
        <f t="shared" si="21"/>
        <v>2.7785402955295968E-3</v>
      </c>
    </row>
    <row r="510" spans="2:8" x14ac:dyDescent="0.3">
      <c r="B510" s="269">
        <v>45428</v>
      </c>
      <c r="C510" s="270">
        <v>1808</v>
      </c>
      <c r="D510" s="129">
        <f t="shared" si="22"/>
        <v>-4.953219592735314E-3</v>
      </c>
      <c r="E510" s="270">
        <v>65777.05</v>
      </c>
      <c r="F510" s="129">
        <f t="shared" si="22"/>
        <v>2.0524034201655494E-2</v>
      </c>
      <c r="G510" s="270">
        <v>22403.85</v>
      </c>
      <c r="H510" s="129">
        <f t="shared" si="21"/>
        <v>9.1574307843724778E-3</v>
      </c>
    </row>
    <row r="511" spans="2:8" x14ac:dyDescent="0.3">
      <c r="B511" s="269">
        <v>45427</v>
      </c>
      <c r="C511" s="270">
        <v>1817</v>
      </c>
      <c r="D511" s="129">
        <f t="shared" si="22"/>
        <v>-1.5660631370716382E-3</v>
      </c>
      <c r="E511" s="270">
        <v>64454.19</v>
      </c>
      <c r="F511" s="129">
        <f t="shared" si="22"/>
        <v>2.1333468974080727E-2</v>
      </c>
      <c r="G511" s="270">
        <v>22200.55</v>
      </c>
      <c r="H511" s="129">
        <f t="shared" si="21"/>
        <v>-7.7865320001702099E-4</v>
      </c>
    </row>
    <row r="512" spans="2:8" x14ac:dyDescent="0.3">
      <c r="B512" s="269">
        <v>45426</v>
      </c>
      <c r="C512" s="270">
        <v>1819.85</v>
      </c>
      <c r="D512" s="129">
        <f t="shared" si="22"/>
        <v>2.3480119228389773E-2</v>
      </c>
      <c r="E512" s="270">
        <v>63107.88</v>
      </c>
      <c r="F512" s="129">
        <f t="shared" si="22"/>
        <v>2.1079834265943287E-2</v>
      </c>
      <c r="G512" s="270">
        <v>22217.85</v>
      </c>
      <c r="H512" s="129">
        <f t="shared" si="21"/>
        <v>5.1483777859713253E-3</v>
      </c>
    </row>
    <row r="513" spans="2:8" x14ac:dyDescent="0.3">
      <c r="B513" s="269">
        <v>45425</v>
      </c>
      <c r="C513" s="270">
        <v>1778.1</v>
      </c>
      <c r="D513" s="129">
        <f t="shared" si="22"/>
        <v>-2.0519459057481981E-2</v>
      </c>
      <c r="E513" s="270">
        <v>61805.04</v>
      </c>
      <c r="F513" s="129">
        <f t="shared" si="22"/>
        <v>1.3405374348964605E-2</v>
      </c>
      <c r="G513" s="270">
        <v>22104.05</v>
      </c>
      <c r="H513" s="129">
        <f t="shared" si="21"/>
        <v>2.2148971671078765E-3</v>
      </c>
    </row>
    <row r="514" spans="2:8" x14ac:dyDescent="0.3">
      <c r="B514" s="269">
        <v>45422</v>
      </c>
      <c r="C514" s="270">
        <v>1815.35</v>
      </c>
      <c r="D514" s="129">
        <f t="shared" si="22"/>
        <v>-3.9141480971788489E-2</v>
      </c>
      <c r="E514" s="270">
        <v>60987.48</v>
      </c>
      <c r="F514" s="129">
        <f t="shared" si="22"/>
        <v>4.2847300257808918E-3</v>
      </c>
      <c r="G514" s="270">
        <v>22055.200000000001</v>
      </c>
      <c r="H514" s="129">
        <f t="shared" si="21"/>
        <v>4.4495047250370234E-3</v>
      </c>
    </row>
    <row r="515" spans="2:8" x14ac:dyDescent="0.3">
      <c r="B515" s="269">
        <v>45421</v>
      </c>
      <c r="C515" s="270">
        <v>1889.3</v>
      </c>
      <c r="D515" s="129">
        <f t="shared" si="22"/>
        <v>-3.9892265474133604E-2</v>
      </c>
      <c r="E515" s="270">
        <v>60727.28</v>
      </c>
      <c r="F515" s="129">
        <f t="shared" si="22"/>
        <v>-3.3747325302983855E-2</v>
      </c>
      <c r="G515" s="270">
        <v>21957.5</v>
      </c>
      <c r="H515" s="129">
        <f t="shared" si="21"/>
        <v>-1.546911781190452E-2</v>
      </c>
    </row>
    <row r="516" spans="2:8" x14ac:dyDescent="0.3">
      <c r="B516" s="269">
        <v>45420</v>
      </c>
      <c r="C516" s="270">
        <v>1967.8</v>
      </c>
      <c r="D516" s="129">
        <f t="shared" si="22"/>
        <v>9.516480697704166E-3</v>
      </c>
      <c r="E516" s="270">
        <v>62848.24</v>
      </c>
      <c r="F516" s="129">
        <f t="shared" si="22"/>
        <v>2.1303674992407151E-2</v>
      </c>
      <c r="G516" s="270">
        <v>22302.5</v>
      </c>
      <c r="H516" s="129">
        <f t="shared" si="21"/>
        <v>0</v>
      </c>
    </row>
    <row r="517" spans="2:8" x14ac:dyDescent="0.3">
      <c r="B517" s="269">
        <v>45419</v>
      </c>
      <c r="C517" s="270">
        <v>1949.25</v>
      </c>
      <c r="D517" s="129">
        <f t="shared" si="22"/>
        <v>-5.5458642244512246E-2</v>
      </c>
      <c r="E517" s="270">
        <v>61537.27</v>
      </c>
      <c r="F517" s="129">
        <f t="shared" si="22"/>
        <v>-1.1022271307236209E-2</v>
      </c>
      <c r="G517" s="270">
        <v>22302.5</v>
      </c>
      <c r="H517" s="129">
        <f t="shared" si="21"/>
        <v>-6.2470201891929866E-3</v>
      </c>
    </row>
    <row r="518" spans="2:8" x14ac:dyDescent="0.3">
      <c r="B518" s="269">
        <v>45418</v>
      </c>
      <c r="C518" s="270">
        <v>2063.6999999999998</v>
      </c>
      <c r="D518" s="129">
        <f t="shared" si="22"/>
        <v>0.12383597451396833</v>
      </c>
      <c r="E518" s="270">
        <v>62223.11</v>
      </c>
      <c r="F518" s="129">
        <f t="shared" si="22"/>
        <v>-6.2863381261942797E-3</v>
      </c>
      <c r="G518" s="270">
        <v>22442.7</v>
      </c>
      <c r="H518" s="129">
        <f t="shared" si="21"/>
        <v>-1.4749164102803025E-3</v>
      </c>
    </row>
    <row r="519" spans="2:8" x14ac:dyDescent="0.3">
      <c r="B519" s="269">
        <v>45415</v>
      </c>
      <c r="C519" s="270">
        <v>1836.3</v>
      </c>
      <c r="D519" s="129">
        <f t="shared" si="22"/>
        <v>1.5175387677253571E-2</v>
      </c>
      <c r="E519" s="270">
        <v>62616.74</v>
      </c>
      <c r="F519" s="129">
        <f t="shared" si="22"/>
        <v>-1.1828064912798975E-2</v>
      </c>
      <c r="G519" s="270">
        <v>22475.85</v>
      </c>
      <c r="H519" s="129">
        <f t="shared" si="21"/>
        <v>-7.6098762815588472E-3</v>
      </c>
    </row>
    <row r="520" spans="2:8" x14ac:dyDescent="0.3">
      <c r="B520" s="269">
        <v>45414</v>
      </c>
      <c r="C520" s="270">
        <v>1808.85</v>
      </c>
      <c r="D520" s="129">
        <f t="shared" si="22"/>
        <v>1.4981903880144642E-2</v>
      </c>
      <c r="E520" s="270">
        <v>63366.239999999998</v>
      </c>
      <c r="F520" s="129">
        <f t="shared" si="22"/>
        <v>5.4153165397696768E-3</v>
      </c>
      <c r="G520" s="270">
        <v>22648.2</v>
      </c>
      <c r="H520" s="129">
        <f t="shared" si="21"/>
        <v>1.917730044658672E-3</v>
      </c>
    </row>
    <row r="521" spans="2:8" x14ac:dyDescent="0.3">
      <c r="B521" s="269">
        <v>45412</v>
      </c>
      <c r="C521" s="270">
        <v>1782.15</v>
      </c>
      <c r="D521" s="129">
        <f t="shared" si="22"/>
        <v>2.7006498438688631E-3</v>
      </c>
      <c r="E521" s="270">
        <v>63024.94</v>
      </c>
      <c r="F521" s="129">
        <f t="shared" si="22"/>
        <v>-3.3472698805327994E-3</v>
      </c>
      <c r="G521" s="270">
        <v>22604.85</v>
      </c>
      <c r="H521" s="129">
        <f t="shared" si="21"/>
        <v>-1.7024828426828176E-3</v>
      </c>
    </row>
    <row r="522" spans="2:8" x14ac:dyDescent="0.3">
      <c r="B522" s="269">
        <v>45411</v>
      </c>
      <c r="C522" s="270">
        <v>1777.35</v>
      </c>
      <c r="D522" s="129">
        <f t="shared" si="22"/>
        <v>-6.42871118316235E-3</v>
      </c>
      <c r="E522" s="270">
        <v>63236.61</v>
      </c>
      <c r="F522" s="129">
        <f t="shared" si="22"/>
        <v>1.9260065546964356E-3</v>
      </c>
      <c r="G522" s="270">
        <v>22643.4</v>
      </c>
      <c r="H522" s="129">
        <f t="shared" ref="H522:H585" si="23">G522/G523-1</f>
        <v>9.9665699522077933E-3</v>
      </c>
    </row>
    <row r="523" spans="2:8" x14ac:dyDescent="0.3">
      <c r="B523" s="269">
        <v>45408</v>
      </c>
      <c r="C523" s="270">
        <v>1788.85</v>
      </c>
      <c r="D523" s="129">
        <f t="shared" si="22"/>
        <v>-1.5086028905712423E-2</v>
      </c>
      <c r="E523" s="270">
        <v>63115.05</v>
      </c>
      <c r="F523" s="129">
        <f t="shared" si="22"/>
        <v>-2.1324924786477739E-3</v>
      </c>
      <c r="G523" s="270">
        <v>22419.95</v>
      </c>
      <c r="H523" s="129">
        <f t="shared" si="23"/>
        <v>-6.6636095585579369E-3</v>
      </c>
    </row>
    <row r="524" spans="2:8" x14ac:dyDescent="0.3">
      <c r="B524" s="269">
        <v>45407</v>
      </c>
      <c r="C524" s="270">
        <v>1816.25</v>
      </c>
      <c r="D524" s="129">
        <f t="shared" si="22"/>
        <v>3.5431275297873599E-2</v>
      </c>
      <c r="E524" s="270">
        <v>63249.93</v>
      </c>
      <c r="F524" s="129">
        <f t="shared" si="22"/>
        <v>8.6887669424018377E-3</v>
      </c>
      <c r="G524" s="270">
        <v>22570.35</v>
      </c>
      <c r="H524" s="129">
        <f t="shared" si="23"/>
        <v>7.496964610934409E-3</v>
      </c>
    </row>
    <row r="525" spans="2:8" x14ac:dyDescent="0.3">
      <c r="B525" s="269">
        <v>45406</v>
      </c>
      <c r="C525" s="270">
        <v>1754.1</v>
      </c>
      <c r="D525" s="129">
        <f t="shared" si="22"/>
        <v>-4.0032836229306423E-2</v>
      </c>
      <c r="E525" s="270">
        <v>62705.1</v>
      </c>
      <c r="F525" s="129">
        <f t="shared" si="22"/>
        <v>9.0358489163320233E-3</v>
      </c>
      <c r="G525" s="270">
        <v>22402.400000000001</v>
      </c>
      <c r="H525" s="129">
        <f t="shared" si="23"/>
        <v>1.5379113018598733E-3</v>
      </c>
    </row>
    <row r="526" spans="2:8" x14ac:dyDescent="0.3">
      <c r="B526" s="269">
        <v>45405</v>
      </c>
      <c r="C526" s="270">
        <v>1827.25</v>
      </c>
      <c r="D526" s="129">
        <f t="shared" si="22"/>
        <v>1.6155043932821744E-2</v>
      </c>
      <c r="E526" s="270">
        <v>62143.58</v>
      </c>
      <c r="F526" s="129">
        <f t="shared" si="22"/>
        <v>1.6264612725402916E-3</v>
      </c>
      <c r="G526" s="270">
        <v>22368</v>
      </c>
      <c r="H526" s="129">
        <f t="shared" si="23"/>
        <v>1.4147311115488836E-3</v>
      </c>
    </row>
    <row r="527" spans="2:8" x14ac:dyDescent="0.3">
      <c r="B527" s="269">
        <v>45404</v>
      </c>
      <c r="C527" s="270">
        <v>1798.2</v>
      </c>
      <c r="D527" s="129">
        <f t="shared" si="22"/>
        <v>8.0129745314752476E-2</v>
      </c>
      <c r="E527" s="270">
        <v>62042.67</v>
      </c>
      <c r="F527" s="129">
        <f t="shared" si="22"/>
        <v>1.6503212316657523E-2</v>
      </c>
      <c r="G527" s="270">
        <v>22336.400000000001</v>
      </c>
      <c r="H527" s="129">
        <f t="shared" si="23"/>
        <v>8.5519483451483858E-3</v>
      </c>
    </row>
    <row r="528" spans="2:8" x14ac:dyDescent="0.3">
      <c r="B528" s="269">
        <v>45401</v>
      </c>
      <c r="C528" s="270">
        <v>1664.8</v>
      </c>
      <c r="D528" s="129">
        <f t="shared" si="22"/>
        <v>-8.723093870017018E-3</v>
      </c>
      <c r="E528" s="270">
        <v>61035.39</v>
      </c>
      <c r="F528" s="129">
        <f t="shared" si="22"/>
        <v>-1.9822874449242356E-3</v>
      </c>
      <c r="G528" s="270">
        <v>22147</v>
      </c>
      <c r="H528" s="129">
        <f t="shared" si="23"/>
        <v>6.8717508075386569E-3</v>
      </c>
    </row>
    <row r="529" spans="2:8" x14ac:dyDescent="0.3">
      <c r="B529" s="269">
        <v>45400</v>
      </c>
      <c r="C529" s="270">
        <v>1679.45</v>
      </c>
      <c r="D529" s="129">
        <f t="shared" si="22"/>
        <v>6.8222556607338003E-3</v>
      </c>
      <c r="E529" s="270">
        <v>61156.62</v>
      </c>
      <c r="F529" s="129">
        <f t="shared" si="22"/>
        <v>-1.3079456718601001E-4</v>
      </c>
      <c r="G529" s="270">
        <v>21995.85</v>
      </c>
      <c r="H529" s="129">
        <f t="shared" si="23"/>
        <v>-6.8652106971768267E-3</v>
      </c>
    </row>
    <row r="530" spans="2:8" x14ac:dyDescent="0.3">
      <c r="B530" s="269">
        <v>45398</v>
      </c>
      <c r="C530" s="270">
        <v>1668.07</v>
      </c>
      <c r="D530" s="129">
        <f t="shared" si="22"/>
        <v>-2.4817308727320686E-3</v>
      </c>
      <c r="E530" s="270">
        <v>61164.62</v>
      </c>
      <c r="F530" s="129">
        <f t="shared" si="22"/>
        <v>-2.5736092692985046E-3</v>
      </c>
      <c r="G530" s="270">
        <v>22147.9</v>
      </c>
      <c r="H530" s="129">
        <f t="shared" si="23"/>
        <v>-5.5943427994162853E-3</v>
      </c>
    </row>
    <row r="531" spans="2:8" x14ac:dyDescent="0.3">
      <c r="B531" s="269">
        <v>45397</v>
      </c>
      <c r="C531" s="270">
        <v>1672.22</v>
      </c>
      <c r="D531" s="129">
        <f t="shared" ref="D531:F594" si="24">C531/C532-1</f>
        <v>-8.0672906953291879E-3</v>
      </c>
      <c r="E531" s="270">
        <v>61322.44</v>
      </c>
      <c r="F531" s="129">
        <f t="shared" si="24"/>
        <v>-1.4927938548856434E-2</v>
      </c>
      <c r="G531" s="270">
        <v>22272.5</v>
      </c>
      <c r="H531" s="129">
        <f t="shared" si="23"/>
        <v>-1.0963880032327733E-2</v>
      </c>
    </row>
    <row r="532" spans="2:8" x14ac:dyDescent="0.3">
      <c r="B532" s="269">
        <v>45394</v>
      </c>
      <c r="C532" s="270">
        <v>1685.82</v>
      </c>
      <c r="D532" s="129">
        <f t="shared" si="24"/>
        <v>-5.5135615829260409E-4</v>
      </c>
      <c r="E532" s="270">
        <v>62251.73</v>
      </c>
      <c r="F532" s="129">
        <f t="shared" si="24"/>
        <v>-4.8680979329646101E-3</v>
      </c>
      <c r="G532" s="270">
        <v>22519.4</v>
      </c>
      <c r="H532" s="129">
        <f t="shared" si="23"/>
        <v>-1.0301576000492085E-2</v>
      </c>
    </row>
    <row r="533" spans="2:8" x14ac:dyDescent="0.3">
      <c r="B533" s="269">
        <v>45392</v>
      </c>
      <c r="C533" s="270">
        <v>1686.75</v>
      </c>
      <c r="D533" s="129">
        <f t="shared" si="24"/>
        <v>-1.6867897727271819E-3</v>
      </c>
      <c r="E533" s="270">
        <v>62556.26</v>
      </c>
      <c r="F533" s="129">
        <f t="shared" si="24"/>
        <v>1.1543731184222583E-3</v>
      </c>
      <c r="G533" s="270">
        <v>22753.8</v>
      </c>
      <c r="H533" s="129">
        <f t="shared" si="23"/>
        <v>4.904439610913025E-3</v>
      </c>
    </row>
    <row r="534" spans="2:8" x14ac:dyDescent="0.3">
      <c r="B534" s="269">
        <v>45391</v>
      </c>
      <c r="C534" s="270">
        <v>1689.6</v>
      </c>
      <c r="D534" s="129">
        <f t="shared" si="24"/>
        <v>-2.9505488020772352E-3</v>
      </c>
      <c r="E534" s="270">
        <v>62484.13</v>
      </c>
      <c r="F534" s="129">
        <f t="shared" si="24"/>
        <v>-4.8152101583686102E-3</v>
      </c>
      <c r="G534" s="270">
        <v>22642.75</v>
      </c>
      <c r="H534" s="129">
        <f t="shared" si="23"/>
        <v>-1.0389873953843276E-3</v>
      </c>
    </row>
    <row r="535" spans="2:8" x14ac:dyDescent="0.3">
      <c r="B535" s="269">
        <v>45390</v>
      </c>
      <c r="C535" s="270">
        <v>1694.6</v>
      </c>
      <c r="D535" s="129">
        <f t="shared" si="24"/>
        <v>2.8999230632655859E-3</v>
      </c>
      <c r="E535" s="270">
        <v>62786.46</v>
      </c>
      <c r="F535" s="129">
        <f t="shared" si="24"/>
        <v>5.0825241848111435E-3</v>
      </c>
      <c r="G535" s="270">
        <v>22666.3</v>
      </c>
      <c r="H535" s="129">
        <f t="shared" si="23"/>
        <v>6.7780951154186031E-3</v>
      </c>
    </row>
    <row r="536" spans="2:8" x14ac:dyDescent="0.3">
      <c r="B536" s="269">
        <v>45387</v>
      </c>
      <c r="C536" s="270">
        <v>1689.7</v>
      </c>
      <c r="D536" s="129">
        <f t="shared" si="24"/>
        <v>-1.4194617363756712E-2</v>
      </c>
      <c r="E536" s="270">
        <v>62468.959999999999</v>
      </c>
      <c r="F536" s="129">
        <f t="shared" si="24"/>
        <v>-2.1788865715512973E-3</v>
      </c>
      <c r="G536" s="270">
        <v>22513.7</v>
      </c>
      <c r="H536" s="129">
        <f t="shared" si="23"/>
        <v>-4.2194748752555356E-5</v>
      </c>
    </row>
    <row r="537" spans="2:8" x14ac:dyDescent="0.3">
      <c r="B537" s="269">
        <v>45386</v>
      </c>
      <c r="C537" s="270">
        <v>1714.03</v>
      </c>
      <c r="D537" s="129">
        <f t="shared" si="24"/>
        <v>6.4218303737737514E-2</v>
      </c>
      <c r="E537" s="270">
        <v>62605.37</v>
      </c>
      <c r="F537" s="129">
        <f t="shared" si="24"/>
        <v>1.6513029309705995E-3</v>
      </c>
      <c r="G537" s="270">
        <v>22514.65</v>
      </c>
      <c r="H537" s="129">
        <f t="shared" si="23"/>
        <v>3.5659125504521327E-3</v>
      </c>
    </row>
    <row r="538" spans="2:8" x14ac:dyDescent="0.3">
      <c r="B538" s="269">
        <v>45385</v>
      </c>
      <c r="C538" s="270">
        <v>1610.6</v>
      </c>
      <c r="D538" s="129">
        <f t="shared" si="24"/>
        <v>2.348044355479284E-2</v>
      </c>
      <c r="E538" s="270">
        <v>62502.16</v>
      </c>
      <c r="F538" s="129">
        <f t="shared" si="24"/>
        <v>1.0957214647526747E-3</v>
      </c>
      <c r="G538" s="270">
        <v>22434.65</v>
      </c>
      <c r="H538" s="129">
        <f t="shared" si="23"/>
        <v>-8.306128720498851E-4</v>
      </c>
    </row>
    <row r="539" spans="2:8" x14ac:dyDescent="0.3">
      <c r="B539" s="269">
        <v>45384</v>
      </c>
      <c r="C539" s="270">
        <v>1573.65</v>
      </c>
      <c r="D539" s="129">
        <f t="shared" si="24"/>
        <v>-4.0505047308628805E-3</v>
      </c>
      <c r="E539" s="270">
        <v>62433.75</v>
      </c>
      <c r="F539" s="129">
        <f t="shared" si="24"/>
        <v>7.1247822503748282E-3</v>
      </c>
      <c r="G539" s="270">
        <v>22453.3</v>
      </c>
      <c r="H539" s="129">
        <f t="shared" si="23"/>
        <v>-3.8732080847658779E-4</v>
      </c>
    </row>
    <row r="540" spans="2:8" x14ac:dyDescent="0.3">
      <c r="B540" s="269">
        <v>45383</v>
      </c>
      <c r="C540" s="270">
        <v>1580.05</v>
      </c>
      <c r="D540" s="129">
        <f t="shared" si="24"/>
        <v>4.8756395319382584E-4</v>
      </c>
      <c r="E540" s="270">
        <v>61992.07</v>
      </c>
      <c r="F540" s="129">
        <f t="shared" si="24"/>
        <v>1.7211951078316856E-2</v>
      </c>
      <c r="G540" s="270">
        <v>22462</v>
      </c>
      <c r="H540" s="129">
        <f t="shared" si="23"/>
        <v>6.0509967796693598E-3</v>
      </c>
    </row>
    <row r="541" spans="2:8" x14ac:dyDescent="0.3">
      <c r="B541" s="269">
        <v>45379</v>
      </c>
      <c r="C541" s="270">
        <v>1579.28</v>
      </c>
      <c r="D541" s="129">
        <f t="shared" si="24"/>
        <v>-4.9585735437734924E-3</v>
      </c>
      <c r="E541" s="270">
        <v>60943.12</v>
      </c>
      <c r="F541" s="129">
        <f t="shared" si="24"/>
        <v>1.5409474481687058E-2</v>
      </c>
      <c r="G541" s="270">
        <v>22326.9</v>
      </c>
      <c r="H541" s="129">
        <f t="shared" si="23"/>
        <v>9.1870012407537782E-3</v>
      </c>
    </row>
    <row r="542" spans="2:8" x14ac:dyDescent="0.3">
      <c r="B542" s="269">
        <v>45378</v>
      </c>
      <c r="C542" s="270">
        <v>1587.15</v>
      </c>
      <c r="D542" s="129">
        <f t="shared" si="24"/>
        <v>-6.4788732394365223E-3</v>
      </c>
      <c r="E542" s="270">
        <v>60018.27</v>
      </c>
      <c r="F542" s="129">
        <f t="shared" si="24"/>
        <v>9.9848683010426154E-3</v>
      </c>
      <c r="G542" s="270">
        <v>22123.65</v>
      </c>
      <c r="H542" s="129">
        <f t="shared" si="23"/>
        <v>5.4056633355601402E-3</v>
      </c>
    </row>
    <row r="543" spans="2:8" x14ac:dyDescent="0.3">
      <c r="B543" s="269">
        <v>45377</v>
      </c>
      <c r="C543" s="270">
        <v>1597.5</v>
      </c>
      <c r="D543" s="129">
        <f t="shared" si="24"/>
        <v>3.8141797000181832E-3</v>
      </c>
      <c r="E543" s="270">
        <v>59424.92</v>
      </c>
      <c r="F543" s="129">
        <f t="shared" si="24"/>
        <v>1.1895341699254214E-2</v>
      </c>
      <c r="G543" s="270">
        <v>22004.7</v>
      </c>
      <c r="H543" s="129">
        <f t="shared" si="23"/>
        <v>-4.1657709844207247E-3</v>
      </c>
    </row>
    <row r="544" spans="2:8" x14ac:dyDescent="0.3">
      <c r="B544" s="269">
        <v>45373</v>
      </c>
      <c r="C544" s="270">
        <v>1591.43</v>
      </c>
      <c r="D544" s="129">
        <f t="shared" si="24"/>
        <v>1.3004455760662115E-2</v>
      </c>
      <c r="E544" s="270">
        <v>58726.35</v>
      </c>
      <c r="F544" s="129">
        <f t="shared" si="24"/>
        <v>1.1720876546187586E-2</v>
      </c>
      <c r="G544" s="270">
        <v>22096.75</v>
      </c>
      <c r="H544" s="129">
        <f t="shared" si="23"/>
        <v>3.8524528721899376E-3</v>
      </c>
    </row>
    <row r="545" spans="2:8" x14ac:dyDescent="0.3">
      <c r="B545" s="269">
        <v>45372</v>
      </c>
      <c r="C545" s="270">
        <v>1571</v>
      </c>
      <c r="D545" s="129">
        <f t="shared" si="24"/>
        <v>3.2750890755860462E-2</v>
      </c>
      <c r="E545" s="270">
        <v>58046</v>
      </c>
      <c r="F545" s="129">
        <f t="shared" si="24"/>
        <v>2.7717894748769734E-2</v>
      </c>
      <c r="G545" s="270">
        <v>22011.95</v>
      </c>
      <c r="H545" s="129">
        <f t="shared" si="23"/>
        <v>7.9147034447391018E-3</v>
      </c>
    </row>
    <row r="546" spans="2:8" x14ac:dyDescent="0.3">
      <c r="B546" s="269">
        <v>45371</v>
      </c>
      <c r="C546" s="270">
        <v>1521.18</v>
      </c>
      <c r="D546" s="129">
        <f t="shared" si="24"/>
        <v>-7.0240205366420061E-2</v>
      </c>
      <c r="E546" s="270">
        <v>56480.480000000003</v>
      </c>
      <c r="F546" s="129">
        <f t="shared" si="24"/>
        <v>2.2434944782141475E-3</v>
      </c>
      <c r="G546" s="270">
        <v>21839.1</v>
      </c>
      <c r="H546" s="129">
        <f t="shared" si="23"/>
        <v>9.9232495089940365E-4</v>
      </c>
    </row>
    <row r="547" spans="2:8" x14ac:dyDescent="0.3">
      <c r="B547" s="269">
        <v>45370</v>
      </c>
      <c r="C547" s="270">
        <v>1636.1</v>
      </c>
      <c r="D547" s="129">
        <f t="shared" si="24"/>
        <v>5.0485723641546798E-2</v>
      </c>
      <c r="E547" s="270">
        <v>56354.05</v>
      </c>
      <c r="F547" s="129">
        <f t="shared" si="24"/>
        <v>-1.4750063464068153E-2</v>
      </c>
      <c r="G547" s="270">
        <v>21817.45</v>
      </c>
      <c r="H547" s="129">
        <f t="shared" si="23"/>
        <v>-1.0802196257656771E-2</v>
      </c>
    </row>
    <row r="548" spans="2:8" x14ac:dyDescent="0.3">
      <c r="B548" s="269">
        <v>45369</v>
      </c>
      <c r="C548" s="270">
        <v>1557.47</v>
      </c>
      <c r="D548" s="129">
        <f t="shared" si="24"/>
        <v>0.14762880216929974</v>
      </c>
      <c r="E548" s="270">
        <v>57197.72</v>
      </c>
      <c r="F548" s="129">
        <f t="shared" si="24"/>
        <v>6.6467734540887058E-3</v>
      </c>
      <c r="G548" s="270">
        <v>22055.7</v>
      </c>
      <c r="H548" s="129">
        <f t="shared" si="23"/>
        <v>1.4688955131714199E-3</v>
      </c>
    </row>
    <row r="549" spans="2:8" x14ac:dyDescent="0.3">
      <c r="B549" s="269">
        <v>45366</v>
      </c>
      <c r="C549" s="270">
        <v>1357.12</v>
      </c>
      <c r="D549" s="129">
        <f t="shared" si="24"/>
        <v>5.3026893651360041E-2</v>
      </c>
      <c r="E549" s="270">
        <v>56820.05</v>
      </c>
      <c r="F549" s="129">
        <f t="shared" si="24"/>
        <v>-1.2488481649368666E-2</v>
      </c>
      <c r="G549" s="270">
        <v>22023.35</v>
      </c>
      <c r="H549" s="129">
        <f t="shared" si="23"/>
        <v>-5.5674334493028832E-3</v>
      </c>
    </row>
    <row r="550" spans="2:8" x14ac:dyDescent="0.3">
      <c r="B550" s="269">
        <v>45365</v>
      </c>
      <c r="C550" s="270">
        <v>1288.78</v>
      </c>
      <c r="D550" s="129">
        <f t="shared" si="24"/>
        <v>1.7956112462784724E-3</v>
      </c>
      <c r="E550" s="270">
        <v>57538.62</v>
      </c>
      <c r="F550" s="129">
        <f t="shared" si="24"/>
        <v>2.0037281714498034E-2</v>
      </c>
      <c r="G550" s="270">
        <v>22146.65</v>
      </c>
      <c r="H550" s="129">
        <f t="shared" si="23"/>
        <v>6.7711624397095438E-3</v>
      </c>
    </row>
    <row r="551" spans="2:8" x14ac:dyDescent="0.3">
      <c r="B551" s="269">
        <v>45364</v>
      </c>
      <c r="C551" s="270">
        <v>1286.47</v>
      </c>
      <c r="D551" s="129">
        <f t="shared" si="24"/>
        <v>-5.4365163955514051E-2</v>
      </c>
      <c r="E551" s="270">
        <v>56408.35</v>
      </c>
      <c r="F551" s="129">
        <f t="shared" si="24"/>
        <v>-3.332711258306964E-2</v>
      </c>
      <c r="G551" s="270">
        <v>21997.7</v>
      </c>
      <c r="H551" s="129">
        <f t="shared" si="23"/>
        <v>-1.5132724741109493E-2</v>
      </c>
    </row>
    <row r="552" spans="2:8" x14ac:dyDescent="0.3">
      <c r="B552" s="269">
        <v>45363</v>
      </c>
      <c r="C552" s="270">
        <v>1360.43</v>
      </c>
      <c r="D552" s="129">
        <f t="shared" si="24"/>
        <v>-1.0106816461959323E-2</v>
      </c>
      <c r="E552" s="270">
        <v>58353.09</v>
      </c>
      <c r="F552" s="129">
        <f t="shared" si="24"/>
        <v>-1.3203433701097889E-2</v>
      </c>
      <c r="G552" s="270">
        <v>22335.7</v>
      </c>
      <c r="H552" s="129">
        <f t="shared" si="23"/>
        <v>1.3657134285449679E-4</v>
      </c>
    </row>
    <row r="553" spans="2:8" x14ac:dyDescent="0.3">
      <c r="B553" s="269">
        <v>45362</v>
      </c>
      <c r="C553" s="270">
        <v>1374.32</v>
      </c>
      <c r="D553" s="129">
        <f t="shared" si="24"/>
        <v>-2.3192011087814102E-2</v>
      </c>
      <c r="E553" s="270">
        <v>59133.86</v>
      </c>
      <c r="F553" s="129">
        <f t="shared" si="24"/>
        <v>-5.5985870432891938E-3</v>
      </c>
      <c r="G553" s="270">
        <v>22332.65</v>
      </c>
      <c r="H553" s="129">
        <f t="shared" si="23"/>
        <v>-7.1531616841271628E-3</v>
      </c>
    </row>
    <row r="554" spans="2:8" x14ac:dyDescent="0.3">
      <c r="B554" s="269">
        <v>45358</v>
      </c>
      <c r="C554" s="270">
        <v>1406.95</v>
      </c>
      <c r="D554" s="129">
        <f t="shared" si="24"/>
        <v>2.8021335671489123E-2</v>
      </c>
      <c r="E554" s="270">
        <v>59466.79</v>
      </c>
      <c r="F554" s="129">
        <f t="shared" si="24"/>
        <v>1.0488440438372049E-2</v>
      </c>
      <c r="G554" s="270">
        <v>22493.55</v>
      </c>
      <c r="H554" s="129">
        <f t="shared" si="23"/>
        <v>8.6766737637411495E-4</v>
      </c>
    </row>
    <row r="555" spans="2:8" x14ac:dyDescent="0.3">
      <c r="B555" s="269">
        <v>45357</v>
      </c>
      <c r="C555" s="270">
        <v>1368.6</v>
      </c>
      <c r="D555" s="129">
        <f t="shared" si="24"/>
        <v>-2.5248388590149995E-2</v>
      </c>
      <c r="E555" s="270">
        <v>58849.55</v>
      </c>
      <c r="F555" s="129">
        <f t="shared" si="24"/>
        <v>-3.1121433727115955E-3</v>
      </c>
      <c r="G555" s="270">
        <v>22474.05</v>
      </c>
      <c r="H555" s="129">
        <f t="shared" si="23"/>
        <v>5.2669717260906967E-3</v>
      </c>
    </row>
    <row r="556" spans="2:8" x14ac:dyDescent="0.3">
      <c r="B556" s="269">
        <v>45356</v>
      </c>
      <c r="C556" s="270">
        <v>1404.05</v>
      </c>
      <c r="D556" s="129">
        <f t="shared" si="24"/>
        <v>1.7007467929913034E-2</v>
      </c>
      <c r="E556" s="270">
        <v>59033.27</v>
      </c>
      <c r="F556" s="129">
        <f t="shared" si="24"/>
        <v>-3.7222910316515589E-3</v>
      </c>
      <c r="G556" s="270">
        <v>22356.3</v>
      </c>
      <c r="H556" s="129">
        <f t="shared" si="23"/>
        <v>-2.2003427714499812E-3</v>
      </c>
    </row>
    <row r="557" spans="2:8" x14ac:dyDescent="0.3">
      <c r="B557" s="269">
        <v>45355</v>
      </c>
      <c r="C557" s="270">
        <v>1380.57</v>
      </c>
      <c r="D557" s="129">
        <f t="shared" si="24"/>
        <v>-6.5125717822137608E-3</v>
      </c>
      <c r="E557" s="270">
        <v>59253.83</v>
      </c>
      <c r="F557" s="129">
        <f t="shared" si="24"/>
        <v>1.6705263003082838E-3</v>
      </c>
      <c r="G557" s="270">
        <v>22405.599999999999</v>
      </c>
      <c r="H557" s="129">
        <f t="shared" si="23"/>
        <v>1.2154577628427088E-3</v>
      </c>
    </row>
    <row r="558" spans="2:8" x14ac:dyDescent="0.3">
      <c r="B558" s="269">
        <v>45353</v>
      </c>
      <c r="C558" s="270">
        <v>1389.62</v>
      </c>
      <c r="D558" s="129">
        <f t="shared" si="24"/>
        <v>5.0376021013986971E-5</v>
      </c>
      <c r="E558" s="270">
        <v>59155.01</v>
      </c>
      <c r="F558" s="129">
        <f t="shared" si="24"/>
        <v>5.3094195887708473E-3</v>
      </c>
      <c r="G558" s="270">
        <v>22378.400000000001</v>
      </c>
      <c r="H558" s="129">
        <f t="shared" si="23"/>
        <v>1.7749426445079486E-3</v>
      </c>
    </row>
    <row r="559" spans="2:8" x14ac:dyDescent="0.3">
      <c r="B559" s="269">
        <v>45352</v>
      </c>
      <c r="C559" s="270">
        <v>1389.55</v>
      </c>
      <c r="D559" s="129">
        <f t="shared" si="24"/>
        <v>-1.2598772099368993E-2</v>
      </c>
      <c r="E559" s="270">
        <v>58842.59</v>
      </c>
      <c r="F559" s="129">
        <f t="shared" si="24"/>
        <v>2.4871012841152229E-2</v>
      </c>
      <c r="G559" s="270">
        <v>22338.75</v>
      </c>
      <c r="H559" s="129">
        <f t="shared" si="23"/>
        <v>1.6192204814673428E-2</v>
      </c>
    </row>
    <row r="560" spans="2:8" x14ac:dyDescent="0.3">
      <c r="B560" s="269">
        <v>45351</v>
      </c>
      <c r="C560" s="270">
        <v>1407.28</v>
      </c>
      <c r="D560" s="129">
        <f t="shared" si="24"/>
        <v>5.810670764392567E-3</v>
      </c>
      <c r="E560" s="270">
        <v>57414.63</v>
      </c>
      <c r="F560" s="129">
        <f t="shared" si="24"/>
        <v>6.4593316113357169E-3</v>
      </c>
      <c r="G560" s="270">
        <v>21982.799999999999</v>
      </c>
      <c r="H560" s="129">
        <f t="shared" si="23"/>
        <v>1.4418378991531977E-3</v>
      </c>
    </row>
    <row r="561" spans="2:8" x14ac:dyDescent="0.3">
      <c r="B561" s="269">
        <v>45350</v>
      </c>
      <c r="C561" s="270">
        <v>1399.15</v>
      </c>
      <c r="D561" s="129">
        <f t="shared" si="24"/>
        <v>4.3284139198347393E-3</v>
      </c>
      <c r="E561" s="270">
        <v>57046.15</v>
      </c>
      <c r="F561" s="129">
        <f t="shared" si="24"/>
        <v>-1.0669020178858069E-2</v>
      </c>
      <c r="G561" s="270">
        <v>21951.15</v>
      </c>
      <c r="H561" s="129">
        <f t="shared" si="23"/>
        <v>-1.1135962808046407E-2</v>
      </c>
    </row>
    <row r="562" spans="2:8" x14ac:dyDescent="0.3">
      <c r="B562" s="269">
        <v>45349</v>
      </c>
      <c r="C562" s="270">
        <v>1393.12</v>
      </c>
      <c r="D562" s="129">
        <f t="shared" si="24"/>
        <v>-2.368222756469196E-4</v>
      </c>
      <c r="E562" s="270">
        <v>57661.34</v>
      </c>
      <c r="F562" s="129">
        <f t="shared" si="24"/>
        <v>7.9297017709154538E-3</v>
      </c>
      <c r="G562" s="270">
        <v>22198.35</v>
      </c>
      <c r="H562" s="129">
        <f t="shared" si="23"/>
        <v>3.4490474436139618E-3</v>
      </c>
    </row>
    <row r="563" spans="2:8" x14ac:dyDescent="0.3">
      <c r="B563" s="269">
        <v>45348</v>
      </c>
      <c r="C563" s="270">
        <v>1393.45</v>
      </c>
      <c r="D563" s="129">
        <f t="shared" si="24"/>
        <v>-7.5990656069280238E-3</v>
      </c>
      <c r="E563" s="270">
        <v>57207.7</v>
      </c>
      <c r="F563" s="129">
        <f t="shared" si="24"/>
        <v>8.3830832309956804E-3</v>
      </c>
      <c r="G563" s="270">
        <v>22122.05</v>
      </c>
      <c r="H563" s="129">
        <f t="shared" si="23"/>
        <v>-4.0809987079464261E-3</v>
      </c>
    </row>
    <row r="564" spans="2:8" x14ac:dyDescent="0.3">
      <c r="B564" s="269">
        <v>45345</v>
      </c>
      <c r="C564" s="270">
        <v>1404.12</v>
      </c>
      <c r="D564" s="129">
        <f t="shared" si="24"/>
        <v>3.3728740888951947E-3</v>
      </c>
      <c r="E564" s="270">
        <v>56732.11</v>
      </c>
      <c r="F564" s="129">
        <f t="shared" si="24"/>
        <v>1.1788782456559677E-2</v>
      </c>
      <c r="G564" s="270">
        <v>22212.7</v>
      </c>
      <c r="H564" s="129">
        <f t="shared" si="23"/>
        <v>-2.1379591267223219E-4</v>
      </c>
    </row>
    <row r="565" spans="2:8" x14ac:dyDescent="0.3">
      <c r="B565" s="269">
        <v>45344</v>
      </c>
      <c r="C565" s="270">
        <v>1399.4</v>
      </c>
      <c r="D565" s="129">
        <f t="shared" si="24"/>
        <v>-8.2211197732103836E-3</v>
      </c>
      <c r="E565" s="270">
        <v>56071.1</v>
      </c>
      <c r="F565" s="129">
        <f t="shared" si="24"/>
        <v>1.802654152103278E-2</v>
      </c>
      <c r="G565" s="270">
        <v>22217.45</v>
      </c>
      <c r="H565" s="129">
        <f t="shared" si="23"/>
        <v>7.3633929644232321E-3</v>
      </c>
    </row>
    <row r="566" spans="2:8" x14ac:dyDescent="0.3">
      <c r="B566" s="269">
        <v>45343</v>
      </c>
      <c r="C566" s="270">
        <v>1411</v>
      </c>
      <c r="D566" s="129">
        <f t="shared" si="24"/>
        <v>3.8060683669476347E-3</v>
      </c>
      <c r="E566" s="270">
        <v>55078.23</v>
      </c>
      <c r="F566" s="129">
        <f t="shared" si="24"/>
        <v>-1.2346247960701939E-2</v>
      </c>
      <c r="G566" s="270">
        <v>22055.05</v>
      </c>
      <c r="H566" s="129">
        <f t="shared" si="23"/>
        <v>-6.3927701778848656E-3</v>
      </c>
    </row>
    <row r="567" spans="2:8" x14ac:dyDescent="0.3">
      <c r="B567" s="269">
        <v>45342</v>
      </c>
      <c r="C567" s="270">
        <v>1405.65</v>
      </c>
      <c r="D567" s="129">
        <f t="shared" si="24"/>
        <v>-1.6044016044015952E-2</v>
      </c>
      <c r="E567" s="270">
        <v>55766.74</v>
      </c>
      <c r="F567" s="129">
        <f t="shared" si="24"/>
        <v>2.0954128948127426E-3</v>
      </c>
      <c r="G567" s="270">
        <v>22196.95</v>
      </c>
      <c r="H567" s="129">
        <f t="shared" si="23"/>
        <v>3.3766908881329716E-3</v>
      </c>
    </row>
    <row r="568" spans="2:8" x14ac:dyDescent="0.3">
      <c r="B568" s="269">
        <v>45341</v>
      </c>
      <c r="C568" s="270">
        <v>1428.57</v>
      </c>
      <c r="D568" s="129">
        <f t="shared" si="24"/>
        <v>-2.1125119912292822E-2</v>
      </c>
      <c r="E568" s="270">
        <v>55650.13</v>
      </c>
      <c r="F568" s="129">
        <f t="shared" si="24"/>
        <v>-6.2364987320393528E-3</v>
      </c>
      <c r="G568" s="270">
        <v>22122.25</v>
      </c>
      <c r="H568" s="129">
        <f t="shared" si="23"/>
        <v>3.6999732313400813E-3</v>
      </c>
    </row>
    <row r="569" spans="2:8" x14ac:dyDescent="0.3">
      <c r="B569" s="269">
        <v>45338</v>
      </c>
      <c r="C569" s="270">
        <v>1459.4</v>
      </c>
      <c r="D569" s="129">
        <f t="shared" si="24"/>
        <v>6.5099985403590743E-2</v>
      </c>
      <c r="E569" s="270">
        <v>55999.37</v>
      </c>
      <c r="F569" s="129">
        <f t="shared" si="24"/>
        <v>1.3796476981401629E-2</v>
      </c>
      <c r="G569" s="270">
        <v>22040.7</v>
      </c>
      <c r="H569" s="129">
        <f t="shared" si="23"/>
        <v>5.9308786782743539E-3</v>
      </c>
    </row>
    <row r="570" spans="2:8" x14ac:dyDescent="0.3">
      <c r="B570" s="269">
        <v>45337</v>
      </c>
      <c r="C570" s="270">
        <v>1370.2</v>
      </c>
      <c r="D570" s="129">
        <f t="shared" si="24"/>
        <v>1.938027749879101E-2</v>
      </c>
      <c r="E570" s="270">
        <v>55237.29</v>
      </c>
      <c r="F570" s="129">
        <f t="shared" si="24"/>
        <v>4.7063817991528367E-3</v>
      </c>
      <c r="G570" s="270">
        <v>21910.75</v>
      </c>
      <c r="H570" s="129">
        <f t="shared" si="23"/>
        <v>3.2371720760713263E-3</v>
      </c>
    </row>
    <row r="571" spans="2:8" x14ac:dyDescent="0.3">
      <c r="B571" s="269">
        <v>45336</v>
      </c>
      <c r="C571" s="270">
        <v>1344.15</v>
      </c>
      <c r="D571" s="129">
        <f t="shared" si="24"/>
        <v>1.4812801522049446E-2</v>
      </c>
      <c r="E571" s="270">
        <v>54978.54</v>
      </c>
      <c r="F571" s="129">
        <f t="shared" si="24"/>
        <v>1.0629910476547266E-2</v>
      </c>
      <c r="G571" s="270">
        <v>21840.05</v>
      </c>
      <c r="H571" s="129">
        <f t="shared" si="23"/>
        <v>4.4519563542708696E-3</v>
      </c>
    </row>
    <row r="572" spans="2:8" x14ac:dyDescent="0.3">
      <c r="B572" s="269">
        <v>45335</v>
      </c>
      <c r="C572" s="270">
        <v>1324.53</v>
      </c>
      <c r="D572" s="129">
        <f t="shared" si="24"/>
        <v>-1.7323500608362852E-2</v>
      </c>
      <c r="E572" s="270">
        <v>54400.27</v>
      </c>
      <c r="F572" s="129">
        <f t="shared" si="24"/>
        <v>3.8115124430491143E-3</v>
      </c>
      <c r="G572" s="270">
        <v>21743.25</v>
      </c>
      <c r="H572" s="129">
        <f t="shared" si="23"/>
        <v>5.8845163663112654E-3</v>
      </c>
    </row>
    <row r="573" spans="2:8" x14ac:dyDescent="0.3">
      <c r="B573" s="269">
        <v>45334</v>
      </c>
      <c r="C573" s="270">
        <v>1347.88</v>
      </c>
      <c r="D573" s="129">
        <f t="shared" si="24"/>
        <v>-0.12888256963743283</v>
      </c>
      <c r="E573" s="270">
        <v>54193.71</v>
      </c>
      <c r="F573" s="129">
        <f t="shared" si="24"/>
        <v>-2.2686934620987476E-2</v>
      </c>
      <c r="G573" s="270">
        <v>21616.05</v>
      </c>
      <c r="H573" s="129">
        <f t="shared" si="23"/>
        <v>-7.6414552966831417E-3</v>
      </c>
    </row>
    <row r="574" spans="2:8" x14ac:dyDescent="0.3">
      <c r="B574" s="269">
        <v>45331</v>
      </c>
      <c r="C574" s="270">
        <v>1547.3</v>
      </c>
      <c r="D574" s="129">
        <f t="shared" si="24"/>
        <v>-3.9268700914124599E-3</v>
      </c>
      <c r="E574" s="270">
        <v>55451.74</v>
      </c>
      <c r="F574" s="129">
        <f t="shared" si="24"/>
        <v>-8.5852571152112978E-3</v>
      </c>
      <c r="G574" s="270">
        <v>21782.5</v>
      </c>
      <c r="H574" s="129">
        <f t="shared" si="23"/>
        <v>2.9721958103781088E-3</v>
      </c>
    </row>
    <row r="575" spans="2:8" x14ac:dyDescent="0.3">
      <c r="B575" s="269">
        <v>45330</v>
      </c>
      <c r="C575" s="270">
        <v>1553.4</v>
      </c>
      <c r="D575" s="129">
        <f t="shared" si="24"/>
        <v>3.5206621483836242E-2</v>
      </c>
      <c r="E575" s="270">
        <v>55931.93</v>
      </c>
      <c r="F575" s="129">
        <f t="shared" si="24"/>
        <v>-6.7447747130526814E-3</v>
      </c>
      <c r="G575" s="270">
        <v>21717.95</v>
      </c>
      <c r="H575" s="129">
        <f t="shared" si="23"/>
        <v>-9.6919814869701471E-3</v>
      </c>
    </row>
    <row r="576" spans="2:8" x14ac:dyDescent="0.3">
      <c r="B576" s="269">
        <v>45329</v>
      </c>
      <c r="C576" s="270">
        <v>1500.57</v>
      </c>
      <c r="D576" s="129">
        <f t="shared" si="24"/>
        <v>6.9250125817814645E-3</v>
      </c>
      <c r="E576" s="270">
        <v>56311.74</v>
      </c>
      <c r="F576" s="129">
        <f t="shared" si="24"/>
        <v>-3.082541365219571E-3</v>
      </c>
      <c r="G576" s="270">
        <v>21930.5</v>
      </c>
      <c r="H576" s="129">
        <f t="shared" si="23"/>
        <v>5.0160971116319786E-5</v>
      </c>
    </row>
    <row r="577" spans="2:8" x14ac:dyDescent="0.3">
      <c r="B577" s="269">
        <v>45328</v>
      </c>
      <c r="C577" s="270">
        <v>1490.25</v>
      </c>
      <c r="D577" s="129">
        <f t="shared" si="24"/>
        <v>1.6056453262425885E-2</v>
      </c>
      <c r="E577" s="270">
        <v>56485.86</v>
      </c>
      <c r="F577" s="129">
        <f t="shared" si="24"/>
        <v>1.6098306666517903E-2</v>
      </c>
      <c r="G577" s="270">
        <v>21929.4</v>
      </c>
      <c r="H577" s="129">
        <f t="shared" si="23"/>
        <v>7.2433480160023489E-3</v>
      </c>
    </row>
    <row r="578" spans="2:8" x14ac:dyDescent="0.3">
      <c r="B578" s="269">
        <v>45327</v>
      </c>
      <c r="C578" s="270">
        <v>1466.7</v>
      </c>
      <c r="D578" s="129">
        <f t="shared" si="24"/>
        <v>-2.7064676616915362E-2</v>
      </c>
      <c r="E578" s="270">
        <v>55590.94</v>
      </c>
      <c r="F578" s="129">
        <f t="shared" si="24"/>
        <v>-8.5828628090210968E-3</v>
      </c>
      <c r="G578" s="270">
        <v>21771.7</v>
      </c>
      <c r="H578" s="129">
        <f t="shared" si="23"/>
        <v>-3.756783717248191E-3</v>
      </c>
    </row>
    <row r="579" spans="2:8" x14ac:dyDescent="0.3">
      <c r="B579" s="269">
        <v>45324</v>
      </c>
      <c r="C579" s="270">
        <v>1507.5</v>
      </c>
      <c r="D579" s="129">
        <f t="shared" si="24"/>
        <v>2.3873399667198703E-2</v>
      </c>
      <c r="E579" s="270">
        <v>56072.2</v>
      </c>
      <c r="F579" s="129">
        <f t="shared" si="24"/>
        <v>3.1719175758126994E-4</v>
      </c>
      <c r="G579" s="270">
        <v>21853.8</v>
      </c>
      <c r="H579" s="129">
        <f t="shared" si="23"/>
        <v>7.2059159025599229E-3</v>
      </c>
    </row>
    <row r="580" spans="2:8" x14ac:dyDescent="0.3">
      <c r="B580" s="269">
        <v>45323</v>
      </c>
      <c r="C580" s="270">
        <v>1472.35</v>
      </c>
      <c r="D580" s="129">
        <f t="shared" si="24"/>
        <v>6.7964794236585746E-4</v>
      </c>
      <c r="E580" s="270">
        <v>56054.42</v>
      </c>
      <c r="F580" s="129">
        <f t="shared" si="24"/>
        <v>-1.1208535993140312E-2</v>
      </c>
      <c r="G580" s="270">
        <v>21697.45</v>
      </c>
      <c r="H580" s="129">
        <f t="shared" si="23"/>
        <v>-1.3003033273956133E-3</v>
      </c>
    </row>
    <row r="581" spans="2:8" x14ac:dyDescent="0.3">
      <c r="B581" s="269">
        <v>45322</v>
      </c>
      <c r="C581" s="270">
        <v>1471.35</v>
      </c>
      <c r="D581" s="129">
        <f t="shared" si="24"/>
        <v>2.5893495962658886E-3</v>
      </c>
      <c r="E581" s="270">
        <v>56689.83</v>
      </c>
      <c r="F581" s="129">
        <f t="shared" si="24"/>
        <v>-1.2332379984696273E-2</v>
      </c>
      <c r="G581" s="270">
        <v>21725.7</v>
      </c>
      <c r="H581" s="129">
        <f t="shared" si="23"/>
        <v>9.4600433972522602E-3</v>
      </c>
    </row>
    <row r="582" spans="2:8" x14ac:dyDescent="0.3">
      <c r="B582" s="269">
        <v>45321</v>
      </c>
      <c r="C582" s="270">
        <v>1467.55</v>
      </c>
      <c r="D582" s="129">
        <f t="shared" si="24"/>
        <v>1.2280402524305067E-3</v>
      </c>
      <c r="E582" s="270">
        <v>57397.68</v>
      </c>
      <c r="F582" s="129">
        <f t="shared" si="24"/>
        <v>-1.2366565157705955E-2</v>
      </c>
      <c r="G582" s="270">
        <v>21522.1</v>
      </c>
      <c r="H582" s="129">
        <f t="shared" si="23"/>
        <v>-9.9136979243338308E-3</v>
      </c>
    </row>
    <row r="583" spans="2:8" x14ac:dyDescent="0.3">
      <c r="B583" s="269">
        <v>45320</v>
      </c>
      <c r="C583" s="270">
        <v>1465.75</v>
      </c>
      <c r="D583" s="129">
        <f t="shared" si="24"/>
        <v>-1.3042717086834688E-2</v>
      </c>
      <c r="E583" s="270">
        <v>58116.38</v>
      </c>
      <c r="F583" s="129">
        <f t="shared" si="24"/>
        <v>2.1309476925877702E-2</v>
      </c>
      <c r="G583" s="270">
        <v>21737.599999999999</v>
      </c>
      <c r="H583" s="129">
        <f t="shared" si="23"/>
        <v>1.8030591122392581E-2</v>
      </c>
    </row>
    <row r="584" spans="2:8" x14ac:dyDescent="0.3">
      <c r="B584" s="269">
        <v>45316</v>
      </c>
      <c r="C584" s="270">
        <v>1485.12</v>
      </c>
      <c r="D584" s="129">
        <f t="shared" si="24"/>
        <v>-9.7549591598600216E-3</v>
      </c>
      <c r="E584" s="270">
        <v>56903.79</v>
      </c>
      <c r="F584" s="129">
        <f t="shared" si="24"/>
        <v>4.2808813010235536E-3</v>
      </c>
      <c r="G584" s="270">
        <v>21352.6</v>
      </c>
      <c r="H584" s="129">
        <f t="shared" si="23"/>
        <v>-4.7240717909756702E-3</v>
      </c>
    </row>
    <row r="585" spans="2:8" x14ac:dyDescent="0.3">
      <c r="B585" s="269">
        <v>45315</v>
      </c>
      <c r="C585" s="270">
        <v>1499.75</v>
      </c>
      <c r="D585" s="129">
        <f t="shared" si="24"/>
        <v>5.3628288922407119E-3</v>
      </c>
      <c r="E585" s="270">
        <v>56661.23</v>
      </c>
      <c r="F585" s="129">
        <f t="shared" si="24"/>
        <v>1.4343355828257076E-2</v>
      </c>
      <c r="G585" s="270">
        <v>21453.95</v>
      </c>
      <c r="H585" s="129">
        <f t="shared" si="23"/>
        <v>1.0130045011959243E-2</v>
      </c>
    </row>
    <row r="586" spans="2:8" x14ac:dyDescent="0.3">
      <c r="B586" s="269">
        <v>45314</v>
      </c>
      <c r="C586" s="270">
        <v>1491.75</v>
      </c>
      <c r="D586" s="129">
        <f t="shared" si="24"/>
        <v>-4.9825909472925867E-3</v>
      </c>
      <c r="E586" s="270">
        <v>55860.01</v>
      </c>
      <c r="F586" s="129">
        <f t="shared" si="24"/>
        <v>-2.5151641596524166E-2</v>
      </c>
      <c r="G586" s="270">
        <v>21238.799999999999</v>
      </c>
      <c r="H586" s="129">
        <f t="shared" ref="H586:H649" si="25">G586/G587-1</f>
        <v>-1.5436820293160514E-2</v>
      </c>
    </row>
    <row r="587" spans="2:8" x14ac:dyDescent="0.3">
      <c r="B587" s="269">
        <v>45311</v>
      </c>
      <c r="C587" s="270">
        <v>1499.22</v>
      </c>
      <c r="D587" s="129">
        <f t="shared" si="24"/>
        <v>2.0854220974535487E-3</v>
      </c>
      <c r="E587" s="270">
        <v>57301.23</v>
      </c>
      <c r="F587" s="129">
        <f t="shared" si="24"/>
        <v>-1.9062658561552759E-3</v>
      </c>
      <c r="G587" s="270">
        <v>21571.8</v>
      </c>
      <c r="H587" s="129">
        <f t="shared" si="25"/>
        <v>-2.3401657540329523E-3</v>
      </c>
    </row>
    <row r="588" spans="2:8" x14ac:dyDescent="0.3">
      <c r="B588" s="269">
        <v>45310</v>
      </c>
      <c r="C588" s="270">
        <v>1496.1</v>
      </c>
      <c r="D588" s="129">
        <f t="shared" si="24"/>
        <v>4.6077471682282045E-2</v>
      </c>
      <c r="E588" s="270">
        <v>57410.67</v>
      </c>
      <c r="F588" s="129">
        <f t="shared" si="24"/>
        <v>1.450131507240493E-2</v>
      </c>
      <c r="G588" s="270">
        <v>21622.400000000001</v>
      </c>
      <c r="H588" s="129">
        <f t="shared" si="25"/>
        <v>7.4619389858938678E-3</v>
      </c>
    </row>
    <row r="589" spans="2:8" x14ac:dyDescent="0.3">
      <c r="B589" s="269">
        <v>45309</v>
      </c>
      <c r="C589" s="270">
        <v>1430.2</v>
      </c>
      <c r="D589" s="129">
        <f t="shared" si="24"/>
        <v>1.2172682236376575E-2</v>
      </c>
      <c r="E589" s="270">
        <v>56590.04</v>
      </c>
      <c r="F589" s="129">
        <f t="shared" si="24"/>
        <v>4.744257346443792E-3</v>
      </c>
      <c r="G589" s="270">
        <v>21462.25</v>
      </c>
      <c r="H589" s="129">
        <f t="shared" si="25"/>
        <v>-5.0853075405793424E-3</v>
      </c>
    </row>
    <row r="590" spans="2:8" x14ac:dyDescent="0.3">
      <c r="B590" s="269">
        <v>45308</v>
      </c>
      <c r="C590" s="270">
        <v>1413</v>
      </c>
      <c r="D590" s="129">
        <f t="shared" si="24"/>
        <v>2.0032485110990761E-2</v>
      </c>
      <c r="E590" s="270">
        <v>56322.83</v>
      </c>
      <c r="F590" s="129">
        <f t="shared" si="24"/>
        <v>-1.8544159431567175E-3</v>
      </c>
      <c r="G590" s="270">
        <v>21571.95</v>
      </c>
      <c r="H590" s="129">
        <f t="shared" si="25"/>
        <v>-2.0894323334377241E-2</v>
      </c>
    </row>
    <row r="591" spans="2:8" x14ac:dyDescent="0.3">
      <c r="B591" s="269">
        <v>45307</v>
      </c>
      <c r="C591" s="270">
        <v>1385.25</v>
      </c>
      <c r="D591" s="129">
        <f t="shared" si="24"/>
        <v>-1.6506922257720991E-2</v>
      </c>
      <c r="E591" s="270">
        <v>56427.47</v>
      </c>
      <c r="F591" s="129">
        <f t="shared" si="24"/>
        <v>-9.7637941501638181E-5</v>
      </c>
      <c r="G591" s="270">
        <v>22032.3</v>
      </c>
      <c r="H591" s="129">
        <f t="shared" si="25"/>
        <v>-2.9483039898269281E-3</v>
      </c>
    </row>
    <row r="592" spans="2:8" x14ac:dyDescent="0.3">
      <c r="B592" s="269">
        <v>45306</v>
      </c>
      <c r="C592" s="270">
        <v>1408.5</v>
      </c>
      <c r="D592" s="129">
        <f t="shared" si="24"/>
        <v>-1.4035210528157926E-2</v>
      </c>
      <c r="E592" s="270">
        <v>56432.98</v>
      </c>
      <c r="F592" s="129">
        <f t="shared" si="24"/>
        <v>2.9920536868033309E-4</v>
      </c>
      <c r="G592" s="270">
        <v>22097.45</v>
      </c>
      <c r="H592" s="129">
        <f t="shared" si="25"/>
        <v>9.2671463903117868E-3</v>
      </c>
    </row>
    <row r="593" spans="2:8" x14ac:dyDescent="0.3">
      <c r="B593" s="269">
        <v>45303</v>
      </c>
      <c r="C593" s="270">
        <v>1428.55</v>
      </c>
      <c r="D593" s="129">
        <f t="shared" si="24"/>
        <v>-2.7635027056461259E-2</v>
      </c>
      <c r="E593" s="270">
        <v>56416.1</v>
      </c>
      <c r="F593" s="129">
        <f t="shared" si="24"/>
        <v>7.6851575326903898E-3</v>
      </c>
      <c r="G593" s="270">
        <v>21894.55</v>
      </c>
      <c r="H593" s="129">
        <f t="shared" si="25"/>
        <v>1.1426420045086649E-2</v>
      </c>
    </row>
    <row r="594" spans="2:8" x14ac:dyDescent="0.3">
      <c r="B594" s="269">
        <v>45302</v>
      </c>
      <c r="C594" s="270">
        <v>1469.15</v>
      </c>
      <c r="D594" s="129">
        <f t="shared" si="24"/>
        <v>1.2111024614727572E-2</v>
      </c>
      <c r="E594" s="270">
        <v>55985.84</v>
      </c>
      <c r="F594" s="129">
        <f t="shared" si="24"/>
        <v>-1.2010636277839382E-2</v>
      </c>
      <c r="G594" s="270">
        <v>21647.200000000001</v>
      </c>
      <c r="H594" s="129">
        <f t="shared" si="25"/>
        <v>1.3183031357111297E-3</v>
      </c>
    </row>
    <row r="595" spans="2:8" x14ac:dyDescent="0.3">
      <c r="B595" s="269">
        <v>45301</v>
      </c>
      <c r="C595" s="270">
        <v>1451.57</v>
      </c>
      <c r="D595" s="129">
        <f t="shared" ref="D595:F658" si="26">C595/C596-1</f>
        <v>1.2393639280234403E-2</v>
      </c>
      <c r="E595" s="270">
        <v>56666.44</v>
      </c>
      <c r="F595" s="129">
        <f t="shared" si="26"/>
        <v>1.8482406001212315E-3</v>
      </c>
      <c r="G595" s="270">
        <v>21618.7</v>
      </c>
      <c r="H595" s="129">
        <f t="shared" si="25"/>
        <v>3.4277333098164942E-3</v>
      </c>
    </row>
    <row r="596" spans="2:8" x14ac:dyDescent="0.3">
      <c r="B596" s="269">
        <v>45300</v>
      </c>
      <c r="C596" s="270">
        <v>1433.8</v>
      </c>
      <c r="D596" s="129">
        <f t="shared" si="26"/>
        <v>7.058823529411784E-3</v>
      </c>
      <c r="E596" s="270">
        <v>56561.9</v>
      </c>
      <c r="F596" s="129">
        <f t="shared" si="26"/>
        <v>8.9217724818695388E-3</v>
      </c>
      <c r="G596" s="270">
        <v>21544.85</v>
      </c>
      <c r="H596" s="129">
        <f t="shared" si="25"/>
        <v>1.4805001626922998E-3</v>
      </c>
    </row>
    <row r="597" spans="2:8" x14ac:dyDescent="0.3">
      <c r="B597" s="269">
        <v>45299</v>
      </c>
      <c r="C597" s="270">
        <v>1423.75</v>
      </c>
      <c r="D597" s="129">
        <f t="shared" si="26"/>
        <v>5.134320863670605E-2</v>
      </c>
      <c r="E597" s="270">
        <v>56061.73</v>
      </c>
      <c r="F597" s="129">
        <f t="shared" si="26"/>
        <v>-3.1231901491837188E-3</v>
      </c>
      <c r="G597" s="270">
        <v>21513</v>
      </c>
      <c r="H597" s="129">
        <f t="shared" si="25"/>
        <v>-9.1106730290915205E-3</v>
      </c>
    </row>
    <row r="598" spans="2:8" x14ac:dyDescent="0.3">
      <c r="B598" s="269">
        <v>45296</v>
      </c>
      <c r="C598" s="270">
        <v>1354.22</v>
      </c>
      <c r="D598" s="129">
        <f t="shared" si="26"/>
        <v>-3.3956358697262434E-4</v>
      </c>
      <c r="E598" s="270">
        <v>56237.37</v>
      </c>
      <c r="F598" s="129">
        <f t="shared" si="26"/>
        <v>1.2671591846892261E-2</v>
      </c>
      <c r="G598" s="270">
        <v>21710.799999999999</v>
      </c>
      <c r="H598" s="129">
        <f t="shared" si="25"/>
        <v>2.4101280784538659E-3</v>
      </c>
    </row>
    <row r="599" spans="2:8" x14ac:dyDescent="0.3">
      <c r="B599" s="269">
        <v>45295</v>
      </c>
      <c r="C599" s="270">
        <v>1354.68</v>
      </c>
      <c r="D599" s="129">
        <f t="shared" si="26"/>
        <v>2.0673360897816018E-4</v>
      </c>
      <c r="E599" s="270">
        <v>55533.67</v>
      </c>
      <c r="F599" s="129">
        <f t="shared" si="26"/>
        <v>9.1834531746561865E-3</v>
      </c>
      <c r="G599" s="270">
        <v>21658.6</v>
      </c>
      <c r="H599" s="129">
        <f t="shared" si="25"/>
        <v>6.5644700671783074E-3</v>
      </c>
    </row>
    <row r="600" spans="2:8" x14ac:dyDescent="0.3">
      <c r="B600" s="269">
        <v>45294</v>
      </c>
      <c r="C600" s="270">
        <v>1354.4</v>
      </c>
      <c r="D600" s="129">
        <f t="shared" si="26"/>
        <v>1.5406529969636873E-2</v>
      </c>
      <c r="E600" s="270">
        <v>55028.32</v>
      </c>
      <c r="F600" s="129">
        <f t="shared" si="26"/>
        <v>2.0748663646936727E-3</v>
      </c>
      <c r="G600" s="270">
        <v>21517.35</v>
      </c>
      <c r="H600" s="129">
        <f t="shared" si="25"/>
        <v>-6.8518125340398806E-3</v>
      </c>
    </row>
    <row r="601" spans="2:8" x14ac:dyDescent="0.3">
      <c r="B601" s="269">
        <v>45293</v>
      </c>
      <c r="C601" s="270">
        <v>1333.85</v>
      </c>
      <c r="D601" s="129">
        <f t="shared" si="26"/>
        <v>-1.1684770528000432E-2</v>
      </c>
      <c r="E601" s="270">
        <v>54914.38</v>
      </c>
      <c r="F601" s="129">
        <f t="shared" si="26"/>
        <v>-1.4234566892878608E-2</v>
      </c>
      <c r="G601" s="270">
        <v>21665.8</v>
      </c>
      <c r="H601" s="129">
        <f t="shared" si="25"/>
        <v>-3.5001540803702991E-3</v>
      </c>
    </row>
    <row r="602" spans="2:8" x14ac:dyDescent="0.3">
      <c r="B602" s="269">
        <v>45292</v>
      </c>
      <c r="C602" s="270">
        <v>1349.62</v>
      </c>
      <c r="D602" s="129">
        <f t="shared" si="26"/>
        <v>-7.6688357045697764E-3</v>
      </c>
      <c r="E602" s="270">
        <v>55707.35</v>
      </c>
      <c r="F602" s="129">
        <f t="shared" si="26"/>
        <v>1.1437051914762186E-3</v>
      </c>
      <c r="G602" s="270">
        <v>21741.9</v>
      </c>
      <c r="H602" s="129">
        <f t="shared" si="25"/>
        <v>4.8317181589774272E-4</v>
      </c>
    </row>
    <row r="603" spans="2:8" x14ac:dyDescent="0.3">
      <c r="B603" s="269">
        <v>45289</v>
      </c>
      <c r="C603" s="270">
        <v>1360.05</v>
      </c>
      <c r="D603" s="129">
        <f t="shared" si="26"/>
        <v>-1.6217350105246497E-2</v>
      </c>
      <c r="E603" s="270">
        <v>55643.71</v>
      </c>
      <c r="F603" s="129">
        <f t="shared" si="26"/>
        <v>6.4499663664820961E-3</v>
      </c>
      <c r="G603" s="270">
        <v>21731.4</v>
      </c>
      <c r="H603" s="129">
        <f t="shared" si="25"/>
        <v>-2.1718468044464867E-3</v>
      </c>
    </row>
    <row r="604" spans="2:8" x14ac:dyDescent="0.3">
      <c r="B604" s="269">
        <v>45288</v>
      </c>
      <c r="C604" s="270">
        <v>1382.47</v>
      </c>
      <c r="D604" s="129">
        <f t="shared" si="26"/>
        <v>1.2635326174535999E-2</v>
      </c>
      <c r="E604" s="270">
        <v>55287.11</v>
      </c>
      <c r="F604" s="129">
        <f t="shared" si="26"/>
        <v>2.4626803833600608E-3</v>
      </c>
      <c r="G604" s="270">
        <v>21778.7</v>
      </c>
      <c r="H604" s="129">
        <f t="shared" si="25"/>
        <v>5.7239173853311787E-3</v>
      </c>
    </row>
    <row r="605" spans="2:8" x14ac:dyDescent="0.3">
      <c r="B605" s="269">
        <v>45287</v>
      </c>
      <c r="C605" s="270">
        <v>1365.22</v>
      </c>
      <c r="D605" s="129">
        <f t="shared" si="26"/>
        <v>-5.7101024890193752E-4</v>
      </c>
      <c r="E605" s="270">
        <v>55151.29</v>
      </c>
      <c r="F605" s="129">
        <f t="shared" si="26"/>
        <v>6.664088157982917E-3</v>
      </c>
      <c r="G605" s="270">
        <v>21654.75</v>
      </c>
      <c r="H605" s="129">
        <f t="shared" si="25"/>
        <v>9.9527315211029865E-3</v>
      </c>
    </row>
    <row r="606" spans="2:8" x14ac:dyDescent="0.3">
      <c r="B606" s="269">
        <v>45286</v>
      </c>
      <c r="C606" s="270">
        <v>1366</v>
      </c>
      <c r="D606" s="129">
        <f t="shared" si="26"/>
        <v>3.5633055344958198E-2</v>
      </c>
      <c r="E606" s="270">
        <v>54786.19</v>
      </c>
      <c r="F606" s="129">
        <f t="shared" si="26"/>
        <v>8.1574608932282189E-3</v>
      </c>
      <c r="G606" s="270">
        <v>21441.35</v>
      </c>
      <c r="H606" s="129">
        <f t="shared" si="25"/>
        <v>4.306912606443225E-3</v>
      </c>
    </row>
    <row r="607" spans="2:8" x14ac:dyDescent="0.3">
      <c r="B607" s="269">
        <v>45282</v>
      </c>
      <c r="C607" s="270">
        <v>1319</v>
      </c>
      <c r="D607" s="129">
        <f t="shared" si="26"/>
        <v>1.0201580785490938E-2</v>
      </c>
      <c r="E607" s="270">
        <v>54342.89</v>
      </c>
      <c r="F607" s="129">
        <f t="shared" si="26"/>
        <v>1.0595626477387432E-2</v>
      </c>
      <c r="G607" s="270">
        <v>21349.4</v>
      </c>
      <c r="H607" s="129">
        <f t="shared" si="25"/>
        <v>4.4389450977533329E-3</v>
      </c>
    </row>
    <row r="608" spans="2:8" x14ac:dyDescent="0.3">
      <c r="B608" s="269">
        <v>45281</v>
      </c>
      <c r="C608" s="270">
        <v>1305.68</v>
      </c>
      <c r="D608" s="129">
        <f t="shared" si="26"/>
        <v>-1.4209135522838756E-2</v>
      </c>
      <c r="E608" s="270">
        <v>53773.13</v>
      </c>
      <c r="F608" s="129">
        <f t="shared" si="26"/>
        <v>1.0924378910829535E-2</v>
      </c>
      <c r="G608" s="270">
        <v>21255.05</v>
      </c>
      <c r="H608" s="129">
        <f t="shared" si="25"/>
        <v>4.9597756989903097E-3</v>
      </c>
    </row>
    <row r="609" spans="2:8" x14ac:dyDescent="0.3">
      <c r="B609" s="269">
        <v>45280</v>
      </c>
      <c r="C609" s="270">
        <v>1324.5</v>
      </c>
      <c r="D609" s="129">
        <f t="shared" si="26"/>
        <v>-1.3863243790577129E-2</v>
      </c>
      <c r="E609" s="270">
        <v>53192.04</v>
      </c>
      <c r="F609" s="129">
        <f t="shared" si="26"/>
        <v>-2.8254974361822338E-2</v>
      </c>
      <c r="G609" s="270">
        <v>21150.15</v>
      </c>
      <c r="H609" s="129">
        <f t="shared" si="25"/>
        <v>-1.4121502253753415E-2</v>
      </c>
    </row>
    <row r="610" spans="2:8" x14ac:dyDescent="0.3">
      <c r="B610" s="269">
        <v>45279</v>
      </c>
      <c r="C610" s="270">
        <v>1343.12</v>
      </c>
      <c r="D610" s="129">
        <f t="shared" si="26"/>
        <v>-1.9598969320496207E-2</v>
      </c>
      <c r="E610" s="270">
        <v>54738.68</v>
      </c>
      <c r="F610" s="129">
        <f t="shared" si="26"/>
        <v>-2.9249938888065152E-3</v>
      </c>
      <c r="G610" s="270">
        <v>21453.1</v>
      </c>
      <c r="H610" s="129">
        <f t="shared" si="25"/>
        <v>1.6084113611267714E-3</v>
      </c>
    </row>
    <row r="611" spans="2:8" x14ac:dyDescent="0.3">
      <c r="B611" s="269">
        <v>45278</v>
      </c>
      <c r="C611" s="270">
        <v>1369.97</v>
      </c>
      <c r="D611" s="129">
        <f t="shared" si="26"/>
        <v>5.6449481751181807E-3</v>
      </c>
      <c r="E611" s="270">
        <v>54899.26</v>
      </c>
      <c r="F611" s="129">
        <f t="shared" si="26"/>
        <v>7.501121295961255E-3</v>
      </c>
      <c r="G611" s="270">
        <v>21418.65</v>
      </c>
      <c r="H611" s="129">
        <f t="shared" si="25"/>
        <v>-1.7710127163373945E-3</v>
      </c>
    </row>
    <row r="612" spans="2:8" x14ac:dyDescent="0.3">
      <c r="B612" s="269">
        <v>45275</v>
      </c>
      <c r="C612" s="270">
        <v>1362.28</v>
      </c>
      <c r="D612" s="129">
        <f t="shared" si="26"/>
        <v>-6.9542651368255104E-3</v>
      </c>
      <c r="E612" s="270">
        <v>54490.52</v>
      </c>
      <c r="F612" s="129">
        <f t="shared" si="26"/>
        <v>1.0471605165836007E-2</v>
      </c>
      <c r="G612" s="270">
        <v>21456.65</v>
      </c>
      <c r="H612" s="129">
        <f t="shared" si="25"/>
        <v>1.2932723401643864E-2</v>
      </c>
    </row>
    <row r="613" spans="2:8" x14ac:dyDescent="0.3">
      <c r="B613" s="269">
        <v>45274</v>
      </c>
      <c r="C613" s="270">
        <v>1371.82</v>
      </c>
      <c r="D613" s="129">
        <f t="shared" si="26"/>
        <v>-1.0609218697035017E-2</v>
      </c>
      <c r="E613" s="270">
        <v>53925.83</v>
      </c>
      <c r="F613" s="129">
        <f t="shared" si="26"/>
        <v>4.7246016330599883E-3</v>
      </c>
      <c r="G613" s="270">
        <v>21182.7</v>
      </c>
      <c r="H613" s="129">
        <f t="shared" si="25"/>
        <v>1.2250105727946048E-2</v>
      </c>
    </row>
    <row r="614" spans="2:8" x14ac:dyDescent="0.3">
      <c r="B614" s="269">
        <v>45273</v>
      </c>
      <c r="C614" s="270">
        <v>1386.53</v>
      </c>
      <c r="D614" s="129">
        <f t="shared" si="26"/>
        <v>1.4769275807809068E-2</v>
      </c>
      <c r="E614" s="270">
        <v>53672.25</v>
      </c>
      <c r="F614" s="129">
        <f t="shared" si="26"/>
        <v>1.2332701917202593E-2</v>
      </c>
      <c r="G614" s="270">
        <v>20926.349999999999</v>
      </c>
      <c r="H614" s="129">
        <f t="shared" si="25"/>
        <v>9.5425324302600423E-4</v>
      </c>
    </row>
    <row r="615" spans="2:8" x14ac:dyDescent="0.3">
      <c r="B615" s="269">
        <v>45272</v>
      </c>
      <c r="C615" s="270">
        <v>1366.35</v>
      </c>
      <c r="D615" s="129">
        <f t="shared" si="26"/>
        <v>-1.4909554948342896E-2</v>
      </c>
      <c r="E615" s="270">
        <v>53018.39</v>
      </c>
      <c r="F615" s="129">
        <f t="shared" si="26"/>
        <v>-1.0968657088950895E-2</v>
      </c>
      <c r="G615" s="270">
        <v>20906.400000000001</v>
      </c>
      <c r="H615" s="129">
        <f t="shared" si="25"/>
        <v>-4.3196441413336784E-3</v>
      </c>
    </row>
    <row r="616" spans="2:8" x14ac:dyDescent="0.3">
      <c r="B616" s="269">
        <v>45271</v>
      </c>
      <c r="C616" s="270">
        <v>1387.03</v>
      </c>
      <c r="D616" s="129">
        <f t="shared" si="26"/>
        <v>4.0119082435340792E-2</v>
      </c>
      <c r="E616" s="270">
        <v>53606.38</v>
      </c>
      <c r="F616" s="129">
        <f t="shared" si="26"/>
        <v>7.576600540417866E-3</v>
      </c>
      <c r="G616" s="270">
        <v>20997.1</v>
      </c>
      <c r="H616" s="129">
        <f t="shared" si="25"/>
        <v>1.3209724646388032E-3</v>
      </c>
    </row>
    <row r="617" spans="2:8" x14ac:dyDescent="0.3">
      <c r="B617" s="269">
        <v>45268</v>
      </c>
      <c r="C617" s="270">
        <v>1333.53</v>
      </c>
      <c r="D617" s="129">
        <f t="shared" si="26"/>
        <v>1.6464293064416546E-2</v>
      </c>
      <c r="E617" s="270">
        <v>53203.28</v>
      </c>
      <c r="F617" s="129">
        <f t="shared" si="26"/>
        <v>2.709221133319506E-3</v>
      </c>
      <c r="G617" s="270">
        <v>20969.400000000001</v>
      </c>
      <c r="H617" s="129">
        <f t="shared" si="25"/>
        <v>3.2653705657343934E-3</v>
      </c>
    </row>
    <row r="618" spans="2:8" x14ac:dyDescent="0.3">
      <c r="B618" s="269">
        <v>45267</v>
      </c>
      <c r="C618" s="270">
        <v>1311.93</v>
      </c>
      <c r="D618" s="129">
        <f t="shared" si="26"/>
        <v>4.1999920575036764E-2</v>
      </c>
      <c r="E618" s="270">
        <v>53059.53</v>
      </c>
      <c r="F618" s="129">
        <f t="shared" si="26"/>
        <v>-1.1408104611189129E-3</v>
      </c>
      <c r="G618" s="270">
        <v>20901.150000000001</v>
      </c>
      <c r="H618" s="129">
        <f t="shared" si="25"/>
        <v>-1.7456549668778409E-3</v>
      </c>
    </row>
    <row r="619" spans="2:8" x14ac:dyDescent="0.3">
      <c r="B619" s="269">
        <v>45266</v>
      </c>
      <c r="C619" s="270">
        <v>1259.05</v>
      </c>
      <c r="D619" s="129">
        <f t="shared" si="26"/>
        <v>-2.5427664679928852E-2</v>
      </c>
      <c r="E619" s="270">
        <v>53120.13</v>
      </c>
      <c r="F619" s="129">
        <f t="shared" si="26"/>
        <v>1.2457465740539631E-2</v>
      </c>
      <c r="G619" s="270">
        <v>20937.7</v>
      </c>
      <c r="H619" s="129">
        <f t="shared" si="25"/>
        <v>3.9606619004464161E-3</v>
      </c>
    </row>
    <row r="620" spans="2:8" x14ac:dyDescent="0.3">
      <c r="B620" s="269">
        <v>45265</v>
      </c>
      <c r="C620" s="270">
        <v>1291.9000000000001</v>
      </c>
      <c r="D620" s="129">
        <f t="shared" si="26"/>
        <v>-1.5109931997682402E-2</v>
      </c>
      <c r="E620" s="270">
        <v>52466.53</v>
      </c>
      <c r="F620" s="129">
        <f t="shared" si="26"/>
        <v>4.634607250353362E-3</v>
      </c>
      <c r="G620" s="270">
        <v>20855.099999999999</v>
      </c>
      <c r="H620" s="129">
        <f t="shared" si="25"/>
        <v>8.1356227159348204E-3</v>
      </c>
    </row>
    <row r="621" spans="2:8" x14ac:dyDescent="0.3">
      <c r="B621" s="269">
        <v>45264</v>
      </c>
      <c r="C621" s="270">
        <v>1311.72</v>
      </c>
      <c r="D621" s="129">
        <f t="shared" si="26"/>
        <v>1.8969937077604415E-2</v>
      </c>
      <c r="E621" s="270">
        <v>52224.49</v>
      </c>
      <c r="F621" s="129">
        <f t="shared" si="26"/>
        <v>2.9151125790985999E-2</v>
      </c>
      <c r="G621" s="270">
        <v>20686.8</v>
      </c>
      <c r="H621" s="129">
        <f t="shared" si="25"/>
        <v>2.0668150129021567E-2</v>
      </c>
    </row>
    <row r="622" spans="2:8" x14ac:dyDescent="0.3">
      <c r="B622" s="269">
        <v>45261</v>
      </c>
      <c r="C622" s="270">
        <v>1287.3</v>
      </c>
      <c r="D622" s="129">
        <f t="shared" si="26"/>
        <v>1.0614077784232734E-2</v>
      </c>
      <c r="E622" s="270">
        <v>50745.21</v>
      </c>
      <c r="F622" s="129">
        <f t="shared" si="26"/>
        <v>1.51141256011742E-2</v>
      </c>
      <c r="G622" s="270">
        <v>20267.900000000001</v>
      </c>
      <c r="H622" s="129">
        <f t="shared" si="25"/>
        <v>6.6929417403636116E-3</v>
      </c>
    </row>
    <row r="623" spans="2:8" x14ac:dyDescent="0.3">
      <c r="B623" s="269">
        <v>45260</v>
      </c>
      <c r="C623" s="270">
        <v>1273.78</v>
      </c>
      <c r="D623" s="129">
        <f t="shared" si="26"/>
        <v>-2.0432960356826957E-2</v>
      </c>
      <c r="E623" s="270">
        <v>49989.66</v>
      </c>
      <c r="F623" s="129">
        <f t="shared" si="26"/>
        <v>1.3932899861731851E-2</v>
      </c>
      <c r="G623" s="270">
        <v>20133.150000000001</v>
      </c>
      <c r="H623" s="129">
        <f t="shared" si="25"/>
        <v>1.8187156036346686E-3</v>
      </c>
    </row>
    <row r="624" spans="2:8" x14ac:dyDescent="0.3">
      <c r="B624" s="269">
        <v>45259</v>
      </c>
      <c r="C624" s="270">
        <v>1300.3499999999999</v>
      </c>
      <c r="D624" s="129">
        <f t="shared" si="26"/>
        <v>-1.0177206710714648E-2</v>
      </c>
      <c r="E624" s="270">
        <v>49302.73</v>
      </c>
      <c r="F624" s="129">
        <f t="shared" si="26"/>
        <v>8.8832056235679246E-3</v>
      </c>
      <c r="G624" s="270">
        <v>20096.599999999999</v>
      </c>
      <c r="H624" s="129">
        <f t="shared" si="25"/>
        <v>1.04023690653956E-2</v>
      </c>
    </row>
    <row r="625" spans="2:8" x14ac:dyDescent="0.3">
      <c r="B625" s="269">
        <v>45258</v>
      </c>
      <c r="C625" s="270">
        <v>1313.72</v>
      </c>
      <c r="D625" s="129">
        <f t="shared" si="26"/>
        <v>-3.2143514937193696E-2</v>
      </c>
      <c r="E625" s="270">
        <v>48868.62</v>
      </c>
      <c r="F625" s="129">
        <f t="shared" si="26"/>
        <v>-1.674341754479669E-3</v>
      </c>
      <c r="G625" s="270">
        <v>19889.7</v>
      </c>
      <c r="H625" s="129">
        <f t="shared" si="25"/>
        <v>4.7992644495749026E-3</v>
      </c>
    </row>
    <row r="626" spans="2:8" x14ac:dyDescent="0.3">
      <c r="B626" s="269">
        <v>45254</v>
      </c>
      <c r="C626" s="270">
        <v>1357.35</v>
      </c>
      <c r="D626" s="129">
        <f t="shared" si="26"/>
        <v>-1.0497539639147124E-2</v>
      </c>
      <c r="E626" s="270">
        <v>48950.58</v>
      </c>
      <c r="F626" s="129">
        <f t="shared" si="26"/>
        <v>5.8598088457488817E-3</v>
      </c>
      <c r="G626" s="270">
        <v>19794.7</v>
      </c>
      <c r="H626" s="129">
        <f t="shared" si="25"/>
        <v>-3.6864963135030404E-4</v>
      </c>
    </row>
    <row r="627" spans="2:8" x14ac:dyDescent="0.3">
      <c r="B627" s="269">
        <v>45253</v>
      </c>
      <c r="C627" s="270">
        <v>1371.75</v>
      </c>
      <c r="D627" s="129">
        <f t="shared" si="26"/>
        <v>-1.1101899578272012E-2</v>
      </c>
      <c r="E627" s="270">
        <v>48665.41</v>
      </c>
      <c r="F627" s="129">
        <f t="shared" si="26"/>
        <v>-2.6190124853462393E-3</v>
      </c>
      <c r="G627" s="270">
        <v>19802</v>
      </c>
      <c r="H627" s="129">
        <f t="shared" si="25"/>
        <v>-4.971771944567438E-4</v>
      </c>
    </row>
    <row r="628" spans="2:8" x14ac:dyDescent="0.3">
      <c r="B628" s="269">
        <v>45252</v>
      </c>
      <c r="C628" s="270">
        <v>1387.15</v>
      </c>
      <c r="D628" s="129">
        <f t="shared" si="26"/>
        <v>-3.9722262604445668E-2</v>
      </c>
      <c r="E628" s="270">
        <v>48793.2</v>
      </c>
      <c r="F628" s="129">
        <f t="shared" si="26"/>
        <v>3.7964428560670616E-3</v>
      </c>
      <c r="G628" s="270">
        <v>19811.849999999999</v>
      </c>
      <c r="H628" s="129">
        <f t="shared" si="25"/>
        <v>1.4380743451578581E-3</v>
      </c>
    </row>
    <row r="629" spans="2:8" x14ac:dyDescent="0.3">
      <c r="B629" s="269">
        <v>45251</v>
      </c>
      <c r="C629" s="270">
        <v>1444.53</v>
      </c>
      <c r="D629" s="129">
        <f t="shared" si="26"/>
        <v>4.8774821214651265E-2</v>
      </c>
      <c r="E629" s="270">
        <v>48608.66</v>
      </c>
      <c r="F629" s="129">
        <f t="shared" si="26"/>
        <v>-6.057673963616339E-3</v>
      </c>
      <c r="G629" s="270">
        <v>19783.400000000001</v>
      </c>
      <c r="H629" s="129">
        <f t="shared" si="25"/>
        <v>4.5394536407028507E-3</v>
      </c>
    </row>
    <row r="630" spans="2:8" x14ac:dyDescent="0.3">
      <c r="B630" s="269">
        <v>45250</v>
      </c>
      <c r="C630" s="270">
        <v>1377.35</v>
      </c>
      <c r="D630" s="129">
        <f t="shared" si="26"/>
        <v>2.0992861537549201E-2</v>
      </c>
      <c r="E630" s="270">
        <v>48904.91</v>
      </c>
      <c r="F630" s="129">
        <f t="shared" si="26"/>
        <v>-4.2870403154036119E-3</v>
      </c>
      <c r="G630" s="270">
        <v>19694</v>
      </c>
      <c r="H630" s="129">
        <f t="shared" si="25"/>
        <v>-1.915689394784037E-3</v>
      </c>
    </row>
    <row r="631" spans="2:8" x14ac:dyDescent="0.3">
      <c r="B631" s="269">
        <v>45247</v>
      </c>
      <c r="C631" s="270">
        <v>1349.03</v>
      </c>
      <c r="D631" s="129">
        <f t="shared" si="26"/>
        <v>-2.0440320074354923E-2</v>
      </c>
      <c r="E631" s="270">
        <v>49115.47</v>
      </c>
      <c r="F631" s="129">
        <f t="shared" si="26"/>
        <v>1.2911690578083279E-2</v>
      </c>
      <c r="G631" s="270">
        <v>19731.8</v>
      </c>
      <c r="H631" s="129">
        <f t="shared" si="25"/>
        <v>-1.6898387064133713E-3</v>
      </c>
    </row>
    <row r="632" spans="2:8" x14ac:dyDescent="0.3">
      <c r="B632" s="269">
        <v>45246</v>
      </c>
      <c r="C632" s="270">
        <v>1377.18</v>
      </c>
      <c r="D632" s="129">
        <f t="shared" si="26"/>
        <v>-1.9367977328073605E-2</v>
      </c>
      <c r="E632" s="270">
        <v>48489.39</v>
      </c>
      <c r="F632" s="129">
        <f t="shared" si="26"/>
        <v>2.982985225559176E-4</v>
      </c>
      <c r="G632" s="270">
        <v>19765.2</v>
      </c>
      <c r="H632" s="129">
        <f t="shared" si="25"/>
        <v>4.5615220998758144E-3</v>
      </c>
    </row>
    <row r="633" spans="2:8" x14ac:dyDescent="0.3">
      <c r="B633" s="269">
        <v>45245</v>
      </c>
      <c r="C633" s="270">
        <v>1404.38</v>
      </c>
      <c r="D633" s="129">
        <f t="shared" si="26"/>
        <v>2.9717344282729208E-2</v>
      </c>
      <c r="E633" s="270">
        <v>48474.93</v>
      </c>
      <c r="F633" s="129">
        <f t="shared" si="26"/>
        <v>1.074677144391778E-2</v>
      </c>
      <c r="G633" s="270">
        <v>19675.45</v>
      </c>
      <c r="H633" s="129">
        <f t="shared" si="25"/>
        <v>1.1926834348665816E-2</v>
      </c>
    </row>
    <row r="634" spans="2:8" x14ac:dyDescent="0.3">
      <c r="B634" s="269">
        <v>45243</v>
      </c>
      <c r="C634" s="270">
        <v>1363.85</v>
      </c>
      <c r="D634" s="129">
        <f t="shared" si="26"/>
        <v>-2.7509394408277155E-2</v>
      </c>
      <c r="E634" s="270">
        <v>47959.519999999997</v>
      </c>
      <c r="F634" s="129">
        <f t="shared" si="26"/>
        <v>-1.0410439600496701E-3</v>
      </c>
      <c r="G634" s="270">
        <v>19443.55</v>
      </c>
      <c r="H634" s="129">
        <f t="shared" si="25"/>
        <v>-4.1996256187405434E-3</v>
      </c>
    </row>
    <row r="635" spans="2:8" x14ac:dyDescent="0.3">
      <c r="B635" s="269">
        <v>45242</v>
      </c>
      <c r="C635" s="270">
        <v>1402.43</v>
      </c>
      <c r="D635" s="129">
        <f t="shared" si="26"/>
        <v>8.7365768559798385E-2</v>
      </c>
      <c r="E635" s="270">
        <v>48009.5</v>
      </c>
      <c r="F635" s="129">
        <f t="shared" si="26"/>
        <v>6.2627460925956946E-3</v>
      </c>
      <c r="G635" s="270">
        <v>19525.55</v>
      </c>
      <c r="H635" s="129">
        <f t="shared" si="25"/>
        <v>5.1582082176124811E-3</v>
      </c>
    </row>
    <row r="636" spans="2:8" x14ac:dyDescent="0.3">
      <c r="B636" s="269">
        <v>45240</v>
      </c>
      <c r="C636" s="270">
        <v>1289.75</v>
      </c>
      <c r="D636" s="129">
        <f t="shared" si="26"/>
        <v>5.2917309560546189E-2</v>
      </c>
      <c r="E636" s="270">
        <v>47710.7</v>
      </c>
      <c r="F636" s="129">
        <f t="shared" si="26"/>
        <v>3.6628634201281152E-3</v>
      </c>
      <c r="G636" s="270">
        <v>19425.349999999999</v>
      </c>
      <c r="H636" s="129">
        <f t="shared" si="25"/>
        <v>1.549344428804833E-3</v>
      </c>
    </row>
    <row r="637" spans="2:8" x14ac:dyDescent="0.3">
      <c r="B637" s="269">
        <v>45239</v>
      </c>
      <c r="C637" s="270">
        <v>1224.93</v>
      </c>
      <c r="D637" s="129">
        <f t="shared" si="26"/>
        <v>-1.5893974960876633E-3</v>
      </c>
      <c r="E637" s="270">
        <v>47536.58</v>
      </c>
      <c r="F637" s="129">
        <f t="shared" si="26"/>
        <v>1.7845439276404917E-3</v>
      </c>
      <c r="G637" s="270">
        <v>19395.3</v>
      </c>
      <c r="H637" s="129">
        <f t="shared" si="25"/>
        <v>-2.4789775503382128E-3</v>
      </c>
    </row>
    <row r="638" spans="2:8" x14ac:dyDescent="0.3">
      <c r="B638" s="269">
        <v>45238</v>
      </c>
      <c r="C638" s="270">
        <v>1226.8800000000001</v>
      </c>
      <c r="D638" s="129">
        <f t="shared" si="26"/>
        <v>-7.9805942995754275E-3</v>
      </c>
      <c r="E638" s="270">
        <v>47451.9</v>
      </c>
      <c r="F638" s="129">
        <f t="shared" si="26"/>
        <v>8.6011421711456038E-3</v>
      </c>
      <c r="G638" s="270">
        <v>19443.5</v>
      </c>
      <c r="H638" s="129">
        <f t="shared" si="25"/>
        <v>1.8962523252279428E-3</v>
      </c>
    </row>
    <row r="639" spans="2:8" x14ac:dyDescent="0.3">
      <c r="B639" s="269">
        <v>45237</v>
      </c>
      <c r="C639" s="270">
        <v>1236.75</v>
      </c>
      <c r="D639" s="129">
        <f t="shared" si="26"/>
        <v>-1.3165769000598404E-2</v>
      </c>
      <c r="E639" s="270">
        <v>47047.24</v>
      </c>
      <c r="F639" s="129">
        <f t="shared" si="26"/>
        <v>9.469662719590044E-4</v>
      </c>
      <c r="G639" s="270">
        <v>19406.7</v>
      </c>
      <c r="H639" s="129">
        <f t="shared" si="25"/>
        <v>-2.6015171223614519E-4</v>
      </c>
    </row>
    <row r="640" spans="2:8" x14ac:dyDescent="0.3">
      <c r="B640" s="269">
        <v>45236</v>
      </c>
      <c r="C640" s="270">
        <v>1253.25</v>
      </c>
      <c r="D640" s="129">
        <f t="shared" si="26"/>
        <v>1.2400032312787745E-2</v>
      </c>
      <c r="E640" s="270">
        <v>47002.73</v>
      </c>
      <c r="F640" s="129">
        <f t="shared" si="26"/>
        <v>1.6809700406851702E-2</v>
      </c>
      <c r="G640" s="270">
        <v>19411.75</v>
      </c>
      <c r="H640" s="129">
        <f t="shared" si="25"/>
        <v>9.4198828949696445E-3</v>
      </c>
    </row>
    <row r="641" spans="2:8" x14ac:dyDescent="0.3">
      <c r="B641" s="269">
        <v>45233</v>
      </c>
      <c r="C641" s="270">
        <v>1237.9000000000001</v>
      </c>
      <c r="D641" s="129">
        <f t="shared" si="26"/>
        <v>9.5252075484009158E-3</v>
      </c>
      <c r="E641" s="270">
        <v>46225.69</v>
      </c>
      <c r="F641" s="129">
        <f t="shared" si="26"/>
        <v>4.130504388565992E-3</v>
      </c>
      <c r="G641" s="270">
        <v>19230.599999999999</v>
      </c>
      <c r="H641" s="129">
        <f t="shared" si="25"/>
        <v>5.0880012543608188E-3</v>
      </c>
    </row>
    <row r="642" spans="2:8" x14ac:dyDescent="0.3">
      <c r="B642" s="269">
        <v>45232</v>
      </c>
      <c r="C642" s="270">
        <v>1226.22</v>
      </c>
      <c r="D642" s="129">
        <f t="shared" si="26"/>
        <v>2.4470938150100707E-2</v>
      </c>
      <c r="E642" s="270">
        <v>46035.54</v>
      </c>
      <c r="F642" s="129">
        <f t="shared" si="26"/>
        <v>1.1450224862949998E-2</v>
      </c>
      <c r="G642" s="270">
        <v>19133.25</v>
      </c>
      <c r="H642" s="129">
        <f t="shared" si="25"/>
        <v>7.5885439843277336E-3</v>
      </c>
    </row>
    <row r="643" spans="2:8" x14ac:dyDescent="0.3">
      <c r="B643" s="269">
        <v>45231</v>
      </c>
      <c r="C643" s="270">
        <v>1196.93</v>
      </c>
      <c r="D643" s="129">
        <f t="shared" si="26"/>
        <v>-2.7755665664852436E-2</v>
      </c>
      <c r="E643" s="270">
        <v>45514.39</v>
      </c>
      <c r="F643" s="129">
        <f t="shared" si="26"/>
        <v>-5.8980749569231827E-3</v>
      </c>
      <c r="G643" s="270">
        <v>18989.150000000001</v>
      </c>
      <c r="H643" s="129">
        <f t="shared" si="25"/>
        <v>-4.740665422755086E-3</v>
      </c>
    </row>
    <row r="644" spans="2:8" x14ac:dyDescent="0.3">
      <c r="B644" s="269">
        <v>45230</v>
      </c>
      <c r="C644" s="270">
        <v>1231.0999999999999</v>
      </c>
      <c r="D644" s="129">
        <f t="shared" si="26"/>
        <v>1.1547719731961337E-3</v>
      </c>
      <c r="E644" s="270">
        <v>45784.43</v>
      </c>
      <c r="F644" s="129">
        <f t="shared" si="26"/>
        <v>-2.833091325596282E-3</v>
      </c>
      <c r="G644" s="270">
        <v>19079.599999999999</v>
      </c>
      <c r="H644" s="129">
        <f t="shared" si="25"/>
        <v>-3.2025662325179116E-3</v>
      </c>
    </row>
    <row r="645" spans="2:8" x14ac:dyDescent="0.3">
      <c r="B645" s="269">
        <v>45229</v>
      </c>
      <c r="C645" s="270">
        <v>1229.68</v>
      </c>
      <c r="D645" s="129">
        <f t="shared" si="26"/>
        <v>0.15104088662573023</v>
      </c>
      <c r="E645" s="270">
        <v>45914.51</v>
      </c>
      <c r="F645" s="129">
        <f t="shared" si="26"/>
        <v>3.2270103100893177E-3</v>
      </c>
      <c r="G645" s="270">
        <v>19140.900000000001</v>
      </c>
      <c r="H645" s="129">
        <f t="shared" si="25"/>
        <v>4.9167202614550654E-3</v>
      </c>
    </row>
    <row r="646" spans="2:8" x14ac:dyDescent="0.3">
      <c r="B646" s="269">
        <v>45226</v>
      </c>
      <c r="C646" s="270">
        <v>1068.32</v>
      </c>
      <c r="D646" s="129">
        <f t="shared" si="26"/>
        <v>5.9925390904040032E-2</v>
      </c>
      <c r="E646" s="270">
        <v>45766.82</v>
      </c>
      <c r="F646" s="129">
        <f t="shared" si="26"/>
        <v>1.404630372497917E-2</v>
      </c>
      <c r="G646" s="270">
        <v>19047.25</v>
      </c>
      <c r="H646" s="129">
        <f t="shared" si="25"/>
        <v>1.0075700327460302E-2</v>
      </c>
    </row>
    <row r="647" spans="2:8" x14ac:dyDescent="0.3">
      <c r="B647" s="269">
        <v>45225</v>
      </c>
      <c r="C647" s="270">
        <v>1007.92</v>
      </c>
      <c r="D647" s="129">
        <f t="shared" si="26"/>
        <v>-4.8862885722374294E-2</v>
      </c>
      <c r="E647" s="270">
        <v>45132.87</v>
      </c>
      <c r="F647" s="129">
        <f t="shared" si="26"/>
        <v>-1.0360622005697984E-2</v>
      </c>
      <c r="G647" s="270">
        <v>18857.25</v>
      </c>
      <c r="H647" s="129">
        <f t="shared" si="25"/>
        <v>-1.3853044767455636E-2</v>
      </c>
    </row>
    <row r="648" spans="2:8" x14ac:dyDescent="0.3">
      <c r="B648" s="269">
        <v>45224</v>
      </c>
      <c r="C648" s="270">
        <v>1059.7</v>
      </c>
      <c r="D648" s="129">
        <f t="shared" si="26"/>
        <v>5.9997341889914679E-3</v>
      </c>
      <c r="E648" s="270">
        <v>45605.37</v>
      </c>
      <c r="F648" s="129">
        <f t="shared" si="26"/>
        <v>-1.1143490902940867E-2</v>
      </c>
      <c r="G648" s="270">
        <v>19122.150000000001</v>
      </c>
      <c r="H648" s="129">
        <f t="shared" si="25"/>
        <v>-8.2772569917148875E-3</v>
      </c>
    </row>
    <row r="649" spans="2:8" x14ac:dyDescent="0.3">
      <c r="B649" s="269">
        <v>45222</v>
      </c>
      <c r="C649" s="270">
        <v>1053.3800000000001</v>
      </c>
      <c r="D649" s="129">
        <f t="shared" si="26"/>
        <v>-7.7430293896003644E-3</v>
      </c>
      <c r="E649" s="270">
        <v>46119.3</v>
      </c>
      <c r="F649" s="129">
        <f t="shared" si="26"/>
        <v>-2.3167505805061328E-2</v>
      </c>
      <c r="G649" s="270">
        <v>19281.75</v>
      </c>
      <c r="H649" s="129">
        <f t="shared" si="25"/>
        <v>-1.3350287704072983E-2</v>
      </c>
    </row>
    <row r="650" spans="2:8" x14ac:dyDescent="0.3">
      <c r="B650" s="269">
        <v>45219</v>
      </c>
      <c r="C650" s="270">
        <v>1061.5999999999999</v>
      </c>
      <c r="D650" s="129">
        <f t="shared" si="26"/>
        <v>-1.5834167686431755E-2</v>
      </c>
      <c r="E650" s="270">
        <v>47213.11</v>
      </c>
      <c r="F650" s="129">
        <f t="shared" si="26"/>
        <v>-9.7821874045711521E-3</v>
      </c>
      <c r="G650" s="270">
        <v>19542.650000000001</v>
      </c>
      <c r="H650" s="129">
        <f t="shared" ref="H650:H713" si="27">G650/G651-1</f>
        <v>-4.1809556324428065E-3</v>
      </c>
    </row>
    <row r="651" spans="2:8" x14ac:dyDescent="0.3">
      <c r="B651" s="269">
        <v>45218</v>
      </c>
      <c r="C651" s="270">
        <v>1078.68</v>
      </c>
      <c r="D651" s="129">
        <f t="shared" si="26"/>
        <v>4.2453357166798433E-3</v>
      </c>
      <c r="E651" s="270">
        <v>47679.519999999997</v>
      </c>
      <c r="F651" s="129">
        <f t="shared" si="26"/>
        <v>-7.5635625322623135E-4</v>
      </c>
      <c r="G651" s="270">
        <v>19624.7</v>
      </c>
      <c r="H651" s="129">
        <f t="shared" si="27"/>
        <v>-2.358790306591807E-3</v>
      </c>
    </row>
    <row r="652" spans="2:8" x14ac:dyDescent="0.3">
      <c r="B652" s="269">
        <v>45217</v>
      </c>
      <c r="C652" s="270">
        <v>1074.1199999999999</v>
      </c>
      <c r="D652" s="129">
        <f t="shared" si="26"/>
        <v>2.0124794620724806E-2</v>
      </c>
      <c r="E652" s="270">
        <v>47715.61</v>
      </c>
      <c r="F652" s="129">
        <f t="shared" si="26"/>
        <v>-7.1228634114833822E-3</v>
      </c>
      <c r="G652" s="270">
        <v>19671.099999999999</v>
      </c>
      <c r="H652" s="129">
        <f t="shared" si="27"/>
        <v>-7.0867930242536348E-3</v>
      </c>
    </row>
    <row r="653" spans="2:8" x14ac:dyDescent="0.3">
      <c r="B653" s="269">
        <v>45216</v>
      </c>
      <c r="C653" s="270">
        <v>1052.93</v>
      </c>
      <c r="D653" s="129">
        <f t="shared" si="26"/>
        <v>-1.1862195820077415E-2</v>
      </c>
      <c r="E653" s="270">
        <v>48057.919999999998</v>
      </c>
      <c r="F653" s="129">
        <f t="shared" si="26"/>
        <v>-1.1153240030778999E-3</v>
      </c>
      <c r="G653" s="270">
        <v>19811.5</v>
      </c>
      <c r="H653" s="129">
        <f t="shared" si="27"/>
        <v>4.0417094276989918E-3</v>
      </c>
    </row>
    <row r="654" spans="2:8" x14ac:dyDescent="0.3">
      <c r="B654" s="269">
        <v>45215</v>
      </c>
      <c r="C654" s="270">
        <v>1065.57</v>
      </c>
      <c r="D654" s="129">
        <f t="shared" si="26"/>
        <v>2.9605867063472679E-2</v>
      </c>
      <c r="E654" s="270">
        <v>48111.58</v>
      </c>
      <c r="F654" s="129">
        <f t="shared" si="26"/>
        <v>4.4393466744776511E-3</v>
      </c>
      <c r="G654" s="270">
        <v>19731.75</v>
      </c>
      <c r="H654" s="129">
        <f t="shared" si="27"/>
        <v>-9.7716323942265149E-4</v>
      </c>
    </row>
    <row r="655" spans="2:8" x14ac:dyDescent="0.3">
      <c r="B655" s="269">
        <v>45212</v>
      </c>
      <c r="C655" s="270">
        <v>1034.93</v>
      </c>
      <c r="D655" s="129">
        <f t="shared" si="26"/>
        <v>1.1216962235575778E-2</v>
      </c>
      <c r="E655" s="270">
        <v>47898.94</v>
      </c>
      <c r="F655" s="129">
        <f t="shared" si="26"/>
        <v>-1.8055594113575157E-4</v>
      </c>
      <c r="G655" s="270">
        <v>19751.05</v>
      </c>
      <c r="H655" s="129">
        <f t="shared" si="27"/>
        <v>-2.1698494493280762E-3</v>
      </c>
    </row>
    <row r="656" spans="2:8" x14ac:dyDescent="0.3">
      <c r="B656" s="269">
        <v>45211</v>
      </c>
      <c r="C656" s="270">
        <v>1023.45</v>
      </c>
      <c r="D656" s="129">
        <f t="shared" si="26"/>
        <v>-1.0566716293818557E-2</v>
      </c>
      <c r="E656" s="270">
        <v>47907.59</v>
      </c>
      <c r="F656" s="129">
        <f t="shared" si="26"/>
        <v>-1.1275670759588463E-3</v>
      </c>
      <c r="G656" s="270">
        <v>19794</v>
      </c>
      <c r="H656" s="129">
        <f t="shared" si="27"/>
        <v>-8.7576061197236488E-4</v>
      </c>
    </row>
    <row r="657" spans="2:8" x14ac:dyDescent="0.3">
      <c r="B657" s="269">
        <v>45210</v>
      </c>
      <c r="C657" s="270">
        <v>1034.3800000000001</v>
      </c>
      <c r="D657" s="129">
        <f t="shared" si="26"/>
        <v>8.8559446015801235E-3</v>
      </c>
      <c r="E657" s="270">
        <v>47961.67</v>
      </c>
      <c r="F657" s="129">
        <f t="shared" si="26"/>
        <v>3.1771748745079709E-3</v>
      </c>
      <c r="G657" s="270">
        <v>19811.349999999999</v>
      </c>
      <c r="H657" s="129">
        <f t="shared" si="27"/>
        <v>6.1706920062876147E-3</v>
      </c>
    </row>
    <row r="658" spans="2:8" x14ac:dyDescent="0.3">
      <c r="B658" s="269">
        <v>45209</v>
      </c>
      <c r="C658" s="270">
        <v>1025.3</v>
      </c>
      <c r="D658" s="129">
        <f t="shared" si="26"/>
        <v>7.1709233791747984E-3</v>
      </c>
      <c r="E658" s="270">
        <v>47809.77</v>
      </c>
      <c r="F658" s="129">
        <f t="shared" si="26"/>
        <v>5.2785261507191095E-3</v>
      </c>
      <c r="G658" s="270">
        <v>19689.849999999999</v>
      </c>
      <c r="H658" s="129">
        <f t="shared" si="27"/>
        <v>9.096802794127834E-3</v>
      </c>
    </row>
    <row r="659" spans="2:8" x14ac:dyDescent="0.3">
      <c r="B659" s="269">
        <v>45208</v>
      </c>
      <c r="C659" s="270">
        <v>1018</v>
      </c>
      <c r="D659" s="129">
        <f t="shared" ref="D659:F722" si="28">C659/C660-1</f>
        <v>1.6576792490513359E-2</v>
      </c>
      <c r="E659" s="270">
        <v>47558.73</v>
      </c>
      <c r="F659" s="129">
        <f t="shared" si="28"/>
        <v>-1.340956586787212E-2</v>
      </c>
      <c r="G659" s="270">
        <v>19512.349999999999</v>
      </c>
      <c r="H659" s="129">
        <f t="shared" si="27"/>
        <v>-7.1819268832524763E-3</v>
      </c>
    </row>
    <row r="660" spans="2:8" x14ac:dyDescent="0.3">
      <c r="B660" s="269">
        <v>45205</v>
      </c>
      <c r="C660" s="270">
        <v>1001.4</v>
      </c>
      <c r="D660" s="129">
        <f t="shared" si="28"/>
        <v>1.7135079682691234E-2</v>
      </c>
      <c r="E660" s="270">
        <v>48205.14</v>
      </c>
      <c r="F660" s="129">
        <f t="shared" si="28"/>
        <v>2.4131879997946193E-4</v>
      </c>
      <c r="G660" s="270">
        <v>19653.5</v>
      </c>
      <c r="H660" s="129">
        <f t="shared" si="27"/>
        <v>5.5127073660514725E-3</v>
      </c>
    </row>
    <row r="661" spans="2:8" x14ac:dyDescent="0.3">
      <c r="B661" s="269">
        <v>45204</v>
      </c>
      <c r="C661" s="270">
        <v>984.53</v>
      </c>
      <c r="D661" s="129">
        <f t="shared" si="28"/>
        <v>5.0121475674240745E-3</v>
      </c>
      <c r="E661" s="270">
        <v>48193.51</v>
      </c>
      <c r="F661" s="129">
        <f t="shared" si="28"/>
        <v>1.3106997454909175E-2</v>
      </c>
      <c r="G661" s="270">
        <v>19545.75</v>
      </c>
      <c r="H661" s="129">
        <f t="shared" si="27"/>
        <v>5.6415638939910639E-3</v>
      </c>
    </row>
    <row r="662" spans="2:8" x14ac:dyDescent="0.3">
      <c r="B662" s="269">
        <v>45203</v>
      </c>
      <c r="C662" s="270">
        <v>979.62</v>
      </c>
      <c r="D662" s="129">
        <f t="shared" si="28"/>
        <v>-1.5797466290244921E-3</v>
      </c>
      <c r="E662" s="270">
        <v>47570.01</v>
      </c>
      <c r="F662" s="129">
        <f t="shared" si="28"/>
        <v>-1.3257035183384391E-2</v>
      </c>
      <c r="G662" s="270">
        <v>19436.099999999999</v>
      </c>
      <c r="H662" s="129">
        <f t="shared" si="27"/>
        <v>-4.7442872687705195E-3</v>
      </c>
    </row>
    <row r="663" spans="2:8" x14ac:dyDescent="0.3">
      <c r="B663" s="269">
        <v>45202</v>
      </c>
      <c r="C663" s="270">
        <v>981.17</v>
      </c>
      <c r="D663" s="129">
        <f t="shared" si="28"/>
        <v>-1.0268825339184051E-2</v>
      </c>
      <c r="E663" s="270">
        <v>48209.120000000003</v>
      </c>
      <c r="F663" s="129">
        <f t="shared" si="28"/>
        <v>1.0058869844803198E-2</v>
      </c>
      <c r="G663" s="270">
        <v>19528.75</v>
      </c>
      <c r="H663" s="129">
        <f t="shared" si="27"/>
        <v>-5.5783850944327584E-3</v>
      </c>
    </row>
    <row r="664" spans="2:8" x14ac:dyDescent="0.3">
      <c r="B664" s="269">
        <v>45198</v>
      </c>
      <c r="C664" s="270">
        <v>991.35</v>
      </c>
      <c r="D664" s="129">
        <f t="shared" si="28"/>
        <v>1.7030007694280647E-2</v>
      </c>
      <c r="E664" s="270">
        <v>47729.02</v>
      </c>
      <c r="F664" s="129">
        <f t="shared" si="28"/>
        <v>7.7205265252562327E-3</v>
      </c>
      <c r="G664" s="270">
        <v>19638.3</v>
      </c>
      <c r="H664" s="129">
        <f t="shared" si="27"/>
        <v>5.8775171523621772E-3</v>
      </c>
    </row>
    <row r="665" spans="2:8" x14ac:dyDescent="0.3">
      <c r="B665" s="269">
        <v>45197</v>
      </c>
      <c r="C665" s="270">
        <v>974.75</v>
      </c>
      <c r="D665" s="129">
        <f t="shared" si="28"/>
        <v>-8.9270281536912854E-3</v>
      </c>
      <c r="E665" s="270">
        <v>47363.35</v>
      </c>
      <c r="F665" s="129">
        <f t="shared" si="28"/>
        <v>2.9170625501979686E-3</v>
      </c>
      <c r="G665" s="270">
        <v>19523.55</v>
      </c>
      <c r="H665" s="129">
        <f t="shared" si="27"/>
        <v>-9.7837085276508695E-3</v>
      </c>
    </row>
    <row r="666" spans="2:8" x14ac:dyDescent="0.3">
      <c r="B666" s="269">
        <v>45196</v>
      </c>
      <c r="C666" s="270">
        <v>983.53</v>
      </c>
      <c r="D666" s="129">
        <f t="shared" si="28"/>
        <v>-6.655758897911368E-3</v>
      </c>
      <c r="E666" s="270">
        <v>47225.59</v>
      </c>
      <c r="F666" s="129">
        <f t="shared" si="28"/>
        <v>1.1413354601482295E-2</v>
      </c>
      <c r="G666" s="270">
        <v>19716.45</v>
      </c>
      <c r="H666" s="129">
        <f t="shared" si="27"/>
        <v>2.6316190941126916E-3</v>
      </c>
    </row>
    <row r="667" spans="2:8" x14ac:dyDescent="0.3">
      <c r="B667" s="269">
        <v>45195</v>
      </c>
      <c r="C667" s="270">
        <v>990.12</v>
      </c>
      <c r="D667" s="129">
        <f t="shared" si="28"/>
        <v>-1.5932237571846253E-3</v>
      </c>
      <c r="E667" s="270">
        <v>46692.67</v>
      </c>
      <c r="F667" s="129">
        <f t="shared" si="28"/>
        <v>2.370645980098951E-3</v>
      </c>
      <c r="G667" s="270">
        <v>19664.7</v>
      </c>
      <c r="H667" s="129">
        <f t="shared" si="27"/>
        <v>-5.0064677464023433E-4</v>
      </c>
    </row>
    <row r="668" spans="2:8" x14ac:dyDescent="0.3">
      <c r="B668" s="269">
        <v>45194</v>
      </c>
      <c r="C668" s="270">
        <v>991.7</v>
      </c>
      <c r="D668" s="129">
        <f t="shared" si="28"/>
        <v>-1.2890061215348525E-2</v>
      </c>
      <c r="E668" s="270">
        <v>46582.239999999998</v>
      </c>
      <c r="F668" s="129">
        <f t="shared" si="28"/>
        <v>-2.9437216835613844E-3</v>
      </c>
      <c r="G668" s="270">
        <v>19674.55</v>
      </c>
      <c r="H668" s="129">
        <f t="shared" si="27"/>
        <v>1.5248357624786379E-5</v>
      </c>
    </row>
    <row r="669" spans="2:8" x14ac:dyDescent="0.3">
      <c r="B669" s="269">
        <v>45191</v>
      </c>
      <c r="C669" s="270">
        <v>1004.65</v>
      </c>
      <c r="D669" s="129">
        <f t="shared" si="28"/>
        <v>-2.1733838378920511E-2</v>
      </c>
      <c r="E669" s="270">
        <v>46719.77</v>
      </c>
      <c r="F669" s="129">
        <f t="shared" si="28"/>
        <v>1.4488068939113585E-3</v>
      </c>
      <c r="G669" s="270">
        <v>19674.25</v>
      </c>
      <c r="H669" s="129">
        <f t="shared" si="27"/>
        <v>-3.4494373770092013E-3</v>
      </c>
    </row>
    <row r="670" spans="2:8" x14ac:dyDescent="0.3">
      <c r="B670" s="269">
        <v>45190</v>
      </c>
      <c r="C670" s="270">
        <v>1026.97</v>
      </c>
      <c r="D670" s="129">
        <f t="shared" si="28"/>
        <v>-1.8005354752342662E-2</v>
      </c>
      <c r="E670" s="270">
        <v>46652.18</v>
      </c>
      <c r="F670" s="129">
        <f t="shared" si="28"/>
        <v>-5.349328871366299E-3</v>
      </c>
      <c r="G670" s="270">
        <v>19742.349999999999</v>
      </c>
      <c r="H670" s="129">
        <f t="shared" si="27"/>
        <v>-7.9919000673320806E-3</v>
      </c>
    </row>
    <row r="671" spans="2:8" x14ac:dyDescent="0.3">
      <c r="B671" s="269">
        <v>45189</v>
      </c>
      <c r="C671" s="270">
        <v>1045.8</v>
      </c>
      <c r="D671" s="129">
        <f t="shared" si="28"/>
        <v>-1.7751479289940919E-2</v>
      </c>
      <c r="E671" s="270">
        <v>46903.08</v>
      </c>
      <c r="F671" s="129">
        <f t="shared" si="28"/>
        <v>-4.0832030657783625E-3</v>
      </c>
      <c r="G671" s="270">
        <v>19901.400000000001</v>
      </c>
      <c r="H671" s="129">
        <f t="shared" si="27"/>
        <v>-1.1518230990448575E-2</v>
      </c>
    </row>
    <row r="672" spans="2:8" x14ac:dyDescent="0.3">
      <c r="B672" s="269">
        <v>45187</v>
      </c>
      <c r="C672" s="270">
        <v>1064.7</v>
      </c>
      <c r="D672" s="129">
        <f t="shared" si="28"/>
        <v>-2.6497695852534586E-2</v>
      </c>
      <c r="E672" s="270">
        <v>47095.38</v>
      </c>
      <c r="F672" s="129">
        <f t="shared" si="28"/>
        <v>1.0566328420873461E-3</v>
      </c>
      <c r="G672" s="270">
        <v>20133.3</v>
      </c>
      <c r="H672" s="129">
        <f t="shared" si="27"/>
        <v>-2.9243748251194246E-3</v>
      </c>
    </row>
    <row r="673" spans="2:8" x14ac:dyDescent="0.3">
      <c r="B673" s="269">
        <v>45184</v>
      </c>
      <c r="C673" s="270">
        <v>1093.68</v>
      </c>
      <c r="D673" s="129">
        <f t="shared" si="28"/>
        <v>2.2341042083419138E-2</v>
      </c>
      <c r="E673" s="270">
        <v>47045.67</v>
      </c>
      <c r="F673" s="129">
        <f t="shared" si="28"/>
        <v>-3.7906225013828454E-4</v>
      </c>
      <c r="G673" s="270">
        <v>20192.349999999999</v>
      </c>
      <c r="H673" s="129">
        <f t="shared" si="27"/>
        <v>4.4396137909079592E-3</v>
      </c>
    </row>
    <row r="674" spans="2:8" x14ac:dyDescent="0.3">
      <c r="B674" s="269">
        <v>45183</v>
      </c>
      <c r="C674" s="270">
        <v>1069.78</v>
      </c>
      <c r="D674" s="129">
        <f t="shared" si="28"/>
        <v>1.9440050315424173E-2</v>
      </c>
      <c r="E674" s="270">
        <v>47063.51</v>
      </c>
      <c r="F674" s="129">
        <f t="shared" si="28"/>
        <v>6.934406517841385E-3</v>
      </c>
      <c r="G674" s="270">
        <v>20103.099999999999</v>
      </c>
      <c r="H674" s="129">
        <f t="shared" si="27"/>
        <v>1.6492277030393243E-3</v>
      </c>
    </row>
    <row r="675" spans="2:8" x14ac:dyDescent="0.3">
      <c r="B675" s="269">
        <v>45182</v>
      </c>
      <c r="C675" s="270">
        <v>1049.3800000000001</v>
      </c>
      <c r="D675" s="129">
        <f t="shared" si="28"/>
        <v>1.3335650897573492E-2</v>
      </c>
      <c r="E675" s="270">
        <v>46739.4</v>
      </c>
      <c r="F675" s="129">
        <f t="shared" si="28"/>
        <v>-5.1984052321190077E-3</v>
      </c>
      <c r="G675" s="270">
        <v>20070</v>
      </c>
      <c r="H675" s="129">
        <f t="shared" si="27"/>
        <v>3.8413060440549707E-3</v>
      </c>
    </row>
    <row r="676" spans="2:8" x14ac:dyDescent="0.3">
      <c r="B676" s="269">
        <v>45181</v>
      </c>
      <c r="C676" s="270">
        <v>1035.57</v>
      </c>
      <c r="D676" s="129">
        <f t="shared" si="28"/>
        <v>-3.1000280714887363E-2</v>
      </c>
      <c r="E676" s="270">
        <v>46983.64</v>
      </c>
      <c r="F676" s="129">
        <f t="shared" si="28"/>
        <v>-1.5975235829298162E-2</v>
      </c>
      <c r="G676" s="270">
        <v>19993.2</v>
      </c>
      <c r="H676" s="129">
        <f t="shared" si="27"/>
        <v>-1.5752874899654934E-4</v>
      </c>
    </row>
    <row r="677" spans="2:8" x14ac:dyDescent="0.3">
      <c r="B677" s="269">
        <v>45180</v>
      </c>
      <c r="C677" s="270">
        <v>1068.7</v>
      </c>
      <c r="D677" s="129">
        <f t="shared" si="28"/>
        <v>-1.8415614236509725E-2</v>
      </c>
      <c r="E677" s="270">
        <v>47746.400000000001</v>
      </c>
      <c r="F677" s="129">
        <f t="shared" si="28"/>
        <v>2.9905024867638019E-3</v>
      </c>
      <c r="G677" s="270">
        <v>19996.349999999999</v>
      </c>
      <c r="H677" s="129">
        <f t="shared" si="27"/>
        <v>8.9001233605532359E-3</v>
      </c>
    </row>
    <row r="678" spans="2:8" x14ac:dyDescent="0.3">
      <c r="B678" s="269">
        <v>45177</v>
      </c>
      <c r="C678" s="270">
        <v>1088.75</v>
      </c>
      <c r="D678" s="129">
        <f t="shared" si="28"/>
        <v>8.6622197517138844E-3</v>
      </c>
      <c r="E678" s="270">
        <v>47604.04</v>
      </c>
      <c r="F678" s="129">
        <f t="shared" si="28"/>
        <v>1.5119302646634969E-2</v>
      </c>
      <c r="G678" s="270">
        <v>19819.95</v>
      </c>
      <c r="H678" s="129">
        <f t="shared" si="27"/>
        <v>4.7092697590365162E-3</v>
      </c>
    </row>
    <row r="679" spans="2:8" x14ac:dyDescent="0.3">
      <c r="B679" s="269">
        <v>45176</v>
      </c>
      <c r="C679" s="270">
        <v>1079.4000000000001</v>
      </c>
      <c r="D679" s="129">
        <f t="shared" si="28"/>
        <v>1.3112076814056239E-2</v>
      </c>
      <c r="E679" s="270">
        <v>46895.02</v>
      </c>
      <c r="F679" s="129">
        <f t="shared" si="28"/>
        <v>2.2903250996509472E-2</v>
      </c>
      <c r="G679" s="270">
        <v>19727.05</v>
      </c>
      <c r="H679" s="129">
        <f t="shared" si="27"/>
        <v>5.91503259641879E-3</v>
      </c>
    </row>
    <row r="680" spans="2:8" x14ac:dyDescent="0.3">
      <c r="B680" s="269">
        <v>45175</v>
      </c>
      <c r="C680" s="270">
        <v>1065.43</v>
      </c>
      <c r="D680" s="129">
        <f t="shared" si="28"/>
        <v>-9.869429859207135E-3</v>
      </c>
      <c r="E680" s="270">
        <v>45845.02</v>
      </c>
      <c r="F680" s="129">
        <f t="shared" si="28"/>
        <v>-1.2382940473436577E-3</v>
      </c>
      <c r="G680" s="270">
        <v>19611.05</v>
      </c>
      <c r="H680" s="129">
        <f t="shared" si="27"/>
        <v>1.8467527292602703E-3</v>
      </c>
    </row>
    <row r="681" spans="2:8" x14ac:dyDescent="0.3">
      <c r="B681" s="269">
        <v>45174</v>
      </c>
      <c r="C681" s="270">
        <v>1076.05</v>
      </c>
      <c r="D681" s="129">
        <f t="shared" si="28"/>
        <v>2.0766981430779818E-3</v>
      </c>
      <c r="E681" s="270">
        <v>45901.86</v>
      </c>
      <c r="F681" s="129">
        <f t="shared" si="28"/>
        <v>6.235557871435482E-3</v>
      </c>
      <c r="G681" s="270">
        <v>19574.900000000001</v>
      </c>
      <c r="H681" s="129">
        <f t="shared" si="27"/>
        <v>2.3606161156857208E-3</v>
      </c>
    </row>
    <row r="682" spans="2:8" x14ac:dyDescent="0.3">
      <c r="B682" s="269">
        <v>45173</v>
      </c>
      <c r="C682" s="270">
        <v>1073.82</v>
      </c>
      <c r="D682" s="129">
        <f t="shared" si="28"/>
        <v>-9.2083410223288142E-3</v>
      </c>
      <c r="E682" s="270">
        <v>45617.41</v>
      </c>
      <c r="F682" s="129">
        <f t="shared" si="28"/>
        <v>4.6436021579261411E-3</v>
      </c>
      <c r="G682" s="270">
        <v>19528.8</v>
      </c>
      <c r="H682" s="129">
        <f t="shared" si="27"/>
        <v>4.8108338950261231E-3</v>
      </c>
    </row>
    <row r="683" spans="2:8" x14ac:dyDescent="0.3">
      <c r="B683" s="269">
        <v>45170</v>
      </c>
      <c r="C683" s="270">
        <v>1083.8</v>
      </c>
      <c r="D683" s="129">
        <f t="shared" si="28"/>
        <v>-2.5859047071195462E-2</v>
      </c>
      <c r="E683" s="270">
        <v>45406.559999999998</v>
      </c>
      <c r="F683" s="129">
        <f t="shared" si="28"/>
        <v>4.2206560019391048E-3</v>
      </c>
      <c r="G683" s="270">
        <v>19435.3</v>
      </c>
      <c r="H683" s="129">
        <f t="shared" si="27"/>
        <v>9.4267105714196386E-3</v>
      </c>
    </row>
    <row r="684" spans="2:8" x14ac:dyDescent="0.3">
      <c r="B684" s="269">
        <v>45169</v>
      </c>
      <c r="C684" s="270">
        <v>1112.57</v>
      </c>
      <c r="D684" s="129">
        <f t="shared" si="28"/>
        <v>2.8348276180792942E-2</v>
      </c>
      <c r="E684" s="270">
        <v>45215.72</v>
      </c>
      <c r="F684" s="129">
        <f t="shared" si="28"/>
        <v>4.428389050472159E-3</v>
      </c>
      <c r="G684" s="270">
        <v>19253.8</v>
      </c>
      <c r="H684" s="129">
        <f t="shared" si="27"/>
        <v>-4.840431167931758E-3</v>
      </c>
    </row>
    <row r="685" spans="2:8" x14ac:dyDescent="0.3">
      <c r="B685" s="269">
        <v>45168</v>
      </c>
      <c r="C685" s="270">
        <v>1081.9000000000001</v>
      </c>
      <c r="D685" s="129">
        <f t="shared" si="28"/>
        <v>1.31572786440044E-2</v>
      </c>
      <c r="E685" s="270">
        <v>45016.37</v>
      </c>
      <c r="F685" s="129">
        <f t="shared" si="28"/>
        <v>1.6770877372556114E-3</v>
      </c>
      <c r="G685" s="270">
        <v>19347.45</v>
      </c>
      <c r="H685" s="129">
        <f t="shared" si="27"/>
        <v>2.4815627641494586E-4</v>
      </c>
    </row>
    <row r="686" spans="2:8" x14ac:dyDescent="0.3">
      <c r="B686" s="269">
        <v>45167</v>
      </c>
      <c r="C686" s="270">
        <v>1067.8499999999999</v>
      </c>
      <c r="D686" s="129">
        <f t="shared" si="28"/>
        <v>8.9043021838963732E-4</v>
      </c>
      <c r="E686" s="270">
        <v>44941</v>
      </c>
      <c r="F686" s="129">
        <f t="shared" si="28"/>
        <v>7.800299418116996E-3</v>
      </c>
      <c r="G686" s="270">
        <v>19342.650000000001</v>
      </c>
      <c r="H686" s="129">
        <f t="shared" si="27"/>
        <v>1.8957787843707496E-3</v>
      </c>
    </row>
    <row r="687" spans="2:8" x14ac:dyDescent="0.3">
      <c r="B687" s="269">
        <v>45166</v>
      </c>
      <c r="C687" s="270">
        <v>1066.9000000000001</v>
      </c>
      <c r="D687" s="129">
        <f t="shared" si="28"/>
        <v>-2.4486138541438107E-2</v>
      </c>
      <c r="E687" s="270">
        <v>44593.16</v>
      </c>
      <c r="F687" s="129">
        <f t="shared" si="28"/>
        <v>1.3672124514397144E-2</v>
      </c>
      <c r="G687" s="270">
        <v>19306.05</v>
      </c>
      <c r="H687" s="129">
        <f t="shared" si="27"/>
        <v>2.0891943236200916E-3</v>
      </c>
    </row>
    <row r="688" spans="2:8" x14ac:dyDescent="0.3">
      <c r="B688" s="269">
        <v>45163</v>
      </c>
      <c r="C688" s="270">
        <v>1093.68</v>
      </c>
      <c r="D688" s="129">
        <f t="shared" si="28"/>
        <v>-1.336941813261161E-2</v>
      </c>
      <c r="E688" s="270">
        <v>43991.7</v>
      </c>
      <c r="F688" s="129">
        <f t="shared" si="28"/>
        <v>-1.2873880045586983E-2</v>
      </c>
      <c r="G688" s="270">
        <v>19265.8</v>
      </c>
      <c r="H688" s="129">
        <f t="shared" si="27"/>
        <v>-6.2362341192674364E-3</v>
      </c>
    </row>
    <row r="689" spans="2:8" x14ac:dyDescent="0.3">
      <c r="B689" s="269">
        <v>45162</v>
      </c>
      <c r="C689" s="270">
        <v>1108.5</v>
      </c>
      <c r="D689" s="129">
        <f t="shared" si="28"/>
        <v>7.2236608968243576E-3</v>
      </c>
      <c r="E689" s="270">
        <v>44565.43</v>
      </c>
      <c r="F689" s="129">
        <f t="shared" si="28"/>
        <v>-3.0301416884856991E-3</v>
      </c>
      <c r="G689" s="270">
        <v>19386.7</v>
      </c>
      <c r="H689" s="129">
        <f t="shared" si="27"/>
        <v>-2.9469245011314316E-3</v>
      </c>
    </row>
    <row r="690" spans="2:8" x14ac:dyDescent="0.3">
      <c r="B690" s="269">
        <v>45161</v>
      </c>
      <c r="C690" s="270">
        <v>1100.55</v>
      </c>
      <c r="D690" s="129">
        <f t="shared" si="28"/>
        <v>-7.0822807650668951E-3</v>
      </c>
      <c r="E690" s="270">
        <v>44700.88</v>
      </c>
      <c r="F690" s="129">
        <f t="shared" si="28"/>
        <v>1.1631038492368795E-2</v>
      </c>
      <c r="G690" s="270">
        <v>19444</v>
      </c>
      <c r="H690" s="129">
        <f t="shared" si="27"/>
        <v>2.4514795233148146E-3</v>
      </c>
    </row>
    <row r="691" spans="2:8" x14ac:dyDescent="0.3">
      <c r="B691" s="269">
        <v>45160</v>
      </c>
      <c r="C691" s="270">
        <v>1108.4000000000001</v>
      </c>
      <c r="D691" s="129">
        <f t="shared" si="28"/>
        <v>1.9518387019628713E-2</v>
      </c>
      <c r="E691" s="270">
        <v>44186.94</v>
      </c>
      <c r="F691" s="129">
        <f t="shared" si="28"/>
        <v>1.2493091473021689E-2</v>
      </c>
      <c r="G691" s="270">
        <v>19396.45</v>
      </c>
      <c r="H691" s="129">
        <f t="shared" si="27"/>
        <v>1.4695569672484865E-4</v>
      </c>
    </row>
    <row r="692" spans="2:8" x14ac:dyDescent="0.3">
      <c r="B692" s="269">
        <v>45159</v>
      </c>
      <c r="C692" s="270">
        <v>1087.18</v>
      </c>
      <c r="D692" s="129">
        <f t="shared" si="28"/>
        <v>1.7120724496669348E-2</v>
      </c>
      <c r="E692" s="270">
        <v>43641.72</v>
      </c>
      <c r="F692" s="129">
        <f t="shared" si="28"/>
        <v>1.0859361048102256E-2</v>
      </c>
      <c r="G692" s="270">
        <v>19393.599999999999</v>
      </c>
      <c r="H692" s="129">
        <f t="shared" si="27"/>
        <v>4.3215614586109563E-3</v>
      </c>
    </row>
    <row r="693" spans="2:8" x14ac:dyDescent="0.3">
      <c r="B693" s="269">
        <v>45156</v>
      </c>
      <c r="C693" s="270">
        <v>1068.8800000000001</v>
      </c>
      <c r="D693" s="129">
        <f t="shared" si="28"/>
        <v>-2.1844252347789084E-3</v>
      </c>
      <c r="E693" s="270">
        <v>43172.89</v>
      </c>
      <c r="F693" s="129">
        <f t="shared" si="28"/>
        <v>-2.4340182119279019E-3</v>
      </c>
      <c r="G693" s="270">
        <v>19310.150000000001</v>
      </c>
      <c r="H693" s="129">
        <f t="shared" si="27"/>
        <v>-2.8453027975366973E-3</v>
      </c>
    </row>
    <row r="694" spans="2:8" x14ac:dyDescent="0.3">
      <c r="B694" s="269">
        <v>45155</v>
      </c>
      <c r="C694" s="270">
        <v>1071.22</v>
      </c>
      <c r="D694" s="129">
        <f t="shared" si="28"/>
        <v>-2.2911854556292299E-3</v>
      </c>
      <c r="E694" s="270">
        <v>43278.23</v>
      </c>
      <c r="F694" s="129">
        <f t="shared" si="28"/>
        <v>-7.5305097094224838E-3</v>
      </c>
      <c r="G694" s="270">
        <v>19365.25</v>
      </c>
      <c r="H694" s="129">
        <f t="shared" si="27"/>
        <v>-5.1245825841254034E-3</v>
      </c>
    </row>
    <row r="695" spans="2:8" x14ac:dyDescent="0.3">
      <c r="B695" s="269">
        <v>45154</v>
      </c>
      <c r="C695" s="270">
        <v>1073.68</v>
      </c>
      <c r="D695" s="129">
        <f t="shared" si="28"/>
        <v>1.8285280728376208E-2</v>
      </c>
      <c r="E695" s="270">
        <v>43606.61</v>
      </c>
      <c r="F695" s="129">
        <f t="shared" si="28"/>
        <v>6.3234147039412658E-3</v>
      </c>
      <c r="G695" s="270">
        <v>19465</v>
      </c>
      <c r="H695" s="129">
        <f t="shared" si="27"/>
        <v>1.5667972759854099E-3</v>
      </c>
    </row>
    <row r="696" spans="2:8" x14ac:dyDescent="0.3">
      <c r="B696" s="269">
        <v>45152</v>
      </c>
      <c r="C696" s="270">
        <v>1054.4000000000001</v>
      </c>
      <c r="D696" s="129">
        <f t="shared" si="28"/>
        <v>6.6351615828919019E-3</v>
      </c>
      <c r="E696" s="270">
        <v>43332.6</v>
      </c>
      <c r="F696" s="129">
        <f t="shared" si="28"/>
        <v>-1.9510651396873468E-3</v>
      </c>
      <c r="G696" s="270">
        <v>19434.55</v>
      </c>
      <c r="H696" s="129">
        <f t="shared" si="27"/>
        <v>3.2169567074835648E-4</v>
      </c>
    </row>
    <row r="697" spans="2:8" x14ac:dyDescent="0.3">
      <c r="B697" s="269">
        <v>45149</v>
      </c>
      <c r="C697" s="270">
        <v>1047.45</v>
      </c>
      <c r="D697" s="129">
        <f t="shared" si="28"/>
        <v>-7.955675522091088E-3</v>
      </c>
      <c r="E697" s="270">
        <v>43417.31</v>
      </c>
      <c r="F697" s="129">
        <f t="shared" si="28"/>
        <v>1.5268348314874114E-3</v>
      </c>
      <c r="G697" s="270">
        <v>19428.3</v>
      </c>
      <c r="H697" s="129">
        <f t="shared" si="27"/>
        <v>-5.8741960077981492E-3</v>
      </c>
    </row>
    <row r="698" spans="2:8" x14ac:dyDescent="0.3">
      <c r="B698" s="269">
        <v>45148</v>
      </c>
      <c r="C698" s="270">
        <v>1055.8499999999999</v>
      </c>
      <c r="D698" s="129">
        <f t="shared" si="28"/>
        <v>-8.2330229389060428E-4</v>
      </c>
      <c r="E698" s="270">
        <v>43351.12</v>
      </c>
      <c r="F698" s="129">
        <f t="shared" si="28"/>
        <v>-4.6421281510241608E-3</v>
      </c>
      <c r="G698" s="270">
        <v>19543.099999999999</v>
      </c>
      <c r="H698" s="129">
        <f t="shared" si="27"/>
        <v>-4.5562089489139534E-3</v>
      </c>
    </row>
    <row r="699" spans="2:8" x14ac:dyDescent="0.3">
      <c r="B699" s="269">
        <v>45147</v>
      </c>
      <c r="C699" s="270">
        <v>1056.72</v>
      </c>
      <c r="D699" s="129">
        <f t="shared" si="28"/>
        <v>-1.5603603267906885E-2</v>
      </c>
      <c r="E699" s="270">
        <v>43553.3</v>
      </c>
      <c r="F699" s="129">
        <f t="shared" si="28"/>
        <v>8.1126667455195811E-3</v>
      </c>
      <c r="G699" s="270">
        <v>19632.55</v>
      </c>
      <c r="H699" s="129">
        <f t="shared" si="27"/>
        <v>3.152647943242215E-3</v>
      </c>
    </row>
    <row r="700" spans="2:8" x14ac:dyDescent="0.3">
      <c r="B700" s="269">
        <v>45146</v>
      </c>
      <c r="C700" s="270">
        <v>1073.47</v>
      </c>
      <c r="D700" s="129">
        <f t="shared" si="28"/>
        <v>-1.5904313696312178E-3</v>
      </c>
      <c r="E700" s="270">
        <v>43202.81</v>
      </c>
      <c r="F700" s="129">
        <f t="shared" si="28"/>
        <v>4.6314725697560455E-4</v>
      </c>
      <c r="G700" s="270">
        <v>19570.849999999999</v>
      </c>
      <c r="H700" s="129">
        <f t="shared" si="27"/>
        <v>-1.3496757206350463E-3</v>
      </c>
    </row>
    <row r="701" spans="2:8" x14ac:dyDescent="0.3">
      <c r="B701" s="269">
        <v>45145</v>
      </c>
      <c r="C701" s="270">
        <v>1075.18</v>
      </c>
      <c r="D701" s="129">
        <f t="shared" si="28"/>
        <v>1.3555806938160053E-2</v>
      </c>
      <c r="E701" s="270">
        <v>43182.81</v>
      </c>
      <c r="F701" s="129">
        <f t="shared" si="28"/>
        <v>2.6182933658756014E-3</v>
      </c>
      <c r="G701" s="270">
        <v>19597.3</v>
      </c>
      <c r="H701" s="129">
        <f t="shared" si="27"/>
        <v>4.1143618383971958E-3</v>
      </c>
    </row>
    <row r="702" spans="2:8" x14ac:dyDescent="0.3">
      <c r="B702" s="269">
        <v>45142</v>
      </c>
      <c r="C702" s="270">
        <v>1060.8</v>
      </c>
      <c r="D702" s="129">
        <f t="shared" si="28"/>
        <v>-2.3006502238022475E-2</v>
      </c>
      <c r="E702" s="270">
        <v>43070.04</v>
      </c>
      <c r="F702" s="129">
        <f t="shared" si="28"/>
        <v>6.6346204860121549E-3</v>
      </c>
      <c r="G702" s="270">
        <v>19517</v>
      </c>
      <c r="H702" s="129">
        <f t="shared" si="27"/>
        <v>6.983409565233023E-3</v>
      </c>
    </row>
    <row r="703" spans="2:8" x14ac:dyDescent="0.3">
      <c r="B703" s="269">
        <v>45141</v>
      </c>
      <c r="C703" s="270">
        <v>1085.78</v>
      </c>
      <c r="D703" s="129">
        <f t="shared" si="28"/>
        <v>-1.8386070712828051E-3</v>
      </c>
      <c r="E703" s="270">
        <v>42786.17</v>
      </c>
      <c r="F703" s="129">
        <f t="shared" si="28"/>
        <v>-6.5099277791825783E-3</v>
      </c>
      <c r="G703" s="270">
        <v>19381.650000000001</v>
      </c>
      <c r="H703" s="129">
        <f t="shared" si="27"/>
        <v>-7.4206657089961325E-3</v>
      </c>
    </row>
    <row r="704" spans="2:8" x14ac:dyDescent="0.3">
      <c r="B704" s="269">
        <v>45140</v>
      </c>
      <c r="C704" s="270">
        <v>1087.78</v>
      </c>
      <c r="D704" s="129">
        <f t="shared" si="28"/>
        <v>-2.8464252221676478E-2</v>
      </c>
      <c r="E704" s="270">
        <v>43066.53</v>
      </c>
      <c r="F704" s="129">
        <f t="shared" si="28"/>
        <v>-1.8303157457075003E-2</v>
      </c>
      <c r="G704" s="270">
        <v>19526.55</v>
      </c>
      <c r="H704" s="129">
        <f t="shared" si="27"/>
        <v>-1.0489749690248296E-2</v>
      </c>
    </row>
    <row r="705" spans="2:8" x14ac:dyDescent="0.3">
      <c r="B705" s="269">
        <v>45139</v>
      </c>
      <c r="C705" s="270">
        <v>1119.6500000000001</v>
      </c>
      <c r="D705" s="129">
        <f t="shared" si="28"/>
        <v>6.8725242208752979E-2</v>
      </c>
      <c r="E705" s="270">
        <v>43869.48</v>
      </c>
      <c r="F705" s="129">
        <f t="shared" si="28"/>
        <v>-4.0060455074962809E-3</v>
      </c>
      <c r="G705" s="270">
        <v>19733.55</v>
      </c>
      <c r="H705" s="129">
        <f t="shared" si="27"/>
        <v>-1.0251192175683155E-3</v>
      </c>
    </row>
    <row r="706" spans="2:8" x14ac:dyDescent="0.3">
      <c r="B706" s="269">
        <v>45138</v>
      </c>
      <c r="C706" s="270">
        <v>1047.6500000000001</v>
      </c>
      <c r="D706" s="129">
        <f t="shared" si="28"/>
        <v>4.6185340523267504E-2</v>
      </c>
      <c r="E706" s="270">
        <v>44045.93</v>
      </c>
      <c r="F706" s="129">
        <f t="shared" si="28"/>
        <v>1.3161505506196214E-2</v>
      </c>
      <c r="G706" s="270">
        <v>19753.8</v>
      </c>
      <c r="H706" s="129">
        <f t="shared" si="27"/>
        <v>5.4845630546598301E-3</v>
      </c>
    </row>
    <row r="707" spans="2:8" x14ac:dyDescent="0.3">
      <c r="B707" s="269">
        <v>45135</v>
      </c>
      <c r="C707" s="270">
        <v>1001.4</v>
      </c>
      <c r="D707" s="129">
        <f t="shared" si="28"/>
        <v>1.2763203139221968E-2</v>
      </c>
      <c r="E707" s="270">
        <v>43473.75</v>
      </c>
      <c r="F707" s="129">
        <f t="shared" si="28"/>
        <v>4.7636062424480929E-3</v>
      </c>
      <c r="G707" s="270">
        <v>19646.05</v>
      </c>
      <c r="H707" s="129">
        <f t="shared" si="27"/>
        <v>-7.044796769059003E-4</v>
      </c>
    </row>
    <row r="708" spans="2:8" x14ac:dyDescent="0.3">
      <c r="B708" s="269">
        <v>45134</v>
      </c>
      <c r="C708" s="270">
        <v>988.78</v>
      </c>
      <c r="D708" s="129">
        <f t="shared" si="28"/>
        <v>6.5147906105580411E-3</v>
      </c>
      <c r="E708" s="270">
        <v>43267.64</v>
      </c>
      <c r="F708" s="129">
        <f t="shared" si="28"/>
        <v>3.1242986788733162E-3</v>
      </c>
      <c r="G708" s="270">
        <v>19659.900000000001</v>
      </c>
      <c r="H708" s="129">
        <f t="shared" si="27"/>
        <v>-5.9863587871554769E-3</v>
      </c>
    </row>
    <row r="709" spans="2:8" x14ac:dyDescent="0.3">
      <c r="B709" s="269">
        <v>45133</v>
      </c>
      <c r="C709" s="270">
        <v>982.38</v>
      </c>
      <c r="D709" s="129">
        <f t="shared" si="28"/>
        <v>-3.2563345883795947E-4</v>
      </c>
      <c r="E709" s="270">
        <v>43132.88</v>
      </c>
      <c r="F709" s="129">
        <f t="shared" si="28"/>
        <v>1.5868440043034227E-2</v>
      </c>
      <c r="G709" s="270">
        <v>19778.3</v>
      </c>
      <c r="H709" s="129">
        <f t="shared" si="27"/>
        <v>4.9642795443227694E-3</v>
      </c>
    </row>
    <row r="710" spans="2:8" x14ac:dyDescent="0.3">
      <c r="B710" s="269">
        <v>45132</v>
      </c>
      <c r="C710" s="270">
        <v>982.7</v>
      </c>
      <c r="D710" s="129">
        <f t="shared" si="28"/>
        <v>3.8081656367189742E-2</v>
      </c>
      <c r="E710" s="270">
        <v>42459.12</v>
      </c>
      <c r="F710" s="129">
        <f t="shared" si="28"/>
        <v>-6.4376964321107844E-3</v>
      </c>
      <c r="G710" s="270">
        <v>19680.599999999999</v>
      </c>
      <c r="H710" s="129">
        <f t="shared" si="27"/>
        <v>4.1937033450500927E-4</v>
      </c>
    </row>
    <row r="711" spans="2:8" x14ac:dyDescent="0.3">
      <c r="B711" s="269">
        <v>45131</v>
      </c>
      <c r="C711" s="270">
        <v>946.65</v>
      </c>
      <c r="D711" s="129">
        <f t="shared" si="28"/>
        <v>-2.0892589336505174E-2</v>
      </c>
      <c r="E711" s="270">
        <v>42734.23</v>
      </c>
      <c r="F711" s="129">
        <f t="shared" si="28"/>
        <v>7.8366697372809213E-3</v>
      </c>
      <c r="G711" s="270">
        <v>19672.349999999999</v>
      </c>
      <c r="H711" s="129">
        <f t="shared" si="27"/>
        <v>-3.679412509496105E-3</v>
      </c>
    </row>
    <row r="712" spans="2:8" x14ac:dyDescent="0.3">
      <c r="B712" s="269">
        <v>45128</v>
      </c>
      <c r="C712" s="270">
        <v>966.85</v>
      </c>
      <c r="D712" s="129">
        <f t="shared" si="28"/>
        <v>-5.2164787225285059E-3</v>
      </c>
      <c r="E712" s="270">
        <v>42401.94</v>
      </c>
      <c r="F712" s="129">
        <f t="shared" si="28"/>
        <v>1.6876743630002355E-2</v>
      </c>
      <c r="G712" s="270">
        <v>19745</v>
      </c>
      <c r="H712" s="129">
        <f t="shared" si="27"/>
        <v>-1.1719717805812602E-2</v>
      </c>
    </row>
    <row r="713" spans="2:8" x14ac:dyDescent="0.3">
      <c r="B713" s="269">
        <v>45127</v>
      </c>
      <c r="C713" s="270">
        <v>971.92</v>
      </c>
      <c r="D713" s="129">
        <f t="shared" si="28"/>
        <v>3.2858660998937195E-2</v>
      </c>
      <c r="E713" s="270">
        <v>41698.21</v>
      </c>
      <c r="F713" s="129">
        <f t="shared" si="28"/>
        <v>-2.9050901847693655E-3</v>
      </c>
      <c r="G713" s="270">
        <v>19979.150000000001</v>
      </c>
      <c r="H713" s="129">
        <f t="shared" si="27"/>
        <v>7.3614125844860823E-3</v>
      </c>
    </row>
    <row r="714" spans="2:8" x14ac:dyDescent="0.3">
      <c r="B714" s="269">
        <v>45126</v>
      </c>
      <c r="C714" s="270">
        <v>941</v>
      </c>
      <c r="D714" s="129">
        <f t="shared" si="28"/>
        <v>1.6989451841604719E-2</v>
      </c>
      <c r="E714" s="270">
        <v>41819.699999999997</v>
      </c>
      <c r="F714" s="129">
        <f t="shared" si="28"/>
        <v>5.0676731194621016E-3</v>
      </c>
      <c r="G714" s="270">
        <v>19833.150000000001</v>
      </c>
      <c r="H714" s="129">
        <f t="shared" ref="H714:H777" si="29">G714/G715-1</f>
        <v>4.248262592250418E-3</v>
      </c>
    </row>
    <row r="715" spans="2:8" x14ac:dyDescent="0.3">
      <c r="B715" s="269">
        <v>45125</v>
      </c>
      <c r="C715" s="270">
        <v>925.28</v>
      </c>
      <c r="D715" s="129">
        <f t="shared" si="28"/>
        <v>-2.365727550912744E-2</v>
      </c>
      <c r="E715" s="270">
        <v>41608.839999999997</v>
      </c>
      <c r="F715" s="129">
        <f t="shared" si="28"/>
        <v>4.3959540132660901E-3</v>
      </c>
      <c r="G715" s="270">
        <v>19749.25</v>
      </c>
      <c r="H715" s="129">
        <f t="shared" si="29"/>
        <v>1.9176671427012515E-3</v>
      </c>
    </row>
    <row r="716" spans="2:8" x14ac:dyDescent="0.3">
      <c r="B716" s="269">
        <v>45124</v>
      </c>
      <c r="C716" s="270">
        <v>947.7</v>
      </c>
      <c r="D716" s="129">
        <f t="shared" si="28"/>
        <v>1.4429149450878809E-2</v>
      </c>
      <c r="E716" s="270">
        <v>41426.730000000003</v>
      </c>
      <c r="F716" s="129">
        <f t="shared" si="28"/>
        <v>1.917894292341904E-3</v>
      </c>
      <c r="G716" s="270">
        <v>19711.45</v>
      </c>
      <c r="H716" s="129">
        <f t="shared" si="29"/>
        <v>7.5110531830611116E-3</v>
      </c>
    </row>
    <row r="717" spans="2:8" x14ac:dyDescent="0.3">
      <c r="B717" s="269">
        <v>45121</v>
      </c>
      <c r="C717" s="270">
        <v>934.22</v>
      </c>
      <c r="D717" s="129">
        <f t="shared" si="28"/>
        <v>-5.3553367048176925E-3</v>
      </c>
      <c r="E717" s="270">
        <v>41347.43</v>
      </c>
      <c r="F717" s="129">
        <f t="shared" si="28"/>
        <v>6.4068409736977028E-3</v>
      </c>
      <c r="G717" s="270">
        <v>19564.5</v>
      </c>
      <c r="H717" s="129">
        <f t="shared" si="29"/>
        <v>7.7651149314275081E-3</v>
      </c>
    </row>
    <row r="718" spans="2:8" x14ac:dyDescent="0.3">
      <c r="B718" s="269">
        <v>45120</v>
      </c>
      <c r="C718" s="270">
        <v>939.25</v>
      </c>
      <c r="D718" s="129">
        <f t="shared" si="28"/>
        <v>-1.8260306045655983E-2</v>
      </c>
      <c r="E718" s="270">
        <v>41084.21</v>
      </c>
      <c r="F718" s="129">
        <f t="shared" si="28"/>
        <v>-5.5175051407395648E-3</v>
      </c>
      <c r="G718" s="270">
        <v>19413.75</v>
      </c>
      <c r="H718" s="129">
        <f t="shared" si="29"/>
        <v>1.5192707500399916E-3</v>
      </c>
    </row>
    <row r="719" spans="2:8" x14ac:dyDescent="0.3">
      <c r="B719" s="269">
        <v>45119</v>
      </c>
      <c r="C719" s="270">
        <v>956.72</v>
      </c>
      <c r="D719" s="129">
        <f t="shared" si="28"/>
        <v>-2.2408419761916876E-2</v>
      </c>
      <c r="E719" s="270">
        <v>41312.15</v>
      </c>
      <c r="F719" s="129">
        <f t="shared" si="28"/>
        <v>8.3759615712830637E-5</v>
      </c>
      <c r="G719" s="270">
        <v>19384.3</v>
      </c>
      <c r="H719" s="129">
        <f t="shared" si="29"/>
        <v>-2.8344496229308902E-3</v>
      </c>
    </row>
    <row r="720" spans="2:8" x14ac:dyDescent="0.3">
      <c r="B720" s="269">
        <v>45118</v>
      </c>
      <c r="C720" s="270">
        <v>978.65</v>
      </c>
      <c r="D720" s="129">
        <f t="shared" si="28"/>
        <v>5.5262022859607463E-2</v>
      </c>
      <c r="E720" s="270">
        <v>41308.69</v>
      </c>
      <c r="F720" s="129">
        <f t="shared" si="28"/>
        <v>1.7855541242320916E-2</v>
      </c>
      <c r="G720" s="270">
        <v>19439.400000000001</v>
      </c>
      <c r="H720" s="129">
        <f t="shared" si="29"/>
        <v>4.3139301194985435E-3</v>
      </c>
    </row>
    <row r="721" spans="2:8" x14ac:dyDescent="0.3">
      <c r="B721" s="269">
        <v>45117</v>
      </c>
      <c r="C721" s="270">
        <v>927.4</v>
      </c>
      <c r="D721" s="129">
        <f t="shared" si="28"/>
        <v>8.9756840559211959E-3</v>
      </c>
      <c r="E721" s="270">
        <v>40584.04</v>
      </c>
      <c r="F721" s="129">
        <f t="shared" si="28"/>
        <v>-2.1229209070581234E-3</v>
      </c>
      <c r="G721" s="270">
        <v>19355.900000000001</v>
      </c>
      <c r="H721" s="129">
        <f t="shared" si="29"/>
        <v>1.2466505964268126E-3</v>
      </c>
    </row>
    <row r="722" spans="2:8" x14ac:dyDescent="0.3">
      <c r="B722" s="269">
        <v>45114</v>
      </c>
      <c r="C722" s="270">
        <v>919.15</v>
      </c>
      <c r="D722" s="129">
        <f t="shared" si="28"/>
        <v>-1.3417055761283714E-2</v>
      </c>
      <c r="E722" s="270">
        <v>40670.379999999997</v>
      </c>
      <c r="F722" s="129">
        <f t="shared" si="28"/>
        <v>-8.1239426204939846E-3</v>
      </c>
      <c r="G722" s="270">
        <v>19331.8</v>
      </c>
      <c r="H722" s="129">
        <f t="shared" si="29"/>
        <v>-8.4883547978438223E-3</v>
      </c>
    </row>
    <row r="723" spans="2:8" x14ac:dyDescent="0.3">
      <c r="B723" s="269">
        <v>45113</v>
      </c>
      <c r="C723" s="270">
        <v>931.65</v>
      </c>
      <c r="D723" s="129">
        <f t="shared" ref="D723:F786" si="30">C723/C724-1</f>
        <v>6.1370730707010823E-2</v>
      </c>
      <c r="E723" s="270">
        <v>41003.49</v>
      </c>
      <c r="F723" s="129">
        <f t="shared" si="30"/>
        <v>6.953032831733319E-3</v>
      </c>
      <c r="G723" s="270">
        <v>19497.3</v>
      </c>
      <c r="H723" s="129">
        <f t="shared" si="29"/>
        <v>5.0931773075237885E-3</v>
      </c>
    </row>
    <row r="724" spans="2:8" x14ac:dyDescent="0.3">
      <c r="B724" s="269">
        <v>45112</v>
      </c>
      <c r="C724" s="270">
        <v>877.78</v>
      </c>
      <c r="D724" s="129">
        <f t="shared" si="30"/>
        <v>1.7774943474983873E-2</v>
      </c>
      <c r="E724" s="270">
        <v>40720.36</v>
      </c>
      <c r="F724" s="129">
        <f t="shared" si="30"/>
        <v>4.6385171350786791E-3</v>
      </c>
      <c r="G724" s="270">
        <v>19398.5</v>
      </c>
      <c r="H724" s="129">
        <f t="shared" si="29"/>
        <v>4.8996853886218439E-4</v>
      </c>
    </row>
    <row r="725" spans="2:8" x14ac:dyDescent="0.3">
      <c r="B725" s="269">
        <v>45111</v>
      </c>
      <c r="C725" s="270">
        <v>862.45</v>
      </c>
      <c r="D725" s="129">
        <f t="shared" si="30"/>
        <v>-8.9629416834242637E-3</v>
      </c>
      <c r="E725" s="270">
        <v>40532.35</v>
      </c>
      <c r="F725" s="129">
        <f t="shared" si="30"/>
        <v>-1.9486806322110972E-4</v>
      </c>
      <c r="G725" s="270">
        <v>19389</v>
      </c>
      <c r="H725" s="129">
        <f t="shared" si="29"/>
        <v>3.4389870902133968E-3</v>
      </c>
    </row>
    <row r="726" spans="2:8" x14ac:dyDescent="0.3">
      <c r="B726" s="269">
        <v>45110</v>
      </c>
      <c r="C726" s="270">
        <v>870.25</v>
      </c>
      <c r="D726" s="129">
        <f t="shared" si="30"/>
        <v>-9.6164788892683095E-3</v>
      </c>
      <c r="E726" s="270">
        <v>40540.25</v>
      </c>
      <c r="F726" s="129">
        <f t="shared" si="30"/>
        <v>-4.5551022252255935E-3</v>
      </c>
      <c r="G726" s="270">
        <v>19322.55</v>
      </c>
      <c r="H726" s="129">
        <f t="shared" si="29"/>
        <v>6.9570927169402275E-3</v>
      </c>
    </row>
    <row r="727" spans="2:8" x14ac:dyDescent="0.3">
      <c r="B727" s="269">
        <v>45107</v>
      </c>
      <c r="C727" s="270">
        <v>878.7</v>
      </c>
      <c r="D727" s="129">
        <f t="shared" si="30"/>
        <v>6.9368382621394664E-2</v>
      </c>
      <c r="E727" s="270">
        <v>40725.760000000002</v>
      </c>
      <c r="F727" s="129">
        <f t="shared" si="30"/>
        <v>1.7252124200107577E-2</v>
      </c>
      <c r="G727" s="270">
        <v>19189.05</v>
      </c>
      <c r="H727" s="129">
        <f t="shared" si="29"/>
        <v>1.1435212759789426E-2</v>
      </c>
    </row>
    <row r="728" spans="2:8" x14ac:dyDescent="0.3">
      <c r="B728" s="269">
        <v>45105</v>
      </c>
      <c r="C728" s="270">
        <v>821.7</v>
      </c>
      <c r="D728" s="129">
        <f t="shared" si="30"/>
        <v>-7.5727381426863305E-3</v>
      </c>
      <c r="E728" s="270">
        <v>40035.07</v>
      </c>
      <c r="F728" s="129">
        <f t="shared" si="30"/>
        <v>1.1363323460127139E-2</v>
      </c>
      <c r="G728" s="270">
        <v>18972.099999999999</v>
      </c>
      <c r="H728" s="129">
        <f t="shared" si="29"/>
        <v>8.2211145004089659E-3</v>
      </c>
    </row>
    <row r="729" spans="2:8" x14ac:dyDescent="0.3">
      <c r="B729" s="269">
        <v>45104</v>
      </c>
      <c r="C729" s="270">
        <v>827.97</v>
      </c>
      <c r="D729" s="129">
        <f t="shared" si="30"/>
        <v>2.2601800733632382E-2</v>
      </c>
      <c r="E729" s="270">
        <v>39585.25</v>
      </c>
      <c r="F729" s="129">
        <f t="shared" si="30"/>
        <v>5.5430130737255112E-4</v>
      </c>
      <c r="G729" s="270">
        <v>18817.400000000001</v>
      </c>
      <c r="H729" s="129">
        <f t="shared" si="29"/>
        <v>6.7518404382811426E-3</v>
      </c>
    </row>
    <row r="730" spans="2:8" x14ac:dyDescent="0.3">
      <c r="B730" s="269">
        <v>45103</v>
      </c>
      <c r="C730" s="270">
        <v>809.67</v>
      </c>
      <c r="D730" s="129">
        <f t="shared" si="30"/>
        <v>8.2435713840980362E-3</v>
      </c>
      <c r="E730" s="270">
        <v>39563.32</v>
      </c>
      <c r="F730" s="129">
        <f t="shared" si="30"/>
        <v>2.1926824795144295E-3</v>
      </c>
      <c r="G730" s="270">
        <v>18691.2</v>
      </c>
      <c r="H730" s="129">
        <f t="shared" si="29"/>
        <v>1.3768717687712151E-3</v>
      </c>
    </row>
    <row r="731" spans="2:8" x14ac:dyDescent="0.3">
      <c r="B731" s="269">
        <v>45100</v>
      </c>
      <c r="C731" s="270">
        <v>803.05</v>
      </c>
      <c r="D731" s="129">
        <f t="shared" si="30"/>
        <v>-1.5532290491835576E-2</v>
      </c>
      <c r="E731" s="270">
        <v>39476.76</v>
      </c>
      <c r="F731" s="129">
        <f t="shared" si="30"/>
        <v>-1.1016496937356735E-2</v>
      </c>
      <c r="G731" s="270">
        <v>18665.5</v>
      </c>
      <c r="H731" s="129">
        <f t="shared" si="29"/>
        <v>-5.6336152360657588E-3</v>
      </c>
    </row>
    <row r="732" spans="2:8" x14ac:dyDescent="0.3">
      <c r="B732" s="269">
        <v>45099</v>
      </c>
      <c r="C732" s="270">
        <v>815.72</v>
      </c>
      <c r="D732" s="129">
        <f t="shared" si="30"/>
        <v>-2.9020354719676233E-2</v>
      </c>
      <c r="E732" s="270">
        <v>39916.5</v>
      </c>
      <c r="F732" s="129">
        <f t="shared" si="30"/>
        <v>-7.3199294843451224E-4</v>
      </c>
      <c r="G732" s="270">
        <v>18771.25</v>
      </c>
      <c r="H732" s="129">
        <f t="shared" si="29"/>
        <v>-4.5394644386521632E-3</v>
      </c>
    </row>
    <row r="733" spans="2:8" x14ac:dyDescent="0.3">
      <c r="B733" s="269">
        <v>45098</v>
      </c>
      <c r="C733" s="270">
        <v>840.1</v>
      </c>
      <c r="D733" s="129">
        <f t="shared" si="30"/>
        <v>-3.1799520634091527E-3</v>
      </c>
      <c r="E733" s="270">
        <v>39945.74</v>
      </c>
      <c r="F733" s="129">
        <f t="shared" si="30"/>
        <v>4.0807017605226648E-5</v>
      </c>
      <c r="G733" s="270">
        <v>18856.849999999999</v>
      </c>
      <c r="H733" s="129">
        <f t="shared" si="29"/>
        <v>2.1337428985952478E-3</v>
      </c>
    </row>
    <row r="734" spans="2:8" x14ac:dyDescent="0.3">
      <c r="B734" s="269">
        <v>45097</v>
      </c>
      <c r="C734" s="270">
        <v>842.78</v>
      </c>
      <c r="D734" s="129">
        <f t="shared" si="30"/>
        <v>1.4078067093420632E-2</v>
      </c>
      <c r="E734" s="270">
        <v>39944.11</v>
      </c>
      <c r="F734" s="129">
        <f t="shared" si="30"/>
        <v>3.1107296189074596E-3</v>
      </c>
      <c r="G734" s="270">
        <v>18816.7</v>
      </c>
      <c r="H734" s="129">
        <f t="shared" si="29"/>
        <v>3.2657174314665305E-3</v>
      </c>
    </row>
    <row r="735" spans="2:8" x14ac:dyDescent="0.3">
      <c r="B735" s="269">
        <v>45096</v>
      </c>
      <c r="C735" s="270">
        <v>831.08</v>
      </c>
      <c r="D735" s="129">
        <f t="shared" si="30"/>
        <v>1.8917427818304411E-2</v>
      </c>
      <c r="E735" s="270">
        <v>39820.239999999998</v>
      </c>
      <c r="F735" s="129">
        <f t="shared" si="30"/>
        <v>-2.7408183586745682E-3</v>
      </c>
      <c r="G735" s="270">
        <v>18755.45</v>
      </c>
      <c r="H735" s="129">
        <f t="shared" si="29"/>
        <v>-3.7474768936576197E-3</v>
      </c>
    </row>
    <row r="736" spans="2:8" x14ac:dyDescent="0.3">
      <c r="B736" s="269">
        <v>45093</v>
      </c>
      <c r="C736" s="270">
        <v>815.65</v>
      </c>
      <c r="D736" s="129">
        <f t="shared" si="30"/>
        <v>-4.1268329609416288E-3</v>
      </c>
      <c r="E736" s="270">
        <v>39929.68</v>
      </c>
      <c r="F736" s="129">
        <f t="shared" si="30"/>
        <v>1.0174432945561085E-2</v>
      </c>
      <c r="G736" s="270">
        <v>18826</v>
      </c>
      <c r="H736" s="129">
        <f t="shared" si="29"/>
        <v>7.3790272954448177E-3</v>
      </c>
    </row>
    <row r="737" spans="2:8" x14ac:dyDescent="0.3">
      <c r="B737" s="269">
        <v>45092</v>
      </c>
      <c r="C737" s="270">
        <v>819.03</v>
      </c>
      <c r="D737" s="129">
        <f t="shared" si="30"/>
        <v>1.4492215079335402E-2</v>
      </c>
      <c r="E737" s="270">
        <v>39527.51</v>
      </c>
      <c r="F737" s="129">
        <f t="shared" si="30"/>
        <v>7.6131516371691355E-4</v>
      </c>
      <c r="G737" s="270">
        <v>18688.099999999999</v>
      </c>
      <c r="H737" s="129">
        <f t="shared" si="29"/>
        <v>-3.6148625232594878E-3</v>
      </c>
    </row>
    <row r="738" spans="2:8" x14ac:dyDescent="0.3">
      <c r="B738" s="269">
        <v>45091</v>
      </c>
      <c r="C738" s="270">
        <v>807.33</v>
      </c>
      <c r="D738" s="129">
        <f t="shared" si="30"/>
        <v>5.354719001780861E-3</v>
      </c>
      <c r="E738" s="270">
        <v>39497.440000000002</v>
      </c>
      <c r="F738" s="129">
        <f t="shared" si="30"/>
        <v>-4.2238055095722427E-4</v>
      </c>
      <c r="G738" s="270">
        <v>18755.900000000001</v>
      </c>
      <c r="H738" s="129">
        <f t="shared" si="29"/>
        <v>2.123834228727528E-3</v>
      </c>
    </row>
    <row r="739" spans="2:8" x14ac:dyDescent="0.3">
      <c r="B739" s="269">
        <v>45090</v>
      </c>
      <c r="C739" s="270">
        <v>803.03</v>
      </c>
      <c r="D739" s="129">
        <f t="shared" si="30"/>
        <v>-2.4892839362257613E-2</v>
      </c>
      <c r="E739" s="270">
        <v>39514.129999999997</v>
      </c>
      <c r="F739" s="129">
        <f t="shared" si="30"/>
        <v>7.9199278434349818E-3</v>
      </c>
      <c r="G739" s="270">
        <v>18716.150000000001</v>
      </c>
      <c r="H739" s="129">
        <f t="shared" si="29"/>
        <v>6.1634814396689386E-3</v>
      </c>
    </row>
    <row r="740" spans="2:8" x14ac:dyDescent="0.3">
      <c r="B740" s="269">
        <v>45089</v>
      </c>
      <c r="C740" s="270">
        <v>823.53</v>
      </c>
      <c r="D740" s="129">
        <f t="shared" si="30"/>
        <v>2.5566625155666323E-2</v>
      </c>
      <c r="E740" s="270">
        <v>39203.64</v>
      </c>
      <c r="F740" s="129">
        <f t="shared" si="30"/>
        <v>-5.2988292033386841E-3</v>
      </c>
      <c r="G740" s="270">
        <v>18601.5</v>
      </c>
      <c r="H740" s="129">
        <f t="shared" si="29"/>
        <v>2.0524257409741953E-3</v>
      </c>
    </row>
    <row r="741" spans="2:8" x14ac:dyDescent="0.3">
      <c r="B741" s="269">
        <v>45086</v>
      </c>
      <c r="C741" s="270">
        <v>803</v>
      </c>
      <c r="D741" s="129">
        <f t="shared" si="30"/>
        <v>-1.029148949282066E-2</v>
      </c>
      <c r="E741" s="270">
        <v>39412.480000000003</v>
      </c>
      <c r="F741" s="129">
        <f t="shared" si="30"/>
        <v>1.1504400704030582E-2</v>
      </c>
      <c r="G741" s="270">
        <v>18563.400000000001</v>
      </c>
      <c r="H741" s="129">
        <f t="shared" si="29"/>
        <v>-3.8181764518058214E-3</v>
      </c>
    </row>
    <row r="742" spans="2:8" x14ac:dyDescent="0.3">
      <c r="B742" s="269">
        <v>45085</v>
      </c>
      <c r="C742" s="270">
        <v>811.35</v>
      </c>
      <c r="D742" s="129">
        <f t="shared" si="30"/>
        <v>-1.8068935469816472E-2</v>
      </c>
      <c r="E742" s="270">
        <v>38964.22</v>
      </c>
      <c r="F742" s="129">
        <f t="shared" si="30"/>
        <v>4.2731110511431414E-3</v>
      </c>
      <c r="G742" s="270">
        <v>18634.55</v>
      </c>
      <c r="H742" s="129">
        <f t="shared" si="29"/>
        <v>-4.9048402255640333E-3</v>
      </c>
    </row>
    <row r="743" spans="2:8" x14ac:dyDescent="0.3">
      <c r="B743" s="269">
        <v>45084</v>
      </c>
      <c r="C743" s="270">
        <v>826.28</v>
      </c>
      <c r="D743" s="129">
        <f t="shared" si="30"/>
        <v>2.764753435731615E-2</v>
      </c>
      <c r="E743" s="270">
        <v>38798.43</v>
      </c>
      <c r="F743" s="129">
        <f t="shared" si="30"/>
        <v>1.6646957416752928E-2</v>
      </c>
      <c r="G743" s="270">
        <v>18726.400000000001</v>
      </c>
      <c r="H743" s="129">
        <f t="shared" si="29"/>
        <v>6.8498306360558203E-3</v>
      </c>
    </row>
    <row r="744" spans="2:8" x14ac:dyDescent="0.3">
      <c r="B744" s="269">
        <v>45083</v>
      </c>
      <c r="C744" s="270">
        <v>804.05</v>
      </c>
      <c r="D744" s="129">
        <f t="shared" si="30"/>
        <v>1.3781016743998231E-2</v>
      </c>
      <c r="E744" s="270">
        <v>38163.129999999997</v>
      </c>
      <c r="F744" s="129">
        <f t="shared" si="30"/>
        <v>6.1465874364849959E-3</v>
      </c>
      <c r="G744" s="270">
        <v>18599</v>
      </c>
      <c r="H744" s="129">
        <f t="shared" si="29"/>
        <v>2.7697330031184464E-4</v>
      </c>
    </row>
    <row r="745" spans="2:8" x14ac:dyDescent="0.3">
      <c r="B745" s="269">
        <v>45082</v>
      </c>
      <c r="C745" s="270">
        <v>793.12</v>
      </c>
      <c r="D745" s="129">
        <f t="shared" si="30"/>
        <v>2.7435362538719144E-3</v>
      </c>
      <c r="E745" s="270">
        <v>37929.99</v>
      </c>
      <c r="F745" s="129">
        <f t="shared" si="30"/>
        <v>1.1424864152245418E-2</v>
      </c>
      <c r="G745" s="270">
        <v>18593.849999999999</v>
      </c>
      <c r="H745" s="129">
        <f t="shared" si="29"/>
        <v>3.223787505193032E-3</v>
      </c>
    </row>
    <row r="746" spans="2:8" x14ac:dyDescent="0.3">
      <c r="B746" s="269">
        <v>45079</v>
      </c>
      <c r="C746" s="270">
        <v>790.95</v>
      </c>
      <c r="D746" s="129">
        <f t="shared" si="30"/>
        <v>2.448027977462619E-2</v>
      </c>
      <c r="E746" s="270">
        <v>37501.54</v>
      </c>
      <c r="F746" s="129">
        <f t="shared" si="30"/>
        <v>8.3425492057680461E-3</v>
      </c>
      <c r="G746" s="270">
        <v>18534.099999999999</v>
      </c>
      <c r="H746" s="129">
        <f t="shared" si="29"/>
        <v>2.507065489310456E-3</v>
      </c>
    </row>
    <row r="747" spans="2:8" x14ac:dyDescent="0.3">
      <c r="B747" s="269">
        <v>45078</v>
      </c>
      <c r="C747" s="270">
        <v>772.05</v>
      </c>
      <c r="D747" s="129">
        <f t="shared" si="30"/>
        <v>-3.0346074380165344E-3</v>
      </c>
      <c r="E747" s="270">
        <v>37191.269999999997</v>
      </c>
      <c r="F747" s="129">
        <f t="shared" si="30"/>
        <v>-7.982057431052958E-4</v>
      </c>
      <c r="G747" s="270">
        <v>18487.75</v>
      </c>
      <c r="H747" s="129">
        <f t="shared" si="29"/>
        <v>-2.5169414709945714E-3</v>
      </c>
    </row>
    <row r="748" spans="2:8" x14ac:dyDescent="0.3">
      <c r="B748" s="269">
        <v>45077</v>
      </c>
      <c r="C748" s="270">
        <v>774.4</v>
      </c>
      <c r="D748" s="129">
        <f t="shared" si="30"/>
        <v>6.0749263749058313E-2</v>
      </c>
      <c r="E748" s="270">
        <v>37220.980000000003</v>
      </c>
      <c r="F748" s="129">
        <f t="shared" si="30"/>
        <v>3.4026369223039143E-3</v>
      </c>
      <c r="G748" s="270">
        <v>18534.400000000001</v>
      </c>
      <c r="H748" s="129">
        <f t="shared" si="29"/>
        <v>-5.3370613158310043E-3</v>
      </c>
    </row>
    <row r="749" spans="2:8" x14ac:dyDescent="0.3">
      <c r="B749" s="269">
        <v>45076</v>
      </c>
      <c r="C749" s="270">
        <v>730.05</v>
      </c>
      <c r="D749" s="129">
        <f t="shared" si="30"/>
        <v>1.5905485513901585E-2</v>
      </c>
      <c r="E749" s="270">
        <v>37094.76</v>
      </c>
      <c r="F749" s="129">
        <f t="shared" si="30"/>
        <v>1.1789130033457162E-3</v>
      </c>
      <c r="G749" s="270">
        <v>18633.849999999999</v>
      </c>
      <c r="H749" s="129">
        <f t="shared" si="29"/>
        <v>1.8926104851695325E-3</v>
      </c>
    </row>
    <row r="750" spans="2:8" x14ac:dyDescent="0.3">
      <c r="B750" s="269">
        <v>45075</v>
      </c>
      <c r="C750" s="270">
        <v>718.62</v>
      </c>
      <c r="D750" s="129">
        <f t="shared" si="30"/>
        <v>2.3383651381372772E-2</v>
      </c>
      <c r="E750" s="270">
        <v>37051.08</v>
      </c>
      <c r="F750" s="129">
        <f t="shared" si="30"/>
        <v>2.2866618605197342E-3</v>
      </c>
      <c r="G750" s="270">
        <v>18598.650000000001</v>
      </c>
      <c r="H750" s="129">
        <f t="shared" si="29"/>
        <v>5.3677561644058791E-3</v>
      </c>
    </row>
    <row r="751" spans="2:8" x14ac:dyDescent="0.3">
      <c r="B751" s="269">
        <v>45072</v>
      </c>
      <c r="C751" s="270">
        <v>702.2</v>
      </c>
      <c r="D751" s="129">
        <f t="shared" si="30"/>
        <v>5.0364231971639306E-2</v>
      </c>
      <c r="E751" s="270">
        <v>36966.550000000003</v>
      </c>
      <c r="F751" s="129">
        <f t="shared" si="30"/>
        <v>6.4024275701051181E-3</v>
      </c>
      <c r="G751" s="270">
        <v>18499.349999999999</v>
      </c>
      <c r="H751" s="129">
        <f t="shared" si="29"/>
        <v>9.7264636772254054E-3</v>
      </c>
    </row>
    <row r="752" spans="2:8" x14ac:dyDescent="0.3">
      <c r="B752" s="269">
        <v>45071</v>
      </c>
      <c r="C752" s="270">
        <v>668.53</v>
      </c>
      <c r="D752" s="129">
        <f t="shared" si="30"/>
        <v>-2.9244776162748454E-2</v>
      </c>
      <c r="E752" s="270">
        <v>36731.379999999997</v>
      </c>
      <c r="F752" s="129">
        <f t="shared" si="30"/>
        <v>6.9731573467350927E-3</v>
      </c>
      <c r="G752" s="270">
        <v>18321.150000000001</v>
      </c>
      <c r="H752" s="129">
        <f t="shared" si="29"/>
        <v>1.955111728482839E-3</v>
      </c>
    </row>
    <row r="753" spans="2:8" x14ac:dyDescent="0.3">
      <c r="B753" s="269">
        <v>45070</v>
      </c>
      <c r="C753" s="270">
        <v>688.67</v>
      </c>
      <c r="D753" s="129">
        <f t="shared" si="30"/>
        <v>2.172010147916259E-2</v>
      </c>
      <c r="E753" s="270">
        <v>36477.019999999997</v>
      </c>
      <c r="F753" s="129">
        <f t="shared" si="30"/>
        <v>-1.383886198835671E-3</v>
      </c>
      <c r="G753" s="270">
        <v>18285.400000000001</v>
      </c>
      <c r="H753" s="129">
        <f t="shared" si="29"/>
        <v>-3.4118160017440058E-3</v>
      </c>
    </row>
    <row r="754" spans="2:8" x14ac:dyDescent="0.3">
      <c r="B754" s="269">
        <v>45069</v>
      </c>
      <c r="C754" s="270">
        <v>674.03</v>
      </c>
      <c r="D754" s="129">
        <f t="shared" si="30"/>
        <v>-3.6342840803488596E-2</v>
      </c>
      <c r="E754" s="270">
        <v>36527.57</v>
      </c>
      <c r="F754" s="129">
        <f t="shared" si="30"/>
        <v>-6.3315553292245808E-3</v>
      </c>
      <c r="G754" s="270">
        <v>18348</v>
      </c>
      <c r="H754" s="129">
        <f t="shared" si="29"/>
        <v>1.834621936836589E-3</v>
      </c>
    </row>
    <row r="755" spans="2:8" x14ac:dyDescent="0.3">
      <c r="B755" s="269">
        <v>45068</v>
      </c>
      <c r="C755" s="270">
        <v>699.45</v>
      </c>
      <c r="D755" s="129">
        <f t="shared" si="30"/>
        <v>-1.6549028430021595E-2</v>
      </c>
      <c r="E755" s="270">
        <v>36760.32</v>
      </c>
      <c r="F755" s="129">
        <f t="shared" si="30"/>
        <v>9.2603498390990691E-3</v>
      </c>
      <c r="G755" s="270">
        <v>18314.400000000001</v>
      </c>
      <c r="H755" s="129">
        <f t="shared" si="29"/>
        <v>6.0977619565576457E-3</v>
      </c>
    </row>
    <row r="756" spans="2:8" x14ac:dyDescent="0.3">
      <c r="B756" s="269">
        <v>45065</v>
      </c>
      <c r="C756" s="270">
        <v>711.22</v>
      </c>
      <c r="D756" s="129">
        <f t="shared" si="30"/>
        <v>-2.8984913645982657E-2</v>
      </c>
      <c r="E756" s="270">
        <v>36423.03</v>
      </c>
      <c r="F756" s="129">
        <f t="shared" si="30"/>
        <v>-1.3440429040869617E-3</v>
      </c>
      <c r="G756" s="270">
        <v>18203.400000000001</v>
      </c>
      <c r="H756" s="129">
        <f t="shared" si="29"/>
        <v>4.0513073670915833E-3</v>
      </c>
    </row>
    <row r="757" spans="2:8" x14ac:dyDescent="0.3">
      <c r="B757" s="269">
        <v>45064</v>
      </c>
      <c r="C757" s="270">
        <v>732.45</v>
      </c>
      <c r="D757" s="129">
        <f t="shared" si="30"/>
        <v>0.12832165139027962</v>
      </c>
      <c r="E757" s="270">
        <v>36472.050000000003</v>
      </c>
      <c r="F757" s="129">
        <f t="shared" si="30"/>
        <v>-1.0133148199463649E-2</v>
      </c>
      <c r="G757" s="270">
        <v>18129.95</v>
      </c>
      <c r="H757" s="129">
        <f t="shared" si="29"/>
        <v>-2.8490106837900653E-3</v>
      </c>
    </row>
    <row r="758" spans="2:8" x14ac:dyDescent="0.3">
      <c r="B758" s="269">
        <v>45063</v>
      </c>
      <c r="C758" s="270">
        <v>649.15</v>
      </c>
      <c r="D758" s="129">
        <f t="shared" si="30"/>
        <v>3.5657306955966916E-2</v>
      </c>
      <c r="E758" s="270">
        <v>36845.410000000003</v>
      </c>
      <c r="F758" s="129">
        <f t="shared" si="30"/>
        <v>-5.4685171014567935E-4</v>
      </c>
      <c r="G758" s="270">
        <v>18181.75</v>
      </c>
      <c r="H758" s="129">
        <f t="shared" si="29"/>
        <v>-5.7282694884204233E-3</v>
      </c>
    </row>
    <row r="759" spans="2:8" x14ac:dyDescent="0.3">
      <c r="B759" s="269">
        <v>45062</v>
      </c>
      <c r="C759" s="270">
        <v>626.79999999999995</v>
      </c>
      <c r="D759" s="129">
        <f t="shared" si="30"/>
        <v>5.4539621430862439E-3</v>
      </c>
      <c r="E759" s="270">
        <v>36865.57</v>
      </c>
      <c r="F759" s="129">
        <f t="shared" si="30"/>
        <v>1.886882700196324E-3</v>
      </c>
      <c r="G759" s="270">
        <v>18286.5</v>
      </c>
      <c r="H759" s="129">
        <f t="shared" si="29"/>
        <v>-6.1063599083637232E-3</v>
      </c>
    </row>
    <row r="760" spans="2:8" x14ac:dyDescent="0.3">
      <c r="B760" s="269">
        <v>45061</v>
      </c>
      <c r="C760" s="270">
        <v>623.4</v>
      </c>
      <c r="D760" s="129">
        <f t="shared" si="30"/>
        <v>-1.4416146083613413E-3</v>
      </c>
      <c r="E760" s="270">
        <v>36796.14</v>
      </c>
      <c r="F760" s="129">
        <f t="shared" si="30"/>
        <v>6.9561148214587476E-3</v>
      </c>
      <c r="G760" s="270">
        <v>18398.849999999999</v>
      </c>
      <c r="H760" s="129">
        <f t="shared" si="29"/>
        <v>4.5891847030816724E-3</v>
      </c>
    </row>
    <row r="761" spans="2:8" x14ac:dyDescent="0.3">
      <c r="B761" s="269">
        <v>45058</v>
      </c>
      <c r="C761" s="270">
        <v>624.29999999999995</v>
      </c>
      <c r="D761" s="129">
        <f t="shared" si="30"/>
        <v>6.88604300780713E-2</v>
      </c>
      <c r="E761" s="270">
        <v>36541.949999999997</v>
      </c>
      <c r="F761" s="129">
        <f t="shared" si="30"/>
        <v>-3.2250250817099646E-3</v>
      </c>
      <c r="G761" s="270">
        <v>18314.8</v>
      </c>
      <c r="H761" s="129">
        <f t="shared" si="29"/>
        <v>9.7283707711648404E-4</v>
      </c>
    </row>
    <row r="762" spans="2:8" x14ac:dyDescent="0.3">
      <c r="B762" s="269">
        <v>45057</v>
      </c>
      <c r="C762" s="270">
        <v>584.08000000000004</v>
      </c>
      <c r="D762" s="129">
        <f t="shared" si="30"/>
        <v>-3.8374294339365012E-3</v>
      </c>
      <c r="E762" s="270">
        <v>36660.18</v>
      </c>
      <c r="F762" s="129">
        <f t="shared" si="30"/>
        <v>-1.9407399719786111E-2</v>
      </c>
      <c r="G762" s="270">
        <v>18297</v>
      </c>
      <c r="H762" s="129">
        <f t="shared" si="29"/>
        <v>-9.8825559238002736E-4</v>
      </c>
    </row>
    <row r="763" spans="2:8" x14ac:dyDescent="0.3">
      <c r="B763" s="269">
        <v>45056</v>
      </c>
      <c r="C763" s="270">
        <v>586.33000000000004</v>
      </c>
      <c r="D763" s="129">
        <f t="shared" si="30"/>
        <v>3.1272535397062873E-2</v>
      </c>
      <c r="E763" s="270">
        <v>37385.74</v>
      </c>
      <c r="F763" s="129">
        <f t="shared" si="30"/>
        <v>1.8616544472425112E-3</v>
      </c>
      <c r="G763" s="270">
        <v>18315.099999999999</v>
      </c>
      <c r="H763" s="129">
        <f t="shared" si="29"/>
        <v>2.6907990003255389E-3</v>
      </c>
    </row>
    <row r="764" spans="2:8" x14ac:dyDescent="0.3">
      <c r="B764" s="269">
        <v>45055</v>
      </c>
      <c r="C764" s="270">
        <v>568.54999999999995</v>
      </c>
      <c r="D764" s="129">
        <f t="shared" si="30"/>
        <v>-1.2282408533407563E-2</v>
      </c>
      <c r="E764" s="270">
        <v>37316.269999999997</v>
      </c>
      <c r="F764" s="129">
        <f t="shared" si="30"/>
        <v>7.6969349303257495E-4</v>
      </c>
      <c r="G764" s="270">
        <v>18265.95</v>
      </c>
      <c r="H764" s="129">
        <f t="shared" si="29"/>
        <v>8.4864545235596722E-5</v>
      </c>
    </row>
    <row r="765" spans="2:8" x14ac:dyDescent="0.3">
      <c r="B765" s="269">
        <v>45054</v>
      </c>
      <c r="C765" s="270">
        <v>575.62</v>
      </c>
      <c r="D765" s="129">
        <f t="shared" si="30"/>
        <v>-3.0482524507257081E-3</v>
      </c>
      <c r="E765" s="270">
        <v>37287.57</v>
      </c>
      <c r="F765" s="129">
        <f t="shared" si="30"/>
        <v>3.0364745476021415E-3</v>
      </c>
      <c r="G765" s="270">
        <v>18264.400000000001</v>
      </c>
      <c r="H765" s="129">
        <f t="shared" si="29"/>
        <v>1.0814101499806439E-2</v>
      </c>
    </row>
    <row r="766" spans="2:8" x14ac:dyDescent="0.3">
      <c r="B766" s="269">
        <v>45051</v>
      </c>
      <c r="C766" s="270">
        <v>577.38</v>
      </c>
      <c r="D766" s="129">
        <f t="shared" si="30"/>
        <v>-6.0253408621402382E-3</v>
      </c>
      <c r="E766" s="270">
        <v>37174.69</v>
      </c>
      <c r="F766" s="129">
        <f t="shared" si="30"/>
        <v>1.2451364802095188E-3</v>
      </c>
      <c r="G766" s="270">
        <v>18069</v>
      </c>
      <c r="H766" s="129">
        <f t="shared" si="29"/>
        <v>-1.0232364508813596E-2</v>
      </c>
    </row>
    <row r="767" spans="2:8" x14ac:dyDescent="0.3">
      <c r="B767" s="269">
        <v>45050</v>
      </c>
      <c r="C767" s="270">
        <v>580.88</v>
      </c>
      <c r="D767" s="129">
        <f t="shared" si="30"/>
        <v>1.8194566170026238E-2</v>
      </c>
      <c r="E767" s="270">
        <v>37128.46</v>
      </c>
      <c r="F767" s="129">
        <f t="shared" si="30"/>
        <v>3.7312343405484505E-3</v>
      </c>
      <c r="G767" s="270">
        <v>18255.8</v>
      </c>
      <c r="H767" s="129">
        <f t="shared" si="29"/>
        <v>9.1736526284076358E-3</v>
      </c>
    </row>
    <row r="768" spans="2:8" x14ac:dyDescent="0.3">
      <c r="B768" s="269">
        <v>45049</v>
      </c>
      <c r="C768" s="270">
        <v>570.5</v>
      </c>
      <c r="D768" s="129">
        <f t="shared" si="30"/>
        <v>1.7206026566818133E-2</v>
      </c>
      <c r="E768" s="270">
        <v>36990.44</v>
      </c>
      <c r="F768" s="129">
        <f t="shared" si="30"/>
        <v>-5.4470881315071829E-4</v>
      </c>
      <c r="G768" s="270">
        <v>18089.849999999999</v>
      </c>
      <c r="H768" s="129">
        <f t="shared" si="29"/>
        <v>-3.1849853837826458E-3</v>
      </c>
    </row>
    <row r="769" spans="2:8" x14ac:dyDescent="0.3">
      <c r="B769" s="269">
        <v>45048</v>
      </c>
      <c r="C769" s="270">
        <v>560.85</v>
      </c>
      <c r="D769" s="129">
        <f t="shared" si="30"/>
        <v>-1.3196093956188926E-2</v>
      </c>
      <c r="E769" s="270">
        <v>37010.6</v>
      </c>
      <c r="F769" s="129">
        <f t="shared" si="30"/>
        <v>7.3959794092797182E-3</v>
      </c>
      <c r="G769" s="270">
        <v>18147.650000000001</v>
      </c>
      <c r="H769" s="129">
        <f t="shared" si="29"/>
        <v>4.5751453086078087E-3</v>
      </c>
    </row>
    <row r="770" spans="2:8" x14ac:dyDescent="0.3">
      <c r="B770" s="269">
        <v>45044</v>
      </c>
      <c r="C770" s="270">
        <v>568.35</v>
      </c>
      <c r="D770" s="129">
        <f t="shared" si="30"/>
        <v>2.4423215573179613E-2</v>
      </c>
      <c r="E770" s="270">
        <v>36738.879999999997</v>
      </c>
      <c r="F770" s="129">
        <f t="shared" si="30"/>
        <v>1.7441032869830675E-2</v>
      </c>
      <c r="G770" s="270">
        <v>18065</v>
      </c>
      <c r="H770" s="129">
        <f t="shared" si="29"/>
        <v>8.3700575772884811E-3</v>
      </c>
    </row>
    <row r="771" spans="2:8" x14ac:dyDescent="0.3">
      <c r="B771" s="269">
        <v>45043</v>
      </c>
      <c r="C771" s="270">
        <v>554.79999999999995</v>
      </c>
      <c r="D771" s="129">
        <f t="shared" si="30"/>
        <v>-5.5565513532891408E-3</v>
      </c>
      <c r="E771" s="270">
        <v>36109.1</v>
      </c>
      <c r="F771" s="129">
        <f t="shared" si="30"/>
        <v>7.239698339393863E-3</v>
      </c>
      <c r="G771" s="270">
        <v>17915.05</v>
      </c>
      <c r="H771" s="129">
        <f t="shared" si="29"/>
        <v>5.6950868998968396E-3</v>
      </c>
    </row>
    <row r="772" spans="2:8" x14ac:dyDescent="0.3">
      <c r="B772" s="269">
        <v>45042</v>
      </c>
      <c r="C772" s="270">
        <v>557.9</v>
      </c>
      <c r="D772" s="129">
        <f t="shared" si="30"/>
        <v>7.3124492191025681E-3</v>
      </c>
      <c r="E772" s="270">
        <v>35849.56</v>
      </c>
      <c r="F772" s="129">
        <f t="shared" si="30"/>
        <v>9.9656804660379628E-3</v>
      </c>
      <c r="G772" s="270">
        <v>17813.599999999999</v>
      </c>
      <c r="H772" s="129">
        <f t="shared" si="29"/>
        <v>2.4958847447134058E-3</v>
      </c>
    </row>
    <row r="773" spans="2:8" x14ac:dyDescent="0.3">
      <c r="B773" s="269">
        <v>45041</v>
      </c>
      <c r="C773" s="270">
        <v>553.85</v>
      </c>
      <c r="D773" s="129">
        <f t="shared" si="30"/>
        <v>6.816942374113788E-3</v>
      </c>
      <c r="E773" s="270">
        <v>35495.82</v>
      </c>
      <c r="F773" s="129">
        <f t="shared" si="30"/>
        <v>5.8251216695830443E-3</v>
      </c>
      <c r="G773" s="270">
        <v>17769.25</v>
      </c>
      <c r="H773" s="129">
        <f t="shared" si="29"/>
        <v>1.4568797411995682E-3</v>
      </c>
    </row>
    <row r="774" spans="2:8" x14ac:dyDescent="0.3">
      <c r="B774" s="269">
        <v>45040</v>
      </c>
      <c r="C774" s="270">
        <v>550.1</v>
      </c>
      <c r="D774" s="129">
        <f t="shared" si="30"/>
        <v>1.395314544817805E-2</v>
      </c>
      <c r="E774" s="270">
        <v>35290.25</v>
      </c>
      <c r="F774" s="129">
        <f t="shared" si="30"/>
        <v>3.3172635021125885E-3</v>
      </c>
      <c r="G774" s="270">
        <v>17743.400000000001</v>
      </c>
      <c r="H774" s="129">
        <f t="shared" si="29"/>
        <v>6.7719962210730511E-3</v>
      </c>
    </row>
    <row r="775" spans="2:8" x14ac:dyDescent="0.3">
      <c r="B775" s="269">
        <v>45037</v>
      </c>
      <c r="C775" s="270">
        <v>542.53</v>
      </c>
      <c r="D775" s="129">
        <f t="shared" si="30"/>
        <v>-1.8311770560028973E-2</v>
      </c>
      <c r="E775" s="270">
        <v>35173.57</v>
      </c>
      <c r="F775" s="129">
        <f t="shared" si="30"/>
        <v>-6.0622073521889863E-3</v>
      </c>
      <c r="G775" s="270">
        <v>17624.05</v>
      </c>
      <c r="H775" s="129">
        <f t="shared" si="29"/>
        <v>-2.2695743697065396E-5</v>
      </c>
    </row>
    <row r="776" spans="2:8" x14ac:dyDescent="0.3">
      <c r="B776" s="269">
        <v>45036</v>
      </c>
      <c r="C776" s="270">
        <v>552.65</v>
      </c>
      <c r="D776" s="129">
        <f t="shared" si="30"/>
        <v>2.2422437237526127E-2</v>
      </c>
      <c r="E776" s="270">
        <v>35388.1</v>
      </c>
      <c r="F776" s="129">
        <f t="shared" si="30"/>
        <v>5.8475310219292531E-3</v>
      </c>
      <c r="G776" s="270">
        <v>17624.45</v>
      </c>
      <c r="H776" s="129">
        <f t="shared" si="29"/>
        <v>3.2351897836124799E-4</v>
      </c>
    </row>
    <row r="777" spans="2:8" x14ac:dyDescent="0.3">
      <c r="B777" s="269">
        <v>45035</v>
      </c>
      <c r="C777" s="270">
        <v>540.53</v>
      </c>
      <c r="D777" s="129">
        <f t="shared" si="30"/>
        <v>-1.01089643805512E-2</v>
      </c>
      <c r="E777" s="270">
        <v>35182.370000000003</v>
      </c>
      <c r="F777" s="129">
        <f t="shared" si="30"/>
        <v>-2.9682226739451423E-3</v>
      </c>
      <c r="G777" s="270">
        <v>17618.75</v>
      </c>
      <c r="H777" s="129">
        <f t="shared" si="29"/>
        <v>-2.3442609490860189E-3</v>
      </c>
    </row>
    <row r="778" spans="2:8" x14ac:dyDescent="0.3">
      <c r="B778" s="269">
        <v>45034</v>
      </c>
      <c r="C778" s="270">
        <v>546.04999999999995</v>
      </c>
      <c r="D778" s="129">
        <f t="shared" si="30"/>
        <v>2.074960276661364E-2</v>
      </c>
      <c r="E778" s="270">
        <v>35287.11</v>
      </c>
      <c r="F778" s="129">
        <f t="shared" si="30"/>
        <v>1.7020962524643135E-3</v>
      </c>
      <c r="G778" s="270">
        <v>17660.150000000001</v>
      </c>
      <c r="H778" s="129">
        <f t="shared" ref="H778:H841" si="31">G778/G779-1</f>
        <v>-2.6373973914048943E-3</v>
      </c>
    </row>
    <row r="779" spans="2:8" x14ac:dyDescent="0.3">
      <c r="B779" s="269">
        <v>45033</v>
      </c>
      <c r="C779" s="270">
        <v>534.95000000000005</v>
      </c>
      <c r="D779" s="129">
        <f t="shared" si="30"/>
        <v>2.0994369691764492E-2</v>
      </c>
      <c r="E779" s="270">
        <v>35227.15</v>
      </c>
      <c r="F779" s="129">
        <f t="shared" si="30"/>
        <v>-6.5553474940495127E-3</v>
      </c>
      <c r="G779" s="270">
        <v>17706.849999999999</v>
      </c>
      <c r="H779" s="129">
        <f t="shared" si="31"/>
        <v>-6.7954902400718664E-3</v>
      </c>
    </row>
    <row r="780" spans="2:8" x14ac:dyDescent="0.3">
      <c r="B780" s="269">
        <v>45029</v>
      </c>
      <c r="C780" s="270">
        <v>523.95000000000005</v>
      </c>
      <c r="D780" s="129">
        <f t="shared" si="30"/>
        <v>4.4090865522861122E-3</v>
      </c>
      <c r="E780" s="270">
        <v>35459.599999999999</v>
      </c>
      <c r="F780" s="129">
        <f t="shared" si="30"/>
        <v>-5.7164936558333768E-3</v>
      </c>
      <c r="G780" s="270">
        <v>17828</v>
      </c>
      <c r="H780" s="129">
        <f t="shared" si="31"/>
        <v>8.7579439042451135E-4</v>
      </c>
    </row>
    <row r="781" spans="2:8" x14ac:dyDescent="0.3">
      <c r="B781" s="269">
        <v>45028</v>
      </c>
      <c r="C781" s="270">
        <v>521.65</v>
      </c>
      <c r="D781" s="129">
        <f t="shared" si="30"/>
        <v>1.8151654142675833E-2</v>
      </c>
      <c r="E781" s="270">
        <v>35663.47</v>
      </c>
      <c r="F781" s="129">
        <f t="shared" si="30"/>
        <v>-2.1209162917987801E-3</v>
      </c>
      <c r="G781" s="270">
        <v>17812.400000000001</v>
      </c>
      <c r="H781" s="129">
        <f t="shared" si="31"/>
        <v>5.083990227002344E-3</v>
      </c>
    </row>
    <row r="782" spans="2:8" x14ac:dyDescent="0.3">
      <c r="B782" s="269">
        <v>45027</v>
      </c>
      <c r="C782" s="270">
        <v>512.35</v>
      </c>
      <c r="D782" s="129">
        <f t="shared" si="30"/>
        <v>-3.7915613455180575E-3</v>
      </c>
      <c r="E782" s="270">
        <v>35739.269999999997</v>
      </c>
      <c r="F782" s="129">
        <f t="shared" si="30"/>
        <v>-6.336347059570091E-4</v>
      </c>
      <c r="G782" s="270">
        <v>17722.3</v>
      </c>
      <c r="H782" s="129">
        <f t="shared" si="31"/>
        <v>5.5747685690858972E-3</v>
      </c>
    </row>
    <row r="783" spans="2:8" x14ac:dyDescent="0.3">
      <c r="B783" s="269">
        <v>45026</v>
      </c>
      <c r="C783" s="270">
        <v>514.29999999999995</v>
      </c>
      <c r="D783" s="129">
        <f t="shared" si="30"/>
        <v>-2.4505898865748832E-2</v>
      </c>
      <c r="E783" s="270">
        <v>35761.93</v>
      </c>
      <c r="F783" s="129">
        <f t="shared" si="30"/>
        <v>8.331822514981102E-3</v>
      </c>
      <c r="G783" s="270">
        <v>17624.05</v>
      </c>
      <c r="H783" s="129">
        <f t="shared" si="31"/>
        <v>1.4148410576646508E-3</v>
      </c>
    </row>
    <row r="784" spans="2:8" x14ac:dyDescent="0.3">
      <c r="B784" s="269">
        <v>45022</v>
      </c>
      <c r="C784" s="270">
        <v>527.22</v>
      </c>
      <c r="D784" s="129">
        <f t="shared" si="30"/>
        <v>1.4118642763714773E-2</v>
      </c>
      <c r="E784" s="270">
        <v>35466.43</v>
      </c>
      <c r="F784" s="129">
        <f t="shared" si="30"/>
        <v>7.1441451546720991E-3</v>
      </c>
      <c r="G784" s="270">
        <v>17599.150000000001</v>
      </c>
      <c r="H784" s="129">
        <f t="shared" si="31"/>
        <v>2.3978971410345551E-3</v>
      </c>
    </row>
    <row r="785" spans="2:8" x14ac:dyDescent="0.3">
      <c r="B785" s="269">
        <v>45021</v>
      </c>
      <c r="C785" s="270">
        <v>519.88</v>
      </c>
      <c r="D785" s="129">
        <f t="shared" si="30"/>
        <v>-2.3185900567434525E-2</v>
      </c>
      <c r="E785" s="270">
        <v>35214.85</v>
      </c>
      <c r="F785" s="129">
        <f t="shared" si="30"/>
        <v>2.0804321283259153E-2</v>
      </c>
      <c r="G785" s="270">
        <v>17557.05</v>
      </c>
      <c r="H785" s="129">
        <f t="shared" si="31"/>
        <v>9.1389552277409969E-3</v>
      </c>
    </row>
    <row r="786" spans="2:8" x14ac:dyDescent="0.3">
      <c r="B786" s="269">
        <v>45019</v>
      </c>
      <c r="C786" s="270">
        <v>532.22</v>
      </c>
      <c r="D786" s="129">
        <f t="shared" si="30"/>
        <v>6.2633523010881431E-2</v>
      </c>
      <c r="E786" s="270">
        <v>34497.160000000003</v>
      </c>
      <c r="F786" s="129">
        <f t="shared" si="30"/>
        <v>3.708499055854686E-3</v>
      </c>
      <c r="G786" s="270">
        <v>17398.05</v>
      </c>
      <c r="H786" s="129">
        <f t="shared" si="31"/>
        <v>2.2062529702329137E-3</v>
      </c>
    </row>
    <row r="787" spans="2:8" x14ac:dyDescent="0.3">
      <c r="B787" s="269">
        <v>45016</v>
      </c>
      <c r="C787" s="270">
        <v>500.85</v>
      </c>
      <c r="D787" s="129">
        <f t="shared" ref="D787:F850" si="32">C787/C788-1</f>
        <v>2.5596396027439239E-2</v>
      </c>
      <c r="E787" s="270">
        <v>34369.699999999997</v>
      </c>
      <c r="F787" s="129">
        <f t="shared" si="32"/>
        <v>1.1939339639779334E-2</v>
      </c>
      <c r="G787" s="270">
        <v>17359.75</v>
      </c>
      <c r="H787" s="129">
        <f t="shared" si="31"/>
        <v>1.6337152458622883E-2</v>
      </c>
    </row>
    <row r="788" spans="2:8" x14ac:dyDescent="0.3">
      <c r="B788" s="269">
        <v>45014</v>
      </c>
      <c r="C788" s="270">
        <v>488.35</v>
      </c>
      <c r="D788" s="129">
        <f t="shared" si="32"/>
        <v>-1.2237055016181109E-2</v>
      </c>
      <c r="E788" s="270">
        <v>33964.19</v>
      </c>
      <c r="F788" s="129">
        <f t="shared" si="32"/>
        <v>1.422517201776663E-2</v>
      </c>
      <c r="G788" s="270">
        <v>17080.7</v>
      </c>
      <c r="H788" s="129">
        <f t="shared" si="31"/>
        <v>7.6098562386073265E-3</v>
      </c>
    </row>
    <row r="789" spans="2:8" x14ac:dyDescent="0.3">
      <c r="B789" s="269">
        <v>45013</v>
      </c>
      <c r="C789" s="270">
        <v>494.4</v>
      </c>
      <c r="D789" s="129">
        <f t="shared" si="32"/>
        <v>1.249232029490055E-2</v>
      </c>
      <c r="E789" s="270">
        <v>33487.82</v>
      </c>
      <c r="F789" s="129">
        <f t="shared" si="32"/>
        <v>-7.7735881704927845E-3</v>
      </c>
      <c r="G789" s="270">
        <v>16951.7</v>
      </c>
      <c r="H789" s="129">
        <f t="shared" si="31"/>
        <v>-2.0016837692883316E-3</v>
      </c>
    </row>
    <row r="790" spans="2:8" x14ac:dyDescent="0.3">
      <c r="B790" s="269">
        <v>45012</v>
      </c>
      <c r="C790" s="270">
        <v>488.3</v>
      </c>
      <c r="D790" s="129">
        <f t="shared" si="32"/>
        <v>1.2902422834384364E-2</v>
      </c>
      <c r="E790" s="270">
        <v>33750.18</v>
      </c>
      <c r="F790" s="129">
        <f t="shared" si="32"/>
        <v>-5.3624675602540472E-3</v>
      </c>
      <c r="G790" s="270">
        <v>16985.7</v>
      </c>
      <c r="H790" s="129">
        <f t="shared" si="31"/>
        <v>2.3989306611666983E-3</v>
      </c>
    </row>
    <row r="791" spans="2:8" x14ac:dyDescent="0.3">
      <c r="B791" s="269">
        <v>45009</v>
      </c>
      <c r="C791" s="270">
        <v>482.08</v>
      </c>
      <c r="D791" s="129">
        <f t="shared" si="32"/>
        <v>-1.4655084312723554E-2</v>
      </c>
      <c r="E791" s="270">
        <v>33932.14</v>
      </c>
      <c r="F791" s="129">
        <f t="shared" si="32"/>
        <v>-1.321619468048596E-2</v>
      </c>
      <c r="G791" s="270">
        <v>16945.05</v>
      </c>
      <c r="H791" s="129">
        <f t="shared" si="31"/>
        <v>-7.7209563796709624E-3</v>
      </c>
    </row>
    <row r="792" spans="2:8" x14ac:dyDescent="0.3">
      <c r="B792" s="269">
        <v>45008</v>
      </c>
      <c r="C792" s="270">
        <v>489.25</v>
      </c>
      <c r="D792" s="129">
        <f t="shared" si="32"/>
        <v>1.432811380616128E-3</v>
      </c>
      <c r="E792" s="270">
        <v>34386.6</v>
      </c>
      <c r="F792" s="129">
        <f t="shared" si="32"/>
        <v>-3.6216818755669955E-3</v>
      </c>
      <c r="G792" s="270">
        <v>17076.900000000001</v>
      </c>
      <c r="H792" s="129">
        <f t="shared" si="31"/>
        <v>-4.3726934042292998E-3</v>
      </c>
    </row>
    <row r="793" spans="2:8" x14ac:dyDescent="0.3">
      <c r="B793" s="269">
        <v>45007</v>
      </c>
      <c r="C793" s="270">
        <v>488.55</v>
      </c>
      <c r="D793" s="129">
        <f t="shared" si="32"/>
        <v>-1.4682451646733652E-2</v>
      </c>
      <c r="E793" s="270">
        <v>34511.589999999997</v>
      </c>
      <c r="F793" s="129">
        <f t="shared" si="32"/>
        <v>6.9836489884567143E-5</v>
      </c>
      <c r="G793" s="270">
        <v>17151.900000000001</v>
      </c>
      <c r="H793" s="129">
        <f t="shared" si="31"/>
        <v>2.5953529153881494E-3</v>
      </c>
    </row>
    <row r="794" spans="2:8" x14ac:dyDescent="0.3">
      <c r="B794" s="269">
        <v>45006</v>
      </c>
      <c r="C794" s="270">
        <v>495.83</v>
      </c>
      <c r="D794" s="129">
        <f t="shared" si="32"/>
        <v>2.5273969832990684E-3</v>
      </c>
      <c r="E794" s="270">
        <v>34509.18</v>
      </c>
      <c r="F794" s="129">
        <f t="shared" si="32"/>
        <v>9.0155680386798664E-3</v>
      </c>
      <c r="G794" s="270">
        <v>17107.5</v>
      </c>
      <c r="H794" s="129">
        <f t="shared" si="31"/>
        <v>7.0106661015751914E-3</v>
      </c>
    </row>
    <row r="795" spans="2:8" x14ac:dyDescent="0.3">
      <c r="B795" s="269">
        <v>45005</v>
      </c>
      <c r="C795" s="270">
        <v>494.58</v>
      </c>
      <c r="D795" s="129">
        <f t="shared" si="32"/>
        <v>-6.4684612294094723E-3</v>
      </c>
      <c r="E795" s="270">
        <v>34200.839999999997</v>
      </c>
      <c r="F795" s="129">
        <f t="shared" si="32"/>
        <v>-1.0599058877167611E-2</v>
      </c>
      <c r="G795" s="270">
        <v>16988.400000000001</v>
      </c>
      <c r="H795" s="129">
        <f t="shared" si="31"/>
        <v>-6.5292206747932235E-3</v>
      </c>
    </row>
    <row r="796" spans="2:8" x14ac:dyDescent="0.3">
      <c r="B796" s="269">
        <v>45002</v>
      </c>
      <c r="C796" s="270">
        <v>497.8</v>
      </c>
      <c r="D796" s="129">
        <f t="shared" si="32"/>
        <v>1.8412438625204475E-2</v>
      </c>
      <c r="E796" s="270">
        <v>34567.22</v>
      </c>
      <c r="F796" s="129">
        <f t="shared" si="32"/>
        <v>9.1888236997730299E-3</v>
      </c>
      <c r="G796" s="270">
        <v>17100.05</v>
      </c>
      <c r="H796" s="129">
        <f t="shared" si="31"/>
        <v>6.7380604747551143E-3</v>
      </c>
    </row>
    <row r="797" spans="2:8" x14ac:dyDescent="0.3">
      <c r="B797" s="269">
        <v>45001</v>
      </c>
      <c r="C797" s="270">
        <v>488.8</v>
      </c>
      <c r="D797" s="129">
        <f t="shared" si="32"/>
        <v>-2.1264667013735972E-2</v>
      </c>
      <c r="E797" s="270">
        <v>34252.480000000003</v>
      </c>
      <c r="F797" s="129">
        <f t="shared" si="32"/>
        <v>-3.0819273440503281E-3</v>
      </c>
      <c r="G797" s="270">
        <v>16985.599999999999</v>
      </c>
      <c r="H797" s="129">
        <f t="shared" si="31"/>
        <v>7.9247473066157426E-4</v>
      </c>
    </row>
    <row r="798" spans="2:8" x14ac:dyDescent="0.3">
      <c r="B798" s="269">
        <v>45000</v>
      </c>
      <c r="C798" s="270">
        <v>499.42</v>
      </c>
      <c r="D798" s="129">
        <f t="shared" si="32"/>
        <v>-9.5785820525532417E-3</v>
      </c>
      <c r="E798" s="270">
        <v>34358.370000000003</v>
      </c>
      <c r="F798" s="129">
        <f t="shared" si="32"/>
        <v>9.1064725385783252E-3</v>
      </c>
      <c r="G798" s="270">
        <v>16972.150000000001</v>
      </c>
      <c r="H798" s="129">
        <f t="shared" si="31"/>
        <v>-4.1746610104849147E-3</v>
      </c>
    </row>
    <row r="799" spans="2:8" x14ac:dyDescent="0.3">
      <c r="B799" s="269">
        <v>44999</v>
      </c>
      <c r="C799" s="270">
        <v>504.25</v>
      </c>
      <c r="D799" s="129">
        <f t="shared" si="32"/>
        <v>-7.3428087719988877E-3</v>
      </c>
      <c r="E799" s="270">
        <v>34048.31</v>
      </c>
      <c r="F799" s="129">
        <f t="shared" si="32"/>
        <v>1.1700009291788493E-3</v>
      </c>
      <c r="G799" s="270">
        <v>17043.3</v>
      </c>
      <c r="H799" s="129">
        <f t="shared" si="31"/>
        <v>-6.4706808205522437E-3</v>
      </c>
    </row>
    <row r="800" spans="2:8" x14ac:dyDescent="0.3">
      <c r="B800" s="269">
        <v>44998</v>
      </c>
      <c r="C800" s="270">
        <v>507.98</v>
      </c>
      <c r="D800" s="129">
        <f t="shared" si="32"/>
        <v>-4.3892339544513326E-2</v>
      </c>
      <c r="E800" s="270">
        <v>34008.519999999997</v>
      </c>
      <c r="F800" s="129">
        <f t="shared" si="32"/>
        <v>-1.5310688643672576E-2</v>
      </c>
      <c r="G800" s="270">
        <v>17154.3</v>
      </c>
      <c r="H800" s="129">
        <f t="shared" si="31"/>
        <v>-1.4851058697862074E-2</v>
      </c>
    </row>
    <row r="801" spans="2:8" x14ac:dyDescent="0.3">
      <c r="B801" s="269">
        <v>44995</v>
      </c>
      <c r="C801" s="270">
        <v>531.29999999999995</v>
      </c>
      <c r="D801" s="129">
        <f t="shared" si="32"/>
        <v>-1.5710104116491985E-2</v>
      </c>
      <c r="E801" s="270">
        <v>34537.31</v>
      </c>
      <c r="F801" s="129">
        <f t="shared" si="32"/>
        <v>-1.0805231168535157E-2</v>
      </c>
      <c r="G801" s="270">
        <v>17412.900000000001</v>
      </c>
      <c r="H801" s="129">
        <f t="shared" si="31"/>
        <v>-1.0045708827943645E-2</v>
      </c>
    </row>
    <row r="802" spans="2:8" x14ac:dyDescent="0.3">
      <c r="B802" s="269">
        <v>44994</v>
      </c>
      <c r="C802" s="270">
        <v>539.78</v>
      </c>
      <c r="D802" s="129">
        <f t="shared" si="32"/>
        <v>-1.5269543008300634E-2</v>
      </c>
      <c r="E802" s="270">
        <v>34914.57</v>
      </c>
      <c r="F802" s="129">
        <f t="shared" si="32"/>
        <v>2.9052006653753626E-3</v>
      </c>
      <c r="G802" s="270">
        <v>17589.599999999999</v>
      </c>
      <c r="H802" s="129">
        <f t="shared" si="31"/>
        <v>-9.2822061010230383E-3</v>
      </c>
    </row>
    <row r="803" spans="2:8" x14ac:dyDescent="0.3">
      <c r="B803" s="269">
        <v>44993</v>
      </c>
      <c r="C803" s="270">
        <v>548.15</v>
      </c>
      <c r="D803" s="129">
        <f t="shared" si="32"/>
        <v>-1.8573483620736297E-3</v>
      </c>
      <c r="E803" s="270">
        <v>34813.43</v>
      </c>
      <c r="F803" s="129">
        <f t="shared" si="32"/>
        <v>1.2318772519401833E-2</v>
      </c>
      <c r="G803" s="270">
        <v>17754.400000000001</v>
      </c>
      <c r="H803" s="129">
        <f t="shared" si="31"/>
        <v>2.4249849673516621E-3</v>
      </c>
    </row>
    <row r="804" spans="2:8" x14ac:dyDescent="0.3">
      <c r="B804" s="269">
        <v>44991</v>
      </c>
      <c r="C804" s="270">
        <v>549.16999999999996</v>
      </c>
      <c r="D804" s="129">
        <f t="shared" si="32"/>
        <v>6.7831411443342038E-3</v>
      </c>
      <c r="E804" s="270">
        <v>34389.79</v>
      </c>
      <c r="F804" s="129">
        <f t="shared" si="32"/>
        <v>-4.4847845762940874E-4</v>
      </c>
      <c r="G804" s="270">
        <v>17711.45</v>
      </c>
      <c r="H804" s="129">
        <f t="shared" si="31"/>
        <v>6.6555456723325079E-3</v>
      </c>
    </row>
    <row r="805" spans="2:8" x14ac:dyDescent="0.3">
      <c r="B805" s="269">
        <v>44988</v>
      </c>
      <c r="C805" s="270">
        <v>545.47</v>
      </c>
      <c r="D805" s="129">
        <f t="shared" si="32"/>
        <v>2.3889593325616687E-3</v>
      </c>
      <c r="E805" s="270">
        <v>34405.22</v>
      </c>
      <c r="F805" s="129">
        <f t="shared" si="32"/>
        <v>6.2483219552884606E-3</v>
      </c>
      <c r="G805" s="270">
        <v>17594.349999999999</v>
      </c>
      <c r="H805" s="129">
        <f t="shared" si="31"/>
        <v>1.5728644086387522E-2</v>
      </c>
    </row>
    <row r="806" spans="2:8" x14ac:dyDescent="0.3">
      <c r="B806" s="269">
        <v>44987</v>
      </c>
      <c r="C806" s="270">
        <v>544.16999999999996</v>
      </c>
      <c r="D806" s="129">
        <f t="shared" si="32"/>
        <v>-2.1012863182513386E-2</v>
      </c>
      <c r="E806" s="270">
        <v>34191.58</v>
      </c>
      <c r="F806" s="129">
        <f t="shared" si="32"/>
        <v>-1.4010114034793686E-3</v>
      </c>
      <c r="G806" s="270">
        <v>17321.900000000001</v>
      </c>
      <c r="H806" s="129">
        <f t="shared" si="31"/>
        <v>-7.3921688852723877E-3</v>
      </c>
    </row>
    <row r="807" spans="2:8" x14ac:dyDescent="0.3">
      <c r="B807" s="269">
        <v>44986</v>
      </c>
      <c r="C807" s="270">
        <v>555.85</v>
      </c>
      <c r="D807" s="129">
        <f t="shared" si="32"/>
        <v>-4.8365005992124677E-2</v>
      </c>
      <c r="E807" s="270">
        <v>34239.550000000003</v>
      </c>
      <c r="F807" s="129">
        <f t="shared" si="32"/>
        <v>1.1128764097369848E-2</v>
      </c>
      <c r="G807" s="270">
        <v>17450.900000000001</v>
      </c>
      <c r="H807" s="129">
        <f t="shared" si="31"/>
        <v>8.4922806642413473E-3</v>
      </c>
    </row>
    <row r="808" spans="2:8" x14ac:dyDescent="0.3">
      <c r="B808" s="269">
        <v>44985</v>
      </c>
      <c r="C808" s="270">
        <v>584.1</v>
      </c>
      <c r="D808" s="129">
        <f t="shared" si="32"/>
        <v>2.1957833960283502E-2</v>
      </c>
      <c r="E808" s="270">
        <v>33862.699999999997</v>
      </c>
      <c r="F808" s="129">
        <f t="shared" si="32"/>
        <v>1.6327737927974706E-3</v>
      </c>
      <c r="G808" s="270">
        <v>17303.95</v>
      </c>
      <c r="H808" s="129">
        <f t="shared" si="31"/>
        <v>-5.1027155070805241E-3</v>
      </c>
    </row>
    <row r="809" spans="2:8" x14ac:dyDescent="0.3">
      <c r="B809" s="269">
        <v>44984</v>
      </c>
      <c r="C809" s="270">
        <v>571.54999999999995</v>
      </c>
      <c r="D809" s="129">
        <f t="shared" si="32"/>
        <v>-1.8376985830828807E-2</v>
      </c>
      <c r="E809" s="270">
        <v>33807.5</v>
      </c>
      <c r="F809" s="129">
        <f t="shared" si="32"/>
        <v>-9.500822986670987E-3</v>
      </c>
      <c r="G809" s="270">
        <v>17392.7</v>
      </c>
      <c r="H809" s="129">
        <f t="shared" si="31"/>
        <v>-4.1853221724741374E-3</v>
      </c>
    </row>
    <row r="810" spans="2:8" x14ac:dyDescent="0.3">
      <c r="B810" s="269">
        <v>44981</v>
      </c>
      <c r="C810" s="270">
        <v>582.25</v>
      </c>
      <c r="D810" s="129">
        <f t="shared" si="32"/>
        <v>9.1512556978698978E-3</v>
      </c>
      <c r="E810" s="270">
        <v>34131.78</v>
      </c>
      <c r="F810" s="129">
        <f t="shared" si="32"/>
        <v>-6.9238210926759747E-3</v>
      </c>
      <c r="G810" s="270">
        <v>17465.8</v>
      </c>
      <c r="H810" s="129">
        <f t="shared" si="31"/>
        <v>-2.5954743379256184E-3</v>
      </c>
    </row>
    <row r="811" spans="2:8" x14ac:dyDescent="0.3">
      <c r="B811" s="269">
        <v>44980</v>
      </c>
      <c r="C811" s="270">
        <v>576.97</v>
      </c>
      <c r="D811" s="129">
        <f t="shared" si="32"/>
        <v>4.2119919937344541E-3</v>
      </c>
      <c r="E811" s="270">
        <v>34369.75</v>
      </c>
      <c r="F811" s="129">
        <f t="shared" si="32"/>
        <v>-8.4013854207688476E-3</v>
      </c>
      <c r="G811" s="270">
        <v>17511.25</v>
      </c>
      <c r="H811" s="129">
        <f t="shared" si="31"/>
        <v>-2.4523905823643499E-3</v>
      </c>
    </row>
    <row r="812" spans="2:8" x14ac:dyDescent="0.3">
      <c r="B812" s="269">
        <v>44979</v>
      </c>
      <c r="C812" s="270">
        <v>574.54999999999995</v>
      </c>
      <c r="D812" s="129">
        <f t="shared" si="32"/>
        <v>-1.2970280020615177E-2</v>
      </c>
      <c r="E812" s="270">
        <v>34660.949999999997</v>
      </c>
      <c r="F812" s="129">
        <f t="shared" si="32"/>
        <v>-1.2142392379625666E-2</v>
      </c>
      <c r="G812" s="270">
        <v>17554.3</v>
      </c>
      <c r="H812" s="129">
        <f t="shared" si="31"/>
        <v>-1.528045011134993E-2</v>
      </c>
    </row>
    <row r="813" spans="2:8" x14ac:dyDescent="0.3">
      <c r="B813" s="269">
        <v>44978</v>
      </c>
      <c r="C813" s="270">
        <v>582.1</v>
      </c>
      <c r="D813" s="129">
        <f t="shared" si="32"/>
        <v>2.9263548757846536E-2</v>
      </c>
      <c r="E813" s="270">
        <v>35086.99</v>
      </c>
      <c r="F813" s="129">
        <f t="shared" si="32"/>
        <v>2.3035820643968474E-3</v>
      </c>
      <c r="G813" s="270">
        <v>17826.7</v>
      </c>
      <c r="H813" s="129">
        <f t="shared" si="31"/>
        <v>-1.0031045806573324E-3</v>
      </c>
    </row>
    <row r="814" spans="2:8" x14ac:dyDescent="0.3">
      <c r="B814" s="269">
        <v>44977</v>
      </c>
      <c r="C814" s="270">
        <v>565.54999999999995</v>
      </c>
      <c r="D814" s="129">
        <f t="shared" si="32"/>
        <v>8.506009486786148E-3</v>
      </c>
      <c r="E814" s="270">
        <v>35006.35</v>
      </c>
      <c r="F814" s="129">
        <f t="shared" si="32"/>
        <v>-3.3047267244113998E-3</v>
      </c>
      <c r="G814" s="270">
        <v>17844.599999999999</v>
      </c>
      <c r="H814" s="129">
        <f t="shared" si="31"/>
        <v>-5.5505400073562194E-3</v>
      </c>
    </row>
    <row r="815" spans="2:8" x14ac:dyDescent="0.3">
      <c r="B815" s="269">
        <v>44974</v>
      </c>
      <c r="C815" s="270">
        <v>560.78</v>
      </c>
      <c r="D815" s="129">
        <f t="shared" si="32"/>
        <v>-1.5259802974695869E-2</v>
      </c>
      <c r="E815" s="270">
        <v>35122.42</v>
      </c>
      <c r="F815" s="129">
        <f t="shared" si="32"/>
        <v>8.9077659862943914E-3</v>
      </c>
      <c r="G815" s="270">
        <v>17944.2</v>
      </c>
      <c r="H815" s="129">
        <f t="shared" si="31"/>
        <v>-5.0815459210404867E-3</v>
      </c>
    </row>
    <row r="816" spans="2:8" x14ac:dyDescent="0.3">
      <c r="B816" s="269">
        <v>44973</v>
      </c>
      <c r="C816" s="270">
        <v>569.47</v>
      </c>
      <c r="D816" s="129">
        <f t="shared" si="32"/>
        <v>-1.2022900763358657E-2</v>
      </c>
      <c r="E816" s="270">
        <v>34812.32</v>
      </c>
      <c r="F816" s="129">
        <f t="shared" si="32"/>
        <v>9.6638197262575165E-3</v>
      </c>
      <c r="G816" s="270">
        <v>18035.849999999999</v>
      </c>
      <c r="H816" s="129">
        <f t="shared" si="31"/>
        <v>1.1101335768226583E-3</v>
      </c>
    </row>
    <row r="817" spans="2:8" x14ac:dyDescent="0.3">
      <c r="B817" s="269">
        <v>44972</v>
      </c>
      <c r="C817" s="270">
        <v>576.4</v>
      </c>
      <c r="D817" s="129">
        <f t="shared" si="32"/>
        <v>2.0176991150442358E-2</v>
      </c>
      <c r="E817" s="270">
        <v>34479.120000000003</v>
      </c>
      <c r="F817" s="129">
        <f t="shared" si="32"/>
        <v>-3.6016327710146623E-3</v>
      </c>
      <c r="G817" s="270">
        <v>18015.849999999999</v>
      </c>
      <c r="H817" s="129">
        <f t="shared" si="31"/>
        <v>4.7964706899388254E-3</v>
      </c>
    </row>
    <row r="818" spans="2:8" x14ac:dyDescent="0.3">
      <c r="B818" s="269">
        <v>44971</v>
      </c>
      <c r="C818" s="270">
        <v>565</v>
      </c>
      <c r="D818" s="129">
        <f t="shared" si="32"/>
        <v>9.5234691871997068E-3</v>
      </c>
      <c r="E818" s="270">
        <v>34603.75</v>
      </c>
      <c r="F818" s="129">
        <f t="shared" si="32"/>
        <v>-4.1298232234205923E-3</v>
      </c>
      <c r="G818" s="270">
        <v>17929.849999999999</v>
      </c>
      <c r="H818" s="129">
        <f t="shared" si="31"/>
        <v>8.9443978639234256E-3</v>
      </c>
    </row>
    <row r="819" spans="2:8" x14ac:dyDescent="0.3">
      <c r="B819" s="269">
        <v>44970</v>
      </c>
      <c r="C819" s="270">
        <v>559.66999999999996</v>
      </c>
      <c r="D819" s="129">
        <f t="shared" si="32"/>
        <v>-1.8071126550520344E-2</v>
      </c>
      <c r="E819" s="270">
        <v>34747.25</v>
      </c>
      <c r="F819" s="129">
        <f t="shared" si="32"/>
        <v>5.5871661294910613E-3</v>
      </c>
      <c r="G819" s="270">
        <v>17770.900000000001</v>
      </c>
      <c r="H819" s="129">
        <f t="shared" si="31"/>
        <v>-4.7937725758125938E-3</v>
      </c>
    </row>
    <row r="820" spans="2:8" x14ac:dyDescent="0.3">
      <c r="B820" s="269">
        <v>44967</v>
      </c>
      <c r="C820" s="270">
        <v>569.97</v>
      </c>
      <c r="D820" s="129">
        <f t="shared" si="32"/>
        <v>-3.3818144833197561E-2</v>
      </c>
      <c r="E820" s="270">
        <v>34554.19</v>
      </c>
      <c r="F820" s="129">
        <f t="shared" si="32"/>
        <v>7.391109269877294E-3</v>
      </c>
      <c r="G820" s="270">
        <v>17856.5</v>
      </c>
      <c r="H820" s="129">
        <f t="shared" si="31"/>
        <v>-2.0650014390740656E-3</v>
      </c>
    </row>
    <row r="821" spans="2:8" x14ac:dyDescent="0.3">
      <c r="B821" s="269">
        <v>44966</v>
      </c>
      <c r="C821" s="270">
        <v>589.91999999999996</v>
      </c>
      <c r="D821" s="129">
        <f t="shared" si="32"/>
        <v>5.9387626829487283E-2</v>
      </c>
      <c r="E821" s="270">
        <v>34300.67</v>
      </c>
      <c r="F821" s="129">
        <f t="shared" si="32"/>
        <v>2.5885570927954848E-3</v>
      </c>
      <c r="G821" s="270">
        <v>17893.45</v>
      </c>
      <c r="H821" s="129">
        <f t="shared" si="31"/>
        <v>1.2170078951638796E-3</v>
      </c>
    </row>
    <row r="822" spans="2:8" x14ac:dyDescent="0.3">
      <c r="B822" s="269">
        <v>44965</v>
      </c>
      <c r="C822" s="270">
        <v>556.85</v>
      </c>
      <c r="D822" s="129">
        <f t="shared" si="32"/>
        <v>-1.4599185984781493E-2</v>
      </c>
      <c r="E822" s="270">
        <v>34212.11</v>
      </c>
      <c r="F822" s="129">
        <f t="shared" si="32"/>
        <v>-3.301342474078206E-3</v>
      </c>
      <c r="G822" s="270">
        <v>17871.7</v>
      </c>
      <c r="H822" s="129">
        <f t="shared" si="31"/>
        <v>8.475580509550662E-3</v>
      </c>
    </row>
    <row r="823" spans="2:8" x14ac:dyDescent="0.3">
      <c r="B823" s="269">
        <v>44964</v>
      </c>
      <c r="C823" s="270">
        <v>565.1</v>
      </c>
      <c r="D823" s="129">
        <f t="shared" si="32"/>
        <v>1.17630207867081E-2</v>
      </c>
      <c r="E823" s="270">
        <v>34325.43</v>
      </c>
      <c r="F823" s="129">
        <f t="shared" si="32"/>
        <v>4.8630958880611086E-3</v>
      </c>
      <c r="G823" s="270">
        <v>17721.5</v>
      </c>
      <c r="H823" s="129">
        <f t="shared" si="31"/>
        <v>-2.4261734010334601E-3</v>
      </c>
    </row>
    <row r="824" spans="2:8" x14ac:dyDescent="0.3">
      <c r="B824" s="269">
        <v>44963</v>
      </c>
      <c r="C824" s="270">
        <v>558.53</v>
      </c>
      <c r="D824" s="129">
        <f t="shared" si="32"/>
        <v>-3.5807000268506251E-5</v>
      </c>
      <c r="E824" s="270">
        <v>34159.31</v>
      </c>
      <c r="F824" s="129">
        <f t="shared" si="32"/>
        <v>4.6492435714824421E-3</v>
      </c>
      <c r="G824" s="270">
        <v>17764.599999999999</v>
      </c>
      <c r="H824" s="129">
        <f t="shared" si="31"/>
        <v>-5.0100677437332486E-3</v>
      </c>
    </row>
    <row r="825" spans="2:8" x14ac:dyDescent="0.3">
      <c r="B825" s="269">
        <v>44960</v>
      </c>
      <c r="C825" s="270">
        <v>558.54999999999995</v>
      </c>
      <c r="D825" s="129">
        <f t="shared" si="32"/>
        <v>-2.0998019385483735E-2</v>
      </c>
      <c r="E825" s="270">
        <v>34001.230000000003</v>
      </c>
      <c r="F825" s="129">
        <f t="shared" si="32"/>
        <v>5.9606932120228606E-3</v>
      </c>
      <c r="G825" s="270">
        <v>17854.05</v>
      </c>
      <c r="H825" s="129">
        <f t="shared" si="31"/>
        <v>1.3835574433289199E-2</v>
      </c>
    </row>
    <row r="826" spans="2:8" x14ac:dyDescent="0.3">
      <c r="B826" s="269">
        <v>44959</v>
      </c>
      <c r="C826" s="270">
        <v>570.53</v>
      </c>
      <c r="D826" s="129">
        <f t="shared" si="32"/>
        <v>5.0467668286934719E-2</v>
      </c>
      <c r="E826" s="270">
        <v>33799.760000000002</v>
      </c>
      <c r="F826" s="129">
        <f t="shared" si="32"/>
        <v>1.4728867068345419E-3</v>
      </c>
      <c r="G826" s="270">
        <v>17610.400000000001</v>
      </c>
      <c r="H826" s="129">
        <f t="shared" si="31"/>
        <v>-3.3491709382771351E-4</v>
      </c>
    </row>
    <row r="827" spans="2:8" x14ac:dyDescent="0.3">
      <c r="B827" s="269">
        <v>44958</v>
      </c>
      <c r="C827" s="270">
        <v>543.12</v>
      </c>
      <c r="D827" s="129">
        <f t="shared" si="32"/>
        <v>3.4080956551540309E-2</v>
      </c>
      <c r="E827" s="270">
        <v>33750.050000000003</v>
      </c>
      <c r="F827" s="129">
        <f t="shared" si="32"/>
        <v>-1.6600519964253824E-3</v>
      </c>
      <c r="G827" s="270">
        <v>17616.3</v>
      </c>
      <c r="H827" s="129">
        <f t="shared" si="31"/>
        <v>-2.5959466995808533E-3</v>
      </c>
    </row>
    <row r="828" spans="2:8" x14ac:dyDescent="0.3">
      <c r="B828" s="269">
        <v>44957</v>
      </c>
      <c r="C828" s="270">
        <v>525.22</v>
      </c>
      <c r="D828" s="129">
        <f t="shared" si="32"/>
        <v>1.672538619381303E-2</v>
      </c>
      <c r="E828" s="270">
        <v>33806.17</v>
      </c>
      <c r="F828" s="129">
        <f t="shared" si="32"/>
        <v>1.6965483632250589E-2</v>
      </c>
      <c r="G828" s="270">
        <v>17662.150000000001</v>
      </c>
      <c r="H828" s="129">
        <f t="shared" si="31"/>
        <v>7.4791984792299537E-4</v>
      </c>
    </row>
    <row r="829" spans="2:8" x14ac:dyDescent="0.3">
      <c r="B829" s="269">
        <v>44956</v>
      </c>
      <c r="C829" s="270">
        <v>516.58000000000004</v>
      </c>
      <c r="D829" s="129">
        <f t="shared" si="32"/>
        <v>1.7490644081150419E-2</v>
      </c>
      <c r="E829" s="270">
        <v>33242.199999999997</v>
      </c>
      <c r="F829" s="129">
        <f t="shared" si="32"/>
        <v>-1.3037200750208422E-2</v>
      </c>
      <c r="G829" s="270">
        <v>17648.95</v>
      </c>
      <c r="H829" s="129">
        <f t="shared" si="31"/>
        <v>2.5334647402490695E-3</v>
      </c>
    </row>
    <row r="830" spans="2:8" x14ac:dyDescent="0.3">
      <c r="B830" s="269">
        <v>44953</v>
      </c>
      <c r="C830" s="270">
        <v>507.7</v>
      </c>
      <c r="D830" s="129">
        <f t="shared" si="32"/>
        <v>-3.6896519017357465E-2</v>
      </c>
      <c r="E830" s="270">
        <v>33681.31</v>
      </c>
      <c r="F830" s="129">
        <f t="shared" si="32"/>
        <v>-1.3439027162177708E-2</v>
      </c>
      <c r="G830" s="270">
        <v>17604.349999999999</v>
      </c>
      <c r="H830" s="129">
        <f t="shared" si="31"/>
        <v>-1.6074268036742945E-2</v>
      </c>
    </row>
    <row r="831" spans="2:8" x14ac:dyDescent="0.3">
      <c r="B831" s="269">
        <v>44951</v>
      </c>
      <c r="C831" s="270">
        <v>527.15</v>
      </c>
      <c r="D831" s="129">
        <f t="shared" si="32"/>
        <v>1.4393749879731299E-2</v>
      </c>
      <c r="E831" s="270">
        <v>34140.120000000003</v>
      </c>
      <c r="F831" s="129">
        <f t="shared" si="32"/>
        <v>-1.0572405326544576E-2</v>
      </c>
      <c r="G831" s="270">
        <v>17891.95</v>
      </c>
      <c r="H831" s="129">
        <f t="shared" si="31"/>
        <v>-1.2492893924926696E-2</v>
      </c>
    </row>
    <row r="832" spans="2:8" x14ac:dyDescent="0.3">
      <c r="B832" s="269">
        <v>44950</v>
      </c>
      <c r="C832" s="270">
        <v>519.66999999999996</v>
      </c>
      <c r="D832" s="129">
        <f t="shared" si="32"/>
        <v>6.6246973365615691E-3</v>
      </c>
      <c r="E832" s="270">
        <v>34504.92</v>
      </c>
      <c r="F832" s="129">
        <f t="shared" si="32"/>
        <v>-7.4533936370437814E-3</v>
      </c>
      <c r="G832" s="270">
        <v>18118.3</v>
      </c>
      <c r="H832" s="129">
        <f t="shared" si="31"/>
        <v>-1.3798013637988937E-5</v>
      </c>
    </row>
    <row r="833" spans="2:8" x14ac:dyDescent="0.3">
      <c r="B833" s="269">
        <v>44949</v>
      </c>
      <c r="C833" s="270">
        <v>516.25</v>
      </c>
      <c r="D833" s="129">
        <f t="shared" si="32"/>
        <v>-2.625572929437725E-2</v>
      </c>
      <c r="E833" s="270">
        <v>34764.03</v>
      </c>
      <c r="F833" s="129">
        <f t="shared" si="32"/>
        <v>-2.880583838097639E-3</v>
      </c>
      <c r="G833" s="270">
        <v>18118.55</v>
      </c>
      <c r="H833" s="129">
        <f t="shared" si="31"/>
        <v>5.0422545367809768E-3</v>
      </c>
    </row>
    <row r="834" spans="2:8" x14ac:dyDescent="0.3">
      <c r="B834" s="269">
        <v>44946</v>
      </c>
      <c r="C834" s="270">
        <v>530.16999999999996</v>
      </c>
      <c r="D834" s="129">
        <f t="shared" si="32"/>
        <v>2.3000482392667498E-2</v>
      </c>
      <c r="E834" s="270">
        <v>34864.46</v>
      </c>
      <c r="F834" s="129">
        <f t="shared" si="32"/>
        <v>-7.8126889816696465E-3</v>
      </c>
      <c r="G834" s="270">
        <v>18027.650000000001</v>
      </c>
      <c r="H834" s="129">
        <f t="shared" si="31"/>
        <v>-4.4290183539181793E-3</v>
      </c>
    </row>
    <row r="835" spans="2:8" x14ac:dyDescent="0.3">
      <c r="B835" s="269">
        <v>44945</v>
      </c>
      <c r="C835" s="270">
        <v>518.25</v>
      </c>
      <c r="D835" s="129">
        <f t="shared" si="32"/>
        <v>1.6335895826796287E-2</v>
      </c>
      <c r="E835" s="270">
        <v>35138.99</v>
      </c>
      <c r="F835" s="129">
        <f t="shared" si="32"/>
        <v>2.2112598847852105E-3</v>
      </c>
      <c r="G835" s="270">
        <v>18107.849999999999</v>
      </c>
      <c r="H835" s="129">
        <f t="shared" si="31"/>
        <v>-3.1653670311885262E-3</v>
      </c>
    </row>
    <row r="836" spans="2:8" x14ac:dyDescent="0.3">
      <c r="B836" s="269">
        <v>44944</v>
      </c>
      <c r="C836" s="270">
        <v>509.92</v>
      </c>
      <c r="D836" s="129">
        <f t="shared" si="32"/>
        <v>5.7333029215999476E-2</v>
      </c>
      <c r="E836" s="270">
        <v>35061.46</v>
      </c>
      <c r="F836" s="129">
        <f t="shared" si="32"/>
        <v>1.4559743968887151E-2</v>
      </c>
      <c r="G836" s="270">
        <v>18165.349999999999</v>
      </c>
      <c r="H836" s="129">
        <f t="shared" si="31"/>
        <v>6.2066215041016726E-3</v>
      </c>
    </row>
    <row r="837" spans="2:8" x14ac:dyDescent="0.3">
      <c r="B837" s="269">
        <v>44943</v>
      </c>
      <c r="C837" s="270">
        <v>482.27</v>
      </c>
      <c r="D837" s="129">
        <f t="shared" si="32"/>
        <v>-3.6943107614273996E-2</v>
      </c>
      <c r="E837" s="270">
        <v>34558.300000000003</v>
      </c>
      <c r="F837" s="129">
        <f t="shared" si="32"/>
        <v>1.6138161599202672E-2</v>
      </c>
      <c r="G837" s="270">
        <v>18053.3</v>
      </c>
      <c r="H837" s="129">
        <f t="shared" si="31"/>
        <v>8.8545028318203212E-3</v>
      </c>
    </row>
    <row r="838" spans="2:8" x14ac:dyDescent="0.3">
      <c r="B838" s="269">
        <v>44942</v>
      </c>
      <c r="C838" s="270">
        <v>500.77</v>
      </c>
      <c r="D838" s="129">
        <f t="shared" si="32"/>
        <v>5.314405888538376E-2</v>
      </c>
      <c r="E838" s="270">
        <v>34009.449999999997</v>
      </c>
      <c r="F838" s="129">
        <f t="shared" si="32"/>
        <v>-4.069879640147489E-3</v>
      </c>
      <c r="G838" s="270">
        <v>17894.849999999999</v>
      </c>
      <c r="H838" s="129">
        <f t="shared" si="31"/>
        <v>-3.4388469977613134E-3</v>
      </c>
    </row>
    <row r="839" spans="2:8" x14ac:dyDescent="0.3">
      <c r="B839" s="269">
        <v>44939</v>
      </c>
      <c r="C839" s="270">
        <v>475.5</v>
      </c>
      <c r="D839" s="129">
        <f t="shared" si="32"/>
        <v>-1.0302841086481385E-2</v>
      </c>
      <c r="E839" s="270">
        <v>34148.43</v>
      </c>
      <c r="F839" s="129">
        <f t="shared" si="32"/>
        <v>-3.1645903128985076E-4</v>
      </c>
      <c r="G839" s="270">
        <v>17956.599999999999</v>
      </c>
      <c r="H839" s="129">
        <f t="shared" si="31"/>
        <v>5.5100738036306662E-3</v>
      </c>
    </row>
    <row r="840" spans="2:8" x14ac:dyDescent="0.3">
      <c r="B840" s="269">
        <v>44938</v>
      </c>
      <c r="C840" s="270">
        <v>480.45</v>
      </c>
      <c r="D840" s="129">
        <f t="shared" si="32"/>
        <v>4.7348113269243264E-2</v>
      </c>
      <c r="E840" s="270">
        <v>34159.24</v>
      </c>
      <c r="F840" s="129">
        <f t="shared" si="32"/>
        <v>8.0435758367523036E-3</v>
      </c>
      <c r="G840" s="270">
        <v>17858.2</v>
      </c>
      <c r="H840" s="129">
        <f t="shared" si="31"/>
        <v>-2.0954754494096894E-3</v>
      </c>
    </row>
    <row r="841" spans="2:8" x14ac:dyDescent="0.3">
      <c r="B841" s="269">
        <v>44937</v>
      </c>
      <c r="C841" s="270">
        <v>458.73</v>
      </c>
      <c r="D841" s="129">
        <f t="shared" si="32"/>
        <v>-7.7222582738480927E-3</v>
      </c>
      <c r="E841" s="270">
        <v>33886.67</v>
      </c>
      <c r="F841" s="129">
        <f t="shared" si="32"/>
        <v>5.53976589897065E-3</v>
      </c>
      <c r="G841" s="270">
        <v>17895.7</v>
      </c>
      <c r="H841" s="129">
        <f t="shared" si="31"/>
        <v>-1.0299121085846075E-3</v>
      </c>
    </row>
    <row r="842" spans="2:8" x14ac:dyDescent="0.3">
      <c r="B842" s="269">
        <v>44936</v>
      </c>
      <c r="C842" s="270">
        <v>462.3</v>
      </c>
      <c r="D842" s="129">
        <f t="shared" si="32"/>
        <v>-7.4074074074074181E-3</v>
      </c>
      <c r="E842" s="270">
        <v>33699.980000000003</v>
      </c>
      <c r="F842" s="129">
        <f t="shared" si="32"/>
        <v>-3.7476257695462367E-3</v>
      </c>
      <c r="G842" s="270">
        <v>17914.150000000001</v>
      </c>
      <c r="H842" s="129">
        <f t="shared" ref="H842:H905" si="33">G842/G843-1</f>
        <v>-1.0333569045146151E-2</v>
      </c>
    </row>
    <row r="843" spans="2:8" x14ac:dyDescent="0.3">
      <c r="B843" s="269">
        <v>44935</v>
      </c>
      <c r="C843" s="270">
        <v>465.75</v>
      </c>
      <c r="D843" s="129">
        <f t="shared" si="32"/>
        <v>0</v>
      </c>
      <c r="E843" s="270">
        <v>33826.75</v>
      </c>
      <c r="F843" s="129">
        <f t="shared" si="32"/>
        <v>1.2751778922859058E-2</v>
      </c>
      <c r="G843" s="270">
        <v>18101.2</v>
      </c>
      <c r="H843" s="129">
        <f t="shared" si="33"/>
        <v>1.3536251116355702E-2</v>
      </c>
    </row>
    <row r="844" spans="2:8" x14ac:dyDescent="0.3">
      <c r="B844" s="269">
        <v>44932</v>
      </c>
      <c r="C844" s="270">
        <v>465.75</v>
      </c>
      <c r="D844" s="129">
        <f t="shared" si="32"/>
        <v>1.2720156555773077E-2</v>
      </c>
      <c r="E844" s="270">
        <v>33400.83</v>
      </c>
      <c r="F844" s="129">
        <f t="shared" si="32"/>
        <v>-2.4662959955393804E-3</v>
      </c>
      <c r="G844" s="270">
        <v>17859.45</v>
      </c>
      <c r="H844" s="129">
        <f t="shared" si="33"/>
        <v>-7.3754387330030591E-3</v>
      </c>
    </row>
    <row r="845" spans="2:8" x14ac:dyDescent="0.3">
      <c r="B845" s="269">
        <v>44931</v>
      </c>
      <c r="C845" s="270">
        <v>459.9</v>
      </c>
      <c r="D845" s="129">
        <f t="shared" si="32"/>
        <v>-1.7307692307692357E-2</v>
      </c>
      <c r="E845" s="270">
        <v>33483.410000000003</v>
      </c>
      <c r="F845" s="129">
        <f t="shared" si="32"/>
        <v>8.2816420790048362E-3</v>
      </c>
      <c r="G845" s="270">
        <v>17992.150000000001</v>
      </c>
      <c r="H845" s="129">
        <f t="shared" si="33"/>
        <v>-2.8155041165662809E-3</v>
      </c>
    </row>
    <row r="846" spans="2:8" x14ac:dyDescent="0.3">
      <c r="B846" s="269">
        <v>44930</v>
      </c>
      <c r="C846" s="270">
        <v>468</v>
      </c>
      <c r="D846" s="129">
        <f t="shared" si="32"/>
        <v>-1.4570875094752855E-2</v>
      </c>
      <c r="E846" s="270">
        <v>33208.39</v>
      </c>
      <c r="F846" s="129">
        <f t="shared" si="32"/>
        <v>-7.7599266166886727E-3</v>
      </c>
      <c r="G846" s="270">
        <v>18042.95</v>
      </c>
      <c r="H846" s="129">
        <f t="shared" si="33"/>
        <v>-1.0398984234240349E-2</v>
      </c>
    </row>
    <row r="847" spans="2:8" x14ac:dyDescent="0.3">
      <c r="B847" s="269">
        <v>44929</v>
      </c>
      <c r="C847" s="270">
        <v>474.92</v>
      </c>
      <c r="D847" s="129">
        <f t="shared" si="32"/>
        <v>7.6184001812825697E-2</v>
      </c>
      <c r="E847" s="270">
        <v>33468.1</v>
      </c>
      <c r="F847" s="129">
        <f t="shared" si="32"/>
        <v>6.5597964011399057E-4</v>
      </c>
      <c r="G847" s="270">
        <v>18232.55</v>
      </c>
      <c r="H847" s="129">
        <f t="shared" si="33"/>
        <v>1.9288416783669327E-3</v>
      </c>
    </row>
    <row r="848" spans="2:8" x14ac:dyDescent="0.3">
      <c r="B848" s="269">
        <v>44928</v>
      </c>
      <c r="C848" s="270">
        <v>441.3</v>
      </c>
      <c r="D848" s="129">
        <f t="shared" si="32"/>
        <v>2.0582793709528202E-2</v>
      </c>
      <c r="E848" s="270">
        <v>33446.160000000003</v>
      </c>
      <c r="F848" s="129">
        <f t="shared" si="32"/>
        <v>3.1173689094488033E-3</v>
      </c>
      <c r="G848" s="270">
        <v>18197.45</v>
      </c>
      <c r="H848" s="129">
        <f t="shared" si="33"/>
        <v>5.0896698756719427E-3</v>
      </c>
    </row>
    <row r="849" spans="2:8" x14ac:dyDescent="0.3">
      <c r="B849" s="269">
        <v>44925</v>
      </c>
      <c r="C849" s="270">
        <v>432.4</v>
      </c>
      <c r="D849" s="129">
        <f t="shared" si="32"/>
        <v>2.0726122468249786E-2</v>
      </c>
      <c r="E849" s="270">
        <v>33342.22</v>
      </c>
      <c r="F849" s="129">
        <f t="shared" si="32"/>
        <v>-2.8345844423841582E-3</v>
      </c>
      <c r="G849" s="270">
        <v>18105.3</v>
      </c>
      <c r="H849" s="129">
        <f t="shared" si="33"/>
        <v>-4.7111208839536456E-3</v>
      </c>
    </row>
    <row r="850" spans="2:8" x14ac:dyDescent="0.3">
      <c r="B850" s="269">
        <v>44924</v>
      </c>
      <c r="C850" s="270">
        <v>423.62</v>
      </c>
      <c r="D850" s="129">
        <f t="shared" si="32"/>
        <v>-5.6335383315336829E-3</v>
      </c>
      <c r="E850" s="270">
        <v>33437</v>
      </c>
      <c r="F850" s="129">
        <f t="shared" si="32"/>
        <v>-4.1971020846133245E-3</v>
      </c>
      <c r="G850" s="270">
        <v>18191</v>
      </c>
      <c r="H850" s="129">
        <f t="shared" si="33"/>
        <v>3.7798317009243299E-3</v>
      </c>
    </row>
    <row r="851" spans="2:8" x14ac:dyDescent="0.3">
      <c r="B851" s="269">
        <v>44923</v>
      </c>
      <c r="C851" s="270">
        <v>426.02</v>
      </c>
      <c r="D851" s="129">
        <f t="shared" ref="D851:F914" si="34">C851/C852-1</f>
        <v>-4.4400822583661181E-3</v>
      </c>
      <c r="E851" s="270">
        <v>33577.93</v>
      </c>
      <c r="F851" s="129">
        <f t="shared" si="34"/>
        <v>-2.6835347692248934E-3</v>
      </c>
      <c r="G851" s="270">
        <v>18122.5</v>
      </c>
      <c r="H851" s="129">
        <f t="shared" si="33"/>
        <v>-5.4047197542506087E-4</v>
      </c>
    </row>
    <row r="852" spans="2:8" x14ac:dyDescent="0.3">
      <c r="B852" s="269">
        <v>44922</v>
      </c>
      <c r="C852" s="270">
        <v>427.92</v>
      </c>
      <c r="D852" s="129">
        <f t="shared" si="34"/>
        <v>6.3135741844977389E-4</v>
      </c>
      <c r="E852" s="270">
        <v>33668.28</v>
      </c>
      <c r="F852" s="129">
        <f t="shared" si="34"/>
        <v>1.3955474630393372E-2</v>
      </c>
      <c r="G852" s="270">
        <v>18132.3</v>
      </c>
      <c r="H852" s="129">
        <f t="shared" si="33"/>
        <v>6.5335894219133994E-3</v>
      </c>
    </row>
    <row r="853" spans="2:8" x14ac:dyDescent="0.3">
      <c r="B853" s="269">
        <v>44921</v>
      </c>
      <c r="C853" s="270">
        <v>427.65</v>
      </c>
      <c r="D853" s="129">
        <f t="shared" si="34"/>
        <v>3.4720541979191832E-2</v>
      </c>
      <c r="E853" s="270">
        <v>33204.89</v>
      </c>
      <c r="F853" s="129">
        <f t="shared" si="34"/>
        <v>1.8442754310184828E-2</v>
      </c>
      <c r="G853" s="270">
        <v>18014.599999999999</v>
      </c>
      <c r="H853" s="129">
        <f t="shared" si="33"/>
        <v>1.1669699216029894E-2</v>
      </c>
    </row>
    <row r="854" spans="2:8" x14ac:dyDescent="0.3">
      <c r="B854" s="269">
        <v>44918</v>
      </c>
      <c r="C854" s="270">
        <v>413.3</v>
      </c>
      <c r="D854" s="129">
        <f t="shared" si="34"/>
        <v>-3.4390916312321829E-2</v>
      </c>
      <c r="E854" s="270">
        <v>32603.59</v>
      </c>
      <c r="F854" s="129">
        <f t="shared" si="34"/>
        <v>-2.8350562317444594E-2</v>
      </c>
      <c r="G854" s="270">
        <v>17806.8</v>
      </c>
      <c r="H854" s="129">
        <f t="shared" si="33"/>
        <v>-1.7683224519855267E-2</v>
      </c>
    </row>
    <row r="855" spans="2:8" x14ac:dyDescent="0.3">
      <c r="B855" s="269">
        <v>44917</v>
      </c>
      <c r="C855" s="270">
        <v>428.02</v>
      </c>
      <c r="D855" s="129">
        <f t="shared" si="34"/>
        <v>2.7410097223847796E-3</v>
      </c>
      <c r="E855" s="270">
        <v>33554.89</v>
      </c>
      <c r="F855" s="129">
        <f t="shared" si="34"/>
        <v>-1.5732203188973615E-2</v>
      </c>
      <c r="G855" s="270">
        <v>18127.349999999999</v>
      </c>
      <c r="H855" s="129">
        <f t="shared" si="33"/>
        <v>-3.9425026512299732E-3</v>
      </c>
    </row>
    <row r="856" spans="2:8" x14ac:dyDescent="0.3">
      <c r="B856" s="269">
        <v>44916</v>
      </c>
      <c r="C856" s="270">
        <v>426.85</v>
      </c>
      <c r="D856" s="129">
        <f t="shared" si="34"/>
        <v>1.3486240710401942E-2</v>
      </c>
      <c r="E856" s="270">
        <v>34091.22</v>
      </c>
      <c r="F856" s="129">
        <f t="shared" si="34"/>
        <v>-1.6411690115853861E-2</v>
      </c>
      <c r="G856" s="270">
        <v>18199.099999999999</v>
      </c>
      <c r="H856" s="129">
        <f t="shared" si="33"/>
        <v>-1.0127656334136592E-2</v>
      </c>
    </row>
    <row r="857" spans="2:8" x14ac:dyDescent="0.3">
      <c r="B857" s="269">
        <v>44915</v>
      </c>
      <c r="C857" s="270">
        <v>421.17</v>
      </c>
      <c r="D857" s="129">
        <f t="shared" si="34"/>
        <v>-5.5017709563163208E-3</v>
      </c>
      <c r="E857" s="270">
        <v>34660.050000000003</v>
      </c>
      <c r="F857" s="129">
        <f t="shared" si="34"/>
        <v>-3.9903548703106306E-3</v>
      </c>
      <c r="G857" s="270">
        <v>18385.3</v>
      </c>
      <c r="H857" s="129">
        <f t="shared" si="33"/>
        <v>-1.9082052827157359E-3</v>
      </c>
    </row>
    <row r="858" spans="2:8" x14ac:dyDescent="0.3">
      <c r="B858" s="269">
        <v>44914</v>
      </c>
      <c r="C858" s="270">
        <v>423.5</v>
      </c>
      <c r="D858" s="129">
        <f t="shared" si="34"/>
        <v>-9.009009009009028E-3</v>
      </c>
      <c r="E858" s="270">
        <v>34798.910000000003</v>
      </c>
      <c r="F858" s="129">
        <f t="shared" si="34"/>
        <v>7.6397702393538047E-3</v>
      </c>
      <c r="G858" s="270">
        <v>18420.45</v>
      </c>
      <c r="H858" s="129">
        <f t="shared" si="33"/>
        <v>8.2899994526246523E-3</v>
      </c>
    </row>
    <row r="859" spans="2:8" x14ac:dyDescent="0.3">
      <c r="B859" s="269">
        <v>44911</v>
      </c>
      <c r="C859" s="270">
        <v>427.35</v>
      </c>
      <c r="D859" s="129">
        <f t="shared" si="34"/>
        <v>-8.7446650584523944E-3</v>
      </c>
      <c r="E859" s="270">
        <v>34535.07</v>
      </c>
      <c r="F859" s="129">
        <f t="shared" si="34"/>
        <v>-1.2643342968153726E-2</v>
      </c>
      <c r="G859" s="270">
        <v>18269</v>
      </c>
      <c r="H859" s="129">
        <f t="shared" si="33"/>
        <v>-7.9229319735649728E-3</v>
      </c>
    </row>
    <row r="860" spans="2:8" x14ac:dyDescent="0.3">
      <c r="B860" s="269">
        <v>44910</v>
      </c>
      <c r="C860" s="270">
        <v>431.12</v>
      </c>
      <c r="D860" s="129">
        <f t="shared" si="34"/>
        <v>1.6263184796245778E-3</v>
      </c>
      <c r="E860" s="270">
        <v>34977.300000000003</v>
      </c>
      <c r="F860" s="129">
        <f t="shared" si="34"/>
        <v>-1.1649477515550344E-2</v>
      </c>
      <c r="G860" s="270">
        <v>18414.900000000001</v>
      </c>
      <c r="H860" s="129">
        <f t="shared" si="33"/>
        <v>-1.3150913972444056E-2</v>
      </c>
    </row>
    <row r="861" spans="2:8" x14ac:dyDescent="0.3">
      <c r="B861" s="269">
        <v>44909</v>
      </c>
      <c r="C861" s="270">
        <v>430.42</v>
      </c>
      <c r="D861" s="129">
        <f t="shared" si="34"/>
        <v>-8.82079851439177E-4</v>
      </c>
      <c r="E861" s="270">
        <v>35389.57</v>
      </c>
      <c r="F861" s="129">
        <f t="shared" si="34"/>
        <v>9.2303348837474708E-3</v>
      </c>
      <c r="G861" s="270">
        <v>18660.3</v>
      </c>
      <c r="H861" s="129">
        <f t="shared" si="33"/>
        <v>2.8106190885639482E-3</v>
      </c>
    </row>
    <row r="862" spans="2:8" x14ac:dyDescent="0.3">
      <c r="B862" s="269">
        <v>44908</v>
      </c>
      <c r="C862" s="270">
        <v>430.8</v>
      </c>
      <c r="D862" s="129">
        <f t="shared" si="34"/>
        <v>-5.8385064500495742E-3</v>
      </c>
      <c r="E862" s="270">
        <v>35065.9</v>
      </c>
      <c r="F862" s="129">
        <f t="shared" si="34"/>
        <v>4.4309549855190422E-3</v>
      </c>
      <c r="G862" s="270">
        <v>18608</v>
      </c>
      <c r="H862" s="129">
        <f t="shared" si="33"/>
        <v>5.9928151093546767E-3</v>
      </c>
    </row>
    <row r="863" spans="2:8" x14ac:dyDescent="0.3">
      <c r="B863" s="269">
        <v>44907</v>
      </c>
      <c r="C863" s="270">
        <v>433.33</v>
      </c>
      <c r="D863" s="129">
        <f t="shared" si="34"/>
        <v>-2.1645520068159785E-3</v>
      </c>
      <c r="E863" s="270">
        <v>34911.21</v>
      </c>
      <c r="F863" s="129">
        <f t="shared" si="34"/>
        <v>5.3172557258767128E-3</v>
      </c>
      <c r="G863" s="270">
        <v>18497.150000000001</v>
      </c>
      <c r="H863" s="129">
        <f t="shared" si="33"/>
        <v>2.9735194576385737E-5</v>
      </c>
    </row>
    <row r="864" spans="2:8" x14ac:dyDescent="0.3">
      <c r="B864" s="269">
        <v>44904</v>
      </c>
      <c r="C864" s="270">
        <v>434.27</v>
      </c>
      <c r="D864" s="129">
        <f t="shared" si="34"/>
        <v>-2.345401394198332E-2</v>
      </c>
      <c r="E864" s="270">
        <v>34726.559999999998</v>
      </c>
      <c r="F864" s="129">
        <f t="shared" si="34"/>
        <v>-6.4676124422147208E-3</v>
      </c>
      <c r="G864" s="270">
        <v>18496.599999999999</v>
      </c>
      <c r="H864" s="129">
        <f t="shared" si="33"/>
        <v>-6.058782278800745E-3</v>
      </c>
    </row>
    <row r="865" spans="2:8" x14ac:dyDescent="0.3">
      <c r="B865" s="269">
        <v>44903</v>
      </c>
      <c r="C865" s="270">
        <v>444.7</v>
      </c>
      <c r="D865" s="129">
        <f t="shared" si="34"/>
        <v>6.6779852857952182E-3</v>
      </c>
      <c r="E865" s="270">
        <v>34952.620000000003</v>
      </c>
      <c r="F865" s="129">
        <f t="shared" si="34"/>
        <v>1.4459388821698838E-2</v>
      </c>
      <c r="G865" s="270">
        <v>18609.349999999999</v>
      </c>
      <c r="H865" s="129">
        <f t="shared" si="33"/>
        <v>2.6319334069664357E-3</v>
      </c>
    </row>
    <row r="866" spans="2:8" x14ac:dyDescent="0.3">
      <c r="B866" s="269">
        <v>44902</v>
      </c>
      <c r="C866" s="270">
        <v>441.75</v>
      </c>
      <c r="D866" s="129">
        <f t="shared" si="34"/>
        <v>-6.5666674162863092E-3</v>
      </c>
      <c r="E866" s="270">
        <v>34454.43</v>
      </c>
      <c r="F866" s="129">
        <f t="shared" si="34"/>
        <v>8.3797435679058285E-3</v>
      </c>
      <c r="G866" s="270">
        <v>18560.5</v>
      </c>
      <c r="H866" s="129">
        <f t="shared" si="33"/>
        <v>-4.4119027503989328E-3</v>
      </c>
    </row>
    <row r="867" spans="2:8" x14ac:dyDescent="0.3">
      <c r="B867" s="269">
        <v>44901</v>
      </c>
      <c r="C867" s="270">
        <v>444.67</v>
      </c>
      <c r="D867" s="129">
        <f t="shared" si="34"/>
        <v>1.4417702748944938E-2</v>
      </c>
      <c r="E867" s="270">
        <v>34168.11</v>
      </c>
      <c r="F867" s="129">
        <f t="shared" si="34"/>
        <v>4.3451183444531694E-4</v>
      </c>
      <c r="G867" s="270">
        <v>18642.75</v>
      </c>
      <c r="H867" s="129">
        <f t="shared" si="33"/>
        <v>-3.1174720136034617E-3</v>
      </c>
    </row>
    <row r="868" spans="2:8" x14ac:dyDescent="0.3">
      <c r="B868" s="269">
        <v>44900</v>
      </c>
      <c r="C868" s="270">
        <v>438.35</v>
      </c>
      <c r="D868" s="129">
        <f t="shared" si="34"/>
        <v>-4.2704949685391513E-3</v>
      </c>
      <c r="E868" s="270">
        <v>34153.269999999997</v>
      </c>
      <c r="F868" s="129">
        <f t="shared" si="34"/>
        <v>-3.319224191350445E-4</v>
      </c>
      <c r="G868" s="270">
        <v>18701.05</v>
      </c>
      <c r="H868" s="129">
        <f t="shared" si="33"/>
        <v>2.6476109990847263E-4</v>
      </c>
    </row>
    <row r="869" spans="2:8" x14ac:dyDescent="0.3">
      <c r="B869" s="269">
        <v>44897</v>
      </c>
      <c r="C869" s="270">
        <v>440.23</v>
      </c>
      <c r="D869" s="129">
        <f t="shared" si="34"/>
        <v>-1.2715855572998369E-2</v>
      </c>
      <c r="E869" s="270">
        <v>34164.61</v>
      </c>
      <c r="F869" s="129">
        <f t="shared" si="34"/>
        <v>8.0059102541274463E-4</v>
      </c>
      <c r="G869" s="270">
        <v>18696.099999999999</v>
      </c>
      <c r="H869" s="129">
        <f t="shared" si="33"/>
        <v>-6.18737541528247E-3</v>
      </c>
    </row>
    <row r="870" spans="2:8" x14ac:dyDescent="0.3">
      <c r="B870" s="269">
        <v>44896</v>
      </c>
      <c r="C870" s="270">
        <v>445.9</v>
      </c>
      <c r="D870" s="129">
        <f t="shared" si="34"/>
        <v>-4.4652824291135929E-3</v>
      </c>
      <c r="E870" s="270">
        <v>34137.279999999999</v>
      </c>
      <c r="F870" s="129">
        <f t="shared" si="34"/>
        <v>8.5985892085533866E-3</v>
      </c>
      <c r="G870" s="270">
        <v>18812.5</v>
      </c>
      <c r="H870" s="129">
        <f t="shared" si="33"/>
        <v>2.8867144498316843E-3</v>
      </c>
    </row>
    <row r="871" spans="2:8" x14ac:dyDescent="0.3">
      <c r="B871" s="269">
        <v>44895</v>
      </c>
      <c r="C871" s="270">
        <v>447.9</v>
      </c>
      <c r="D871" s="129">
        <f t="shared" si="34"/>
        <v>2.5741466144375558E-3</v>
      </c>
      <c r="E871" s="270">
        <v>33846.25</v>
      </c>
      <c r="F871" s="129">
        <f t="shared" si="34"/>
        <v>6.2238196742268048E-3</v>
      </c>
      <c r="G871" s="270">
        <v>18758.349999999999</v>
      </c>
      <c r="H871" s="129">
        <f t="shared" si="33"/>
        <v>7.5356978845797506E-3</v>
      </c>
    </row>
    <row r="872" spans="2:8" x14ac:dyDescent="0.3">
      <c r="B872" s="269">
        <v>44894</v>
      </c>
      <c r="C872" s="270">
        <v>446.75</v>
      </c>
      <c r="D872" s="129">
        <f t="shared" si="34"/>
        <v>2.2124096275281557E-2</v>
      </c>
      <c r="E872" s="270">
        <v>33636.9</v>
      </c>
      <c r="F872" s="129">
        <f t="shared" si="34"/>
        <v>-7.3625428970155449E-3</v>
      </c>
      <c r="G872" s="270">
        <v>18618.05</v>
      </c>
      <c r="H872" s="129">
        <f t="shared" si="33"/>
        <v>2.9790844567749719E-3</v>
      </c>
    </row>
    <row r="873" spans="2:8" x14ac:dyDescent="0.3">
      <c r="B873" s="269">
        <v>44893</v>
      </c>
      <c r="C873" s="270">
        <v>437.08</v>
      </c>
      <c r="D873" s="129">
        <f t="shared" si="34"/>
        <v>3.9738141725047527E-3</v>
      </c>
      <c r="E873" s="270">
        <v>33886.39</v>
      </c>
      <c r="F873" s="129">
        <f t="shared" si="34"/>
        <v>1.3738220266608092E-3</v>
      </c>
      <c r="G873" s="270">
        <v>18562.75</v>
      </c>
      <c r="H873" s="129">
        <f t="shared" si="33"/>
        <v>2.7008413120686026E-3</v>
      </c>
    </row>
    <row r="874" spans="2:8" x14ac:dyDescent="0.3">
      <c r="B874" s="269">
        <v>44890</v>
      </c>
      <c r="C874" s="270">
        <v>435.35</v>
      </c>
      <c r="D874" s="129">
        <f t="shared" si="34"/>
        <v>1.7458165840890105E-2</v>
      </c>
      <c r="E874" s="270">
        <v>33839.9</v>
      </c>
      <c r="F874" s="129">
        <f t="shared" si="34"/>
        <v>2.9266933699652053E-3</v>
      </c>
      <c r="G874" s="270">
        <v>18512.75</v>
      </c>
      <c r="H874" s="129">
        <f t="shared" si="33"/>
        <v>1.5499807943044619E-3</v>
      </c>
    </row>
    <row r="875" spans="2:8" x14ac:dyDescent="0.3">
      <c r="B875" s="269">
        <v>44889</v>
      </c>
      <c r="C875" s="270">
        <v>427.88</v>
      </c>
      <c r="D875" s="129">
        <f t="shared" si="34"/>
        <v>-1.4214952194447683E-2</v>
      </c>
      <c r="E875" s="270">
        <v>33741.15</v>
      </c>
      <c r="F875" s="129">
        <f t="shared" si="34"/>
        <v>9.8449040036561186E-3</v>
      </c>
      <c r="G875" s="270">
        <v>18484.099999999999</v>
      </c>
      <c r="H875" s="129">
        <f t="shared" si="33"/>
        <v>1.1870971273727493E-2</v>
      </c>
    </row>
    <row r="876" spans="2:8" x14ac:dyDescent="0.3">
      <c r="B876" s="269">
        <v>44888</v>
      </c>
      <c r="C876" s="270">
        <v>434.05</v>
      </c>
      <c r="D876" s="129">
        <f t="shared" si="34"/>
        <v>3.537408674743503E-3</v>
      </c>
      <c r="E876" s="270">
        <v>33412.21</v>
      </c>
      <c r="F876" s="129">
        <f t="shared" si="34"/>
        <v>-2.803962017730588E-3</v>
      </c>
      <c r="G876" s="270">
        <v>18267.25</v>
      </c>
      <c r="H876" s="129">
        <f t="shared" si="33"/>
        <v>1.2634152223720552E-3</v>
      </c>
    </row>
    <row r="877" spans="2:8" x14ac:dyDescent="0.3">
      <c r="B877" s="269">
        <v>44887</v>
      </c>
      <c r="C877" s="270">
        <v>432.52</v>
      </c>
      <c r="D877" s="129">
        <f t="shared" si="34"/>
        <v>1.2500578730496592E-3</v>
      </c>
      <c r="E877" s="270">
        <v>33506.160000000003</v>
      </c>
      <c r="F877" s="129">
        <f t="shared" si="34"/>
        <v>5.3827598654176967E-3</v>
      </c>
      <c r="G877" s="270">
        <v>18244.2</v>
      </c>
      <c r="H877" s="129">
        <f t="shared" si="33"/>
        <v>4.6393299541023225E-3</v>
      </c>
    </row>
    <row r="878" spans="2:8" x14ac:dyDescent="0.3">
      <c r="B878" s="269">
        <v>44886</v>
      </c>
      <c r="C878" s="270">
        <v>431.98</v>
      </c>
      <c r="D878" s="129">
        <f t="shared" si="34"/>
        <v>-4.6759494229538623E-2</v>
      </c>
      <c r="E878" s="270">
        <v>33326.769999999997</v>
      </c>
      <c r="F878" s="129">
        <f t="shared" si="34"/>
        <v>-1.372983037876252E-3</v>
      </c>
      <c r="G878" s="270">
        <v>18159.95</v>
      </c>
      <c r="H878" s="129">
        <f t="shared" si="33"/>
        <v>-8.0676657025888776E-3</v>
      </c>
    </row>
    <row r="879" spans="2:8" x14ac:dyDescent="0.3">
      <c r="B879" s="269">
        <v>44883</v>
      </c>
      <c r="C879" s="270">
        <v>453.17</v>
      </c>
      <c r="D879" s="129">
        <f t="shared" si="34"/>
        <v>-3.5254295020543669E-2</v>
      </c>
      <c r="E879" s="270">
        <v>33372.589999999997</v>
      </c>
      <c r="F879" s="129">
        <f t="shared" si="34"/>
        <v>-5.8980196654273565E-3</v>
      </c>
      <c r="G879" s="270">
        <v>18307.650000000001</v>
      </c>
      <c r="H879" s="129">
        <f t="shared" si="33"/>
        <v>-1.9761337556354341E-3</v>
      </c>
    </row>
    <row r="880" spans="2:8" x14ac:dyDescent="0.3">
      <c r="B880" s="269">
        <v>44882</v>
      </c>
      <c r="C880" s="270">
        <v>469.73</v>
      </c>
      <c r="D880" s="129">
        <f t="shared" si="34"/>
        <v>1.0172043010752807E-2</v>
      </c>
      <c r="E880" s="270">
        <v>33570.589999999997</v>
      </c>
      <c r="F880" s="129">
        <f t="shared" si="34"/>
        <v>1.0004798717132779E-2</v>
      </c>
      <c r="G880" s="270">
        <v>18343.900000000001</v>
      </c>
      <c r="H880" s="129">
        <f t="shared" si="33"/>
        <v>-3.5714964706010655E-3</v>
      </c>
    </row>
    <row r="881" spans="2:8" x14ac:dyDescent="0.3">
      <c r="B881" s="269">
        <v>44881</v>
      </c>
      <c r="C881" s="270">
        <v>465</v>
      </c>
      <c r="D881" s="129">
        <f t="shared" si="34"/>
        <v>5.0064358783280305E-2</v>
      </c>
      <c r="E881" s="270">
        <v>33238.050000000003</v>
      </c>
      <c r="F881" s="129">
        <f t="shared" si="34"/>
        <v>3.5612815178700519E-3</v>
      </c>
      <c r="G881" s="270">
        <v>18409.650000000001</v>
      </c>
      <c r="H881" s="129">
        <f t="shared" si="33"/>
        <v>3.3961115880765114E-4</v>
      </c>
    </row>
    <row r="882" spans="2:8" x14ac:dyDescent="0.3">
      <c r="B882" s="269">
        <v>44880</v>
      </c>
      <c r="C882" s="270">
        <v>442.83</v>
      </c>
      <c r="D882" s="129">
        <f t="shared" si="34"/>
        <v>1.3225031460931236E-2</v>
      </c>
      <c r="E882" s="270">
        <v>33120.1</v>
      </c>
      <c r="F882" s="129">
        <f t="shared" si="34"/>
        <v>-2.0594514055340962E-3</v>
      </c>
      <c r="G882" s="270">
        <v>18403.400000000001</v>
      </c>
      <c r="H882" s="129">
        <f t="shared" si="33"/>
        <v>4.0509243472828249E-3</v>
      </c>
    </row>
    <row r="883" spans="2:8" x14ac:dyDescent="0.3">
      <c r="B883" s="269">
        <v>44879</v>
      </c>
      <c r="C883" s="270">
        <v>437.05</v>
      </c>
      <c r="D883" s="129">
        <f t="shared" si="34"/>
        <v>-1.6446992713068376E-3</v>
      </c>
      <c r="E883" s="270">
        <v>33188.449999999997</v>
      </c>
      <c r="F883" s="129">
        <f t="shared" si="34"/>
        <v>-6.6258962185370418E-3</v>
      </c>
      <c r="G883" s="270">
        <v>18329.150000000001</v>
      </c>
      <c r="H883" s="129">
        <f t="shared" si="33"/>
        <v>-1.1199093173185348E-3</v>
      </c>
    </row>
    <row r="884" spans="2:8" x14ac:dyDescent="0.3">
      <c r="B884" s="269">
        <v>44876</v>
      </c>
      <c r="C884" s="270">
        <v>437.77</v>
      </c>
      <c r="D884" s="129">
        <f t="shared" si="34"/>
        <v>5.5587458366830322E-3</v>
      </c>
      <c r="E884" s="270">
        <v>33409.82</v>
      </c>
      <c r="F884" s="129">
        <f t="shared" si="34"/>
        <v>1.0182305477630438E-2</v>
      </c>
      <c r="G884" s="270">
        <v>18349.7</v>
      </c>
      <c r="H884" s="129">
        <f t="shared" si="33"/>
        <v>1.7833172474234882E-2</v>
      </c>
    </row>
    <row r="885" spans="2:8" x14ac:dyDescent="0.3">
      <c r="B885" s="269">
        <v>44875</v>
      </c>
      <c r="C885" s="270">
        <v>435.35</v>
      </c>
      <c r="D885" s="129">
        <f t="shared" si="34"/>
        <v>2.3798885309126883E-2</v>
      </c>
      <c r="E885" s="270">
        <v>33073.06</v>
      </c>
      <c r="F885" s="129">
        <f t="shared" si="34"/>
        <v>-8.3540019573227209E-3</v>
      </c>
      <c r="G885" s="270">
        <v>18028.2</v>
      </c>
      <c r="H885" s="129">
        <f t="shared" si="33"/>
        <v>-7.0936828771271943E-3</v>
      </c>
    </row>
    <row r="886" spans="2:8" x14ac:dyDescent="0.3">
      <c r="B886" s="269">
        <v>44874</v>
      </c>
      <c r="C886" s="270">
        <v>425.23</v>
      </c>
      <c r="D886" s="129">
        <f t="shared" si="34"/>
        <v>1.7196702002355568E-3</v>
      </c>
      <c r="E886" s="270">
        <v>33351.68</v>
      </c>
      <c r="F886" s="129">
        <f t="shared" si="34"/>
        <v>-8.4616916842816803E-3</v>
      </c>
      <c r="G886" s="270">
        <v>18157</v>
      </c>
      <c r="H886" s="129">
        <f t="shared" si="33"/>
        <v>-2.5160964247258333E-3</v>
      </c>
    </row>
    <row r="887" spans="2:8" x14ac:dyDescent="0.3">
      <c r="B887" s="269">
        <v>44872</v>
      </c>
      <c r="C887" s="270">
        <v>424.5</v>
      </c>
      <c r="D887" s="129">
        <f t="shared" si="34"/>
        <v>4.4484406795703979E-3</v>
      </c>
      <c r="E887" s="270">
        <v>33636.300000000003</v>
      </c>
      <c r="F887" s="129">
        <f t="shared" si="34"/>
        <v>3.4111977376019009E-3</v>
      </c>
      <c r="G887" s="270">
        <v>18202.8</v>
      </c>
      <c r="H887" s="129">
        <f t="shared" si="33"/>
        <v>4.7275647659812403E-3</v>
      </c>
    </row>
    <row r="888" spans="2:8" x14ac:dyDescent="0.3">
      <c r="B888" s="269">
        <v>44869</v>
      </c>
      <c r="C888" s="270">
        <v>422.62</v>
      </c>
      <c r="D888" s="129">
        <f t="shared" si="34"/>
        <v>-5.4829979997645939E-3</v>
      </c>
      <c r="E888" s="270">
        <v>33521.949999999997</v>
      </c>
      <c r="F888" s="129">
        <f t="shared" si="34"/>
        <v>5.0640046412544493E-3</v>
      </c>
      <c r="G888" s="270">
        <v>18117.150000000001</v>
      </c>
      <c r="H888" s="129">
        <f t="shared" si="33"/>
        <v>3.5701030870729511E-3</v>
      </c>
    </row>
    <row r="889" spans="2:8" x14ac:dyDescent="0.3">
      <c r="B889" s="269">
        <v>44868</v>
      </c>
      <c r="C889" s="270">
        <v>424.95</v>
      </c>
      <c r="D889" s="129">
        <f t="shared" si="34"/>
        <v>4.5624320363104598E-3</v>
      </c>
      <c r="E889" s="270">
        <v>33353.050000000003</v>
      </c>
      <c r="F889" s="129">
        <f t="shared" si="34"/>
        <v>9.4803769102558277E-4</v>
      </c>
      <c r="G889" s="270">
        <v>18052.7</v>
      </c>
      <c r="H889" s="129">
        <f t="shared" si="33"/>
        <v>-1.6673256704555772E-3</v>
      </c>
    </row>
    <row r="890" spans="2:8" x14ac:dyDescent="0.3">
      <c r="B890" s="269">
        <v>44867</v>
      </c>
      <c r="C890" s="270">
        <v>423.02</v>
      </c>
      <c r="D890" s="129">
        <f t="shared" si="34"/>
        <v>4.5117781155015191E-3</v>
      </c>
      <c r="E890" s="270">
        <v>33321.46</v>
      </c>
      <c r="F890" s="129">
        <f t="shared" si="34"/>
        <v>-4.4493071187120536E-3</v>
      </c>
      <c r="G890" s="270">
        <v>18082.849999999999</v>
      </c>
      <c r="H890" s="129">
        <f t="shared" si="33"/>
        <v>-3.4471546507656159E-3</v>
      </c>
    </row>
    <row r="891" spans="2:8" x14ac:dyDescent="0.3">
      <c r="B891" s="269">
        <v>44866</v>
      </c>
      <c r="C891" s="270">
        <v>421.12</v>
      </c>
      <c r="D891" s="129">
        <f t="shared" si="34"/>
        <v>-2.7233760390270589E-3</v>
      </c>
      <c r="E891" s="270">
        <v>33470.379999999997</v>
      </c>
      <c r="F891" s="129">
        <f t="shared" si="34"/>
        <v>6.1389712548727271E-3</v>
      </c>
      <c r="G891" s="270">
        <v>18145.400000000001</v>
      </c>
      <c r="H891" s="129">
        <f t="shared" si="33"/>
        <v>7.3949878415739967E-3</v>
      </c>
    </row>
    <row r="892" spans="2:8" x14ac:dyDescent="0.3">
      <c r="B892" s="269">
        <v>44865</v>
      </c>
      <c r="C892" s="270">
        <v>422.27</v>
      </c>
      <c r="D892" s="129">
        <f t="shared" si="34"/>
        <v>5.4047619047619122E-3</v>
      </c>
      <c r="E892" s="270">
        <v>33266.160000000003</v>
      </c>
      <c r="F892" s="129">
        <f t="shared" si="34"/>
        <v>1.5398477733742588E-2</v>
      </c>
      <c r="G892" s="270">
        <v>18012.2</v>
      </c>
      <c r="H892" s="129">
        <f t="shared" si="33"/>
        <v>1.2672318798210069E-2</v>
      </c>
    </row>
    <row r="893" spans="2:8" x14ac:dyDescent="0.3">
      <c r="B893" s="269">
        <v>44862</v>
      </c>
      <c r="C893" s="270">
        <v>420</v>
      </c>
      <c r="D893" s="129">
        <f t="shared" si="34"/>
        <v>1.0010010010010895E-3</v>
      </c>
      <c r="E893" s="270">
        <v>32761.68</v>
      </c>
      <c r="F893" s="129">
        <f t="shared" si="34"/>
        <v>-1.7483742678796599E-3</v>
      </c>
      <c r="G893" s="270">
        <v>17786.8</v>
      </c>
      <c r="H893" s="129">
        <f t="shared" si="33"/>
        <v>2.8105170280121605E-3</v>
      </c>
    </row>
    <row r="894" spans="2:8" x14ac:dyDescent="0.3">
      <c r="B894" s="269">
        <v>44861</v>
      </c>
      <c r="C894" s="270">
        <v>419.58</v>
      </c>
      <c r="D894" s="129">
        <f t="shared" si="34"/>
        <v>-3.8461538461538325E-3</v>
      </c>
      <c r="E894" s="270">
        <v>32819.06</v>
      </c>
      <c r="F894" s="129">
        <f t="shared" si="34"/>
        <v>7.3246446792276654E-3</v>
      </c>
      <c r="G894" s="270">
        <v>17736.95</v>
      </c>
      <c r="H894" s="129">
        <f t="shared" si="33"/>
        <v>4.5649298977423758E-3</v>
      </c>
    </row>
    <row r="895" spans="2:8" x14ac:dyDescent="0.3">
      <c r="B895" s="269">
        <v>44859</v>
      </c>
      <c r="C895" s="270">
        <v>421.2</v>
      </c>
      <c r="D895" s="129">
        <f t="shared" si="34"/>
        <v>-1.0454598848819385E-2</v>
      </c>
      <c r="E895" s="270">
        <v>32580.42</v>
      </c>
      <c r="F895" s="129">
        <f t="shared" si="34"/>
        <v>1.244596395701536E-2</v>
      </c>
      <c r="G895" s="270">
        <v>17656.349999999999</v>
      </c>
      <c r="H895" s="129">
        <f t="shared" si="33"/>
        <v>-4.1960999957701972E-3</v>
      </c>
    </row>
    <row r="896" spans="2:8" x14ac:dyDescent="0.3">
      <c r="B896" s="269">
        <v>44858</v>
      </c>
      <c r="C896" s="270">
        <v>425.65</v>
      </c>
      <c r="D896" s="129">
        <f t="shared" si="34"/>
        <v>8.2294850693620525E-4</v>
      </c>
      <c r="E896" s="270">
        <v>32179.91</v>
      </c>
      <c r="F896" s="129">
        <f t="shared" si="34"/>
        <v>1.3891103127947835E-2</v>
      </c>
      <c r="G896" s="270">
        <v>17730.75</v>
      </c>
      <c r="H896" s="129">
        <f t="shared" si="33"/>
        <v>8.7874012164108617E-3</v>
      </c>
    </row>
    <row r="897" spans="2:8" x14ac:dyDescent="0.3">
      <c r="B897" s="269">
        <v>44855</v>
      </c>
      <c r="C897" s="270">
        <v>425.3</v>
      </c>
      <c r="D897" s="129">
        <f t="shared" si="34"/>
        <v>8.9428598324392539E-4</v>
      </c>
      <c r="E897" s="270">
        <v>31739.02</v>
      </c>
      <c r="F897" s="129">
        <f t="shared" si="34"/>
        <v>-1.1230697530679623E-2</v>
      </c>
      <c r="G897" s="270">
        <v>17576.3</v>
      </c>
      <c r="H897" s="129">
        <f t="shared" si="33"/>
        <v>7.0314479373934091E-4</v>
      </c>
    </row>
    <row r="898" spans="2:8" x14ac:dyDescent="0.3">
      <c r="B898" s="269">
        <v>44854</v>
      </c>
      <c r="C898" s="270">
        <v>424.92</v>
      </c>
      <c r="D898" s="129">
        <f t="shared" si="34"/>
        <v>-1.4289691008629424E-2</v>
      </c>
      <c r="E898" s="270">
        <v>32099.52</v>
      </c>
      <c r="F898" s="129">
        <f t="shared" si="34"/>
        <v>-5.2012328251311857E-3</v>
      </c>
      <c r="G898" s="270">
        <v>17563.95</v>
      </c>
      <c r="H898" s="129">
        <f t="shared" si="33"/>
        <v>2.9522191608730708E-3</v>
      </c>
    </row>
    <row r="899" spans="2:8" x14ac:dyDescent="0.3">
      <c r="B899" s="269">
        <v>44853</v>
      </c>
      <c r="C899" s="270">
        <v>431.08</v>
      </c>
      <c r="D899" s="129">
        <f t="shared" si="34"/>
        <v>6.0210035005834328E-3</v>
      </c>
      <c r="E899" s="270">
        <v>32267.35</v>
      </c>
      <c r="F899" s="129">
        <f t="shared" si="34"/>
        <v>1.1902327686965641E-3</v>
      </c>
      <c r="G899" s="270">
        <v>17512.25</v>
      </c>
      <c r="H899" s="129">
        <f t="shared" si="33"/>
        <v>1.4467931800570266E-3</v>
      </c>
    </row>
    <row r="900" spans="2:8" x14ac:dyDescent="0.3">
      <c r="B900" s="269">
        <v>44852</v>
      </c>
      <c r="C900" s="270">
        <v>428.5</v>
      </c>
      <c r="D900" s="129">
        <f t="shared" si="34"/>
        <v>3.912564721317624E-3</v>
      </c>
      <c r="E900" s="270">
        <v>32228.99</v>
      </c>
      <c r="F900" s="129">
        <f t="shared" si="34"/>
        <v>1.9656608882205662E-2</v>
      </c>
      <c r="G900" s="270">
        <v>17486.95</v>
      </c>
      <c r="H900" s="129">
        <f t="shared" si="33"/>
        <v>1.0117376587067906E-2</v>
      </c>
    </row>
    <row r="901" spans="2:8" x14ac:dyDescent="0.3">
      <c r="B901" s="269">
        <v>44851</v>
      </c>
      <c r="C901" s="270">
        <v>426.83</v>
      </c>
      <c r="D901" s="129">
        <f t="shared" si="34"/>
        <v>-1.4931917839833941E-2</v>
      </c>
      <c r="E901" s="270">
        <v>31607.69</v>
      </c>
      <c r="F901" s="129">
        <f t="shared" si="34"/>
        <v>-1.9800823481863628E-3</v>
      </c>
      <c r="G901" s="270">
        <v>17311.8</v>
      </c>
      <c r="H901" s="129">
        <f t="shared" si="33"/>
        <v>7.337495708641395E-3</v>
      </c>
    </row>
    <row r="902" spans="2:8" x14ac:dyDescent="0.3">
      <c r="B902" s="269">
        <v>44848</v>
      </c>
      <c r="C902" s="270">
        <v>433.3</v>
      </c>
      <c r="D902" s="129">
        <f t="shared" si="34"/>
        <v>-3.3351924149470191E-2</v>
      </c>
      <c r="E902" s="270">
        <v>31670.400000000001</v>
      </c>
      <c r="F902" s="129">
        <f t="shared" si="34"/>
        <v>7.0735930322962659E-3</v>
      </c>
      <c r="G902" s="270">
        <v>17185.7</v>
      </c>
      <c r="H902" s="129">
        <f t="shared" si="33"/>
        <v>1.0070910731235783E-2</v>
      </c>
    </row>
    <row r="903" spans="2:8" x14ac:dyDescent="0.3">
      <c r="B903" s="269">
        <v>44847</v>
      </c>
      <c r="C903" s="270">
        <v>448.25</v>
      </c>
      <c r="D903" s="129">
        <f t="shared" si="34"/>
        <v>1.9955401838536391E-2</v>
      </c>
      <c r="E903" s="270">
        <v>31447.95</v>
      </c>
      <c r="F903" s="129">
        <f t="shared" si="34"/>
        <v>-1.2191203248390847E-2</v>
      </c>
      <c r="G903" s="270">
        <v>17014.349999999999</v>
      </c>
      <c r="H903" s="129">
        <f t="shared" si="33"/>
        <v>-6.380083627274602E-3</v>
      </c>
    </row>
    <row r="904" spans="2:8" x14ac:dyDescent="0.3">
      <c r="B904" s="269">
        <v>44846</v>
      </c>
      <c r="C904" s="270">
        <v>439.48</v>
      </c>
      <c r="D904" s="129">
        <f t="shared" si="34"/>
        <v>1.3607638728723837E-2</v>
      </c>
      <c r="E904" s="270">
        <v>31836.07</v>
      </c>
      <c r="F904" s="129">
        <f t="shared" si="34"/>
        <v>7.4351818654470048E-3</v>
      </c>
      <c r="G904" s="270">
        <v>17123.599999999999</v>
      </c>
      <c r="H904" s="129">
        <f t="shared" si="33"/>
        <v>8.2462147195374591E-3</v>
      </c>
    </row>
    <row r="905" spans="2:8" x14ac:dyDescent="0.3">
      <c r="B905" s="269">
        <v>44845</v>
      </c>
      <c r="C905" s="270">
        <v>433.58</v>
      </c>
      <c r="D905" s="129">
        <f t="shared" si="34"/>
        <v>-2.5838051586231647E-2</v>
      </c>
      <c r="E905" s="270">
        <v>31601.11</v>
      </c>
      <c r="F905" s="129">
        <f t="shared" si="34"/>
        <v>-1.3395803582746058E-2</v>
      </c>
      <c r="G905" s="270">
        <v>16983.55</v>
      </c>
      <c r="H905" s="129">
        <f t="shared" si="33"/>
        <v>-1.4932428513427354E-2</v>
      </c>
    </row>
    <row r="906" spans="2:8" x14ac:dyDescent="0.3">
      <c r="B906" s="269">
        <v>44844</v>
      </c>
      <c r="C906" s="270">
        <v>445.08</v>
      </c>
      <c r="D906" s="129">
        <f t="shared" si="34"/>
        <v>-6.9611780455154371E-3</v>
      </c>
      <c r="E906" s="270">
        <v>32030.18</v>
      </c>
      <c r="F906" s="129">
        <f t="shared" si="34"/>
        <v>-9.764416147643562E-3</v>
      </c>
      <c r="G906" s="270">
        <v>17241</v>
      </c>
      <c r="H906" s="129">
        <f t="shared" ref="H906:H969" si="35">G906/G907-1</f>
        <v>-4.2536233767359599E-3</v>
      </c>
    </row>
    <row r="907" spans="2:8" x14ac:dyDescent="0.3">
      <c r="B907" s="269">
        <v>44841</v>
      </c>
      <c r="C907" s="270">
        <v>448.2</v>
      </c>
      <c r="D907" s="129">
        <f t="shared" si="34"/>
        <v>1.4417309825045743E-2</v>
      </c>
      <c r="E907" s="270">
        <v>32346.02</v>
      </c>
      <c r="F907" s="129">
        <f t="shared" si="34"/>
        <v>3.5496210086929381E-3</v>
      </c>
      <c r="G907" s="270">
        <v>17314.650000000001</v>
      </c>
      <c r="H907" s="129">
        <f t="shared" si="35"/>
        <v>-9.8951061055385647E-4</v>
      </c>
    </row>
    <row r="908" spans="2:8" x14ac:dyDescent="0.3">
      <c r="B908" s="269">
        <v>44840</v>
      </c>
      <c r="C908" s="270">
        <v>441.83</v>
      </c>
      <c r="D908" s="129">
        <f t="shared" si="34"/>
        <v>3.5579514824797931E-2</v>
      </c>
      <c r="E908" s="270">
        <v>32231.61</v>
      </c>
      <c r="F908" s="129">
        <f t="shared" si="34"/>
        <v>2.3407003526338954E-2</v>
      </c>
      <c r="G908" s="270">
        <v>17331.8</v>
      </c>
      <c r="H908" s="129">
        <f t="shared" si="35"/>
        <v>3.3286442865991805E-3</v>
      </c>
    </row>
    <row r="909" spans="2:8" x14ac:dyDescent="0.3">
      <c r="B909" s="269">
        <v>44838</v>
      </c>
      <c r="C909" s="270">
        <v>426.65</v>
      </c>
      <c r="D909" s="129">
        <f t="shared" si="34"/>
        <v>3.4101599247413628E-3</v>
      </c>
      <c r="E909" s="270">
        <v>31494.42</v>
      </c>
      <c r="F909" s="129">
        <f t="shared" si="34"/>
        <v>2.3195899733726932E-2</v>
      </c>
      <c r="G909" s="270">
        <v>17274.3</v>
      </c>
      <c r="H909" s="129">
        <f t="shared" si="35"/>
        <v>2.2913601009039386E-2</v>
      </c>
    </row>
    <row r="910" spans="2:8" x14ac:dyDescent="0.3">
      <c r="B910" s="269">
        <v>44837</v>
      </c>
      <c r="C910" s="270">
        <v>425.2</v>
      </c>
      <c r="D910" s="129">
        <f t="shared" si="34"/>
        <v>2.9240898528272607E-2</v>
      </c>
      <c r="E910" s="270">
        <v>30780.44</v>
      </c>
      <c r="F910" s="129">
        <f t="shared" si="34"/>
        <v>-1.4010587542627961E-2</v>
      </c>
      <c r="G910" s="270">
        <v>16887.349999999999</v>
      </c>
      <c r="H910" s="129">
        <f t="shared" si="35"/>
        <v>-1.2109264172080247E-2</v>
      </c>
    </row>
    <row r="911" spans="2:8" x14ac:dyDescent="0.3">
      <c r="B911" s="269">
        <v>44834</v>
      </c>
      <c r="C911" s="270">
        <v>413.12</v>
      </c>
      <c r="D911" s="129">
        <f t="shared" si="34"/>
        <v>1.0270957644527012E-2</v>
      </c>
      <c r="E911" s="270">
        <v>31217.82</v>
      </c>
      <c r="F911" s="129">
        <f t="shared" si="34"/>
        <v>1.7408614226594787E-2</v>
      </c>
      <c r="G911" s="270">
        <v>17094.349999999999</v>
      </c>
      <c r="H911" s="129">
        <f t="shared" si="35"/>
        <v>1.6425755584756896E-2</v>
      </c>
    </row>
    <row r="912" spans="2:8" x14ac:dyDescent="0.3">
      <c r="B912" s="269">
        <v>44833</v>
      </c>
      <c r="C912" s="270">
        <v>408.92</v>
      </c>
      <c r="D912" s="129">
        <f t="shared" si="34"/>
        <v>9.10593983663599E-3</v>
      </c>
      <c r="E912" s="270">
        <v>30683.66</v>
      </c>
      <c r="F912" s="129">
        <f t="shared" si="34"/>
        <v>1.7047808509107476E-4</v>
      </c>
      <c r="G912" s="270">
        <v>16818.099999999999</v>
      </c>
      <c r="H912" s="129">
        <f t="shared" si="35"/>
        <v>-2.4023347134399797E-3</v>
      </c>
    </row>
    <row r="913" spans="2:8" x14ac:dyDescent="0.3">
      <c r="B913" s="269">
        <v>44832</v>
      </c>
      <c r="C913" s="270">
        <v>405.23</v>
      </c>
      <c r="D913" s="129">
        <f t="shared" si="34"/>
        <v>-3.7687010211351235E-2</v>
      </c>
      <c r="E913" s="270">
        <v>30678.43</v>
      </c>
      <c r="F913" s="129">
        <f t="shared" si="34"/>
        <v>-4.5000975107659658E-3</v>
      </c>
      <c r="G913" s="270">
        <v>16858.599999999999</v>
      </c>
      <c r="H913" s="129">
        <f t="shared" si="35"/>
        <v>-8.7491327304586308E-3</v>
      </c>
    </row>
    <row r="914" spans="2:8" x14ac:dyDescent="0.3">
      <c r="B914" s="269">
        <v>44831</v>
      </c>
      <c r="C914" s="270">
        <v>421.1</v>
      </c>
      <c r="D914" s="129">
        <f t="shared" si="34"/>
        <v>2.380385622470893E-3</v>
      </c>
      <c r="E914" s="270">
        <v>30817.11</v>
      </c>
      <c r="F914" s="129">
        <f t="shared" si="34"/>
        <v>-7.0681340151975691E-3</v>
      </c>
      <c r="G914" s="270">
        <v>17007.400000000001</v>
      </c>
      <c r="H914" s="129">
        <f t="shared" si="35"/>
        <v>-5.230279202880217E-4</v>
      </c>
    </row>
    <row r="915" spans="2:8" x14ac:dyDescent="0.3">
      <c r="B915" s="269">
        <v>44830</v>
      </c>
      <c r="C915" s="270">
        <v>420.1</v>
      </c>
      <c r="D915" s="129">
        <f t="shared" ref="D915:F978" si="36">C915/C916-1</f>
        <v>-7.3036187113856954E-2</v>
      </c>
      <c r="E915" s="270">
        <v>31036.48</v>
      </c>
      <c r="F915" s="129">
        <f t="shared" si="36"/>
        <v>-2.0865130958367617E-2</v>
      </c>
      <c r="G915" s="270">
        <v>17016.3</v>
      </c>
      <c r="H915" s="129">
        <f t="shared" si="35"/>
        <v>-1.7951388989083661E-2</v>
      </c>
    </row>
    <row r="916" spans="2:8" x14ac:dyDescent="0.3">
      <c r="B916" s="269">
        <v>44827</v>
      </c>
      <c r="C916" s="270">
        <v>453.2</v>
      </c>
      <c r="D916" s="129">
        <f t="shared" si="36"/>
        <v>-1.3925152306353383E-2</v>
      </c>
      <c r="E916" s="270">
        <v>31697.86</v>
      </c>
      <c r="F916" s="129">
        <f t="shared" si="36"/>
        <v>-2.0591219702709274E-2</v>
      </c>
      <c r="G916" s="270">
        <v>17327.349999999999</v>
      </c>
      <c r="H916" s="129">
        <f t="shared" si="35"/>
        <v>-1.7155611521401326E-2</v>
      </c>
    </row>
    <row r="917" spans="2:8" x14ac:dyDescent="0.3">
      <c r="B917" s="269">
        <v>44826</v>
      </c>
      <c r="C917" s="270">
        <v>459.6</v>
      </c>
      <c r="D917" s="129">
        <f t="shared" si="36"/>
        <v>1.569037656903749E-3</v>
      </c>
      <c r="E917" s="270">
        <v>32364.28</v>
      </c>
      <c r="F917" s="129">
        <f t="shared" si="36"/>
        <v>2.1895999729977245E-3</v>
      </c>
      <c r="G917" s="270">
        <v>17629.8</v>
      </c>
      <c r="H917" s="129">
        <f t="shared" si="35"/>
        <v>-4.9976436857833706E-3</v>
      </c>
    </row>
    <row r="918" spans="2:8" x14ac:dyDescent="0.3">
      <c r="B918" s="269">
        <v>44825</v>
      </c>
      <c r="C918" s="270">
        <v>458.88</v>
      </c>
      <c r="D918" s="129">
        <f t="shared" si="36"/>
        <v>-8.7272098850773583E-3</v>
      </c>
      <c r="E918" s="270">
        <v>32293.57</v>
      </c>
      <c r="F918" s="129">
        <f t="shared" si="36"/>
        <v>-1.3563905989500746E-2</v>
      </c>
      <c r="G918" s="270">
        <v>17718.349999999999</v>
      </c>
      <c r="H918" s="129">
        <f t="shared" si="35"/>
        <v>-5.4949835122430901E-3</v>
      </c>
    </row>
    <row r="919" spans="2:8" x14ac:dyDescent="0.3">
      <c r="B919" s="269">
        <v>44824</v>
      </c>
      <c r="C919" s="270">
        <v>462.92</v>
      </c>
      <c r="D919" s="129">
        <f t="shared" si="36"/>
        <v>-7.4614065180101941E-3</v>
      </c>
      <c r="E919" s="270">
        <v>32737.62</v>
      </c>
      <c r="F919" s="129">
        <f t="shared" si="36"/>
        <v>8.8622386906147543E-3</v>
      </c>
      <c r="G919" s="270">
        <v>17816.25</v>
      </c>
      <c r="H919" s="129">
        <f t="shared" si="35"/>
        <v>1.1008809885230342E-2</v>
      </c>
    </row>
    <row r="920" spans="2:8" x14ac:dyDescent="0.3">
      <c r="B920" s="269">
        <v>44823</v>
      </c>
      <c r="C920" s="270">
        <v>466.4</v>
      </c>
      <c r="D920" s="129">
        <f t="shared" si="36"/>
        <v>-1.7277707543194354E-2</v>
      </c>
      <c r="E920" s="270">
        <v>32450.04</v>
      </c>
      <c r="F920" s="129">
        <f t="shared" si="36"/>
        <v>-7.1360668623426937E-3</v>
      </c>
      <c r="G920" s="270">
        <v>17622.25</v>
      </c>
      <c r="H920" s="129">
        <f t="shared" si="35"/>
        <v>5.2136661941664109E-3</v>
      </c>
    </row>
    <row r="921" spans="2:8" x14ac:dyDescent="0.3">
      <c r="B921" s="269">
        <v>44820</v>
      </c>
      <c r="C921" s="270">
        <v>474.6</v>
      </c>
      <c r="D921" s="129">
        <f t="shared" si="36"/>
        <v>-3.5169749949176543E-2</v>
      </c>
      <c r="E921" s="270">
        <v>32683.27</v>
      </c>
      <c r="F921" s="129">
        <f t="shared" si="36"/>
        <v>-2.2575411618166674E-2</v>
      </c>
      <c r="G921" s="270">
        <v>17530.849999999999</v>
      </c>
      <c r="H921" s="129">
        <f t="shared" si="35"/>
        <v>-1.9384809871681674E-2</v>
      </c>
    </row>
    <row r="922" spans="2:8" x14ac:dyDescent="0.3">
      <c r="B922" s="269">
        <v>44819</v>
      </c>
      <c r="C922" s="270">
        <v>491.9</v>
      </c>
      <c r="D922" s="129">
        <f t="shared" si="36"/>
        <v>8.5084572014351156E-3</v>
      </c>
      <c r="E922" s="270">
        <v>33438.15</v>
      </c>
      <c r="F922" s="129">
        <f t="shared" si="36"/>
        <v>-3.6916696089780432E-3</v>
      </c>
      <c r="G922" s="270">
        <v>17877.400000000001</v>
      </c>
      <c r="H922" s="129">
        <f t="shared" si="35"/>
        <v>-7.0179823647850137E-3</v>
      </c>
    </row>
    <row r="923" spans="2:8" x14ac:dyDescent="0.3">
      <c r="B923" s="269">
        <v>44818</v>
      </c>
      <c r="C923" s="270">
        <v>487.75</v>
      </c>
      <c r="D923" s="129">
        <f t="shared" si="36"/>
        <v>-2.0247875780889046E-2</v>
      </c>
      <c r="E923" s="270">
        <v>33562.050000000003</v>
      </c>
      <c r="F923" s="129">
        <f t="shared" si="36"/>
        <v>-8.2546821348997712E-3</v>
      </c>
      <c r="G923" s="270">
        <v>18003.75</v>
      </c>
      <c r="H923" s="129">
        <f t="shared" si="35"/>
        <v>-3.6690545958644183E-3</v>
      </c>
    </row>
    <row r="924" spans="2:8" x14ac:dyDescent="0.3">
      <c r="B924" s="269">
        <v>44817</v>
      </c>
      <c r="C924" s="270">
        <v>497.83</v>
      </c>
      <c r="D924" s="129">
        <f t="shared" si="36"/>
        <v>1.1130293490403176E-2</v>
      </c>
      <c r="E924" s="270">
        <v>33841.4</v>
      </c>
      <c r="F924" s="129">
        <f t="shared" si="36"/>
        <v>6.8995352803418175E-3</v>
      </c>
      <c r="G924" s="270">
        <v>18070.05</v>
      </c>
      <c r="H924" s="129">
        <f t="shared" si="35"/>
        <v>7.4541364324403059E-3</v>
      </c>
    </row>
    <row r="925" spans="2:8" x14ac:dyDescent="0.3">
      <c r="B925" s="269">
        <v>44816</v>
      </c>
      <c r="C925" s="270">
        <v>492.35</v>
      </c>
      <c r="D925" s="129">
        <f t="shared" si="36"/>
        <v>4.6662414965986443E-2</v>
      </c>
      <c r="E925" s="270">
        <v>33609.51</v>
      </c>
      <c r="F925" s="129">
        <f t="shared" si="36"/>
        <v>8.4530057348537468E-3</v>
      </c>
      <c r="G925" s="270">
        <v>17936.349999999999</v>
      </c>
      <c r="H925" s="129">
        <f t="shared" si="35"/>
        <v>5.775695536733183E-3</v>
      </c>
    </row>
    <row r="926" spans="2:8" x14ac:dyDescent="0.3">
      <c r="B926" s="269">
        <v>44813</v>
      </c>
      <c r="C926" s="270">
        <v>470.4</v>
      </c>
      <c r="D926" s="129">
        <f t="shared" si="36"/>
        <v>3.3664410653071908E-2</v>
      </c>
      <c r="E926" s="270">
        <v>33327.79</v>
      </c>
      <c r="F926" s="129">
        <f t="shared" si="36"/>
        <v>-3.3925177415669028E-3</v>
      </c>
      <c r="G926" s="270">
        <v>17833.349999999999</v>
      </c>
      <c r="H926" s="129">
        <f t="shared" si="35"/>
        <v>1.9439567385348688E-3</v>
      </c>
    </row>
    <row r="927" spans="2:8" x14ac:dyDescent="0.3">
      <c r="B927" s="269">
        <v>44812</v>
      </c>
      <c r="C927" s="270">
        <v>455.08</v>
      </c>
      <c r="D927" s="129">
        <f t="shared" si="36"/>
        <v>2.4147631371666423E-2</v>
      </c>
      <c r="E927" s="270">
        <v>33441.24</v>
      </c>
      <c r="F927" s="129">
        <f t="shared" si="36"/>
        <v>6.5289522855547233E-3</v>
      </c>
      <c r="G927" s="270">
        <v>17798.75</v>
      </c>
      <c r="H927" s="129">
        <f t="shared" si="35"/>
        <v>9.8925353487209211E-3</v>
      </c>
    </row>
    <row r="928" spans="2:8" x14ac:dyDescent="0.3">
      <c r="B928" s="269">
        <v>44811</v>
      </c>
      <c r="C928" s="270">
        <v>444.35</v>
      </c>
      <c r="D928" s="129">
        <f t="shared" si="36"/>
        <v>1.9268264709255689E-2</v>
      </c>
      <c r="E928" s="270">
        <v>33224.32</v>
      </c>
      <c r="F928" s="129">
        <f t="shared" si="36"/>
        <v>1.3870511750149195E-3</v>
      </c>
      <c r="G928" s="270">
        <v>17624.400000000001</v>
      </c>
      <c r="H928" s="129">
        <f t="shared" si="35"/>
        <v>-1.7671447019640407E-3</v>
      </c>
    </row>
    <row r="929" spans="2:8" x14ac:dyDescent="0.3">
      <c r="B929" s="269">
        <v>44810</v>
      </c>
      <c r="C929" s="270">
        <v>435.95</v>
      </c>
      <c r="D929" s="129">
        <f t="shared" si="36"/>
        <v>-1.1899365367180392E-2</v>
      </c>
      <c r="E929" s="270">
        <v>33178.300000000003</v>
      </c>
      <c r="F929" s="129">
        <f t="shared" si="36"/>
        <v>2.3725951095610043E-4</v>
      </c>
      <c r="G929" s="270">
        <v>17655.599999999999</v>
      </c>
      <c r="H929" s="129">
        <f t="shared" si="35"/>
        <v>-5.773868152022521E-4</v>
      </c>
    </row>
    <row r="930" spans="2:8" x14ac:dyDescent="0.3">
      <c r="B930" s="269">
        <v>44809</v>
      </c>
      <c r="C930" s="270">
        <v>441.2</v>
      </c>
      <c r="D930" s="129">
        <f t="shared" si="36"/>
        <v>-1.042951665358316E-2</v>
      </c>
      <c r="E930" s="270">
        <v>33170.43</v>
      </c>
      <c r="F930" s="129">
        <f t="shared" si="36"/>
        <v>1.0736459902590312E-2</v>
      </c>
      <c r="G930" s="270">
        <v>17665.8</v>
      </c>
      <c r="H930" s="129">
        <f t="shared" si="35"/>
        <v>7.2037606652430863E-3</v>
      </c>
    </row>
    <row r="931" spans="2:8" x14ac:dyDescent="0.3">
      <c r="B931" s="269">
        <v>44806</v>
      </c>
      <c r="C931" s="270">
        <v>445.85</v>
      </c>
      <c r="D931" s="129">
        <f t="shared" si="36"/>
        <v>-2.9811772386029833E-2</v>
      </c>
      <c r="E931" s="270">
        <v>32818.080000000002</v>
      </c>
      <c r="F931" s="129">
        <f t="shared" si="36"/>
        <v>1.1348599160180273E-2</v>
      </c>
      <c r="G931" s="270">
        <v>17539.45</v>
      </c>
      <c r="H931" s="129">
        <f t="shared" si="35"/>
        <v>-1.9096153407660577E-4</v>
      </c>
    </row>
    <row r="932" spans="2:8" x14ac:dyDescent="0.3">
      <c r="B932" s="269">
        <v>44805</v>
      </c>
      <c r="C932" s="270">
        <v>459.55</v>
      </c>
      <c r="D932" s="129">
        <f t="shared" si="36"/>
        <v>-2.493104179927863E-2</v>
      </c>
      <c r="E932" s="270">
        <v>32449.82</v>
      </c>
      <c r="F932" s="129">
        <f t="shared" si="36"/>
        <v>6.9834456588997451E-3</v>
      </c>
      <c r="G932" s="270">
        <v>17542.8</v>
      </c>
      <c r="H932" s="129">
        <f t="shared" si="35"/>
        <v>-1.2190795808393329E-2</v>
      </c>
    </row>
    <row r="933" spans="2:8" x14ac:dyDescent="0.3">
      <c r="B933" s="269">
        <v>44803</v>
      </c>
      <c r="C933" s="270">
        <v>471.3</v>
      </c>
      <c r="D933" s="129">
        <f t="shared" si="36"/>
        <v>2.012987012987022E-2</v>
      </c>
      <c r="E933" s="270">
        <v>32224.78</v>
      </c>
      <c r="F933" s="129">
        <f t="shared" si="36"/>
        <v>1.5533594458820188E-2</v>
      </c>
      <c r="G933" s="270">
        <v>17759.3</v>
      </c>
      <c r="H933" s="129">
        <f t="shared" si="35"/>
        <v>2.5784241808131325E-2</v>
      </c>
    </row>
    <row r="934" spans="2:8" x14ac:dyDescent="0.3">
      <c r="B934" s="269">
        <v>44802</v>
      </c>
      <c r="C934" s="270">
        <v>462</v>
      </c>
      <c r="D934" s="129">
        <f t="shared" si="36"/>
        <v>4.8998683075246241E-2</v>
      </c>
      <c r="E934" s="270">
        <v>31731.87</v>
      </c>
      <c r="F934" s="129">
        <f t="shared" si="36"/>
        <v>-6.5374312632041631E-3</v>
      </c>
      <c r="G934" s="270">
        <v>17312.900000000001</v>
      </c>
      <c r="H934" s="129">
        <f t="shared" si="35"/>
        <v>-1.400998923622776E-2</v>
      </c>
    </row>
    <row r="935" spans="2:8" x14ac:dyDescent="0.3">
      <c r="B935" s="269">
        <v>44799</v>
      </c>
      <c r="C935" s="270">
        <v>440.42</v>
      </c>
      <c r="D935" s="129">
        <f t="shared" si="36"/>
        <v>-1.3617021276595698E-2</v>
      </c>
      <c r="E935" s="270">
        <v>31940.68</v>
      </c>
      <c r="F935" s="129">
        <f t="shared" si="36"/>
        <v>1.2509327630772171E-2</v>
      </c>
      <c r="G935" s="270">
        <v>17558.900000000001</v>
      </c>
      <c r="H935" s="129">
        <f t="shared" si="35"/>
        <v>2.0801885581069879E-3</v>
      </c>
    </row>
    <row r="936" spans="2:8" x14ac:dyDescent="0.3">
      <c r="B936" s="269">
        <v>44798</v>
      </c>
      <c r="C936" s="270">
        <v>446.5</v>
      </c>
      <c r="D936" s="129">
        <f t="shared" si="36"/>
        <v>3.265645959572594E-2</v>
      </c>
      <c r="E936" s="270">
        <v>31546.06</v>
      </c>
      <c r="F936" s="129">
        <f t="shared" si="36"/>
        <v>-1.3166538188184029E-3</v>
      </c>
      <c r="G936" s="270">
        <v>17522.45</v>
      </c>
      <c r="H936" s="129">
        <f t="shared" si="35"/>
        <v>-4.6861820113093255E-3</v>
      </c>
    </row>
    <row r="937" spans="2:8" x14ac:dyDescent="0.3">
      <c r="B937" s="269">
        <v>44797</v>
      </c>
      <c r="C937" s="270">
        <v>432.38</v>
      </c>
      <c r="D937" s="129">
        <f t="shared" si="36"/>
        <v>1.5167167543200577E-2</v>
      </c>
      <c r="E937" s="270">
        <v>31587.65</v>
      </c>
      <c r="F937" s="129">
        <f t="shared" si="36"/>
        <v>8.0162239181529316E-3</v>
      </c>
      <c r="G937" s="270">
        <v>17604.95</v>
      </c>
      <c r="H937" s="129">
        <f t="shared" si="35"/>
        <v>1.5616555255297815E-3</v>
      </c>
    </row>
    <row r="938" spans="2:8" x14ac:dyDescent="0.3">
      <c r="B938" s="269">
        <v>44796</v>
      </c>
      <c r="C938" s="270">
        <v>425.92</v>
      </c>
      <c r="D938" s="129">
        <f t="shared" si="36"/>
        <v>-1.3457485002200453E-2</v>
      </c>
      <c r="E938" s="270">
        <v>31336.45</v>
      </c>
      <c r="F938" s="129">
        <f t="shared" si="36"/>
        <v>6.4837874800303119E-3</v>
      </c>
      <c r="G938" s="270">
        <v>17577.5</v>
      </c>
      <c r="H938" s="129">
        <f t="shared" si="35"/>
        <v>4.9626372872439983E-3</v>
      </c>
    </row>
    <row r="939" spans="2:8" x14ac:dyDescent="0.3">
      <c r="B939" s="269">
        <v>44795</v>
      </c>
      <c r="C939" s="270">
        <v>431.73</v>
      </c>
      <c r="D939" s="129">
        <f t="shared" si="36"/>
        <v>3.6731372776939164E-3</v>
      </c>
      <c r="E939" s="270">
        <v>31134.58</v>
      </c>
      <c r="F939" s="129">
        <f t="shared" si="36"/>
        <v>-1.1497077471608108E-2</v>
      </c>
      <c r="G939" s="270">
        <v>17490.7</v>
      </c>
      <c r="H939" s="129">
        <f t="shared" si="35"/>
        <v>-1.5077329384039717E-2</v>
      </c>
    </row>
    <row r="940" spans="2:8" x14ac:dyDescent="0.3">
      <c r="B940" s="269">
        <v>44792</v>
      </c>
      <c r="C940" s="270">
        <v>430.15</v>
      </c>
      <c r="D940" s="129">
        <f t="shared" si="36"/>
        <v>4.6466366622065269E-2</v>
      </c>
      <c r="E940" s="270">
        <v>31496.7</v>
      </c>
      <c r="F940" s="129">
        <f t="shared" si="36"/>
        <v>3.1540556990377056E-3</v>
      </c>
      <c r="G940" s="270">
        <v>17758.45</v>
      </c>
      <c r="H940" s="129">
        <f t="shared" si="35"/>
        <v>-1.1029432239022086E-2</v>
      </c>
    </row>
    <row r="941" spans="2:8" x14ac:dyDescent="0.3">
      <c r="B941" s="269">
        <v>44791</v>
      </c>
      <c r="C941" s="270">
        <v>411.05</v>
      </c>
      <c r="D941" s="129">
        <f t="shared" si="36"/>
        <v>7.2989148946600579E-5</v>
      </c>
      <c r="E941" s="270">
        <v>31397.67</v>
      </c>
      <c r="F941" s="129">
        <f t="shared" si="36"/>
        <v>9.0726865854398042E-3</v>
      </c>
      <c r="G941" s="270">
        <v>17956.5</v>
      </c>
      <c r="H941" s="129">
        <f t="shared" si="35"/>
        <v>6.826699360520383E-4</v>
      </c>
    </row>
    <row r="942" spans="2:8" x14ac:dyDescent="0.3">
      <c r="B942" s="269">
        <v>44790</v>
      </c>
      <c r="C942" s="270">
        <v>411.02</v>
      </c>
      <c r="D942" s="129">
        <f t="shared" si="36"/>
        <v>-1.2878143603450853E-3</v>
      </c>
      <c r="E942" s="270">
        <v>31115.37</v>
      </c>
      <c r="F942" s="129">
        <f t="shared" si="36"/>
        <v>-6.2983820770079468E-4</v>
      </c>
      <c r="G942" s="270">
        <v>17944.25</v>
      </c>
      <c r="H942" s="129">
        <f t="shared" si="35"/>
        <v>6.6759231988331447E-3</v>
      </c>
    </row>
    <row r="943" spans="2:8" x14ac:dyDescent="0.3">
      <c r="B943" s="269">
        <v>44789</v>
      </c>
      <c r="C943" s="270">
        <v>411.55</v>
      </c>
      <c r="D943" s="129">
        <f t="shared" si="36"/>
        <v>-1.8600214617860988E-2</v>
      </c>
      <c r="E943" s="270">
        <v>31134.98</v>
      </c>
      <c r="F943" s="129">
        <f t="shared" si="36"/>
        <v>6.1695181015295475E-3</v>
      </c>
      <c r="G943" s="270">
        <v>17825.25</v>
      </c>
      <c r="H943" s="129">
        <f t="shared" si="35"/>
        <v>7.1815415735541066E-3</v>
      </c>
    </row>
    <row r="944" spans="2:8" x14ac:dyDescent="0.3">
      <c r="B944" s="269">
        <v>44785</v>
      </c>
      <c r="C944" s="270">
        <v>419.35</v>
      </c>
      <c r="D944" s="129">
        <f t="shared" si="36"/>
        <v>2.5556370750794866E-2</v>
      </c>
      <c r="E944" s="270">
        <v>30944.07</v>
      </c>
      <c r="F944" s="129">
        <f t="shared" si="36"/>
        <v>-1.2651989283248843E-3</v>
      </c>
      <c r="G944" s="270">
        <v>17698.150000000001</v>
      </c>
      <c r="H944" s="129">
        <f t="shared" si="35"/>
        <v>2.2169998301151406E-3</v>
      </c>
    </row>
    <row r="945" spans="2:8" x14ac:dyDescent="0.3">
      <c r="B945" s="269">
        <v>44784</v>
      </c>
      <c r="C945" s="270">
        <v>408.9</v>
      </c>
      <c r="D945" s="129">
        <f t="shared" si="36"/>
        <v>9.679490345202213E-3</v>
      </c>
      <c r="E945" s="270">
        <v>30983.27</v>
      </c>
      <c r="F945" s="129">
        <f t="shared" si="36"/>
        <v>9.7862008278200019E-3</v>
      </c>
      <c r="G945" s="270">
        <v>17659</v>
      </c>
      <c r="H945" s="129">
        <f t="shared" si="35"/>
        <v>7.0859293688247948E-3</v>
      </c>
    </row>
    <row r="946" spans="2:8" x14ac:dyDescent="0.3">
      <c r="B946" s="269">
        <v>44783</v>
      </c>
      <c r="C946" s="270">
        <v>404.98</v>
      </c>
      <c r="D946" s="129">
        <f t="shared" si="36"/>
        <v>-5.2456715021057421E-2</v>
      </c>
      <c r="E946" s="270">
        <v>30683</v>
      </c>
      <c r="F946" s="129">
        <f t="shared" si="36"/>
        <v>1.292809606954326E-2</v>
      </c>
      <c r="G946" s="270">
        <v>17534.75</v>
      </c>
      <c r="H946" s="129">
        <f t="shared" si="35"/>
        <v>5.5063879806693805E-4</v>
      </c>
    </row>
    <row r="947" spans="2:8" x14ac:dyDescent="0.3">
      <c r="B947" s="269">
        <v>44781</v>
      </c>
      <c r="C947" s="270">
        <v>427.4</v>
      </c>
      <c r="D947" s="129">
        <f t="shared" si="36"/>
        <v>4.9376910416176756E-3</v>
      </c>
      <c r="E947" s="270">
        <v>30291.39</v>
      </c>
      <c r="F947" s="129">
        <f t="shared" si="36"/>
        <v>1.9955735480944758E-2</v>
      </c>
      <c r="G947" s="270">
        <v>17525.099999999999</v>
      </c>
      <c r="H947" s="129">
        <f t="shared" si="35"/>
        <v>7.3343871245867831E-3</v>
      </c>
    </row>
    <row r="948" spans="2:8" x14ac:dyDescent="0.3">
      <c r="B948" s="269">
        <v>44778</v>
      </c>
      <c r="C948" s="270">
        <v>425.3</v>
      </c>
      <c r="D948" s="129">
        <f t="shared" si="36"/>
        <v>1.7829364604523112E-2</v>
      </c>
      <c r="E948" s="270">
        <v>29698.73</v>
      </c>
      <c r="F948" s="129">
        <f t="shared" si="36"/>
        <v>-1.4709600544406953E-3</v>
      </c>
      <c r="G948" s="270">
        <v>17397.5</v>
      </c>
      <c r="H948" s="129">
        <f t="shared" si="35"/>
        <v>8.9172707398454953E-4</v>
      </c>
    </row>
    <row r="949" spans="2:8" x14ac:dyDescent="0.3">
      <c r="B949" s="269">
        <v>44777</v>
      </c>
      <c r="C949" s="270">
        <v>417.85</v>
      </c>
      <c r="D949" s="129">
        <f t="shared" si="36"/>
        <v>-1.3806938871843255E-2</v>
      </c>
      <c r="E949" s="270">
        <v>29742.48</v>
      </c>
      <c r="F949" s="129">
        <f t="shared" si="36"/>
        <v>-2.2014150516134201E-3</v>
      </c>
      <c r="G949" s="270">
        <v>17382</v>
      </c>
      <c r="H949" s="129">
        <f t="shared" si="35"/>
        <v>-3.5368915036970705E-4</v>
      </c>
    </row>
    <row r="950" spans="2:8" x14ac:dyDescent="0.3">
      <c r="B950" s="269">
        <v>44776</v>
      </c>
      <c r="C950" s="270">
        <v>423.7</v>
      </c>
      <c r="D950" s="129">
        <f t="shared" si="36"/>
        <v>4.7225501770964406E-4</v>
      </c>
      <c r="E950" s="270">
        <v>29808.1</v>
      </c>
      <c r="F950" s="129">
        <f t="shared" si="36"/>
        <v>-8.1525672384655801E-3</v>
      </c>
      <c r="G950" s="270">
        <v>17388.150000000001</v>
      </c>
      <c r="H950" s="129">
        <f t="shared" si="35"/>
        <v>2.4617406870390823E-3</v>
      </c>
    </row>
    <row r="951" spans="2:8" x14ac:dyDescent="0.3">
      <c r="B951" s="269">
        <v>44775</v>
      </c>
      <c r="C951" s="270">
        <v>423.5</v>
      </c>
      <c r="D951" s="129">
        <f t="shared" si="36"/>
        <v>-1.4428671165929718E-2</v>
      </c>
      <c r="E951" s="270">
        <v>30053.11</v>
      </c>
      <c r="F951" s="129">
        <f t="shared" si="36"/>
        <v>-3.8908867933908908E-3</v>
      </c>
      <c r="G951" s="270">
        <v>17345.45</v>
      </c>
      <c r="H951" s="129">
        <f t="shared" si="35"/>
        <v>3.1141778714594004E-4</v>
      </c>
    </row>
    <row r="952" spans="2:8" x14ac:dyDescent="0.3">
      <c r="B952" s="269">
        <v>44774</v>
      </c>
      <c r="C952" s="270">
        <v>429.7</v>
      </c>
      <c r="D952" s="129">
        <f t="shared" si="36"/>
        <v>-1.0432259401699673E-2</v>
      </c>
      <c r="E952" s="270">
        <v>30170.5</v>
      </c>
      <c r="F952" s="129">
        <f t="shared" si="36"/>
        <v>1.5251742589996509E-2</v>
      </c>
      <c r="G952" s="270">
        <v>17340.05</v>
      </c>
      <c r="H952" s="129">
        <f t="shared" si="35"/>
        <v>1.0595486136406596E-2</v>
      </c>
    </row>
    <row r="953" spans="2:8" x14ac:dyDescent="0.3">
      <c r="B953" s="269">
        <v>44771</v>
      </c>
      <c r="C953" s="270">
        <v>434.23</v>
      </c>
      <c r="D953" s="129">
        <f t="shared" si="36"/>
        <v>2.6839765418085637E-2</v>
      </c>
      <c r="E953" s="270">
        <v>29717.26</v>
      </c>
      <c r="F953" s="129">
        <f t="shared" si="36"/>
        <v>8.633914946535981E-3</v>
      </c>
      <c r="G953" s="270">
        <v>17158.25</v>
      </c>
      <c r="H953" s="129">
        <f t="shared" si="35"/>
        <v>1.3505930441357172E-2</v>
      </c>
    </row>
    <row r="954" spans="2:8" x14ac:dyDescent="0.3">
      <c r="B954" s="269">
        <v>44770</v>
      </c>
      <c r="C954" s="270">
        <v>422.88</v>
      </c>
      <c r="D954" s="129">
        <f t="shared" si="36"/>
        <v>-9.1149799657894714E-3</v>
      </c>
      <c r="E954" s="270">
        <v>29462.880000000001</v>
      </c>
      <c r="F954" s="129">
        <f t="shared" si="36"/>
        <v>6.5883066780914046E-3</v>
      </c>
      <c r="G954" s="270">
        <v>16929.599999999999</v>
      </c>
      <c r="H954" s="129">
        <f t="shared" si="35"/>
        <v>1.7293802353110843E-2</v>
      </c>
    </row>
    <row r="955" spans="2:8" x14ac:dyDescent="0.3">
      <c r="B955" s="269">
        <v>44769</v>
      </c>
      <c r="C955" s="270">
        <v>426.77</v>
      </c>
      <c r="D955" s="129">
        <f t="shared" si="36"/>
        <v>-7.2345770912812801E-3</v>
      </c>
      <c r="E955" s="270">
        <v>29270.04</v>
      </c>
      <c r="F955" s="129">
        <f t="shared" si="36"/>
        <v>1.6836312853043545E-2</v>
      </c>
      <c r="G955" s="270">
        <v>16641.8</v>
      </c>
      <c r="H955" s="129">
        <f t="shared" si="35"/>
        <v>9.5821061220529025E-3</v>
      </c>
    </row>
    <row r="956" spans="2:8" x14ac:dyDescent="0.3">
      <c r="B956" s="269">
        <v>44768</v>
      </c>
      <c r="C956" s="270">
        <v>429.88</v>
      </c>
      <c r="D956" s="129">
        <f t="shared" si="36"/>
        <v>-2.0662945665793409E-2</v>
      </c>
      <c r="E956" s="270">
        <v>28785.4</v>
      </c>
      <c r="F956" s="129">
        <f t="shared" si="36"/>
        <v>-1.2797275584691237E-2</v>
      </c>
      <c r="G956" s="270">
        <v>16483.849999999999</v>
      </c>
      <c r="H956" s="129">
        <f t="shared" si="35"/>
        <v>-8.8479345800013265E-3</v>
      </c>
    </row>
    <row r="957" spans="2:8" x14ac:dyDescent="0.3">
      <c r="B957" s="269">
        <v>44767</v>
      </c>
      <c r="C957" s="270">
        <v>438.95</v>
      </c>
      <c r="D957" s="129">
        <f t="shared" si="36"/>
        <v>2.6423477142523133E-2</v>
      </c>
      <c r="E957" s="270">
        <v>29158.55</v>
      </c>
      <c r="F957" s="129">
        <f t="shared" si="36"/>
        <v>5.1424763791836359E-3</v>
      </c>
      <c r="G957" s="270">
        <v>16631</v>
      </c>
      <c r="H957" s="129">
        <f t="shared" si="35"/>
        <v>-5.2902457915781076E-3</v>
      </c>
    </row>
    <row r="958" spans="2:8" x14ac:dyDescent="0.3">
      <c r="B958" s="269">
        <v>44764</v>
      </c>
      <c r="C958" s="270">
        <v>427.65</v>
      </c>
      <c r="D958" s="129">
        <f t="shared" si="36"/>
        <v>8.1329561527581085E-3</v>
      </c>
      <c r="E958" s="270">
        <v>29009.37</v>
      </c>
      <c r="F958" s="129">
        <f t="shared" si="36"/>
        <v>-1.5406440512533148E-4</v>
      </c>
      <c r="G958" s="270">
        <v>16719.45</v>
      </c>
      <c r="H958" s="129">
        <f t="shared" si="35"/>
        <v>6.8773430089881238E-3</v>
      </c>
    </row>
    <row r="959" spans="2:8" x14ac:dyDescent="0.3">
      <c r="B959" s="269">
        <v>44763</v>
      </c>
      <c r="C959" s="270">
        <v>424.2</v>
      </c>
      <c r="D959" s="129">
        <f t="shared" si="36"/>
        <v>1.3063310486471025E-2</v>
      </c>
      <c r="E959" s="270">
        <v>29013.84</v>
      </c>
      <c r="F959" s="129">
        <f t="shared" si="36"/>
        <v>2.082977092951821E-2</v>
      </c>
      <c r="G959" s="270">
        <v>16605.25</v>
      </c>
      <c r="H959" s="129">
        <f t="shared" si="35"/>
        <v>5.1086959811390553E-3</v>
      </c>
    </row>
    <row r="960" spans="2:8" x14ac:dyDescent="0.3">
      <c r="B960" s="269">
        <v>44762</v>
      </c>
      <c r="C960" s="270">
        <v>418.73</v>
      </c>
      <c r="D960" s="129">
        <f t="shared" si="36"/>
        <v>1.0692734733285025E-2</v>
      </c>
      <c r="E960" s="270">
        <v>28421.82</v>
      </c>
      <c r="F960" s="129">
        <f t="shared" si="36"/>
        <v>4.2336230655077856E-3</v>
      </c>
      <c r="G960" s="270">
        <v>16520.849999999999</v>
      </c>
      <c r="H960" s="129">
        <f t="shared" si="35"/>
        <v>1.1033900327712232E-2</v>
      </c>
    </row>
    <row r="961" spans="2:8" x14ac:dyDescent="0.3">
      <c r="B961" s="269">
        <v>44761</v>
      </c>
      <c r="C961" s="270">
        <v>414.3</v>
      </c>
      <c r="D961" s="129">
        <f t="shared" si="36"/>
        <v>-8.6145010768126085E-3</v>
      </c>
      <c r="E961" s="270">
        <v>28302</v>
      </c>
      <c r="F961" s="129">
        <f t="shared" si="36"/>
        <v>4.4893597311992384E-3</v>
      </c>
      <c r="G961" s="270">
        <v>16340.55</v>
      </c>
      <c r="H961" s="129">
        <f t="shared" si="35"/>
        <v>3.8117762693121726E-3</v>
      </c>
    </row>
    <row r="962" spans="2:8" x14ac:dyDescent="0.3">
      <c r="B962" s="269">
        <v>44760</v>
      </c>
      <c r="C962" s="270">
        <v>417.9</v>
      </c>
      <c r="D962" s="129">
        <f t="shared" si="36"/>
        <v>3.5687732342007283E-2</v>
      </c>
      <c r="E962" s="270">
        <v>28175.51</v>
      </c>
      <c r="F962" s="129">
        <f t="shared" si="36"/>
        <v>1.9564795743344243E-2</v>
      </c>
      <c r="G962" s="270">
        <v>16278.5</v>
      </c>
      <c r="H962" s="129">
        <f t="shared" si="35"/>
        <v>1.4287316501756964E-2</v>
      </c>
    </row>
    <row r="963" spans="2:8" x14ac:dyDescent="0.3">
      <c r="B963" s="269">
        <v>44757</v>
      </c>
      <c r="C963" s="270">
        <v>403.5</v>
      </c>
      <c r="D963" s="129">
        <f t="shared" si="36"/>
        <v>6.5712323701864639E-2</v>
      </c>
      <c r="E963" s="270">
        <v>27634.84</v>
      </c>
      <c r="F963" s="129">
        <f t="shared" si="36"/>
        <v>1.474742979346555E-2</v>
      </c>
      <c r="G963" s="270">
        <v>16049.2</v>
      </c>
      <c r="H963" s="129">
        <f t="shared" si="35"/>
        <v>6.9359701103921534E-3</v>
      </c>
    </row>
    <row r="964" spans="2:8" x14ac:dyDescent="0.3">
      <c r="B964" s="269">
        <v>44756</v>
      </c>
      <c r="C964" s="270">
        <v>378.62</v>
      </c>
      <c r="D964" s="129">
        <f t="shared" si="36"/>
        <v>-1.3573717531198626E-2</v>
      </c>
      <c r="E964" s="270">
        <v>27233.22</v>
      </c>
      <c r="F964" s="129">
        <f t="shared" si="36"/>
        <v>3.2133659520245939E-3</v>
      </c>
      <c r="G964" s="270">
        <v>15938.65</v>
      </c>
      <c r="H964" s="129">
        <f t="shared" si="35"/>
        <v>-1.7536552752143164E-3</v>
      </c>
    </row>
    <row r="965" spans="2:8" x14ac:dyDescent="0.3">
      <c r="B965" s="269">
        <v>44755</v>
      </c>
      <c r="C965" s="270">
        <v>383.83</v>
      </c>
      <c r="D965" s="129">
        <f t="shared" si="36"/>
        <v>-2.3393028877395361E-3</v>
      </c>
      <c r="E965" s="270">
        <v>27145.99</v>
      </c>
      <c r="F965" s="129">
        <f t="shared" si="36"/>
        <v>-2.9174940184576448E-3</v>
      </c>
      <c r="G965" s="270">
        <v>15966.65</v>
      </c>
      <c r="H965" s="129">
        <f t="shared" si="35"/>
        <v>-5.7073289202468347E-3</v>
      </c>
    </row>
    <row r="966" spans="2:8" x14ac:dyDescent="0.3">
      <c r="B966" s="269">
        <v>44754</v>
      </c>
      <c r="C966" s="270">
        <v>384.73</v>
      </c>
      <c r="D966" s="129">
        <f t="shared" si="36"/>
        <v>-6.4561113550086757E-3</v>
      </c>
      <c r="E966" s="270">
        <v>27225.42</v>
      </c>
      <c r="F966" s="129">
        <f t="shared" si="36"/>
        <v>-9.1430393235855112E-3</v>
      </c>
      <c r="G966" s="270">
        <v>16058.3</v>
      </c>
      <c r="H966" s="129">
        <f t="shared" si="35"/>
        <v>-9.7249629995067588E-3</v>
      </c>
    </row>
    <row r="967" spans="2:8" x14ac:dyDescent="0.3">
      <c r="B967" s="269">
        <v>44753</v>
      </c>
      <c r="C967" s="270">
        <v>387.23</v>
      </c>
      <c r="D967" s="129">
        <f t="shared" si="36"/>
        <v>-1.7382257409662927E-2</v>
      </c>
      <c r="E967" s="270">
        <v>27476.639999999999</v>
      </c>
      <c r="F967" s="129">
        <f t="shared" si="36"/>
        <v>-3.7660652395477001E-3</v>
      </c>
      <c r="G967" s="270">
        <v>16216</v>
      </c>
      <c r="H967" s="129">
        <f t="shared" si="35"/>
        <v>-2.8359000283595392E-4</v>
      </c>
    </row>
    <row r="968" spans="2:8" x14ac:dyDescent="0.3">
      <c r="B968" s="269">
        <v>44750</v>
      </c>
      <c r="C968" s="270">
        <v>394.08</v>
      </c>
      <c r="D968" s="129">
        <f t="shared" si="36"/>
        <v>1.3580246913580174E-2</v>
      </c>
      <c r="E968" s="270">
        <v>27580.51</v>
      </c>
      <c r="F968" s="129">
        <f t="shared" si="36"/>
        <v>2.2281090225201527E-2</v>
      </c>
      <c r="G968" s="270">
        <v>16220.6</v>
      </c>
      <c r="H968" s="129">
        <f t="shared" si="35"/>
        <v>5.4360964240776077E-3</v>
      </c>
    </row>
    <row r="969" spans="2:8" x14ac:dyDescent="0.3">
      <c r="B969" s="269">
        <v>44749</v>
      </c>
      <c r="C969" s="270">
        <v>388.8</v>
      </c>
      <c r="D969" s="129">
        <f t="shared" si="36"/>
        <v>1.8067556952081842E-2</v>
      </c>
      <c r="E969" s="270">
        <v>26979.38</v>
      </c>
      <c r="F969" s="129">
        <f t="shared" si="36"/>
        <v>2.0112714080185334E-2</v>
      </c>
      <c r="G969" s="270">
        <v>16132.9</v>
      </c>
      <c r="H969" s="129">
        <f t="shared" si="35"/>
        <v>8.9494552777396041E-3</v>
      </c>
    </row>
    <row r="970" spans="2:8" x14ac:dyDescent="0.3">
      <c r="B970" s="269">
        <v>44748</v>
      </c>
      <c r="C970" s="270">
        <v>381.9</v>
      </c>
      <c r="D970" s="129">
        <f t="shared" si="36"/>
        <v>3.7321278385196166E-3</v>
      </c>
      <c r="E970" s="270">
        <v>26447.45</v>
      </c>
      <c r="F970" s="129">
        <f t="shared" si="36"/>
        <v>7.8447990384729049E-3</v>
      </c>
      <c r="G970" s="270">
        <v>15989.8</v>
      </c>
      <c r="H970" s="129">
        <f t="shared" ref="H970:H1033" si="37">G970/G971-1</f>
        <v>1.1318177074603808E-2</v>
      </c>
    </row>
    <row r="971" spans="2:8" x14ac:dyDescent="0.3">
      <c r="B971" s="269">
        <v>44747</v>
      </c>
      <c r="C971" s="270">
        <v>380.48</v>
      </c>
      <c r="D971" s="129">
        <f t="shared" si="36"/>
        <v>-1.4045089401399258E-2</v>
      </c>
      <c r="E971" s="270">
        <v>26241.59</v>
      </c>
      <c r="F971" s="129">
        <f t="shared" si="36"/>
        <v>-1.4714466295233652E-3</v>
      </c>
      <c r="G971" s="270">
        <v>15810.85</v>
      </c>
      <c r="H971" s="129">
        <f t="shared" si="37"/>
        <v>-1.5471713602793757E-3</v>
      </c>
    </row>
    <row r="972" spans="2:8" x14ac:dyDescent="0.3">
      <c r="B972" s="269">
        <v>44746</v>
      </c>
      <c r="C972" s="270">
        <v>385.9</v>
      </c>
      <c r="D972" s="129">
        <f t="shared" si="36"/>
        <v>1.6864295125164741E-2</v>
      </c>
      <c r="E972" s="270">
        <v>26280.26</v>
      </c>
      <c r="F972" s="129">
        <f t="shared" si="36"/>
        <v>9.7275606791078495E-3</v>
      </c>
      <c r="G972" s="270">
        <v>15835.35</v>
      </c>
      <c r="H972" s="129">
        <f t="shared" si="37"/>
        <v>5.2882005834162804E-3</v>
      </c>
    </row>
    <row r="973" spans="2:8" x14ac:dyDescent="0.3">
      <c r="B973" s="269">
        <v>44743</v>
      </c>
      <c r="C973" s="270">
        <v>379.5</v>
      </c>
      <c r="D973" s="129">
        <f t="shared" si="36"/>
        <v>1.5520470966015498E-2</v>
      </c>
      <c r="E973" s="270">
        <v>26027.08</v>
      </c>
      <c r="F973" s="129">
        <f t="shared" si="36"/>
        <v>6.0709688574744902E-5</v>
      </c>
      <c r="G973" s="270">
        <v>15752.05</v>
      </c>
      <c r="H973" s="129">
        <f t="shared" si="37"/>
        <v>-1.7870439314966458E-3</v>
      </c>
    </row>
    <row r="974" spans="2:8" x14ac:dyDescent="0.3">
      <c r="B974" s="269">
        <v>44742</v>
      </c>
      <c r="C974" s="270">
        <v>373.7</v>
      </c>
      <c r="D974" s="129">
        <f t="shared" si="36"/>
        <v>1.8034215974719325E-2</v>
      </c>
      <c r="E974" s="270">
        <v>26025.5</v>
      </c>
      <c r="F974" s="129">
        <f t="shared" si="36"/>
        <v>1.8057177083128373E-3</v>
      </c>
      <c r="G974" s="270">
        <v>15780.25</v>
      </c>
      <c r="H974" s="129">
        <f t="shared" si="37"/>
        <v>-1.193105936414085E-3</v>
      </c>
    </row>
    <row r="975" spans="2:8" x14ac:dyDescent="0.3">
      <c r="B975" s="269">
        <v>44741</v>
      </c>
      <c r="C975" s="270">
        <v>367.08</v>
      </c>
      <c r="D975" s="129">
        <f t="shared" si="36"/>
        <v>1.6504209127159886E-2</v>
      </c>
      <c r="E975" s="270">
        <v>25978.59</v>
      </c>
      <c r="F975" s="129">
        <f t="shared" si="36"/>
        <v>-3.3629693569270369E-3</v>
      </c>
      <c r="G975" s="270">
        <v>15799.1</v>
      </c>
      <c r="H975" s="129">
        <f t="shared" si="37"/>
        <v>-3.2239340828507101E-3</v>
      </c>
    </row>
    <row r="976" spans="2:8" x14ac:dyDescent="0.3">
      <c r="B976" s="269">
        <v>44740</v>
      </c>
      <c r="C976" s="270">
        <v>361.12</v>
      </c>
      <c r="D976" s="129">
        <f t="shared" si="36"/>
        <v>4.5572992066709173E-2</v>
      </c>
      <c r="E976" s="270">
        <v>26066.25</v>
      </c>
      <c r="F976" s="129">
        <f t="shared" si="36"/>
        <v>4.7368575234665311E-3</v>
      </c>
      <c r="G976" s="270">
        <v>15850.2</v>
      </c>
      <c r="H976" s="129">
        <f t="shared" si="37"/>
        <v>1.1464087089165798E-3</v>
      </c>
    </row>
    <row r="977" spans="2:8" x14ac:dyDescent="0.3">
      <c r="B977" s="269">
        <v>44739</v>
      </c>
      <c r="C977" s="270">
        <v>345.38</v>
      </c>
      <c r="D977" s="129">
        <f t="shared" si="36"/>
        <v>1.1361639824304604E-2</v>
      </c>
      <c r="E977" s="270">
        <v>25943.360000000001</v>
      </c>
      <c r="F977" s="129">
        <f t="shared" si="36"/>
        <v>2.2648292390653246E-2</v>
      </c>
      <c r="G977" s="270">
        <v>15832.05</v>
      </c>
      <c r="H977" s="129">
        <f t="shared" si="37"/>
        <v>8.4590028186060096E-3</v>
      </c>
    </row>
    <row r="978" spans="2:8" x14ac:dyDescent="0.3">
      <c r="B978" s="269">
        <v>44736</v>
      </c>
      <c r="C978" s="270">
        <v>341.5</v>
      </c>
      <c r="D978" s="129">
        <f t="shared" si="36"/>
        <v>-1.1115011115010454E-3</v>
      </c>
      <c r="E978" s="270">
        <v>25368.799999999999</v>
      </c>
      <c r="F978" s="129">
        <f t="shared" si="36"/>
        <v>6.7703248644743752E-3</v>
      </c>
      <c r="G978" s="270">
        <v>15699.25</v>
      </c>
      <c r="H978" s="129">
        <f t="shared" si="37"/>
        <v>9.1664979285386305E-3</v>
      </c>
    </row>
    <row r="979" spans="2:8" x14ac:dyDescent="0.3">
      <c r="B979" s="269">
        <v>44735</v>
      </c>
      <c r="C979" s="270">
        <v>341.88</v>
      </c>
      <c r="D979" s="129">
        <f t="shared" ref="D979:F1042" si="38">C979/C980-1</f>
        <v>2.2368421052631593E-2</v>
      </c>
      <c r="E979" s="270">
        <v>25198.2</v>
      </c>
      <c r="F979" s="129">
        <f t="shared" si="38"/>
        <v>1.2803636707108046E-2</v>
      </c>
      <c r="G979" s="270">
        <v>15556.65</v>
      </c>
      <c r="H979" s="129">
        <f t="shared" si="37"/>
        <v>9.300409386698627E-3</v>
      </c>
    </row>
    <row r="980" spans="2:8" x14ac:dyDescent="0.3">
      <c r="B980" s="269">
        <v>44734</v>
      </c>
      <c r="C980" s="270">
        <v>334.4</v>
      </c>
      <c r="D980" s="129">
        <f t="shared" si="38"/>
        <v>4.9586776859502635E-3</v>
      </c>
      <c r="E980" s="270">
        <v>24879.65</v>
      </c>
      <c r="F980" s="129">
        <f t="shared" si="38"/>
        <v>-1.4359728897572643E-2</v>
      </c>
      <c r="G980" s="270">
        <v>15413.3</v>
      </c>
      <c r="H980" s="129">
        <f t="shared" si="37"/>
        <v>-1.4419264905235707E-2</v>
      </c>
    </row>
    <row r="981" spans="2:8" x14ac:dyDescent="0.3">
      <c r="B981" s="269">
        <v>44733</v>
      </c>
      <c r="C981" s="270">
        <v>332.75</v>
      </c>
      <c r="D981" s="129">
        <f t="shared" si="38"/>
        <v>4.4413057124921496E-2</v>
      </c>
      <c r="E981" s="270">
        <v>25242.12</v>
      </c>
      <c r="F981" s="129">
        <f t="shared" si="38"/>
        <v>2.2375340628149054E-2</v>
      </c>
      <c r="G981" s="270">
        <v>15638.8</v>
      </c>
      <c r="H981" s="129">
        <f t="shared" si="37"/>
        <v>1.8804376504464093E-2</v>
      </c>
    </row>
    <row r="982" spans="2:8" x14ac:dyDescent="0.3">
      <c r="B982" s="269">
        <v>44732</v>
      </c>
      <c r="C982" s="270">
        <v>318.60000000000002</v>
      </c>
      <c r="D982" s="129">
        <f t="shared" si="38"/>
        <v>-4.2092603728202005E-2</v>
      </c>
      <c r="E982" s="270">
        <v>24689.68</v>
      </c>
      <c r="F982" s="129">
        <f t="shared" si="38"/>
        <v>-2.1441373313262457E-2</v>
      </c>
      <c r="G982" s="270">
        <v>15350.15</v>
      </c>
      <c r="H982" s="129">
        <f t="shared" si="37"/>
        <v>3.7041880537482808E-3</v>
      </c>
    </row>
    <row r="983" spans="2:8" x14ac:dyDescent="0.3">
      <c r="B983" s="269">
        <v>44729</v>
      </c>
      <c r="C983" s="270">
        <v>332.6</v>
      </c>
      <c r="D983" s="129">
        <f t="shared" si="38"/>
        <v>1.4643075045759568E-2</v>
      </c>
      <c r="E983" s="270">
        <v>25230.66</v>
      </c>
      <c r="F983" s="129">
        <f t="shared" si="38"/>
        <v>-1.1534150542976018E-2</v>
      </c>
      <c r="G983" s="270">
        <v>15293.5</v>
      </c>
      <c r="H983" s="129">
        <f t="shared" si="37"/>
        <v>-4.3683189458745275E-3</v>
      </c>
    </row>
    <row r="984" spans="2:8" x14ac:dyDescent="0.3">
      <c r="B984" s="269">
        <v>44728</v>
      </c>
      <c r="C984" s="270">
        <v>327.8</v>
      </c>
      <c r="D984" s="129">
        <f t="shared" si="38"/>
        <v>4.1353959258692008E-3</v>
      </c>
      <c r="E984" s="270">
        <v>25525.07</v>
      </c>
      <c r="F984" s="129">
        <f t="shared" si="38"/>
        <v>-2.3296561171505248E-2</v>
      </c>
      <c r="G984" s="270">
        <v>15360.6</v>
      </c>
      <c r="H984" s="129">
        <f t="shared" si="37"/>
        <v>-2.1128398594201458E-2</v>
      </c>
    </row>
    <row r="985" spans="2:8" x14ac:dyDescent="0.3">
      <c r="B985" s="269">
        <v>44727</v>
      </c>
      <c r="C985" s="270">
        <v>326.45</v>
      </c>
      <c r="D985" s="129">
        <f t="shared" si="38"/>
        <v>3.2416192283365008E-2</v>
      </c>
      <c r="E985" s="270">
        <v>26133.9</v>
      </c>
      <c r="F985" s="129">
        <f t="shared" si="38"/>
        <v>5.7085550590405543E-3</v>
      </c>
      <c r="G985" s="270">
        <v>15692.15</v>
      </c>
      <c r="H985" s="129">
        <f t="shared" si="37"/>
        <v>-2.5393939779178032E-3</v>
      </c>
    </row>
    <row r="986" spans="2:8" x14ac:dyDescent="0.3">
      <c r="B986" s="269">
        <v>44726</v>
      </c>
      <c r="C986" s="270">
        <v>316.2</v>
      </c>
      <c r="D986" s="129">
        <f t="shared" si="38"/>
        <v>1.9440951736144685E-2</v>
      </c>
      <c r="E986" s="270">
        <v>25985.56</v>
      </c>
      <c r="F986" s="129">
        <f t="shared" si="38"/>
        <v>5.1212308282624353E-3</v>
      </c>
      <c r="G986" s="270">
        <v>15732.1</v>
      </c>
      <c r="H986" s="129">
        <f t="shared" si="37"/>
        <v>-2.6815599959427727E-3</v>
      </c>
    </row>
    <row r="987" spans="2:8" x14ac:dyDescent="0.3">
      <c r="B987" s="269">
        <v>44725</v>
      </c>
      <c r="C987" s="270">
        <v>310.17</v>
      </c>
      <c r="D987" s="129">
        <f t="shared" si="38"/>
        <v>-6.3779052218533083E-2</v>
      </c>
      <c r="E987" s="270">
        <v>25853.16</v>
      </c>
      <c r="F987" s="129">
        <f t="shared" si="38"/>
        <v>-2.7960850973593576E-2</v>
      </c>
      <c r="G987" s="270">
        <v>15774.4</v>
      </c>
      <c r="H987" s="129">
        <f t="shared" si="37"/>
        <v>-2.6379784962164643E-2</v>
      </c>
    </row>
    <row r="988" spans="2:8" x14ac:dyDescent="0.3">
      <c r="B988" s="269">
        <v>44722</v>
      </c>
      <c r="C988" s="270">
        <v>331.3</v>
      </c>
      <c r="D988" s="129">
        <f t="shared" si="38"/>
        <v>-1.3312684277928311E-2</v>
      </c>
      <c r="E988" s="270">
        <v>26596.83</v>
      </c>
      <c r="F988" s="129">
        <f t="shared" si="38"/>
        <v>-3.7338213871399573E-3</v>
      </c>
      <c r="G988" s="270">
        <v>16201.8</v>
      </c>
      <c r="H988" s="129">
        <f t="shared" si="37"/>
        <v>-1.6767709869463077E-2</v>
      </c>
    </row>
    <row r="989" spans="2:8" x14ac:dyDescent="0.3">
      <c r="B989" s="269">
        <v>44721</v>
      </c>
      <c r="C989" s="270">
        <v>335.77</v>
      </c>
      <c r="D989" s="129">
        <f t="shared" si="38"/>
        <v>-4.0245819636987368E-2</v>
      </c>
      <c r="E989" s="270">
        <v>26696.51</v>
      </c>
      <c r="F989" s="129">
        <f t="shared" si="38"/>
        <v>6.7510160275348063E-3</v>
      </c>
      <c r="G989" s="270">
        <v>16478.099999999999</v>
      </c>
      <c r="H989" s="129">
        <f t="shared" si="37"/>
        <v>7.4497516239968586E-3</v>
      </c>
    </row>
    <row r="990" spans="2:8" x14ac:dyDescent="0.3">
      <c r="B990" s="269">
        <v>44720</v>
      </c>
      <c r="C990" s="270">
        <v>349.85</v>
      </c>
      <c r="D990" s="129">
        <f t="shared" si="38"/>
        <v>-3.1503474240788365E-2</v>
      </c>
      <c r="E990" s="270">
        <v>26517.49</v>
      </c>
      <c r="F990" s="129">
        <f t="shared" si="38"/>
        <v>-1.8218851316480489E-3</v>
      </c>
      <c r="G990" s="270">
        <v>16356.25</v>
      </c>
      <c r="H990" s="129">
        <f t="shared" si="37"/>
        <v>-3.6609843235554385E-3</v>
      </c>
    </row>
    <row r="991" spans="2:8" x14ac:dyDescent="0.3">
      <c r="B991" s="269">
        <v>44719</v>
      </c>
      <c r="C991" s="270">
        <v>361.23</v>
      </c>
      <c r="D991" s="129">
        <f t="shared" si="38"/>
        <v>-8.6992316136113024E-3</v>
      </c>
      <c r="E991" s="270">
        <v>26565.89</v>
      </c>
      <c r="F991" s="129">
        <f t="shared" si="38"/>
        <v>-1.5331623642072301E-2</v>
      </c>
      <c r="G991" s="270">
        <v>16416.349999999999</v>
      </c>
      <c r="H991" s="129">
        <f t="shared" si="37"/>
        <v>-9.2458757178076612E-3</v>
      </c>
    </row>
    <row r="992" spans="2:8" x14ac:dyDescent="0.3">
      <c r="B992" s="269">
        <v>44718</v>
      </c>
      <c r="C992" s="270">
        <v>364.4</v>
      </c>
      <c r="D992" s="129">
        <f t="shared" si="38"/>
        <v>-1.6438356164384382E-3</v>
      </c>
      <c r="E992" s="270">
        <v>26979.53</v>
      </c>
      <c r="F992" s="129">
        <f t="shared" si="38"/>
        <v>-5.2661346578986024E-3</v>
      </c>
      <c r="G992" s="270">
        <v>16569.55</v>
      </c>
      <c r="H992" s="129">
        <f t="shared" si="37"/>
        <v>-8.8939539202737006E-4</v>
      </c>
    </row>
    <row r="993" spans="2:8" x14ac:dyDescent="0.3">
      <c r="B993" s="269">
        <v>44715</v>
      </c>
      <c r="C993" s="270">
        <v>365</v>
      </c>
      <c r="D993" s="129">
        <f t="shared" si="38"/>
        <v>-1.3193468151832977E-2</v>
      </c>
      <c r="E993" s="270">
        <v>27122.36</v>
      </c>
      <c r="F993" s="129">
        <f t="shared" si="38"/>
        <v>-4.6339944430233704E-3</v>
      </c>
      <c r="G993" s="270">
        <v>16584.3</v>
      </c>
      <c r="H993" s="129">
        <f t="shared" si="37"/>
        <v>-2.6280971854703017E-3</v>
      </c>
    </row>
    <row r="994" spans="2:8" x14ac:dyDescent="0.3">
      <c r="B994" s="269">
        <v>44714</v>
      </c>
      <c r="C994" s="270">
        <v>369.88</v>
      </c>
      <c r="D994" s="129">
        <f t="shared" si="38"/>
        <v>-9.5595126522961538E-3</v>
      </c>
      <c r="E994" s="270">
        <v>27248.63</v>
      </c>
      <c r="F994" s="129">
        <f t="shared" si="38"/>
        <v>-3.6845415255910563E-3</v>
      </c>
      <c r="G994" s="270">
        <v>16628</v>
      </c>
      <c r="H994" s="129">
        <f t="shared" si="37"/>
        <v>6.3700049931154634E-3</v>
      </c>
    </row>
    <row r="995" spans="2:8" x14ac:dyDescent="0.3">
      <c r="B995" s="269">
        <v>44713</v>
      </c>
      <c r="C995" s="270">
        <v>373.45</v>
      </c>
      <c r="D995" s="129">
        <f t="shared" si="38"/>
        <v>-2.7853702980606521E-2</v>
      </c>
      <c r="E995" s="270">
        <v>27349.4</v>
      </c>
      <c r="F995" s="129">
        <f t="shared" si="38"/>
        <v>7.5447787036833081E-3</v>
      </c>
      <c r="G995" s="270">
        <v>16522.75</v>
      </c>
      <c r="H995" s="129">
        <f t="shared" si="37"/>
        <v>-3.7263597746094446E-3</v>
      </c>
    </row>
    <row r="996" spans="2:8" x14ac:dyDescent="0.3">
      <c r="B996" s="269">
        <v>44712</v>
      </c>
      <c r="C996" s="270">
        <v>384.15</v>
      </c>
      <c r="D996" s="129">
        <f t="shared" si="38"/>
        <v>2.0047796070100876E-2</v>
      </c>
      <c r="E996" s="270">
        <v>27144.6</v>
      </c>
      <c r="F996" s="129">
        <f t="shared" si="38"/>
        <v>5.1266100499329781E-3</v>
      </c>
      <c r="G996" s="270">
        <v>16584.55</v>
      </c>
      <c r="H996" s="129">
        <f t="shared" si="37"/>
        <v>-4.6124575365816822E-3</v>
      </c>
    </row>
    <row r="997" spans="2:8" x14ac:dyDescent="0.3">
      <c r="B997" s="269">
        <v>44711</v>
      </c>
      <c r="C997" s="270">
        <v>376.6</v>
      </c>
      <c r="D997" s="129">
        <f t="shared" si="38"/>
        <v>1.7700310768814953E-2</v>
      </c>
      <c r="E997" s="270">
        <v>27006.15</v>
      </c>
      <c r="F997" s="129">
        <f t="shared" si="38"/>
        <v>2.9187591891238984E-2</v>
      </c>
      <c r="G997" s="270">
        <v>16661.400000000001</v>
      </c>
      <c r="H997" s="129">
        <f t="shared" si="37"/>
        <v>1.8893193374693196E-2</v>
      </c>
    </row>
    <row r="998" spans="2:8" x14ac:dyDescent="0.3">
      <c r="B998" s="269">
        <v>44708</v>
      </c>
      <c r="C998" s="270">
        <v>370.05</v>
      </c>
      <c r="D998" s="129">
        <f t="shared" si="38"/>
        <v>2.153209109730847E-2</v>
      </c>
      <c r="E998" s="270">
        <v>26240.26</v>
      </c>
      <c r="F998" s="129">
        <f t="shared" si="38"/>
        <v>1.6887371151299568E-2</v>
      </c>
      <c r="G998" s="270">
        <v>16352.45</v>
      </c>
      <c r="H998" s="129">
        <f t="shared" si="37"/>
        <v>1.1273859549849607E-2</v>
      </c>
    </row>
    <row r="999" spans="2:8" x14ac:dyDescent="0.3">
      <c r="B999" s="269">
        <v>44707</v>
      </c>
      <c r="C999" s="270">
        <v>362.25</v>
      </c>
      <c r="D999" s="129">
        <f t="shared" si="38"/>
        <v>-2.2794712705691889E-2</v>
      </c>
      <c r="E999" s="270">
        <v>25804.49</v>
      </c>
      <c r="F999" s="129">
        <f t="shared" si="38"/>
        <v>4.256884774505032E-4</v>
      </c>
      <c r="G999" s="270">
        <v>16170.15</v>
      </c>
      <c r="H999" s="129">
        <f t="shared" si="37"/>
        <v>9.0073506470815801E-3</v>
      </c>
    </row>
    <row r="1000" spans="2:8" x14ac:dyDescent="0.3">
      <c r="B1000" s="269">
        <v>44706</v>
      </c>
      <c r="C1000" s="270">
        <v>370.7</v>
      </c>
      <c r="D1000" s="129">
        <f t="shared" si="38"/>
        <v>-4.5325779036827218E-2</v>
      </c>
      <c r="E1000" s="270">
        <v>25793.51</v>
      </c>
      <c r="F1000" s="129">
        <f t="shared" si="38"/>
        <v>-2.4392910015046287E-2</v>
      </c>
      <c r="G1000" s="270">
        <v>16025.8</v>
      </c>
      <c r="H1000" s="129">
        <f t="shared" si="37"/>
        <v>-6.1611829967473941E-3</v>
      </c>
    </row>
    <row r="1001" spans="2:8" x14ac:dyDescent="0.3">
      <c r="B1001" s="269">
        <v>44705</v>
      </c>
      <c r="C1001" s="270">
        <v>388.3</v>
      </c>
      <c r="D1001" s="129">
        <f t="shared" si="38"/>
        <v>-8.1736909323115725E-3</v>
      </c>
      <c r="E1001" s="270">
        <v>26438.42</v>
      </c>
      <c r="F1001" s="129">
        <f t="shared" si="38"/>
        <v>-8.311327831958093E-3</v>
      </c>
      <c r="G1001" s="270">
        <v>16125.15</v>
      </c>
      <c r="H1001" s="129">
        <f t="shared" si="37"/>
        <v>-5.5227663786564518E-3</v>
      </c>
    </row>
    <row r="1002" spans="2:8" x14ac:dyDescent="0.3">
      <c r="B1002" s="269">
        <v>44704</v>
      </c>
      <c r="C1002" s="270">
        <v>391.5</v>
      </c>
      <c r="D1002" s="129">
        <f t="shared" si="38"/>
        <v>-2.2349856411536972E-2</v>
      </c>
      <c r="E1002" s="270">
        <v>26660</v>
      </c>
      <c r="F1002" s="129">
        <f t="shared" si="38"/>
        <v>9.0943397226239675E-3</v>
      </c>
      <c r="G1002" s="270">
        <v>16214.7</v>
      </c>
      <c r="H1002" s="129">
        <f t="shared" si="37"/>
        <v>-3.1630103005320098E-3</v>
      </c>
    </row>
    <row r="1003" spans="2:8" x14ac:dyDescent="0.3">
      <c r="B1003" s="269">
        <v>44701</v>
      </c>
      <c r="C1003" s="270">
        <v>400.45</v>
      </c>
      <c r="D1003" s="129">
        <f t="shared" si="38"/>
        <v>-7.9846295880425799E-4</v>
      </c>
      <c r="E1003" s="270">
        <v>26419.73</v>
      </c>
      <c r="F1003" s="129">
        <f t="shared" si="38"/>
        <v>3.1436491049991133E-2</v>
      </c>
      <c r="G1003" s="270">
        <v>16266.15</v>
      </c>
      <c r="H1003" s="129">
        <f t="shared" si="37"/>
        <v>2.8891039508140759E-2</v>
      </c>
    </row>
    <row r="1004" spans="2:8" x14ac:dyDescent="0.3">
      <c r="B1004" s="269">
        <v>44700</v>
      </c>
      <c r="C1004" s="270">
        <v>400.77</v>
      </c>
      <c r="D1004" s="129">
        <f t="shared" si="38"/>
        <v>-9.2702462177395306E-3</v>
      </c>
      <c r="E1004" s="270">
        <v>25614.5</v>
      </c>
      <c r="F1004" s="129">
        <f t="shared" si="38"/>
        <v>-1.6247688434587682E-2</v>
      </c>
      <c r="G1004" s="270">
        <v>15809.4</v>
      </c>
      <c r="H1004" s="129">
        <f t="shared" si="37"/>
        <v>-2.6532761094314794E-2</v>
      </c>
    </row>
    <row r="1005" spans="2:8" x14ac:dyDescent="0.3">
      <c r="B1005" s="269">
        <v>44699</v>
      </c>
      <c r="C1005" s="270">
        <v>404.52</v>
      </c>
      <c r="D1005" s="129">
        <f t="shared" si="38"/>
        <v>4.9443757725642357E-5</v>
      </c>
      <c r="E1005" s="270">
        <v>26037.55</v>
      </c>
      <c r="F1005" s="129">
        <f t="shared" si="38"/>
        <v>-5.8121930814971634E-3</v>
      </c>
      <c r="G1005" s="270">
        <v>16240.3</v>
      </c>
      <c r="H1005" s="129">
        <f t="shared" si="37"/>
        <v>-1.1685619922137125E-3</v>
      </c>
    </row>
    <row r="1006" spans="2:8" x14ac:dyDescent="0.3">
      <c r="B1006" s="269">
        <v>44698</v>
      </c>
      <c r="C1006" s="270">
        <v>404.5</v>
      </c>
      <c r="D1006" s="129">
        <f t="shared" si="38"/>
        <v>-3.4000197102591612E-3</v>
      </c>
      <c r="E1006" s="270">
        <v>26189.77</v>
      </c>
      <c r="F1006" s="129">
        <f t="shared" si="38"/>
        <v>3.084209005758054E-2</v>
      </c>
      <c r="G1006" s="270">
        <v>16259.3</v>
      </c>
      <c r="H1006" s="129">
        <f t="shared" si="37"/>
        <v>2.6321935577536149E-2</v>
      </c>
    </row>
    <row r="1007" spans="2:8" x14ac:dyDescent="0.3">
      <c r="B1007" s="269">
        <v>44697</v>
      </c>
      <c r="C1007" s="270">
        <v>405.88</v>
      </c>
      <c r="D1007" s="129">
        <f t="shared" si="38"/>
        <v>1.6809880502041574E-2</v>
      </c>
      <c r="E1007" s="270">
        <v>25406.19</v>
      </c>
      <c r="F1007" s="129">
        <f t="shared" si="38"/>
        <v>1.3030216033876219E-2</v>
      </c>
      <c r="G1007" s="270">
        <v>15842.3</v>
      </c>
      <c r="H1007" s="129">
        <f t="shared" si="37"/>
        <v>3.811267793044637E-3</v>
      </c>
    </row>
    <row r="1008" spans="2:8" x14ac:dyDescent="0.3">
      <c r="B1008" s="269">
        <v>44694</v>
      </c>
      <c r="C1008" s="270">
        <v>399.17</v>
      </c>
      <c r="D1008" s="129">
        <f t="shared" si="38"/>
        <v>4.5803447841952227E-3</v>
      </c>
      <c r="E1008" s="270">
        <v>25079.4</v>
      </c>
      <c r="F1008" s="129">
        <f t="shared" si="38"/>
        <v>7.5224518573124843E-3</v>
      </c>
      <c r="G1008" s="270">
        <v>15782.15</v>
      </c>
      <c r="H1008" s="129">
        <f t="shared" si="37"/>
        <v>-1.6352479757085758E-3</v>
      </c>
    </row>
    <row r="1009" spans="2:8" x14ac:dyDescent="0.3">
      <c r="B1009" s="269">
        <v>44693</v>
      </c>
      <c r="C1009" s="270">
        <v>397.35</v>
      </c>
      <c r="D1009" s="129">
        <f t="shared" si="38"/>
        <v>1.5149966787593838E-2</v>
      </c>
      <c r="E1009" s="270">
        <v>24892.15</v>
      </c>
      <c r="F1009" s="129">
        <f t="shared" si="38"/>
        <v>-2.4642403035925131E-2</v>
      </c>
      <c r="G1009" s="270">
        <v>15808</v>
      </c>
      <c r="H1009" s="129">
        <f t="shared" si="37"/>
        <v>-2.2211775766835085E-2</v>
      </c>
    </row>
    <row r="1010" spans="2:8" x14ac:dyDescent="0.3">
      <c r="B1010" s="269">
        <v>44692</v>
      </c>
      <c r="C1010" s="270">
        <v>391.42</v>
      </c>
      <c r="D1010" s="129">
        <f t="shared" si="38"/>
        <v>4.7230350634017704E-3</v>
      </c>
      <c r="E1010" s="270">
        <v>25521.05</v>
      </c>
      <c r="F1010" s="129">
        <f t="shared" si="38"/>
        <v>-1.6253127083919572E-2</v>
      </c>
      <c r="G1010" s="270">
        <v>16167.1</v>
      </c>
      <c r="H1010" s="129">
        <f t="shared" si="37"/>
        <v>-4.4919812439000451E-3</v>
      </c>
    </row>
    <row r="1011" spans="2:8" x14ac:dyDescent="0.3">
      <c r="B1011" s="269">
        <v>44691</v>
      </c>
      <c r="C1011" s="270">
        <v>389.58</v>
      </c>
      <c r="D1011" s="129">
        <f t="shared" si="38"/>
        <v>-3.2748218586289957E-2</v>
      </c>
      <c r="E1011" s="270">
        <v>25942.7</v>
      </c>
      <c r="F1011" s="129">
        <f t="shared" si="38"/>
        <v>-6.2392791119753044E-3</v>
      </c>
      <c r="G1011" s="270">
        <v>16240.05</v>
      </c>
      <c r="H1011" s="129">
        <f t="shared" si="37"/>
        <v>-3.7909807782553484E-3</v>
      </c>
    </row>
    <row r="1012" spans="2:8" x14ac:dyDescent="0.3">
      <c r="B1012" s="269">
        <v>44690</v>
      </c>
      <c r="C1012" s="270">
        <v>402.77</v>
      </c>
      <c r="D1012" s="129">
        <f t="shared" si="38"/>
        <v>-2.0500972762645953E-2</v>
      </c>
      <c r="E1012" s="270">
        <v>26105.58</v>
      </c>
      <c r="F1012" s="129">
        <f t="shared" si="38"/>
        <v>-8.2951108382710581E-3</v>
      </c>
      <c r="G1012" s="270">
        <v>16301.85</v>
      </c>
      <c r="H1012" s="129">
        <f t="shared" si="37"/>
        <v>-6.6661588849112885E-3</v>
      </c>
    </row>
    <row r="1013" spans="2:8" x14ac:dyDescent="0.3">
      <c r="B1013" s="269">
        <v>44687</v>
      </c>
      <c r="C1013" s="270">
        <v>411.2</v>
      </c>
      <c r="D1013" s="129">
        <f t="shared" si="38"/>
        <v>-3.5621683185111941E-3</v>
      </c>
      <c r="E1013" s="270">
        <v>26323.94</v>
      </c>
      <c r="F1013" s="129">
        <f t="shared" si="38"/>
        <v>-1.5462996000356166E-2</v>
      </c>
      <c r="G1013" s="270">
        <v>16411.25</v>
      </c>
      <c r="H1013" s="129">
        <f t="shared" si="37"/>
        <v>-1.6268398605737144E-2</v>
      </c>
    </row>
    <row r="1014" spans="2:8" x14ac:dyDescent="0.3">
      <c r="B1014" s="269">
        <v>44686</v>
      </c>
      <c r="C1014" s="270">
        <v>412.67</v>
      </c>
      <c r="D1014" s="129">
        <f t="shared" si="38"/>
        <v>-2.0555233120524985E-3</v>
      </c>
      <c r="E1014" s="270">
        <v>26737.38</v>
      </c>
      <c r="F1014" s="129">
        <f t="shared" si="38"/>
        <v>9.5627115418599473E-3</v>
      </c>
      <c r="G1014" s="270">
        <v>16682.650000000001</v>
      </c>
      <c r="H1014" s="129">
        <f t="shared" si="37"/>
        <v>3.0280136230653731E-4</v>
      </c>
    </row>
    <row r="1015" spans="2:8" x14ac:dyDescent="0.3">
      <c r="B1015" s="269">
        <v>44685</v>
      </c>
      <c r="C1015" s="270">
        <v>413.52</v>
      </c>
      <c r="D1015" s="129">
        <f t="shared" si="38"/>
        <v>-2.1439727388896768E-2</v>
      </c>
      <c r="E1015" s="270">
        <v>26484.12</v>
      </c>
      <c r="F1015" s="129">
        <f t="shared" si="38"/>
        <v>-2.2213492757641617E-2</v>
      </c>
      <c r="G1015" s="270">
        <v>16677.599999999999</v>
      </c>
      <c r="H1015" s="129">
        <f t="shared" si="37"/>
        <v>-2.293618292704358E-2</v>
      </c>
    </row>
    <row r="1016" spans="2:8" x14ac:dyDescent="0.3">
      <c r="B1016" s="269">
        <v>44683</v>
      </c>
      <c r="C1016" s="270">
        <v>422.58</v>
      </c>
      <c r="D1016" s="129">
        <f t="shared" si="38"/>
        <v>-1.7370073247296891E-2</v>
      </c>
      <c r="E1016" s="270">
        <v>27085.79</v>
      </c>
      <c r="F1016" s="129">
        <f t="shared" si="38"/>
        <v>-1.04085831992482E-2</v>
      </c>
      <c r="G1016" s="270">
        <v>17069.099999999999</v>
      </c>
      <c r="H1016" s="129">
        <f t="shared" si="37"/>
        <v>-1.9558486892305993E-3</v>
      </c>
    </row>
    <row r="1017" spans="2:8" x14ac:dyDescent="0.3">
      <c r="B1017" s="269">
        <v>44680</v>
      </c>
      <c r="C1017" s="270">
        <v>430.05</v>
      </c>
      <c r="D1017" s="129">
        <f t="shared" si="38"/>
        <v>-1.0992801784605377E-2</v>
      </c>
      <c r="E1017" s="270">
        <v>27370.68</v>
      </c>
      <c r="F1017" s="129">
        <f t="shared" si="38"/>
        <v>-1.3370178133264909E-2</v>
      </c>
      <c r="G1017" s="270">
        <v>17102.55</v>
      </c>
      <c r="H1017" s="129">
        <f t="shared" si="37"/>
        <v>-8.263240756043011E-3</v>
      </c>
    </row>
    <row r="1018" spans="2:8" x14ac:dyDescent="0.3">
      <c r="B1018" s="269">
        <v>44679</v>
      </c>
      <c r="C1018" s="270">
        <v>434.83</v>
      </c>
      <c r="D1018" s="129">
        <f t="shared" si="38"/>
        <v>-3.2550143266476539E-3</v>
      </c>
      <c r="E1018" s="270">
        <v>27741.59</v>
      </c>
      <c r="F1018" s="129">
        <f t="shared" si="38"/>
        <v>1.481827782697942E-2</v>
      </c>
      <c r="G1018" s="270">
        <v>17245.05</v>
      </c>
      <c r="H1018" s="129">
        <f t="shared" si="37"/>
        <v>1.2128486242839465E-2</v>
      </c>
    </row>
    <row r="1019" spans="2:8" x14ac:dyDescent="0.3">
      <c r="B1019" s="269">
        <v>44678</v>
      </c>
      <c r="C1019" s="270">
        <v>436.25</v>
      </c>
      <c r="D1019" s="129">
        <f t="shared" si="38"/>
        <v>1.1014984969135444E-3</v>
      </c>
      <c r="E1019" s="270">
        <v>27336.51</v>
      </c>
      <c r="F1019" s="129">
        <f t="shared" si="38"/>
        <v>-7.4923201539999207E-3</v>
      </c>
      <c r="G1019" s="270">
        <v>17038.400000000001</v>
      </c>
      <c r="H1019" s="129">
        <f t="shared" si="37"/>
        <v>-9.4414213292404181E-3</v>
      </c>
    </row>
    <row r="1020" spans="2:8" x14ac:dyDescent="0.3">
      <c r="B1020" s="269">
        <v>44677</v>
      </c>
      <c r="C1020" s="270">
        <v>435.77</v>
      </c>
      <c r="D1020" s="129">
        <f t="shared" si="38"/>
        <v>-1.8580244133147183E-2</v>
      </c>
      <c r="E1020" s="270">
        <v>27542.87</v>
      </c>
      <c r="F1020" s="129">
        <f t="shared" si="38"/>
        <v>1.835096097319644E-2</v>
      </c>
      <c r="G1020" s="270">
        <v>17200.8</v>
      </c>
      <c r="H1020" s="129">
        <f t="shared" si="37"/>
        <v>1.4560028783852541E-2</v>
      </c>
    </row>
    <row r="1021" spans="2:8" x14ac:dyDescent="0.3">
      <c r="B1021" s="269">
        <v>44676</v>
      </c>
      <c r="C1021" s="270">
        <v>444.02</v>
      </c>
      <c r="D1021" s="129">
        <f t="shared" si="38"/>
        <v>-1.8241316028036358E-2</v>
      </c>
      <c r="E1021" s="270">
        <v>27046.54</v>
      </c>
      <c r="F1021" s="129">
        <f t="shared" si="38"/>
        <v>-2.0986862894926683E-2</v>
      </c>
      <c r="G1021" s="270">
        <v>16953.95</v>
      </c>
      <c r="H1021" s="129">
        <f t="shared" si="37"/>
        <v>-1.2695121986728397E-2</v>
      </c>
    </row>
    <row r="1022" spans="2:8" x14ac:dyDescent="0.3">
      <c r="B1022" s="269">
        <v>44673</v>
      </c>
      <c r="C1022" s="270">
        <v>452.27</v>
      </c>
      <c r="D1022" s="129">
        <f t="shared" si="38"/>
        <v>1.572079861656972E-2</v>
      </c>
      <c r="E1022" s="270">
        <v>27626.33</v>
      </c>
      <c r="F1022" s="129">
        <f t="shared" si="38"/>
        <v>-9.8888082502306407E-3</v>
      </c>
      <c r="G1022" s="270">
        <v>17171.95</v>
      </c>
      <c r="H1022" s="129">
        <f t="shared" si="37"/>
        <v>-1.2686429860975235E-2</v>
      </c>
    </row>
    <row r="1023" spans="2:8" x14ac:dyDescent="0.3">
      <c r="B1023" s="269">
        <v>44672</v>
      </c>
      <c r="C1023" s="270">
        <v>445.27</v>
      </c>
      <c r="D1023" s="129">
        <f t="shared" si="38"/>
        <v>2.341129595029523E-3</v>
      </c>
      <c r="E1023" s="270">
        <v>27902.25</v>
      </c>
      <c r="F1023" s="129">
        <f t="shared" si="38"/>
        <v>1.1060252157660377E-2</v>
      </c>
      <c r="G1023" s="270">
        <v>17392.599999999999</v>
      </c>
      <c r="H1023" s="129">
        <f t="shared" si="37"/>
        <v>1.4941747317867238E-2</v>
      </c>
    </row>
    <row r="1024" spans="2:8" x14ac:dyDescent="0.3">
      <c r="B1024" s="269">
        <v>44671</v>
      </c>
      <c r="C1024" s="270">
        <v>444.23</v>
      </c>
      <c r="D1024" s="129">
        <f t="shared" si="38"/>
        <v>-2.7388034571780295E-3</v>
      </c>
      <c r="E1024" s="270">
        <v>27597.02</v>
      </c>
      <c r="F1024" s="129">
        <f t="shared" si="38"/>
        <v>-1.4603410308792197E-3</v>
      </c>
      <c r="G1024" s="270">
        <v>17136.55</v>
      </c>
      <c r="H1024" s="129">
        <f t="shared" si="37"/>
        <v>1.0490221804211775E-2</v>
      </c>
    </row>
    <row r="1025" spans="2:8" x14ac:dyDescent="0.3">
      <c r="B1025" s="269">
        <v>44670</v>
      </c>
      <c r="C1025" s="270">
        <v>445.45</v>
      </c>
      <c r="D1025" s="129">
        <f t="shared" si="38"/>
        <v>-3.0998477267783375E-2</v>
      </c>
      <c r="E1025" s="270">
        <v>27637.38</v>
      </c>
      <c r="F1025" s="129">
        <f t="shared" si="38"/>
        <v>-1.6566938144593979E-2</v>
      </c>
      <c r="G1025" s="270">
        <v>16958.650000000001</v>
      </c>
      <c r="H1025" s="129">
        <f t="shared" si="37"/>
        <v>-1.251917909122402E-2</v>
      </c>
    </row>
    <row r="1026" spans="2:8" x14ac:dyDescent="0.3">
      <c r="B1026" s="269">
        <v>44669</v>
      </c>
      <c r="C1026" s="270">
        <v>459.7</v>
      </c>
      <c r="D1026" s="129">
        <f t="shared" si="38"/>
        <v>7.6720736519071409E-3</v>
      </c>
      <c r="E1026" s="270">
        <v>28102.959999999999</v>
      </c>
      <c r="F1026" s="129">
        <f t="shared" si="38"/>
        <v>-6.3660126697971942E-3</v>
      </c>
      <c r="G1026" s="270">
        <v>17173.650000000001</v>
      </c>
      <c r="H1026" s="129">
        <f t="shared" si="37"/>
        <v>-1.7281188396425895E-2</v>
      </c>
    </row>
    <row r="1027" spans="2:8" x14ac:dyDescent="0.3">
      <c r="B1027" s="269">
        <v>44664</v>
      </c>
      <c r="C1027" s="270">
        <v>456.2</v>
      </c>
      <c r="D1027" s="129">
        <f t="shared" si="38"/>
        <v>-9.4452285311041884E-3</v>
      </c>
      <c r="E1027" s="270">
        <v>28283.01</v>
      </c>
      <c r="F1027" s="129">
        <f t="shared" si="38"/>
        <v>7.9713207794622765E-3</v>
      </c>
      <c r="G1027" s="270">
        <v>17475.650000000001</v>
      </c>
      <c r="H1027" s="129">
        <f t="shared" si="37"/>
        <v>-3.1174594844354253E-3</v>
      </c>
    </row>
    <row r="1028" spans="2:8" x14ac:dyDescent="0.3">
      <c r="B1028" s="269">
        <v>44663</v>
      </c>
      <c r="C1028" s="270">
        <v>460.55</v>
      </c>
      <c r="D1028" s="129">
        <f t="shared" si="38"/>
        <v>3.2808575529242878E-2</v>
      </c>
      <c r="E1028" s="270">
        <v>28059.34</v>
      </c>
      <c r="F1028" s="129">
        <f t="shared" si="38"/>
        <v>-1.6481507770013892E-2</v>
      </c>
      <c r="G1028" s="270">
        <v>17530.3</v>
      </c>
      <c r="H1028" s="129">
        <f t="shared" si="37"/>
        <v>-8.1838986814674053E-3</v>
      </c>
    </row>
    <row r="1029" spans="2:8" x14ac:dyDescent="0.3">
      <c r="B1029" s="269">
        <v>44662</v>
      </c>
      <c r="C1029" s="270">
        <v>445.92</v>
      </c>
      <c r="D1029" s="129">
        <f t="shared" si="38"/>
        <v>-6.2752129090093423E-4</v>
      </c>
      <c r="E1029" s="270">
        <v>28529.55</v>
      </c>
      <c r="F1029" s="129">
        <f t="shared" si="38"/>
        <v>-1.0917863978780029E-2</v>
      </c>
      <c r="G1029" s="270">
        <v>17674.95</v>
      </c>
      <c r="H1029" s="129">
        <f t="shared" si="37"/>
        <v>-6.1514758762618582E-3</v>
      </c>
    </row>
    <row r="1030" spans="2:8" x14ac:dyDescent="0.3">
      <c r="B1030" s="269">
        <v>44659</v>
      </c>
      <c r="C1030" s="270">
        <v>446.2</v>
      </c>
      <c r="D1030" s="129">
        <f t="shared" si="38"/>
        <v>1.1206993163725976E-4</v>
      </c>
      <c r="E1030" s="270">
        <v>28844.47</v>
      </c>
      <c r="F1030" s="129">
        <f t="shared" si="38"/>
        <v>7.9942101733629922E-3</v>
      </c>
      <c r="G1030" s="270">
        <v>17784.349999999999</v>
      </c>
      <c r="H1030" s="129">
        <f t="shared" si="37"/>
        <v>8.208826188876639E-3</v>
      </c>
    </row>
    <row r="1031" spans="2:8" x14ac:dyDescent="0.3">
      <c r="B1031" s="269">
        <v>44658</v>
      </c>
      <c r="C1031" s="270">
        <v>446.15</v>
      </c>
      <c r="D1031" s="129">
        <f t="shared" si="38"/>
        <v>1.9818048825088974E-2</v>
      </c>
      <c r="E1031" s="270">
        <v>28615.71</v>
      </c>
      <c r="F1031" s="129">
        <f t="shared" si="38"/>
        <v>-4.3814479619117552E-3</v>
      </c>
      <c r="G1031" s="270">
        <v>17639.55</v>
      </c>
      <c r="H1031" s="129">
        <f t="shared" si="37"/>
        <v>-9.4397632478178117E-3</v>
      </c>
    </row>
    <row r="1032" spans="2:8" x14ac:dyDescent="0.3">
      <c r="B1032" s="269">
        <v>44657</v>
      </c>
      <c r="C1032" s="270">
        <v>437.48</v>
      </c>
      <c r="D1032" s="129">
        <f t="shared" si="38"/>
        <v>-5.5464629932715503E-3</v>
      </c>
      <c r="E1032" s="270">
        <v>28741.64</v>
      </c>
      <c r="F1032" s="129">
        <f t="shared" si="38"/>
        <v>6.2598817204451151E-3</v>
      </c>
      <c r="G1032" s="270">
        <v>17807.650000000001</v>
      </c>
      <c r="H1032" s="129">
        <f t="shared" si="37"/>
        <v>-8.3391805049728429E-3</v>
      </c>
    </row>
    <row r="1033" spans="2:8" x14ac:dyDescent="0.3">
      <c r="B1033" s="269">
        <v>44656</v>
      </c>
      <c r="C1033" s="270">
        <v>439.92</v>
      </c>
      <c r="D1033" s="129">
        <f t="shared" si="38"/>
        <v>6.6819221967964193E-3</v>
      </c>
      <c r="E1033" s="270">
        <v>28562.84</v>
      </c>
      <c r="F1033" s="129">
        <f t="shared" si="38"/>
        <v>8.6097612134883317E-3</v>
      </c>
      <c r="G1033" s="270">
        <v>17957.400000000001</v>
      </c>
      <c r="H1033" s="129">
        <f t="shared" si="37"/>
        <v>-5.3175579115291027E-3</v>
      </c>
    </row>
    <row r="1034" spans="2:8" x14ac:dyDescent="0.3">
      <c r="B1034" s="269">
        <v>44655</v>
      </c>
      <c r="C1034" s="270">
        <v>437</v>
      </c>
      <c r="D1034" s="129">
        <f t="shared" si="38"/>
        <v>5.9779313689826585E-2</v>
      </c>
      <c r="E1034" s="270">
        <v>28319.02</v>
      </c>
      <c r="F1034" s="129">
        <f t="shared" si="38"/>
        <v>1.7932698373444023E-2</v>
      </c>
      <c r="G1034" s="270">
        <v>18053.400000000001</v>
      </c>
      <c r="H1034" s="129">
        <f t="shared" ref="H1034:H1097" si="39">G1034/G1035-1</f>
        <v>2.1671774063478866E-2</v>
      </c>
    </row>
    <row r="1035" spans="2:8" x14ac:dyDescent="0.3">
      <c r="B1035" s="269">
        <v>44652</v>
      </c>
      <c r="C1035" s="270">
        <v>412.35</v>
      </c>
      <c r="D1035" s="129">
        <f t="shared" si="38"/>
        <v>3.8220409396480193E-2</v>
      </c>
      <c r="E1035" s="270">
        <v>27820.13</v>
      </c>
      <c r="F1035" s="129">
        <f t="shared" si="38"/>
        <v>1.1418946529562213E-2</v>
      </c>
      <c r="G1035" s="270">
        <v>17670.45</v>
      </c>
      <c r="H1035" s="129">
        <f t="shared" si="39"/>
        <v>1.1778009991554539E-2</v>
      </c>
    </row>
    <row r="1036" spans="2:8" x14ac:dyDescent="0.3">
      <c r="B1036" s="269">
        <v>44651</v>
      </c>
      <c r="C1036" s="270">
        <v>397.17</v>
      </c>
      <c r="D1036" s="129">
        <f t="shared" si="38"/>
        <v>-2.2107775405100227E-3</v>
      </c>
      <c r="E1036" s="270">
        <v>27506.04</v>
      </c>
      <c r="F1036" s="129">
        <f t="shared" si="38"/>
        <v>2.3771164189394511E-3</v>
      </c>
      <c r="G1036" s="270">
        <v>17464.75</v>
      </c>
      <c r="H1036" s="129">
        <f t="shared" si="39"/>
        <v>-1.9144771620018819E-3</v>
      </c>
    </row>
    <row r="1037" spans="2:8" x14ac:dyDescent="0.3">
      <c r="B1037" s="269">
        <v>44650</v>
      </c>
      <c r="C1037" s="270">
        <v>398.05</v>
      </c>
      <c r="D1037" s="129">
        <f t="shared" si="38"/>
        <v>7.5939754461460396E-3</v>
      </c>
      <c r="E1037" s="270">
        <v>27440.81</v>
      </c>
      <c r="F1037" s="129">
        <f t="shared" si="38"/>
        <v>1.1370580452081169E-2</v>
      </c>
      <c r="G1037" s="270">
        <v>17498.25</v>
      </c>
      <c r="H1037" s="129">
        <f t="shared" si="39"/>
        <v>9.9825111253484256E-3</v>
      </c>
    </row>
    <row r="1038" spans="2:8" x14ac:dyDescent="0.3">
      <c r="B1038" s="269">
        <v>44649</v>
      </c>
      <c r="C1038" s="270">
        <v>395.05</v>
      </c>
      <c r="D1038" s="129">
        <f t="shared" si="38"/>
        <v>-2.2951549476912358E-2</v>
      </c>
      <c r="E1038" s="270">
        <v>27132.3</v>
      </c>
      <c r="F1038" s="129">
        <f t="shared" si="38"/>
        <v>6.5414080814008013E-3</v>
      </c>
      <c r="G1038" s="270">
        <v>17325.3</v>
      </c>
      <c r="H1038" s="129">
        <f t="shared" si="39"/>
        <v>5.9981419115084922E-3</v>
      </c>
    </row>
    <row r="1039" spans="2:8" x14ac:dyDescent="0.3">
      <c r="B1039" s="269">
        <v>44648</v>
      </c>
      <c r="C1039" s="270">
        <v>404.33</v>
      </c>
      <c r="D1039" s="129">
        <f t="shared" si="38"/>
        <v>-2.968562514998796E-2</v>
      </c>
      <c r="E1039" s="270">
        <v>26955.97</v>
      </c>
      <c r="F1039" s="129">
        <f t="shared" si="38"/>
        <v>-4.5786625977289885E-3</v>
      </c>
      <c r="G1039" s="270">
        <v>17222</v>
      </c>
      <c r="H1039" s="129">
        <f t="shared" si="39"/>
        <v>4.0226199498629711E-3</v>
      </c>
    </row>
    <row r="1040" spans="2:8" x14ac:dyDescent="0.3">
      <c r="B1040" s="269">
        <v>44645</v>
      </c>
      <c r="C1040" s="270">
        <v>416.7</v>
      </c>
      <c r="D1040" s="129">
        <f t="shared" si="38"/>
        <v>-7.0769890628351595E-3</v>
      </c>
      <c r="E1040" s="270">
        <v>27079.96</v>
      </c>
      <c r="F1040" s="129">
        <f t="shared" si="38"/>
        <v>-9.5312640016386174E-3</v>
      </c>
      <c r="G1040" s="270">
        <v>17153</v>
      </c>
      <c r="H1040" s="129">
        <f t="shared" si="39"/>
        <v>-4.049875890900112E-3</v>
      </c>
    </row>
    <row r="1041" spans="2:8" x14ac:dyDescent="0.3">
      <c r="B1041" s="269">
        <v>44644</v>
      </c>
      <c r="C1041" s="270">
        <v>419.67</v>
      </c>
      <c r="D1041" s="129">
        <f t="shared" si="38"/>
        <v>-7.3813038716130652E-4</v>
      </c>
      <c r="E1041" s="270">
        <v>27340.55</v>
      </c>
      <c r="F1041" s="129">
        <f t="shared" si="38"/>
        <v>5.1342066241866213E-4</v>
      </c>
      <c r="G1041" s="270">
        <v>17222.75</v>
      </c>
      <c r="H1041" s="129">
        <f t="shared" si="39"/>
        <v>-1.3278710863320331E-3</v>
      </c>
    </row>
    <row r="1042" spans="2:8" x14ac:dyDescent="0.3">
      <c r="B1042" s="269">
        <v>44643</v>
      </c>
      <c r="C1042" s="270">
        <v>419.98</v>
      </c>
      <c r="D1042" s="129">
        <f t="shared" si="38"/>
        <v>-2.0672448615896011E-3</v>
      </c>
      <c r="E1042" s="270">
        <v>27326.52</v>
      </c>
      <c r="F1042" s="129">
        <f t="shared" si="38"/>
        <v>-5.865160249624024E-3</v>
      </c>
      <c r="G1042" s="270">
        <v>17245.650000000001</v>
      </c>
      <c r="H1042" s="129">
        <f t="shared" si="39"/>
        <v>-4.0339580144955756E-3</v>
      </c>
    </row>
    <row r="1043" spans="2:8" x14ac:dyDescent="0.3">
      <c r="B1043" s="269">
        <v>44642</v>
      </c>
      <c r="C1043" s="270">
        <v>420.85</v>
      </c>
      <c r="D1043" s="129">
        <f t="shared" ref="D1043:F1106" si="40">C1043/C1044-1</f>
        <v>-1.5831813292175201E-2</v>
      </c>
      <c r="E1043" s="270">
        <v>27487.74</v>
      </c>
      <c r="F1043" s="129">
        <f t="shared" si="40"/>
        <v>5.6002159895167658E-3</v>
      </c>
      <c r="G1043" s="270">
        <v>17315.5</v>
      </c>
      <c r="H1043" s="129">
        <f t="shared" si="39"/>
        <v>1.1561200168247909E-2</v>
      </c>
    </row>
    <row r="1044" spans="2:8" x14ac:dyDescent="0.3">
      <c r="B1044" s="269">
        <v>44641</v>
      </c>
      <c r="C1044" s="270">
        <v>427.62</v>
      </c>
      <c r="D1044" s="129">
        <f t="shared" si="40"/>
        <v>3.802816901408379E-3</v>
      </c>
      <c r="E1044" s="270">
        <v>27334.66</v>
      </c>
      <c r="F1044" s="129">
        <f t="shared" si="40"/>
        <v>-1.1207300698005573E-2</v>
      </c>
      <c r="G1044" s="270">
        <v>17117.599999999999</v>
      </c>
      <c r="H1044" s="129">
        <f t="shared" si="39"/>
        <v>-9.8021351242694177E-3</v>
      </c>
    </row>
    <row r="1045" spans="2:8" x14ac:dyDescent="0.3">
      <c r="B1045" s="269">
        <v>44637</v>
      </c>
      <c r="C1045" s="270">
        <v>426</v>
      </c>
      <c r="D1045" s="129">
        <f t="shared" si="40"/>
        <v>5.9506942476621472E-3</v>
      </c>
      <c r="E1045" s="270">
        <v>27644.48</v>
      </c>
      <c r="F1045" s="129">
        <f t="shared" si="40"/>
        <v>1.2847225911497118E-2</v>
      </c>
      <c r="G1045" s="270">
        <v>17287.05</v>
      </c>
      <c r="H1045" s="129">
        <f t="shared" si="39"/>
        <v>1.8361918900052121E-2</v>
      </c>
    </row>
    <row r="1046" spans="2:8" x14ac:dyDescent="0.3">
      <c r="B1046" s="269">
        <v>44636</v>
      </c>
      <c r="C1046" s="270">
        <v>423.48</v>
      </c>
      <c r="D1046" s="129">
        <f t="shared" si="40"/>
        <v>-4.1154198904121975E-3</v>
      </c>
      <c r="E1046" s="270">
        <v>27293.83</v>
      </c>
      <c r="F1046" s="129">
        <f t="shared" si="40"/>
        <v>1.1301720972506812E-2</v>
      </c>
      <c r="G1046" s="270">
        <v>16975.349999999999</v>
      </c>
      <c r="H1046" s="129">
        <f t="shared" si="39"/>
        <v>1.8745123927264018E-2</v>
      </c>
    </row>
    <row r="1047" spans="2:8" x14ac:dyDescent="0.3">
      <c r="B1047" s="269">
        <v>44635</v>
      </c>
      <c r="C1047" s="270">
        <v>425.23</v>
      </c>
      <c r="D1047" s="129">
        <f t="shared" si="40"/>
        <v>3.0560806553245223E-2</v>
      </c>
      <c r="E1047" s="270">
        <v>26988.81</v>
      </c>
      <c r="F1047" s="129">
        <f t="shared" si="40"/>
        <v>-3.0953794259216405E-3</v>
      </c>
      <c r="G1047" s="270">
        <v>16663</v>
      </c>
      <c r="H1047" s="129">
        <f t="shared" si="39"/>
        <v>-1.2346410768583338E-2</v>
      </c>
    </row>
    <row r="1048" spans="2:8" x14ac:dyDescent="0.3">
      <c r="B1048" s="269">
        <v>44634</v>
      </c>
      <c r="C1048" s="270">
        <v>412.62</v>
      </c>
      <c r="D1048" s="129">
        <f t="shared" si="40"/>
        <v>4.9685810317112722E-3</v>
      </c>
      <c r="E1048" s="270">
        <v>27072.61</v>
      </c>
      <c r="F1048" s="129">
        <f t="shared" si="40"/>
        <v>4.7762166752276514E-3</v>
      </c>
      <c r="G1048" s="270">
        <v>16871.3</v>
      </c>
      <c r="H1048" s="129">
        <f t="shared" si="39"/>
        <v>1.4482470408196946E-2</v>
      </c>
    </row>
    <row r="1049" spans="2:8" x14ac:dyDescent="0.3">
      <c r="B1049" s="269">
        <v>44631</v>
      </c>
      <c r="C1049" s="270">
        <v>410.58</v>
      </c>
      <c r="D1049" s="129">
        <f t="shared" si="40"/>
        <v>-1.3076294408922662E-2</v>
      </c>
      <c r="E1049" s="270">
        <v>26943.919999999998</v>
      </c>
      <c r="F1049" s="129">
        <f t="shared" si="40"/>
        <v>8.7368686943722906E-4</v>
      </c>
      <c r="G1049" s="270">
        <v>16630.45</v>
      </c>
      <c r="H1049" s="129">
        <f t="shared" si="39"/>
        <v>2.1422244183453287E-3</v>
      </c>
    </row>
    <row r="1050" spans="2:8" x14ac:dyDescent="0.3">
      <c r="B1050" s="269">
        <v>44630</v>
      </c>
      <c r="C1050" s="270">
        <v>416.02</v>
      </c>
      <c r="D1050" s="129">
        <f t="shared" si="40"/>
        <v>3.8544111038993467E-2</v>
      </c>
      <c r="E1050" s="270">
        <v>26920.400000000001</v>
      </c>
      <c r="F1050" s="129">
        <f t="shared" si="40"/>
        <v>1.3988845535106709E-2</v>
      </c>
      <c r="G1050" s="270">
        <v>16594.900000000001</v>
      </c>
      <c r="H1050" s="129">
        <f t="shared" si="39"/>
        <v>1.5267339029142901E-2</v>
      </c>
    </row>
    <row r="1051" spans="2:8" x14ac:dyDescent="0.3">
      <c r="B1051" s="269">
        <v>44629</v>
      </c>
      <c r="C1051" s="270">
        <v>400.58</v>
      </c>
      <c r="D1051" s="129">
        <f t="shared" si="40"/>
        <v>1.2972562903021956E-2</v>
      </c>
      <c r="E1051" s="270">
        <v>26549.01</v>
      </c>
      <c r="F1051" s="129">
        <f t="shared" si="40"/>
        <v>2.0243069005589032E-2</v>
      </c>
      <c r="G1051" s="270">
        <v>16345.35</v>
      </c>
      <c r="H1051" s="129">
        <f t="shared" si="39"/>
        <v>2.0726326931423289E-2</v>
      </c>
    </row>
    <row r="1052" spans="2:8" x14ac:dyDescent="0.3">
      <c r="B1052" s="269">
        <v>44628</v>
      </c>
      <c r="C1052" s="270">
        <v>395.45</v>
      </c>
      <c r="D1052" s="129">
        <f t="shared" si="40"/>
        <v>2.0252837977296156E-2</v>
      </c>
      <c r="E1052" s="270">
        <v>26022.240000000002</v>
      </c>
      <c r="F1052" s="129">
        <f t="shared" si="40"/>
        <v>1.2160438124280581E-2</v>
      </c>
      <c r="G1052" s="270">
        <v>16013.45</v>
      </c>
      <c r="H1052" s="129">
        <f t="shared" si="39"/>
        <v>9.4747890551372116E-3</v>
      </c>
    </row>
    <row r="1053" spans="2:8" x14ac:dyDescent="0.3">
      <c r="B1053" s="269">
        <v>44627</v>
      </c>
      <c r="C1053" s="270">
        <v>387.6</v>
      </c>
      <c r="D1053" s="129">
        <f t="shared" si="40"/>
        <v>-5.2369077306733014E-2</v>
      </c>
      <c r="E1053" s="270">
        <v>25709.599999999999</v>
      </c>
      <c r="F1053" s="129">
        <f t="shared" si="40"/>
        <v>-3.1657495957643889E-2</v>
      </c>
      <c r="G1053" s="270">
        <v>15863.15</v>
      </c>
      <c r="H1053" s="129">
        <f t="shared" si="39"/>
        <v>-2.3526732264925077E-2</v>
      </c>
    </row>
    <row r="1054" spans="2:8" x14ac:dyDescent="0.3">
      <c r="B1054" s="269">
        <v>44624</v>
      </c>
      <c r="C1054" s="270">
        <v>409.02</v>
      </c>
      <c r="D1054" s="129">
        <f t="shared" si="40"/>
        <v>-1.5548281505728401E-2</v>
      </c>
      <c r="E1054" s="270">
        <v>26550.11</v>
      </c>
      <c r="F1054" s="129">
        <f t="shared" si="40"/>
        <v>-2.0430669284743908E-2</v>
      </c>
      <c r="G1054" s="270">
        <v>16245.35</v>
      </c>
      <c r="H1054" s="129">
        <f t="shared" si="39"/>
        <v>-1.5316961701534404E-2</v>
      </c>
    </row>
    <row r="1055" spans="2:8" x14ac:dyDescent="0.3">
      <c r="B1055" s="269">
        <v>44623</v>
      </c>
      <c r="C1055" s="270">
        <v>415.48</v>
      </c>
      <c r="D1055" s="129">
        <f t="shared" si="40"/>
        <v>3.526399690836346E-3</v>
      </c>
      <c r="E1055" s="270">
        <v>27103.86</v>
      </c>
      <c r="F1055" s="129">
        <f t="shared" si="40"/>
        <v>-1.2588613015726002E-2</v>
      </c>
      <c r="G1055" s="270">
        <v>16498.05</v>
      </c>
      <c r="H1055" s="129">
        <f t="shared" si="39"/>
        <v>-6.4976710155095763E-3</v>
      </c>
    </row>
    <row r="1056" spans="2:8" x14ac:dyDescent="0.3">
      <c r="B1056" s="269">
        <v>44622</v>
      </c>
      <c r="C1056" s="270">
        <v>414.02</v>
      </c>
      <c r="D1056" s="129">
        <f t="shared" si="40"/>
        <v>-2.2153991497401937E-2</v>
      </c>
      <c r="E1056" s="270">
        <v>27449.41</v>
      </c>
      <c r="F1056" s="129">
        <f t="shared" si="40"/>
        <v>-7.5431953963477349E-3</v>
      </c>
      <c r="G1056" s="270">
        <v>16605.95</v>
      </c>
      <c r="H1056" s="129">
        <f t="shared" si="39"/>
        <v>-1.1191563603451304E-2</v>
      </c>
    </row>
    <row r="1057" spans="2:8" x14ac:dyDescent="0.3">
      <c r="B1057" s="269">
        <v>44620</v>
      </c>
      <c r="C1057" s="270">
        <v>423.4</v>
      </c>
      <c r="D1057" s="129">
        <f t="shared" si="40"/>
        <v>4.152317229164626E-2</v>
      </c>
      <c r="E1057" s="270">
        <v>27658.04</v>
      </c>
      <c r="F1057" s="129">
        <f t="shared" si="40"/>
        <v>1.7450175987945737E-2</v>
      </c>
      <c r="G1057" s="270">
        <v>16793.900000000001</v>
      </c>
      <c r="H1057" s="129">
        <f t="shared" si="39"/>
        <v>8.1340344811027254E-3</v>
      </c>
    </row>
    <row r="1058" spans="2:8" x14ac:dyDescent="0.3">
      <c r="B1058" s="269">
        <v>44617</v>
      </c>
      <c r="C1058" s="270">
        <v>406.52</v>
      </c>
      <c r="D1058" s="129">
        <f t="shared" si="40"/>
        <v>4.5845124774890555E-2</v>
      </c>
      <c r="E1058" s="270">
        <v>27183.68</v>
      </c>
      <c r="F1058" s="129">
        <f t="shared" si="40"/>
        <v>2.6109014041974854E-2</v>
      </c>
      <c r="G1058" s="270">
        <v>16658.400000000001</v>
      </c>
      <c r="H1058" s="129">
        <f t="shared" si="39"/>
        <v>2.5261648392566505E-2</v>
      </c>
    </row>
    <row r="1059" spans="2:8" x14ac:dyDescent="0.3">
      <c r="B1059" s="269">
        <v>44616</v>
      </c>
      <c r="C1059" s="270">
        <v>388.7</v>
      </c>
      <c r="D1059" s="129">
        <f t="shared" si="40"/>
        <v>-6.5063138905592344E-2</v>
      </c>
      <c r="E1059" s="270">
        <v>26492</v>
      </c>
      <c r="F1059" s="129">
        <f t="shared" si="40"/>
        <v>-4.2384221823316137E-2</v>
      </c>
      <c r="G1059" s="270">
        <v>16247.95</v>
      </c>
      <c r="H1059" s="129">
        <f t="shared" si="39"/>
        <v>-4.7781049917219764E-2</v>
      </c>
    </row>
    <row r="1060" spans="2:8" x14ac:dyDescent="0.3">
      <c r="B1060" s="269">
        <v>44615</v>
      </c>
      <c r="C1060" s="270">
        <v>415.75</v>
      </c>
      <c r="D1060" s="129">
        <f t="shared" si="40"/>
        <v>1.717515230102995E-2</v>
      </c>
      <c r="E1060" s="270">
        <v>27664.54</v>
      </c>
      <c r="F1060" s="129">
        <f t="shared" si="40"/>
        <v>-2.4742943104932857E-3</v>
      </c>
      <c r="G1060" s="270">
        <v>17063.25</v>
      </c>
      <c r="H1060" s="129">
        <f t="shared" si="39"/>
        <v>-1.693755046161427E-3</v>
      </c>
    </row>
    <row r="1061" spans="2:8" x14ac:dyDescent="0.3">
      <c r="B1061" s="269">
        <v>44614</v>
      </c>
      <c r="C1061" s="270">
        <v>408.73</v>
      </c>
      <c r="D1061" s="129">
        <f t="shared" si="40"/>
        <v>-1.8537639572577702E-2</v>
      </c>
      <c r="E1061" s="270">
        <v>27733.16</v>
      </c>
      <c r="F1061" s="129">
        <f t="shared" si="40"/>
        <v>-1.0601377365652587E-2</v>
      </c>
      <c r="G1061" s="270">
        <v>17092.2</v>
      </c>
      <c r="H1061" s="129">
        <f t="shared" si="39"/>
        <v>-6.651498112648313E-3</v>
      </c>
    </row>
    <row r="1062" spans="2:8" x14ac:dyDescent="0.3">
      <c r="B1062" s="269">
        <v>44613</v>
      </c>
      <c r="C1062" s="270">
        <v>416.45</v>
      </c>
      <c r="D1062" s="129">
        <f t="shared" si="40"/>
        <v>-3.3377434254810434E-2</v>
      </c>
      <c r="E1062" s="270">
        <v>28030.32</v>
      </c>
      <c r="F1062" s="129">
        <f t="shared" si="40"/>
        <v>-1.4130170613676718E-2</v>
      </c>
      <c r="G1062" s="270">
        <v>17206.650000000001</v>
      </c>
      <c r="H1062" s="129">
        <f t="shared" si="39"/>
        <v>-4.0315345299628547E-3</v>
      </c>
    </row>
    <row r="1063" spans="2:8" x14ac:dyDescent="0.3">
      <c r="B1063" s="269">
        <v>44610</v>
      </c>
      <c r="C1063" s="270">
        <v>430.83</v>
      </c>
      <c r="D1063" s="129">
        <f t="shared" si="40"/>
        <v>6.3770147161876789E-3</v>
      </c>
      <c r="E1063" s="270">
        <v>28432.07</v>
      </c>
      <c r="F1063" s="129">
        <f t="shared" si="40"/>
        <v>3.9005564657363934E-3</v>
      </c>
      <c r="G1063" s="270">
        <v>17276.3</v>
      </c>
      <c r="H1063" s="129">
        <f t="shared" si="39"/>
        <v>-1.6354033031679149E-3</v>
      </c>
    </row>
    <row r="1064" spans="2:8" x14ac:dyDescent="0.3">
      <c r="B1064" s="269">
        <v>44609</v>
      </c>
      <c r="C1064" s="270">
        <v>428.1</v>
      </c>
      <c r="D1064" s="129">
        <f t="shared" si="40"/>
        <v>-3.1404135933752686E-2</v>
      </c>
      <c r="E1064" s="270">
        <v>28321.599999999999</v>
      </c>
      <c r="F1064" s="129">
        <f t="shared" si="40"/>
        <v>3.2675200571319341E-3</v>
      </c>
      <c r="G1064" s="270">
        <v>17304.599999999999</v>
      </c>
      <c r="H1064" s="129">
        <f t="shared" si="39"/>
        <v>-1.0160372239093052E-3</v>
      </c>
    </row>
    <row r="1065" spans="2:8" x14ac:dyDescent="0.3">
      <c r="B1065" s="269">
        <v>44608</v>
      </c>
      <c r="C1065" s="270">
        <v>441.98</v>
      </c>
      <c r="D1065" s="129">
        <f t="shared" si="40"/>
        <v>4.4203463510289032E-2</v>
      </c>
      <c r="E1065" s="270">
        <v>28229.360000000001</v>
      </c>
      <c r="F1065" s="129">
        <f t="shared" si="40"/>
        <v>-4.7949312841679692E-3</v>
      </c>
      <c r="G1065" s="270">
        <v>17322.2</v>
      </c>
      <c r="H1065" s="129">
        <f t="shared" si="39"/>
        <v>-1.7432696823791449E-3</v>
      </c>
    </row>
    <row r="1066" spans="2:8" x14ac:dyDescent="0.3">
      <c r="B1066" s="269">
        <v>44607</v>
      </c>
      <c r="C1066" s="270">
        <v>423.27</v>
      </c>
      <c r="D1066" s="129">
        <f t="shared" si="40"/>
        <v>1.3092388702728552E-2</v>
      </c>
      <c r="E1066" s="270">
        <v>28365.37</v>
      </c>
      <c r="F1066" s="129">
        <f t="shared" si="40"/>
        <v>3.0140804047730452E-2</v>
      </c>
      <c r="G1066" s="270">
        <v>17352.45</v>
      </c>
      <c r="H1066" s="129">
        <f t="shared" si="39"/>
        <v>3.0259220557152133E-2</v>
      </c>
    </row>
    <row r="1067" spans="2:8" x14ac:dyDescent="0.3">
      <c r="B1067" s="269">
        <v>44606</v>
      </c>
      <c r="C1067" s="270">
        <v>417.8</v>
      </c>
      <c r="D1067" s="129">
        <f t="shared" si="40"/>
        <v>-7.0729537366548079E-2</v>
      </c>
      <c r="E1067" s="270">
        <v>27535.43</v>
      </c>
      <c r="F1067" s="129">
        <f t="shared" si="40"/>
        <v>-3.5590312133229718E-2</v>
      </c>
      <c r="G1067" s="270">
        <v>16842.8</v>
      </c>
      <c r="H1067" s="129">
        <f t="shared" si="39"/>
        <v>-3.0616267859969293E-2</v>
      </c>
    </row>
    <row r="1068" spans="2:8" x14ac:dyDescent="0.3">
      <c r="B1068" s="269">
        <v>44603</v>
      </c>
      <c r="C1068" s="270">
        <v>449.6</v>
      </c>
      <c r="D1068" s="129">
        <f t="shared" si="40"/>
        <v>-1.7052907739396495E-2</v>
      </c>
      <c r="E1068" s="270">
        <v>28551.59</v>
      </c>
      <c r="F1068" s="129">
        <f t="shared" si="40"/>
        <v>-1.5142504910215737E-2</v>
      </c>
      <c r="G1068" s="270">
        <v>17374.75</v>
      </c>
      <c r="H1068" s="129">
        <f t="shared" si="39"/>
        <v>-1.3126318808804993E-2</v>
      </c>
    </row>
    <row r="1069" spans="2:8" x14ac:dyDescent="0.3">
      <c r="B1069" s="269">
        <v>44602</v>
      </c>
      <c r="C1069" s="270">
        <v>457.4</v>
      </c>
      <c r="D1069" s="129">
        <f t="shared" si="40"/>
        <v>1.6423957078726126E-3</v>
      </c>
      <c r="E1069" s="270">
        <v>28990.58</v>
      </c>
      <c r="F1069" s="129">
        <f t="shared" si="40"/>
        <v>-6.7252462849987094E-4</v>
      </c>
      <c r="G1069" s="270">
        <v>17605.849999999999</v>
      </c>
      <c r="H1069" s="129">
        <f t="shared" si="39"/>
        <v>8.1339685520904759E-3</v>
      </c>
    </row>
    <row r="1070" spans="2:8" x14ac:dyDescent="0.3">
      <c r="B1070" s="269">
        <v>44601</v>
      </c>
      <c r="C1070" s="270">
        <v>456.65</v>
      </c>
      <c r="D1070" s="129">
        <f t="shared" si="40"/>
        <v>-1.7488250081976187E-3</v>
      </c>
      <c r="E1070" s="270">
        <v>29010.09</v>
      </c>
      <c r="F1070" s="129">
        <f t="shared" si="40"/>
        <v>9.696326331726457E-3</v>
      </c>
      <c r="G1070" s="270">
        <v>17463.8</v>
      </c>
      <c r="H1070" s="129">
        <f t="shared" si="39"/>
        <v>1.1412107084425305E-2</v>
      </c>
    </row>
    <row r="1071" spans="2:8" x14ac:dyDescent="0.3">
      <c r="B1071" s="269">
        <v>44600</v>
      </c>
      <c r="C1071" s="270">
        <v>457.45</v>
      </c>
      <c r="D1071" s="129">
        <f t="shared" si="40"/>
        <v>-1.2839879154078471E-2</v>
      </c>
      <c r="E1071" s="270">
        <v>28731.5</v>
      </c>
      <c r="F1071" s="129">
        <f t="shared" si="40"/>
        <v>-1.0683236828621934E-2</v>
      </c>
      <c r="G1071" s="270">
        <v>17266.75</v>
      </c>
      <c r="H1071" s="129">
        <f t="shared" si="39"/>
        <v>3.0876748617372218E-3</v>
      </c>
    </row>
    <row r="1072" spans="2:8" x14ac:dyDescent="0.3">
      <c r="B1072" s="269">
        <v>44599</v>
      </c>
      <c r="C1072" s="270">
        <v>463.4</v>
      </c>
      <c r="D1072" s="129">
        <f t="shared" si="40"/>
        <v>1.9892752119010648E-3</v>
      </c>
      <c r="E1072" s="270">
        <v>29041.759999999998</v>
      </c>
      <c r="F1072" s="129">
        <f t="shared" si="40"/>
        <v>-2.127848870831428E-2</v>
      </c>
      <c r="G1072" s="270">
        <v>17213.599999999999</v>
      </c>
      <c r="H1072" s="129">
        <f t="shared" si="39"/>
        <v>-1.7281046796412514E-2</v>
      </c>
    </row>
    <row r="1073" spans="2:8" x14ac:dyDescent="0.3">
      <c r="B1073" s="269">
        <v>44596</v>
      </c>
      <c r="C1073" s="270">
        <v>462.48</v>
      </c>
      <c r="D1073" s="129">
        <f t="shared" si="40"/>
        <v>-1.0166299253044575E-2</v>
      </c>
      <c r="E1073" s="270">
        <v>29673.16</v>
      </c>
      <c r="F1073" s="129">
        <f t="shared" si="40"/>
        <v>-2.6953124473572121E-4</v>
      </c>
      <c r="G1073" s="270">
        <v>17516.3</v>
      </c>
      <c r="H1073" s="129">
        <f t="shared" si="39"/>
        <v>-2.4999715265202616E-3</v>
      </c>
    </row>
    <row r="1074" spans="2:8" x14ac:dyDescent="0.3">
      <c r="B1074" s="269">
        <v>44595</v>
      </c>
      <c r="C1074" s="270">
        <v>467.23</v>
      </c>
      <c r="D1074" s="129">
        <f t="shared" si="40"/>
        <v>-1.0210782756063908E-2</v>
      </c>
      <c r="E1074" s="270">
        <v>29681.16</v>
      </c>
      <c r="F1074" s="129">
        <f t="shared" si="40"/>
        <v>-1.4390400378289314E-2</v>
      </c>
      <c r="G1074" s="270">
        <v>17560.2</v>
      </c>
      <c r="H1074" s="129">
        <f t="shared" si="39"/>
        <v>-1.2362204724409409E-2</v>
      </c>
    </row>
    <row r="1075" spans="2:8" x14ac:dyDescent="0.3">
      <c r="B1075" s="269">
        <v>44594</v>
      </c>
      <c r="C1075" s="270">
        <v>472.05</v>
      </c>
      <c r="D1075" s="129">
        <f t="shared" si="40"/>
        <v>1.866637893828238E-2</v>
      </c>
      <c r="E1075" s="270">
        <v>30114.52</v>
      </c>
      <c r="F1075" s="129">
        <f t="shared" si="40"/>
        <v>3.3791910865590413E-3</v>
      </c>
      <c r="G1075" s="270">
        <v>17780</v>
      </c>
      <c r="H1075" s="129">
        <f t="shared" si="39"/>
        <v>1.1557816104706076E-2</v>
      </c>
    </row>
    <row r="1076" spans="2:8" x14ac:dyDescent="0.3">
      <c r="B1076" s="269">
        <v>44593</v>
      </c>
      <c r="C1076" s="270">
        <v>463.4</v>
      </c>
      <c r="D1076" s="129">
        <f t="shared" si="40"/>
        <v>7.7637387730247198E-3</v>
      </c>
      <c r="E1076" s="270">
        <v>30013.1</v>
      </c>
      <c r="F1076" s="129">
        <f t="shared" si="40"/>
        <v>2.9315838028965979E-2</v>
      </c>
      <c r="G1076" s="270">
        <v>17576.849999999999</v>
      </c>
      <c r="H1076" s="129">
        <f t="shared" si="39"/>
        <v>1.3667938303964622E-2</v>
      </c>
    </row>
    <row r="1077" spans="2:8" x14ac:dyDescent="0.3">
      <c r="B1077" s="269">
        <v>44592</v>
      </c>
      <c r="C1077" s="270">
        <v>459.83</v>
      </c>
      <c r="D1077" s="129">
        <f t="shared" si="40"/>
        <v>9.506037321624472E-3</v>
      </c>
      <c r="E1077" s="270">
        <v>29158.3</v>
      </c>
      <c r="F1077" s="129">
        <f t="shared" si="40"/>
        <v>9.6860718220908026E-3</v>
      </c>
      <c r="G1077" s="270">
        <v>17339.849999999999</v>
      </c>
      <c r="H1077" s="129">
        <f t="shared" si="39"/>
        <v>1.3910694394498657E-2</v>
      </c>
    </row>
    <row r="1078" spans="2:8" x14ac:dyDescent="0.3">
      <c r="B1078" s="269">
        <v>44589</v>
      </c>
      <c r="C1078" s="270">
        <v>455.5</v>
      </c>
      <c r="D1078" s="129">
        <f t="shared" si="40"/>
        <v>-8.705114254624613E-3</v>
      </c>
      <c r="E1078" s="270">
        <v>28878.58</v>
      </c>
      <c r="F1078" s="129">
        <f t="shared" si="40"/>
        <v>-1.4450022596528278E-3</v>
      </c>
      <c r="G1078" s="270">
        <v>17101.95</v>
      </c>
      <c r="H1078" s="129">
        <f t="shared" si="39"/>
        <v>-4.7924769800389289E-4</v>
      </c>
    </row>
    <row r="1079" spans="2:8" x14ac:dyDescent="0.3">
      <c r="B1079" s="269">
        <v>44588</v>
      </c>
      <c r="C1079" s="270">
        <v>459.5</v>
      </c>
      <c r="D1079" s="129">
        <f t="shared" si="40"/>
        <v>-1.0869565217391797E-3</v>
      </c>
      <c r="E1079" s="270">
        <v>28920.37</v>
      </c>
      <c r="F1079" s="129">
        <f t="shared" si="40"/>
        <v>-7.9309622088964415E-3</v>
      </c>
      <c r="G1079" s="270">
        <v>17110.150000000001</v>
      </c>
      <c r="H1079" s="129">
        <f t="shared" si="39"/>
        <v>-9.7118003003827669E-3</v>
      </c>
    </row>
    <row r="1080" spans="2:8" x14ac:dyDescent="0.3">
      <c r="B1080" s="269">
        <v>44586</v>
      </c>
      <c r="C1080" s="270">
        <v>460</v>
      </c>
      <c r="D1080" s="129">
        <f t="shared" si="40"/>
        <v>-9.687836383207804E-3</v>
      </c>
      <c r="E1080" s="270">
        <v>29151.57</v>
      </c>
      <c r="F1080" s="129">
        <f t="shared" si="40"/>
        <v>1.3622491680224336E-2</v>
      </c>
      <c r="G1080" s="270">
        <v>17277.95</v>
      </c>
      <c r="H1080" s="129">
        <f t="shared" si="39"/>
        <v>7.5135138287141245E-3</v>
      </c>
    </row>
    <row r="1081" spans="2:8" x14ac:dyDescent="0.3">
      <c r="B1081" s="269">
        <v>44585</v>
      </c>
      <c r="C1081" s="270">
        <v>464.5</v>
      </c>
      <c r="D1081" s="129">
        <f t="shared" si="40"/>
        <v>-2.573567967783208E-2</v>
      </c>
      <c r="E1081" s="270">
        <v>28759.79</v>
      </c>
      <c r="F1081" s="129">
        <f t="shared" si="40"/>
        <v>-3.2757995023174002E-2</v>
      </c>
      <c r="G1081" s="270">
        <v>17149.099999999999</v>
      </c>
      <c r="H1081" s="129">
        <f t="shared" si="39"/>
        <v>-2.6567861430481288E-2</v>
      </c>
    </row>
    <row r="1082" spans="2:8" x14ac:dyDescent="0.3">
      <c r="B1082" s="269">
        <v>44582</v>
      </c>
      <c r="C1082" s="270">
        <v>476.77</v>
      </c>
      <c r="D1082" s="129">
        <f t="shared" si="40"/>
        <v>-3.1644155580379918E-2</v>
      </c>
      <c r="E1082" s="270">
        <v>29733.81</v>
      </c>
      <c r="F1082" s="129">
        <f t="shared" si="40"/>
        <v>-2.3066540587320272E-2</v>
      </c>
      <c r="G1082" s="270">
        <v>17617.150000000001</v>
      </c>
      <c r="H1082" s="129">
        <f t="shared" si="39"/>
        <v>-7.875767303035297E-3</v>
      </c>
    </row>
    <row r="1083" spans="2:8" x14ac:dyDescent="0.3">
      <c r="B1083" s="269">
        <v>44581</v>
      </c>
      <c r="C1083" s="270">
        <v>492.35</v>
      </c>
      <c r="D1083" s="129">
        <f t="shared" si="40"/>
        <v>6.2333946454118383E-3</v>
      </c>
      <c r="E1083" s="270">
        <v>30435.86</v>
      </c>
      <c r="F1083" s="129">
        <f t="shared" si="40"/>
        <v>-3.9738471572577927E-3</v>
      </c>
      <c r="G1083" s="270">
        <v>17757</v>
      </c>
      <c r="H1083" s="129">
        <f t="shared" si="39"/>
        <v>-1.0112384605093117E-2</v>
      </c>
    </row>
    <row r="1084" spans="2:8" x14ac:dyDescent="0.3">
      <c r="B1084" s="269">
        <v>44580</v>
      </c>
      <c r="C1084" s="270">
        <v>489.3</v>
      </c>
      <c r="D1084" s="129">
        <f t="shared" si="40"/>
        <v>-1.2811459699384575E-2</v>
      </c>
      <c r="E1084" s="270">
        <v>30557.29</v>
      </c>
      <c r="F1084" s="129">
        <f t="shared" si="40"/>
        <v>2.4344652836918446E-3</v>
      </c>
      <c r="G1084" s="270">
        <v>17938.400000000001</v>
      </c>
      <c r="H1084" s="129">
        <f t="shared" si="39"/>
        <v>-9.6422192838863108E-3</v>
      </c>
    </row>
    <row r="1085" spans="2:8" x14ac:dyDescent="0.3">
      <c r="B1085" s="269">
        <v>44579</v>
      </c>
      <c r="C1085" s="270">
        <v>495.65</v>
      </c>
      <c r="D1085" s="129">
        <f t="shared" si="40"/>
        <v>-0.16550214664534058</v>
      </c>
      <c r="E1085" s="270">
        <v>30483.08</v>
      </c>
      <c r="F1085" s="129">
        <f t="shared" si="40"/>
        <v>-2.0237067102158446E-2</v>
      </c>
      <c r="G1085" s="270">
        <v>18113.05</v>
      </c>
      <c r="H1085" s="129">
        <f t="shared" si="39"/>
        <v>-1.0653754349167821E-2</v>
      </c>
    </row>
    <row r="1086" spans="2:8" x14ac:dyDescent="0.3">
      <c r="B1086" s="269">
        <v>44578</v>
      </c>
      <c r="C1086" s="270">
        <v>593.95000000000005</v>
      </c>
      <c r="D1086" s="129">
        <f t="shared" si="40"/>
        <v>1.8694794614527277E-2</v>
      </c>
      <c r="E1086" s="270">
        <v>31112.71</v>
      </c>
      <c r="F1086" s="129">
        <f t="shared" si="40"/>
        <v>7.6938872543494963E-3</v>
      </c>
      <c r="G1086" s="270">
        <v>18308.099999999999</v>
      </c>
      <c r="H1086" s="129">
        <f t="shared" si="39"/>
        <v>2.8675896635306231E-3</v>
      </c>
    </row>
    <row r="1087" spans="2:8" x14ac:dyDescent="0.3">
      <c r="B1087" s="269">
        <v>44575</v>
      </c>
      <c r="C1087" s="270">
        <v>583.04999999999995</v>
      </c>
      <c r="D1087" s="129">
        <f t="shared" si="40"/>
        <v>-3.0753885795029468E-2</v>
      </c>
      <c r="E1087" s="270">
        <v>30875.16</v>
      </c>
      <c r="F1087" s="129">
        <f t="shared" si="40"/>
        <v>1.4300328582325994E-2</v>
      </c>
      <c r="G1087" s="270">
        <v>18255.75</v>
      </c>
      <c r="H1087" s="129">
        <f t="shared" si="39"/>
        <v>-1.1228077862612817E-4</v>
      </c>
    </row>
    <row r="1088" spans="2:8" x14ac:dyDescent="0.3">
      <c r="B1088" s="269">
        <v>44574</v>
      </c>
      <c r="C1088" s="270">
        <v>601.54999999999995</v>
      </c>
      <c r="D1088" s="129">
        <f t="shared" si="40"/>
        <v>0.15019120458891</v>
      </c>
      <c r="E1088" s="270">
        <v>30439.86</v>
      </c>
      <c r="F1088" s="129">
        <f t="shared" si="40"/>
        <v>1.5629556424086699E-2</v>
      </c>
      <c r="G1088" s="270">
        <v>18257.8</v>
      </c>
      <c r="H1088" s="129">
        <f t="shared" si="39"/>
        <v>2.495559331991748E-3</v>
      </c>
    </row>
    <row r="1089" spans="2:8" x14ac:dyDescent="0.3">
      <c r="B1089" s="269">
        <v>44573</v>
      </c>
      <c r="C1089" s="270">
        <v>523</v>
      </c>
      <c r="D1089" s="129">
        <f t="shared" si="40"/>
        <v>-3.429878048780366E-3</v>
      </c>
      <c r="E1089" s="270">
        <v>29971.42</v>
      </c>
      <c r="F1089" s="129">
        <f t="shared" si="40"/>
        <v>5.3040103926804694E-3</v>
      </c>
      <c r="G1089" s="270">
        <v>18212.349999999999</v>
      </c>
      <c r="H1089" s="129">
        <f t="shared" si="39"/>
        <v>8.6731373662130018E-3</v>
      </c>
    </row>
    <row r="1090" spans="2:8" x14ac:dyDescent="0.3">
      <c r="B1090" s="269">
        <v>44572</v>
      </c>
      <c r="C1090" s="270">
        <v>524.79999999999995</v>
      </c>
      <c r="D1090" s="129">
        <f t="shared" si="40"/>
        <v>9.1337371406594592E-3</v>
      </c>
      <c r="E1090" s="270">
        <v>29813.29</v>
      </c>
      <c r="F1090" s="129">
        <f t="shared" si="40"/>
        <v>2.1156053626261162E-3</v>
      </c>
      <c r="G1090" s="270">
        <v>18055.75</v>
      </c>
      <c r="H1090" s="129">
        <f t="shared" si="39"/>
        <v>2.9133547738471322E-3</v>
      </c>
    </row>
    <row r="1091" spans="2:8" x14ac:dyDescent="0.3">
      <c r="B1091" s="269">
        <v>44571</v>
      </c>
      <c r="C1091" s="270">
        <v>520.04999999999995</v>
      </c>
      <c r="D1091" s="129">
        <f t="shared" si="40"/>
        <v>5.2577658361199209E-3</v>
      </c>
      <c r="E1091" s="270">
        <v>29750.35</v>
      </c>
      <c r="F1091" s="129">
        <f t="shared" si="40"/>
        <v>2.274383645091782E-2</v>
      </c>
      <c r="G1091" s="270">
        <v>18003.3</v>
      </c>
      <c r="H1091" s="129">
        <f t="shared" si="39"/>
        <v>1.0700230734251415E-2</v>
      </c>
    </row>
    <row r="1092" spans="2:8" x14ac:dyDescent="0.3">
      <c r="B1092" s="269">
        <v>44568</v>
      </c>
      <c r="C1092" s="270">
        <v>517.33000000000004</v>
      </c>
      <c r="D1092" s="129">
        <f t="shared" si="40"/>
        <v>1.9128481935305919E-2</v>
      </c>
      <c r="E1092" s="270">
        <v>29088.76</v>
      </c>
      <c r="F1092" s="129">
        <f t="shared" si="40"/>
        <v>-7.8021659418436862E-3</v>
      </c>
      <c r="G1092" s="270">
        <v>17812.7</v>
      </c>
      <c r="H1092" s="129">
        <f t="shared" si="39"/>
        <v>3.7642497703693767E-3</v>
      </c>
    </row>
    <row r="1093" spans="2:8" x14ac:dyDescent="0.3">
      <c r="B1093" s="269">
        <v>44567</v>
      </c>
      <c r="C1093" s="270">
        <v>507.62</v>
      </c>
      <c r="D1093" s="129">
        <f t="shared" si="40"/>
        <v>-2.2603534013404536E-3</v>
      </c>
      <c r="E1093" s="270">
        <v>29317.5</v>
      </c>
      <c r="F1093" s="129">
        <f t="shared" si="40"/>
        <v>-4.5640487954604625E-3</v>
      </c>
      <c r="G1093" s="270">
        <v>17745.900000000001</v>
      </c>
      <c r="H1093" s="129">
        <f t="shared" si="39"/>
        <v>-1.0005439254682558E-2</v>
      </c>
    </row>
    <row r="1094" spans="2:8" x14ac:dyDescent="0.3">
      <c r="B1094" s="269">
        <v>44566</v>
      </c>
      <c r="C1094" s="270">
        <v>508.77</v>
      </c>
      <c r="D1094" s="129">
        <f t="shared" si="40"/>
        <v>1.699082495452453E-2</v>
      </c>
      <c r="E1094" s="270">
        <v>29451.919999999998</v>
      </c>
      <c r="F1094" s="129">
        <f t="shared" si="40"/>
        <v>2.9108056679665317E-3</v>
      </c>
      <c r="G1094" s="270">
        <v>17925.25</v>
      </c>
      <c r="H1094" s="129">
        <f t="shared" si="39"/>
        <v>6.7395852346920915E-3</v>
      </c>
    </row>
    <row r="1095" spans="2:8" x14ac:dyDescent="0.3">
      <c r="B1095" s="269">
        <v>44565</v>
      </c>
      <c r="C1095" s="270">
        <v>500.27</v>
      </c>
      <c r="D1095" s="129">
        <f t="shared" si="40"/>
        <v>-1.7961603392093073E-2</v>
      </c>
      <c r="E1095" s="270">
        <v>29366.44</v>
      </c>
      <c r="F1095" s="129">
        <f t="shared" si="40"/>
        <v>8.3829201735712289E-3</v>
      </c>
      <c r="G1095" s="270">
        <v>17805.25</v>
      </c>
      <c r="H1095" s="129">
        <f t="shared" si="39"/>
        <v>1.0186829459255531E-2</v>
      </c>
    </row>
    <row r="1096" spans="2:8" x14ac:dyDescent="0.3">
      <c r="B1096" s="269">
        <v>44564</v>
      </c>
      <c r="C1096" s="270">
        <v>509.42</v>
      </c>
      <c r="D1096" s="129">
        <f t="shared" si="40"/>
        <v>5.2688702516034969E-3</v>
      </c>
      <c r="E1096" s="270">
        <v>29122.31</v>
      </c>
      <c r="F1096" s="129">
        <f t="shared" si="40"/>
        <v>1.2924545889633432E-2</v>
      </c>
      <c r="G1096" s="270">
        <v>17625.7</v>
      </c>
      <c r="H1096" s="129">
        <f t="shared" si="39"/>
        <v>1.5653406553513438E-2</v>
      </c>
    </row>
    <row r="1097" spans="2:8" x14ac:dyDescent="0.3">
      <c r="B1097" s="269">
        <v>44561</v>
      </c>
      <c r="C1097" s="270">
        <v>506.75</v>
      </c>
      <c r="D1097" s="129">
        <f t="shared" si="40"/>
        <v>2.8695824262814362E-3</v>
      </c>
      <c r="E1097" s="270">
        <v>28750.720000000001</v>
      </c>
      <c r="F1097" s="129">
        <f t="shared" si="40"/>
        <v>6.4604390438061099E-3</v>
      </c>
      <c r="G1097" s="270">
        <v>17354.05</v>
      </c>
      <c r="H1097" s="129">
        <f t="shared" si="39"/>
        <v>8.7247405392365529E-3</v>
      </c>
    </row>
    <row r="1098" spans="2:8" x14ac:dyDescent="0.3">
      <c r="B1098" s="269">
        <v>44560</v>
      </c>
      <c r="C1098" s="270">
        <v>505.3</v>
      </c>
      <c r="D1098" s="129">
        <f t="shared" si="40"/>
        <v>-1.3182306415388978E-2</v>
      </c>
      <c r="E1098" s="270">
        <v>28566.17</v>
      </c>
      <c r="F1098" s="129">
        <f t="shared" si="40"/>
        <v>-2.057288264199375E-3</v>
      </c>
      <c r="G1098" s="270">
        <v>17203.95</v>
      </c>
      <c r="H1098" s="129">
        <f t="shared" ref="H1098:H1161" si="41">G1098/G1099-1</f>
        <v>-5.6060324394646699E-4</v>
      </c>
    </row>
    <row r="1099" spans="2:8" x14ac:dyDescent="0.3">
      <c r="B1099" s="269">
        <v>44559</v>
      </c>
      <c r="C1099" s="270">
        <v>512.04999999999995</v>
      </c>
      <c r="D1099" s="129">
        <f t="shared" si="40"/>
        <v>9.0052809962952729E-3</v>
      </c>
      <c r="E1099" s="270">
        <v>28625.06</v>
      </c>
      <c r="F1099" s="129">
        <f t="shared" si="40"/>
        <v>1.4193011664718203E-3</v>
      </c>
      <c r="G1099" s="270">
        <v>17213.599999999999</v>
      </c>
      <c r="H1099" s="129">
        <f t="shared" si="41"/>
        <v>-1.1402376220388533E-3</v>
      </c>
    </row>
    <row r="1100" spans="2:8" x14ac:dyDescent="0.3">
      <c r="B1100" s="269">
        <v>44558</v>
      </c>
      <c r="C1100" s="270">
        <v>507.48</v>
      </c>
      <c r="D1100" s="129">
        <f t="shared" si="40"/>
        <v>4.9506911164798328E-3</v>
      </c>
      <c r="E1100" s="270">
        <v>28584.49</v>
      </c>
      <c r="F1100" s="129">
        <f t="shared" si="40"/>
        <v>1.558958718753245E-2</v>
      </c>
      <c r="G1100" s="270">
        <v>17233.25</v>
      </c>
      <c r="H1100" s="129">
        <f t="shared" si="41"/>
        <v>8.6034091740434526E-3</v>
      </c>
    </row>
    <row r="1101" spans="2:8" x14ac:dyDescent="0.3">
      <c r="B1101" s="269">
        <v>44557</v>
      </c>
      <c r="C1101" s="270">
        <v>504.98</v>
      </c>
      <c r="D1101" s="129">
        <f t="shared" si="40"/>
        <v>-2.8041074249604003E-3</v>
      </c>
      <c r="E1101" s="270">
        <v>28145.71</v>
      </c>
      <c r="F1101" s="129">
        <f t="shared" si="40"/>
        <v>4.0360195301394342E-3</v>
      </c>
      <c r="G1101" s="270">
        <v>17086.25</v>
      </c>
      <c r="H1101" s="129">
        <f t="shared" si="41"/>
        <v>4.8518709108285041E-3</v>
      </c>
    </row>
    <row r="1102" spans="2:8" x14ac:dyDescent="0.3">
      <c r="B1102" s="269">
        <v>44554</v>
      </c>
      <c r="C1102" s="270">
        <v>506.4</v>
      </c>
      <c r="D1102" s="129">
        <f t="shared" si="40"/>
        <v>-5.2057754640998377E-3</v>
      </c>
      <c r="E1102" s="270">
        <v>28032.57</v>
      </c>
      <c r="F1102" s="129">
        <f t="shared" si="40"/>
        <v>-1.0241280559044164E-2</v>
      </c>
      <c r="G1102" s="270">
        <v>17003.75</v>
      </c>
      <c r="H1102" s="129">
        <f t="shared" si="41"/>
        <v>-4.0327776671390536E-3</v>
      </c>
    </row>
    <row r="1103" spans="2:8" x14ac:dyDescent="0.3">
      <c r="B1103" s="269">
        <v>44553</v>
      </c>
      <c r="C1103" s="270">
        <v>509.05</v>
      </c>
      <c r="D1103" s="129">
        <f t="shared" si="40"/>
        <v>-6.7317073170731767E-3</v>
      </c>
      <c r="E1103" s="270">
        <v>28322.63</v>
      </c>
      <c r="F1103" s="129">
        <f t="shared" si="40"/>
        <v>7.6047169452204688E-3</v>
      </c>
      <c r="G1103" s="270">
        <v>17072.599999999999</v>
      </c>
      <c r="H1103" s="129">
        <f t="shared" si="41"/>
        <v>6.9092828559547126E-3</v>
      </c>
    </row>
    <row r="1104" spans="2:8" x14ac:dyDescent="0.3">
      <c r="B1104" s="269">
        <v>44552</v>
      </c>
      <c r="C1104" s="270">
        <v>512.5</v>
      </c>
      <c r="D1104" s="129">
        <f t="shared" si="40"/>
        <v>1.1806049119482021E-2</v>
      </c>
      <c r="E1104" s="270">
        <v>28108.87</v>
      </c>
      <c r="F1104" s="129">
        <f t="shared" si="40"/>
        <v>2.0070540477670429E-2</v>
      </c>
      <c r="G1104" s="270">
        <v>16955.45</v>
      </c>
      <c r="H1104" s="129">
        <f t="shared" si="41"/>
        <v>1.1007194030117962E-2</v>
      </c>
    </row>
    <row r="1105" spans="2:8" x14ac:dyDescent="0.3">
      <c r="B1105" s="269">
        <v>44551</v>
      </c>
      <c r="C1105" s="270">
        <v>506.52</v>
      </c>
      <c r="D1105" s="129">
        <f t="shared" si="40"/>
        <v>4.601348671162242E-3</v>
      </c>
      <c r="E1105" s="270">
        <v>27555.81</v>
      </c>
      <c r="F1105" s="129">
        <f t="shared" si="40"/>
        <v>1.2767738810265383E-2</v>
      </c>
      <c r="G1105" s="270">
        <v>16770.849999999999</v>
      </c>
      <c r="H1105" s="129">
        <f t="shared" si="41"/>
        <v>9.4286814893282944E-3</v>
      </c>
    </row>
    <row r="1106" spans="2:8" x14ac:dyDescent="0.3">
      <c r="B1106" s="269">
        <v>44550</v>
      </c>
      <c r="C1106" s="270">
        <v>504.2</v>
      </c>
      <c r="D1106" s="129">
        <f t="shared" si="40"/>
        <v>-2.6922705780179412E-2</v>
      </c>
      <c r="E1106" s="270">
        <v>27208.42</v>
      </c>
      <c r="F1106" s="129">
        <f t="shared" si="40"/>
        <v>-3.0260412118706559E-2</v>
      </c>
      <c r="G1106" s="270">
        <v>16614.2</v>
      </c>
      <c r="H1106" s="129">
        <f t="shared" si="41"/>
        <v>-2.1842545274709746E-2</v>
      </c>
    </row>
    <row r="1107" spans="2:8" x14ac:dyDescent="0.3">
      <c r="B1107" s="269">
        <v>44547</v>
      </c>
      <c r="C1107" s="270">
        <v>518.15</v>
      </c>
      <c r="D1107" s="129">
        <f t="shared" ref="D1107:F1170" si="42">C1107/C1108-1</f>
        <v>-3.9662681864516713E-2</v>
      </c>
      <c r="E1107" s="270">
        <v>28057.45</v>
      </c>
      <c r="F1107" s="129">
        <f t="shared" si="42"/>
        <v>-1.4911093439224254E-2</v>
      </c>
      <c r="G1107" s="270">
        <v>16985.2</v>
      </c>
      <c r="H1107" s="129">
        <f t="shared" si="41"/>
        <v>-1.5259386377866946E-2</v>
      </c>
    </row>
    <row r="1108" spans="2:8" x14ac:dyDescent="0.3">
      <c r="B1108" s="269">
        <v>44546</v>
      </c>
      <c r="C1108" s="270">
        <v>539.54999999999995</v>
      </c>
      <c r="D1108" s="129">
        <f t="shared" si="42"/>
        <v>-4.2447171726494037E-3</v>
      </c>
      <c r="E1108" s="270">
        <v>28482.15</v>
      </c>
      <c r="F1108" s="129">
        <f t="shared" si="42"/>
        <v>-6.4239193757128499E-3</v>
      </c>
      <c r="G1108" s="270">
        <v>17248.400000000001</v>
      </c>
      <c r="H1108" s="129">
        <f t="shared" si="41"/>
        <v>1.5678167860917469E-3</v>
      </c>
    </row>
    <row r="1109" spans="2:8" x14ac:dyDescent="0.3">
      <c r="B1109" s="269">
        <v>44545</v>
      </c>
      <c r="C1109" s="270">
        <v>541.85</v>
      </c>
      <c r="D1109" s="129">
        <f t="shared" si="42"/>
        <v>4.6547561564461715E-2</v>
      </c>
      <c r="E1109" s="270">
        <v>28666.3</v>
      </c>
      <c r="F1109" s="129">
        <f t="shared" si="42"/>
        <v>8.9907491301666198E-4</v>
      </c>
      <c r="G1109" s="270">
        <v>17221.400000000001</v>
      </c>
      <c r="H1109" s="129">
        <f t="shared" si="41"/>
        <v>-5.9740604563374156E-3</v>
      </c>
    </row>
    <row r="1110" spans="2:8" x14ac:dyDescent="0.3">
      <c r="B1110" s="269">
        <v>44544</v>
      </c>
      <c r="C1110" s="270">
        <v>517.75</v>
      </c>
      <c r="D1110" s="129">
        <f t="shared" si="42"/>
        <v>-1.2549348692617368E-2</v>
      </c>
      <c r="E1110" s="270">
        <v>28640.55</v>
      </c>
      <c r="F1110" s="129">
        <f t="shared" si="42"/>
        <v>5.9353965852240176E-3</v>
      </c>
      <c r="G1110" s="270">
        <v>17324.900000000001</v>
      </c>
      <c r="H1110" s="129">
        <f t="shared" si="41"/>
        <v>-2.4959336720740133E-3</v>
      </c>
    </row>
    <row r="1111" spans="2:8" x14ac:dyDescent="0.3">
      <c r="B1111" s="269">
        <v>44543</v>
      </c>
      <c r="C1111" s="270">
        <v>524.33000000000004</v>
      </c>
      <c r="D1111" s="129">
        <f t="shared" si="42"/>
        <v>3.0219078494940765E-2</v>
      </c>
      <c r="E1111" s="270">
        <v>28471.56</v>
      </c>
      <c r="F1111" s="129">
        <f t="shared" si="42"/>
        <v>-1.011915622236903E-3</v>
      </c>
      <c r="G1111" s="270">
        <v>17368.25</v>
      </c>
      <c r="H1111" s="129">
        <f t="shared" si="41"/>
        <v>-8.1690108672685113E-3</v>
      </c>
    </row>
    <row r="1112" spans="2:8" x14ac:dyDescent="0.3">
      <c r="B1112" s="269">
        <v>44540</v>
      </c>
      <c r="C1112" s="270">
        <v>508.95</v>
      </c>
      <c r="D1112" s="129">
        <f t="shared" si="42"/>
        <v>1.4166814237648317E-3</v>
      </c>
      <c r="E1112" s="270">
        <v>28500.400000000001</v>
      </c>
      <c r="F1112" s="129">
        <f t="shared" si="42"/>
        <v>2.7700694575654161E-3</v>
      </c>
      <c r="G1112" s="270">
        <v>17511.3</v>
      </c>
      <c r="H1112" s="129">
        <f t="shared" si="41"/>
        <v>-3.1683778761593118E-4</v>
      </c>
    </row>
    <row r="1113" spans="2:8" x14ac:dyDescent="0.3">
      <c r="B1113" s="269">
        <v>44539</v>
      </c>
      <c r="C1113" s="270">
        <v>508.23</v>
      </c>
      <c r="D1113" s="129">
        <f t="shared" si="42"/>
        <v>1.6053578568572702E-2</v>
      </c>
      <c r="E1113" s="270">
        <v>28421.67</v>
      </c>
      <c r="F1113" s="129">
        <f t="shared" si="42"/>
        <v>1.9787450318781374E-2</v>
      </c>
      <c r="G1113" s="270">
        <v>17516.849999999999</v>
      </c>
      <c r="H1113" s="129">
        <f t="shared" si="41"/>
        <v>2.6960889537628319E-3</v>
      </c>
    </row>
    <row r="1114" spans="2:8" x14ac:dyDescent="0.3">
      <c r="B1114" s="269">
        <v>44538</v>
      </c>
      <c r="C1114" s="270">
        <v>500.2</v>
      </c>
      <c r="D1114" s="129">
        <f t="shared" si="42"/>
        <v>1.214083367057861E-2</v>
      </c>
      <c r="E1114" s="270">
        <v>27870.19</v>
      </c>
      <c r="F1114" s="129">
        <f t="shared" si="42"/>
        <v>8.352225487294529E-3</v>
      </c>
      <c r="G1114" s="270">
        <v>17469.75</v>
      </c>
      <c r="H1114" s="129">
        <f t="shared" si="41"/>
        <v>1.7060902268771105E-2</v>
      </c>
    </row>
    <row r="1115" spans="2:8" x14ac:dyDescent="0.3">
      <c r="B1115" s="269">
        <v>44537</v>
      </c>
      <c r="C1115" s="270">
        <v>494.2</v>
      </c>
      <c r="D1115" s="129">
        <f t="shared" si="42"/>
        <v>6.2713797035347518E-3</v>
      </c>
      <c r="E1115" s="270">
        <v>27639.34</v>
      </c>
      <c r="F1115" s="129">
        <f t="shared" si="42"/>
        <v>1.2599916029868874E-2</v>
      </c>
      <c r="G1115" s="270">
        <v>17176.7</v>
      </c>
      <c r="H1115" s="129">
        <f t="shared" si="41"/>
        <v>1.5636594775976009E-2</v>
      </c>
    </row>
    <row r="1116" spans="2:8" x14ac:dyDescent="0.3">
      <c r="B1116" s="269">
        <v>44536</v>
      </c>
      <c r="C1116" s="270">
        <v>491.12</v>
      </c>
      <c r="D1116" s="129">
        <f t="shared" si="42"/>
        <v>-1.7917133258678608E-2</v>
      </c>
      <c r="E1116" s="270">
        <v>27295.42</v>
      </c>
      <c r="F1116" s="129">
        <f t="shared" si="42"/>
        <v>-9.9123317067296712E-3</v>
      </c>
      <c r="G1116" s="270">
        <v>16912.25</v>
      </c>
      <c r="H1116" s="129">
        <f t="shared" si="41"/>
        <v>-1.6540964254769808E-2</v>
      </c>
    </row>
    <row r="1117" spans="2:8" x14ac:dyDescent="0.3">
      <c r="B1117" s="269">
        <v>44533</v>
      </c>
      <c r="C1117" s="270">
        <v>500.08</v>
      </c>
      <c r="D1117" s="129">
        <f t="shared" si="42"/>
        <v>-1.0526315789473717E-2</v>
      </c>
      <c r="E1117" s="270">
        <v>27568.69</v>
      </c>
      <c r="F1117" s="129">
        <f t="shared" si="42"/>
        <v>7.5616397903790489E-3</v>
      </c>
      <c r="G1117" s="270">
        <v>17196.7</v>
      </c>
      <c r="H1117" s="129">
        <f t="shared" si="41"/>
        <v>-1.1777618789022948E-2</v>
      </c>
    </row>
    <row r="1118" spans="2:8" x14ac:dyDescent="0.3">
      <c r="B1118" s="269">
        <v>44532</v>
      </c>
      <c r="C1118" s="270">
        <v>505.4</v>
      </c>
      <c r="D1118" s="129">
        <f t="shared" si="42"/>
        <v>2.3760811878380306E-2</v>
      </c>
      <c r="E1118" s="270">
        <v>27361.79</v>
      </c>
      <c r="F1118" s="129">
        <f t="shared" si="42"/>
        <v>7.429305070211667E-3</v>
      </c>
      <c r="G1118" s="270">
        <v>17401.650000000001</v>
      </c>
      <c r="H1118" s="129">
        <f t="shared" si="41"/>
        <v>1.3674571413592407E-2</v>
      </c>
    </row>
    <row r="1119" spans="2:8" x14ac:dyDescent="0.3">
      <c r="B1119" s="269">
        <v>44531</v>
      </c>
      <c r="C1119" s="270">
        <v>493.67</v>
      </c>
      <c r="D1119" s="129">
        <f t="shared" si="42"/>
        <v>4.0677690320742865E-3</v>
      </c>
      <c r="E1119" s="270">
        <v>27160.01</v>
      </c>
      <c r="F1119" s="129">
        <f t="shared" si="42"/>
        <v>9.9364922717202209E-3</v>
      </c>
      <c r="G1119" s="270">
        <v>17166.900000000001</v>
      </c>
      <c r="H1119" s="129">
        <f t="shared" si="41"/>
        <v>1.0816571670827724E-2</v>
      </c>
    </row>
    <row r="1120" spans="2:8" x14ac:dyDescent="0.3">
      <c r="B1120" s="269">
        <v>44530</v>
      </c>
      <c r="C1120" s="270">
        <v>491.67</v>
      </c>
      <c r="D1120" s="129">
        <f t="shared" si="42"/>
        <v>4.2999575731862638E-2</v>
      </c>
      <c r="E1120" s="270">
        <v>26892.79</v>
      </c>
      <c r="F1120" s="129">
        <f t="shared" si="42"/>
        <v>1.32776659307976E-3</v>
      </c>
      <c r="G1120" s="270">
        <v>16983.2</v>
      </c>
      <c r="H1120" s="129">
        <f t="shared" si="41"/>
        <v>-4.1485990049225929E-3</v>
      </c>
    </row>
    <row r="1121" spans="2:8" x14ac:dyDescent="0.3">
      <c r="B1121" s="269">
        <v>44529</v>
      </c>
      <c r="C1121" s="270">
        <v>471.4</v>
      </c>
      <c r="D1121" s="129">
        <f t="shared" si="42"/>
        <v>-2.788088756908369E-2</v>
      </c>
      <c r="E1121" s="270">
        <v>26857.13</v>
      </c>
      <c r="F1121" s="129">
        <f t="shared" si="42"/>
        <v>-7.4548622724172064E-3</v>
      </c>
      <c r="G1121" s="270">
        <v>17053.95</v>
      </c>
      <c r="H1121" s="129">
        <f t="shared" si="41"/>
        <v>1.6151341001793273E-3</v>
      </c>
    </row>
    <row r="1122" spans="2:8" x14ac:dyDescent="0.3">
      <c r="B1122" s="269">
        <v>44526</v>
      </c>
      <c r="C1122" s="270">
        <v>484.92</v>
      </c>
      <c r="D1122" s="129">
        <f t="shared" si="42"/>
        <v>-5.436817472698896E-2</v>
      </c>
      <c r="E1122" s="270">
        <v>27058.85</v>
      </c>
      <c r="F1122" s="129">
        <f t="shared" si="42"/>
        <v>-3.6051290235703748E-2</v>
      </c>
      <c r="G1122" s="270">
        <v>17026.45</v>
      </c>
      <c r="H1122" s="129">
        <f t="shared" si="41"/>
        <v>-2.9071209637180129E-2</v>
      </c>
    </row>
    <row r="1123" spans="2:8" x14ac:dyDescent="0.3">
      <c r="B1123" s="269">
        <v>44525</v>
      </c>
      <c r="C1123" s="270">
        <v>512.79999999999995</v>
      </c>
      <c r="D1123" s="129">
        <f t="shared" si="42"/>
        <v>1.0443349753694431E-2</v>
      </c>
      <c r="E1123" s="270">
        <v>28070.84</v>
      </c>
      <c r="F1123" s="129">
        <f t="shared" si="42"/>
        <v>-4.6641453664548749E-3</v>
      </c>
      <c r="G1123" s="270">
        <v>17536.25</v>
      </c>
      <c r="H1123" s="129">
        <f t="shared" si="41"/>
        <v>6.959497675860904E-3</v>
      </c>
    </row>
    <row r="1124" spans="2:8" x14ac:dyDescent="0.3">
      <c r="B1124" s="269">
        <v>44524</v>
      </c>
      <c r="C1124" s="270">
        <v>507.5</v>
      </c>
      <c r="D1124" s="129">
        <f t="shared" si="42"/>
        <v>1.5195468987427851E-3</v>
      </c>
      <c r="E1124" s="270">
        <v>28202.38</v>
      </c>
      <c r="F1124" s="129">
        <f t="shared" si="42"/>
        <v>-9.2887152753382551E-3</v>
      </c>
      <c r="G1124" s="270">
        <v>17415.05</v>
      </c>
      <c r="H1124" s="129">
        <f t="shared" si="41"/>
        <v>-5.0447485767010081E-3</v>
      </c>
    </row>
    <row r="1125" spans="2:8" x14ac:dyDescent="0.3">
      <c r="B1125" s="269">
        <v>44523</v>
      </c>
      <c r="C1125" s="270">
        <v>506.73</v>
      </c>
      <c r="D1125" s="129">
        <f t="shared" si="42"/>
        <v>2.3180212014134227E-2</v>
      </c>
      <c r="E1125" s="270">
        <v>28466.799999999999</v>
      </c>
      <c r="F1125" s="129">
        <f t="shared" si="42"/>
        <v>1.8259549804999331E-2</v>
      </c>
      <c r="G1125" s="270">
        <v>17503.349999999999</v>
      </c>
      <c r="H1125" s="129">
        <f t="shared" si="41"/>
        <v>4.9837654414910393E-3</v>
      </c>
    </row>
    <row r="1126" spans="2:8" x14ac:dyDescent="0.3">
      <c r="B1126" s="269">
        <v>44522</v>
      </c>
      <c r="C1126" s="270">
        <v>495.25</v>
      </c>
      <c r="D1126" s="129">
        <f t="shared" si="42"/>
        <v>-2.2732205931684901E-2</v>
      </c>
      <c r="E1126" s="270">
        <v>27956.33</v>
      </c>
      <c r="F1126" s="129">
        <f t="shared" si="42"/>
        <v>-1.8650544587055951E-2</v>
      </c>
      <c r="G1126" s="270">
        <v>17416.55</v>
      </c>
      <c r="H1126" s="129">
        <f t="shared" si="41"/>
        <v>-1.9603372962262444E-2</v>
      </c>
    </row>
    <row r="1127" spans="2:8" x14ac:dyDescent="0.3">
      <c r="B1127" s="269">
        <v>44518</v>
      </c>
      <c r="C1127" s="270">
        <v>506.77</v>
      </c>
      <c r="D1127" s="129">
        <f t="shared" si="42"/>
        <v>-4.8676553407171141E-2</v>
      </c>
      <c r="E1127" s="270">
        <v>28487.64</v>
      </c>
      <c r="F1127" s="129">
        <f t="shared" si="42"/>
        <v>-1.885105483110372E-2</v>
      </c>
      <c r="G1127" s="270">
        <v>17764.8</v>
      </c>
      <c r="H1127" s="129">
        <f t="shared" si="41"/>
        <v>-7.4782176309388104E-3</v>
      </c>
    </row>
    <row r="1128" spans="2:8" x14ac:dyDescent="0.3">
      <c r="B1128" s="269">
        <v>44517</v>
      </c>
      <c r="C1128" s="270">
        <v>532.70000000000005</v>
      </c>
      <c r="D1128" s="129">
        <f t="shared" si="42"/>
        <v>-1.616031027795739E-2</v>
      </c>
      <c r="E1128" s="270">
        <v>29034.98</v>
      </c>
      <c r="F1128" s="129">
        <f t="shared" si="42"/>
        <v>-2.979217587960159E-3</v>
      </c>
      <c r="G1128" s="270">
        <v>17898.650000000001</v>
      </c>
      <c r="H1128" s="129">
        <f t="shared" si="41"/>
        <v>-5.5863593937507394E-3</v>
      </c>
    </row>
    <row r="1129" spans="2:8" x14ac:dyDescent="0.3">
      <c r="B1129" s="269">
        <v>44516</v>
      </c>
      <c r="C1129" s="270">
        <v>541.45000000000005</v>
      </c>
      <c r="D1129" s="129">
        <f t="shared" si="42"/>
        <v>2.7653355602793805E-2</v>
      </c>
      <c r="E1129" s="270">
        <v>29121.74</v>
      </c>
      <c r="F1129" s="129">
        <f t="shared" si="42"/>
        <v>4.3859936532943955E-3</v>
      </c>
      <c r="G1129" s="270">
        <v>17999.2</v>
      </c>
      <c r="H1129" s="129">
        <f t="shared" si="41"/>
        <v>-6.0879816891180605E-3</v>
      </c>
    </row>
    <row r="1130" spans="2:8" x14ac:dyDescent="0.3">
      <c r="B1130" s="269">
        <v>44515</v>
      </c>
      <c r="C1130" s="270">
        <v>526.88</v>
      </c>
      <c r="D1130" s="129">
        <f t="shared" si="42"/>
        <v>1.3464645687466303E-2</v>
      </c>
      <c r="E1130" s="270">
        <v>28994.57</v>
      </c>
      <c r="F1130" s="129">
        <f t="shared" si="42"/>
        <v>-3.8051462756636401E-3</v>
      </c>
      <c r="G1130" s="270">
        <v>18109.45</v>
      </c>
      <c r="H1130" s="129">
        <f t="shared" si="41"/>
        <v>3.7010951374805146E-4</v>
      </c>
    </row>
    <row r="1131" spans="2:8" x14ac:dyDescent="0.3">
      <c r="B1131" s="269">
        <v>44512</v>
      </c>
      <c r="C1131" s="270">
        <v>519.88</v>
      </c>
      <c r="D1131" s="129">
        <f t="shared" si="42"/>
        <v>-8.430288003051567E-3</v>
      </c>
      <c r="E1131" s="270">
        <v>29105.32</v>
      </c>
      <c r="F1131" s="129">
        <f t="shared" si="42"/>
        <v>1.2304028024914038E-2</v>
      </c>
      <c r="G1131" s="270">
        <v>18102.75</v>
      </c>
      <c r="H1131" s="129">
        <f t="shared" si="41"/>
        <v>1.2820584549279479E-2</v>
      </c>
    </row>
    <row r="1132" spans="2:8" x14ac:dyDescent="0.3">
      <c r="B1132" s="269">
        <v>44511</v>
      </c>
      <c r="C1132" s="270">
        <v>524.29999999999995</v>
      </c>
      <c r="D1132" s="129">
        <f t="shared" si="42"/>
        <v>4.4061302681992487E-3</v>
      </c>
      <c r="E1132" s="270">
        <v>28751.56</v>
      </c>
      <c r="F1132" s="129">
        <f t="shared" si="42"/>
        <v>-1.372647361613355E-3</v>
      </c>
      <c r="G1132" s="270">
        <v>17873.599999999999</v>
      </c>
      <c r="H1132" s="129">
        <f t="shared" si="41"/>
        <v>-7.9701618453479339E-3</v>
      </c>
    </row>
    <row r="1133" spans="2:8" x14ac:dyDescent="0.3">
      <c r="B1133" s="269">
        <v>44510</v>
      </c>
      <c r="C1133" s="270">
        <v>522</v>
      </c>
      <c r="D1133" s="129">
        <f t="shared" si="42"/>
        <v>-2.0490880432334935E-2</v>
      </c>
      <c r="E1133" s="270">
        <v>28791.08</v>
      </c>
      <c r="F1133" s="129">
        <f t="shared" si="42"/>
        <v>-1.4625475796171683E-3</v>
      </c>
      <c r="G1133" s="270">
        <v>18017.2</v>
      </c>
      <c r="H1133" s="129">
        <f t="shared" si="41"/>
        <v>-1.4990925086938445E-3</v>
      </c>
    </row>
    <row r="1134" spans="2:8" x14ac:dyDescent="0.3">
      <c r="B1134" s="269">
        <v>44509</v>
      </c>
      <c r="C1134" s="270">
        <v>532.91999999999996</v>
      </c>
      <c r="D1134" s="129">
        <f t="shared" si="42"/>
        <v>-3.3479632921034508E-2</v>
      </c>
      <c r="E1134" s="270">
        <v>28833.25</v>
      </c>
      <c r="F1134" s="129">
        <f t="shared" si="42"/>
        <v>1.0718437099947131E-2</v>
      </c>
      <c r="G1134" s="270">
        <v>18044.25</v>
      </c>
      <c r="H1134" s="129">
        <f t="shared" si="41"/>
        <v>-1.3448782553109329E-3</v>
      </c>
    </row>
    <row r="1135" spans="2:8" x14ac:dyDescent="0.3">
      <c r="B1135" s="269">
        <v>44508</v>
      </c>
      <c r="C1135" s="270">
        <v>551.38</v>
      </c>
      <c r="D1135" s="129">
        <f t="shared" si="42"/>
        <v>4.7454407294832857E-2</v>
      </c>
      <c r="E1135" s="270">
        <v>28527.48</v>
      </c>
      <c r="F1135" s="129">
        <f t="shared" si="42"/>
        <v>1.5102631209068074E-2</v>
      </c>
      <c r="G1135" s="270">
        <v>18068.55</v>
      </c>
      <c r="H1135" s="129">
        <f t="shared" si="41"/>
        <v>8.469704411502077E-3</v>
      </c>
    </row>
    <row r="1136" spans="2:8" x14ac:dyDescent="0.3">
      <c r="B1136" s="269">
        <v>44504</v>
      </c>
      <c r="C1136" s="270">
        <v>526.4</v>
      </c>
      <c r="D1136" s="129">
        <f t="shared" si="42"/>
        <v>-4.2937938600638992E-3</v>
      </c>
      <c r="E1136" s="270">
        <v>28103.05</v>
      </c>
      <c r="F1136" s="129">
        <f t="shared" si="42"/>
        <v>9.8494553333847712E-3</v>
      </c>
      <c r="G1136" s="270">
        <v>17916.8</v>
      </c>
      <c r="H1136" s="129">
        <f t="shared" si="41"/>
        <v>4.913288313552977E-3</v>
      </c>
    </row>
    <row r="1137" spans="2:8" x14ac:dyDescent="0.3">
      <c r="B1137" s="269">
        <v>44503</v>
      </c>
      <c r="C1137" s="270">
        <v>528.66999999999996</v>
      </c>
      <c r="D1137" s="129">
        <f t="shared" si="42"/>
        <v>1.6184526669870136E-2</v>
      </c>
      <c r="E1137" s="270">
        <v>27828.95</v>
      </c>
      <c r="F1137" s="129">
        <f t="shared" si="42"/>
        <v>2.2391700643583645E-2</v>
      </c>
      <c r="G1137" s="270">
        <v>17829.2</v>
      </c>
      <c r="H1137" s="129">
        <f t="shared" si="41"/>
        <v>-3.3400507016901892E-3</v>
      </c>
    </row>
    <row r="1138" spans="2:8" x14ac:dyDescent="0.3">
      <c r="B1138" s="269">
        <v>44502</v>
      </c>
      <c r="C1138" s="270">
        <v>520.25</v>
      </c>
      <c r="D1138" s="129">
        <f t="shared" si="42"/>
        <v>-2.2233498721996758E-2</v>
      </c>
      <c r="E1138" s="270">
        <v>27219.46</v>
      </c>
      <c r="F1138" s="129">
        <f t="shared" si="42"/>
        <v>7.3237814545126234E-3</v>
      </c>
      <c r="G1138" s="270">
        <v>17888.95</v>
      </c>
      <c r="H1138" s="129">
        <f t="shared" si="41"/>
        <v>-2.2699829611844136E-3</v>
      </c>
    </row>
    <row r="1139" spans="2:8" x14ac:dyDescent="0.3">
      <c r="B1139" s="269">
        <v>44501</v>
      </c>
      <c r="C1139" s="270">
        <v>532.08000000000004</v>
      </c>
      <c r="D1139" s="129">
        <f t="shared" si="42"/>
        <v>5.1853316200454636E-2</v>
      </c>
      <c r="E1139" s="270">
        <v>27021.56</v>
      </c>
      <c r="F1139" s="129">
        <f t="shared" si="42"/>
        <v>1.3055362791222436E-2</v>
      </c>
      <c r="G1139" s="270">
        <v>17929.650000000001</v>
      </c>
      <c r="H1139" s="129">
        <f t="shared" si="41"/>
        <v>1.4599655380227672E-2</v>
      </c>
    </row>
    <row r="1140" spans="2:8" x14ac:dyDescent="0.3">
      <c r="B1140" s="269">
        <v>44498</v>
      </c>
      <c r="C1140" s="270">
        <v>505.85</v>
      </c>
      <c r="D1140" s="129">
        <f t="shared" si="42"/>
        <v>4.0690750297738276E-3</v>
      </c>
      <c r="E1140" s="270">
        <v>26673.33</v>
      </c>
      <c r="F1140" s="129">
        <f t="shared" si="42"/>
        <v>-7.344436389402853E-3</v>
      </c>
      <c r="G1140" s="270">
        <v>17671.650000000001</v>
      </c>
      <c r="H1140" s="129">
        <f t="shared" si="41"/>
        <v>-1.0393537638774042E-2</v>
      </c>
    </row>
    <row r="1141" spans="2:8" x14ac:dyDescent="0.3">
      <c r="B1141" s="269">
        <v>44497</v>
      </c>
      <c r="C1141" s="270">
        <v>503.8</v>
      </c>
      <c r="D1141" s="129">
        <f t="shared" si="42"/>
        <v>-2.8669481558601717E-2</v>
      </c>
      <c r="E1141" s="270">
        <v>26870.68</v>
      </c>
      <c r="F1141" s="129">
        <f t="shared" si="42"/>
        <v>2.3264964117974962E-4</v>
      </c>
      <c r="G1141" s="270">
        <v>17857.25</v>
      </c>
      <c r="H1141" s="129">
        <f t="shared" si="41"/>
        <v>-1.9422380490858537E-2</v>
      </c>
    </row>
    <row r="1142" spans="2:8" x14ac:dyDescent="0.3">
      <c r="B1142" s="269">
        <v>44496</v>
      </c>
      <c r="C1142" s="270">
        <v>518.66999999999996</v>
      </c>
      <c r="D1142" s="129">
        <f t="shared" si="42"/>
        <v>8.6902766135791953E-2</v>
      </c>
      <c r="E1142" s="270">
        <v>26864.43</v>
      </c>
      <c r="F1142" s="129">
        <f t="shared" si="42"/>
        <v>-5.1826078674443998E-4</v>
      </c>
      <c r="G1142" s="270">
        <v>18210.95</v>
      </c>
      <c r="H1142" s="129">
        <f t="shared" si="41"/>
        <v>-3.1447745834337626E-3</v>
      </c>
    </row>
    <row r="1143" spans="2:8" x14ac:dyDescent="0.3">
      <c r="B1143" s="269">
        <v>44495</v>
      </c>
      <c r="C1143" s="270">
        <v>477.2</v>
      </c>
      <c r="D1143" s="129">
        <f t="shared" si="42"/>
        <v>2.6280700245171706E-2</v>
      </c>
      <c r="E1143" s="270">
        <v>26878.36</v>
      </c>
      <c r="F1143" s="129">
        <f t="shared" si="42"/>
        <v>8.6294111466354018E-3</v>
      </c>
      <c r="G1143" s="270">
        <v>18268.400000000001</v>
      </c>
      <c r="H1143" s="129">
        <f t="shared" si="41"/>
        <v>7.8894810597283094E-3</v>
      </c>
    </row>
    <row r="1144" spans="2:8" x14ac:dyDescent="0.3">
      <c r="B1144" s="269">
        <v>44494</v>
      </c>
      <c r="C1144" s="270">
        <v>464.98</v>
      </c>
      <c r="D1144" s="129">
        <f t="shared" si="42"/>
        <v>-2.7238605898123325E-3</v>
      </c>
      <c r="E1144" s="270">
        <v>26648.400000000001</v>
      </c>
      <c r="F1144" s="129">
        <f t="shared" si="42"/>
        <v>-6.961376490066562E-3</v>
      </c>
      <c r="G1144" s="270">
        <v>18125.400000000001</v>
      </c>
      <c r="H1144" s="129">
        <f t="shared" si="41"/>
        <v>5.7963334050969983E-4</v>
      </c>
    </row>
    <row r="1145" spans="2:8" x14ac:dyDescent="0.3">
      <c r="B1145" s="269">
        <v>44491</v>
      </c>
      <c r="C1145" s="270">
        <v>466.25</v>
      </c>
      <c r="D1145" s="129">
        <f t="shared" si="42"/>
        <v>-1.0712372790573355E-3</v>
      </c>
      <c r="E1145" s="270">
        <v>26835.21</v>
      </c>
      <c r="F1145" s="129">
        <f t="shared" si="42"/>
        <v>-8.6335208916797912E-3</v>
      </c>
      <c r="G1145" s="270">
        <v>18114.900000000001</v>
      </c>
      <c r="H1145" s="129">
        <f t="shared" si="41"/>
        <v>-3.4767109873967694E-3</v>
      </c>
    </row>
    <row r="1146" spans="2:8" x14ac:dyDescent="0.3">
      <c r="B1146" s="269">
        <v>44490</v>
      </c>
      <c r="C1146" s="270">
        <v>466.75</v>
      </c>
      <c r="D1146" s="129">
        <f t="shared" si="42"/>
        <v>-1.3901506348636183E-2</v>
      </c>
      <c r="E1146" s="270">
        <v>27068.91</v>
      </c>
      <c r="F1146" s="129">
        <f t="shared" si="42"/>
        <v>1.4276560543864392E-3</v>
      </c>
      <c r="G1146" s="270">
        <v>18178.099999999999</v>
      </c>
      <c r="H1146" s="129">
        <f t="shared" si="41"/>
        <v>-4.8449081930955762E-3</v>
      </c>
    </row>
    <row r="1147" spans="2:8" x14ac:dyDescent="0.3">
      <c r="B1147" s="269">
        <v>44489</v>
      </c>
      <c r="C1147" s="270">
        <v>473.33</v>
      </c>
      <c r="D1147" s="129">
        <f t="shared" si="42"/>
        <v>-2.5969749974277145E-2</v>
      </c>
      <c r="E1147" s="270">
        <v>27030.32</v>
      </c>
      <c r="F1147" s="129">
        <f t="shared" si="42"/>
        <v>-1.7661174526071743E-2</v>
      </c>
      <c r="G1147" s="270">
        <v>18266.599999999999</v>
      </c>
      <c r="H1147" s="129">
        <f t="shared" si="41"/>
        <v>-8.2606040040720252E-3</v>
      </c>
    </row>
    <row r="1148" spans="2:8" x14ac:dyDescent="0.3">
      <c r="B1148" s="269">
        <v>44488</v>
      </c>
      <c r="C1148" s="270">
        <v>485.95</v>
      </c>
      <c r="D1148" s="129">
        <f t="shared" si="42"/>
        <v>1.2501302218981047E-2</v>
      </c>
      <c r="E1148" s="270">
        <v>27516.29</v>
      </c>
      <c r="F1148" s="129">
        <f t="shared" si="42"/>
        <v>5.7274250089274226E-3</v>
      </c>
      <c r="G1148" s="270">
        <v>18418.75</v>
      </c>
      <c r="H1148" s="129">
        <f t="shared" si="41"/>
        <v>-3.1552655862272516E-3</v>
      </c>
    </row>
    <row r="1149" spans="2:8" x14ac:dyDescent="0.3">
      <c r="B1149" s="269">
        <v>44487</v>
      </c>
      <c r="C1149" s="270">
        <v>479.95</v>
      </c>
      <c r="D1149" s="129">
        <f t="shared" si="42"/>
        <v>-1.6959220039735379E-2</v>
      </c>
      <c r="E1149" s="270">
        <v>27359.59</v>
      </c>
      <c r="F1149" s="129">
        <f t="shared" si="42"/>
        <v>3.8061553758184097E-3</v>
      </c>
      <c r="G1149" s="270">
        <v>18477.05</v>
      </c>
      <c r="H1149" s="129">
        <f t="shared" si="41"/>
        <v>7.5523964544634836E-3</v>
      </c>
    </row>
    <row r="1150" spans="2:8" x14ac:dyDescent="0.3">
      <c r="B1150" s="269">
        <v>44483</v>
      </c>
      <c r="C1150" s="270">
        <v>488.23</v>
      </c>
      <c r="D1150" s="129">
        <f t="shared" si="42"/>
        <v>1.2295251917893379E-2</v>
      </c>
      <c r="E1150" s="270">
        <v>27255.85</v>
      </c>
      <c r="F1150" s="129">
        <f t="shared" si="42"/>
        <v>1.1718568753328995E-2</v>
      </c>
      <c r="G1150" s="270">
        <v>18338.55</v>
      </c>
      <c r="H1150" s="129">
        <f t="shared" si="41"/>
        <v>9.7347447244895413E-3</v>
      </c>
    </row>
    <row r="1151" spans="2:8" x14ac:dyDescent="0.3">
      <c r="B1151" s="269">
        <v>44482</v>
      </c>
      <c r="C1151" s="270">
        <v>482.3</v>
      </c>
      <c r="D1151" s="129">
        <f t="shared" si="42"/>
        <v>3.3284793010193159E-3</v>
      </c>
      <c r="E1151" s="270">
        <v>26940.15</v>
      </c>
      <c r="F1151" s="129">
        <f t="shared" si="42"/>
        <v>1.1971929392249336E-2</v>
      </c>
      <c r="G1151" s="270">
        <v>18161.75</v>
      </c>
      <c r="H1151" s="129">
        <f t="shared" si="41"/>
        <v>9.4375540172131345E-3</v>
      </c>
    </row>
    <row r="1152" spans="2:8" x14ac:dyDescent="0.3">
      <c r="B1152" s="269">
        <v>44481</v>
      </c>
      <c r="C1152" s="270">
        <v>480.7</v>
      </c>
      <c r="D1152" s="129">
        <f t="shared" si="42"/>
        <v>-6.4692143934853563E-3</v>
      </c>
      <c r="E1152" s="270">
        <v>26621.439999999999</v>
      </c>
      <c r="F1152" s="129">
        <f t="shared" si="42"/>
        <v>7.1445893119062021E-3</v>
      </c>
      <c r="G1152" s="270">
        <v>17991.95</v>
      </c>
      <c r="H1152" s="129">
        <f t="shared" si="41"/>
        <v>2.5632524330001516E-3</v>
      </c>
    </row>
    <row r="1153" spans="2:8" x14ac:dyDescent="0.3">
      <c r="B1153" s="269">
        <v>44480</v>
      </c>
      <c r="C1153" s="270">
        <v>483.83</v>
      </c>
      <c r="D1153" s="129">
        <f t="shared" si="42"/>
        <v>-1.1684199775303883E-2</v>
      </c>
      <c r="E1153" s="270">
        <v>26432.59</v>
      </c>
      <c r="F1153" s="129">
        <f t="shared" si="42"/>
        <v>3.7960507552796674E-3</v>
      </c>
      <c r="G1153" s="270">
        <v>17945.95</v>
      </c>
      <c r="H1153" s="129">
        <f t="shared" si="41"/>
        <v>2.8359560105504222E-3</v>
      </c>
    </row>
    <row r="1154" spans="2:8" x14ac:dyDescent="0.3">
      <c r="B1154" s="269">
        <v>44477</v>
      </c>
      <c r="C1154" s="270">
        <v>489.55</v>
      </c>
      <c r="D1154" s="129">
        <f t="shared" si="42"/>
        <v>-1.6925649496308814E-3</v>
      </c>
      <c r="E1154" s="270">
        <v>26332.63</v>
      </c>
      <c r="F1154" s="129">
        <f t="shared" si="42"/>
        <v>1.584193514277521E-3</v>
      </c>
      <c r="G1154" s="270">
        <v>17895.2</v>
      </c>
      <c r="H1154" s="129">
        <f t="shared" si="41"/>
        <v>5.893644588217839E-3</v>
      </c>
    </row>
    <row r="1155" spans="2:8" x14ac:dyDescent="0.3">
      <c r="B1155" s="269">
        <v>44476</v>
      </c>
      <c r="C1155" s="270">
        <v>490.38</v>
      </c>
      <c r="D1155" s="129">
        <f t="shared" si="42"/>
        <v>1.8400066456222053E-2</v>
      </c>
      <c r="E1155" s="270">
        <v>26290.98</v>
      </c>
      <c r="F1155" s="129">
        <f t="shared" si="42"/>
        <v>8.7097245738081419E-3</v>
      </c>
      <c r="G1155" s="270">
        <v>17790.349999999999</v>
      </c>
      <c r="H1155" s="129">
        <f t="shared" si="41"/>
        <v>8.1803241527824699E-3</v>
      </c>
    </row>
    <row r="1156" spans="2:8" x14ac:dyDescent="0.3">
      <c r="B1156" s="269">
        <v>44475</v>
      </c>
      <c r="C1156" s="270">
        <v>481.52</v>
      </c>
      <c r="D1156" s="129">
        <f t="shared" si="42"/>
        <v>-1.368291683736178E-2</v>
      </c>
      <c r="E1156" s="270">
        <v>26063.97</v>
      </c>
      <c r="F1156" s="129">
        <f t="shared" si="42"/>
        <v>-1.2898160695092531E-2</v>
      </c>
      <c r="G1156" s="270">
        <v>17646</v>
      </c>
      <c r="H1156" s="129">
        <f t="shared" si="41"/>
        <v>-9.8921014683850395E-3</v>
      </c>
    </row>
    <row r="1157" spans="2:8" x14ac:dyDescent="0.3">
      <c r="B1157" s="269">
        <v>44474</v>
      </c>
      <c r="C1157" s="270">
        <v>488.2</v>
      </c>
      <c r="D1157" s="129">
        <f t="shared" si="42"/>
        <v>6.8470549414287873E-3</v>
      </c>
      <c r="E1157" s="270">
        <v>26404.54</v>
      </c>
      <c r="F1157" s="129">
        <f t="shared" si="42"/>
        <v>4.5149749713344622E-3</v>
      </c>
      <c r="G1157" s="270">
        <v>17822.3</v>
      </c>
      <c r="H1157" s="129">
        <f t="shared" si="41"/>
        <v>7.4076167596974773E-3</v>
      </c>
    </row>
    <row r="1158" spans="2:8" x14ac:dyDescent="0.3">
      <c r="B1158" s="269">
        <v>44473</v>
      </c>
      <c r="C1158" s="270">
        <v>484.88</v>
      </c>
      <c r="D1158" s="129">
        <f t="shared" si="42"/>
        <v>2.5116279069767433E-2</v>
      </c>
      <c r="E1158" s="270">
        <v>26285.86</v>
      </c>
      <c r="F1158" s="129">
        <f t="shared" si="42"/>
        <v>1.4404966852020529E-2</v>
      </c>
      <c r="G1158" s="270">
        <v>17691.25</v>
      </c>
      <c r="H1158" s="129">
        <f t="shared" si="41"/>
        <v>9.0805125470210246E-3</v>
      </c>
    </row>
    <row r="1159" spans="2:8" x14ac:dyDescent="0.3">
      <c r="B1159" s="269">
        <v>44470</v>
      </c>
      <c r="C1159" s="270">
        <v>473</v>
      </c>
      <c r="D1159" s="129">
        <f t="shared" si="42"/>
        <v>-1.3205933281872584E-2</v>
      </c>
      <c r="E1159" s="270">
        <v>25912.59</v>
      </c>
      <c r="F1159" s="129">
        <f t="shared" si="42"/>
        <v>-2.0845913538560801E-3</v>
      </c>
      <c r="G1159" s="270">
        <v>17532.05</v>
      </c>
      <c r="H1159" s="129">
        <f t="shared" si="41"/>
        <v>-4.8870057298866509E-3</v>
      </c>
    </row>
    <row r="1160" spans="2:8" x14ac:dyDescent="0.3">
      <c r="B1160" s="269">
        <v>44469</v>
      </c>
      <c r="C1160" s="270">
        <v>479.33</v>
      </c>
      <c r="D1160" s="129">
        <f t="shared" si="42"/>
        <v>1.1138065604893832E-2</v>
      </c>
      <c r="E1160" s="270">
        <v>25966.720000000001</v>
      </c>
      <c r="F1160" s="129">
        <f t="shared" si="42"/>
        <v>-1.7288380724204133E-3</v>
      </c>
      <c r="G1160" s="270">
        <v>17618.150000000001</v>
      </c>
      <c r="H1160" s="129">
        <f t="shared" si="41"/>
        <v>-5.2593541976024838E-3</v>
      </c>
    </row>
    <row r="1161" spans="2:8" x14ac:dyDescent="0.3">
      <c r="B1161" s="269">
        <v>44468</v>
      </c>
      <c r="C1161" s="270">
        <v>474.05</v>
      </c>
      <c r="D1161" s="129">
        <f t="shared" si="42"/>
        <v>-5.6216306924254944E-3</v>
      </c>
      <c r="E1161" s="270">
        <v>26011.69</v>
      </c>
      <c r="F1161" s="129">
        <f t="shared" si="42"/>
        <v>-4.6374528945911653E-3</v>
      </c>
      <c r="G1161" s="270">
        <v>17711.3</v>
      </c>
      <c r="H1161" s="129">
        <f t="shared" si="41"/>
        <v>-2.1015742086699651E-3</v>
      </c>
    </row>
    <row r="1162" spans="2:8" x14ac:dyDescent="0.3">
      <c r="B1162" s="269">
        <v>44467</v>
      </c>
      <c r="C1162" s="270">
        <v>476.73</v>
      </c>
      <c r="D1162" s="129">
        <f t="shared" si="42"/>
        <v>-6.97800366605561E-3</v>
      </c>
      <c r="E1162" s="270">
        <v>26132.880000000001</v>
      </c>
      <c r="F1162" s="129">
        <f t="shared" si="42"/>
        <v>-2.6912538067579428E-3</v>
      </c>
      <c r="G1162" s="270">
        <v>17748.599999999999</v>
      </c>
      <c r="H1162" s="129">
        <f t="shared" ref="H1162:H1225" si="43">G1162/G1163-1</f>
        <v>-5.9646823596619658E-3</v>
      </c>
    </row>
    <row r="1163" spans="2:8" x14ac:dyDescent="0.3">
      <c r="B1163" s="269">
        <v>44466</v>
      </c>
      <c r="C1163" s="270">
        <v>480.08</v>
      </c>
      <c r="D1163" s="129">
        <f t="shared" si="42"/>
        <v>-5.056785210975745E-3</v>
      </c>
      <c r="E1163" s="270">
        <v>26203.4</v>
      </c>
      <c r="F1163" s="129">
        <f t="shared" si="42"/>
        <v>-5.8012695256920432E-3</v>
      </c>
      <c r="G1163" s="270">
        <v>17855.099999999999</v>
      </c>
      <c r="H1163" s="129">
        <f t="shared" si="43"/>
        <v>1.0642349830836118E-4</v>
      </c>
    </row>
    <row r="1164" spans="2:8" x14ac:dyDescent="0.3">
      <c r="B1164" s="269">
        <v>44463</v>
      </c>
      <c r="C1164" s="270">
        <v>482.52</v>
      </c>
      <c r="D1164" s="129">
        <f t="shared" si="42"/>
        <v>-1.992565961854853E-2</v>
      </c>
      <c r="E1164" s="270">
        <v>26356.3</v>
      </c>
      <c r="F1164" s="129">
        <f t="shared" si="42"/>
        <v>-4.0772061879823518E-3</v>
      </c>
      <c r="G1164" s="270">
        <v>17853.2</v>
      </c>
      <c r="H1164" s="129">
        <f t="shared" si="43"/>
        <v>1.6972498940972525E-3</v>
      </c>
    </row>
    <row r="1165" spans="2:8" x14ac:dyDescent="0.3">
      <c r="B1165" s="269">
        <v>44462</v>
      </c>
      <c r="C1165" s="270">
        <v>492.33</v>
      </c>
      <c r="D1165" s="129">
        <f t="shared" si="42"/>
        <v>1.1794611082867057E-3</v>
      </c>
      <c r="E1165" s="270">
        <v>26464.2</v>
      </c>
      <c r="F1165" s="129">
        <f t="shared" si="42"/>
        <v>2.1305859960512707E-2</v>
      </c>
      <c r="G1165" s="270">
        <v>17822.95</v>
      </c>
      <c r="H1165" s="129">
        <f t="shared" si="43"/>
        <v>1.574659550398505E-2</v>
      </c>
    </row>
    <row r="1166" spans="2:8" x14ac:dyDescent="0.3">
      <c r="B1166" s="269">
        <v>44461</v>
      </c>
      <c r="C1166" s="270">
        <v>491.75</v>
      </c>
      <c r="D1166" s="129">
        <f t="shared" si="42"/>
        <v>1.3666721635883894E-2</v>
      </c>
      <c r="E1166" s="270">
        <v>25912.12</v>
      </c>
      <c r="F1166" s="129">
        <f t="shared" si="42"/>
        <v>9.4639831703346999E-4</v>
      </c>
      <c r="G1166" s="270">
        <v>17546.650000000001</v>
      </c>
      <c r="H1166" s="129">
        <f t="shared" si="43"/>
        <v>-8.7404623619169453E-4</v>
      </c>
    </row>
    <row r="1167" spans="2:8" x14ac:dyDescent="0.3">
      <c r="B1167" s="269">
        <v>44460</v>
      </c>
      <c r="C1167" s="270">
        <v>485.12</v>
      </c>
      <c r="D1167" s="129">
        <f t="shared" si="42"/>
        <v>6.2225172156309405E-3</v>
      </c>
      <c r="E1167" s="270">
        <v>25887.62</v>
      </c>
      <c r="F1167" s="129">
        <f t="shared" si="42"/>
        <v>5.1321196609337427E-3</v>
      </c>
      <c r="G1167" s="270">
        <v>17562</v>
      </c>
      <c r="H1167" s="129">
        <f t="shared" si="43"/>
        <v>9.4901965292666368E-3</v>
      </c>
    </row>
    <row r="1168" spans="2:8" x14ac:dyDescent="0.3">
      <c r="B1168" s="269">
        <v>44459</v>
      </c>
      <c r="C1168" s="270">
        <v>482.12</v>
      </c>
      <c r="D1168" s="129">
        <f t="shared" si="42"/>
        <v>-8.2846652843038382E-2</v>
      </c>
      <c r="E1168" s="270">
        <v>25755.439999999999</v>
      </c>
      <c r="F1168" s="129">
        <f t="shared" si="42"/>
        <v>-1.0979457294089112E-2</v>
      </c>
      <c r="G1168" s="270">
        <v>17396.900000000001</v>
      </c>
      <c r="H1168" s="129">
        <f t="shared" si="43"/>
        <v>-1.0705055117528173E-2</v>
      </c>
    </row>
    <row r="1169" spans="2:8" x14ac:dyDescent="0.3">
      <c r="B1169" s="269">
        <v>44456</v>
      </c>
      <c r="C1169" s="270">
        <v>525.66999999999996</v>
      </c>
      <c r="D1169" s="129">
        <f t="shared" si="42"/>
        <v>-2.1408492655956235E-2</v>
      </c>
      <c r="E1169" s="270">
        <v>26041.360000000001</v>
      </c>
      <c r="F1169" s="129">
        <f t="shared" si="42"/>
        <v>-5.7657990606428955E-3</v>
      </c>
      <c r="G1169" s="270">
        <v>17585.150000000001</v>
      </c>
      <c r="H1169" s="129">
        <f t="shared" si="43"/>
        <v>-2.5156697580758225E-3</v>
      </c>
    </row>
    <row r="1170" spans="2:8" x14ac:dyDescent="0.3">
      <c r="B1170" s="269">
        <v>44455</v>
      </c>
      <c r="C1170" s="270">
        <v>537.16999999999996</v>
      </c>
      <c r="D1170" s="129">
        <f t="shared" si="42"/>
        <v>-2.2136056650829294E-2</v>
      </c>
      <c r="E1170" s="270">
        <v>26192.38</v>
      </c>
      <c r="F1170" s="129">
        <f t="shared" si="42"/>
        <v>1.4778006808207067E-3</v>
      </c>
      <c r="G1170" s="270">
        <v>17629.5</v>
      </c>
      <c r="H1170" s="129">
        <f t="shared" si="43"/>
        <v>6.2815898900936418E-3</v>
      </c>
    </row>
    <row r="1171" spans="2:8" x14ac:dyDescent="0.3">
      <c r="B1171" s="269">
        <v>44454</v>
      </c>
      <c r="C1171" s="270">
        <v>549.33000000000004</v>
      </c>
      <c r="D1171" s="129">
        <f t="shared" ref="D1171:F1234" si="44">C1171/C1172-1</f>
        <v>5.7305016477480208E-3</v>
      </c>
      <c r="E1171" s="270">
        <v>26153.73</v>
      </c>
      <c r="F1171" s="129">
        <f t="shared" si="44"/>
        <v>7.0339859189367804E-3</v>
      </c>
      <c r="G1171" s="270">
        <v>17519.45</v>
      </c>
      <c r="H1171" s="129">
        <f t="shared" si="43"/>
        <v>8.0235903337169123E-3</v>
      </c>
    </row>
    <row r="1172" spans="2:8" x14ac:dyDescent="0.3">
      <c r="B1172" s="269">
        <v>44453</v>
      </c>
      <c r="C1172" s="270">
        <v>546.20000000000005</v>
      </c>
      <c r="D1172" s="129">
        <f t="shared" si="44"/>
        <v>1.9029850746268728E-2</v>
      </c>
      <c r="E1172" s="270">
        <v>25971.05</v>
      </c>
      <c r="F1172" s="129">
        <f t="shared" si="44"/>
        <v>8.4148956699707789E-3</v>
      </c>
      <c r="G1172" s="270">
        <v>17380</v>
      </c>
      <c r="H1172" s="129">
        <f t="shared" si="43"/>
        <v>1.4231963722897145E-3</v>
      </c>
    </row>
    <row r="1173" spans="2:8" x14ac:dyDescent="0.3">
      <c r="B1173" s="269">
        <v>44452</v>
      </c>
      <c r="C1173" s="270">
        <v>536</v>
      </c>
      <c r="D1173" s="129">
        <f t="shared" si="44"/>
        <v>1.9399011030810209E-2</v>
      </c>
      <c r="E1173" s="270">
        <v>25754.33</v>
      </c>
      <c r="F1173" s="129">
        <f t="shared" si="44"/>
        <v>-4.959811170131001E-4</v>
      </c>
      <c r="G1173" s="270">
        <v>17355.3</v>
      </c>
      <c r="H1173" s="129">
        <f t="shared" si="43"/>
        <v>-8.0314348633370169E-4</v>
      </c>
    </row>
    <row r="1174" spans="2:8" x14ac:dyDescent="0.3">
      <c r="B1174" s="269">
        <v>44448</v>
      </c>
      <c r="C1174" s="270">
        <v>525.79999999999995</v>
      </c>
      <c r="D1174" s="129">
        <f t="shared" si="44"/>
        <v>4.32539682539681E-2</v>
      </c>
      <c r="E1174" s="270">
        <v>25767.11</v>
      </c>
      <c r="F1174" s="129">
        <f t="shared" si="44"/>
        <v>9.5706433923496981E-3</v>
      </c>
      <c r="G1174" s="270">
        <v>17369.25</v>
      </c>
      <c r="H1174" s="129">
        <f t="shared" si="43"/>
        <v>9.0759789091543475E-4</v>
      </c>
    </row>
    <row r="1175" spans="2:8" x14ac:dyDescent="0.3">
      <c r="B1175" s="269">
        <v>44447</v>
      </c>
      <c r="C1175" s="270">
        <v>504</v>
      </c>
      <c r="D1175" s="129">
        <f t="shared" si="44"/>
        <v>1.7889087656528524E-3</v>
      </c>
      <c r="E1175" s="270">
        <v>25522.84</v>
      </c>
      <c r="F1175" s="129">
        <f t="shared" si="44"/>
        <v>1.193295889523327E-3</v>
      </c>
      <c r="G1175" s="270">
        <v>17353.5</v>
      </c>
      <c r="H1175" s="129">
        <f t="shared" si="43"/>
        <v>-4.9533178590144278E-4</v>
      </c>
    </row>
    <row r="1176" spans="2:8" x14ac:dyDescent="0.3">
      <c r="B1176" s="269">
        <v>44446</v>
      </c>
      <c r="C1176" s="270">
        <v>503.1</v>
      </c>
      <c r="D1176" s="129">
        <f t="shared" si="44"/>
        <v>5.3956834532375986E-3</v>
      </c>
      <c r="E1176" s="270">
        <v>25492.42</v>
      </c>
      <c r="F1176" s="129">
        <f t="shared" si="44"/>
        <v>-5.1944291493678518E-3</v>
      </c>
      <c r="G1176" s="270">
        <v>17362.099999999999</v>
      </c>
      <c r="H1176" s="129">
        <f t="shared" si="43"/>
        <v>-9.0345153011317514E-4</v>
      </c>
    </row>
    <row r="1177" spans="2:8" x14ac:dyDescent="0.3">
      <c r="B1177" s="269">
        <v>44445</v>
      </c>
      <c r="C1177" s="270">
        <v>500.4</v>
      </c>
      <c r="D1177" s="129">
        <f t="shared" si="44"/>
        <v>-2.5315446408994413E-3</v>
      </c>
      <c r="E1177" s="270">
        <v>25625.53</v>
      </c>
      <c r="F1177" s="129">
        <f t="shared" si="44"/>
        <v>2.5645559973050958E-3</v>
      </c>
      <c r="G1177" s="270">
        <v>17377.8</v>
      </c>
      <c r="H1177" s="129">
        <f t="shared" si="43"/>
        <v>3.1286799510494845E-3</v>
      </c>
    </row>
    <row r="1178" spans="2:8" x14ac:dyDescent="0.3">
      <c r="B1178" s="269">
        <v>44442</v>
      </c>
      <c r="C1178" s="270">
        <v>501.67</v>
      </c>
      <c r="D1178" s="129">
        <f t="shared" si="44"/>
        <v>4.0428299809867063E-3</v>
      </c>
      <c r="E1178" s="270">
        <v>25559.98</v>
      </c>
      <c r="F1178" s="129">
        <f t="shared" si="44"/>
        <v>7.2346775881044767E-3</v>
      </c>
      <c r="G1178" s="270">
        <v>17323.599999999999</v>
      </c>
      <c r="H1178" s="129">
        <f t="shared" si="43"/>
        <v>5.1902762828452964E-3</v>
      </c>
    </row>
    <row r="1179" spans="2:8" x14ac:dyDescent="0.3">
      <c r="B1179" s="269">
        <v>44441</v>
      </c>
      <c r="C1179" s="270">
        <v>499.65</v>
      </c>
      <c r="D1179" s="129">
        <f t="shared" si="44"/>
        <v>9.1900626136132146E-3</v>
      </c>
      <c r="E1179" s="270">
        <v>25376.39</v>
      </c>
      <c r="F1179" s="129">
        <f t="shared" si="44"/>
        <v>3.8367208082470405E-3</v>
      </c>
      <c r="G1179" s="270">
        <v>17234.150000000001</v>
      </c>
      <c r="H1179" s="129">
        <f t="shared" si="43"/>
        <v>9.2467608520607758E-3</v>
      </c>
    </row>
    <row r="1180" spans="2:8" x14ac:dyDescent="0.3">
      <c r="B1180" s="269">
        <v>44440</v>
      </c>
      <c r="C1180" s="270">
        <v>495.1</v>
      </c>
      <c r="D1180" s="129">
        <f t="shared" si="44"/>
        <v>-2.1019120874775088E-2</v>
      </c>
      <c r="E1180" s="270">
        <v>25279.4</v>
      </c>
      <c r="F1180" s="129">
        <f t="shared" si="44"/>
        <v>1.2234392280568551E-2</v>
      </c>
      <c r="G1180" s="270">
        <v>17076.25</v>
      </c>
      <c r="H1180" s="129">
        <f t="shared" si="43"/>
        <v>-3.2657802267076486E-3</v>
      </c>
    </row>
    <row r="1181" spans="2:8" x14ac:dyDescent="0.3">
      <c r="B1181" s="269">
        <v>44439</v>
      </c>
      <c r="C1181" s="270">
        <v>505.73</v>
      </c>
      <c r="D1181" s="129">
        <f t="shared" si="44"/>
        <v>3.9356323728883202E-2</v>
      </c>
      <c r="E1181" s="270">
        <v>24973.86</v>
      </c>
      <c r="F1181" s="129">
        <f t="shared" si="44"/>
        <v>5.5617451148004537E-3</v>
      </c>
      <c r="G1181" s="270">
        <v>17132.2</v>
      </c>
      <c r="H1181" s="129">
        <f t="shared" si="43"/>
        <v>1.1880539009689439E-2</v>
      </c>
    </row>
    <row r="1182" spans="2:8" x14ac:dyDescent="0.3">
      <c r="B1182" s="269">
        <v>44438</v>
      </c>
      <c r="C1182" s="270">
        <v>486.58</v>
      </c>
      <c r="D1182" s="129">
        <f t="shared" si="44"/>
        <v>2.6280266599173263E-2</v>
      </c>
      <c r="E1182" s="270">
        <v>24835.73</v>
      </c>
      <c r="F1182" s="129">
        <f t="shared" si="44"/>
        <v>1.4924488731747454E-2</v>
      </c>
      <c r="G1182" s="270">
        <v>16931.05</v>
      </c>
      <c r="H1182" s="129">
        <f t="shared" si="43"/>
        <v>1.3519742355673658E-2</v>
      </c>
    </row>
    <row r="1183" spans="2:8" x14ac:dyDescent="0.3">
      <c r="B1183" s="269">
        <v>44435</v>
      </c>
      <c r="C1183" s="270">
        <v>474.12</v>
      </c>
      <c r="D1183" s="129">
        <f t="shared" si="44"/>
        <v>-3.1118587047940238E-3</v>
      </c>
      <c r="E1183" s="270">
        <v>24470.52</v>
      </c>
      <c r="F1183" s="129">
        <f t="shared" si="44"/>
        <v>2.143677661940413E-2</v>
      </c>
      <c r="G1183" s="270">
        <v>16705.2</v>
      </c>
      <c r="H1183" s="129">
        <f t="shared" si="43"/>
        <v>4.1053321231718787E-3</v>
      </c>
    </row>
    <row r="1184" spans="2:8" x14ac:dyDescent="0.3">
      <c r="B1184" s="269">
        <v>44434</v>
      </c>
      <c r="C1184" s="270">
        <v>475.6</v>
      </c>
      <c r="D1184" s="129">
        <f t="shared" si="44"/>
        <v>-1.2663483495951811E-2</v>
      </c>
      <c r="E1184" s="270">
        <v>23956.959999999999</v>
      </c>
      <c r="F1184" s="129">
        <f t="shared" si="44"/>
        <v>6.9440036987611364E-3</v>
      </c>
      <c r="G1184" s="270">
        <v>16636.900000000001</v>
      </c>
      <c r="H1184" s="129">
        <f t="shared" si="43"/>
        <v>1.3525983414131026E-4</v>
      </c>
    </row>
    <row r="1185" spans="2:8" x14ac:dyDescent="0.3">
      <c r="B1185" s="269">
        <v>44433</v>
      </c>
      <c r="C1185" s="270">
        <v>481.7</v>
      </c>
      <c r="D1185" s="129">
        <f t="shared" si="44"/>
        <v>2.18498090793382E-2</v>
      </c>
      <c r="E1185" s="270">
        <v>23791.75</v>
      </c>
      <c r="F1185" s="129">
        <f t="shared" si="44"/>
        <v>-1.4458873005347428E-3</v>
      </c>
      <c r="G1185" s="270">
        <v>16634.650000000001</v>
      </c>
      <c r="H1185" s="129">
        <f t="shared" si="43"/>
        <v>6.0452582317793713E-4</v>
      </c>
    </row>
    <row r="1186" spans="2:8" x14ac:dyDescent="0.3">
      <c r="B1186" s="269">
        <v>44432</v>
      </c>
      <c r="C1186" s="270">
        <v>471.4</v>
      </c>
      <c r="D1186" s="129">
        <f t="shared" si="44"/>
        <v>8.9249406074094484E-3</v>
      </c>
      <c r="E1186" s="270">
        <v>23826.2</v>
      </c>
      <c r="F1186" s="129">
        <f t="shared" si="44"/>
        <v>1.7324603071247502E-2</v>
      </c>
      <c r="G1186" s="270">
        <v>16624.599999999999</v>
      </c>
      <c r="H1186" s="129">
        <f t="shared" si="43"/>
        <v>7.7683380363653409E-3</v>
      </c>
    </row>
    <row r="1187" spans="2:8" x14ac:dyDescent="0.3">
      <c r="B1187" s="269">
        <v>44431</v>
      </c>
      <c r="C1187" s="270">
        <v>467.23</v>
      </c>
      <c r="D1187" s="129">
        <f t="shared" si="44"/>
        <v>-3.0984922330298481E-2</v>
      </c>
      <c r="E1187" s="270">
        <v>23420.45</v>
      </c>
      <c r="F1187" s="129">
        <f t="shared" si="44"/>
        <v>-5.4360242665549841E-3</v>
      </c>
      <c r="G1187" s="270">
        <v>16496.45</v>
      </c>
      <c r="H1187" s="129">
        <f t="shared" si="43"/>
        <v>2.7932281693565653E-3</v>
      </c>
    </row>
    <row r="1188" spans="2:8" x14ac:dyDescent="0.3">
      <c r="B1188" s="269">
        <v>44428</v>
      </c>
      <c r="C1188" s="270">
        <v>482.17</v>
      </c>
      <c r="D1188" s="129">
        <f t="shared" si="44"/>
        <v>-4.0782222929556133E-2</v>
      </c>
      <c r="E1188" s="270">
        <v>23548.46</v>
      </c>
      <c r="F1188" s="129">
        <f t="shared" si="44"/>
        <v>-2.0481796408281627E-2</v>
      </c>
      <c r="G1188" s="270">
        <v>16450.5</v>
      </c>
      <c r="H1188" s="129">
        <f t="shared" si="43"/>
        <v>-7.1429218080916179E-3</v>
      </c>
    </row>
    <row r="1189" spans="2:8" x14ac:dyDescent="0.3">
      <c r="B1189" s="269">
        <v>44426</v>
      </c>
      <c r="C1189" s="270">
        <v>502.67</v>
      </c>
      <c r="D1189" s="129">
        <f t="shared" si="44"/>
        <v>-7.9534241168344177E-3</v>
      </c>
      <c r="E1189" s="270">
        <v>24040.86</v>
      </c>
      <c r="F1189" s="129">
        <f t="shared" si="44"/>
        <v>-3.2060118335519583E-4</v>
      </c>
      <c r="G1189" s="270">
        <v>16568.849999999999</v>
      </c>
      <c r="H1189" s="129">
        <f t="shared" si="43"/>
        <v>-2.7536022534397908E-3</v>
      </c>
    </row>
    <row r="1190" spans="2:8" x14ac:dyDescent="0.3">
      <c r="B1190" s="269">
        <v>44425</v>
      </c>
      <c r="C1190" s="270">
        <v>506.7</v>
      </c>
      <c r="D1190" s="129">
        <f t="shared" si="44"/>
        <v>8.8199573934337749E-3</v>
      </c>
      <c r="E1190" s="270">
        <v>24048.57</v>
      </c>
      <c r="F1190" s="129">
        <f t="shared" si="44"/>
        <v>-4.330694480269015E-3</v>
      </c>
      <c r="G1190" s="270">
        <v>16614.599999999999</v>
      </c>
      <c r="H1190" s="129">
        <f t="shared" si="43"/>
        <v>3.1123494766964743E-3</v>
      </c>
    </row>
    <row r="1191" spans="2:8" x14ac:dyDescent="0.3">
      <c r="B1191" s="269">
        <v>44424</v>
      </c>
      <c r="C1191" s="270">
        <v>502.27</v>
      </c>
      <c r="D1191" s="129">
        <f t="shared" si="44"/>
        <v>4.2387283814855348E-3</v>
      </c>
      <c r="E1191" s="270">
        <v>24153.17</v>
      </c>
      <c r="F1191" s="129">
        <f t="shared" si="44"/>
        <v>-6.7491073224031917E-3</v>
      </c>
      <c r="G1191" s="270">
        <v>16563.05</v>
      </c>
      <c r="H1191" s="129">
        <f t="shared" si="43"/>
        <v>2.0539533307923907E-3</v>
      </c>
    </row>
    <row r="1192" spans="2:8" x14ac:dyDescent="0.3">
      <c r="B1192" s="269">
        <v>44421</v>
      </c>
      <c r="C1192" s="270">
        <v>500.15</v>
      </c>
      <c r="D1192" s="129">
        <f t="shared" si="44"/>
        <v>-2.6756178244794704E-2</v>
      </c>
      <c r="E1192" s="270">
        <v>24317.29</v>
      </c>
      <c r="F1192" s="129">
        <f t="shared" si="44"/>
        <v>1.5834073083872191E-2</v>
      </c>
      <c r="G1192" s="270">
        <v>16529.099999999999</v>
      </c>
      <c r="H1192" s="129">
        <f t="shared" si="43"/>
        <v>1.006453032191823E-2</v>
      </c>
    </row>
    <row r="1193" spans="2:8" x14ac:dyDescent="0.3">
      <c r="B1193" s="269">
        <v>44420</v>
      </c>
      <c r="C1193" s="270">
        <v>513.9</v>
      </c>
      <c r="D1193" s="129">
        <f t="shared" si="44"/>
        <v>6.788853562745456E-2</v>
      </c>
      <c r="E1193" s="270">
        <v>23938.25</v>
      </c>
      <c r="F1193" s="129">
        <f t="shared" si="44"/>
        <v>1.7045466615400073E-2</v>
      </c>
      <c r="G1193" s="270">
        <v>16364.4</v>
      </c>
      <c r="H1193" s="129">
        <f t="shared" si="43"/>
        <v>5.0453714934974858E-3</v>
      </c>
    </row>
    <row r="1194" spans="2:8" x14ac:dyDescent="0.3">
      <c r="B1194" s="269">
        <v>44419</v>
      </c>
      <c r="C1194" s="270">
        <v>481.23</v>
      </c>
      <c r="D1194" s="129">
        <f t="shared" si="44"/>
        <v>3.9219776781056481E-3</v>
      </c>
      <c r="E1194" s="270">
        <v>23537.05</v>
      </c>
      <c r="F1194" s="129">
        <f t="shared" si="44"/>
        <v>6.069660034921931E-3</v>
      </c>
      <c r="G1194" s="270">
        <v>16282.25</v>
      </c>
      <c r="H1194" s="129">
        <f t="shared" si="43"/>
        <v>1.3206307086566227E-4</v>
      </c>
    </row>
    <row r="1195" spans="2:8" x14ac:dyDescent="0.3">
      <c r="B1195" s="269">
        <v>44418</v>
      </c>
      <c r="C1195" s="270">
        <v>479.35</v>
      </c>
      <c r="D1195" s="129">
        <f t="shared" si="44"/>
        <v>-3.2788539144471329E-2</v>
      </c>
      <c r="E1195" s="270">
        <v>23395.05</v>
      </c>
      <c r="F1195" s="129">
        <f t="shared" si="44"/>
        <v>-8.1821091612066521E-3</v>
      </c>
      <c r="G1195" s="270">
        <v>16280.1</v>
      </c>
      <c r="H1195" s="129">
        <f t="shared" si="43"/>
        <v>1.3439330801285898E-3</v>
      </c>
    </row>
    <row r="1196" spans="2:8" x14ac:dyDescent="0.3">
      <c r="B1196" s="269">
        <v>44417</v>
      </c>
      <c r="C1196" s="270">
        <v>495.6</v>
      </c>
      <c r="D1196" s="129">
        <f t="shared" si="44"/>
        <v>-1.5592412354752172E-2</v>
      </c>
      <c r="E1196" s="270">
        <v>23588.05</v>
      </c>
      <c r="F1196" s="129">
        <f t="shared" si="44"/>
        <v>-8.1720095532832326E-3</v>
      </c>
      <c r="G1196" s="270">
        <v>16258.25</v>
      </c>
      <c r="H1196" s="129">
        <f t="shared" si="43"/>
        <v>1.2347427670553746E-3</v>
      </c>
    </row>
    <row r="1197" spans="2:8" x14ac:dyDescent="0.3">
      <c r="B1197" s="269">
        <v>44414</v>
      </c>
      <c r="C1197" s="270">
        <v>503.45</v>
      </c>
      <c r="D1197" s="129">
        <f t="shared" si="44"/>
        <v>-3.4047944256389018E-3</v>
      </c>
      <c r="E1197" s="270">
        <v>23782.400000000001</v>
      </c>
      <c r="F1197" s="129">
        <f t="shared" si="44"/>
        <v>-2.6503841379540427E-3</v>
      </c>
      <c r="G1197" s="270">
        <v>16238.2</v>
      </c>
      <c r="H1197" s="129">
        <f t="shared" si="43"/>
        <v>-3.4612693775851744E-3</v>
      </c>
    </row>
    <row r="1198" spans="2:8" x14ac:dyDescent="0.3">
      <c r="B1198" s="269">
        <v>44413</v>
      </c>
      <c r="C1198" s="270">
        <v>505.17</v>
      </c>
      <c r="D1198" s="129">
        <f t="shared" si="44"/>
        <v>9.7341595042974571E-3</v>
      </c>
      <c r="E1198" s="270">
        <v>23845.599999999999</v>
      </c>
      <c r="F1198" s="129">
        <f t="shared" si="44"/>
        <v>-1.8029425699905843E-4</v>
      </c>
      <c r="G1198" s="270">
        <v>16294.6</v>
      </c>
      <c r="H1198" s="129">
        <f t="shared" si="43"/>
        <v>2.201884517922581E-3</v>
      </c>
    </row>
    <row r="1199" spans="2:8" x14ac:dyDescent="0.3">
      <c r="B1199" s="269">
        <v>44412</v>
      </c>
      <c r="C1199" s="270">
        <v>500.3</v>
      </c>
      <c r="D1199" s="129">
        <f t="shared" si="44"/>
        <v>-4.0651965484180264E-2</v>
      </c>
      <c r="E1199" s="270">
        <v>23849.9</v>
      </c>
      <c r="F1199" s="129">
        <f t="shared" si="44"/>
        <v>-8.261198067078368E-3</v>
      </c>
      <c r="G1199" s="270">
        <v>16258.8</v>
      </c>
      <c r="H1199" s="129">
        <f t="shared" si="43"/>
        <v>7.9382545758877043E-3</v>
      </c>
    </row>
    <row r="1200" spans="2:8" x14ac:dyDescent="0.3">
      <c r="B1200" s="269">
        <v>44411</v>
      </c>
      <c r="C1200" s="270">
        <v>521.5</v>
      </c>
      <c r="D1200" s="129">
        <f t="shared" si="44"/>
        <v>6.6984537575045522E-3</v>
      </c>
      <c r="E1200" s="270">
        <v>24048.57</v>
      </c>
      <c r="F1200" s="129">
        <f t="shared" si="44"/>
        <v>1.0975091960063077E-2</v>
      </c>
      <c r="G1200" s="270">
        <v>16130.75</v>
      </c>
      <c r="H1200" s="129">
        <f t="shared" si="43"/>
        <v>1.5460980853186701E-2</v>
      </c>
    </row>
    <row r="1201" spans="2:8" x14ac:dyDescent="0.3">
      <c r="B1201" s="269">
        <v>44410</v>
      </c>
      <c r="C1201" s="270">
        <v>518.03</v>
      </c>
      <c r="D1201" s="129">
        <f t="shared" si="44"/>
        <v>8.0758153654549858E-3</v>
      </c>
      <c r="E1201" s="270">
        <v>23787.5</v>
      </c>
      <c r="F1201" s="129">
        <f t="shared" si="44"/>
        <v>4.8906438185971624E-3</v>
      </c>
      <c r="G1201" s="270">
        <v>15885.15</v>
      </c>
      <c r="H1201" s="129">
        <f t="shared" si="43"/>
        <v>7.7459628688609783E-3</v>
      </c>
    </row>
    <row r="1202" spans="2:8" x14ac:dyDescent="0.3">
      <c r="B1202" s="269">
        <v>44407</v>
      </c>
      <c r="C1202" s="270">
        <v>513.88</v>
      </c>
      <c r="D1202" s="129">
        <f t="shared" si="44"/>
        <v>-1.1388995767602883E-2</v>
      </c>
      <c r="E1202" s="270">
        <v>23671.73</v>
      </c>
      <c r="F1202" s="129">
        <f t="shared" si="44"/>
        <v>-1.5597643229007252E-3</v>
      </c>
      <c r="G1202" s="270">
        <v>15763.05</v>
      </c>
      <c r="H1202" s="129">
        <f t="shared" si="43"/>
        <v>-9.7601475430109108E-4</v>
      </c>
    </row>
    <row r="1203" spans="2:8" x14ac:dyDescent="0.3">
      <c r="B1203" s="269">
        <v>44406</v>
      </c>
      <c r="C1203" s="270">
        <v>519.79999999999995</v>
      </c>
      <c r="D1203" s="129">
        <f t="shared" si="44"/>
        <v>-3.2598274209013622E-3</v>
      </c>
      <c r="E1203" s="270">
        <v>23708.71</v>
      </c>
      <c r="F1203" s="129">
        <f t="shared" si="44"/>
        <v>9.4104554424023767E-4</v>
      </c>
      <c r="G1203" s="270">
        <v>15778.45</v>
      </c>
      <c r="H1203" s="129">
        <f t="shared" si="43"/>
        <v>4.3954574967854931E-3</v>
      </c>
    </row>
    <row r="1204" spans="2:8" x14ac:dyDescent="0.3">
      <c r="B1204" s="269">
        <v>44405</v>
      </c>
      <c r="C1204" s="270">
        <v>521.5</v>
      </c>
      <c r="D1204" s="129">
        <f t="shared" si="44"/>
        <v>0.11929086538461542</v>
      </c>
      <c r="E1204" s="270">
        <v>23686.42</v>
      </c>
      <c r="F1204" s="129">
        <f t="shared" si="44"/>
        <v>3.2434158236438471E-4</v>
      </c>
      <c r="G1204" s="270">
        <v>15709.4</v>
      </c>
      <c r="H1204" s="129">
        <f t="shared" si="43"/>
        <v>-2.3529112911164773E-3</v>
      </c>
    </row>
    <row r="1205" spans="2:8" x14ac:dyDescent="0.3">
      <c r="B1205" s="269">
        <v>44404</v>
      </c>
      <c r="C1205" s="270">
        <v>465.92</v>
      </c>
      <c r="D1205" s="129">
        <f t="shared" si="44"/>
        <v>-3.0746827543166155E-2</v>
      </c>
      <c r="E1205" s="270">
        <v>23678.74</v>
      </c>
      <c r="F1205" s="129">
        <f t="shared" si="44"/>
        <v>-2.3955577276326689E-3</v>
      </c>
      <c r="G1205" s="270">
        <v>15746.45</v>
      </c>
      <c r="H1205" s="129">
        <f t="shared" si="43"/>
        <v>-4.929081263487789E-3</v>
      </c>
    </row>
    <row r="1206" spans="2:8" x14ac:dyDescent="0.3">
      <c r="B1206" s="269">
        <v>44403</v>
      </c>
      <c r="C1206" s="270">
        <v>480.7</v>
      </c>
      <c r="D1206" s="129">
        <f t="shared" si="44"/>
        <v>-8.0069338396137058E-3</v>
      </c>
      <c r="E1206" s="270">
        <v>23735.599999999999</v>
      </c>
      <c r="F1206" s="129">
        <f t="shared" si="44"/>
        <v>-4.6280376214671293E-3</v>
      </c>
      <c r="G1206" s="270">
        <v>15824.45</v>
      </c>
      <c r="H1206" s="129">
        <f t="shared" si="43"/>
        <v>-1.9929301433836422E-3</v>
      </c>
    </row>
    <row r="1207" spans="2:8" x14ac:dyDescent="0.3">
      <c r="B1207" s="269">
        <v>44400</v>
      </c>
      <c r="C1207" s="270">
        <v>484.58</v>
      </c>
      <c r="D1207" s="129">
        <f t="shared" si="44"/>
        <v>-3.2813061354836082E-2</v>
      </c>
      <c r="E1207" s="270">
        <v>23845.96</v>
      </c>
      <c r="F1207" s="129">
        <f t="shared" si="44"/>
        <v>-8.4629653269155947E-3</v>
      </c>
      <c r="G1207" s="270">
        <v>15856.05</v>
      </c>
      <c r="H1207" s="129">
        <f t="shared" si="43"/>
        <v>2.022238301825352E-3</v>
      </c>
    </row>
    <row r="1208" spans="2:8" x14ac:dyDescent="0.3">
      <c r="B1208" s="269">
        <v>44399</v>
      </c>
      <c r="C1208" s="270">
        <v>501.02</v>
      </c>
      <c r="D1208" s="129">
        <f t="shared" si="44"/>
        <v>1.2673067205659416E-2</v>
      </c>
      <c r="E1208" s="270">
        <v>24049.49</v>
      </c>
      <c r="F1208" s="129">
        <f t="shared" si="44"/>
        <v>2.7910608775337131E-2</v>
      </c>
      <c r="G1208" s="270">
        <v>15824.05</v>
      </c>
      <c r="H1208" s="129">
        <f t="shared" si="43"/>
        <v>1.2279220322285456E-2</v>
      </c>
    </row>
    <row r="1209" spans="2:8" x14ac:dyDescent="0.3">
      <c r="B1209" s="269">
        <v>44397</v>
      </c>
      <c r="C1209" s="270">
        <v>494.75</v>
      </c>
      <c r="D1209" s="129">
        <f t="shared" si="44"/>
        <v>-6.4862042652316099E-3</v>
      </c>
      <c r="E1209" s="270">
        <v>23396.48</v>
      </c>
      <c r="F1209" s="129">
        <f t="shared" si="44"/>
        <v>-1.4328926636502204E-2</v>
      </c>
      <c r="G1209" s="270">
        <v>15632.1</v>
      </c>
      <c r="H1209" s="129">
        <f t="shared" si="43"/>
        <v>-7.6369315151976203E-3</v>
      </c>
    </row>
    <row r="1210" spans="2:8" x14ac:dyDescent="0.3">
      <c r="B1210" s="269">
        <v>44396</v>
      </c>
      <c r="C1210" s="270">
        <v>497.98</v>
      </c>
      <c r="D1210" s="129">
        <f t="shared" si="44"/>
        <v>2.5747713603031963E-2</v>
      </c>
      <c r="E1210" s="270">
        <v>23736.6</v>
      </c>
      <c r="F1210" s="129">
        <f t="shared" si="44"/>
        <v>-5.5348613310062245E-3</v>
      </c>
      <c r="G1210" s="270">
        <v>15752.4</v>
      </c>
      <c r="H1210" s="129">
        <f t="shared" si="43"/>
        <v>-1.0738912543803436E-2</v>
      </c>
    </row>
    <row r="1211" spans="2:8" x14ac:dyDescent="0.3">
      <c r="B1211" s="269">
        <v>44393</v>
      </c>
      <c r="C1211" s="270">
        <v>485.48</v>
      </c>
      <c r="D1211" s="129">
        <f t="shared" si="44"/>
        <v>9.1775923718712793E-2</v>
      </c>
      <c r="E1211" s="270">
        <v>23868.71</v>
      </c>
      <c r="F1211" s="129">
        <f t="shared" si="44"/>
        <v>5.0253985791617328E-3</v>
      </c>
      <c r="G1211" s="270">
        <v>15923.4</v>
      </c>
      <c r="H1211" s="129">
        <f t="shared" si="43"/>
        <v>-5.023800253711741E-5</v>
      </c>
    </row>
    <row r="1212" spans="2:8" x14ac:dyDescent="0.3">
      <c r="B1212" s="269">
        <v>44392</v>
      </c>
      <c r="C1212" s="270">
        <v>444.67</v>
      </c>
      <c r="D1212" s="129">
        <f t="shared" si="44"/>
        <v>6.9975995289641713E-3</v>
      </c>
      <c r="E1212" s="270">
        <v>23749.360000000001</v>
      </c>
      <c r="F1212" s="129">
        <f t="shared" si="44"/>
        <v>2.0373651566734763E-2</v>
      </c>
      <c r="G1212" s="270">
        <v>15924.2</v>
      </c>
      <c r="H1212" s="129">
        <f t="shared" si="43"/>
        <v>4.4310723825924381E-3</v>
      </c>
    </row>
    <row r="1213" spans="2:8" x14ac:dyDescent="0.3">
      <c r="B1213" s="269">
        <v>44391</v>
      </c>
      <c r="C1213" s="270">
        <v>441.58</v>
      </c>
      <c r="D1213" s="129">
        <f t="shared" si="44"/>
        <v>7.2996030840821735E-3</v>
      </c>
      <c r="E1213" s="270">
        <v>23275.16</v>
      </c>
      <c r="F1213" s="129">
        <f t="shared" si="44"/>
        <v>9.0018385165977488E-3</v>
      </c>
      <c r="G1213" s="270">
        <v>15853.95</v>
      </c>
      <c r="H1213" s="129">
        <f t="shared" si="43"/>
        <v>2.6308549962530403E-3</v>
      </c>
    </row>
    <row r="1214" spans="2:8" x14ac:dyDescent="0.3">
      <c r="B1214" s="269">
        <v>44390</v>
      </c>
      <c r="C1214" s="270">
        <v>438.38</v>
      </c>
      <c r="D1214" s="129">
        <f t="shared" si="44"/>
        <v>-8.2349214967648576E-3</v>
      </c>
      <c r="E1214" s="270">
        <v>23067.51</v>
      </c>
      <c r="F1214" s="129">
        <f t="shared" si="44"/>
        <v>3.7037053152435551E-3</v>
      </c>
      <c r="G1214" s="270">
        <v>15812.35</v>
      </c>
      <c r="H1214" s="129">
        <f t="shared" si="43"/>
        <v>7.6309853051756971E-3</v>
      </c>
    </row>
    <row r="1215" spans="2:8" x14ac:dyDescent="0.3">
      <c r="B1215" s="269">
        <v>44389</v>
      </c>
      <c r="C1215" s="270">
        <v>442.02</v>
      </c>
      <c r="D1215" s="129">
        <f t="shared" si="44"/>
        <v>1.9254271681232282E-2</v>
      </c>
      <c r="E1215" s="270">
        <v>22982.39</v>
      </c>
      <c r="F1215" s="129">
        <f t="shared" si="44"/>
        <v>9.4727324673882229E-4</v>
      </c>
      <c r="G1215" s="270">
        <v>15692.6</v>
      </c>
      <c r="H1215" s="129">
        <f t="shared" si="43"/>
        <v>1.7845989113962624E-4</v>
      </c>
    </row>
    <row r="1216" spans="2:8" x14ac:dyDescent="0.3">
      <c r="B1216" s="269">
        <v>44386</v>
      </c>
      <c r="C1216" s="270">
        <v>433.67</v>
      </c>
      <c r="D1216" s="129">
        <f t="shared" si="44"/>
        <v>-3.7445439926487856E-3</v>
      </c>
      <c r="E1216" s="270">
        <v>22960.639999999999</v>
      </c>
      <c r="F1216" s="129">
        <f t="shared" si="44"/>
        <v>-3.1355202957861206E-3</v>
      </c>
      <c r="G1216" s="270">
        <v>15689.8</v>
      </c>
      <c r="H1216" s="129">
        <f t="shared" si="43"/>
        <v>-2.4224467347834233E-3</v>
      </c>
    </row>
    <row r="1217" spans="2:8" x14ac:dyDescent="0.3">
      <c r="B1217" s="269">
        <v>44385</v>
      </c>
      <c r="C1217" s="270">
        <v>435.3</v>
      </c>
      <c r="D1217" s="129">
        <f t="shared" si="44"/>
        <v>-1.693766937669372E-2</v>
      </c>
      <c r="E1217" s="270">
        <v>23032.86</v>
      </c>
      <c r="F1217" s="129">
        <f t="shared" si="44"/>
        <v>-4.2130866382681376E-3</v>
      </c>
      <c r="G1217" s="270">
        <v>15727.9</v>
      </c>
      <c r="H1217" s="129">
        <f t="shared" si="43"/>
        <v>-9.5562559628203925E-3</v>
      </c>
    </row>
    <row r="1218" spans="2:8" x14ac:dyDescent="0.3">
      <c r="B1218" s="269">
        <v>44384</v>
      </c>
      <c r="C1218" s="270">
        <v>442.8</v>
      </c>
      <c r="D1218" s="129">
        <f t="shared" si="44"/>
        <v>4.4232732221844984E-3</v>
      </c>
      <c r="E1218" s="270">
        <v>23130.31</v>
      </c>
      <c r="F1218" s="129">
        <f t="shared" si="44"/>
        <v>9.2326313304720298E-3</v>
      </c>
      <c r="G1218" s="270">
        <v>15879.65</v>
      </c>
      <c r="H1218" s="129">
        <f t="shared" si="43"/>
        <v>3.8815924644002298E-3</v>
      </c>
    </row>
    <row r="1219" spans="2:8" x14ac:dyDescent="0.3">
      <c r="B1219" s="269">
        <v>44383</v>
      </c>
      <c r="C1219" s="270">
        <v>440.85</v>
      </c>
      <c r="D1219" s="129">
        <f t="shared" si="44"/>
        <v>-3.1843636762929561E-2</v>
      </c>
      <c r="E1219" s="270">
        <v>22918.71</v>
      </c>
      <c r="F1219" s="129">
        <f t="shared" si="44"/>
        <v>2.2512564923691247E-3</v>
      </c>
      <c r="G1219" s="270">
        <v>15818.25</v>
      </c>
      <c r="H1219" s="129">
        <f t="shared" si="43"/>
        <v>-1.0167768174885738E-3</v>
      </c>
    </row>
    <row r="1220" spans="2:8" x14ac:dyDescent="0.3">
      <c r="B1220" s="269">
        <v>44382</v>
      </c>
      <c r="C1220" s="270">
        <v>455.35</v>
      </c>
      <c r="D1220" s="129">
        <f t="shared" si="44"/>
        <v>4.8541230110300093E-2</v>
      </c>
      <c r="E1220" s="270">
        <v>22867.23</v>
      </c>
      <c r="F1220" s="129">
        <f t="shared" si="44"/>
        <v>4.0002423591023462E-3</v>
      </c>
      <c r="G1220" s="270">
        <v>15834.35</v>
      </c>
      <c r="H1220" s="129">
        <f t="shared" si="43"/>
        <v>7.1332256300009611E-3</v>
      </c>
    </row>
    <row r="1221" spans="2:8" x14ac:dyDescent="0.3">
      <c r="B1221" s="269">
        <v>44379</v>
      </c>
      <c r="C1221" s="270">
        <v>434.27</v>
      </c>
      <c r="D1221" s="129">
        <f t="shared" si="44"/>
        <v>2.4005724441982235E-3</v>
      </c>
      <c r="E1221" s="270">
        <v>22776.12</v>
      </c>
      <c r="F1221" s="129">
        <f t="shared" si="44"/>
        <v>-3.5951929933547566E-3</v>
      </c>
      <c r="G1221" s="270">
        <v>15722.2</v>
      </c>
      <c r="H1221" s="129">
        <f t="shared" si="43"/>
        <v>2.6913265306123257E-3</v>
      </c>
    </row>
    <row r="1222" spans="2:8" x14ac:dyDescent="0.3">
      <c r="B1222" s="269">
        <v>44378</v>
      </c>
      <c r="C1222" s="270">
        <v>433.23</v>
      </c>
      <c r="D1222" s="129">
        <f t="shared" si="44"/>
        <v>1.6878612716764163E-3</v>
      </c>
      <c r="E1222" s="270">
        <v>22858.3</v>
      </c>
      <c r="F1222" s="129">
        <f t="shared" si="44"/>
        <v>-3.9513738736972615E-3</v>
      </c>
      <c r="G1222" s="270">
        <v>15680</v>
      </c>
      <c r="H1222" s="129">
        <f t="shared" si="43"/>
        <v>-2.639697229908089E-3</v>
      </c>
    </row>
    <row r="1223" spans="2:8" x14ac:dyDescent="0.3">
      <c r="B1223" s="269">
        <v>44377</v>
      </c>
      <c r="C1223" s="270">
        <v>432.5</v>
      </c>
      <c r="D1223" s="129">
        <f t="shared" si="44"/>
        <v>-2.1382509333634947E-2</v>
      </c>
      <c r="E1223" s="270">
        <v>22948.98</v>
      </c>
      <c r="F1223" s="129">
        <f t="shared" si="44"/>
        <v>3.1477070608563196E-3</v>
      </c>
      <c r="G1223" s="270">
        <v>15721.5</v>
      </c>
      <c r="H1223" s="129">
        <f t="shared" si="43"/>
        <v>-1.7112795227467448E-3</v>
      </c>
    </row>
    <row r="1224" spans="2:8" x14ac:dyDescent="0.3">
      <c r="B1224" s="269">
        <v>44376</v>
      </c>
      <c r="C1224" s="270">
        <v>441.95</v>
      </c>
      <c r="D1224" s="129">
        <f t="shared" si="44"/>
        <v>6.6051702539573487E-3</v>
      </c>
      <c r="E1224" s="270">
        <v>22876.97</v>
      </c>
      <c r="F1224" s="129">
        <f t="shared" si="44"/>
        <v>-3.3962203326256546E-3</v>
      </c>
      <c r="G1224" s="270">
        <v>15748.45</v>
      </c>
      <c r="H1224" s="129">
        <f t="shared" si="43"/>
        <v>-4.1891404832212764E-3</v>
      </c>
    </row>
    <row r="1225" spans="2:8" x14ac:dyDescent="0.3">
      <c r="B1225" s="269">
        <v>44375</v>
      </c>
      <c r="C1225" s="270">
        <v>439.05</v>
      </c>
      <c r="D1225" s="129">
        <f t="shared" si="44"/>
        <v>8.7769684994141173E-3</v>
      </c>
      <c r="E1225" s="270">
        <v>22954.93</v>
      </c>
      <c r="F1225" s="129">
        <f t="shared" si="44"/>
        <v>-5.6012264649936139E-3</v>
      </c>
      <c r="G1225" s="270">
        <v>15814.7</v>
      </c>
      <c r="H1225" s="129">
        <f t="shared" si="43"/>
        <v>-2.8782466969518028E-3</v>
      </c>
    </row>
    <row r="1226" spans="2:8" x14ac:dyDescent="0.3">
      <c r="B1226" s="269">
        <v>44372</v>
      </c>
      <c r="C1226" s="270">
        <v>435.23</v>
      </c>
      <c r="D1226" s="129">
        <f t="shared" si="44"/>
        <v>2.8341013824886296E-3</v>
      </c>
      <c r="E1226" s="270">
        <v>23084.23</v>
      </c>
      <c r="F1226" s="129">
        <f t="shared" si="44"/>
        <v>1.2171455330552972E-2</v>
      </c>
      <c r="G1226" s="270">
        <v>15860.35</v>
      </c>
      <c r="H1226" s="129">
        <f t="shared" ref="H1226:H1240" si="45">G1226/G1227-1</f>
        <v>4.4267262807582419E-3</v>
      </c>
    </row>
    <row r="1227" spans="2:8" x14ac:dyDescent="0.3">
      <c r="B1227" s="269">
        <v>44371</v>
      </c>
      <c r="C1227" s="270">
        <v>434</v>
      </c>
      <c r="D1227" s="129">
        <f t="shared" si="44"/>
        <v>-2.4499887615194393E-2</v>
      </c>
      <c r="E1227" s="270">
        <v>22806.639999999999</v>
      </c>
      <c r="F1227" s="129">
        <f t="shared" si="44"/>
        <v>5.4224101599213981E-3</v>
      </c>
      <c r="G1227" s="270">
        <v>15790.45</v>
      </c>
      <c r="H1227" s="129">
        <f t="shared" si="45"/>
        <v>6.5978408804769906E-3</v>
      </c>
    </row>
    <row r="1228" spans="2:8" x14ac:dyDescent="0.3">
      <c r="B1228" s="269">
        <v>44370</v>
      </c>
      <c r="C1228" s="270">
        <v>444.9</v>
      </c>
      <c r="D1228" s="129">
        <f t="shared" si="44"/>
        <v>3.1173948313825361E-2</v>
      </c>
      <c r="E1228" s="270">
        <v>22683.64</v>
      </c>
      <c r="F1228" s="129">
        <f t="shared" si="44"/>
        <v>-1.2077731220239141E-4</v>
      </c>
      <c r="G1228" s="270">
        <v>15686.95</v>
      </c>
      <c r="H1228" s="129">
        <f t="shared" si="45"/>
        <v>-5.4397616141762528E-3</v>
      </c>
    </row>
    <row r="1229" spans="2:8" x14ac:dyDescent="0.3">
      <c r="B1229" s="269">
        <v>44369</v>
      </c>
      <c r="C1229" s="270">
        <v>431.45</v>
      </c>
      <c r="D1229" s="129">
        <f t="shared" si="44"/>
        <v>-9.9816429554842045E-3</v>
      </c>
      <c r="E1229" s="270">
        <v>22686.38</v>
      </c>
      <c r="F1229" s="129">
        <f t="shared" si="44"/>
        <v>1.9530105429673261E-2</v>
      </c>
      <c r="G1229" s="270">
        <v>15772.75</v>
      </c>
      <c r="H1229" s="129">
        <f t="shared" si="45"/>
        <v>1.6670371193598932E-3</v>
      </c>
    </row>
    <row r="1230" spans="2:8" x14ac:dyDescent="0.3">
      <c r="B1230" s="269">
        <v>44368</v>
      </c>
      <c r="C1230" s="270">
        <v>435.8</v>
      </c>
      <c r="D1230" s="129">
        <f t="shared" si="44"/>
        <v>2.5363512305303315E-2</v>
      </c>
      <c r="E1230" s="270">
        <v>22251.8</v>
      </c>
      <c r="F1230" s="129">
        <f t="shared" si="44"/>
        <v>3.1064482580944741E-3</v>
      </c>
      <c r="G1230" s="270">
        <v>15746.5</v>
      </c>
      <c r="H1230" s="129">
        <f t="shared" si="45"/>
        <v>4.0265632023770426E-3</v>
      </c>
    </row>
    <row r="1231" spans="2:8" x14ac:dyDescent="0.3">
      <c r="B1231" s="269">
        <v>44365</v>
      </c>
      <c r="C1231" s="270">
        <v>425.02</v>
      </c>
      <c r="D1231" s="129">
        <f t="shared" si="44"/>
        <v>-2.5004587997797811E-2</v>
      </c>
      <c r="E1231" s="270">
        <v>22182.89</v>
      </c>
      <c r="F1231" s="129">
        <f t="shared" si="44"/>
        <v>-8.3000462703215483E-3</v>
      </c>
      <c r="G1231" s="270">
        <v>15683.35</v>
      </c>
      <c r="H1231" s="129">
        <f t="shared" si="45"/>
        <v>-5.1301987075713651E-4</v>
      </c>
    </row>
    <row r="1232" spans="2:8" x14ac:dyDescent="0.3">
      <c r="B1232" s="269">
        <v>44364</v>
      </c>
      <c r="C1232" s="270">
        <v>435.92</v>
      </c>
      <c r="D1232" s="129">
        <f t="shared" si="44"/>
        <v>1.6060571297460413E-4</v>
      </c>
      <c r="E1232" s="270">
        <v>22368.55</v>
      </c>
      <c r="F1232" s="129">
        <f t="shared" si="44"/>
        <v>-9.1564836905532188E-3</v>
      </c>
      <c r="G1232" s="270">
        <v>15691.4</v>
      </c>
      <c r="H1232" s="129">
        <f t="shared" si="45"/>
        <v>-4.8295391484409755E-3</v>
      </c>
    </row>
    <row r="1233" spans="2:8" x14ac:dyDescent="0.3">
      <c r="B1233" s="269">
        <v>44363</v>
      </c>
      <c r="C1233" s="270">
        <v>435.85</v>
      </c>
      <c r="D1233" s="129">
        <f t="shared" si="44"/>
        <v>-1.9349758128023309E-2</v>
      </c>
      <c r="E1233" s="270">
        <v>22575.26</v>
      </c>
      <c r="F1233" s="129">
        <f t="shared" si="44"/>
        <v>-1.3826366419023128E-2</v>
      </c>
      <c r="G1233" s="270">
        <v>15767.55</v>
      </c>
      <c r="H1233" s="129">
        <f t="shared" si="45"/>
        <v>-6.4086204452006301E-3</v>
      </c>
    </row>
    <row r="1234" spans="2:8" x14ac:dyDescent="0.3">
      <c r="B1234" s="269">
        <v>44362</v>
      </c>
      <c r="C1234" s="270">
        <v>444.45</v>
      </c>
      <c r="D1234" s="129">
        <f t="shared" si="44"/>
        <v>8.6922972175569324E-3</v>
      </c>
      <c r="E1234" s="270">
        <v>22891.77</v>
      </c>
      <c r="F1234" s="129">
        <f t="shared" si="44"/>
        <v>3.7274036294503432E-3</v>
      </c>
      <c r="G1234" s="270">
        <v>15869.25</v>
      </c>
      <c r="H1234" s="129">
        <f t="shared" si="45"/>
        <v>3.6301887508418673E-3</v>
      </c>
    </row>
    <row r="1235" spans="2:8" x14ac:dyDescent="0.3">
      <c r="B1235" s="269">
        <v>44361</v>
      </c>
      <c r="C1235" s="270">
        <v>440.62</v>
      </c>
      <c r="D1235" s="129">
        <f t="shared" ref="D1235:F1240" si="46">C1235/C1236-1</f>
        <v>-8.3942837853043795E-3</v>
      </c>
      <c r="E1235" s="270">
        <v>22806.76</v>
      </c>
      <c r="F1235" s="129">
        <f t="shared" si="46"/>
        <v>-4.84036567385282E-3</v>
      </c>
      <c r="G1235" s="270">
        <v>15811.85</v>
      </c>
      <c r="H1235" s="129">
        <f t="shared" si="45"/>
        <v>7.911717887127967E-4</v>
      </c>
    </row>
    <row r="1236" spans="2:8" x14ac:dyDescent="0.3">
      <c r="B1236" s="269">
        <v>44358</v>
      </c>
      <c r="C1236" s="270">
        <v>444.35</v>
      </c>
      <c r="D1236" s="129">
        <f t="shared" si="46"/>
        <v>-1.3322971022537988E-2</v>
      </c>
      <c r="E1236" s="270">
        <v>22917.69</v>
      </c>
      <c r="F1236" s="129">
        <f t="shared" si="46"/>
        <v>-6.5719375967194793E-3</v>
      </c>
      <c r="G1236" s="270">
        <v>15799.35</v>
      </c>
      <c r="H1236" s="129">
        <f t="shared" si="45"/>
        <v>3.9141554542421186E-3</v>
      </c>
    </row>
    <row r="1237" spans="2:8" x14ac:dyDescent="0.3">
      <c r="B1237" s="269">
        <v>44357</v>
      </c>
      <c r="C1237" s="270">
        <v>450.35</v>
      </c>
      <c r="D1237" s="129">
        <f t="shared" si="46"/>
        <v>2.0230166281545836E-2</v>
      </c>
      <c r="E1237" s="270">
        <v>23069.3</v>
      </c>
      <c r="F1237" s="129">
        <f t="shared" si="46"/>
        <v>1.9331338092551942E-3</v>
      </c>
      <c r="G1237" s="270">
        <v>15737.75</v>
      </c>
      <c r="H1237" s="129">
        <f t="shared" si="45"/>
        <v>6.5492617690041666E-3</v>
      </c>
    </row>
    <row r="1238" spans="2:8" x14ac:dyDescent="0.3">
      <c r="B1238" s="269">
        <v>44356</v>
      </c>
      <c r="C1238" s="270">
        <v>441.42</v>
      </c>
      <c r="D1238" s="129">
        <f t="shared" si="46"/>
        <v>-1.413735343383582E-2</v>
      </c>
      <c r="E1238" s="270">
        <v>23024.79</v>
      </c>
      <c r="F1238" s="129">
        <f t="shared" si="46"/>
        <v>-1.4620132061364921E-2</v>
      </c>
      <c r="G1238" s="270">
        <v>15635.35</v>
      </c>
      <c r="H1238" s="129">
        <f t="shared" si="45"/>
        <v>-6.6549767790547998E-3</v>
      </c>
    </row>
    <row r="1239" spans="2:8" x14ac:dyDescent="0.3">
      <c r="B1239" s="269">
        <v>44355</v>
      </c>
      <c r="C1239" s="270">
        <v>447.75</v>
      </c>
      <c r="D1239" s="129">
        <f t="shared" si="46"/>
        <v>-3.2279608192341547E-3</v>
      </c>
      <c r="E1239" s="270">
        <v>23366.41</v>
      </c>
      <c r="F1239" s="129">
        <f t="shared" si="46"/>
        <v>-2.908949082936485E-3</v>
      </c>
      <c r="G1239" s="270">
        <v>15740.1</v>
      </c>
      <c r="H1239" s="129">
        <f t="shared" si="45"/>
        <v>-7.3325651598399322E-4</v>
      </c>
    </row>
    <row r="1240" spans="2:8" x14ac:dyDescent="0.3">
      <c r="B1240" s="269">
        <v>44354</v>
      </c>
      <c r="C1240" s="270">
        <v>449.2</v>
      </c>
      <c r="D1240" s="129">
        <f t="shared" si="46"/>
        <v>6.949114548307378E-3</v>
      </c>
      <c r="E1240" s="270">
        <v>23434.58</v>
      </c>
      <c r="F1240" s="129">
        <f t="shared" si="46"/>
        <v>6.6603578336850155E-3</v>
      </c>
      <c r="G1240" s="270">
        <v>15751.65</v>
      </c>
      <c r="H1240" s="129">
        <f t="shared" si="45"/>
        <v>5.1945565641899893E-3</v>
      </c>
    </row>
    <row r="1241" spans="2:8" x14ac:dyDescent="0.3">
      <c r="B1241" s="269">
        <v>44351</v>
      </c>
      <c r="C1241" s="270">
        <v>446.1</v>
      </c>
      <c r="D1241" s="129"/>
      <c r="E1241" s="270">
        <v>23279.53</v>
      </c>
      <c r="F1241" s="129"/>
      <c r="G1241" s="270">
        <v>15670.25</v>
      </c>
      <c r="H1241" s="60"/>
    </row>
    <row r="1242" spans="2:8" x14ac:dyDescent="0.3">
      <c r="B1242" s="168"/>
    </row>
    <row r="1243" spans="2:8" x14ac:dyDescent="0.3">
      <c r="B1243" s="168"/>
    </row>
    <row r="1244" spans="2:8" x14ac:dyDescent="0.3">
      <c r="B1244" s="168"/>
    </row>
    <row r="1245" spans="2:8" x14ac:dyDescent="0.3">
      <c r="B1245" s="168"/>
    </row>
    <row r="1246" spans="2:8" x14ac:dyDescent="0.3">
      <c r="B1246" s="168"/>
    </row>
    <row r="1247" spans="2:8" x14ac:dyDescent="0.3">
      <c r="B1247" s="168"/>
    </row>
    <row r="1248" spans="2:8" x14ac:dyDescent="0.3">
      <c r="B1248" s="168"/>
    </row>
    <row r="1249" spans="2:2" x14ac:dyDescent="0.3">
      <c r="B1249" s="168"/>
    </row>
    <row r="1250" spans="2:2" x14ac:dyDescent="0.3">
      <c r="B1250" s="168"/>
    </row>
    <row r="1251" spans="2:2" x14ac:dyDescent="0.3">
      <c r="B1251" s="168"/>
    </row>
    <row r="1252" spans="2:2" x14ac:dyDescent="0.3">
      <c r="B1252" s="168"/>
    </row>
    <row r="1253" spans="2:2" x14ac:dyDescent="0.3">
      <c r="B1253" s="168"/>
    </row>
    <row r="1254" spans="2:2" x14ac:dyDescent="0.3">
      <c r="B1254" s="168"/>
    </row>
    <row r="1255" spans="2:2" x14ac:dyDescent="0.3">
      <c r="B1255" s="168"/>
    </row>
    <row r="1256" spans="2:2" x14ac:dyDescent="0.3">
      <c r="B1256" s="168"/>
    </row>
  </sheetData>
  <mergeCells count="12">
    <mergeCell ref="S1:T1"/>
    <mergeCell ref="W1:X1"/>
    <mergeCell ref="J1:J2"/>
    <mergeCell ref="R1:R2"/>
    <mergeCell ref="B1:B2"/>
    <mergeCell ref="C1:D1"/>
    <mergeCell ref="G1:H1"/>
    <mergeCell ref="K1:L1"/>
    <mergeCell ref="O1:P1"/>
    <mergeCell ref="E1:F1"/>
    <mergeCell ref="M1:N1"/>
    <mergeCell ref="U1:V1"/>
  </mergeCells>
  <hyperlinks>
    <hyperlink ref="AB6" r:id="rId1" xr:uid="{04615081-5F31-4FA7-B271-B2AE3E3BE2E5}"/>
    <hyperlink ref="AB7" r:id="rId2" xr:uid="{F7EFFE6F-8E66-4DDC-A90E-42F8BFC406B2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DCE7B-7D6C-4E9E-B352-1BC279E286EE}">
  <sheetPr>
    <tabColor rgb="FF8E1C2F"/>
  </sheetPr>
  <dimension ref="A1:N261"/>
  <sheetViews>
    <sheetView zoomScale="80" zoomScaleNormal="80" workbookViewId="0">
      <selection activeCell="J14" sqref="J14"/>
    </sheetView>
  </sheetViews>
  <sheetFormatPr defaultColWidth="8.77734375" defaultRowHeight="13.8" x14ac:dyDescent="0.3"/>
  <cols>
    <col min="1" max="11" width="10.6640625" style="12" customWidth="1"/>
    <col min="12" max="12" width="26.5546875" style="12" bestFit="1" customWidth="1"/>
    <col min="13" max="32" width="10.6640625" style="12" customWidth="1"/>
    <col min="33" max="42" width="10.5546875" style="12" customWidth="1"/>
    <col min="43" max="16384" width="8.77734375" style="12"/>
  </cols>
  <sheetData>
    <row r="1" spans="1:14" x14ac:dyDescent="0.3">
      <c r="A1" s="398" t="s">
        <v>610</v>
      </c>
      <c r="B1" s="399"/>
      <c r="C1" s="399"/>
      <c r="D1" s="400"/>
      <c r="E1" s="401" t="s">
        <v>611</v>
      </c>
      <c r="F1" s="401"/>
      <c r="G1" s="402"/>
      <c r="H1" s="401" t="s">
        <v>961</v>
      </c>
      <c r="I1" s="401"/>
      <c r="J1" s="402"/>
    </row>
    <row r="2" spans="1:14" ht="69" x14ac:dyDescent="0.3">
      <c r="A2" s="403" t="s">
        <v>191</v>
      </c>
      <c r="B2" s="404" t="s">
        <v>609</v>
      </c>
      <c r="C2" s="404" t="s">
        <v>612</v>
      </c>
      <c r="D2" s="405" t="s">
        <v>905</v>
      </c>
      <c r="E2" s="406" t="s">
        <v>191</v>
      </c>
      <c r="F2" s="406" t="s">
        <v>617</v>
      </c>
      <c r="G2" s="407" t="s">
        <v>612</v>
      </c>
      <c r="H2" s="406" t="s">
        <v>191</v>
      </c>
      <c r="I2" s="406" t="s">
        <v>960</v>
      </c>
      <c r="J2" s="407" t="s">
        <v>612</v>
      </c>
      <c r="L2" s="138" t="s">
        <v>615</v>
      </c>
      <c r="M2" s="138" t="s">
        <v>614</v>
      </c>
    </row>
    <row r="3" spans="1:14" ht="12.9" customHeight="1" x14ac:dyDescent="0.3">
      <c r="A3" s="139" t="s">
        <v>893</v>
      </c>
      <c r="B3" s="219" t="s">
        <v>323</v>
      </c>
      <c r="C3" s="204">
        <f>LN(B4/B3)</f>
        <v>1.5389169321881569E-2</v>
      </c>
      <c r="D3" s="207" t="str">
        <f t="shared" ref="D3:D66" si="0">IFERROR(VLOOKUP(A3,E:G,3,FALSE)," ")</f>
        <v xml:space="preserve"> </v>
      </c>
      <c r="E3" s="206" t="s">
        <v>682</v>
      </c>
      <c r="F3" s="12">
        <v>119.56</v>
      </c>
      <c r="G3" s="140">
        <f>LN(F4/F3)</f>
        <v>5.79248201982248E-2</v>
      </c>
      <c r="H3" s="206" t="s">
        <v>682</v>
      </c>
      <c r="I3" s="218">
        <v>45980</v>
      </c>
      <c r="J3" s="140">
        <f>LN(I4/I3)</f>
        <v>-1.7330695911847157E-2</v>
      </c>
      <c r="L3" s="60" t="s">
        <v>613</v>
      </c>
      <c r="M3" s="129">
        <f>STDEV(C3:C243)*SQRT(252)</f>
        <v>5.3606616631807665E-2</v>
      </c>
      <c r="N3" s="141" t="s">
        <v>637</v>
      </c>
    </row>
    <row r="4" spans="1:14" ht="12.9" customHeight="1" x14ac:dyDescent="0.3">
      <c r="A4" s="139" t="s">
        <v>684</v>
      </c>
      <c r="B4" s="219" t="s">
        <v>324</v>
      </c>
      <c r="C4" s="204">
        <f t="shared" ref="C4:C67" si="1">LN(B5/B4)</f>
        <v>-5.8651616899289035E-4</v>
      </c>
      <c r="D4" s="207">
        <f t="shared" si="0"/>
        <v>-3.3696354053288566E-3</v>
      </c>
      <c r="E4" s="206" t="s">
        <v>683</v>
      </c>
      <c r="F4" s="12">
        <v>126.69</v>
      </c>
      <c r="G4" s="140">
        <f t="shared" ref="G4:G67" si="2">LN(F5/F4)</f>
        <v>-3.8706203496453609E-2</v>
      </c>
      <c r="H4" s="206" t="s">
        <v>683</v>
      </c>
      <c r="I4" s="218">
        <v>45190</v>
      </c>
      <c r="J4" s="140">
        <f t="shared" ref="J4:J67" si="3">LN(I5/I4)</f>
        <v>-2.192481558503644E-2</v>
      </c>
      <c r="L4" s="60" t="s">
        <v>616</v>
      </c>
      <c r="M4" s="129">
        <f>STDEV(G3:G255)*SQRT(260)</f>
        <v>0.44549514053099937</v>
      </c>
      <c r="N4" s="141" t="s">
        <v>636</v>
      </c>
    </row>
    <row r="5" spans="1:14" ht="12.9" customHeight="1" x14ac:dyDescent="0.3">
      <c r="A5" s="139" t="s">
        <v>685</v>
      </c>
      <c r="B5" s="219" t="s">
        <v>325</v>
      </c>
      <c r="C5" s="204">
        <f t="shared" si="1"/>
        <v>-6.7149689248407829E-3</v>
      </c>
      <c r="D5" s="207">
        <f t="shared" si="0"/>
        <v>-6.8834114728430998E-2</v>
      </c>
      <c r="E5" s="206" t="s">
        <v>684</v>
      </c>
      <c r="F5" s="12">
        <v>121.88</v>
      </c>
      <c r="G5" s="140">
        <f t="shared" si="2"/>
        <v>-3.3696354053288566E-3</v>
      </c>
      <c r="H5" s="206" t="s">
        <v>684</v>
      </c>
      <c r="I5" s="218">
        <v>44210</v>
      </c>
      <c r="J5" s="140">
        <f t="shared" si="3"/>
        <v>-4.3069317398362313E-3</v>
      </c>
      <c r="L5" s="60" t="s">
        <v>962</v>
      </c>
      <c r="M5" s="129">
        <f>STDEV(J3:J248)*SQRT(260)</f>
        <v>0.10000597420336724</v>
      </c>
      <c r="N5" s="259" t="s">
        <v>991</v>
      </c>
    </row>
    <row r="6" spans="1:14" ht="12.9" customHeight="1" x14ac:dyDescent="0.3">
      <c r="A6" s="139" t="s">
        <v>687</v>
      </c>
      <c r="B6" s="219" t="s">
        <v>326</v>
      </c>
      <c r="C6" s="204">
        <f t="shared" si="1"/>
        <v>-9.209726334230622E-4</v>
      </c>
      <c r="D6" s="207">
        <f t="shared" si="0"/>
        <v>-6.6188879258937544E-3</v>
      </c>
      <c r="E6" s="206" t="s">
        <v>685</v>
      </c>
      <c r="F6" s="12">
        <v>121.47</v>
      </c>
      <c r="G6" s="140">
        <f t="shared" si="2"/>
        <v>-6.8834114728430998E-2</v>
      </c>
      <c r="H6" s="206" t="s">
        <v>685</v>
      </c>
      <c r="I6" s="218">
        <v>44020</v>
      </c>
      <c r="J6" s="140">
        <f t="shared" si="3"/>
        <v>9.270840849501541E-3</v>
      </c>
      <c r="L6" s="60" t="s">
        <v>624</v>
      </c>
      <c r="M6" s="142">
        <f>CORREL(C3:C243,D3:D243)</f>
        <v>9.2954019803969112E-2</v>
      </c>
    </row>
    <row r="7" spans="1:14" ht="12.9" customHeight="1" x14ac:dyDescent="0.3">
      <c r="A7" s="139" t="s">
        <v>688</v>
      </c>
      <c r="B7" s="219" t="s">
        <v>327</v>
      </c>
      <c r="C7" s="204">
        <f t="shared" si="1"/>
        <v>2.0023730317429968E-4</v>
      </c>
      <c r="D7" s="207">
        <f t="shared" si="0"/>
        <v>-4.3642946854994501E-2</v>
      </c>
      <c r="E7" s="206" t="s">
        <v>686</v>
      </c>
      <c r="F7" s="12">
        <v>113.39</v>
      </c>
      <c r="G7" s="140">
        <f t="shared" si="2"/>
        <v>-3.8201742225662583E-2</v>
      </c>
      <c r="H7" s="206" t="s">
        <v>686</v>
      </c>
      <c r="I7" s="218">
        <v>44430</v>
      </c>
      <c r="J7" s="140">
        <f t="shared" si="3"/>
        <v>4.715401125238358E-3</v>
      </c>
      <c r="L7" s="60" t="s">
        <v>625</v>
      </c>
      <c r="M7" s="142">
        <f>_xlfn.NORM.S.INV(M8)</f>
        <v>1.6448536269514715</v>
      </c>
    </row>
    <row r="8" spans="1:14" ht="12.9" customHeight="1" x14ac:dyDescent="0.3">
      <c r="A8" s="139" t="s">
        <v>689</v>
      </c>
      <c r="B8" s="219" t="s">
        <v>328</v>
      </c>
      <c r="C8" s="204">
        <f t="shared" si="1"/>
        <v>-5.8714279446940298E-3</v>
      </c>
      <c r="D8" s="207">
        <f t="shared" si="0"/>
        <v>0.13186800012643243</v>
      </c>
      <c r="E8" s="206" t="s">
        <v>687</v>
      </c>
      <c r="F8" s="12">
        <v>109.14</v>
      </c>
      <c r="G8" s="140">
        <f t="shared" si="2"/>
        <v>-6.6188879258937544E-3</v>
      </c>
      <c r="H8" s="206" t="s">
        <v>687</v>
      </c>
      <c r="I8" s="218">
        <v>44640</v>
      </c>
      <c r="J8" s="140">
        <f t="shared" si="3"/>
        <v>-7.6456410219655751E-3</v>
      </c>
      <c r="L8" s="60" t="s">
        <v>901</v>
      </c>
      <c r="M8" s="129">
        <v>0.95</v>
      </c>
    </row>
    <row r="9" spans="1:14" ht="12.9" customHeight="1" x14ac:dyDescent="0.3">
      <c r="A9" s="139" t="s">
        <v>690</v>
      </c>
      <c r="B9" s="219" t="s">
        <v>329</v>
      </c>
      <c r="C9" s="204">
        <f t="shared" si="1"/>
        <v>-9.6545577489757471E-3</v>
      </c>
      <c r="D9" s="207">
        <f t="shared" si="0"/>
        <v>-6.4257076763193671E-2</v>
      </c>
      <c r="E9" s="206" t="s">
        <v>688</v>
      </c>
      <c r="F9" s="12">
        <v>108.42</v>
      </c>
      <c r="G9" s="140">
        <f t="shared" si="2"/>
        <v>-4.3642946854994501E-2</v>
      </c>
      <c r="H9" s="206" t="s">
        <v>688</v>
      </c>
      <c r="I9" s="218">
        <v>44300</v>
      </c>
      <c r="J9" s="140">
        <f t="shared" si="3"/>
        <v>-2.0336692129381533E-3</v>
      </c>
      <c r="L9" s="60" t="s">
        <v>902</v>
      </c>
      <c r="M9" s="142">
        <f>_xlfn.NORM.S.DIST(_xlfn.NORM.S.INV(M8),FALSE)</f>
        <v>0.10313564037537151</v>
      </c>
    </row>
    <row r="10" spans="1:14" ht="12.9" customHeight="1" x14ac:dyDescent="0.3">
      <c r="A10" s="139" t="s">
        <v>692</v>
      </c>
      <c r="B10" s="219" t="s">
        <v>330</v>
      </c>
      <c r="C10" s="204">
        <f t="shared" si="1"/>
        <v>6.0570531156991787E-5</v>
      </c>
      <c r="D10" s="207">
        <f t="shared" si="0"/>
        <v>-8.5711211785531746E-2</v>
      </c>
      <c r="E10" s="206" t="s">
        <v>689</v>
      </c>
      <c r="F10" s="12">
        <v>103.79</v>
      </c>
      <c r="G10" s="140">
        <f t="shared" si="2"/>
        <v>0.13186800012643243</v>
      </c>
      <c r="H10" s="206" t="s">
        <v>689</v>
      </c>
      <c r="I10" s="218">
        <v>44210</v>
      </c>
      <c r="J10" s="140">
        <f t="shared" si="3"/>
        <v>-2.262187544994247E-4</v>
      </c>
      <c r="L10" s="60" t="s">
        <v>900</v>
      </c>
      <c r="M10" s="142">
        <f>M9/(1-M8)</f>
        <v>2.0627128075074284</v>
      </c>
    </row>
    <row r="11" spans="1:14" ht="12.9" customHeight="1" x14ac:dyDescent="0.3">
      <c r="A11" s="139" t="s">
        <v>693</v>
      </c>
      <c r="B11" s="219" t="s">
        <v>331</v>
      </c>
      <c r="C11" s="204">
        <f t="shared" si="1"/>
        <v>-6.5349013651313137E-4</v>
      </c>
      <c r="D11" s="207">
        <f t="shared" si="0"/>
        <v>-7.0219355785422835E-2</v>
      </c>
      <c r="E11" s="206" t="s">
        <v>690</v>
      </c>
      <c r="F11" s="12">
        <v>118.42</v>
      </c>
      <c r="G11" s="140">
        <f t="shared" si="2"/>
        <v>-6.4257076763193671E-2</v>
      </c>
      <c r="H11" s="206" t="s">
        <v>690</v>
      </c>
      <c r="I11" s="218">
        <v>44200</v>
      </c>
      <c r="J11" s="140">
        <f t="shared" si="3"/>
        <v>5.1901278641646462E-3</v>
      </c>
      <c r="L11" s="60"/>
      <c r="M11" s="142"/>
    </row>
    <row r="12" spans="1:14" ht="12.9" customHeight="1" x14ac:dyDescent="0.3">
      <c r="A12" s="139" t="s">
        <v>694</v>
      </c>
      <c r="B12" s="219" t="s">
        <v>332</v>
      </c>
      <c r="C12" s="204">
        <f t="shared" si="1"/>
        <v>4.7501287160918047E-4</v>
      </c>
      <c r="D12" s="207">
        <f t="shared" si="0"/>
        <v>2.1443030435263025E-2</v>
      </c>
      <c r="E12" s="206" t="s">
        <v>691</v>
      </c>
      <c r="F12" s="12">
        <v>111.05</v>
      </c>
      <c r="G12" s="140">
        <f t="shared" si="2"/>
        <v>6.1466495272753781E-2</v>
      </c>
      <c r="H12" s="206" t="s">
        <v>691</v>
      </c>
      <c r="I12" s="218">
        <v>44430</v>
      </c>
      <c r="J12" s="140">
        <f t="shared" si="3"/>
        <v>2.2504782361219109E-4</v>
      </c>
      <c r="L12" s="60" t="s">
        <v>626</v>
      </c>
      <c r="M12" s="142">
        <f>_xlfn.NORM.S.INV(M13)</f>
        <v>2.3263478740408408</v>
      </c>
    </row>
    <row r="13" spans="1:14" ht="12.9" customHeight="1" x14ac:dyDescent="0.3">
      <c r="A13" s="139" t="s">
        <v>695</v>
      </c>
      <c r="B13" s="219" t="s">
        <v>333</v>
      </c>
      <c r="C13" s="204">
        <f t="shared" si="1"/>
        <v>-9.4700307683206802E-4</v>
      </c>
      <c r="D13" s="207">
        <f t="shared" si="0"/>
        <v>-8.2681274480615827E-3</v>
      </c>
      <c r="E13" s="206" t="s">
        <v>692</v>
      </c>
      <c r="F13" s="12">
        <v>118.09</v>
      </c>
      <c r="G13" s="140">
        <f t="shared" si="2"/>
        <v>-8.5711211785531746E-2</v>
      </c>
      <c r="H13" s="206" t="s">
        <v>692</v>
      </c>
      <c r="I13" s="218">
        <v>44440</v>
      </c>
      <c r="J13" s="140">
        <f t="shared" si="3"/>
        <v>-1.8018022892629111E-3</v>
      </c>
      <c r="L13" s="60" t="s">
        <v>901</v>
      </c>
      <c r="M13" s="129">
        <v>0.99</v>
      </c>
    </row>
    <row r="14" spans="1:14" ht="12.9" customHeight="1" x14ac:dyDescent="0.3">
      <c r="A14" s="139" t="s">
        <v>696</v>
      </c>
      <c r="B14" s="219" t="s">
        <v>334</v>
      </c>
      <c r="C14" s="204">
        <f t="shared" si="1"/>
        <v>-4.637549166813441E-3</v>
      </c>
      <c r="D14" s="207">
        <f t="shared" si="0"/>
        <v>-0.11805167888757909</v>
      </c>
      <c r="E14" s="206" t="s">
        <v>693</v>
      </c>
      <c r="F14" s="12">
        <v>108.39</v>
      </c>
      <c r="G14" s="140">
        <f t="shared" si="2"/>
        <v>-7.0219355785422835E-2</v>
      </c>
      <c r="H14" s="206" t="s">
        <v>693</v>
      </c>
      <c r="I14" s="218">
        <v>44360</v>
      </c>
      <c r="J14" s="140">
        <f t="shared" si="3"/>
        <v>2.2517460538842718E-3</v>
      </c>
      <c r="L14" s="60" t="s">
        <v>902</v>
      </c>
      <c r="M14" s="142">
        <f>_xlfn.NORM.S.DIST(_xlfn.NORM.S.INV(M13),FALSE)</f>
        <v>2.665214220345808E-2</v>
      </c>
    </row>
    <row r="15" spans="1:14" ht="12.9" customHeight="1" x14ac:dyDescent="0.3">
      <c r="A15" s="139" t="s">
        <v>697</v>
      </c>
      <c r="B15" s="219" t="s">
        <v>335</v>
      </c>
      <c r="C15" s="204">
        <f t="shared" si="1"/>
        <v>9.970475391204122E-4</v>
      </c>
      <c r="D15" s="207">
        <f t="shared" si="0"/>
        <v>-1.2609391711670276E-2</v>
      </c>
      <c r="E15" s="206" t="s">
        <v>694</v>
      </c>
      <c r="F15" s="12">
        <v>101.04</v>
      </c>
      <c r="G15" s="140">
        <f t="shared" si="2"/>
        <v>2.1443030435263025E-2</v>
      </c>
      <c r="H15" s="206" t="s">
        <v>694</v>
      </c>
      <c r="I15" s="218">
        <v>44460</v>
      </c>
      <c r="J15" s="140">
        <f t="shared" si="3"/>
        <v>2.2489598655461748E-4</v>
      </c>
      <c r="L15" s="60" t="s">
        <v>900</v>
      </c>
      <c r="M15" s="142">
        <f>M14/(1-M13)</f>
        <v>2.6652142203458058</v>
      </c>
    </row>
    <row r="16" spans="1:14" ht="12.9" customHeight="1" x14ac:dyDescent="0.3">
      <c r="A16" s="139" t="s">
        <v>698</v>
      </c>
      <c r="B16" s="219" t="s">
        <v>336</v>
      </c>
      <c r="C16" s="204">
        <f t="shared" si="1"/>
        <v>2.6752594757794455E-3</v>
      </c>
      <c r="D16" s="207">
        <f t="shared" si="0"/>
        <v>4.8980961384371476E-2</v>
      </c>
      <c r="E16" s="206" t="s">
        <v>695</v>
      </c>
      <c r="F16" s="12">
        <v>103.23</v>
      </c>
      <c r="G16" s="140">
        <f t="shared" si="2"/>
        <v>-8.2681274480615827E-3</v>
      </c>
      <c r="H16" s="206" t="s">
        <v>695</v>
      </c>
      <c r="I16" s="218">
        <v>44470</v>
      </c>
      <c r="J16" s="140">
        <f t="shared" si="3"/>
        <v>4.7111696783948163E-3</v>
      </c>
    </row>
    <row r="17" spans="1:10" ht="12.9" customHeight="1" x14ac:dyDescent="0.3">
      <c r="A17" s="139" t="s">
        <v>699</v>
      </c>
      <c r="B17" s="219" t="s">
        <v>337</v>
      </c>
      <c r="C17" s="204">
        <f t="shared" si="1"/>
        <v>-6.3170648478877971E-3</v>
      </c>
      <c r="D17" s="207">
        <f t="shared" si="0"/>
        <v>1.4624912149803843E-2</v>
      </c>
      <c r="E17" s="206" t="s">
        <v>696</v>
      </c>
      <c r="F17" s="12">
        <v>102.38</v>
      </c>
      <c r="G17" s="140">
        <f t="shared" si="2"/>
        <v>-0.11805167888757909</v>
      </c>
      <c r="H17" s="206" t="s">
        <v>696</v>
      </c>
      <c r="I17" s="218">
        <v>44680</v>
      </c>
      <c r="J17" s="140">
        <f t="shared" si="3"/>
        <v>-2.0163555616146637E-3</v>
      </c>
    </row>
    <row r="18" spans="1:10" ht="12.9" customHeight="1" x14ac:dyDescent="0.3">
      <c r="A18" s="139" t="s">
        <v>700</v>
      </c>
      <c r="B18" s="219" t="s">
        <v>338</v>
      </c>
      <c r="C18" s="204">
        <f t="shared" si="1"/>
        <v>-6.0443926462098953E-4</v>
      </c>
      <c r="D18" s="207">
        <f t="shared" si="0"/>
        <v>-7.7617199540421844E-2</v>
      </c>
      <c r="E18" s="206" t="s">
        <v>697</v>
      </c>
      <c r="F18" s="12">
        <v>90.98</v>
      </c>
      <c r="G18" s="140">
        <f t="shared" si="2"/>
        <v>-1.2609391711670276E-2</v>
      </c>
      <c r="H18" s="206" t="s">
        <v>697</v>
      </c>
      <c r="I18" s="218">
        <v>44590</v>
      </c>
      <c r="J18" s="140">
        <f t="shared" si="3"/>
        <v>-4.0449493353744235E-3</v>
      </c>
    </row>
    <row r="19" spans="1:10" ht="12.9" customHeight="1" x14ac:dyDescent="0.3">
      <c r="A19" s="139" t="s">
        <v>701</v>
      </c>
      <c r="B19" s="219" t="s">
        <v>339</v>
      </c>
      <c r="C19" s="204">
        <f t="shared" si="1"/>
        <v>7.1263303171071142E-3</v>
      </c>
      <c r="D19" s="207">
        <f t="shared" si="0"/>
        <v>-8.2680038717686533E-2</v>
      </c>
      <c r="E19" s="206" t="s">
        <v>698</v>
      </c>
      <c r="F19" s="12">
        <v>89.84</v>
      </c>
      <c r="G19" s="140">
        <f t="shared" si="2"/>
        <v>4.8980961384371476E-2</v>
      </c>
      <c r="H19" s="206" t="s">
        <v>698</v>
      </c>
      <c r="I19" s="218">
        <v>44410</v>
      </c>
      <c r="J19" s="140">
        <f t="shared" si="3"/>
        <v>-5.64526733517104E-3</v>
      </c>
    </row>
    <row r="20" spans="1:10" ht="12.9" customHeight="1" x14ac:dyDescent="0.3">
      <c r="A20" s="139" t="s">
        <v>702</v>
      </c>
      <c r="B20" s="219" t="s">
        <v>340</v>
      </c>
      <c r="C20" s="204">
        <f t="shared" si="1"/>
        <v>-9.0500916496263177E-3</v>
      </c>
      <c r="D20" s="207">
        <f t="shared" si="0"/>
        <v>2.0869478600459009E-2</v>
      </c>
      <c r="E20" s="206" t="s">
        <v>699</v>
      </c>
      <c r="F20" s="12">
        <v>94.35</v>
      </c>
      <c r="G20" s="140">
        <f t="shared" si="2"/>
        <v>1.4624912149803843E-2</v>
      </c>
      <c r="H20" s="206" t="s">
        <v>699</v>
      </c>
      <c r="I20" s="218">
        <v>44160</v>
      </c>
      <c r="J20" s="140">
        <f t="shared" si="3"/>
        <v>-5.449604767564703E-3</v>
      </c>
    </row>
    <row r="21" spans="1:10" ht="12.9" customHeight="1" x14ac:dyDescent="0.3">
      <c r="A21" s="139" t="s">
        <v>704</v>
      </c>
      <c r="B21" s="219" t="s">
        <v>341</v>
      </c>
      <c r="C21" s="204">
        <f t="shared" si="1"/>
        <v>-5.4516005144131623E-3</v>
      </c>
      <c r="D21" s="207">
        <f t="shared" si="0"/>
        <v>-7.974066456537407E-2</v>
      </c>
      <c r="E21" s="206" t="s">
        <v>700</v>
      </c>
      <c r="F21" s="12">
        <v>95.74</v>
      </c>
      <c r="G21" s="140">
        <f t="shared" si="2"/>
        <v>-7.7617199540421844E-2</v>
      </c>
      <c r="H21" s="206" t="s">
        <v>700</v>
      </c>
      <c r="I21" s="218">
        <v>43920</v>
      </c>
      <c r="J21" s="140">
        <f t="shared" si="3"/>
        <v>2.2766078641305037E-4</v>
      </c>
    </row>
    <row r="22" spans="1:10" ht="12.9" customHeight="1" x14ac:dyDescent="0.3">
      <c r="A22" s="139" t="s">
        <v>705</v>
      </c>
      <c r="B22" s="219" t="s">
        <v>342</v>
      </c>
      <c r="C22" s="204">
        <f t="shared" si="1"/>
        <v>-5.1687714981172271E-4</v>
      </c>
      <c r="D22" s="207">
        <f t="shared" si="0"/>
        <v>4.7559188818680652E-3</v>
      </c>
      <c r="E22" s="206" t="s">
        <v>701</v>
      </c>
      <c r="F22" s="12">
        <v>88.59</v>
      </c>
      <c r="G22" s="140">
        <f t="shared" si="2"/>
        <v>-8.2680038717686533E-2</v>
      </c>
      <c r="H22" s="206" t="s">
        <v>701</v>
      </c>
      <c r="I22" s="218">
        <v>43930</v>
      </c>
      <c r="J22" s="140">
        <f t="shared" si="3"/>
        <v>-1.7915040458251191E-2</v>
      </c>
    </row>
    <row r="23" spans="1:10" ht="12.9" customHeight="1" x14ac:dyDescent="0.3">
      <c r="A23" s="139" t="s">
        <v>706</v>
      </c>
      <c r="B23" s="219" t="s">
        <v>343</v>
      </c>
      <c r="C23" s="204">
        <f t="shared" si="1"/>
        <v>4.7289800471513196E-4</v>
      </c>
      <c r="D23" s="207">
        <f t="shared" si="0"/>
        <v>-1.3628591693945055E-2</v>
      </c>
      <c r="E23" s="206" t="s">
        <v>702</v>
      </c>
      <c r="F23" s="12">
        <v>81.56</v>
      </c>
      <c r="G23" s="140">
        <f t="shared" si="2"/>
        <v>2.0869478600459009E-2</v>
      </c>
      <c r="H23" s="206" t="s">
        <v>702</v>
      </c>
      <c r="I23" s="218">
        <v>43150</v>
      </c>
      <c r="J23" s="140">
        <f t="shared" si="3"/>
        <v>9.4568805353227089E-3</v>
      </c>
    </row>
    <row r="24" spans="1:10" ht="12.9" customHeight="1" x14ac:dyDescent="0.3">
      <c r="A24" s="139" t="s">
        <v>707</v>
      </c>
      <c r="B24" s="219" t="s">
        <v>344</v>
      </c>
      <c r="C24" s="204">
        <f t="shared" si="1"/>
        <v>1.7480566656738494E-4</v>
      </c>
      <c r="D24" s="207">
        <f t="shared" si="0"/>
        <v>7.3291378111707333E-3</v>
      </c>
      <c r="E24" s="206" t="s">
        <v>703</v>
      </c>
      <c r="F24" s="12">
        <v>83.28</v>
      </c>
      <c r="G24" s="140">
        <f t="shared" si="2"/>
        <v>-7.5290966746399887E-2</v>
      </c>
      <c r="H24" s="206" t="s">
        <v>703</v>
      </c>
      <c r="I24" s="218">
        <v>43560</v>
      </c>
      <c r="J24" s="140">
        <f t="shared" si="3"/>
        <v>-2.0682530640590683E-3</v>
      </c>
    </row>
    <row r="25" spans="1:10" ht="12.9" customHeight="1" x14ac:dyDescent="0.3">
      <c r="A25" s="139" t="s">
        <v>708</v>
      </c>
      <c r="B25" s="219" t="s">
        <v>345</v>
      </c>
      <c r="C25" s="204">
        <f t="shared" si="1"/>
        <v>-2.421412623838192E-3</v>
      </c>
      <c r="D25" s="207">
        <f t="shared" si="0"/>
        <v>9.6430067329676857E-3</v>
      </c>
      <c r="E25" s="206" t="s">
        <v>704</v>
      </c>
      <c r="F25" s="12">
        <v>77.239999999999995</v>
      </c>
      <c r="G25" s="140">
        <f t="shared" si="2"/>
        <v>-7.974066456537407E-2</v>
      </c>
      <c r="H25" s="206" t="s">
        <v>704</v>
      </c>
      <c r="I25" s="218">
        <v>43470</v>
      </c>
      <c r="J25" s="140">
        <f t="shared" si="3"/>
        <v>2.5272845157731892E-3</v>
      </c>
    </row>
    <row r="26" spans="1:10" ht="12.9" customHeight="1" x14ac:dyDescent="0.3">
      <c r="A26" s="139" t="s">
        <v>709</v>
      </c>
      <c r="B26" s="219" t="s">
        <v>346</v>
      </c>
      <c r="C26" s="204">
        <f t="shared" si="1"/>
        <v>2.2641988474099233E-3</v>
      </c>
      <c r="D26" s="207">
        <f t="shared" si="0"/>
        <v>1.1752641324600705E-2</v>
      </c>
      <c r="E26" s="206" t="s">
        <v>705</v>
      </c>
      <c r="F26" s="12">
        <v>71.319999999999993</v>
      </c>
      <c r="G26" s="140">
        <f t="shared" si="2"/>
        <v>4.7559188818680652E-3</v>
      </c>
      <c r="H26" s="206" t="s">
        <v>705</v>
      </c>
      <c r="I26" s="218">
        <v>43580</v>
      </c>
      <c r="J26" s="140">
        <f t="shared" si="3"/>
        <v>6.8603058905556064E-3</v>
      </c>
    </row>
    <row r="27" spans="1:10" ht="12.9" customHeight="1" x14ac:dyDescent="0.3">
      <c r="A27" s="139" t="s">
        <v>710</v>
      </c>
      <c r="B27" s="219" t="s">
        <v>347</v>
      </c>
      <c r="C27" s="204">
        <f t="shared" si="1"/>
        <v>-3.137344708310025E-3</v>
      </c>
      <c r="D27" s="207">
        <f t="shared" si="0"/>
        <v>5.7565948443368238E-3</v>
      </c>
      <c r="E27" s="206" t="s">
        <v>706</v>
      </c>
      <c r="F27" s="12">
        <v>71.66</v>
      </c>
      <c r="G27" s="140">
        <f t="shared" si="2"/>
        <v>-1.3628591693945055E-2</v>
      </c>
      <c r="H27" s="206" t="s">
        <v>706</v>
      </c>
      <c r="I27" s="218">
        <v>43880</v>
      </c>
      <c r="J27" s="140">
        <f t="shared" si="3"/>
        <v>-1.824818024629059E-3</v>
      </c>
    </row>
    <row r="28" spans="1:10" ht="12.9" customHeight="1" x14ac:dyDescent="0.3">
      <c r="A28" s="139" t="s">
        <v>712</v>
      </c>
      <c r="B28" s="219" t="s">
        <v>348</v>
      </c>
      <c r="C28" s="204">
        <f t="shared" si="1"/>
        <v>1.1849563751867545E-3</v>
      </c>
      <c r="D28" s="207">
        <f t="shared" si="0"/>
        <v>-2.8401767768316113E-2</v>
      </c>
      <c r="E28" s="206" t="s">
        <v>707</v>
      </c>
      <c r="F28" s="12">
        <v>70.69</v>
      </c>
      <c r="G28" s="140">
        <f t="shared" si="2"/>
        <v>7.3291378111707333E-3</v>
      </c>
      <c r="H28" s="206" t="s">
        <v>707</v>
      </c>
      <c r="I28" s="218">
        <v>43800</v>
      </c>
      <c r="J28" s="140">
        <f t="shared" si="3"/>
        <v>2.5082671912257225E-3</v>
      </c>
    </row>
    <row r="29" spans="1:10" ht="12.9" customHeight="1" x14ac:dyDescent="0.3">
      <c r="A29" s="139" t="s">
        <v>713</v>
      </c>
      <c r="B29" s="219" t="s">
        <v>349</v>
      </c>
      <c r="C29" s="204">
        <f t="shared" si="1"/>
        <v>-6.8214292491922742E-4</v>
      </c>
      <c r="D29" s="207">
        <f t="shared" si="0"/>
        <v>1.479611571253738E-2</v>
      </c>
      <c r="E29" s="206" t="s">
        <v>708</v>
      </c>
      <c r="F29" s="12">
        <v>71.209999999999994</v>
      </c>
      <c r="G29" s="140">
        <f t="shared" si="2"/>
        <v>9.6430067329676857E-3</v>
      </c>
      <c r="H29" s="206" t="s">
        <v>708</v>
      </c>
      <c r="I29" s="218">
        <v>43910</v>
      </c>
      <c r="J29" s="140">
        <f t="shared" si="3"/>
        <v>1.1547733892655274E-2</v>
      </c>
    </row>
    <row r="30" spans="1:10" ht="12.9" customHeight="1" x14ac:dyDescent="0.3">
      <c r="A30" s="139" t="s">
        <v>714</v>
      </c>
      <c r="B30" s="219" t="s">
        <v>350</v>
      </c>
      <c r="C30" s="204">
        <f t="shared" si="1"/>
        <v>3.1964024212097214E-4</v>
      </c>
      <c r="D30" s="207">
        <f t="shared" si="0"/>
        <v>-1.2076583513281385E-2</v>
      </c>
      <c r="E30" s="206" t="s">
        <v>709</v>
      </c>
      <c r="F30" s="12">
        <v>71.900000000000006</v>
      </c>
      <c r="G30" s="140">
        <f t="shared" si="2"/>
        <v>1.1752641324600705E-2</v>
      </c>
      <c r="H30" s="206" t="s">
        <v>709</v>
      </c>
      <c r="I30" s="218">
        <v>44420</v>
      </c>
      <c r="J30" s="140">
        <f t="shared" si="3"/>
        <v>2.2509848153568166E-4</v>
      </c>
    </row>
    <row r="31" spans="1:10" ht="12.9" customHeight="1" x14ac:dyDescent="0.3">
      <c r="A31" s="139" t="s">
        <v>715</v>
      </c>
      <c r="B31" s="219" t="s">
        <v>351</v>
      </c>
      <c r="C31" s="204">
        <f t="shared" si="1"/>
        <v>-1.619092404817055E-3</v>
      </c>
      <c r="D31" s="207">
        <f t="shared" si="0"/>
        <v>-2.2896403820744605E-3</v>
      </c>
      <c r="E31" s="206" t="s">
        <v>710</v>
      </c>
      <c r="F31" s="12">
        <v>72.75</v>
      </c>
      <c r="G31" s="140">
        <f t="shared" si="2"/>
        <v>5.7565948443368238E-3</v>
      </c>
      <c r="H31" s="206" t="s">
        <v>710</v>
      </c>
      <c r="I31" s="218">
        <v>44430</v>
      </c>
      <c r="J31" s="140">
        <f t="shared" si="3"/>
        <v>4.4913616933613485E-3</v>
      </c>
    </row>
    <row r="32" spans="1:10" ht="12.9" customHeight="1" x14ac:dyDescent="0.3">
      <c r="A32" s="139" t="s">
        <v>716</v>
      </c>
      <c r="B32" s="219" t="s">
        <v>352</v>
      </c>
      <c r="C32" s="204">
        <f t="shared" si="1"/>
        <v>-3.0028339470806954E-4</v>
      </c>
      <c r="D32" s="207">
        <f t="shared" si="0"/>
        <v>2.4343121096931909E-2</v>
      </c>
      <c r="E32" s="206" t="s">
        <v>711</v>
      </c>
      <c r="F32" s="12">
        <v>73.17</v>
      </c>
      <c r="G32" s="140">
        <f t="shared" si="2"/>
        <v>-1.9179615176477361E-2</v>
      </c>
      <c r="H32" s="206" t="s">
        <v>711</v>
      </c>
      <c r="I32" s="218">
        <v>44630</v>
      </c>
      <c r="J32" s="140">
        <f t="shared" si="3"/>
        <v>2.9086048025459554E-3</v>
      </c>
    </row>
    <row r="33" spans="1:10" ht="12.9" customHeight="1" x14ac:dyDescent="0.3">
      <c r="A33" s="139" t="s">
        <v>717</v>
      </c>
      <c r="B33" s="219" t="s">
        <v>353</v>
      </c>
      <c r="C33" s="204">
        <f t="shared" si="1"/>
        <v>1.082007323375134E-4</v>
      </c>
      <c r="D33" s="207">
        <f t="shared" si="0"/>
        <v>-7.156418671256274E-3</v>
      </c>
      <c r="E33" s="206" t="s">
        <v>712</v>
      </c>
      <c r="F33" s="12">
        <v>71.78</v>
      </c>
      <c r="G33" s="140">
        <f t="shared" si="2"/>
        <v>-2.8401767768316113E-2</v>
      </c>
      <c r="H33" s="206" t="s">
        <v>712</v>
      </c>
      <c r="I33" s="218">
        <v>44760</v>
      </c>
      <c r="J33" s="140">
        <f t="shared" si="3"/>
        <v>2.231645648337814E-3</v>
      </c>
    </row>
    <row r="34" spans="1:10" ht="12.9" customHeight="1" x14ac:dyDescent="0.3">
      <c r="A34" s="139" t="s">
        <v>718</v>
      </c>
      <c r="B34" s="219" t="s">
        <v>354</v>
      </c>
      <c r="C34" s="204">
        <f t="shared" si="1"/>
        <v>-1.9527252349421688E-3</v>
      </c>
      <c r="D34" s="207">
        <f t="shared" si="0"/>
        <v>2.531646921779505E-3</v>
      </c>
      <c r="E34" s="206" t="s">
        <v>713</v>
      </c>
      <c r="F34" s="12">
        <v>69.77</v>
      </c>
      <c r="G34" s="140">
        <f t="shared" si="2"/>
        <v>1.479611571253738E-2</v>
      </c>
      <c r="H34" s="206" t="s">
        <v>713</v>
      </c>
      <c r="I34" s="218">
        <v>44860</v>
      </c>
      <c r="J34" s="140">
        <f t="shared" si="3"/>
        <v>4.6703076104946109E-3</v>
      </c>
    </row>
    <row r="35" spans="1:10" ht="12.9" customHeight="1" x14ac:dyDescent="0.3">
      <c r="A35" s="139" t="s">
        <v>719</v>
      </c>
      <c r="B35" s="219" t="s">
        <v>355</v>
      </c>
      <c r="C35" s="204">
        <f t="shared" si="1"/>
        <v>1.7365633455140197E-4</v>
      </c>
      <c r="D35" s="207">
        <f t="shared" si="0"/>
        <v>-1.0449120771092578E-2</v>
      </c>
      <c r="E35" s="206" t="s">
        <v>714</v>
      </c>
      <c r="F35" s="12">
        <v>70.81</v>
      </c>
      <c r="G35" s="140">
        <f t="shared" si="2"/>
        <v>-1.2076583513281385E-2</v>
      </c>
      <c r="H35" s="206" t="s">
        <v>714</v>
      </c>
      <c r="I35" s="218">
        <v>45070</v>
      </c>
      <c r="J35" s="140">
        <f t="shared" si="3"/>
        <v>9.0558321797784731E-3</v>
      </c>
    </row>
    <row r="36" spans="1:10" ht="12.9" customHeight="1" x14ac:dyDescent="0.3">
      <c r="A36" s="139" t="s">
        <v>720</v>
      </c>
      <c r="B36" s="219" t="s">
        <v>356</v>
      </c>
      <c r="C36" s="204">
        <f t="shared" si="1"/>
        <v>-2.2786098366402386E-4</v>
      </c>
      <c r="D36" s="207">
        <f t="shared" si="0"/>
        <v>-8.2668657803299361E-3</v>
      </c>
      <c r="E36" s="206" t="s">
        <v>715</v>
      </c>
      <c r="F36" s="12">
        <v>69.959999999999994</v>
      </c>
      <c r="G36" s="140">
        <f t="shared" si="2"/>
        <v>-2.2896403820744605E-3</v>
      </c>
      <c r="H36" s="206" t="s">
        <v>715</v>
      </c>
      <c r="I36" s="218">
        <v>45480</v>
      </c>
      <c r="J36" s="140">
        <f t="shared" si="3"/>
        <v>-4.18641131421282E-3</v>
      </c>
    </row>
    <row r="37" spans="1:10" ht="12.9" customHeight="1" x14ac:dyDescent="0.3">
      <c r="A37" s="139" t="s">
        <v>721</v>
      </c>
      <c r="B37" s="219" t="s">
        <v>357</v>
      </c>
      <c r="C37" s="204">
        <f t="shared" si="1"/>
        <v>8.1386674107854359E-4</v>
      </c>
      <c r="D37" s="207">
        <f t="shared" si="0"/>
        <v>1.8153951971502175E-2</v>
      </c>
      <c r="E37" s="206" t="s">
        <v>716</v>
      </c>
      <c r="F37" s="12">
        <v>69.8</v>
      </c>
      <c r="G37" s="140">
        <f t="shared" si="2"/>
        <v>2.4343121096931909E-2</v>
      </c>
      <c r="H37" s="206" t="s">
        <v>716</v>
      </c>
      <c r="I37" s="218">
        <v>45290</v>
      </c>
      <c r="J37" s="140">
        <f t="shared" si="3"/>
        <v>-6.2015702632811573E-3</v>
      </c>
    </row>
    <row r="38" spans="1:10" ht="12.9" customHeight="1" x14ac:dyDescent="0.3">
      <c r="A38" s="139" t="s">
        <v>722</v>
      </c>
      <c r="B38" s="219" t="s">
        <v>358</v>
      </c>
      <c r="C38" s="204">
        <f t="shared" si="1"/>
        <v>-2.1888272616281935E-4</v>
      </c>
      <c r="D38" s="207">
        <f t="shared" si="0"/>
        <v>-1.6152235546755173E-2</v>
      </c>
      <c r="E38" s="206" t="s">
        <v>717</v>
      </c>
      <c r="F38" s="12">
        <v>71.52</v>
      </c>
      <c r="G38" s="140">
        <f t="shared" si="2"/>
        <v>-7.156418671256274E-3</v>
      </c>
      <c r="H38" s="206" t="s">
        <v>717</v>
      </c>
      <c r="I38" s="218">
        <v>45010</v>
      </c>
      <c r="J38" s="140">
        <f t="shared" si="3"/>
        <v>2.2214817374484092E-4</v>
      </c>
    </row>
    <row r="39" spans="1:10" ht="12.9" customHeight="1" x14ac:dyDescent="0.3">
      <c r="A39" s="139" t="s">
        <v>723</v>
      </c>
      <c r="B39" s="219" t="s">
        <v>359</v>
      </c>
      <c r="C39" s="204">
        <f t="shared" si="1"/>
        <v>1.3123095315568914E-2</v>
      </c>
      <c r="D39" s="207">
        <f t="shared" si="0"/>
        <v>-3.3256531724171687E-2</v>
      </c>
      <c r="E39" s="206" t="s">
        <v>718</v>
      </c>
      <c r="F39" s="12">
        <v>71.010000000000005</v>
      </c>
      <c r="G39" s="140">
        <f t="shared" si="2"/>
        <v>2.531646921779505E-3</v>
      </c>
      <c r="H39" s="206" t="s">
        <v>718</v>
      </c>
      <c r="I39" s="218">
        <v>45020</v>
      </c>
      <c r="J39" s="140">
        <f t="shared" si="3"/>
        <v>0</v>
      </c>
    </row>
    <row r="40" spans="1:10" ht="12.9" customHeight="1" x14ac:dyDescent="0.3">
      <c r="A40" s="139" t="s">
        <v>724</v>
      </c>
      <c r="B40" s="219" t="s">
        <v>360</v>
      </c>
      <c r="C40" s="204">
        <f t="shared" si="1"/>
        <v>2.7677515971349016E-3</v>
      </c>
      <c r="D40" s="207">
        <f t="shared" si="0"/>
        <v>6.4750769727606905E-2</v>
      </c>
      <c r="E40" s="206" t="s">
        <v>719</v>
      </c>
      <c r="F40" s="12">
        <v>71.19</v>
      </c>
      <c r="G40" s="140">
        <f t="shared" si="2"/>
        <v>-1.0449120771092578E-2</v>
      </c>
      <c r="H40" s="206" t="s">
        <v>719</v>
      </c>
      <c r="I40" s="218">
        <v>45020</v>
      </c>
      <c r="J40" s="140">
        <f t="shared" si="3"/>
        <v>-5.3452243079773901E-3</v>
      </c>
    </row>
    <row r="41" spans="1:10" ht="12.9" customHeight="1" x14ac:dyDescent="0.3">
      <c r="A41" s="139" t="s">
        <v>725</v>
      </c>
      <c r="B41" s="219" t="s">
        <v>361</v>
      </c>
      <c r="C41" s="204">
        <f t="shared" si="1"/>
        <v>7.190148175535107E-4</v>
      </c>
      <c r="D41" s="207">
        <f t="shared" si="0"/>
        <v>-1.7452449951226166E-2</v>
      </c>
      <c r="E41" s="206" t="s">
        <v>720</v>
      </c>
      <c r="F41" s="12">
        <v>70.45</v>
      </c>
      <c r="G41" s="140">
        <f t="shared" si="2"/>
        <v>-8.2668657803299361E-3</v>
      </c>
      <c r="H41" s="206" t="s">
        <v>720</v>
      </c>
      <c r="I41" s="218">
        <v>44780</v>
      </c>
      <c r="J41" s="140">
        <f t="shared" si="3"/>
        <v>-3.131293097553286E-3</v>
      </c>
    </row>
    <row r="42" spans="1:10" ht="12.9" customHeight="1" x14ac:dyDescent="0.3">
      <c r="A42" s="139" t="s">
        <v>726</v>
      </c>
      <c r="B42" s="219" t="s">
        <v>362</v>
      </c>
      <c r="C42" s="204">
        <f t="shared" si="1"/>
        <v>-2.9391463664004544E-3</v>
      </c>
      <c r="D42" s="207">
        <f t="shared" si="0"/>
        <v>-1.4094435032334931E-3</v>
      </c>
      <c r="E42" s="206" t="s">
        <v>721</v>
      </c>
      <c r="F42" s="12">
        <v>69.87</v>
      </c>
      <c r="G42" s="140">
        <f t="shared" si="2"/>
        <v>1.8153951971502175E-2</v>
      </c>
      <c r="H42" s="206" t="s">
        <v>721</v>
      </c>
      <c r="I42" s="218">
        <v>44640</v>
      </c>
      <c r="J42" s="140">
        <f t="shared" si="3"/>
        <v>4.4702801309037324E-3</v>
      </c>
    </row>
    <row r="43" spans="1:10" ht="12.9" customHeight="1" x14ac:dyDescent="0.3">
      <c r="A43" s="139" t="s">
        <v>727</v>
      </c>
      <c r="B43" s="219" t="s">
        <v>363</v>
      </c>
      <c r="C43" s="204">
        <f t="shared" si="1"/>
        <v>1.4156582422218452E-3</v>
      </c>
      <c r="D43" s="207">
        <f t="shared" si="0"/>
        <v>-8.7831702191854266E-3</v>
      </c>
      <c r="E43" s="206" t="s">
        <v>722</v>
      </c>
      <c r="F43" s="12">
        <v>71.150000000000006</v>
      </c>
      <c r="G43" s="140">
        <f t="shared" si="2"/>
        <v>-1.6152235546755173E-2</v>
      </c>
      <c r="H43" s="206" t="s">
        <v>722</v>
      </c>
      <c r="I43" s="218">
        <v>44840</v>
      </c>
      <c r="J43" s="140">
        <f t="shared" si="3"/>
        <v>4.4593088810306134E-4</v>
      </c>
    </row>
    <row r="44" spans="1:10" ht="12.9" customHeight="1" x14ac:dyDescent="0.3">
      <c r="A44" s="139" t="s">
        <v>728</v>
      </c>
      <c r="B44" s="219" t="s">
        <v>364</v>
      </c>
      <c r="C44" s="204">
        <f t="shared" si="1"/>
        <v>-2.2339263961519509E-3</v>
      </c>
      <c r="D44" s="207">
        <f t="shared" si="0"/>
        <v>-3.7401083400667112E-2</v>
      </c>
      <c r="E44" s="206" t="s">
        <v>723</v>
      </c>
      <c r="F44" s="12">
        <v>70.010000000000005</v>
      </c>
      <c r="G44" s="140">
        <f t="shared" si="2"/>
        <v>-3.3256531724171687E-2</v>
      </c>
      <c r="H44" s="206" t="s">
        <v>723</v>
      </c>
      <c r="I44" s="218">
        <v>44860</v>
      </c>
      <c r="J44" s="140">
        <f t="shared" si="3"/>
        <v>2.2289089582967384E-4</v>
      </c>
    </row>
    <row r="45" spans="1:10" ht="12.9" customHeight="1" x14ac:dyDescent="0.3">
      <c r="A45" s="139" t="s">
        <v>730</v>
      </c>
      <c r="B45" s="219" t="s">
        <v>365</v>
      </c>
      <c r="C45" s="204">
        <f t="shared" si="1"/>
        <v>-4.0283381575861583E-4</v>
      </c>
      <c r="D45" s="207">
        <f t="shared" si="0"/>
        <v>-4.0418613448025928E-2</v>
      </c>
      <c r="E45" s="206" t="s">
        <v>724</v>
      </c>
      <c r="F45" s="12">
        <v>67.72</v>
      </c>
      <c r="G45" s="140">
        <f t="shared" si="2"/>
        <v>6.4750769727606905E-2</v>
      </c>
      <c r="H45" s="206" t="s">
        <v>724</v>
      </c>
      <c r="I45" s="218">
        <v>44870</v>
      </c>
      <c r="J45" s="140">
        <f t="shared" si="3"/>
        <v>-6.7084330294274871E-3</v>
      </c>
    </row>
    <row r="46" spans="1:10" ht="12.9" customHeight="1" x14ac:dyDescent="0.3">
      <c r="A46" s="139" t="s">
        <v>731</v>
      </c>
      <c r="B46" s="219" t="s">
        <v>366</v>
      </c>
      <c r="C46" s="204">
        <f t="shared" si="1"/>
        <v>-3.5602618369801731E-4</v>
      </c>
      <c r="D46" s="207">
        <f t="shared" si="0"/>
        <v>1.906548897745701E-2</v>
      </c>
      <c r="E46" s="206" t="s">
        <v>725</v>
      </c>
      <c r="F46" s="12">
        <v>72.25</v>
      </c>
      <c r="G46" s="140">
        <f t="shared" si="2"/>
        <v>-1.7452449951226166E-2</v>
      </c>
      <c r="H46" s="206" t="s">
        <v>725</v>
      </c>
      <c r="I46" s="218">
        <v>44570</v>
      </c>
      <c r="J46" s="140">
        <f t="shared" si="3"/>
        <v>2.4649872425354033E-3</v>
      </c>
    </row>
    <row r="47" spans="1:10" ht="12.9" customHeight="1" x14ac:dyDescent="0.3">
      <c r="A47" s="139" t="s">
        <v>732</v>
      </c>
      <c r="B47" s="219" t="s">
        <v>367</v>
      </c>
      <c r="C47" s="204">
        <f t="shared" si="1"/>
        <v>-5.6346323146683726E-3</v>
      </c>
      <c r="D47" s="207">
        <f t="shared" si="0"/>
        <v>1.4285957247476652E-2</v>
      </c>
      <c r="E47" s="206" t="s">
        <v>726</v>
      </c>
      <c r="F47" s="12">
        <v>71</v>
      </c>
      <c r="G47" s="140">
        <f t="shared" si="2"/>
        <v>-1.4094435032334931E-3</v>
      </c>
      <c r="H47" s="206" t="s">
        <v>726</v>
      </c>
      <c r="I47" s="218">
        <v>44680</v>
      </c>
      <c r="J47" s="140">
        <f t="shared" si="3"/>
        <v>6.7121604488926275E-4</v>
      </c>
    </row>
    <row r="48" spans="1:10" ht="12.9" customHeight="1" x14ac:dyDescent="0.3">
      <c r="A48" s="139" t="s">
        <v>733</v>
      </c>
      <c r="B48" s="219" t="s">
        <v>368</v>
      </c>
      <c r="C48" s="204">
        <f t="shared" si="1"/>
        <v>-7.1536066951819344E-4</v>
      </c>
      <c r="D48" s="207">
        <f t="shared" si="0"/>
        <v>-1.1442282503242401E-2</v>
      </c>
      <c r="E48" s="206" t="s">
        <v>727</v>
      </c>
      <c r="F48" s="12">
        <v>70.900000000000006</v>
      </c>
      <c r="G48" s="140">
        <f t="shared" si="2"/>
        <v>-8.7831702191854266E-3</v>
      </c>
      <c r="H48" s="206" t="s">
        <v>727</v>
      </c>
      <c r="I48" s="218">
        <v>44710</v>
      </c>
      <c r="J48" s="140">
        <f t="shared" si="3"/>
        <v>-6.7325209418783857E-3</v>
      </c>
    </row>
    <row r="49" spans="1:10" ht="12.9" customHeight="1" x14ac:dyDescent="0.3">
      <c r="A49" s="139" t="s">
        <v>734</v>
      </c>
      <c r="B49" s="219" t="s">
        <v>369</v>
      </c>
      <c r="C49" s="204">
        <f t="shared" si="1"/>
        <v>-3.5326503728301253E-3</v>
      </c>
      <c r="D49" s="207">
        <f t="shared" si="0"/>
        <v>8.9632512723338909E-4</v>
      </c>
      <c r="E49" s="206" t="s">
        <v>728</v>
      </c>
      <c r="F49" s="12">
        <v>70.28</v>
      </c>
      <c r="G49" s="140">
        <f t="shared" si="2"/>
        <v>-3.7401083400667112E-2</v>
      </c>
      <c r="H49" s="206" t="s">
        <v>728</v>
      </c>
      <c r="I49" s="218">
        <v>44410</v>
      </c>
      <c r="J49" s="140">
        <f t="shared" si="3"/>
        <v>-4.2874938747107169E-3</v>
      </c>
    </row>
    <row r="50" spans="1:10" ht="12.9" customHeight="1" x14ac:dyDescent="0.3">
      <c r="A50" s="139" t="s">
        <v>735</v>
      </c>
      <c r="B50" s="219" t="s">
        <v>370</v>
      </c>
      <c r="C50" s="204">
        <f t="shared" si="1"/>
        <v>-4.9554624930460344E-3</v>
      </c>
      <c r="D50" s="207">
        <f t="shared" si="0"/>
        <v>-1.2168707206522975E-2</v>
      </c>
      <c r="E50" s="206" t="s">
        <v>729</v>
      </c>
      <c r="F50" s="12">
        <v>67.7</v>
      </c>
      <c r="G50" s="140">
        <f t="shared" si="2"/>
        <v>6.7717026028308374E-3</v>
      </c>
      <c r="H50" s="206" t="s">
        <v>729</v>
      </c>
      <c r="I50" s="218">
        <v>44220</v>
      </c>
      <c r="J50" s="140">
        <f t="shared" si="3"/>
        <v>-9.5433580468997463E-3</v>
      </c>
    </row>
    <row r="51" spans="1:10" ht="12.9" customHeight="1" x14ac:dyDescent="0.3">
      <c r="A51" s="139" t="s">
        <v>737</v>
      </c>
      <c r="B51" s="219" t="s">
        <v>371</v>
      </c>
      <c r="C51" s="204">
        <f t="shared" si="1"/>
        <v>7.3253459680752112E-4</v>
      </c>
      <c r="D51" s="207">
        <f t="shared" si="0"/>
        <v>-1.8908588270463132E-2</v>
      </c>
      <c r="E51" s="206" t="s">
        <v>730</v>
      </c>
      <c r="F51" s="12">
        <v>68.16</v>
      </c>
      <c r="G51" s="140">
        <f t="shared" si="2"/>
        <v>-4.0418613448025928E-2</v>
      </c>
      <c r="H51" s="206" t="s">
        <v>730</v>
      </c>
      <c r="I51" s="218">
        <v>43800</v>
      </c>
      <c r="J51" s="140">
        <f t="shared" si="3"/>
        <v>1.3830851921610519E-2</v>
      </c>
    </row>
    <row r="52" spans="1:10" ht="12.9" customHeight="1" x14ac:dyDescent="0.3">
      <c r="A52" s="139" t="s">
        <v>738</v>
      </c>
      <c r="B52" s="219" t="s">
        <v>372</v>
      </c>
      <c r="C52" s="204">
        <f t="shared" si="1"/>
        <v>-8.6225246063596046E-4</v>
      </c>
      <c r="D52" s="207">
        <f t="shared" si="0"/>
        <v>-3.2789822822990727E-2</v>
      </c>
      <c r="E52" s="206" t="s">
        <v>731</v>
      </c>
      <c r="F52" s="12">
        <v>65.459999999999994</v>
      </c>
      <c r="G52" s="140">
        <f t="shared" si="2"/>
        <v>1.906548897745701E-2</v>
      </c>
      <c r="H52" s="206" t="s">
        <v>731</v>
      </c>
      <c r="I52" s="218">
        <v>44410</v>
      </c>
      <c r="J52" s="140">
        <f t="shared" si="3"/>
        <v>-2.0014313739804741E-2</v>
      </c>
    </row>
    <row r="53" spans="1:10" ht="12.9" customHeight="1" x14ac:dyDescent="0.3">
      <c r="A53" s="139" t="s">
        <v>739</v>
      </c>
      <c r="B53" s="219" t="s">
        <v>373</v>
      </c>
      <c r="C53" s="204">
        <f t="shared" si="1"/>
        <v>-5.5897708651292735E-4</v>
      </c>
      <c r="D53" s="207">
        <f t="shared" si="0"/>
        <v>-4.4441112143824039E-3</v>
      </c>
      <c r="E53" s="206" t="s">
        <v>732</v>
      </c>
      <c r="F53" s="12">
        <v>66.72</v>
      </c>
      <c r="G53" s="140">
        <f t="shared" si="2"/>
        <v>1.4285957247476652E-2</v>
      </c>
      <c r="H53" s="206" t="s">
        <v>732</v>
      </c>
      <c r="I53" s="218">
        <v>43530</v>
      </c>
      <c r="J53" s="140">
        <f t="shared" si="3"/>
        <v>-1.5744710520417409E-2</v>
      </c>
    </row>
    <row r="54" spans="1:10" ht="12.9" customHeight="1" x14ac:dyDescent="0.3">
      <c r="A54" s="139" t="s">
        <v>740</v>
      </c>
      <c r="B54" s="219" t="s">
        <v>374</v>
      </c>
      <c r="C54" s="204">
        <f t="shared" si="1"/>
        <v>-2.7383961677820523E-3</v>
      </c>
      <c r="D54" s="207">
        <f t="shared" si="0"/>
        <v>-2.7561106138276944E-2</v>
      </c>
      <c r="E54" s="206" t="s">
        <v>733</v>
      </c>
      <c r="F54" s="12">
        <v>67.680000000000007</v>
      </c>
      <c r="G54" s="140">
        <f t="shared" si="2"/>
        <v>-1.1442282503242401E-2</v>
      </c>
      <c r="H54" s="206" t="s">
        <v>733</v>
      </c>
      <c r="I54" s="218">
        <v>42850</v>
      </c>
      <c r="J54" s="140">
        <f t="shared" si="3"/>
        <v>-9.3787322864324688E-3</v>
      </c>
    </row>
    <row r="55" spans="1:10" ht="12.9" customHeight="1" x14ac:dyDescent="0.3">
      <c r="A55" s="139" t="s">
        <v>741</v>
      </c>
      <c r="B55" s="219" t="s">
        <v>375</v>
      </c>
      <c r="C55" s="204">
        <f t="shared" si="1"/>
        <v>5.5828583237267876E-4</v>
      </c>
      <c r="D55" s="207">
        <f t="shared" si="0"/>
        <v>-3.6332560760062124E-2</v>
      </c>
      <c r="E55" s="206" t="s">
        <v>734</v>
      </c>
      <c r="F55" s="12">
        <v>66.91</v>
      </c>
      <c r="G55" s="140">
        <f t="shared" si="2"/>
        <v>8.9632512723338909E-4</v>
      </c>
      <c r="H55" s="206" t="s">
        <v>734</v>
      </c>
      <c r="I55" s="218">
        <v>42450</v>
      </c>
      <c r="J55" s="140">
        <f t="shared" si="3"/>
        <v>3.7620547544642809E-3</v>
      </c>
    </row>
    <row r="56" spans="1:10" ht="12.9" customHeight="1" x14ac:dyDescent="0.3">
      <c r="A56" s="139" t="s">
        <v>742</v>
      </c>
      <c r="B56" s="219" t="s">
        <v>376</v>
      </c>
      <c r="C56" s="204">
        <f t="shared" si="1"/>
        <v>2.6404018799946125E-3</v>
      </c>
      <c r="D56" s="207">
        <f t="shared" si="0"/>
        <v>1.6561508589001524E-2</v>
      </c>
      <c r="E56" s="206" t="s">
        <v>735</v>
      </c>
      <c r="F56" s="12">
        <v>66.97</v>
      </c>
      <c r="G56" s="140">
        <f t="shared" si="2"/>
        <v>-1.2168707206522975E-2</v>
      </c>
      <c r="H56" s="206" t="s">
        <v>735</v>
      </c>
      <c r="I56" s="218">
        <v>42610</v>
      </c>
      <c r="J56" s="140">
        <f t="shared" si="3"/>
        <v>3.9817361424388485E-3</v>
      </c>
    </row>
    <row r="57" spans="1:10" ht="12.9" customHeight="1" x14ac:dyDescent="0.3">
      <c r="A57" s="139" t="s">
        <v>743</v>
      </c>
      <c r="B57" s="219" t="s">
        <v>377</v>
      </c>
      <c r="C57" s="204">
        <f t="shared" si="1"/>
        <v>1.0185427740268291E-3</v>
      </c>
      <c r="D57" s="207">
        <f t="shared" si="0"/>
        <v>1.4388737452099671E-2</v>
      </c>
      <c r="E57" s="206" t="s">
        <v>736</v>
      </c>
      <c r="F57" s="12">
        <v>66.16</v>
      </c>
      <c r="G57" s="140">
        <f t="shared" si="2"/>
        <v>4.0144618841171209E-2</v>
      </c>
      <c r="H57" s="206" t="s">
        <v>736</v>
      </c>
      <c r="I57" s="218">
        <v>42780</v>
      </c>
      <c r="J57" s="140">
        <f t="shared" si="3"/>
        <v>-4.4512197191374269E-3</v>
      </c>
    </row>
    <row r="58" spans="1:10" ht="12.9" customHeight="1" x14ac:dyDescent="0.3">
      <c r="A58" s="139" t="s">
        <v>744</v>
      </c>
      <c r="B58" s="219" t="s">
        <v>378</v>
      </c>
      <c r="C58" s="204">
        <f t="shared" si="1"/>
        <v>-1.648585633344518E-3</v>
      </c>
      <c r="D58" s="207">
        <f t="shared" si="0"/>
        <v>-1.6322974031930518E-2</v>
      </c>
      <c r="E58" s="206" t="s">
        <v>737</v>
      </c>
      <c r="F58" s="12">
        <v>68.87</v>
      </c>
      <c r="G58" s="140">
        <f t="shared" si="2"/>
        <v>-1.8908588270463132E-2</v>
      </c>
      <c r="H58" s="206" t="s">
        <v>737</v>
      </c>
      <c r="I58" s="218">
        <v>42590</v>
      </c>
      <c r="J58" s="140">
        <f t="shared" si="3"/>
        <v>4.9186186526289305E-3</v>
      </c>
    </row>
    <row r="59" spans="1:10" ht="12.9" customHeight="1" x14ac:dyDescent="0.3">
      <c r="A59" s="139" t="s">
        <v>745</v>
      </c>
      <c r="B59" s="219" t="s">
        <v>379</v>
      </c>
      <c r="C59" s="204">
        <f t="shared" si="1"/>
        <v>-1.6101864965176328E-3</v>
      </c>
      <c r="D59" s="207">
        <f t="shared" si="0"/>
        <v>-1.0216581202681698E-2</v>
      </c>
      <c r="E59" s="206" t="s">
        <v>738</v>
      </c>
      <c r="F59" s="12">
        <v>67.58</v>
      </c>
      <c r="G59" s="140">
        <f t="shared" si="2"/>
        <v>-3.2789822822990727E-2</v>
      </c>
      <c r="H59" s="206" t="s">
        <v>738</v>
      </c>
      <c r="I59" s="218">
        <v>42800</v>
      </c>
      <c r="J59" s="140">
        <f t="shared" si="3"/>
        <v>2.3337233462200966E-3</v>
      </c>
    </row>
    <row r="60" spans="1:10" ht="12.9" customHeight="1" x14ac:dyDescent="0.3">
      <c r="A60" s="139" t="s">
        <v>894</v>
      </c>
      <c r="B60" s="219" t="s">
        <v>380</v>
      </c>
      <c r="C60" s="204">
        <f t="shared" si="1"/>
        <v>-6.6037056524664308E-4</v>
      </c>
      <c r="D60" s="207" t="str">
        <f t="shared" si="0"/>
        <v xml:space="preserve"> </v>
      </c>
      <c r="E60" s="206" t="s">
        <v>739</v>
      </c>
      <c r="F60" s="12">
        <v>65.400000000000006</v>
      </c>
      <c r="G60" s="140">
        <f t="shared" si="2"/>
        <v>-4.4441112143824039E-3</v>
      </c>
      <c r="H60" s="206" t="s">
        <v>739</v>
      </c>
      <c r="I60" s="218">
        <v>42900</v>
      </c>
      <c r="J60" s="140">
        <f t="shared" si="3"/>
        <v>4.8831628250719855E-3</v>
      </c>
    </row>
    <row r="61" spans="1:10" ht="12.9" customHeight="1" x14ac:dyDescent="0.3">
      <c r="A61" s="139" t="s">
        <v>381</v>
      </c>
      <c r="B61" s="219" t="s">
        <v>382</v>
      </c>
      <c r="C61" s="204">
        <f t="shared" si="1"/>
        <v>2.5686259715897332E-4</v>
      </c>
      <c r="D61" s="207">
        <f t="shared" si="0"/>
        <v>1.5366254636486922E-2</v>
      </c>
      <c r="E61" s="206" t="s">
        <v>740</v>
      </c>
      <c r="F61" s="12">
        <v>65.11</v>
      </c>
      <c r="G61" s="140">
        <f t="shared" si="2"/>
        <v>-2.7561106138276944E-2</v>
      </c>
      <c r="H61" s="206" t="s">
        <v>740</v>
      </c>
      <c r="I61" s="218">
        <v>43110</v>
      </c>
      <c r="J61" s="140">
        <f t="shared" si="3"/>
        <v>7.3954577876873201E-3</v>
      </c>
    </row>
    <row r="62" spans="1:10" ht="12.9" customHeight="1" x14ac:dyDescent="0.3">
      <c r="A62" s="139" t="s">
        <v>383</v>
      </c>
      <c r="B62" s="219" t="s">
        <v>384</v>
      </c>
      <c r="C62" s="204">
        <f t="shared" si="1"/>
        <v>3.6349792111496079E-4</v>
      </c>
      <c r="D62" s="207">
        <f t="shared" si="0"/>
        <v>1.2759343753760139E-2</v>
      </c>
      <c r="E62" s="206" t="s">
        <v>741</v>
      </c>
      <c r="F62" s="12">
        <v>63.34</v>
      </c>
      <c r="G62" s="140">
        <f t="shared" si="2"/>
        <v>-3.6332560760062124E-2</v>
      </c>
      <c r="H62" s="206" t="s">
        <v>741</v>
      </c>
      <c r="I62" s="218">
        <v>43430</v>
      </c>
      <c r="J62" s="140">
        <f t="shared" si="3"/>
        <v>-1.4846016118005035E-2</v>
      </c>
    </row>
    <row r="63" spans="1:10" ht="12.9" customHeight="1" x14ac:dyDescent="0.3">
      <c r="A63" s="139" t="s">
        <v>385</v>
      </c>
      <c r="B63" s="219" t="s">
        <v>386</v>
      </c>
      <c r="C63" s="204">
        <f t="shared" si="1"/>
        <v>-1.6239800860852129E-3</v>
      </c>
      <c r="D63" s="207">
        <f t="shared" si="0"/>
        <v>9.4637930309501416E-3</v>
      </c>
      <c r="E63" s="206" t="s">
        <v>742</v>
      </c>
      <c r="F63" s="12">
        <v>61.08</v>
      </c>
      <c r="G63" s="140">
        <f t="shared" si="2"/>
        <v>1.6561508589001524E-2</v>
      </c>
      <c r="H63" s="206" t="s">
        <v>742</v>
      </c>
      <c r="I63" s="218">
        <v>42790</v>
      </c>
      <c r="J63" s="140">
        <f t="shared" si="3"/>
        <v>-1.2936791030719451E-2</v>
      </c>
    </row>
    <row r="64" spans="1:10" ht="12.9" customHeight="1" x14ac:dyDescent="0.3">
      <c r="A64" s="139" t="s">
        <v>387</v>
      </c>
      <c r="B64" s="219" t="s">
        <v>388</v>
      </c>
      <c r="C64" s="204">
        <f t="shared" si="1"/>
        <v>-6.6035673911750805E-4</v>
      </c>
      <c r="D64" s="207" t="str">
        <f t="shared" si="0"/>
        <v xml:space="preserve"> </v>
      </c>
      <c r="E64" s="206" t="s">
        <v>743</v>
      </c>
      <c r="F64" s="12">
        <v>62.1</v>
      </c>
      <c r="G64" s="140">
        <f t="shared" si="2"/>
        <v>1.4388737452099671E-2</v>
      </c>
      <c r="H64" s="206" t="s">
        <v>743</v>
      </c>
      <c r="I64" s="218">
        <v>42240</v>
      </c>
      <c r="J64" s="140">
        <f t="shared" si="3"/>
        <v>-2.1329549501415196E-3</v>
      </c>
    </row>
    <row r="65" spans="1:10" ht="12.9" customHeight="1" x14ac:dyDescent="0.3">
      <c r="A65" s="139" t="s">
        <v>389</v>
      </c>
      <c r="B65" s="219" t="s">
        <v>390</v>
      </c>
      <c r="C65" s="204">
        <f t="shared" si="1"/>
        <v>6.8039447685766866E-4</v>
      </c>
      <c r="D65" s="207">
        <f t="shared" si="0"/>
        <v>0</v>
      </c>
      <c r="E65" s="206" t="s">
        <v>744</v>
      </c>
      <c r="F65" s="12">
        <v>63</v>
      </c>
      <c r="G65" s="140">
        <f t="shared" si="2"/>
        <v>-1.6322974031930518E-2</v>
      </c>
      <c r="H65" s="206" t="s">
        <v>744</v>
      </c>
      <c r="I65" s="218">
        <v>42150</v>
      </c>
      <c r="J65" s="140">
        <f t="shared" si="3"/>
        <v>-9.535233150999944E-3</v>
      </c>
    </row>
    <row r="66" spans="1:10" ht="12.9" customHeight="1" x14ac:dyDescent="0.3">
      <c r="A66" s="139" t="s">
        <v>391</v>
      </c>
      <c r="B66" s="219" t="s">
        <v>392</v>
      </c>
      <c r="C66" s="204">
        <f t="shared" si="1"/>
        <v>-3.1743032071119234E-3</v>
      </c>
      <c r="D66" s="207">
        <f t="shared" si="0"/>
        <v>-2.3508071108626811E-2</v>
      </c>
      <c r="E66" s="206" t="s">
        <v>745</v>
      </c>
      <c r="F66" s="12">
        <v>61.98</v>
      </c>
      <c r="G66" s="140">
        <f t="shared" si="2"/>
        <v>-1.0216581202681698E-2</v>
      </c>
      <c r="H66" s="206" t="s">
        <v>745</v>
      </c>
      <c r="I66" s="218">
        <v>41750</v>
      </c>
      <c r="J66" s="140">
        <f t="shared" si="3"/>
        <v>-1.3989615515051113E-2</v>
      </c>
    </row>
    <row r="67" spans="1:10" ht="12.9" customHeight="1" x14ac:dyDescent="0.3">
      <c r="A67" s="139" t="s">
        <v>393</v>
      </c>
      <c r="B67" s="219" t="s">
        <v>394</v>
      </c>
      <c r="C67" s="204">
        <f t="shared" si="1"/>
        <v>7.2414335917888317E-3</v>
      </c>
      <c r="D67" s="207">
        <f t="shared" ref="D67:D130" si="4">IFERROR(VLOOKUP(A67,E:G,3,FALSE)," ")</f>
        <v>-1.4081320312570434E-2</v>
      </c>
      <c r="E67" s="206" t="s">
        <v>381</v>
      </c>
      <c r="F67" s="12">
        <v>61.35</v>
      </c>
      <c r="G67" s="140">
        <f t="shared" si="2"/>
        <v>1.5366254636486922E-2</v>
      </c>
      <c r="H67" s="206" t="s">
        <v>381</v>
      </c>
      <c r="I67" s="218">
        <v>41170</v>
      </c>
      <c r="J67" s="140">
        <f t="shared" si="3"/>
        <v>-4.6256929710596206E-3</v>
      </c>
    </row>
    <row r="68" spans="1:10" ht="12.9" customHeight="1" x14ac:dyDescent="0.3">
      <c r="A68" s="139" t="s">
        <v>395</v>
      </c>
      <c r="B68" s="219" t="s">
        <v>396</v>
      </c>
      <c r="C68" s="204">
        <f t="shared" ref="C68:C131" si="5">LN(B69/B68)</f>
        <v>-7.4530940998254757E-4</v>
      </c>
      <c r="D68" s="207">
        <f t="shared" si="4"/>
        <v>-1.081623130915675E-2</v>
      </c>
      <c r="E68" s="206" t="s">
        <v>383</v>
      </c>
      <c r="F68" s="12">
        <v>62.3</v>
      </c>
      <c r="G68" s="140">
        <f t="shared" ref="G68:G131" si="6">LN(F69/F68)</f>
        <v>1.2759343753760139E-2</v>
      </c>
      <c r="H68" s="206" t="s">
        <v>383</v>
      </c>
      <c r="I68" s="218">
        <v>40980</v>
      </c>
      <c r="J68" s="140">
        <f t="shared" ref="J68:J131" si="7">LN(I69/I68)</f>
        <v>-2.1986084342027448E-3</v>
      </c>
    </row>
    <row r="69" spans="1:10" ht="12.9" customHeight="1" x14ac:dyDescent="0.3">
      <c r="A69" s="139" t="s">
        <v>397</v>
      </c>
      <c r="B69" s="219" t="s">
        <v>398</v>
      </c>
      <c r="C69" s="204">
        <f t="shared" si="5"/>
        <v>2.2032665565877123E-3</v>
      </c>
      <c r="D69" s="207">
        <f t="shared" si="4"/>
        <v>-1.3190438845701407E-3</v>
      </c>
      <c r="E69" s="206" t="s">
        <v>385</v>
      </c>
      <c r="F69" s="12">
        <v>63.1</v>
      </c>
      <c r="G69" s="140">
        <f t="shared" si="6"/>
        <v>9.4637930309501416E-3</v>
      </c>
      <c r="H69" s="206" t="s">
        <v>385</v>
      </c>
      <c r="I69" s="218">
        <v>40890</v>
      </c>
      <c r="J69" s="140">
        <f t="shared" si="7"/>
        <v>-2.4485810470838637E-3</v>
      </c>
    </row>
    <row r="70" spans="1:10" ht="12.9" customHeight="1" x14ac:dyDescent="0.3">
      <c r="A70" s="139" t="s">
        <v>399</v>
      </c>
      <c r="B70" s="219" t="s">
        <v>400</v>
      </c>
      <c r="C70" s="204">
        <f t="shared" si="5"/>
        <v>7.6217922605224704E-3</v>
      </c>
      <c r="D70" s="207">
        <f t="shared" si="4"/>
        <v>-1.1282681493099724E-2</v>
      </c>
      <c r="E70" s="206" t="s">
        <v>389</v>
      </c>
      <c r="F70" s="12">
        <v>63.7</v>
      </c>
      <c r="G70" s="140">
        <f t="shared" si="6"/>
        <v>0</v>
      </c>
      <c r="H70" s="206" t="s">
        <v>389</v>
      </c>
      <c r="I70" s="218">
        <v>40790</v>
      </c>
      <c r="J70" s="140">
        <f t="shared" si="7"/>
        <v>-1.4569957704491663E-2</v>
      </c>
    </row>
    <row r="71" spans="1:10" ht="12.9" customHeight="1" x14ac:dyDescent="0.3">
      <c r="A71" s="139" t="s">
        <v>401</v>
      </c>
      <c r="B71" s="219" t="s">
        <v>402</v>
      </c>
      <c r="C71" s="204">
        <f t="shared" si="5"/>
        <v>-3.2727562046689488E-3</v>
      </c>
      <c r="D71" s="207">
        <f t="shared" si="4"/>
        <v>2.6672638160368578E-2</v>
      </c>
      <c r="E71" s="206" t="s">
        <v>391</v>
      </c>
      <c r="F71" s="12">
        <v>63.7</v>
      </c>
      <c r="G71" s="140">
        <f t="shared" si="6"/>
        <v>-2.3508071108626811E-2</v>
      </c>
      <c r="H71" s="206" t="s">
        <v>391</v>
      </c>
      <c r="I71" s="218">
        <v>40200</v>
      </c>
      <c r="J71" s="140">
        <f t="shared" si="7"/>
        <v>-7.2400765643328277E-3</v>
      </c>
    </row>
    <row r="72" spans="1:10" ht="12.9" customHeight="1" x14ac:dyDescent="0.3">
      <c r="A72" s="139" t="s">
        <v>403</v>
      </c>
      <c r="B72" s="219" t="s">
        <v>404</v>
      </c>
      <c r="C72" s="204">
        <f t="shared" si="5"/>
        <v>-3.6938694574230068E-3</v>
      </c>
      <c r="D72" s="207">
        <f t="shared" si="4"/>
        <v>9.0571539407490378E-3</v>
      </c>
      <c r="E72" s="206" t="s">
        <v>393</v>
      </c>
      <c r="F72" s="12">
        <v>62.22</v>
      </c>
      <c r="G72" s="140">
        <f t="shared" si="6"/>
        <v>-1.4081320312570434E-2</v>
      </c>
      <c r="H72" s="206" t="s">
        <v>393</v>
      </c>
      <c r="I72" s="218">
        <v>39910</v>
      </c>
      <c r="J72" s="140">
        <f t="shared" si="7"/>
        <v>2.7524100949447962E-3</v>
      </c>
    </row>
    <row r="73" spans="1:10" ht="12.9" customHeight="1" x14ac:dyDescent="0.3">
      <c r="A73" s="139" t="s">
        <v>405</v>
      </c>
      <c r="B73" s="219" t="s">
        <v>406</v>
      </c>
      <c r="C73" s="204">
        <f t="shared" si="5"/>
        <v>-2.0026720802064732E-4</v>
      </c>
      <c r="D73" s="207">
        <f t="shared" si="4"/>
        <v>-3.87159702831421E-3</v>
      </c>
      <c r="E73" s="206" t="s">
        <v>395</v>
      </c>
      <c r="F73" s="12">
        <v>61.35</v>
      </c>
      <c r="G73" s="140">
        <f t="shared" si="6"/>
        <v>-1.081623130915675E-2</v>
      </c>
      <c r="H73" s="206" t="s">
        <v>395</v>
      </c>
      <c r="I73" s="218">
        <v>40020</v>
      </c>
      <c r="J73" s="140">
        <f t="shared" si="7"/>
        <v>-3.7551677623236571E-3</v>
      </c>
    </row>
    <row r="74" spans="1:10" ht="12.9" customHeight="1" x14ac:dyDescent="0.3">
      <c r="A74" s="139" t="s">
        <v>407</v>
      </c>
      <c r="B74" s="219" t="s">
        <v>408</v>
      </c>
      <c r="C74" s="204">
        <f t="shared" si="5"/>
        <v>-5.4146429371183602E-3</v>
      </c>
      <c r="D74" s="207">
        <f t="shared" si="4"/>
        <v>2.0002266994721348E-2</v>
      </c>
      <c r="E74" s="206" t="s">
        <v>397</v>
      </c>
      <c r="F74" s="12">
        <v>60.69</v>
      </c>
      <c r="G74" s="140">
        <f t="shared" si="6"/>
        <v>-1.3190438845701407E-3</v>
      </c>
      <c r="H74" s="206" t="s">
        <v>397</v>
      </c>
      <c r="I74" s="218">
        <v>39870</v>
      </c>
      <c r="J74" s="140">
        <f t="shared" si="7"/>
        <v>-3.5175915667560631E-3</v>
      </c>
    </row>
    <row r="75" spans="1:10" ht="12.9" customHeight="1" x14ac:dyDescent="0.3">
      <c r="A75" s="139" t="s">
        <v>409</v>
      </c>
      <c r="B75" s="219" t="s">
        <v>410</v>
      </c>
      <c r="C75" s="204">
        <f t="shared" si="5"/>
        <v>9.1411242385310769E-4</v>
      </c>
      <c r="D75" s="207">
        <f t="shared" si="4"/>
        <v>-7.9529606393591301E-3</v>
      </c>
      <c r="E75" s="206" t="s">
        <v>399</v>
      </c>
      <c r="F75" s="12">
        <v>60.61</v>
      </c>
      <c r="G75" s="140">
        <f t="shared" si="6"/>
        <v>-1.1282681493099724E-2</v>
      </c>
      <c r="H75" s="206" t="s">
        <v>399</v>
      </c>
      <c r="I75" s="218">
        <v>39730</v>
      </c>
      <c r="J75" s="140">
        <f t="shared" si="7"/>
        <v>3.0158354097164679E-3</v>
      </c>
    </row>
    <row r="76" spans="1:10" ht="12.9" customHeight="1" x14ac:dyDescent="0.3">
      <c r="A76" s="139" t="s">
        <v>746</v>
      </c>
      <c r="B76" s="219" t="s">
        <v>411</v>
      </c>
      <c r="C76" s="204">
        <f t="shared" si="5"/>
        <v>2.3326454782053524E-3</v>
      </c>
      <c r="D76" s="207">
        <f t="shared" si="4"/>
        <v>1.0800613251870853E-2</v>
      </c>
      <c r="E76" s="206" t="s">
        <v>401</v>
      </c>
      <c r="F76" s="12">
        <v>59.93</v>
      </c>
      <c r="G76" s="140">
        <f t="shared" si="6"/>
        <v>2.6672638160368578E-2</v>
      </c>
      <c r="H76" s="206" t="s">
        <v>401</v>
      </c>
      <c r="I76" s="218">
        <v>39850</v>
      </c>
      <c r="J76" s="140">
        <f t="shared" si="7"/>
        <v>7.7490701472496953E-3</v>
      </c>
    </row>
    <row r="77" spans="1:10" ht="12.9" customHeight="1" x14ac:dyDescent="0.3">
      <c r="A77" s="139" t="s">
        <v>747</v>
      </c>
      <c r="B77" s="219" t="s">
        <v>412</v>
      </c>
      <c r="C77" s="204">
        <f t="shared" si="5"/>
        <v>-2.7840369612416177E-3</v>
      </c>
      <c r="D77" s="207">
        <f t="shared" si="4"/>
        <v>1.753881475292237E-2</v>
      </c>
      <c r="E77" s="206" t="s">
        <v>403</v>
      </c>
      <c r="F77" s="12">
        <v>61.55</v>
      </c>
      <c r="G77" s="140">
        <f t="shared" si="6"/>
        <v>9.0571539407490378E-3</v>
      </c>
      <c r="H77" s="206" t="s">
        <v>403</v>
      </c>
      <c r="I77" s="218">
        <v>40160</v>
      </c>
      <c r="J77" s="140">
        <f t="shared" si="7"/>
        <v>4.9677201019344471E-3</v>
      </c>
    </row>
    <row r="78" spans="1:10" ht="12.9" customHeight="1" x14ac:dyDescent="0.3">
      <c r="A78" s="139" t="s">
        <v>748</v>
      </c>
      <c r="B78" s="219" t="s">
        <v>413</v>
      </c>
      <c r="C78" s="204">
        <f t="shared" si="5"/>
        <v>2.9171034225908194E-3</v>
      </c>
      <c r="D78" s="207">
        <f t="shared" si="4"/>
        <v>-4.2000528414073172E-3</v>
      </c>
      <c r="E78" s="206" t="s">
        <v>405</v>
      </c>
      <c r="F78" s="12">
        <v>62.11</v>
      </c>
      <c r="G78" s="140">
        <f t="shared" si="6"/>
        <v>-3.87159702831421E-3</v>
      </c>
      <c r="H78" s="206" t="s">
        <v>405</v>
      </c>
      <c r="I78" s="218">
        <v>40360</v>
      </c>
      <c r="J78" s="140">
        <f t="shared" si="7"/>
        <v>2.477393794413288E-4</v>
      </c>
    </row>
    <row r="79" spans="1:10" ht="12.9" customHeight="1" x14ac:dyDescent="0.3">
      <c r="A79" s="139" t="s">
        <v>749</v>
      </c>
      <c r="B79" s="219" t="s">
        <v>414</v>
      </c>
      <c r="C79" s="204">
        <f t="shared" si="5"/>
        <v>9.2210747976853938E-4</v>
      </c>
      <c r="D79" s="207">
        <f t="shared" si="4"/>
        <v>-6.2549070231099763E-3</v>
      </c>
      <c r="E79" s="206" t="s">
        <v>407</v>
      </c>
      <c r="F79" s="12">
        <v>61.87</v>
      </c>
      <c r="G79" s="140">
        <f t="shared" si="6"/>
        <v>2.0002266994721348E-2</v>
      </c>
      <c r="H79" s="206" t="s">
        <v>407</v>
      </c>
      <c r="I79" s="218">
        <v>40370</v>
      </c>
      <c r="J79" s="140">
        <f t="shared" si="7"/>
        <v>2.7210901143605863E-3</v>
      </c>
    </row>
    <row r="80" spans="1:10" ht="12.9" customHeight="1" x14ac:dyDescent="0.3">
      <c r="A80" s="139" t="s">
        <v>750</v>
      </c>
      <c r="B80" s="219" t="s">
        <v>415</v>
      </c>
      <c r="C80" s="204">
        <f t="shared" si="5"/>
        <v>-4.2296175809364549E-3</v>
      </c>
      <c r="D80" s="207">
        <f t="shared" si="4"/>
        <v>-5.9786207031099223E-3</v>
      </c>
      <c r="E80" s="206" t="s">
        <v>409</v>
      </c>
      <c r="F80" s="12">
        <v>63.12</v>
      </c>
      <c r="G80" s="140">
        <f t="shared" si="6"/>
        <v>-7.9529606393591301E-3</v>
      </c>
      <c r="H80" s="206" t="s">
        <v>409</v>
      </c>
      <c r="I80" s="218">
        <v>40480</v>
      </c>
      <c r="J80" s="140">
        <f t="shared" si="7"/>
        <v>1.0322038069545953E-2</v>
      </c>
    </row>
    <row r="81" spans="1:10" ht="12.9" customHeight="1" x14ac:dyDescent="0.3">
      <c r="A81" s="139" t="s">
        <v>751</v>
      </c>
      <c r="B81" s="219" t="s">
        <v>416</v>
      </c>
      <c r="C81" s="204">
        <f t="shared" si="5"/>
        <v>-1.6155227267947087E-3</v>
      </c>
      <c r="D81" s="207">
        <f t="shared" si="4"/>
        <v>1.332412532594238E-2</v>
      </c>
      <c r="E81" s="206" t="s">
        <v>746</v>
      </c>
      <c r="F81" s="12">
        <v>62.62</v>
      </c>
      <c r="G81" s="140">
        <f t="shared" si="6"/>
        <v>1.0800613251870853E-2</v>
      </c>
      <c r="H81" s="206" t="s">
        <v>746</v>
      </c>
      <c r="I81" s="218">
        <v>40900</v>
      </c>
      <c r="J81" s="140">
        <f t="shared" si="7"/>
        <v>2.4420036555518089E-3</v>
      </c>
    </row>
    <row r="82" spans="1:10" ht="12.9" customHeight="1" x14ac:dyDescent="0.3">
      <c r="A82" s="139" t="s">
        <v>752</v>
      </c>
      <c r="B82" s="219" t="s">
        <v>417</v>
      </c>
      <c r="C82" s="204">
        <f t="shared" si="5"/>
        <v>-3.2131849589067058E-3</v>
      </c>
      <c r="D82" s="207">
        <f t="shared" si="4"/>
        <v>-2.3384530104378063E-3</v>
      </c>
      <c r="E82" s="206" t="s">
        <v>747</v>
      </c>
      <c r="F82" s="12">
        <v>63.3</v>
      </c>
      <c r="G82" s="140">
        <f t="shared" si="6"/>
        <v>1.753881475292237E-2</v>
      </c>
      <c r="H82" s="206" t="s">
        <v>747</v>
      </c>
      <c r="I82" s="218">
        <v>41000</v>
      </c>
      <c r="J82" s="140">
        <f t="shared" si="7"/>
        <v>-7.0983041894203455E-3</v>
      </c>
    </row>
    <row r="83" spans="1:10" ht="12.9" customHeight="1" x14ac:dyDescent="0.3">
      <c r="A83" s="139" t="s">
        <v>418</v>
      </c>
      <c r="B83" s="219" t="s">
        <v>419</v>
      </c>
      <c r="C83" s="204">
        <f t="shared" si="5"/>
        <v>-1.8069945095860317E-3</v>
      </c>
      <c r="D83" s="207">
        <f t="shared" si="4"/>
        <v>1.7154000307809142E-3</v>
      </c>
      <c r="E83" s="206" t="s">
        <v>748</v>
      </c>
      <c r="F83" s="12">
        <v>64.42</v>
      </c>
      <c r="G83" s="140">
        <f t="shared" si="6"/>
        <v>-4.2000528414073172E-3</v>
      </c>
      <c r="H83" s="206" t="s">
        <v>748</v>
      </c>
      <c r="I83" s="218">
        <v>40710</v>
      </c>
      <c r="J83" s="140">
        <f t="shared" si="7"/>
        <v>-2.2132063626487844E-3</v>
      </c>
    </row>
    <row r="84" spans="1:10" ht="12.9" customHeight="1" x14ac:dyDescent="0.3">
      <c r="A84" s="139" t="s">
        <v>420</v>
      </c>
      <c r="B84" s="219" t="s">
        <v>421</v>
      </c>
      <c r="C84" s="204">
        <f t="shared" si="5"/>
        <v>-3.28182660676285E-4</v>
      </c>
      <c r="D84" s="207">
        <f t="shared" si="4"/>
        <v>9.7682767579136773E-3</v>
      </c>
      <c r="E84" s="206" t="s">
        <v>749</v>
      </c>
      <c r="F84" s="12">
        <v>64.150000000000006</v>
      </c>
      <c r="G84" s="140">
        <f t="shared" si="6"/>
        <v>-6.2549070231099763E-3</v>
      </c>
      <c r="H84" s="206" t="s">
        <v>749</v>
      </c>
      <c r="I84" s="218">
        <v>40620</v>
      </c>
      <c r="J84" s="140">
        <f t="shared" si="7"/>
        <v>2.4588160900287748E-3</v>
      </c>
    </row>
    <row r="85" spans="1:10" ht="12.9" customHeight="1" x14ac:dyDescent="0.3">
      <c r="A85" s="139" t="s">
        <v>422</v>
      </c>
      <c r="B85" s="219" t="s">
        <v>423</v>
      </c>
      <c r="C85" s="204">
        <f t="shared" si="5"/>
        <v>-4.8855318637757556E-4</v>
      </c>
      <c r="D85" s="207">
        <f t="shared" si="4"/>
        <v>-1.2733091288255763E-2</v>
      </c>
      <c r="E85" s="206" t="s">
        <v>750</v>
      </c>
      <c r="F85" s="12">
        <v>63.75</v>
      </c>
      <c r="G85" s="140">
        <f t="shared" si="6"/>
        <v>-5.9786207031099223E-3</v>
      </c>
      <c r="H85" s="206" t="s">
        <v>750</v>
      </c>
      <c r="I85" s="218">
        <v>40720</v>
      </c>
      <c r="J85" s="140">
        <f t="shared" si="7"/>
        <v>-9.3758397162016418E-3</v>
      </c>
    </row>
    <row r="86" spans="1:10" ht="12.9" customHeight="1" x14ac:dyDescent="0.3">
      <c r="A86" s="139" t="s">
        <v>424</v>
      </c>
      <c r="B86" s="219" t="s">
        <v>425</v>
      </c>
      <c r="C86" s="204">
        <f t="shared" si="5"/>
        <v>-3.2957203016487747E-4</v>
      </c>
      <c r="D86" s="207">
        <f t="shared" si="4"/>
        <v>1.3041638035535272E-2</v>
      </c>
      <c r="E86" s="206" t="s">
        <v>751</v>
      </c>
      <c r="F86" s="12">
        <v>63.37</v>
      </c>
      <c r="G86" s="140">
        <f t="shared" si="6"/>
        <v>1.332412532594238E-2</v>
      </c>
      <c r="H86" s="206" t="s">
        <v>751</v>
      </c>
      <c r="I86" s="218">
        <v>40340</v>
      </c>
      <c r="J86" s="140">
        <f t="shared" si="7"/>
        <v>2.7231109784349797E-3</v>
      </c>
    </row>
    <row r="87" spans="1:10" ht="12.9" customHeight="1" x14ac:dyDescent="0.3">
      <c r="A87" s="139" t="s">
        <v>426</v>
      </c>
      <c r="B87" s="219" t="s">
        <v>427</v>
      </c>
      <c r="C87" s="204">
        <f t="shared" si="5"/>
        <v>-6.2047489737370488E-3</v>
      </c>
      <c r="D87" s="207">
        <f t="shared" si="4"/>
        <v>-3.2131907773096796E-2</v>
      </c>
      <c r="E87" s="206" t="s">
        <v>752</v>
      </c>
      <c r="F87" s="12">
        <v>64.22</v>
      </c>
      <c r="G87" s="140">
        <f t="shared" si="6"/>
        <v>-2.3384530104378063E-3</v>
      </c>
      <c r="H87" s="206" t="s">
        <v>752</v>
      </c>
      <c r="I87" s="218">
        <v>40450</v>
      </c>
      <c r="J87" s="140">
        <f t="shared" si="7"/>
        <v>-6.1996478795253379E-3</v>
      </c>
    </row>
    <row r="88" spans="1:10" ht="12.9" customHeight="1" x14ac:dyDescent="0.3">
      <c r="A88" s="139" t="s">
        <v>428</v>
      </c>
      <c r="B88" s="219" t="s">
        <v>429</v>
      </c>
      <c r="C88" s="204">
        <f t="shared" si="5"/>
        <v>5.7857677370784532E-4</v>
      </c>
      <c r="D88" s="207">
        <f t="shared" si="4"/>
        <v>1.3605652055778678E-2</v>
      </c>
      <c r="E88" s="206" t="s">
        <v>418</v>
      </c>
      <c r="F88" s="12">
        <v>64.069999999999993</v>
      </c>
      <c r="G88" s="140">
        <f t="shared" si="6"/>
        <v>1.7154000307809142E-3</v>
      </c>
      <c r="H88" s="206" t="s">
        <v>418</v>
      </c>
      <c r="I88" s="218">
        <v>40200</v>
      </c>
      <c r="J88" s="140">
        <f t="shared" si="7"/>
        <v>-8.493680840326711E-3</v>
      </c>
    </row>
    <row r="89" spans="1:10" ht="12.9" customHeight="1" x14ac:dyDescent="0.3">
      <c r="A89" s="139" t="s">
        <v>430</v>
      </c>
      <c r="B89" s="219" t="s">
        <v>431</v>
      </c>
      <c r="C89" s="204">
        <f t="shared" si="5"/>
        <v>-2.6610638614052483E-3</v>
      </c>
      <c r="D89" s="207">
        <f t="shared" si="4"/>
        <v>2.1974581123253684E-3</v>
      </c>
      <c r="E89" s="206" t="s">
        <v>420</v>
      </c>
      <c r="F89" s="12">
        <v>64.180000000000007</v>
      </c>
      <c r="G89" s="140">
        <f t="shared" si="6"/>
        <v>9.7682767579136773E-3</v>
      </c>
      <c r="H89" s="206" t="s">
        <v>420</v>
      </c>
      <c r="I89" s="218">
        <v>39860</v>
      </c>
      <c r="J89" s="140">
        <f t="shared" si="7"/>
        <v>-1.0040161485984818E-3</v>
      </c>
    </row>
    <row r="90" spans="1:10" ht="12.9" customHeight="1" x14ac:dyDescent="0.3">
      <c r="A90" s="139" t="s">
        <v>432</v>
      </c>
      <c r="B90" s="219" t="s">
        <v>433</v>
      </c>
      <c r="C90" s="204">
        <f t="shared" si="5"/>
        <v>2.0170518815023192E-3</v>
      </c>
      <c r="D90" s="207">
        <f t="shared" si="4"/>
        <v>1.6791439297260236E-2</v>
      </c>
      <c r="E90" s="206" t="s">
        <v>422</v>
      </c>
      <c r="F90" s="12">
        <v>64.81</v>
      </c>
      <c r="G90" s="140">
        <f t="shared" si="6"/>
        <v>-1.2733091288255763E-2</v>
      </c>
      <c r="H90" s="206" t="s">
        <v>422</v>
      </c>
      <c r="I90" s="218">
        <v>39820</v>
      </c>
      <c r="J90" s="140">
        <f t="shared" si="7"/>
        <v>4.2601242226767847E-3</v>
      </c>
    </row>
    <row r="91" spans="1:10" ht="12.9" customHeight="1" x14ac:dyDescent="0.3">
      <c r="A91" s="139" t="s">
        <v>434</v>
      </c>
      <c r="B91" s="219" t="s">
        <v>435</v>
      </c>
      <c r="C91" s="204">
        <f t="shared" si="5"/>
        <v>-4.9643357616123352E-5</v>
      </c>
      <c r="D91" s="207">
        <f t="shared" si="4"/>
        <v>-2.6559911491730637E-2</v>
      </c>
      <c r="E91" s="206" t="s">
        <v>424</v>
      </c>
      <c r="F91" s="12">
        <v>63.99</v>
      </c>
      <c r="G91" s="140">
        <f t="shared" si="6"/>
        <v>1.3041638035535272E-2</v>
      </c>
      <c r="H91" s="206" t="s">
        <v>424</v>
      </c>
      <c r="I91" s="218">
        <v>39990</v>
      </c>
      <c r="J91" s="140">
        <f t="shared" si="7"/>
        <v>-4.7625105683350094E-3</v>
      </c>
    </row>
    <row r="92" spans="1:10" ht="12.9" customHeight="1" x14ac:dyDescent="0.3">
      <c r="A92" s="139" t="s">
        <v>436</v>
      </c>
      <c r="B92" s="219" t="s">
        <v>437</v>
      </c>
      <c r="C92" s="204">
        <f t="shared" si="5"/>
        <v>1.2628826972180883E-3</v>
      </c>
      <c r="D92" s="207">
        <f t="shared" si="4"/>
        <v>4.581004772955438E-3</v>
      </c>
      <c r="E92" s="206" t="s">
        <v>426</v>
      </c>
      <c r="F92" s="12">
        <v>64.83</v>
      </c>
      <c r="G92" s="140">
        <f t="shared" si="6"/>
        <v>-3.2131907773096796E-2</v>
      </c>
      <c r="H92" s="206" t="s">
        <v>426</v>
      </c>
      <c r="I92" s="218">
        <v>39800</v>
      </c>
      <c r="J92" s="140">
        <f t="shared" si="7"/>
        <v>-4.7853006565667031E-3</v>
      </c>
    </row>
    <row r="93" spans="1:10" ht="12.9" customHeight="1" x14ac:dyDescent="0.3">
      <c r="A93" s="139" t="s">
        <v>438</v>
      </c>
      <c r="B93" s="219" t="s">
        <v>439</v>
      </c>
      <c r="C93" s="204">
        <f t="shared" si="5"/>
        <v>-2.9302708456139371E-4</v>
      </c>
      <c r="D93" s="207">
        <f t="shared" si="4"/>
        <v>-2.0862290195495355E-2</v>
      </c>
      <c r="E93" s="206" t="s">
        <v>428</v>
      </c>
      <c r="F93" s="12">
        <v>62.78</v>
      </c>
      <c r="G93" s="140">
        <f t="shared" si="6"/>
        <v>1.3605652055778678E-2</v>
      </c>
      <c r="H93" s="206" t="s">
        <v>428</v>
      </c>
      <c r="I93" s="218">
        <v>39610</v>
      </c>
      <c r="J93" s="140">
        <f t="shared" si="7"/>
        <v>-2.2747387541582646E-3</v>
      </c>
    </row>
    <row r="94" spans="1:10" ht="12.9" customHeight="1" x14ac:dyDescent="0.3">
      <c r="A94" s="139" t="s">
        <v>440</v>
      </c>
      <c r="B94" s="219" t="s">
        <v>441</v>
      </c>
      <c r="C94" s="204">
        <f t="shared" si="5"/>
        <v>-8.9990431903686212E-4</v>
      </c>
      <c r="D94" s="207">
        <f t="shared" si="4"/>
        <v>-4.1928782600359274E-3</v>
      </c>
      <c r="E94" s="206" t="s">
        <v>430</v>
      </c>
      <c r="F94" s="12">
        <v>63.64</v>
      </c>
      <c r="G94" s="140">
        <f t="shared" si="6"/>
        <v>2.1974581123253684E-3</v>
      </c>
      <c r="H94" s="206" t="s">
        <v>430</v>
      </c>
      <c r="I94" s="218">
        <v>39520</v>
      </c>
      <c r="J94" s="140">
        <f t="shared" si="7"/>
        <v>2.5271683907378429E-3</v>
      </c>
    </row>
    <row r="95" spans="1:10" ht="12.9" customHeight="1" x14ac:dyDescent="0.3">
      <c r="A95" s="139" t="s">
        <v>442</v>
      </c>
      <c r="B95" s="219" t="s">
        <v>443</v>
      </c>
      <c r="C95" s="204">
        <f t="shared" si="5"/>
        <v>7.0037136077242938E-4</v>
      </c>
      <c r="D95" s="207">
        <f t="shared" si="4"/>
        <v>3.1496161581770474E-2</v>
      </c>
      <c r="E95" s="206" t="s">
        <v>432</v>
      </c>
      <c r="F95" s="12">
        <v>63.78</v>
      </c>
      <c r="G95" s="140">
        <f t="shared" si="6"/>
        <v>1.6791439297260236E-2</v>
      </c>
      <c r="H95" s="206" t="s">
        <v>432</v>
      </c>
      <c r="I95" s="218">
        <v>39620</v>
      </c>
      <c r="J95" s="140">
        <f t="shared" si="7"/>
        <v>-9.6374065732425102E-3</v>
      </c>
    </row>
    <row r="96" spans="1:10" ht="12.9" customHeight="1" x14ac:dyDescent="0.3">
      <c r="A96" s="139" t="s">
        <v>444</v>
      </c>
      <c r="B96" s="219" t="s">
        <v>445</v>
      </c>
      <c r="C96" s="204">
        <f t="shared" si="5"/>
        <v>-2.5031797278426651E-4</v>
      </c>
      <c r="D96" s="207">
        <f t="shared" si="4"/>
        <v>-1.3399743332671878E-2</v>
      </c>
      <c r="E96" s="206" t="s">
        <v>434</v>
      </c>
      <c r="F96" s="12">
        <v>64.86</v>
      </c>
      <c r="G96" s="140">
        <f t="shared" si="6"/>
        <v>-2.6559911491730637E-2</v>
      </c>
      <c r="H96" s="206" t="s">
        <v>434</v>
      </c>
      <c r="I96" s="218">
        <v>39240</v>
      </c>
      <c r="J96" s="140">
        <f t="shared" si="7"/>
        <v>2.5480953125517092E-4</v>
      </c>
    </row>
    <row r="97" spans="1:10" ht="12.9" customHeight="1" x14ac:dyDescent="0.3">
      <c r="A97" s="139" t="s">
        <v>446</v>
      </c>
      <c r="B97" s="219" t="s">
        <v>447</v>
      </c>
      <c r="C97" s="204">
        <f t="shared" si="5"/>
        <v>3.2585208069744803E-4</v>
      </c>
      <c r="D97" s="207">
        <f t="shared" si="4"/>
        <v>1.120504108788372E-2</v>
      </c>
      <c r="E97" s="206" t="s">
        <v>436</v>
      </c>
      <c r="F97" s="12">
        <v>63.16</v>
      </c>
      <c r="G97" s="140">
        <f t="shared" si="6"/>
        <v>4.581004772955438E-3</v>
      </c>
      <c r="H97" s="206" t="s">
        <v>436</v>
      </c>
      <c r="I97" s="218">
        <v>39250</v>
      </c>
      <c r="J97" s="140">
        <f t="shared" si="7"/>
        <v>-7.4159654540830637E-3</v>
      </c>
    </row>
    <row r="98" spans="1:10" ht="12.9" customHeight="1" x14ac:dyDescent="0.3">
      <c r="A98" s="139" t="s">
        <v>753</v>
      </c>
      <c r="B98" s="219" t="s">
        <v>448</v>
      </c>
      <c r="C98" s="204">
        <f t="shared" si="5"/>
        <v>-1.1550549596832647E-3</v>
      </c>
      <c r="D98" s="207">
        <f t="shared" si="4"/>
        <v>-4.8769073299075169E-3</v>
      </c>
      <c r="E98" s="206" t="s">
        <v>438</v>
      </c>
      <c r="F98" s="12">
        <v>63.45</v>
      </c>
      <c r="G98" s="140">
        <f t="shared" si="6"/>
        <v>-2.0862290195495355E-2</v>
      </c>
      <c r="H98" s="206" t="s">
        <v>438</v>
      </c>
      <c r="I98" s="218">
        <v>38960</v>
      </c>
      <c r="J98" s="140">
        <f t="shared" si="7"/>
        <v>2.5634466741985482E-3</v>
      </c>
    </row>
    <row r="99" spans="1:10" ht="12.9" customHeight="1" x14ac:dyDescent="0.3">
      <c r="A99" s="139" t="s">
        <v>754</v>
      </c>
      <c r="B99" s="219" t="s">
        <v>449</v>
      </c>
      <c r="C99" s="204">
        <f t="shared" si="5"/>
        <v>3.9043149946618087E-4</v>
      </c>
      <c r="D99" s="207">
        <f t="shared" si="4"/>
        <v>2.0480511294299567E-3</v>
      </c>
      <c r="E99" s="206" t="s">
        <v>440</v>
      </c>
      <c r="F99" s="12">
        <v>62.14</v>
      </c>
      <c r="G99" s="140">
        <f t="shared" si="6"/>
        <v>-4.1928782600359274E-3</v>
      </c>
      <c r="H99" s="206" t="s">
        <v>440</v>
      </c>
      <c r="I99" s="218">
        <v>39060</v>
      </c>
      <c r="J99" s="140">
        <f t="shared" si="7"/>
        <v>-7.4521737656951144E-3</v>
      </c>
    </row>
    <row r="100" spans="1:10" ht="12.9" customHeight="1" x14ac:dyDescent="0.3">
      <c r="A100" s="139" t="s">
        <v>756</v>
      </c>
      <c r="B100" s="219" t="s">
        <v>450</v>
      </c>
      <c r="C100" s="204">
        <f t="shared" si="5"/>
        <v>1.7584364370172448E-3</v>
      </c>
      <c r="D100" s="207">
        <f t="shared" si="4"/>
        <v>1.1465385858351294E-2</v>
      </c>
      <c r="E100" s="206" t="s">
        <v>442</v>
      </c>
      <c r="F100" s="12">
        <v>61.88</v>
      </c>
      <c r="G100" s="140">
        <f t="shared" si="6"/>
        <v>3.1496161581770474E-2</v>
      </c>
      <c r="H100" s="206" t="s">
        <v>442</v>
      </c>
      <c r="I100" s="218">
        <v>38770</v>
      </c>
      <c r="J100" s="140">
        <f t="shared" si="7"/>
        <v>-2.0655829704161856E-3</v>
      </c>
    </row>
    <row r="101" spans="1:10" ht="12.9" customHeight="1" x14ac:dyDescent="0.3">
      <c r="A101" s="139" t="s">
        <v>757</v>
      </c>
      <c r="B101" s="219" t="s">
        <v>451</v>
      </c>
      <c r="C101" s="204">
        <f t="shared" si="5"/>
        <v>-7.7851571075087615E-4</v>
      </c>
      <c r="D101" s="207">
        <f t="shared" si="4"/>
        <v>-5.3341588034150657E-3</v>
      </c>
      <c r="E101" s="206" t="s">
        <v>444</v>
      </c>
      <c r="F101" s="12">
        <v>63.86</v>
      </c>
      <c r="G101" s="140">
        <f t="shared" si="6"/>
        <v>-1.3399743332671878E-2</v>
      </c>
      <c r="H101" s="206" t="s">
        <v>444</v>
      </c>
      <c r="I101" s="218">
        <v>38690</v>
      </c>
      <c r="J101" s="140">
        <f t="shared" si="7"/>
        <v>2.5813127394542887E-3</v>
      </c>
    </row>
    <row r="102" spans="1:10" ht="12.9" customHeight="1" x14ac:dyDescent="0.3">
      <c r="A102" s="139" t="s">
        <v>452</v>
      </c>
      <c r="B102" s="219" t="s">
        <v>453</v>
      </c>
      <c r="C102" s="204">
        <f t="shared" si="5"/>
        <v>-1.3455225628615185E-3</v>
      </c>
      <c r="D102" s="207">
        <f t="shared" si="4"/>
        <v>-5.0555450457208983E-3</v>
      </c>
      <c r="E102" s="206" t="s">
        <v>446</v>
      </c>
      <c r="F102" s="12">
        <v>63.01</v>
      </c>
      <c r="G102" s="140">
        <f t="shared" si="6"/>
        <v>1.120504108788372E-2</v>
      </c>
      <c r="H102" s="206" t="s">
        <v>446</v>
      </c>
      <c r="I102" s="218">
        <v>38790</v>
      </c>
      <c r="J102" s="140">
        <f t="shared" si="7"/>
        <v>5.1546392893902701E-4</v>
      </c>
    </row>
    <row r="103" spans="1:10" ht="12.9" customHeight="1" x14ac:dyDescent="0.3">
      <c r="A103" s="139" t="s">
        <v>454</v>
      </c>
      <c r="B103" s="219" t="s">
        <v>455</v>
      </c>
      <c r="C103" s="204">
        <f t="shared" si="5"/>
        <v>-3.633937749237356E-3</v>
      </c>
      <c r="D103" s="207">
        <f t="shared" si="4"/>
        <v>-1.5370430323932702E-3</v>
      </c>
      <c r="E103" s="206" t="s">
        <v>753</v>
      </c>
      <c r="F103" s="12">
        <v>63.72</v>
      </c>
      <c r="G103" s="140">
        <f t="shared" si="6"/>
        <v>-4.8769073299075169E-3</v>
      </c>
      <c r="H103" s="206" t="s">
        <v>753</v>
      </c>
      <c r="I103" s="218">
        <v>38810</v>
      </c>
      <c r="J103" s="140">
        <f t="shared" si="7"/>
        <v>-5.1666351046699335E-3</v>
      </c>
    </row>
    <row r="104" spans="1:10" ht="12.9" customHeight="1" x14ac:dyDescent="0.3">
      <c r="A104" s="139" t="s">
        <v>456</v>
      </c>
      <c r="B104" s="219" t="s">
        <v>457</v>
      </c>
      <c r="C104" s="204">
        <f t="shared" si="5"/>
        <v>1.4271200402066127E-4</v>
      </c>
      <c r="D104" s="207">
        <f t="shared" si="4"/>
        <v>-1.5189380685666597E-2</v>
      </c>
      <c r="E104" s="206" t="s">
        <v>754</v>
      </c>
      <c r="F104" s="12">
        <v>63.41</v>
      </c>
      <c r="G104" s="140">
        <f t="shared" si="6"/>
        <v>2.0480511294299567E-3</v>
      </c>
      <c r="H104" s="206" t="s">
        <v>754</v>
      </c>
      <c r="I104" s="218">
        <v>38610</v>
      </c>
      <c r="J104" s="140">
        <f t="shared" si="7"/>
        <v>1.8113603089485906E-3</v>
      </c>
    </row>
    <row r="105" spans="1:10" ht="12.9" customHeight="1" x14ac:dyDescent="0.3">
      <c r="A105" s="139" t="s">
        <v>458</v>
      </c>
      <c r="B105" s="219" t="s">
        <v>459</v>
      </c>
      <c r="C105" s="204">
        <f t="shared" si="5"/>
        <v>-2.6343902189338848E-3</v>
      </c>
      <c r="D105" s="207">
        <f t="shared" si="4"/>
        <v>2.3003716014103115E-2</v>
      </c>
      <c r="E105" s="206" t="s">
        <v>755</v>
      </c>
      <c r="F105" s="12">
        <v>63.54</v>
      </c>
      <c r="G105" s="140">
        <f t="shared" si="6"/>
        <v>2.3332836398185213E-2</v>
      </c>
      <c r="H105" s="206" t="s">
        <v>755</v>
      </c>
      <c r="I105" s="218">
        <v>38680</v>
      </c>
      <c r="J105" s="140">
        <f t="shared" si="7"/>
        <v>-6.2240864830018418E-3</v>
      </c>
    </row>
    <row r="106" spans="1:10" ht="12.9" customHeight="1" x14ac:dyDescent="0.3">
      <c r="A106" s="139" t="s">
        <v>460</v>
      </c>
      <c r="B106" s="219" t="s">
        <v>461</v>
      </c>
      <c r="C106" s="204">
        <f t="shared" si="5"/>
        <v>-4.0723845107038447E-3</v>
      </c>
      <c r="D106" s="207">
        <f t="shared" si="4"/>
        <v>4.264398786457518E-3</v>
      </c>
      <c r="E106" s="206" t="s">
        <v>756</v>
      </c>
      <c r="F106" s="12">
        <v>65.040000000000006</v>
      </c>
      <c r="G106" s="140">
        <f t="shared" si="6"/>
        <v>1.1465385858351294E-2</v>
      </c>
      <c r="H106" s="206" t="s">
        <v>756</v>
      </c>
      <c r="I106" s="218">
        <v>38440</v>
      </c>
      <c r="J106" s="140">
        <f t="shared" si="7"/>
        <v>-2.6048464845932532E-3</v>
      </c>
    </row>
    <row r="107" spans="1:10" ht="12.9" customHeight="1" x14ac:dyDescent="0.3">
      <c r="A107" s="139" t="s">
        <v>462</v>
      </c>
      <c r="B107" s="219" t="s">
        <v>463</v>
      </c>
      <c r="C107" s="204">
        <f t="shared" si="5"/>
        <v>2.7508767543708824E-3</v>
      </c>
      <c r="D107" s="207">
        <f t="shared" si="4"/>
        <v>7.8716724957680131E-3</v>
      </c>
      <c r="E107" s="206" t="s">
        <v>757</v>
      </c>
      <c r="F107" s="12">
        <v>65.790000000000006</v>
      </c>
      <c r="G107" s="140">
        <f t="shared" si="6"/>
        <v>-5.3341588034150657E-3</v>
      </c>
      <c r="H107" s="206" t="s">
        <v>757</v>
      </c>
      <c r="I107" s="218">
        <v>38340</v>
      </c>
      <c r="J107" s="140">
        <f t="shared" si="7"/>
        <v>-4.9679798870324596E-3</v>
      </c>
    </row>
    <row r="108" spans="1:10" ht="12.9" customHeight="1" x14ac:dyDescent="0.3">
      <c r="A108" s="139" t="s">
        <v>464</v>
      </c>
      <c r="B108" s="219" t="s">
        <v>465</v>
      </c>
      <c r="C108" s="204">
        <f t="shared" si="5"/>
        <v>-1.8357347380819162E-3</v>
      </c>
      <c r="D108" s="207">
        <f t="shared" si="4"/>
        <v>-6.2851163861241802E-2</v>
      </c>
      <c r="E108" s="206" t="s">
        <v>452</v>
      </c>
      <c r="F108" s="12">
        <v>65.44</v>
      </c>
      <c r="G108" s="140">
        <f t="shared" si="6"/>
        <v>-5.0555450457208983E-3</v>
      </c>
      <c r="H108" s="206" t="s">
        <v>452</v>
      </c>
      <c r="I108" s="218">
        <v>38150</v>
      </c>
      <c r="J108" s="140">
        <f t="shared" si="7"/>
        <v>2.6178025420788799E-3</v>
      </c>
    </row>
    <row r="109" spans="1:10" ht="12.9" customHeight="1" x14ac:dyDescent="0.3">
      <c r="A109" s="139" t="s">
        <v>466</v>
      </c>
      <c r="B109" s="219" t="s">
        <v>467</v>
      </c>
      <c r="C109" s="204">
        <f t="shared" si="5"/>
        <v>1.4069775189813174E-3</v>
      </c>
      <c r="D109" s="207">
        <f t="shared" si="4"/>
        <v>8.5288363475202814E-3</v>
      </c>
      <c r="E109" s="206" t="s">
        <v>454</v>
      </c>
      <c r="F109" s="12">
        <v>65.11</v>
      </c>
      <c r="G109" s="140">
        <f t="shared" si="6"/>
        <v>-1.5370430323932702E-3</v>
      </c>
      <c r="H109" s="206" t="s">
        <v>454</v>
      </c>
      <c r="I109" s="218">
        <v>38250</v>
      </c>
      <c r="J109" s="140">
        <f t="shared" si="7"/>
        <v>3.1323439863162024E-3</v>
      </c>
    </row>
    <row r="110" spans="1:10" ht="12.9" customHeight="1" x14ac:dyDescent="0.3">
      <c r="A110" s="139" t="s">
        <v>468</v>
      </c>
      <c r="B110" s="219" t="s">
        <v>469</v>
      </c>
      <c r="C110" s="204">
        <f t="shared" si="5"/>
        <v>-6.5978968659029504E-5</v>
      </c>
      <c r="D110" s="207">
        <f t="shared" si="4"/>
        <v>-2.4527851394313713E-3</v>
      </c>
      <c r="E110" s="206" t="s">
        <v>456</v>
      </c>
      <c r="F110" s="12">
        <v>65.010000000000005</v>
      </c>
      <c r="G110" s="140">
        <f t="shared" si="6"/>
        <v>-1.5189380685666597E-2</v>
      </c>
      <c r="H110" s="206" t="s">
        <v>456</v>
      </c>
      <c r="I110" s="218">
        <v>38370</v>
      </c>
      <c r="J110" s="140">
        <f t="shared" si="7"/>
        <v>2.8627215386447615E-3</v>
      </c>
    </row>
    <row r="111" spans="1:10" ht="12.9" customHeight="1" x14ac:dyDescent="0.3">
      <c r="A111" s="139" t="s">
        <v>470</v>
      </c>
      <c r="B111" s="219" t="s">
        <v>471</v>
      </c>
      <c r="C111" s="204">
        <f t="shared" si="5"/>
        <v>4.3804133411645971E-3</v>
      </c>
      <c r="D111" s="207">
        <f t="shared" si="4"/>
        <v>2.0258370470327566E-2</v>
      </c>
      <c r="E111" s="206" t="s">
        <v>458</v>
      </c>
      <c r="F111" s="12">
        <v>64.03</v>
      </c>
      <c r="G111" s="140">
        <f t="shared" si="6"/>
        <v>2.3003716014103115E-2</v>
      </c>
      <c r="H111" s="206" t="s">
        <v>458</v>
      </c>
      <c r="I111" s="218">
        <v>38480</v>
      </c>
      <c r="J111" s="140">
        <f t="shared" si="7"/>
        <v>1.1883374146547792E-2</v>
      </c>
    </row>
    <row r="112" spans="1:10" ht="12.9" customHeight="1" x14ac:dyDescent="0.3">
      <c r="A112" s="139" t="s">
        <v>472</v>
      </c>
      <c r="B112" s="219" t="s">
        <v>473</v>
      </c>
      <c r="C112" s="204">
        <f t="shared" si="5"/>
        <v>5.6573291351323697E-3</v>
      </c>
      <c r="D112" s="207">
        <f t="shared" si="4"/>
        <v>1.0691875570773455E-2</v>
      </c>
      <c r="E112" s="206" t="s">
        <v>460</v>
      </c>
      <c r="F112" s="12">
        <v>65.52</v>
      </c>
      <c r="G112" s="140">
        <f t="shared" si="6"/>
        <v>4.264398786457518E-3</v>
      </c>
      <c r="H112" s="206" t="s">
        <v>460</v>
      </c>
      <c r="I112" s="218">
        <v>38940</v>
      </c>
      <c r="J112" s="140">
        <f t="shared" si="7"/>
        <v>-3.6017533148259184E-3</v>
      </c>
    </row>
    <row r="113" spans="1:10" ht="12.9" customHeight="1" x14ac:dyDescent="0.3">
      <c r="A113" s="139" t="s">
        <v>474</v>
      </c>
      <c r="B113" s="219" t="s">
        <v>475</v>
      </c>
      <c r="C113" s="204">
        <f t="shared" si="5"/>
        <v>-1.2389452311942532E-4</v>
      </c>
      <c r="D113" s="207">
        <f t="shared" si="4"/>
        <v>1.8089364670112899E-2</v>
      </c>
      <c r="E113" s="206" t="s">
        <v>462</v>
      </c>
      <c r="F113" s="12">
        <v>65.8</v>
      </c>
      <c r="G113" s="140">
        <f t="shared" si="6"/>
        <v>7.8716724957680131E-3</v>
      </c>
      <c r="H113" s="206" t="s">
        <v>462</v>
      </c>
      <c r="I113" s="218">
        <v>38800</v>
      </c>
      <c r="J113" s="140">
        <f t="shared" si="7"/>
        <v>2.5769875158717959E-4</v>
      </c>
    </row>
    <row r="114" spans="1:10" ht="12.9" customHeight="1" x14ac:dyDescent="0.3">
      <c r="A114" s="139" t="s">
        <v>476</v>
      </c>
      <c r="B114" s="219" t="s">
        <v>477</v>
      </c>
      <c r="C114" s="204">
        <f t="shared" si="5"/>
        <v>-9.8832666998417956E-4</v>
      </c>
      <c r="D114" s="207">
        <f t="shared" si="4"/>
        <v>4.044809497153746E-3</v>
      </c>
      <c r="E114" s="206" t="s">
        <v>464</v>
      </c>
      <c r="F114" s="12">
        <v>66.319999999999993</v>
      </c>
      <c r="G114" s="140">
        <f t="shared" si="6"/>
        <v>-6.2851163861241802E-2</v>
      </c>
      <c r="H114" s="206" t="s">
        <v>464</v>
      </c>
      <c r="I114" s="218">
        <v>38810</v>
      </c>
      <c r="J114" s="140">
        <f t="shared" si="7"/>
        <v>-2.3216829724386399E-3</v>
      </c>
    </row>
    <row r="115" spans="1:10" ht="12.9" customHeight="1" x14ac:dyDescent="0.3">
      <c r="A115" s="139" t="s">
        <v>478</v>
      </c>
      <c r="B115" s="219" t="s">
        <v>479</v>
      </c>
      <c r="C115" s="204">
        <f t="shared" si="5"/>
        <v>1.0761807331784233E-3</v>
      </c>
      <c r="D115" s="207">
        <f t="shared" si="4"/>
        <v>4.2850675922146114E-2</v>
      </c>
      <c r="E115" s="206" t="s">
        <v>758</v>
      </c>
      <c r="F115" s="12">
        <v>62.28</v>
      </c>
      <c r="G115" s="140">
        <f t="shared" si="6"/>
        <v>-2.0766482792486333E-2</v>
      </c>
      <c r="H115" s="206" t="s">
        <v>758</v>
      </c>
      <c r="I115" s="218">
        <v>38720</v>
      </c>
      <c r="J115" s="140">
        <f t="shared" si="7"/>
        <v>1.2904892744615083E-3</v>
      </c>
    </row>
    <row r="116" spans="1:10" ht="12.9" customHeight="1" x14ac:dyDescent="0.3">
      <c r="A116" s="139" t="s">
        <v>760</v>
      </c>
      <c r="B116" s="219" t="s">
        <v>480</v>
      </c>
      <c r="C116" s="204">
        <f t="shared" si="5"/>
        <v>3.1535473468319234E-5</v>
      </c>
      <c r="D116" s="207">
        <f t="shared" si="4"/>
        <v>2.8221333249693319E-3</v>
      </c>
      <c r="E116" s="206" t="s">
        <v>759</v>
      </c>
      <c r="F116" s="12">
        <v>61</v>
      </c>
      <c r="G116" s="140">
        <f t="shared" si="6"/>
        <v>-4.7654350309685994E-3</v>
      </c>
      <c r="H116" s="206" t="s">
        <v>759</v>
      </c>
      <c r="I116" s="218">
        <v>38770</v>
      </c>
      <c r="J116" s="140">
        <f t="shared" si="7"/>
        <v>4.1184099395266448E-3</v>
      </c>
    </row>
    <row r="117" spans="1:10" ht="12.9" customHeight="1" x14ac:dyDescent="0.3">
      <c r="A117" s="139" t="s">
        <v>761</v>
      </c>
      <c r="B117" s="219" t="s">
        <v>481</v>
      </c>
      <c r="C117" s="204">
        <f t="shared" si="5"/>
        <v>-6.5794590318003592E-4</v>
      </c>
      <c r="D117" s="207">
        <f t="shared" si="4"/>
        <v>-4.7576658282786899E-3</v>
      </c>
      <c r="E117" s="206" t="s">
        <v>466</v>
      </c>
      <c r="F117" s="12">
        <v>60.71</v>
      </c>
      <c r="G117" s="140">
        <f t="shared" si="6"/>
        <v>8.5288363475202814E-3</v>
      </c>
      <c r="H117" s="206" t="s">
        <v>466</v>
      </c>
      <c r="I117" s="218">
        <v>38930</v>
      </c>
      <c r="J117" s="140">
        <f t="shared" si="7"/>
        <v>1.0730813241047885E-2</v>
      </c>
    </row>
    <row r="118" spans="1:10" ht="12.9" customHeight="1" x14ac:dyDescent="0.3">
      <c r="A118" s="139" t="s">
        <v>762</v>
      </c>
      <c r="B118" s="219" t="s">
        <v>482</v>
      </c>
      <c r="C118" s="204">
        <f t="shared" si="5"/>
        <v>6.0838971264432526E-4</v>
      </c>
      <c r="D118" s="207">
        <f t="shared" si="4"/>
        <v>-1.4904240283932434E-4</v>
      </c>
      <c r="E118" s="206" t="s">
        <v>468</v>
      </c>
      <c r="F118" s="12">
        <v>61.23</v>
      </c>
      <c r="G118" s="140">
        <f t="shared" si="6"/>
        <v>-2.4527851394313713E-3</v>
      </c>
      <c r="H118" s="206" t="s">
        <v>468</v>
      </c>
      <c r="I118" s="218">
        <v>39350</v>
      </c>
      <c r="J118" s="140">
        <f t="shared" si="7"/>
        <v>-4.8401572011025924E-3</v>
      </c>
    </row>
    <row r="119" spans="1:10" ht="12.9" customHeight="1" x14ac:dyDescent="0.3">
      <c r="A119" s="139" t="s">
        <v>763</v>
      </c>
      <c r="B119" s="219" t="s">
        <v>483</v>
      </c>
      <c r="C119" s="204">
        <f t="shared" si="5"/>
        <v>-9.4614092839655247E-5</v>
      </c>
      <c r="D119" s="207">
        <f t="shared" si="4"/>
        <v>-1.441249988822579E-2</v>
      </c>
      <c r="E119" s="206" t="s">
        <v>470</v>
      </c>
      <c r="F119" s="12">
        <v>61.08</v>
      </c>
      <c r="G119" s="140">
        <f t="shared" si="6"/>
        <v>2.0258370470327566E-2</v>
      </c>
      <c r="H119" s="206" t="s">
        <v>470</v>
      </c>
      <c r="I119" s="218">
        <v>39160</v>
      </c>
      <c r="J119" s="140">
        <f t="shared" si="7"/>
        <v>-2.5568922137767843E-3</v>
      </c>
    </row>
    <row r="120" spans="1:10" ht="12.9" customHeight="1" x14ac:dyDescent="0.3">
      <c r="A120" s="139" t="s">
        <v>764</v>
      </c>
      <c r="B120" s="219" t="s">
        <v>484</v>
      </c>
      <c r="C120" s="204">
        <f t="shared" si="5"/>
        <v>-1.1236633731454059E-3</v>
      </c>
      <c r="D120" s="207">
        <f t="shared" si="4"/>
        <v>-1.0488809392079388E-2</v>
      </c>
      <c r="E120" s="206" t="s">
        <v>472</v>
      </c>
      <c r="F120" s="12">
        <v>62.33</v>
      </c>
      <c r="G120" s="140">
        <f t="shared" si="6"/>
        <v>1.0691875570773455E-2</v>
      </c>
      <c r="H120" s="206" t="s">
        <v>472</v>
      </c>
      <c r="I120" s="218">
        <v>39060</v>
      </c>
      <c r="J120" s="140">
        <f t="shared" si="7"/>
        <v>5.3619431413853731E-3</v>
      </c>
    </row>
    <row r="121" spans="1:10" ht="12.9" customHeight="1" x14ac:dyDescent="0.3">
      <c r="A121" s="139" t="s">
        <v>766</v>
      </c>
      <c r="B121" s="219" t="s">
        <v>485</v>
      </c>
      <c r="C121" s="204">
        <f t="shared" si="5"/>
        <v>1.2903583858588764E-3</v>
      </c>
      <c r="D121" s="207">
        <f t="shared" si="4"/>
        <v>2.7370596825950531E-2</v>
      </c>
      <c r="E121" s="206" t="s">
        <v>474</v>
      </c>
      <c r="F121" s="12">
        <v>63</v>
      </c>
      <c r="G121" s="140">
        <f t="shared" si="6"/>
        <v>1.8089364670112899E-2</v>
      </c>
      <c r="H121" s="206" t="s">
        <v>474</v>
      </c>
      <c r="I121" s="218">
        <v>39270</v>
      </c>
      <c r="J121" s="140">
        <f t="shared" si="7"/>
        <v>5.3333459753626029E-3</v>
      </c>
    </row>
    <row r="122" spans="1:10" ht="12.9" customHeight="1" x14ac:dyDescent="0.3">
      <c r="A122" s="139" t="s">
        <v>767</v>
      </c>
      <c r="B122" s="219" t="s">
        <v>486</v>
      </c>
      <c r="C122" s="204">
        <f t="shared" si="5"/>
        <v>-4.1115619388994347E-4</v>
      </c>
      <c r="D122" s="207">
        <f t="shared" si="4"/>
        <v>6.9808311413403611E-3</v>
      </c>
      <c r="E122" s="206" t="s">
        <v>476</v>
      </c>
      <c r="F122" s="12">
        <v>64.150000000000006</v>
      </c>
      <c r="G122" s="140">
        <f t="shared" si="6"/>
        <v>4.044809497153746E-3</v>
      </c>
      <c r="H122" s="206" t="s">
        <v>476</v>
      </c>
      <c r="I122" s="218">
        <v>39480</v>
      </c>
      <c r="J122" s="140">
        <f t="shared" si="7"/>
        <v>8.0726977251112612E-3</v>
      </c>
    </row>
    <row r="123" spans="1:10" ht="12.9" customHeight="1" x14ac:dyDescent="0.3">
      <c r="A123" s="139" t="s">
        <v>768</v>
      </c>
      <c r="B123" s="219" t="s">
        <v>487</v>
      </c>
      <c r="C123" s="204">
        <f t="shared" si="5"/>
        <v>-3.6511321168815629E-4</v>
      </c>
      <c r="D123" s="207">
        <f t="shared" si="4"/>
        <v>3.0683819938601999E-2</v>
      </c>
      <c r="E123" s="206" t="s">
        <v>478</v>
      </c>
      <c r="F123" s="12">
        <v>64.41</v>
      </c>
      <c r="G123" s="140">
        <f t="shared" si="6"/>
        <v>4.2850675922146114E-2</v>
      </c>
      <c r="H123" s="206" t="s">
        <v>478</v>
      </c>
      <c r="I123" s="218">
        <v>39800</v>
      </c>
      <c r="J123" s="140">
        <f t="shared" si="7"/>
        <v>2.512247218337631E-4</v>
      </c>
    </row>
    <row r="124" spans="1:10" ht="12.9" customHeight="1" x14ac:dyDescent="0.3">
      <c r="A124" s="139" t="s">
        <v>769</v>
      </c>
      <c r="B124" s="219" t="s">
        <v>488</v>
      </c>
      <c r="C124" s="204">
        <f t="shared" si="5"/>
        <v>-6.0656284802103658E-4</v>
      </c>
      <c r="D124" s="207">
        <f t="shared" si="4"/>
        <v>-9.4613429079373496E-3</v>
      </c>
      <c r="E124" s="206" t="s">
        <v>760</v>
      </c>
      <c r="F124" s="12">
        <v>67.23</v>
      </c>
      <c r="G124" s="140">
        <f t="shared" si="6"/>
        <v>2.8221333249693319E-3</v>
      </c>
      <c r="H124" s="206" t="s">
        <v>760</v>
      </c>
      <c r="I124" s="218">
        <v>39810</v>
      </c>
      <c r="J124" s="140">
        <f t="shared" si="7"/>
        <v>5.0226018132703773E-4</v>
      </c>
    </row>
    <row r="125" spans="1:10" ht="12.9" customHeight="1" x14ac:dyDescent="0.3">
      <c r="A125" s="139" t="s">
        <v>770</v>
      </c>
      <c r="B125" s="219" t="s">
        <v>489</v>
      </c>
      <c r="C125" s="204">
        <f t="shared" si="5"/>
        <v>1.0257555701226563E-3</v>
      </c>
      <c r="D125" s="207">
        <f t="shared" si="4"/>
        <v>-1.1989866727935845E-2</v>
      </c>
      <c r="E125" s="206" t="s">
        <v>761</v>
      </c>
      <c r="F125" s="12">
        <v>67.42</v>
      </c>
      <c r="G125" s="140">
        <f t="shared" si="6"/>
        <v>-4.7576658282786899E-3</v>
      </c>
      <c r="H125" s="206" t="s">
        <v>761</v>
      </c>
      <c r="I125" s="218">
        <v>39830</v>
      </c>
      <c r="J125" s="140">
        <f t="shared" si="7"/>
        <v>6.5065294608627148E-3</v>
      </c>
    </row>
    <row r="126" spans="1:10" ht="12.9" customHeight="1" x14ac:dyDescent="0.3">
      <c r="A126" s="139" t="s">
        <v>771</v>
      </c>
      <c r="B126" s="219" t="s">
        <v>490</v>
      </c>
      <c r="C126" s="204">
        <f t="shared" si="5"/>
        <v>-1.9267160649135551E-4</v>
      </c>
      <c r="D126" s="207">
        <f t="shared" si="4"/>
        <v>-2.4419818096257154E-2</v>
      </c>
      <c r="E126" s="206" t="s">
        <v>762</v>
      </c>
      <c r="F126" s="12">
        <v>67.099999999999994</v>
      </c>
      <c r="G126" s="140">
        <f t="shared" si="6"/>
        <v>-1.4904240283932434E-4</v>
      </c>
      <c r="H126" s="206" t="s">
        <v>762</v>
      </c>
      <c r="I126" s="218">
        <v>40090</v>
      </c>
      <c r="J126" s="140">
        <f t="shared" si="7"/>
        <v>-7.4859641674344165E-4</v>
      </c>
    </row>
    <row r="127" spans="1:10" ht="12.9" customHeight="1" x14ac:dyDescent="0.3">
      <c r="A127" s="139" t="s">
        <v>772</v>
      </c>
      <c r="B127" s="219" t="s">
        <v>491</v>
      </c>
      <c r="C127" s="204">
        <f t="shared" si="5"/>
        <v>-6.77040398774957E-3</v>
      </c>
      <c r="D127" s="207">
        <f t="shared" si="4"/>
        <v>-1.616886073784389E-2</v>
      </c>
      <c r="E127" s="206" t="s">
        <v>763</v>
      </c>
      <c r="F127" s="12">
        <v>67.09</v>
      </c>
      <c r="G127" s="140">
        <f t="shared" si="6"/>
        <v>-1.441249988822579E-2</v>
      </c>
      <c r="H127" s="206" t="s">
        <v>763</v>
      </c>
      <c r="I127" s="218">
        <v>40060</v>
      </c>
      <c r="J127" s="140">
        <f t="shared" si="7"/>
        <v>2.7421181335185855E-3</v>
      </c>
    </row>
    <row r="128" spans="1:10" ht="12.9" customHeight="1" x14ac:dyDescent="0.3">
      <c r="A128" s="139" t="s">
        <v>773</v>
      </c>
      <c r="B128" s="219" t="s">
        <v>492</v>
      </c>
      <c r="C128" s="204">
        <f t="shared" si="5"/>
        <v>1.8226110768204613E-3</v>
      </c>
      <c r="D128" s="207">
        <f t="shared" si="4"/>
        <v>2.6881736618001744E-3</v>
      </c>
      <c r="E128" s="206" t="s">
        <v>764</v>
      </c>
      <c r="F128" s="12">
        <v>66.13</v>
      </c>
      <c r="G128" s="140">
        <f t="shared" si="6"/>
        <v>-1.0488809392079388E-2</v>
      </c>
      <c r="H128" s="206" t="s">
        <v>764</v>
      </c>
      <c r="I128" s="218">
        <v>40170</v>
      </c>
      <c r="J128" s="140">
        <f t="shared" si="7"/>
        <v>-2.4925237231375875E-3</v>
      </c>
    </row>
    <row r="129" spans="1:10" ht="12.9" customHeight="1" x14ac:dyDescent="0.3">
      <c r="A129" s="139" t="s">
        <v>774</v>
      </c>
      <c r="B129" s="219" t="s">
        <v>493</v>
      </c>
      <c r="C129" s="204">
        <f t="shared" si="5"/>
        <v>-2.0926580984133225E-3</v>
      </c>
      <c r="D129" s="207">
        <f t="shared" si="4"/>
        <v>1.1565965230300724E-2</v>
      </c>
      <c r="E129" s="206" t="s">
        <v>765</v>
      </c>
      <c r="F129" s="12">
        <v>65.44</v>
      </c>
      <c r="G129" s="140">
        <f t="shared" si="6"/>
        <v>1.8621384335477092E-2</v>
      </c>
      <c r="H129" s="206" t="s">
        <v>765</v>
      </c>
      <c r="I129" s="218">
        <v>40070</v>
      </c>
      <c r="J129" s="140">
        <f t="shared" si="7"/>
        <v>2.741434738735192E-3</v>
      </c>
    </row>
    <row r="130" spans="1:10" ht="12.9" customHeight="1" x14ac:dyDescent="0.3">
      <c r="A130" s="139" t="s">
        <v>775</v>
      </c>
      <c r="B130" s="219" t="s">
        <v>494</v>
      </c>
      <c r="C130" s="204">
        <f t="shared" si="5"/>
        <v>-4.1950811183916704E-3</v>
      </c>
      <c r="D130" s="207">
        <f t="shared" si="4"/>
        <v>1.9851768552731529E-2</v>
      </c>
      <c r="E130" s="206" t="s">
        <v>766</v>
      </c>
      <c r="F130" s="12">
        <v>66.67</v>
      </c>
      <c r="G130" s="140">
        <f t="shared" si="6"/>
        <v>2.7370596825950531E-2</v>
      </c>
      <c r="H130" s="206" t="s">
        <v>766</v>
      </c>
      <c r="I130" s="218">
        <v>40180</v>
      </c>
      <c r="J130" s="140">
        <f t="shared" si="7"/>
        <v>-7.2436934694730549E-3</v>
      </c>
    </row>
    <row r="131" spans="1:10" ht="12.9" customHeight="1" x14ac:dyDescent="0.3">
      <c r="A131" s="139" t="s">
        <v>776</v>
      </c>
      <c r="B131" s="219" t="s">
        <v>495</v>
      </c>
      <c r="C131" s="204">
        <f t="shared" si="5"/>
        <v>3.3458868368854626E-3</v>
      </c>
      <c r="D131" s="207">
        <f t="shared" ref="D131:D194" si="8">IFERROR(VLOOKUP(A131,E:G,3,FALSE)," ")</f>
        <v>7.2004919397077394E-3</v>
      </c>
      <c r="E131" s="206" t="s">
        <v>767</v>
      </c>
      <c r="F131" s="12">
        <v>68.52</v>
      </c>
      <c r="G131" s="140">
        <f t="shared" si="6"/>
        <v>6.9808311413403611E-3</v>
      </c>
      <c r="H131" s="206" t="s">
        <v>767</v>
      </c>
      <c r="I131" s="218">
        <v>39890</v>
      </c>
      <c r="J131" s="140">
        <f t="shared" si="7"/>
        <v>-9.8249940102390788E-3</v>
      </c>
    </row>
    <row r="132" spans="1:10" ht="12.9" customHeight="1" x14ac:dyDescent="0.3">
      <c r="A132" s="139" t="s">
        <v>777</v>
      </c>
      <c r="B132" s="219" t="s">
        <v>496</v>
      </c>
      <c r="C132" s="204">
        <f t="shared" ref="C132:C195" si="9">LN(B133/B132)</f>
        <v>2.5284291447427529E-3</v>
      </c>
      <c r="D132" s="207">
        <f t="shared" si="8"/>
        <v>-2.631539508440188E-2</v>
      </c>
      <c r="E132" s="206" t="s">
        <v>768</v>
      </c>
      <c r="F132" s="12">
        <v>69</v>
      </c>
      <c r="G132" s="140">
        <f t="shared" ref="G132:G195" si="10">LN(F133/F132)</f>
        <v>3.0683819938601999E-2</v>
      </c>
      <c r="H132" s="206" t="s">
        <v>768</v>
      </c>
      <c r="I132" s="218">
        <v>39500</v>
      </c>
      <c r="J132" s="140">
        <f t="shared" ref="J132:J195" si="11">LN(I133/I132)</f>
        <v>-2.2810807001638999E-3</v>
      </c>
    </row>
    <row r="133" spans="1:10" ht="12.9" customHeight="1" x14ac:dyDescent="0.3">
      <c r="A133" s="139" t="s">
        <v>778</v>
      </c>
      <c r="B133" s="219" t="s">
        <v>497</v>
      </c>
      <c r="C133" s="204">
        <f t="shared" si="9"/>
        <v>1.3140783118954113E-4</v>
      </c>
      <c r="D133" s="207">
        <f t="shared" si="8"/>
        <v>-1.4732965035840417E-4</v>
      </c>
      <c r="E133" s="206" t="s">
        <v>769</v>
      </c>
      <c r="F133" s="12">
        <v>71.150000000000006</v>
      </c>
      <c r="G133" s="140">
        <f t="shared" si="10"/>
        <v>-9.4613429079373496E-3</v>
      </c>
      <c r="H133" s="206" t="s">
        <v>769</v>
      </c>
      <c r="I133" s="218">
        <v>39410</v>
      </c>
      <c r="J133" s="140">
        <f t="shared" si="11"/>
        <v>-6.1084435291723872E-3</v>
      </c>
    </row>
    <row r="134" spans="1:10" ht="12.9" customHeight="1" x14ac:dyDescent="0.3">
      <c r="A134" s="139" t="s">
        <v>779</v>
      </c>
      <c r="B134" s="219" t="s">
        <v>498</v>
      </c>
      <c r="C134" s="204">
        <f t="shared" si="9"/>
        <v>-1.7785783315231685E-4</v>
      </c>
      <c r="D134" s="207">
        <f t="shared" si="8"/>
        <v>-9.1770922337186065E-3</v>
      </c>
      <c r="E134" s="206" t="s">
        <v>770</v>
      </c>
      <c r="F134" s="12">
        <v>70.48</v>
      </c>
      <c r="G134" s="140">
        <f t="shared" si="10"/>
        <v>-1.1989866727935845E-2</v>
      </c>
      <c r="H134" s="206" t="s">
        <v>770</v>
      </c>
      <c r="I134" s="218">
        <v>39170</v>
      </c>
      <c r="J134" s="140">
        <f t="shared" si="11"/>
        <v>6.3621540468342778E-3</v>
      </c>
    </row>
    <row r="135" spans="1:10" ht="12.9" customHeight="1" x14ac:dyDescent="0.3">
      <c r="A135" s="139" t="s">
        <v>780</v>
      </c>
      <c r="B135" s="219" t="s">
        <v>499</v>
      </c>
      <c r="C135" s="204">
        <f t="shared" si="9"/>
        <v>-1.5839894552947876E-3</v>
      </c>
      <c r="D135" s="207">
        <f t="shared" si="8"/>
        <v>5.4867787977915389E-3</v>
      </c>
      <c r="E135" s="206" t="s">
        <v>771</v>
      </c>
      <c r="F135" s="12">
        <v>69.64</v>
      </c>
      <c r="G135" s="140">
        <f t="shared" si="10"/>
        <v>-2.4419818096257154E-2</v>
      </c>
      <c r="H135" s="206" t="s">
        <v>771</v>
      </c>
      <c r="I135" s="218">
        <v>39420</v>
      </c>
      <c r="J135" s="140">
        <f t="shared" si="11"/>
        <v>2.786575584020025E-3</v>
      </c>
    </row>
    <row r="136" spans="1:10" ht="12.9" customHeight="1" x14ac:dyDescent="0.3">
      <c r="A136" s="139" t="s">
        <v>781</v>
      </c>
      <c r="B136" s="219" t="s">
        <v>500</v>
      </c>
      <c r="C136" s="204">
        <f t="shared" si="9"/>
        <v>1.7813975621529669E-4</v>
      </c>
      <c r="D136" s="207">
        <f t="shared" si="8"/>
        <v>5.1626340788069056E-3</v>
      </c>
      <c r="E136" s="206" t="s">
        <v>772</v>
      </c>
      <c r="F136" s="12">
        <v>67.959999999999994</v>
      </c>
      <c r="G136" s="140">
        <f t="shared" si="10"/>
        <v>-1.616886073784389E-2</v>
      </c>
      <c r="H136" s="206" t="s">
        <v>772</v>
      </c>
      <c r="I136" s="218">
        <v>39530</v>
      </c>
      <c r="J136" s="140">
        <f t="shared" si="11"/>
        <v>1.2640628658254435E-3</v>
      </c>
    </row>
    <row r="137" spans="1:10" ht="12.9" customHeight="1" x14ac:dyDescent="0.3">
      <c r="A137" s="139" t="s">
        <v>782</v>
      </c>
      <c r="B137" s="219" t="s">
        <v>501</v>
      </c>
      <c r="C137" s="204">
        <f t="shared" si="9"/>
        <v>2.0774653563202998E-3</v>
      </c>
      <c r="D137" s="207">
        <f t="shared" si="8"/>
        <v>-3.7932739064055247E-2</v>
      </c>
      <c r="E137" s="206" t="s">
        <v>773</v>
      </c>
      <c r="F137" s="12">
        <v>66.87</v>
      </c>
      <c r="G137" s="140">
        <f t="shared" si="10"/>
        <v>2.6881736618001744E-3</v>
      </c>
      <c r="H137" s="206" t="s">
        <v>773</v>
      </c>
      <c r="I137" s="218">
        <v>39580</v>
      </c>
      <c r="J137" s="140">
        <f t="shared" si="11"/>
        <v>7.5767145940559626E-4</v>
      </c>
    </row>
    <row r="138" spans="1:10" ht="12.9" customHeight="1" x14ac:dyDescent="0.3">
      <c r="A138" s="139" t="s">
        <v>784</v>
      </c>
      <c r="B138" s="219" t="s">
        <v>502</v>
      </c>
      <c r="C138" s="204">
        <f t="shared" si="9"/>
        <v>-1.8142850706345331E-3</v>
      </c>
      <c r="D138" s="207">
        <f t="shared" si="8"/>
        <v>2.2691904906231821E-2</v>
      </c>
      <c r="E138" s="206" t="s">
        <v>774</v>
      </c>
      <c r="F138" s="12">
        <v>67.05</v>
      </c>
      <c r="G138" s="140">
        <f t="shared" si="10"/>
        <v>1.1565965230300724E-2</v>
      </c>
      <c r="H138" s="206" t="s">
        <v>774</v>
      </c>
      <c r="I138" s="218">
        <v>39610</v>
      </c>
      <c r="J138" s="140">
        <f t="shared" si="11"/>
        <v>6.2917031508233929E-3</v>
      </c>
    </row>
    <row r="139" spans="1:10" ht="12.9" customHeight="1" x14ac:dyDescent="0.3">
      <c r="A139" s="139" t="s">
        <v>785</v>
      </c>
      <c r="B139" s="219" t="s">
        <v>503</v>
      </c>
      <c r="C139" s="204">
        <f t="shared" si="9"/>
        <v>-6.4786572497950304E-4</v>
      </c>
      <c r="D139" s="207">
        <f t="shared" si="8"/>
        <v>2.0124402791176763E-2</v>
      </c>
      <c r="E139" s="206" t="s">
        <v>775</v>
      </c>
      <c r="F139" s="12">
        <v>67.83</v>
      </c>
      <c r="G139" s="140">
        <f t="shared" si="10"/>
        <v>1.9851768552731529E-2</v>
      </c>
      <c r="H139" s="206" t="s">
        <v>775</v>
      </c>
      <c r="I139" s="218">
        <v>39860</v>
      </c>
      <c r="J139" s="140">
        <f t="shared" si="11"/>
        <v>2.7558579385834202E-3</v>
      </c>
    </row>
    <row r="140" spans="1:10" ht="12.9" customHeight="1" x14ac:dyDescent="0.3">
      <c r="A140" s="139" t="s">
        <v>786</v>
      </c>
      <c r="B140" s="219" t="s">
        <v>504</v>
      </c>
      <c r="C140" s="204">
        <f t="shared" si="9"/>
        <v>-9.1407944093641871E-4</v>
      </c>
      <c r="D140" s="207">
        <f t="shared" si="8"/>
        <v>4.8583091510763675E-3</v>
      </c>
      <c r="E140" s="206" t="s">
        <v>776</v>
      </c>
      <c r="F140" s="12">
        <v>69.19</v>
      </c>
      <c r="G140" s="140">
        <f t="shared" si="10"/>
        <v>7.2004919397077394E-3</v>
      </c>
      <c r="H140" s="206" t="s">
        <v>776</v>
      </c>
      <c r="I140" s="218">
        <v>39970</v>
      </c>
      <c r="J140" s="140">
        <f t="shared" si="11"/>
        <v>1.5000002812501404E-3</v>
      </c>
    </row>
    <row r="141" spans="1:10" ht="12.9" customHeight="1" x14ac:dyDescent="0.3">
      <c r="A141" s="139" t="s">
        <v>787</v>
      </c>
      <c r="B141" s="219" t="s">
        <v>505</v>
      </c>
      <c r="C141" s="204">
        <f t="shared" si="9"/>
        <v>2.6219055761609526E-3</v>
      </c>
      <c r="D141" s="207">
        <f t="shared" si="8"/>
        <v>-1.4795357920078581E-2</v>
      </c>
      <c r="E141" s="206" t="s">
        <v>777</v>
      </c>
      <c r="F141" s="12">
        <v>69.69</v>
      </c>
      <c r="G141" s="140">
        <f t="shared" si="10"/>
        <v>-2.631539508440188E-2</v>
      </c>
      <c r="H141" s="206" t="s">
        <v>777</v>
      </c>
      <c r="I141" s="218">
        <v>40030</v>
      </c>
      <c r="J141" s="140">
        <f t="shared" si="11"/>
        <v>-1.9932538307319923E-2</v>
      </c>
    </row>
    <row r="142" spans="1:10" ht="12.9" customHeight="1" x14ac:dyDescent="0.3">
      <c r="A142" s="139" t="s">
        <v>788</v>
      </c>
      <c r="B142" s="219" t="s">
        <v>506</v>
      </c>
      <c r="C142" s="204">
        <f t="shared" si="9"/>
        <v>-4.6130603244441308E-3</v>
      </c>
      <c r="D142" s="207">
        <f t="shared" si="8"/>
        <v>1.0969573383191345E-2</v>
      </c>
      <c r="E142" s="206" t="s">
        <v>778</v>
      </c>
      <c r="F142" s="12">
        <v>67.88</v>
      </c>
      <c r="G142" s="140">
        <f t="shared" si="10"/>
        <v>-1.4732965035840417E-4</v>
      </c>
      <c r="H142" s="206" t="s">
        <v>778</v>
      </c>
      <c r="I142" s="218">
        <v>39240</v>
      </c>
      <c r="J142" s="140">
        <f t="shared" si="11"/>
        <v>-1.0198879007455228E-3</v>
      </c>
    </row>
    <row r="143" spans="1:10" ht="12.9" customHeight="1" x14ac:dyDescent="0.3">
      <c r="A143" s="139" t="s">
        <v>789</v>
      </c>
      <c r="B143" s="219" t="s">
        <v>507</v>
      </c>
      <c r="C143" s="204">
        <f t="shared" si="9"/>
        <v>-2.2278284818820593E-3</v>
      </c>
      <c r="D143" s="207">
        <f t="shared" si="8"/>
        <v>1.14337217448113E-2</v>
      </c>
      <c r="E143" s="206" t="s">
        <v>779</v>
      </c>
      <c r="F143" s="12">
        <v>67.87</v>
      </c>
      <c r="G143" s="140">
        <f t="shared" si="10"/>
        <v>-9.1770922337186065E-3</v>
      </c>
      <c r="H143" s="206" t="s">
        <v>779</v>
      </c>
      <c r="I143" s="218">
        <v>39200</v>
      </c>
      <c r="J143" s="140">
        <f t="shared" si="11"/>
        <v>-4.858723277851743E-3</v>
      </c>
    </row>
    <row r="144" spans="1:10" ht="12.9" customHeight="1" x14ac:dyDescent="0.3">
      <c r="A144" s="139" t="s">
        <v>790</v>
      </c>
      <c r="B144" s="219" t="s">
        <v>508</v>
      </c>
      <c r="C144" s="204">
        <f t="shared" si="9"/>
        <v>9.7492956587374622E-4</v>
      </c>
      <c r="D144" s="207">
        <f t="shared" si="8"/>
        <v>-1.2613836942989134E-2</v>
      </c>
      <c r="E144" s="206" t="s">
        <v>780</v>
      </c>
      <c r="F144" s="12">
        <v>67.25</v>
      </c>
      <c r="G144" s="140">
        <f t="shared" si="10"/>
        <v>5.4867787977915389E-3</v>
      </c>
      <c r="H144" s="206" t="s">
        <v>780</v>
      </c>
      <c r="I144" s="218">
        <v>39010</v>
      </c>
      <c r="J144" s="140">
        <f t="shared" si="11"/>
        <v>2.5601652488576316E-3</v>
      </c>
    </row>
    <row r="145" spans="1:10" ht="12.9" customHeight="1" x14ac:dyDescent="0.3">
      <c r="A145" s="139" t="s">
        <v>792</v>
      </c>
      <c r="B145" s="219" t="s">
        <v>509</v>
      </c>
      <c r="C145" s="204">
        <f t="shared" si="9"/>
        <v>-3.699504330137977E-3</v>
      </c>
      <c r="D145" s="207">
        <f t="shared" si="8"/>
        <v>2.0713863842681271E-2</v>
      </c>
      <c r="E145" s="206" t="s">
        <v>781</v>
      </c>
      <c r="F145" s="12">
        <v>67.62</v>
      </c>
      <c r="G145" s="140">
        <f t="shared" si="10"/>
        <v>5.1626340788069056E-3</v>
      </c>
      <c r="H145" s="206" t="s">
        <v>781</v>
      </c>
      <c r="I145" s="218">
        <v>39110</v>
      </c>
      <c r="J145" s="140">
        <f t="shared" si="11"/>
        <v>7.8951129571514407E-3</v>
      </c>
    </row>
    <row r="146" spans="1:10" ht="12.9" customHeight="1" x14ac:dyDescent="0.3">
      <c r="A146" s="139" t="s">
        <v>895</v>
      </c>
      <c r="B146" s="219" t="s">
        <v>510</v>
      </c>
      <c r="C146" s="204">
        <f t="shared" si="9"/>
        <v>2.2990491074056447E-4</v>
      </c>
      <c r="D146" s="207" t="str">
        <f t="shared" si="8"/>
        <v xml:space="preserve"> </v>
      </c>
      <c r="E146" s="206" t="s">
        <v>782</v>
      </c>
      <c r="F146" s="12">
        <v>67.97</v>
      </c>
      <c r="G146" s="140">
        <f t="shared" si="10"/>
        <v>-3.7932739064055247E-2</v>
      </c>
      <c r="H146" s="206" t="s">
        <v>782</v>
      </c>
      <c r="I146" s="218">
        <v>39420</v>
      </c>
      <c r="J146" s="140">
        <f t="shared" si="11"/>
        <v>8.0849353990966443E-3</v>
      </c>
    </row>
    <row r="147" spans="1:10" ht="12.9" customHeight="1" x14ac:dyDescent="0.3">
      <c r="A147" s="139" t="s">
        <v>793</v>
      </c>
      <c r="B147" s="219" t="s">
        <v>511</v>
      </c>
      <c r="C147" s="204">
        <f t="shared" si="9"/>
        <v>-5.3138792423252463E-3</v>
      </c>
      <c r="D147" s="207">
        <f t="shared" si="8"/>
        <v>1.7556697999085808E-3</v>
      </c>
      <c r="E147" s="206" t="s">
        <v>783</v>
      </c>
      <c r="F147" s="12">
        <v>65.44</v>
      </c>
      <c r="G147" s="140">
        <f t="shared" si="10"/>
        <v>-7.97794964810109E-3</v>
      </c>
      <c r="H147" s="206" t="s">
        <v>783</v>
      </c>
      <c r="I147" s="218">
        <v>39740</v>
      </c>
      <c r="J147" s="140">
        <f t="shared" si="11"/>
        <v>2.7641681125532215E-3</v>
      </c>
    </row>
    <row r="148" spans="1:10" ht="12.9" customHeight="1" x14ac:dyDescent="0.3">
      <c r="A148" s="139" t="s">
        <v>794</v>
      </c>
      <c r="B148" s="219" t="s">
        <v>512</v>
      </c>
      <c r="C148" s="204">
        <f t="shared" si="9"/>
        <v>1.3535097949514366E-3</v>
      </c>
      <c r="D148" s="207">
        <f t="shared" si="8"/>
        <v>-1.1763111670320098E-2</v>
      </c>
      <c r="E148" s="206" t="s">
        <v>784</v>
      </c>
      <c r="F148" s="12">
        <v>64.92</v>
      </c>
      <c r="G148" s="140">
        <f t="shared" si="10"/>
        <v>2.2691904906231821E-2</v>
      </c>
      <c r="H148" s="206" t="s">
        <v>784</v>
      </c>
      <c r="I148" s="218">
        <v>39850</v>
      </c>
      <c r="J148" s="140">
        <f t="shared" si="11"/>
        <v>2.7565485441286681E-3</v>
      </c>
    </row>
    <row r="149" spans="1:10" ht="12.9" customHeight="1" x14ac:dyDescent="0.3">
      <c r="A149" s="139" t="s">
        <v>795</v>
      </c>
      <c r="B149" s="219" t="s">
        <v>513</v>
      </c>
      <c r="C149" s="204">
        <f t="shared" si="9"/>
        <v>9.6059226690108123E-4</v>
      </c>
      <c r="D149" s="207">
        <f t="shared" si="8"/>
        <v>-1.475106833705284E-2</v>
      </c>
      <c r="E149" s="206" t="s">
        <v>785</v>
      </c>
      <c r="F149" s="12">
        <v>66.41</v>
      </c>
      <c r="G149" s="140">
        <f t="shared" si="10"/>
        <v>2.0124402791176763E-2</v>
      </c>
      <c r="H149" s="206" t="s">
        <v>785</v>
      </c>
      <c r="I149" s="218">
        <v>39960</v>
      </c>
      <c r="J149" s="140">
        <f t="shared" si="11"/>
        <v>5.2414945908379708E-3</v>
      </c>
    </row>
    <row r="150" spans="1:10" ht="12.9" customHeight="1" x14ac:dyDescent="0.3">
      <c r="A150" s="139" t="s">
        <v>796</v>
      </c>
      <c r="B150" s="219" t="s">
        <v>514</v>
      </c>
      <c r="C150" s="204">
        <f t="shared" si="9"/>
        <v>2.7275457042576071E-3</v>
      </c>
      <c r="D150" s="207">
        <f t="shared" si="8"/>
        <v>2.3146433944223579E-2</v>
      </c>
      <c r="E150" s="206" t="s">
        <v>786</v>
      </c>
      <c r="F150" s="12">
        <v>67.760000000000005</v>
      </c>
      <c r="G150" s="140">
        <f t="shared" si="10"/>
        <v>4.8583091510763675E-3</v>
      </c>
      <c r="H150" s="206" t="s">
        <v>786</v>
      </c>
      <c r="I150" s="218">
        <v>40170</v>
      </c>
      <c r="J150" s="140">
        <f t="shared" si="11"/>
        <v>9.168692652663131E-3</v>
      </c>
    </row>
    <row r="151" spans="1:10" ht="12.9" customHeight="1" x14ac:dyDescent="0.3">
      <c r="A151" s="139" t="s">
        <v>797</v>
      </c>
      <c r="B151" s="219" t="s">
        <v>515</v>
      </c>
      <c r="C151" s="204">
        <f t="shared" si="9"/>
        <v>8.1761525067467757E-4</v>
      </c>
      <c r="D151" s="207">
        <f t="shared" si="8"/>
        <v>-1.2991030059075046E-2</v>
      </c>
      <c r="E151" s="206" t="s">
        <v>787</v>
      </c>
      <c r="F151" s="12">
        <v>68.09</v>
      </c>
      <c r="G151" s="140">
        <f t="shared" si="10"/>
        <v>-1.4795357920078581E-2</v>
      </c>
      <c r="H151" s="206" t="s">
        <v>787</v>
      </c>
      <c r="I151" s="218">
        <v>40540</v>
      </c>
      <c r="J151" s="140">
        <f t="shared" si="11"/>
        <v>2.7096949699656437E-3</v>
      </c>
    </row>
    <row r="152" spans="1:10" ht="12.9" customHeight="1" x14ac:dyDescent="0.3">
      <c r="A152" s="139" t="s">
        <v>799</v>
      </c>
      <c r="B152" s="219" t="s">
        <v>516</v>
      </c>
      <c r="C152" s="204">
        <f t="shared" si="9"/>
        <v>2.4020908817406943E-3</v>
      </c>
      <c r="D152" s="207">
        <f t="shared" si="8"/>
        <v>-2.7835390928156043E-2</v>
      </c>
      <c r="E152" s="206" t="s">
        <v>788</v>
      </c>
      <c r="F152" s="12">
        <v>67.09</v>
      </c>
      <c r="G152" s="140">
        <f t="shared" si="10"/>
        <v>1.0969573383191345E-2</v>
      </c>
      <c r="H152" s="206" t="s">
        <v>788</v>
      </c>
      <c r="I152" s="218">
        <v>40650</v>
      </c>
      <c r="J152" s="140">
        <f t="shared" si="11"/>
        <v>-1.2307693861326238E-3</v>
      </c>
    </row>
    <row r="153" spans="1:10" ht="12.9" customHeight="1" x14ac:dyDescent="0.3">
      <c r="A153" s="139" t="s">
        <v>800</v>
      </c>
      <c r="B153" s="219" t="s">
        <v>517</v>
      </c>
      <c r="C153" s="204">
        <f t="shared" si="9"/>
        <v>-2.6230525410953566E-4</v>
      </c>
      <c r="D153" s="207">
        <f t="shared" si="8"/>
        <v>8.2676156762683181E-3</v>
      </c>
      <c r="E153" s="206" t="s">
        <v>789</v>
      </c>
      <c r="F153" s="12">
        <v>67.83</v>
      </c>
      <c r="G153" s="140">
        <f t="shared" si="10"/>
        <v>1.14337217448113E-2</v>
      </c>
      <c r="H153" s="206" t="s">
        <v>789</v>
      </c>
      <c r="I153" s="218">
        <v>40600</v>
      </c>
      <c r="J153" s="140">
        <f t="shared" si="11"/>
        <v>2.4627509051942519E-4</v>
      </c>
    </row>
    <row r="154" spans="1:10" ht="12.9" customHeight="1" x14ac:dyDescent="0.3">
      <c r="A154" s="139" t="s">
        <v>801</v>
      </c>
      <c r="B154" s="219" t="s">
        <v>518</v>
      </c>
      <c r="C154" s="204">
        <f t="shared" si="9"/>
        <v>-1.0841643468064181E-3</v>
      </c>
      <c r="D154" s="207">
        <f t="shared" si="8"/>
        <v>8.3482893914712444E-3</v>
      </c>
      <c r="E154" s="206" t="s">
        <v>790</v>
      </c>
      <c r="F154" s="12">
        <v>68.61</v>
      </c>
      <c r="G154" s="140">
        <f t="shared" si="10"/>
        <v>-1.2613836942989134E-2</v>
      </c>
      <c r="H154" s="206" t="s">
        <v>790</v>
      </c>
      <c r="I154" s="218">
        <v>40610</v>
      </c>
      <c r="J154" s="140">
        <f t="shared" si="11"/>
        <v>-9.8546447985059038E-4</v>
      </c>
    </row>
    <row r="155" spans="1:10" ht="12.9" customHeight="1" x14ac:dyDescent="0.3">
      <c r="A155" s="139" t="s">
        <v>802</v>
      </c>
      <c r="B155" s="219" t="s">
        <v>519</v>
      </c>
      <c r="C155" s="204">
        <f t="shared" si="9"/>
        <v>4.7945972657769022E-4</v>
      </c>
      <c r="D155" s="207">
        <f t="shared" si="8"/>
        <v>-2.8246506552981323E-3</v>
      </c>
      <c r="E155" s="206" t="s">
        <v>791</v>
      </c>
      <c r="F155" s="12">
        <v>67.75</v>
      </c>
      <c r="G155" s="140">
        <f t="shared" si="10"/>
        <v>-1.2774980629493568E-2</v>
      </c>
      <c r="H155" s="206" t="s">
        <v>791</v>
      </c>
      <c r="I155" s="218">
        <v>40570</v>
      </c>
      <c r="J155" s="140">
        <f t="shared" si="11"/>
        <v>-7.3973619450194348E-4</v>
      </c>
    </row>
    <row r="156" spans="1:10" ht="12.9" customHeight="1" x14ac:dyDescent="0.3">
      <c r="A156" s="139" t="s">
        <v>803</v>
      </c>
      <c r="B156" s="219" t="s">
        <v>520</v>
      </c>
      <c r="C156" s="204">
        <f t="shared" si="9"/>
        <v>8.544664069475449E-4</v>
      </c>
      <c r="D156" s="207">
        <f t="shared" si="8"/>
        <v>-2.6833647585970438E-3</v>
      </c>
      <c r="E156" s="206" t="s">
        <v>792</v>
      </c>
      <c r="F156" s="12">
        <v>66.89</v>
      </c>
      <c r="G156" s="140">
        <f t="shared" si="10"/>
        <v>2.0713863842681271E-2</v>
      </c>
      <c r="H156" s="206" t="s">
        <v>792</v>
      </c>
      <c r="I156" s="218">
        <v>40540</v>
      </c>
      <c r="J156" s="140">
        <f t="shared" si="11"/>
        <v>2.7096949699656437E-3</v>
      </c>
    </row>
    <row r="157" spans="1:10" ht="12.9" customHeight="1" x14ac:dyDescent="0.3">
      <c r="A157" s="139" t="s">
        <v>804</v>
      </c>
      <c r="B157" s="219" t="s">
        <v>521</v>
      </c>
      <c r="C157" s="204">
        <f t="shared" si="9"/>
        <v>6.2715763627691217E-5</v>
      </c>
      <c r="D157" s="207">
        <f t="shared" si="8"/>
        <v>1.4523076838370652E-2</v>
      </c>
      <c r="E157" s="206" t="s">
        <v>793</v>
      </c>
      <c r="F157" s="12">
        <v>68.290000000000006</v>
      </c>
      <c r="G157" s="140">
        <f t="shared" si="10"/>
        <v>1.7556697999085808E-3</v>
      </c>
      <c r="H157" s="206" t="s">
        <v>793</v>
      </c>
      <c r="I157" s="218">
        <v>40650</v>
      </c>
      <c r="J157" s="140">
        <f t="shared" si="11"/>
        <v>-2.2164767108918443E-3</v>
      </c>
    </row>
    <row r="158" spans="1:10" ht="12.9" customHeight="1" x14ac:dyDescent="0.3">
      <c r="A158" s="139" t="s">
        <v>805</v>
      </c>
      <c r="B158" s="219" t="s">
        <v>522</v>
      </c>
      <c r="C158" s="204">
        <f t="shared" si="9"/>
        <v>1.0450637647924314E-3</v>
      </c>
      <c r="D158" s="207">
        <f t="shared" si="8"/>
        <v>1.7067003134931549E-2</v>
      </c>
      <c r="E158" s="206" t="s">
        <v>794</v>
      </c>
      <c r="F158" s="12">
        <v>68.41</v>
      </c>
      <c r="G158" s="140">
        <f t="shared" si="10"/>
        <v>-1.1763111670320098E-2</v>
      </c>
      <c r="H158" s="206" t="s">
        <v>794</v>
      </c>
      <c r="I158" s="218">
        <v>40560</v>
      </c>
      <c r="J158" s="140">
        <f t="shared" si="11"/>
        <v>5.1641575482343103E-3</v>
      </c>
    </row>
    <row r="159" spans="1:10" ht="12.9" customHeight="1" x14ac:dyDescent="0.3">
      <c r="A159" s="139" t="s">
        <v>806</v>
      </c>
      <c r="B159" s="219" t="s">
        <v>523</v>
      </c>
      <c r="C159" s="204">
        <f t="shared" si="9"/>
        <v>-3.3075985623785588E-3</v>
      </c>
      <c r="D159" s="207">
        <f t="shared" si="8"/>
        <v>6.0562549926038711E-3</v>
      </c>
      <c r="E159" s="206" t="s">
        <v>795</v>
      </c>
      <c r="F159" s="12">
        <v>67.61</v>
      </c>
      <c r="G159" s="140">
        <f t="shared" si="10"/>
        <v>-1.475106833705284E-2</v>
      </c>
      <c r="H159" s="206" t="s">
        <v>795</v>
      </c>
      <c r="I159" s="218">
        <v>40770</v>
      </c>
      <c r="J159" s="140">
        <f t="shared" si="11"/>
        <v>-4.6711824334933873E-3</v>
      </c>
    </row>
    <row r="160" spans="1:10" ht="12.9" customHeight="1" x14ac:dyDescent="0.3">
      <c r="A160" s="139" t="s">
        <v>807</v>
      </c>
      <c r="B160" s="219" t="s">
        <v>524</v>
      </c>
      <c r="C160" s="204">
        <f t="shared" si="9"/>
        <v>-1.7145766629206595E-3</v>
      </c>
      <c r="D160" s="207">
        <f t="shared" si="8"/>
        <v>1.413198881274076E-2</v>
      </c>
      <c r="E160" s="206" t="s">
        <v>796</v>
      </c>
      <c r="F160" s="12">
        <v>66.62</v>
      </c>
      <c r="G160" s="140">
        <f t="shared" si="10"/>
        <v>2.3146433944223579E-2</v>
      </c>
      <c r="H160" s="206" t="s">
        <v>796</v>
      </c>
      <c r="I160" s="218">
        <v>40580</v>
      </c>
      <c r="J160" s="140">
        <f t="shared" si="11"/>
        <v>2.707027615929971E-3</v>
      </c>
    </row>
    <row r="161" spans="1:10" ht="12.9" customHeight="1" x14ac:dyDescent="0.3">
      <c r="A161" s="139" t="s">
        <v>808</v>
      </c>
      <c r="B161" s="219" t="s">
        <v>525</v>
      </c>
      <c r="C161" s="204">
        <f t="shared" si="9"/>
        <v>2.3155265473921139E-3</v>
      </c>
      <c r="D161" s="207">
        <f t="shared" si="8"/>
        <v>4.0010893164696158E-2</v>
      </c>
      <c r="E161" s="206" t="s">
        <v>797</v>
      </c>
      <c r="F161" s="12">
        <v>68.180000000000007</v>
      </c>
      <c r="G161" s="140">
        <f t="shared" si="10"/>
        <v>-1.2991030059075046E-2</v>
      </c>
      <c r="H161" s="206" t="s">
        <v>797</v>
      </c>
      <c r="I161" s="218">
        <v>40690</v>
      </c>
      <c r="J161" s="140">
        <f t="shared" si="11"/>
        <v>5.1477010351574674E-3</v>
      </c>
    </row>
    <row r="162" spans="1:10" ht="12.9" customHeight="1" x14ac:dyDescent="0.3">
      <c r="A162" s="139" t="s">
        <v>809</v>
      </c>
      <c r="B162" s="219" t="s">
        <v>526</v>
      </c>
      <c r="C162" s="204">
        <f t="shared" si="9"/>
        <v>-3.238657101908828E-3</v>
      </c>
      <c r="D162" s="207">
        <f t="shared" si="8"/>
        <v>7.4622149407887403E-3</v>
      </c>
      <c r="E162" s="206" t="s">
        <v>798</v>
      </c>
      <c r="F162" s="12">
        <v>67.3</v>
      </c>
      <c r="G162" s="140">
        <f t="shared" si="10"/>
        <v>1.2110619143805587E-2</v>
      </c>
      <c r="H162" s="206" t="s">
        <v>798</v>
      </c>
      <c r="I162" s="218">
        <v>40900</v>
      </c>
      <c r="J162" s="140">
        <f t="shared" si="11"/>
        <v>5.1213378610308778E-3</v>
      </c>
    </row>
    <row r="163" spans="1:10" ht="12.9" customHeight="1" x14ac:dyDescent="0.3">
      <c r="A163" s="139" t="s">
        <v>810</v>
      </c>
      <c r="B163" s="219" t="s">
        <v>527</v>
      </c>
      <c r="C163" s="204">
        <f t="shared" si="9"/>
        <v>-4.9347363124835775E-3</v>
      </c>
      <c r="D163" s="207">
        <f t="shared" si="8"/>
        <v>-1.0462762745756788E-2</v>
      </c>
      <c r="E163" s="206" t="s">
        <v>799</v>
      </c>
      <c r="F163" s="12">
        <v>68.12</v>
      </c>
      <c r="G163" s="140">
        <f t="shared" si="10"/>
        <v>-2.7835390928156043E-2</v>
      </c>
      <c r="H163" s="206" t="s">
        <v>799</v>
      </c>
      <c r="I163" s="218">
        <v>41110</v>
      </c>
      <c r="J163" s="140">
        <f t="shared" si="11"/>
        <v>0</v>
      </c>
    </row>
    <row r="164" spans="1:10" ht="12.9" customHeight="1" x14ac:dyDescent="0.3">
      <c r="A164" s="139" t="s">
        <v>811</v>
      </c>
      <c r="B164" s="219" t="s">
        <v>528</v>
      </c>
      <c r="C164" s="204">
        <f t="shared" si="9"/>
        <v>-3.3530854801388948E-3</v>
      </c>
      <c r="D164" s="207">
        <f t="shared" si="8"/>
        <v>-3.2484810836386553E-2</v>
      </c>
      <c r="E164" s="206" t="s">
        <v>800</v>
      </c>
      <c r="F164" s="12">
        <v>66.25</v>
      </c>
      <c r="G164" s="140">
        <f t="shared" si="10"/>
        <v>8.2676156762683181E-3</v>
      </c>
      <c r="H164" s="206" t="s">
        <v>800</v>
      </c>
      <c r="I164" s="218">
        <v>41110</v>
      </c>
      <c r="J164" s="140">
        <f t="shared" si="11"/>
        <v>-9.2864792494657799E-3</v>
      </c>
    </row>
    <row r="165" spans="1:10" ht="12.9" customHeight="1" x14ac:dyDescent="0.3">
      <c r="A165" s="139" t="s">
        <v>812</v>
      </c>
      <c r="B165" s="219" t="s">
        <v>529</v>
      </c>
      <c r="C165" s="204">
        <f t="shared" si="9"/>
        <v>-3.0391326110406952E-4</v>
      </c>
      <c r="D165" s="207">
        <f t="shared" si="8"/>
        <v>-2.3412918132230617E-2</v>
      </c>
      <c r="E165" s="206" t="s">
        <v>801</v>
      </c>
      <c r="F165" s="12">
        <v>66.8</v>
      </c>
      <c r="G165" s="140">
        <f t="shared" si="10"/>
        <v>8.3482893914712444E-3</v>
      </c>
      <c r="H165" s="206" t="s">
        <v>801</v>
      </c>
      <c r="I165" s="218">
        <v>40730</v>
      </c>
      <c r="J165" s="140">
        <f t="shared" si="11"/>
        <v>-2.2121183900947116E-3</v>
      </c>
    </row>
    <row r="166" spans="1:10" ht="12.9" customHeight="1" x14ac:dyDescent="0.3">
      <c r="A166" s="139" t="s">
        <v>813</v>
      </c>
      <c r="B166" s="219" t="s">
        <v>530</v>
      </c>
      <c r="C166" s="204">
        <f t="shared" si="9"/>
        <v>-2.2516017167447896E-3</v>
      </c>
      <c r="D166" s="207">
        <f t="shared" si="8"/>
        <v>1.7043019036972442E-2</v>
      </c>
      <c r="E166" s="206" t="s">
        <v>802</v>
      </c>
      <c r="F166" s="12">
        <v>67.36</v>
      </c>
      <c r="G166" s="140">
        <f t="shared" si="10"/>
        <v>-2.8246506552981323E-3</v>
      </c>
      <c r="H166" s="206" t="s">
        <v>802</v>
      </c>
      <c r="I166" s="218">
        <v>40640</v>
      </c>
      <c r="J166" s="140">
        <f t="shared" si="11"/>
        <v>2.4603272359309005E-4</v>
      </c>
    </row>
    <row r="167" spans="1:10" ht="12.9" customHeight="1" x14ac:dyDescent="0.3">
      <c r="A167" s="139" t="s">
        <v>814</v>
      </c>
      <c r="B167" s="219" t="s">
        <v>531</v>
      </c>
      <c r="C167" s="204">
        <f t="shared" si="9"/>
        <v>4.3428488728427525E-4</v>
      </c>
      <c r="D167" s="207">
        <f t="shared" si="8"/>
        <v>-1.7910071114413052E-2</v>
      </c>
      <c r="E167" s="206" t="s">
        <v>803</v>
      </c>
      <c r="F167" s="12">
        <v>67.17</v>
      </c>
      <c r="G167" s="140">
        <f t="shared" si="10"/>
        <v>-2.6833647585970438E-3</v>
      </c>
      <c r="H167" s="206" t="s">
        <v>803</v>
      </c>
      <c r="I167" s="218">
        <v>40650</v>
      </c>
      <c r="J167" s="140">
        <f t="shared" si="11"/>
        <v>2.4570036930520837E-3</v>
      </c>
    </row>
    <row r="168" spans="1:10" ht="12.9" customHeight="1" x14ac:dyDescent="0.3">
      <c r="A168" s="139" t="s">
        <v>815</v>
      </c>
      <c r="B168" s="219" t="s">
        <v>532</v>
      </c>
      <c r="C168" s="204">
        <f t="shared" si="9"/>
        <v>-1.2686409345331827E-3</v>
      </c>
      <c r="D168" s="207">
        <f t="shared" si="8"/>
        <v>7.489592837934103E-3</v>
      </c>
      <c r="E168" s="206" t="s">
        <v>804</v>
      </c>
      <c r="F168" s="12">
        <v>66.989999999999995</v>
      </c>
      <c r="G168" s="140">
        <f t="shared" si="10"/>
        <v>1.4523076838370652E-2</v>
      </c>
      <c r="H168" s="206" t="s">
        <v>804</v>
      </c>
      <c r="I168" s="218">
        <v>40750</v>
      </c>
      <c r="J168" s="140">
        <f t="shared" si="11"/>
        <v>5.1401410443806883E-3</v>
      </c>
    </row>
    <row r="169" spans="1:10" ht="12.9" customHeight="1" x14ac:dyDescent="0.3">
      <c r="A169" s="139" t="s">
        <v>816</v>
      </c>
      <c r="B169" s="219" t="s">
        <v>533</v>
      </c>
      <c r="C169" s="204">
        <f t="shared" si="9"/>
        <v>-3.8612523808128322E-4</v>
      </c>
      <c r="D169" s="207">
        <f t="shared" si="8"/>
        <v>3.1497554712937421E-2</v>
      </c>
      <c r="E169" s="206" t="s">
        <v>805</v>
      </c>
      <c r="F169" s="12">
        <v>67.97</v>
      </c>
      <c r="G169" s="140">
        <f t="shared" si="10"/>
        <v>1.7067003134931549E-2</v>
      </c>
      <c r="H169" s="206" t="s">
        <v>805</v>
      </c>
      <c r="I169" s="218">
        <v>40960</v>
      </c>
      <c r="J169" s="140">
        <f t="shared" si="11"/>
        <v>-1.9550348358033506E-3</v>
      </c>
    </row>
    <row r="170" spans="1:10" ht="12.9" customHeight="1" x14ac:dyDescent="0.3">
      <c r="A170" s="139" t="s">
        <v>817</v>
      </c>
      <c r="B170" s="219" t="s">
        <v>534</v>
      </c>
      <c r="C170" s="204">
        <f t="shared" si="9"/>
        <v>-2.7954102098514593E-4</v>
      </c>
      <c r="D170" s="207">
        <f t="shared" si="8"/>
        <v>-1.2029799570483805E-2</v>
      </c>
      <c r="E170" s="206" t="s">
        <v>806</v>
      </c>
      <c r="F170" s="12">
        <v>69.14</v>
      </c>
      <c r="G170" s="140">
        <f t="shared" si="10"/>
        <v>6.0562549926038711E-3</v>
      </c>
      <c r="H170" s="206" t="s">
        <v>806</v>
      </c>
      <c r="I170" s="218">
        <v>40880</v>
      </c>
      <c r="J170" s="140">
        <f t="shared" si="11"/>
        <v>-7.3656114977803232E-3</v>
      </c>
    </row>
    <row r="171" spans="1:10" ht="12.9" customHeight="1" x14ac:dyDescent="0.3">
      <c r="A171" s="139" t="s">
        <v>818</v>
      </c>
      <c r="B171" s="219" t="s">
        <v>535</v>
      </c>
      <c r="C171" s="204">
        <f t="shared" si="9"/>
        <v>-3.3210268294005313E-3</v>
      </c>
      <c r="D171" s="207">
        <f t="shared" si="8"/>
        <v>3.6522024020585546E-3</v>
      </c>
      <c r="E171" s="206" t="s">
        <v>807</v>
      </c>
      <c r="F171" s="12">
        <v>69.56</v>
      </c>
      <c r="G171" s="140">
        <f t="shared" si="10"/>
        <v>1.413198881274076E-2</v>
      </c>
      <c r="H171" s="206" t="s">
        <v>807</v>
      </c>
      <c r="I171" s="218">
        <v>40580</v>
      </c>
      <c r="J171" s="140">
        <f t="shared" si="11"/>
        <v>-3.4559402453979765E-3</v>
      </c>
    </row>
    <row r="172" spans="1:10" ht="12.9" customHeight="1" x14ac:dyDescent="0.3">
      <c r="A172" s="139" t="s">
        <v>819</v>
      </c>
      <c r="B172" s="219" t="s">
        <v>536</v>
      </c>
      <c r="C172" s="204">
        <f t="shared" si="9"/>
        <v>-1.2788261700894517E-3</v>
      </c>
      <c r="D172" s="207">
        <f t="shared" si="8"/>
        <v>-2.3406983952912054E-2</v>
      </c>
      <c r="E172" s="206" t="s">
        <v>808</v>
      </c>
      <c r="F172" s="12">
        <v>70.55</v>
      </c>
      <c r="G172" s="140">
        <f t="shared" si="10"/>
        <v>4.0010893164696158E-2</v>
      </c>
      <c r="H172" s="206" t="s">
        <v>808</v>
      </c>
      <c r="I172" s="218">
        <v>40440</v>
      </c>
      <c r="J172" s="140">
        <f t="shared" si="11"/>
        <v>-8.6924674978551102E-3</v>
      </c>
    </row>
    <row r="173" spans="1:10" ht="12.9" customHeight="1" x14ac:dyDescent="0.3">
      <c r="A173" s="139" t="s">
        <v>820</v>
      </c>
      <c r="B173" s="219" t="s">
        <v>537</v>
      </c>
      <c r="C173" s="204">
        <f t="shared" si="9"/>
        <v>2.4587589916644638E-4</v>
      </c>
      <c r="D173" s="207">
        <f t="shared" si="8"/>
        <v>8.5751561620787588E-3</v>
      </c>
      <c r="E173" s="206" t="s">
        <v>809</v>
      </c>
      <c r="F173" s="12">
        <v>73.430000000000007</v>
      </c>
      <c r="G173" s="140">
        <f t="shared" si="10"/>
        <v>7.4622149407887403E-3</v>
      </c>
      <c r="H173" s="206" t="s">
        <v>809</v>
      </c>
      <c r="I173" s="218">
        <v>40090</v>
      </c>
      <c r="J173" s="140">
        <f t="shared" si="11"/>
        <v>2.7400689705598929E-3</v>
      </c>
    </row>
    <row r="174" spans="1:10" ht="12.9" customHeight="1" x14ac:dyDescent="0.3">
      <c r="A174" s="139" t="s">
        <v>821</v>
      </c>
      <c r="B174" s="219" t="s">
        <v>538</v>
      </c>
      <c r="C174" s="204">
        <f t="shared" si="9"/>
        <v>1.9183184283984133E-3</v>
      </c>
      <c r="D174" s="207">
        <f t="shared" si="8"/>
        <v>9.7713727972176742E-3</v>
      </c>
      <c r="E174" s="206" t="s">
        <v>810</v>
      </c>
      <c r="F174" s="12">
        <v>73.98</v>
      </c>
      <c r="G174" s="140">
        <f t="shared" si="10"/>
        <v>-1.0462762745756788E-2</v>
      </c>
      <c r="H174" s="206" t="s">
        <v>810</v>
      </c>
      <c r="I174" s="218">
        <v>40200</v>
      </c>
      <c r="J174" s="140">
        <f t="shared" si="11"/>
        <v>2.4844733276619658E-3</v>
      </c>
    </row>
    <row r="175" spans="1:10" ht="12.9" customHeight="1" x14ac:dyDescent="0.3">
      <c r="A175" s="139" t="s">
        <v>822</v>
      </c>
      <c r="B175" s="219" t="s">
        <v>539</v>
      </c>
      <c r="C175" s="204">
        <f t="shared" si="9"/>
        <v>-1.5991195449812927E-3</v>
      </c>
      <c r="D175" s="207">
        <f t="shared" si="8"/>
        <v>1.5382767318623189E-2</v>
      </c>
      <c r="E175" s="206" t="s">
        <v>811</v>
      </c>
      <c r="F175" s="12">
        <v>73.209999999999994</v>
      </c>
      <c r="G175" s="140">
        <f t="shared" si="10"/>
        <v>-3.2484810836386553E-2</v>
      </c>
      <c r="H175" s="206" t="s">
        <v>811</v>
      </c>
      <c r="I175" s="218">
        <v>40300</v>
      </c>
      <c r="J175" s="140">
        <f t="shared" si="11"/>
        <v>2.4810817643713181E-4</v>
      </c>
    </row>
    <row r="176" spans="1:10" ht="12.9" customHeight="1" x14ac:dyDescent="0.3">
      <c r="A176" s="139" t="s">
        <v>823</v>
      </c>
      <c r="B176" s="219" t="s">
        <v>540</v>
      </c>
      <c r="C176" s="204">
        <f t="shared" si="9"/>
        <v>-3.2152793000804446E-3</v>
      </c>
      <c r="D176" s="207">
        <f t="shared" si="8"/>
        <v>-2.3589973426508135E-2</v>
      </c>
      <c r="E176" s="206" t="s">
        <v>812</v>
      </c>
      <c r="F176" s="12">
        <v>70.87</v>
      </c>
      <c r="G176" s="140">
        <f t="shared" si="10"/>
        <v>-2.3412918132230617E-2</v>
      </c>
      <c r="H176" s="206" t="s">
        <v>812</v>
      </c>
      <c r="I176" s="218">
        <v>40310</v>
      </c>
      <c r="J176" s="140">
        <f t="shared" si="11"/>
        <v>-4.7246140353396707E-3</v>
      </c>
    </row>
    <row r="177" spans="1:10" ht="12.9" customHeight="1" x14ac:dyDescent="0.3">
      <c r="A177" s="139" t="s">
        <v>824</v>
      </c>
      <c r="B177" s="219" t="s">
        <v>541</v>
      </c>
      <c r="C177" s="204">
        <f t="shared" si="9"/>
        <v>2.566289900570251E-3</v>
      </c>
      <c r="D177" s="207">
        <f t="shared" si="8"/>
        <v>2.2479170757445759E-2</v>
      </c>
      <c r="E177" s="206" t="s">
        <v>813</v>
      </c>
      <c r="F177" s="12">
        <v>69.23</v>
      </c>
      <c r="G177" s="140">
        <f t="shared" si="10"/>
        <v>1.7043019036972442E-2</v>
      </c>
      <c r="H177" s="206" t="s">
        <v>813</v>
      </c>
      <c r="I177" s="218">
        <v>40120</v>
      </c>
      <c r="J177" s="140">
        <f t="shared" si="11"/>
        <v>-2.4956339381474635E-3</v>
      </c>
    </row>
    <row r="178" spans="1:10" ht="12.9" customHeight="1" x14ac:dyDescent="0.3">
      <c r="A178" s="139" t="s">
        <v>825</v>
      </c>
      <c r="B178" s="219" t="s">
        <v>542</v>
      </c>
      <c r="C178" s="204">
        <f t="shared" si="9"/>
        <v>-9.2235922925096184E-4</v>
      </c>
      <c r="D178" s="207">
        <f t="shared" si="8"/>
        <v>7.1982592097442951E-3</v>
      </c>
      <c r="E178" s="206" t="s">
        <v>814</v>
      </c>
      <c r="F178" s="12">
        <v>70.42</v>
      </c>
      <c r="G178" s="140">
        <f t="shared" si="10"/>
        <v>-1.7910071114413052E-2</v>
      </c>
      <c r="H178" s="206" t="s">
        <v>814</v>
      </c>
      <c r="I178" s="218">
        <v>40020</v>
      </c>
      <c r="J178" s="140">
        <f t="shared" si="11"/>
        <v>2.7448551232380869E-3</v>
      </c>
    </row>
    <row r="179" spans="1:10" ht="12.9" customHeight="1" x14ac:dyDescent="0.3">
      <c r="A179" s="139" t="s">
        <v>826</v>
      </c>
      <c r="B179" s="219" t="s">
        <v>543</v>
      </c>
      <c r="C179" s="204">
        <f t="shared" si="9"/>
        <v>1.1216449479421158E-3</v>
      </c>
      <c r="D179" s="207">
        <f t="shared" si="8"/>
        <v>-7.6151285272521947E-3</v>
      </c>
      <c r="E179" s="206" t="s">
        <v>815</v>
      </c>
      <c r="F179" s="12">
        <v>69.17</v>
      </c>
      <c r="G179" s="140">
        <f t="shared" si="10"/>
        <v>7.489592837934103E-3</v>
      </c>
      <c r="H179" s="206" t="s">
        <v>815</v>
      </c>
      <c r="I179" s="218">
        <v>40130</v>
      </c>
      <c r="J179" s="140">
        <f t="shared" si="11"/>
        <v>1.2874651714994269E-2</v>
      </c>
    </row>
    <row r="180" spans="1:10" ht="12.9" customHeight="1" x14ac:dyDescent="0.3">
      <c r="A180" s="139" t="s">
        <v>827</v>
      </c>
      <c r="B180" s="219" t="s">
        <v>544</v>
      </c>
      <c r="C180" s="204">
        <f t="shared" si="9"/>
        <v>-4.9812139659470732E-3</v>
      </c>
      <c r="D180" s="207">
        <f t="shared" si="8"/>
        <v>-1.2869110323658286E-2</v>
      </c>
      <c r="E180" s="206" t="s">
        <v>816</v>
      </c>
      <c r="F180" s="12">
        <v>69.69</v>
      </c>
      <c r="G180" s="140">
        <f t="shared" si="10"/>
        <v>3.1497554712937421E-2</v>
      </c>
      <c r="H180" s="206" t="s">
        <v>816</v>
      </c>
      <c r="I180" s="218">
        <v>40650</v>
      </c>
      <c r="J180" s="140">
        <f t="shared" si="11"/>
        <v>2.7023723607044296E-3</v>
      </c>
    </row>
    <row r="181" spans="1:10" ht="12.9" customHeight="1" x14ac:dyDescent="0.3">
      <c r="A181" s="139" t="s">
        <v>828</v>
      </c>
      <c r="B181" s="219" t="s">
        <v>545</v>
      </c>
      <c r="C181" s="204">
        <f t="shared" si="9"/>
        <v>1.4452839748194455E-3</v>
      </c>
      <c r="D181" s="207">
        <f t="shared" si="8"/>
        <v>-8.6250092828121898E-3</v>
      </c>
      <c r="E181" s="206" t="s">
        <v>817</v>
      </c>
      <c r="F181" s="12">
        <v>71.92</v>
      </c>
      <c r="G181" s="140">
        <f t="shared" si="10"/>
        <v>-1.2029799570483805E-2</v>
      </c>
      <c r="H181" s="206" t="s">
        <v>817</v>
      </c>
      <c r="I181" s="218">
        <v>40760</v>
      </c>
      <c r="J181" s="140">
        <f t="shared" si="11"/>
        <v>2.4530847663795585E-4</v>
      </c>
    </row>
    <row r="182" spans="1:10" ht="12.9" customHeight="1" x14ac:dyDescent="0.3">
      <c r="A182" s="139" t="s">
        <v>829</v>
      </c>
      <c r="B182" s="219" t="s">
        <v>546</v>
      </c>
      <c r="C182" s="204">
        <f t="shared" si="9"/>
        <v>2.110921674552256E-3</v>
      </c>
      <c r="D182" s="207">
        <f t="shared" si="8"/>
        <v>5.3816869727675819E-3</v>
      </c>
      <c r="E182" s="206" t="s">
        <v>818</v>
      </c>
      <c r="F182" s="12">
        <v>71.06</v>
      </c>
      <c r="G182" s="140">
        <f t="shared" si="10"/>
        <v>3.6522024020585546E-3</v>
      </c>
      <c r="H182" s="206" t="s">
        <v>818</v>
      </c>
      <c r="I182" s="218">
        <v>40770</v>
      </c>
      <c r="J182" s="140">
        <f t="shared" si="11"/>
        <v>-2.4557969120288944E-3</v>
      </c>
    </row>
    <row r="183" spans="1:10" ht="12.9" customHeight="1" x14ac:dyDescent="0.3">
      <c r="A183" s="139" t="s">
        <v>830</v>
      </c>
      <c r="B183" s="219" t="s">
        <v>547</v>
      </c>
      <c r="C183" s="204">
        <f t="shared" si="9"/>
        <v>-8.744346356952318E-4</v>
      </c>
      <c r="D183" s="207">
        <f t="shared" si="8"/>
        <v>-4.58073291128255E-2</v>
      </c>
      <c r="E183" s="206" t="s">
        <v>819</v>
      </c>
      <c r="F183" s="12">
        <v>71.319999999999993</v>
      </c>
      <c r="G183" s="140">
        <f t="shared" si="10"/>
        <v>-2.3406983952912054E-2</v>
      </c>
      <c r="H183" s="206" t="s">
        <v>819</v>
      </c>
      <c r="I183" s="218">
        <v>40670</v>
      </c>
      <c r="J183" s="140">
        <f t="shared" si="11"/>
        <v>3.9263854123511698E-3</v>
      </c>
    </row>
    <row r="184" spans="1:10" ht="12.9" customHeight="1" x14ac:dyDescent="0.3">
      <c r="A184" s="139" t="s">
        <v>831</v>
      </c>
      <c r="B184" s="219" t="s">
        <v>548</v>
      </c>
      <c r="C184" s="204">
        <f t="shared" si="9"/>
        <v>-8.6467897171733682E-4</v>
      </c>
      <c r="D184" s="207">
        <f t="shared" si="8"/>
        <v>7.6594865556931079E-3</v>
      </c>
      <c r="E184" s="206" t="s">
        <v>820</v>
      </c>
      <c r="F184" s="12">
        <v>69.67</v>
      </c>
      <c r="G184" s="140">
        <f t="shared" si="10"/>
        <v>8.5751561620787588E-3</v>
      </c>
      <c r="H184" s="206" t="s">
        <v>820</v>
      </c>
      <c r="I184" s="218">
        <v>40830</v>
      </c>
      <c r="J184" s="140">
        <f t="shared" si="11"/>
        <v>4.1549613728234826E-3</v>
      </c>
    </row>
    <row r="185" spans="1:10" ht="12.9" customHeight="1" x14ac:dyDescent="0.3">
      <c r="A185" s="139" t="s">
        <v>832</v>
      </c>
      <c r="B185" s="219" t="s">
        <v>549</v>
      </c>
      <c r="C185" s="204">
        <f t="shared" si="9"/>
        <v>1.8117710228156807E-4</v>
      </c>
      <c r="D185" s="207">
        <f t="shared" si="8"/>
        <v>1.774333925466837E-2</v>
      </c>
      <c r="E185" s="206" t="s">
        <v>821</v>
      </c>
      <c r="F185" s="12">
        <v>70.27</v>
      </c>
      <c r="G185" s="140">
        <f t="shared" si="10"/>
        <v>9.7713727972176742E-3</v>
      </c>
      <c r="H185" s="206" t="s">
        <v>821</v>
      </c>
      <c r="I185" s="218">
        <v>41000</v>
      </c>
      <c r="J185" s="140">
        <f t="shared" si="11"/>
        <v>-2.1975347630006086E-3</v>
      </c>
    </row>
    <row r="186" spans="1:10" ht="12.9" customHeight="1" x14ac:dyDescent="0.3">
      <c r="A186" s="139" t="s">
        <v>833</v>
      </c>
      <c r="B186" s="219" t="s">
        <v>550</v>
      </c>
      <c r="C186" s="204">
        <f t="shared" si="9"/>
        <v>2.257867007278739E-3</v>
      </c>
      <c r="D186" s="207">
        <f t="shared" si="8"/>
        <v>-1.1599376100937054E-2</v>
      </c>
      <c r="E186" s="206" t="s">
        <v>822</v>
      </c>
      <c r="F186" s="12">
        <v>70.959999999999994</v>
      </c>
      <c r="G186" s="140">
        <f t="shared" si="10"/>
        <v>1.5382767318623189E-2</v>
      </c>
      <c r="H186" s="206" t="s">
        <v>822</v>
      </c>
      <c r="I186" s="218">
        <v>40910</v>
      </c>
      <c r="J186" s="140">
        <f t="shared" si="11"/>
        <v>2.4414074626605883E-3</v>
      </c>
    </row>
    <row r="187" spans="1:10" ht="12.9" customHeight="1" x14ac:dyDescent="0.3">
      <c r="A187" s="139" t="s">
        <v>834</v>
      </c>
      <c r="B187" s="219" t="s">
        <v>551</v>
      </c>
      <c r="C187" s="204">
        <f t="shared" si="9"/>
        <v>1.4030510499707367E-3</v>
      </c>
      <c r="D187" s="207">
        <f t="shared" si="8"/>
        <v>-2.4822966677681369E-3</v>
      </c>
      <c r="E187" s="206" t="s">
        <v>823</v>
      </c>
      <c r="F187" s="12">
        <v>72.06</v>
      </c>
      <c r="G187" s="140">
        <f t="shared" si="10"/>
        <v>-2.3589973426508135E-2</v>
      </c>
      <c r="H187" s="206" t="s">
        <v>823</v>
      </c>
      <c r="I187" s="218">
        <v>41010</v>
      </c>
      <c r="J187" s="140">
        <f t="shared" si="11"/>
        <v>5.1076360583450428E-3</v>
      </c>
    </row>
    <row r="188" spans="1:10" ht="12.9" customHeight="1" x14ac:dyDescent="0.3">
      <c r="A188" s="139" t="s">
        <v>835</v>
      </c>
      <c r="B188" s="219" t="s">
        <v>552</v>
      </c>
      <c r="C188" s="204">
        <f t="shared" si="9"/>
        <v>2.687562490474298E-3</v>
      </c>
      <c r="D188" s="207">
        <f t="shared" si="8"/>
        <v>1.0615965328668764E-2</v>
      </c>
      <c r="E188" s="206" t="s">
        <v>824</v>
      </c>
      <c r="F188" s="12">
        <v>70.38</v>
      </c>
      <c r="G188" s="140">
        <f t="shared" si="10"/>
        <v>2.2479170757445759E-2</v>
      </c>
      <c r="H188" s="206" t="s">
        <v>824</v>
      </c>
      <c r="I188" s="218">
        <v>41220</v>
      </c>
      <c r="J188" s="140">
        <f t="shared" si="11"/>
        <v>-9.7087386266953555E-4</v>
      </c>
    </row>
    <row r="189" spans="1:10" ht="12.9" customHeight="1" x14ac:dyDescent="0.3">
      <c r="A189" s="139" t="s">
        <v>836</v>
      </c>
      <c r="B189" s="219" t="s">
        <v>553</v>
      </c>
      <c r="C189" s="204">
        <f t="shared" si="9"/>
        <v>8.1394312032874189E-3</v>
      </c>
      <c r="D189" s="207">
        <f t="shared" si="8"/>
        <v>7.2660374911932557E-2</v>
      </c>
      <c r="E189" s="206" t="s">
        <v>825</v>
      </c>
      <c r="F189" s="12">
        <v>71.98</v>
      </c>
      <c r="G189" s="140">
        <f t="shared" si="10"/>
        <v>7.1982592097442951E-3</v>
      </c>
      <c r="H189" s="206" t="s">
        <v>825</v>
      </c>
      <c r="I189" s="218">
        <v>41180</v>
      </c>
      <c r="J189" s="140">
        <f t="shared" si="11"/>
        <v>1.6984111810465531E-3</v>
      </c>
    </row>
    <row r="190" spans="1:10" ht="12.9" customHeight="1" x14ac:dyDescent="0.3">
      <c r="A190" s="139" t="s">
        <v>837</v>
      </c>
      <c r="B190" s="219" t="s">
        <v>554</v>
      </c>
      <c r="C190" s="204">
        <f t="shared" si="9"/>
        <v>-2.2453998649939843E-3</v>
      </c>
      <c r="D190" s="207">
        <f t="shared" si="8"/>
        <v>5.7375112327269807E-2</v>
      </c>
      <c r="E190" s="206" t="s">
        <v>826</v>
      </c>
      <c r="F190" s="12">
        <v>72.5</v>
      </c>
      <c r="G190" s="140">
        <f t="shared" si="10"/>
        <v>-7.6151285272521947E-3</v>
      </c>
      <c r="H190" s="206" t="s">
        <v>826</v>
      </c>
      <c r="I190" s="218">
        <v>41250</v>
      </c>
      <c r="J190" s="140">
        <f t="shared" si="11"/>
        <v>4.8367688006140212E-3</v>
      </c>
    </row>
    <row r="191" spans="1:10" ht="12.9" customHeight="1" x14ac:dyDescent="0.3">
      <c r="A191" s="139" t="s">
        <v>838</v>
      </c>
      <c r="B191" s="219" t="s">
        <v>555</v>
      </c>
      <c r="C191" s="204">
        <f t="shared" si="9"/>
        <v>9.9357989441243026E-4</v>
      </c>
      <c r="D191" s="207">
        <f t="shared" si="8"/>
        <v>2.0616695028251211E-2</v>
      </c>
      <c r="E191" s="206" t="s">
        <v>827</v>
      </c>
      <c r="F191" s="12">
        <v>71.95</v>
      </c>
      <c r="G191" s="140">
        <f t="shared" si="10"/>
        <v>-1.2869110323658286E-2</v>
      </c>
      <c r="H191" s="206" t="s">
        <v>827</v>
      </c>
      <c r="I191" s="218">
        <v>41450</v>
      </c>
      <c r="J191" s="140">
        <f t="shared" si="11"/>
        <v>-4.5943739381982315E-3</v>
      </c>
    </row>
    <row r="192" spans="1:10" ht="12.9" customHeight="1" x14ac:dyDescent="0.3">
      <c r="A192" s="139" t="s">
        <v>839</v>
      </c>
      <c r="B192" s="219" t="s">
        <v>556</v>
      </c>
      <c r="C192" s="204">
        <f t="shared" si="9"/>
        <v>-4.5826034055960196E-3</v>
      </c>
      <c r="D192" s="207">
        <f t="shared" si="8"/>
        <v>-2.5072179453141746E-2</v>
      </c>
      <c r="E192" s="206" t="s">
        <v>828</v>
      </c>
      <c r="F192" s="12">
        <v>71.03</v>
      </c>
      <c r="G192" s="140">
        <f t="shared" si="10"/>
        <v>-8.6250092828121898E-3</v>
      </c>
      <c r="H192" s="206" t="s">
        <v>828</v>
      </c>
      <c r="I192" s="218">
        <v>41260</v>
      </c>
      <c r="J192" s="140">
        <f t="shared" si="11"/>
        <v>-2.1836718612924431E-3</v>
      </c>
    </row>
    <row r="193" spans="1:10" ht="12.9" customHeight="1" x14ac:dyDescent="0.3">
      <c r="A193" s="139" t="s">
        <v>840</v>
      </c>
      <c r="B193" s="219" t="s">
        <v>557</v>
      </c>
      <c r="C193" s="204">
        <f t="shared" si="9"/>
        <v>-2.3805005185819333E-3</v>
      </c>
      <c r="D193" s="207">
        <f t="shared" si="8"/>
        <v>4.07436265187224E-3</v>
      </c>
      <c r="E193" s="206" t="s">
        <v>829</v>
      </c>
      <c r="F193" s="12">
        <v>70.42</v>
      </c>
      <c r="G193" s="140">
        <f t="shared" si="10"/>
        <v>5.3816869727675819E-3</v>
      </c>
      <c r="H193" s="206" t="s">
        <v>829</v>
      </c>
      <c r="I193" s="218">
        <v>41170</v>
      </c>
      <c r="J193" s="140">
        <f t="shared" si="11"/>
        <v>2.4260079826770933E-3</v>
      </c>
    </row>
    <row r="194" spans="1:10" ht="12.9" customHeight="1" x14ac:dyDescent="0.3">
      <c r="A194" s="139" t="s">
        <v>841</v>
      </c>
      <c r="B194" s="219" t="s">
        <v>558</v>
      </c>
      <c r="C194" s="204">
        <f t="shared" si="9"/>
        <v>-8.5520740504763473E-4</v>
      </c>
      <c r="D194" s="207">
        <f t="shared" si="8"/>
        <v>-4.7488597343886663E-2</v>
      </c>
      <c r="E194" s="206" t="s">
        <v>830</v>
      </c>
      <c r="F194" s="12">
        <v>70.8</v>
      </c>
      <c r="G194" s="140">
        <f t="shared" si="10"/>
        <v>-4.58073291128255E-2</v>
      </c>
      <c r="H194" s="206" t="s">
        <v>830</v>
      </c>
      <c r="I194" s="218">
        <v>41270</v>
      </c>
      <c r="J194" s="140">
        <f t="shared" si="11"/>
        <v>3.1450370667781883E-3</v>
      </c>
    </row>
    <row r="195" spans="1:10" ht="12.9" customHeight="1" x14ac:dyDescent="0.3">
      <c r="A195" s="139" t="s">
        <v>842</v>
      </c>
      <c r="B195" s="219" t="s">
        <v>559</v>
      </c>
      <c r="C195" s="204">
        <f t="shared" si="9"/>
        <v>8.5636887423634958E-4</v>
      </c>
      <c r="D195" s="207">
        <f t="shared" ref="D195:D256" si="12">IFERROR(VLOOKUP(A195,E:G,3,FALSE)," ")</f>
        <v>1.2578782206860185E-2</v>
      </c>
      <c r="E195" s="206" t="s">
        <v>831</v>
      </c>
      <c r="F195" s="12">
        <v>67.63</v>
      </c>
      <c r="G195" s="140">
        <f t="shared" si="10"/>
        <v>7.6594865556931079E-3</v>
      </c>
      <c r="H195" s="206" t="s">
        <v>831</v>
      </c>
      <c r="I195" s="218">
        <v>41400</v>
      </c>
      <c r="J195" s="140">
        <f t="shared" si="11"/>
        <v>2.6534812336786139E-3</v>
      </c>
    </row>
    <row r="196" spans="1:10" ht="12.9" customHeight="1" x14ac:dyDescent="0.3">
      <c r="A196" s="139" t="s">
        <v>843</v>
      </c>
      <c r="B196" s="219" t="s">
        <v>560</v>
      </c>
      <c r="C196" s="204">
        <f t="shared" ref="C196:C244" si="13">LN(B197/B196)</f>
        <v>-6.5558646580529721E-3</v>
      </c>
      <c r="D196" s="207">
        <f t="shared" si="12"/>
        <v>-7.0309527371698252E-2</v>
      </c>
      <c r="E196" s="206" t="s">
        <v>832</v>
      </c>
      <c r="F196" s="12">
        <v>68.150000000000006</v>
      </c>
      <c r="G196" s="140">
        <f t="shared" ref="G196:G255" si="14">LN(F197/F196)</f>
        <v>1.774333925466837E-2</v>
      </c>
      <c r="H196" s="206" t="s">
        <v>832</v>
      </c>
      <c r="I196" s="218">
        <v>41510</v>
      </c>
      <c r="J196" s="140">
        <f t="shared" ref="J196:J248" si="15">LN(I197/I196)</f>
        <v>2.6464589005409304E-3</v>
      </c>
    </row>
    <row r="197" spans="1:10" ht="12.9" customHeight="1" x14ac:dyDescent="0.3">
      <c r="A197" s="139" t="s">
        <v>844</v>
      </c>
      <c r="B197" s="219" t="s">
        <v>561</v>
      </c>
      <c r="C197" s="204">
        <f t="shared" si="13"/>
        <v>-9.4859632996630798E-4</v>
      </c>
      <c r="D197" s="207">
        <f t="shared" si="12"/>
        <v>6.3322522149042836E-3</v>
      </c>
      <c r="E197" s="206" t="s">
        <v>833</v>
      </c>
      <c r="F197" s="12">
        <v>69.37</v>
      </c>
      <c r="G197" s="140">
        <f t="shared" si="14"/>
        <v>-1.1599376100937054E-2</v>
      </c>
      <c r="H197" s="206" t="s">
        <v>833</v>
      </c>
      <c r="I197" s="218">
        <v>41620</v>
      </c>
      <c r="J197" s="140">
        <f t="shared" si="15"/>
        <v>2.6394736379729711E-3</v>
      </c>
    </row>
    <row r="198" spans="1:10" ht="12.9" customHeight="1" x14ac:dyDescent="0.3">
      <c r="A198" s="139" t="s">
        <v>845</v>
      </c>
      <c r="B198" s="219" t="s">
        <v>562</v>
      </c>
      <c r="C198" s="204">
        <f t="shared" si="13"/>
        <v>1.645142029202324E-3</v>
      </c>
      <c r="D198" s="207">
        <f t="shared" si="12"/>
        <v>-4.1237052356630582E-2</v>
      </c>
      <c r="E198" s="206" t="s">
        <v>834</v>
      </c>
      <c r="F198" s="12">
        <v>68.569999999999993</v>
      </c>
      <c r="G198" s="140">
        <f t="shared" si="14"/>
        <v>-2.4822966677681369E-3</v>
      </c>
      <c r="H198" s="206" t="s">
        <v>834</v>
      </c>
      <c r="I198" s="218">
        <v>41730</v>
      </c>
      <c r="J198" s="140">
        <f t="shared" si="15"/>
        <v>0</v>
      </c>
    </row>
    <row r="199" spans="1:10" ht="12.9" customHeight="1" x14ac:dyDescent="0.3">
      <c r="A199" s="139" t="s">
        <v>846</v>
      </c>
      <c r="B199" s="219" t="s">
        <v>563</v>
      </c>
      <c r="C199" s="204">
        <f t="shared" si="13"/>
        <v>-1.1280396161953803E-3</v>
      </c>
      <c r="D199" s="207">
        <f t="shared" si="12"/>
        <v>4.666772360607291E-3</v>
      </c>
      <c r="E199" s="206" t="s">
        <v>835</v>
      </c>
      <c r="F199" s="12">
        <v>68.400000000000006</v>
      </c>
      <c r="G199" s="140">
        <f t="shared" si="14"/>
        <v>1.0615965328668764E-2</v>
      </c>
      <c r="H199" s="206" t="s">
        <v>835</v>
      </c>
      <c r="I199" s="218">
        <v>41730</v>
      </c>
      <c r="J199" s="140">
        <f t="shared" si="15"/>
        <v>-1.9189259906095444E-3</v>
      </c>
    </row>
    <row r="200" spans="1:10" ht="12.9" customHeight="1" x14ac:dyDescent="0.3">
      <c r="A200" s="139" t="s">
        <v>847</v>
      </c>
      <c r="B200" s="219" t="s">
        <v>564</v>
      </c>
      <c r="C200" s="204">
        <f t="shared" si="13"/>
        <v>3.3849712418636863E-3</v>
      </c>
      <c r="D200" s="207">
        <f t="shared" si="12"/>
        <v>-1.0384005554464575E-2</v>
      </c>
      <c r="E200" s="206" t="s">
        <v>836</v>
      </c>
      <c r="F200" s="12">
        <v>69.13</v>
      </c>
      <c r="G200" s="140">
        <f t="shared" si="14"/>
        <v>7.2660374911932557E-2</v>
      </c>
      <c r="H200" s="206" t="s">
        <v>836</v>
      </c>
      <c r="I200" s="218">
        <v>41650</v>
      </c>
      <c r="J200" s="140">
        <f t="shared" si="15"/>
        <v>2.4006721997433248E-4</v>
      </c>
    </row>
    <row r="201" spans="1:10" ht="12.9" customHeight="1" x14ac:dyDescent="0.3">
      <c r="A201" s="139" t="s">
        <v>848</v>
      </c>
      <c r="B201" s="219" t="s">
        <v>565</v>
      </c>
      <c r="C201" s="204">
        <f t="shared" si="13"/>
        <v>-1.7836190376933013E-4</v>
      </c>
      <c r="D201" s="207">
        <f t="shared" si="12"/>
        <v>-1.3021788027160417E-2</v>
      </c>
      <c r="E201" s="206" t="s">
        <v>837</v>
      </c>
      <c r="F201" s="12">
        <v>74.34</v>
      </c>
      <c r="G201" s="140">
        <f t="shared" si="14"/>
        <v>5.7375112327269807E-2</v>
      </c>
      <c r="H201" s="206" t="s">
        <v>837</v>
      </c>
      <c r="I201" s="218">
        <v>41660</v>
      </c>
      <c r="J201" s="140">
        <f t="shared" si="15"/>
        <v>2.6369426762581001E-3</v>
      </c>
    </row>
    <row r="202" spans="1:10" ht="12.9" customHeight="1" x14ac:dyDescent="0.3">
      <c r="A202" s="139" t="s">
        <v>849</v>
      </c>
      <c r="B202" s="219" t="s">
        <v>566</v>
      </c>
      <c r="C202" s="204">
        <f t="shared" si="13"/>
        <v>2.1533698530486964E-3</v>
      </c>
      <c r="D202" s="207">
        <f t="shared" si="12"/>
        <v>-6.724974907673968E-3</v>
      </c>
      <c r="E202" s="206" t="s">
        <v>838</v>
      </c>
      <c r="F202" s="12">
        <v>78.73</v>
      </c>
      <c r="G202" s="140">
        <f t="shared" si="14"/>
        <v>2.0616695028251211E-2</v>
      </c>
      <c r="H202" s="206" t="s">
        <v>838</v>
      </c>
      <c r="I202" s="218">
        <v>41770</v>
      </c>
      <c r="J202" s="140">
        <f t="shared" si="15"/>
        <v>2.393776193356533E-4</v>
      </c>
    </row>
    <row r="203" spans="1:10" ht="12.9" customHeight="1" x14ac:dyDescent="0.3">
      <c r="A203" s="139" t="s">
        <v>850</v>
      </c>
      <c r="B203" s="219" t="s">
        <v>567</v>
      </c>
      <c r="C203" s="204">
        <f t="shared" si="13"/>
        <v>-5.8372950007621683E-3</v>
      </c>
      <c r="D203" s="207">
        <f t="shared" si="12"/>
        <v>1.1776241033552796E-2</v>
      </c>
      <c r="E203" s="206" t="s">
        <v>839</v>
      </c>
      <c r="F203" s="12">
        <v>80.37</v>
      </c>
      <c r="G203" s="140">
        <f t="shared" si="14"/>
        <v>-2.5072179453141746E-2</v>
      </c>
      <c r="H203" s="206" t="s">
        <v>839</v>
      </c>
      <c r="I203" s="218">
        <v>41780</v>
      </c>
      <c r="J203" s="140">
        <f t="shared" si="15"/>
        <v>-2.1564642357141499E-3</v>
      </c>
    </row>
    <row r="204" spans="1:10" ht="12.9" customHeight="1" x14ac:dyDescent="0.3">
      <c r="A204" s="139" t="s">
        <v>851</v>
      </c>
      <c r="B204" s="219" t="s">
        <v>568</v>
      </c>
      <c r="C204" s="204">
        <f t="shared" si="13"/>
        <v>-2.609821721859661E-4</v>
      </c>
      <c r="D204" s="207">
        <f t="shared" si="12"/>
        <v>-1.3877712836646976E-2</v>
      </c>
      <c r="E204" s="206" t="s">
        <v>840</v>
      </c>
      <c r="F204" s="12">
        <v>78.38</v>
      </c>
      <c r="G204" s="140">
        <f t="shared" si="14"/>
        <v>4.07436265187224E-3</v>
      </c>
      <c r="H204" s="206" t="s">
        <v>840</v>
      </c>
      <c r="I204" s="218">
        <v>41690</v>
      </c>
      <c r="J204" s="140">
        <f t="shared" si="15"/>
        <v>5.2631700442746909E-3</v>
      </c>
    </row>
    <row r="205" spans="1:10" ht="12.9" customHeight="1" x14ac:dyDescent="0.3">
      <c r="A205" s="139" t="s">
        <v>852</v>
      </c>
      <c r="B205" s="219" t="s">
        <v>569</v>
      </c>
      <c r="C205" s="204">
        <f t="shared" si="13"/>
        <v>4.9732876971965163E-4</v>
      </c>
      <c r="D205" s="207">
        <f t="shared" si="12"/>
        <v>-3.4082919970409714E-2</v>
      </c>
      <c r="E205" s="206" t="s">
        <v>841</v>
      </c>
      <c r="F205" s="12">
        <v>78.7</v>
      </c>
      <c r="G205" s="140">
        <f t="shared" si="14"/>
        <v>-4.7488597343886663E-2</v>
      </c>
      <c r="H205" s="206" t="s">
        <v>841</v>
      </c>
      <c r="I205" s="218">
        <v>41910</v>
      </c>
      <c r="J205" s="140">
        <f t="shared" si="15"/>
        <v>4.9982253287946228E-3</v>
      </c>
    </row>
    <row r="206" spans="1:10" ht="12.9" customHeight="1" x14ac:dyDescent="0.3">
      <c r="A206" s="139" t="s">
        <v>853</v>
      </c>
      <c r="B206" s="219" t="s">
        <v>570</v>
      </c>
      <c r="C206" s="204">
        <f t="shared" si="13"/>
        <v>2.3161226806339718E-4</v>
      </c>
      <c r="D206" s="207">
        <f t="shared" si="12"/>
        <v>4.343785917845313E-3</v>
      </c>
      <c r="E206" s="206" t="s">
        <v>842</v>
      </c>
      <c r="F206" s="12">
        <v>75.05</v>
      </c>
      <c r="G206" s="140">
        <f t="shared" si="14"/>
        <v>1.2578782206860185E-2</v>
      </c>
      <c r="H206" s="206" t="s">
        <v>842</v>
      </c>
      <c r="I206" s="218">
        <v>42120</v>
      </c>
      <c r="J206" s="140">
        <f t="shared" si="15"/>
        <v>1.186380492693711E-3</v>
      </c>
    </row>
    <row r="207" spans="1:10" ht="12.9" customHeight="1" x14ac:dyDescent="0.3">
      <c r="A207" s="139" t="s">
        <v>854</v>
      </c>
      <c r="B207" s="219" t="s">
        <v>571</v>
      </c>
      <c r="C207" s="204">
        <f t="shared" si="13"/>
        <v>2.2163178837799028E-3</v>
      </c>
      <c r="D207" s="207">
        <f t="shared" si="12"/>
        <v>1.7188882380511233E-2</v>
      </c>
      <c r="E207" s="206" t="s">
        <v>843</v>
      </c>
      <c r="F207" s="12">
        <v>76</v>
      </c>
      <c r="G207" s="140">
        <f t="shared" si="14"/>
        <v>-7.0309527371698252E-2</v>
      </c>
      <c r="H207" s="206" t="s">
        <v>843</v>
      </c>
      <c r="I207" s="218">
        <v>42170</v>
      </c>
      <c r="J207" s="140">
        <f t="shared" si="15"/>
        <v>-5.7075065757971645E-3</v>
      </c>
    </row>
    <row r="208" spans="1:10" ht="12.9" customHeight="1" x14ac:dyDescent="0.3">
      <c r="A208" s="139" t="s">
        <v>855</v>
      </c>
      <c r="B208" s="219" t="s">
        <v>572</v>
      </c>
      <c r="C208" s="204">
        <f t="shared" si="13"/>
        <v>-4.2722887659894489E-3</v>
      </c>
      <c r="D208" s="207">
        <f t="shared" si="12"/>
        <v>-2.1532668298356445E-2</v>
      </c>
      <c r="E208" s="206" t="s">
        <v>844</v>
      </c>
      <c r="F208" s="12">
        <v>70.84</v>
      </c>
      <c r="G208" s="140">
        <f t="shared" si="14"/>
        <v>6.3322522149042836E-3</v>
      </c>
      <c r="H208" s="206" t="s">
        <v>844</v>
      </c>
      <c r="I208" s="218">
        <v>41930</v>
      </c>
      <c r="J208" s="140">
        <f t="shared" si="15"/>
        <v>2.6199848260791431E-3</v>
      </c>
    </row>
    <row r="209" spans="1:10" ht="12.9" customHeight="1" x14ac:dyDescent="0.3">
      <c r="A209" s="139" t="s">
        <v>856</v>
      </c>
      <c r="B209" s="219" t="s">
        <v>573</v>
      </c>
      <c r="C209" s="204">
        <f t="shared" si="13"/>
        <v>-4.953529759682631E-3</v>
      </c>
      <c r="D209" s="207">
        <f t="shared" si="12"/>
        <v>1.6804527102410413E-2</v>
      </c>
      <c r="E209" s="206" t="s">
        <v>845</v>
      </c>
      <c r="F209" s="12">
        <v>71.290000000000006</v>
      </c>
      <c r="G209" s="140">
        <f t="shared" si="14"/>
        <v>-4.1237052356630582E-2</v>
      </c>
      <c r="H209" s="206" t="s">
        <v>845</v>
      </c>
      <c r="I209" s="218">
        <v>42040</v>
      </c>
      <c r="J209" s="140">
        <f t="shared" si="15"/>
        <v>-4.2908289908967518E-3</v>
      </c>
    </row>
    <row r="210" spans="1:10" ht="12.9" customHeight="1" x14ac:dyDescent="0.3">
      <c r="A210" s="139" t="s">
        <v>896</v>
      </c>
      <c r="B210" s="219" t="s">
        <v>574</v>
      </c>
      <c r="C210" s="204">
        <f t="shared" si="13"/>
        <v>9.1651309116455807E-3</v>
      </c>
      <c r="D210" s="207" t="str">
        <f t="shared" si="12"/>
        <v xml:space="preserve"> </v>
      </c>
      <c r="E210" s="206" t="s">
        <v>846</v>
      </c>
      <c r="F210" s="12">
        <v>68.41</v>
      </c>
      <c r="G210" s="140">
        <f t="shared" si="14"/>
        <v>4.666772360607291E-3</v>
      </c>
      <c r="H210" s="206" t="s">
        <v>846</v>
      </c>
      <c r="I210" s="218">
        <v>41860</v>
      </c>
      <c r="J210" s="140">
        <f t="shared" si="15"/>
        <v>2.3886301319833435E-4</v>
      </c>
    </row>
    <row r="211" spans="1:10" ht="12.9" customHeight="1" x14ac:dyDescent="0.3">
      <c r="A211" s="139" t="s">
        <v>857</v>
      </c>
      <c r="B211" s="219" t="s">
        <v>575</v>
      </c>
      <c r="C211" s="204">
        <f t="shared" si="13"/>
        <v>-1.960928505928238E-4</v>
      </c>
      <c r="D211" s="207">
        <f t="shared" si="12"/>
        <v>-8.2898847481572384E-3</v>
      </c>
      <c r="E211" s="206" t="s">
        <v>847</v>
      </c>
      <c r="F211" s="12">
        <v>68.73</v>
      </c>
      <c r="G211" s="140">
        <f t="shared" si="14"/>
        <v>-1.0384005554464575E-2</v>
      </c>
      <c r="H211" s="206" t="s">
        <v>847</v>
      </c>
      <c r="I211" s="218">
        <v>41870</v>
      </c>
      <c r="J211" s="140">
        <f t="shared" si="15"/>
        <v>7.3765950195766698E-3</v>
      </c>
    </row>
    <row r="212" spans="1:10" ht="12.9" customHeight="1" x14ac:dyDescent="0.3">
      <c r="A212" s="139" t="s">
        <v>858</v>
      </c>
      <c r="B212" s="219" t="s">
        <v>576</v>
      </c>
      <c r="C212" s="204">
        <f t="shared" si="13"/>
        <v>-1.2930741744923999E-3</v>
      </c>
      <c r="D212" s="207">
        <f t="shared" si="12"/>
        <v>1.5146009723254113E-2</v>
      </c>
      <c r="E212" s="206" t="s">
        <v>848</v>
      </c>
      <c r="F212" s="12">
        <v>68.02</v>
      </c>
      <c r="G212" s="140">
        <f t="shared" si="14"/>
        <v>-1.3021788027160417E-2</v>
      </c>
      <c r="H212" s="206" t="s">
        <v>848</v>
      </c>
      <c r="I212" s="218">
        <v>42180</v>
      </c>
      <c r="J212" s="140">
        <f t="shared" si="15"/>
        <v>-2.373606621174145E-3</v>
      </c>
    </row>
    <row r="213" spans="1:10" ht="12.9" customHeight="1" x14ac:dyDescent="0.3">
      <c r="A213" s="139" t="s">
        <v>859</v>
      </c>
      <c r="B213" s="219" t="s">
        <v>577</v>
      </c>
      <c r="C213" s="204">
        <f t="shared" si="13"/>
        <v>-1.1274011092809876E-3</v>
      </c>
      <c r="D213" s="207">
        <f t="shared" si="12"/>
        <v>1.6116020164332629E-2</v>
      </c>
      <c r="E213" s="206" t="s">
        <v>849</v>
      </c>
      <c r="F213" s="12">
        <v>67.14</v>
      </c>
      <c r="G213" s="140">
        <f t="shared" si="14"/>
        <v>-6.724974907673968E-3</v>
      </c>
      <c r="H213" s="206" t="s">
        <v>849</v>
      </c>
      <c r="I213" s="218">
        <v>42080</v>
      </c>
      <c r="J213" s="140">
        <f t="shared" si="15"/>
        <v>7.3399169350912606E-3</v>
      </c>
    </row>
    <row r="214" spans="1:10" ht="12.9" customHeight="1" x14ac:dyDescent="0.3">
      <c r="A214" s="139" t="s">
        <v>860</v>
      </c>
      <c r="B214" s="219" t="s">
        <v>578</v>
      </c>
      <c r="C214" s="204">
        <f t="shared" si="13"/>
        <v>3.8373973557632958E-4</v>
      </c>
      <c r="D214" s="207">
        <f t="shared" si="12"/>
        <v>-1.0211832246219367E-2</v>
      </c>
      <c r="E214" s="206" t="s">
        <v>850</v>
      </c>
      <c r="F214" s="12">
        <v>66.69</v>
      </c>
      <c r="G214" s="140">
        <f t="shared" si="14"/>
        <v>1.1776241033552796E-2</v>
      </c>
      <c r="H214" s="206" t="s">
        <v>850</v>
      </c>
      <c r="I214" s="218">
        <v>42390</v>
      </c>
      <c r="J214" s="140">
        <f t="shared" si="15"/>
        <v>2.8268570061530693E-3</v>
      </c>
    </row>
    <row r="215" spans="1:10" ht="12.9" customHeight="1" x14ac:dyDescent="0.3">
      <c r="A215" s="139" t="s">
        <v>861</v>
      </c>
      <c r="B215" s="219" t="s">
        <v>579</v>
      </c>
      <c r="C215" s="204">
        <f t="shared" si="13"/>
        <v>8.8274416383612433E-4</v>
      </c>
      <c r="D215" s="207">
        <f t="shared" si="12"/>
        <v>-1.5975995933724296E-2</v>
      </c>
      <c r="E215" s="206" t="s">
        <v>851</v>
      </c>
      <c r="F215" s="12">
        <v>67.48</v>
      </c>
      <c r="G215" s="140">
        <f t="shared" si="14"/>
        <v>-1.3877712836646976E-2</v>
      </c>
      <c r="H215" s="206" t="s">
        <v>851</v>
      </c>
      <c r="I215" s="218">
        <v>42510</v>
      </c>
      <c r="J215" s="140">
        <f t="shared" si="15"/>
        <v>4.9278522812406947E-3</v>
      </c>
    </row>
    <row r="216" spans="1:10" ht="12.9" customHeight="1" x14ac:dyDescent="0.3">
      <c r="A216" s="139" t="s">
        <v>862</v>
      </c>
      <c r="B216" s="219" t="s">
        <v>580</v>
      </c>
      <c r="C216" s="204">
        <f t="shared" si="13"/>
        <v>2.4071944848919283E-4</v>
      </c>
      <c r="D216" s="207">
        <f t="shared" si="12"/>
        <v>-1.2967146808424845E-2</v>
      </c>
      <c r="E216" s="206" t="s">
        <v>852</v>
      </c>
      <c r="F216" s="12">
        <v>66.55</v>
      </c>
      <c r="G216" s="140">
        <f t="shared" si="14"/>
        <v>-3.4082919970409714E-2</v>
      </c>
      <c r="H216" s="206" t="s">
        <v>852</v>
      </c>
      <c r="I216" s="218">
        <v>42720</v>
      </c>
      <c r="J216" s="140">
        <f t="shared" si="15"/>
        <v>2.5715969753402862E-3</v>
      </c>
    </row>
    <row r="217" spans="1:10" ht="12.9" customHeight="1" x14ac:dyDescent="0.3">
      <c r="A217" s="139" t="s">
        <v>863</v>
      </c>
      <c r="B217" s="219" t="s">
        <v>581</v>
      </c>
      <c r="C217" s="204">
        <f t="shared" si="13"/>
        <v>-3.3812185745730372E-3</v>
      </c>
      <c r="D217" s="207">
        <f t="shared" si="12"/>
        <v>2.3797852940445938E-2</v>
      </c>
      <c r="E217" s="206" t="s">
        <v>853</v>
      </c>
      <c r="F217" s="12">
        <v>64.319999999999993</v>
      </c>
      <c r="G217" s="140">
        <f t="shared" si="14"/>
        <v>4.343785917845313E-3</v>
      </c>
      <c r="H217" s="206" t="s">
        <v>853</v>
      </c>
      <c r="I217" s="218">
        <v>42830</v>
      </c>
      <c r="J217" s="140">
        <f t="shared" si="15"/>
        <v>-7.4994492565808391E-3</v>
      </c>
    </row>
    <row r="218" spans="1:10" ht="12.9" customHeight="1" x14ac:dyDescent="0.3">
      <c r="A218" s="139" t="s">
        <v>864</v>
      </c>
      <c r="B218" s="219" t="s">
        <v>582</v>
      </c>
      <c r="C218" s="204">
        <f t="shared" si="13"/>
        <v>-4.8111875726830778E-3</v>
      </c>
      <c r="D218" s="207">
        <f t="shared" si="12"/>
        <v>1.5357122047922568E-2</v>
      </c>
      <c r="E218" s="206" t="s">
        <v>854</v>
      </c>
      <c r="F218" s="12">
        <v>64.599999999999994</v>
      </c>
      <c r="G218" s="140">
        <f t="shared" si="14"/>
        <v>1.7188882380511233E-2</v>
      </c>
      <c r="H218" s="206" t="s">
        <v>854</v>
      </c>
      <c r="I218" s="218">
        <v>42510</v>
      </c>
      <c r="J218" s="140">
        <f t="shared" si="15"/>
        <v>0</v>
      </c>
    </row>
    <row r="219" spans="1:10" ht="12.9" customHeight="1" x14ac:dyDescent="0.3">
      <c r="A219" s="139" t="s">
        <v>865</v>
      </c>
      <c r="B219" s="219" t="s">
        <v>583</v>
      </c>
      <c r="C219" s="204">
        <f t="shared" si="13"/>
        <v>8.8546698166330207E-3</v>
      </c>
      <c r="D219" s="207">
        <f t="shared" si="12"/>
        <v>-2.4961586456699339E-2</v>
      </c>
      <c r="E219" s="206" t="s">
        <v>855</v>
      </c>
      <c r="F219" s="12">
        <v>65.72</v>
      </c>
      <c r="G219" s="140">
        <f t="shared" si="14"/>
        <v>-2.1532668298356445E-2</v>
      </c>
      <c r="H219" s="206" t="s">
        <v>855</v>
      </c>
      <c r="I219" s="218">
        <v>42510</v>
      </c>
      <c r="J219" s="140">
        <f t="shared" si="15"/>
        <v>7.0546740139231672E-4</v>
      </c>
    </row>
    <row r="220" spans="1:10" ht="12.9" customHeight="1" x14ac:dyDescent="0.3">
      <c r="A220" s="139" t="s">
        <v>867</v>
      </c>
      <c r="B220" s="219" t="s">
        <v>584</v>
      </c>
      <c r="C220" s="204">
        <f t="shared" si="13"/>
        <v>-9.1445026934859081E-3</v>
      </c>
      <c r="D220" s="207">
        <f t="shared" si="12"/>
        <v>-3.2260862218221553E-2</v>
      </c>
      <c r="E220" s="206" t="s">
        <v>856</v>
      </c>
      <c r="F220" s="12">
        <v>64.319999999999993</v>
      </c>
      <c r="G220" s="140">
        <f t="shared" si="14"/>
        <v>1.6804527102410413E-2</v>
      </c>
      <c r="H220" s="206" t="s">
        <v>856</v>
      </c>
      <c r="I220" s="218">
        <v>42540</v>
      </c>
      <c r="J220" s="140">
        <f t="shared" si="15"/>
        <v>-3.5323244075453628E-3</v>
      </c>
    </row>
    <row r="221" spans="1:10" ht="12.9" customHeight="1" x14ac:dyDescent="0.3">
      <c r="A221" s="139" t="s">
        <v>868</v>
      </c>
      <c r="B221" s="219" t="s">
        <v>585</v>
      </c>
      <c r="C221" s="204">
        <f t="shared" si="13"/>
        <v>-3.4550014095507901E-3</v>
      </c>
      <c r="D221" s="207">
        <f t="shared" si="12"/>
        <v>-3.1178564006595497E-2</v>
      </c>
      <c r="E221" s="206" t="s">
        <v>857</v>
      </c>
      <c r="F221" s="12">
        <v>65.41</v>
      </c>
      <c r="G221" s="140">
        <f t="shared" si="14"/>
        <v>-8.2898847481572384E-3</v>
      </c>
      <c r="H221" s="206" t="s">
        <v>857</v>
      </c>
      <c r="I221" s="218">
        <v>42390</v>
      </c>
      <c r="J221" s="140">
        <f t="shared" si="15"/>
        <v>3.7673696548374018E-3</v>
      </c>
    </row>
    <row r="222" spans="1:10" ht="12.9" customHeight="1" x14ac:dyDescent="0.3">
      <c r="A222" s="139" t="s">
        <v>869</v>
      </c>
      <c r="B222" s="219" t="s">
        <v>586</v>
      </c>
      <c r="C222" s="204">
        <f t="shared" si="13"/>
        <v>-3.2995279845645709E-4</v>
      </c>
      <c r="D222" s="207">
        <f t="shared" si="12"/>
        <v>3.35864630751357E-2</v>
      </c>
      <c r="E222" s="206" t="s">
        <v>858</v>
      </c>
      <c r="F222" s="12">
        <v>64.87</v>
      </c>
      <c r="G222" s="140">
        <f t="shared" si="14"/>
        <v>1.5146009723254113E-2</v>
      </c>
      <c r="H222" s="206" t="s">
        <v>858</v>
      </c>
      <c r="I222" s="218">
        <v>42550</v>
      </c>
      <c r="J222" s="140">
        <f t="shared" si="15"/>
        <v>2.3499001400577107E-4</v>
      </c>
    </row>
    <row r="223" spans="1:10" ht="12.9" customHeight="1" x14ac:dyDescent="0.3">
      <c r="A223" s="139" t="s">
        <v>870</v>
      </c>
      <c r="B223" s="219" t="s">
        <v>587</v>
      </c>
      <c r="C223" s="204">
        <f t="shared" si="13"/>
        <v>-3.6343100960092955E-3</v>
      </c>
      <c r="D223" s="207">
        <f t="shared" si="12"/>
        <v>-1.2909651614912473E-2</v>
      </c>
      <c r="E223" s="206" t="s">
        <v>859</v>
      </c>
      <c r="F223" s="12">
        <v>65.86</v>
      </c>
      <c r="G223" s="140">
        <f t="shared" si="14"/>
        <v>1.6116020164332629E-2</v>
      </c>
      <c r="H223" s="206" t="s">
        <v>859</v>
      </c>
      <c r="I223" s="218">
        <v>42560</v>
      </c>
      <c r="J223" s="140">
        <f t="shared" si="15"/>
        <v>7.2574355764967076E-3</v>
      </c>
    </row>
    <row r="224" spans="1:10" ht="12.9" customHeight="1" x14ac:dyDescent="0.3">
      <c r="A224" s="139" t="s">
        <v>897</v>
      </c>
      <c r="B224" s="219" t="s">
        <v>588</v>
      </c>
      <c r="C224" s="204">
        <f t="shared" si="13"/>
        <v>-4.522485350070298E-3</v>
      </c>
      <c r="D224" s="207" t="str">
        <f t="shared" si="12"/>
        <v xml:space="preserve"> </v>
      </c>
      <c r="E224" s="206" t="s">
        <v>860</v>
      </c>
      <c r="F224" s="12">
        <v>66.930000000000007</v>
      </c>
      <c r="G224" s="140">
        <f t="shared" si="14"/>
        <v>-1.0211832246219367E-2</v>
      </c>
      <c r="H224" s="206" t="s">
        <v>860</v>
      </c>
      <c r="I224" s="218">
        <v>42870</v>
      </c>
      <c r="J224" s="140">
        <f t="shared" si="15"/>
        <v>-6.5527966747636153E-3</v>
      </c>
    </row>
    <row r="225" spans="1:10" ht="12.9" customHeight="1" x14ac:dyDescent="0.3">
      <c r="A225" s="139" t="s">
        <v>871</v>
      </c>
      <c r="B225" s="219" t="s">
        <v>589</v>
      </c>
      <c r="C225" s="204">
        <f t="shared" si="13"/>
        <v>1.4169888080119744E-2</v>
      </c>
      <c r="D225" s="207">
        <f t="shared" si="12"/>
        <v>1.2909651614912542E-2</v>
      </c>
      <c r="E225" s="206" t="s">
        <v>861</v>
      </c>
      <c r="F225" s="12">
        <v>66.25</v>
      </c>
      <c r="G225" s="140">
        <f t="shared" si="14"/>
        <v>-1.5975995933724296E-2</v>
      </c>
      <c r="H225" s="206" t="s">
        <v>861</v>
      </c>
      <c r="I225" s="218">
        <v>42590</v>
      </c>
      <c r="J225" s="140">
        <f t="shared" si="15"/>
        <v>2.3476934020255231E-4</v>
      </c>
    </row>
    <row r="226" spans="1:10" ht="12.9" customHeight="1" x14ac:dyDescent="0.3">
      <c r="A226" s="139" t="s">
        <v>873</v>
      </c>
      <c r="B226" s="219" t="s">
        <v>590</v>
      </c>
      <c r="C226" s="204">
        <f t="shared" si="13"/>
        <v>1.7268321041370232E-3</v>
      </c>
      <c r="D226" s="207">
        <f t="shared" si="12"/>
        <v>1.0517324793088506E-2</v>
      </c>
      <c r="E226" s="206" t="s">
        <v>862</v>
      </c>
      <c r="F226" s="12">
        <v>65.2</v>
      </c>
      <c r="G226" s="140">
        <f t="shared" si="14"/>
        <v>-1.2967146808424845E-2</v>
      </c>
      <c r="H226" s="206" t="s">
        <v>862</v>
      </c>
      <c r="I226" s="218">
        <v>42600</v>
      </c>
      <c r="J226" s="140">
        <f t="shared" si="15"/>
        <v>-2.3501773449536266E-3</v>
      </c>
    </row>
    <row r="227" spans="1:10" ht="12.9" customHeight="1" x14ac:dyDescent="0.3">
      <c r="A227" s="139" t="s">
        <v>874</v>
      </c>
      <c r="B227" s="219" t="s">
        <v>591</v>
      </c>
      <c r="C227" s="204">
        <f t="shared" si="13"/>
        <v>-2.9342981307842112E-5</v>
      </c>
      <c r="D227" s="207">
        <f t="shared" si="12"/>
        <v>3.2114613558056906E-2</v>
      </c>
      <c r="E227" s="206" t="s">
        <v>863</v>
      </c>
      <c r="F227" s="12">
        <v>64.36</v>
      </c>
      <c r="G227" s="140">
        <f t="shared" si="14"/>
        <v>2.3797852940445938E-2</v>
      </c>
      <c r="H227" s="206" t="s">
        <v>863</v>
      </c>
      <c r="I227" s="218">
        <v>42500</v>
      </c>
      <c r="J227" s="140">
        <f t="shared" si="15"/>
        <v>7.2676442264836662E-3</v>
      </c>
    </row>
    <row r="228" spans="1:10" ht="12.9" customHeight="1" x14ac:dyDescent="0.3">
      <c r="A228" s="139" t="s">
        <v>875</v>
      </c>
      <c r="B228" s="219" t="s">
        <v>592</v>
      </c>
      <c r="C228" s="204">
        <f t="shared" si="13"/>
        <v>4.4596295412693016E-3</v>
      </c>
      <c r="D228" s="207">
        <f t="shared" si="12"/>
        <v>1.2920852833605218E-2</v>
      </c>
      <c r="E228" s="206" t="s">
        <v>864</v>
      </c>
      <c r="F228" s="12">
        <v>65.91</v>
      </c>
      <c r="G228" s="140">
        <f t="shared" si="14"/>
        <v>1.5357122047922568E-2</v>
      </c>
      <c r="H228" s="206" t="s">
        <v>864</v>
      </c>
      <c r="I228" s="218">
        <v>42810</v>
      </c>
      <c r="J228" s="140">
        <f t="shared" si="15"/>
        <v>2.566197605643038E-3</v>
      </c>
    </row>
    <row r="229" spans="1:10" ht="12.9" customHeight="1" x14ac:dyDescent="0.3">
      <c r="A229" s="139" t="s">
        <v>876</v>
      </c>
      <c r="B229" s="219" t="s">
        <v>593</v>
      </c>
      <c r="C229" s="204">
        <f t="shared" si="13"/>
        <v>-8.2180271658374748E-4</v>
      </c>
      <c r="D229" s="207">
        <f t="shared" si="12"/>
        <v>7.5842433583081211E-3</v>
      </c>
      <c r="E229" s="206" t="s">
        <v>865</v>
      </c>
      <c r="F229" s="12">
        <v>66.930000000000007</v>
      </c>
      <c r="G229" s="140">
        <f t="shared" si="14"/>
        <v>-2.4961586456699339E-2</v>
      </c>
      <c r="H229" s="206" t="s">
        <v>865</v>
      </c>
      <c r="I229" s="218">
        <v>42920</v>
      </c>
      <c r="J229" s="140">
        <f t="shared" si="15"/>
        <v>-4.2026678714962027E-3</v>
      </c>
    </row>
    <row r="230" spans="1:10" ht="12.9" customHeight="1" x14ac:dyDescent="0.3">
      <c r="A230" s="139" t="s">
        <v>877</v>
      </c>
      <c r="B230" s="219" t="s">
        <v>594</v>
      </c>
      <c r="C230" s="204">
        <f t="shared" si="13"/>
        <v>-8.3418306672321024E-4</v>
      </c>
      <c r="D230" s="207">
        <f t="shared" si="12"/>
        <v>1.1196345600076886E-2</v>
      </c>
      <c r="E230" s="206" t="s">
        <v>866</v>
      </c>
      <c r="F230" s="12">
        <v>65.28</v>
      </c>
      <c r="G230" s="140">
        <f t="shared" si="14"/>
        <v>-1.5748356968139057E-2</v>
      </c>
      <c r="H230" s="206" t="s">
        <v>866</v>
      </c>
      <c r="I230" s="218">
        <v>42740</v>
      </c>
      <c r="J230" s="140">
        <f t="shared" si="15"/>
        <v>-1.8735368477970193E-3</v>
      </c>
    </row>
    <row r="231" spans="1:10" ht="12.9" customHeight="1" x14ac:dyDescent="0.3">
      <c r="A231" s="139" t="s">
        <v>878</v>
      </c>
      <c r="B231" s="219" t="s">
        <v>595</v>
      </c>
      <c r="C231" s="204">
        <f t="shared" si="13"/>
        <v>-3.951042301796129E-3</v>
      </c>
      <c r="D231" s="207">
        <f t="shared" si="12"/>
        <v>9.7675534189995989E-3</v>
      </c>
      <c r="E231" s="206" t="s">
        <v>867</v>
      </c>
      <c r="F231" s="12">
        <v>64.260000000000005</v>
      </c>
      <c r="G231" s="140">
        <f t="shared" si="14"/>
        <v>-3.2260862218221553E-2</v>
      </c>
      <c r="H231" s="206" t="s">
        <v>867</v>
      </c>
      <c r="I231" s="218">
        <v>42660</v>
      </c>
      <c r="J231" s="140">
        <f t="shared" si="15"/>
        <v>9.564986022814647E-3</v>
      </c>
    </row>
    <row r="232" spans="1:10" ht="12.9" customHeight="1" x14ac:dyDescent="0.3">
      <c r="A232" s="139" t="s">
        <v>879</v>
      </c>
      <c r="B232" s="219" t="s">
        <v>596</v>
      </c>
      <c r="C232" s="204">
        <f t="shared" si="13"/>
        <v>7.2711257883751516E-4</v>
      </c>
      <c r="D232" s="207">
        <f t="shared" si="12"/>
        <v>5.7862160568385194E-3</v>
      </c>
      <c r="E232" s="206" t="s">
        <v>868</v>
      </c>
      <c r="F232" s="12">
        <v>62.22</v>
      </c>
      <c r="G232" s="140">
        <f t="shared" si="14"/>
        <v>-3.1178564006595497E-2</v>
      </c>
      <c r="H232" s="206" t="s">
        <v>868</v>
      </c>
      <c r="I232" s="218">
        <v>43070</v>
      </c>
      <c r="J232" s="140">
        <f t="shared" si="15"/>
        <v>-2.3245012791154318E-3</v>
      </c>
    </row>
    <row r="233" spans="1:10" ht="12.9" customHeight="1" x14ac:dyDescent="0.3">
      <c r="A233" s="139" t="s">
        <v>898</v>
      </c>
      <c r="B233" s="219" t="s">
        <v>597</v>
      </c>
      <c r="C233" s="204">
        <f t="shared" si="13"/>
        <v>4.780586909071711E-3</v>
      </c>
      <c r="D233" s="207" t="str">
        <f t="shared" si="12"/>
        <v xml:space="preserve"> </v>
      </c>
      <c r="E233" s="206" t="s">
        <v>869</v>
      </c>
      <c r="F233" s="12">
        <v>60.31</v>
      </c>
      <c r="G233" s="140">
        <f t="shared" si="14"/>
        <v>3.35864630751357E-2</v>
      </c>
      <c r="H233" s="206" t="s">
        <v>869</v>
      </c>
      <c r="I233" s="218">
        <v>42970</v>
      </c>
      <c r="J233" s="140">
        <f t="shared" si="15"/>
        <v>6.4950355909845735E-3</v>
      </c>
    </row>
    <row r="234" spans="1:10" ht="12.9" customHeight="1" x14ac:dyDescent="0.3">
      <c r="A234" s="139" t="s">
        <v>880</v>
      </c>
      <c r="B234" s="219" t="s">
        <v>598</v>
      </c>
      <c r="C234" s="204">
        <f t="shared" si="13"/>
        <v>8.8893203771819233E-4</v>
      </c>
      <c r="D234" s="207">
        <f t="shared" si="12"/>
        <v>-2.0252750221961203E-2</v>
      </c>
      <c r="E234" s="206" t="s">
        <v>870</v>
      </c>
      <c r="F234" s="12">
        <v>62.37</v>
      </c>
      <c r="G234" s="140">
        <f t="shared" si="14"/>
        <v>-1.2909651614912473E-2</v>
      </c>
      <c r="H234" s="206" t="s">
        <v>870</v>
      </c>
      <c r="I234" s="218">
        <v>43250</v>
      </c>
      <c r="J234" s="140">
        <f t="shared" si="15"/>
        <v>1.0579675497334932E-2</v>
      </c>
    </row>
    <row r="235" spans="1:10" ht="12.9" customHeight="1" x14ac:dyDescent="0.3">
      <c r="A235" s="139" t="s">
        <v>881</v>
      </c>
      <c r="B235" s="219" t="s">
        <v>599</v>
      </c>
      <c r="C235" s="204">
        <f t="shared" si="13"/>
        <v>5.1477528744647665E-4</v>
      </c>
      <c r="D235" s="207">
        <f t="shared" si="12"/>
        <v>-2.0220730585559014E-2</v>
      </c>
      <c r="E235" s="206" t="s">
        <v>871</v>
      </c>
      <c r="F235" s="12">
        <v>61.57</v>
      </c>
      <c r="G235" s="140">
        <f t="shared" si="14"/>
        <v>1.2909651614912542E-2</v>
      </c>
      <c r="H235" s="206" t="s">
        <v>871</v>
      </c>
      <c r="I235" s="218">
        <v>43710</v>
      </c>
      <c r="J235" s="140">
        <f t="shared" si="15"/>
        <v>-4.5861121426344189E-3</v>
      </c>
    </row>
    <row r="236" spans="1:10" ht="12.9" customHeight="1" x14ac:dyDescent="0.3">
      <c r="A236" s="139" t="s">
        <v>882</v>
      </c>
      <c r="B236" s="219" t="s">
        <v>600</v>
      </c>
      <c r="C236" s="204">
        <f t="shared" si="13"/>
        <v>5.279507777904432E-3</v>
      </c>
      <c r="D236" s="207">
        <f t="shared" si="12"/>
        <v>8.9713520372678851E-3</v>
      </c>
      <c r="E236" s="206" t="s">
        <v>872</v>
      </c>
      <c r="F236" s="12">
        <v>62.37</v>
      </c>
      <c r="G236" s="140">
        <f t="shared" si="14"/>
        <v>1.5906172797394313E-2</v>
      </c>
      <c r="H236" s="206" t="s">
        <v>872</v>
      </c>
      <c r="I236" s="218">
        <v>43510</v>
      </c>
      <c r="J236" s="140">
        <f t="shared" si="15"/>
        <v>7.0995374347316755E-3</v>
      </c>
    </row>
    <row r="237" spans="1:10" ht="12.9" customHeight="1" x14ac:dyDescent="0.3">
      <c r="A237" s="139" t="s">
        <v>884</v>
      </c>
      <c r="B237" s="219" t="s">
        <v>601</v>
      </c>
      <c r="C237" s="204">
        <f t="shared" si="13"/>
        <v>5.4757802316191531E-3</v>
      </c>
      <c r="D237" s="207">
        <f t="shared" si="12"/>
        <v>-2.208864389834048E-2</v>
      </c>
      <c r="E237" s="206" t="s">
        <v>873</v>
      </c>
      <c r="F237" s="12">
        <v>63.37</v>
      </c>
      <c r="G237" s="140">
        <f t="shared" si="14"/>
        <v>1.0517324793088506E-2</v>
      </c>
      <c r="H237" s="206" t="s">
        <v>873</v>
      </c>
      <c r="I237" s="218">
        <v>43820</v>
      </c>
      <c r="J237" s="140">
        <f t="shared" si="15"/>
        <v>-1.8192787316812165E-2</v>
      </c>
    </row>
    <row r="238" spans="1:10" ht="12.9" customHeight="1" x14ac:dyDescent="0.3">
      <c r="A238" s="139" t="s">
        <v>886</v>
      </c>
      <c r="B238" s="219" t="s">
        <v>602</v>
      </c>
      <c r="C238" s="204">
        <f t="shared" si="13"/>
        <v>-8.2144792952689762E-3</v>
      </c>
      <c r="D238" s="207">
        <f t="shared" si="12"/>
        <v>-3.6929135771510191E-2</v>
      </c>
      <c r="E238" s="206" t="s">
        <v>874</v>
      </c>
      <c r="F238" s="12">
        <v>64.040000000000006</v>
      </c>
      <c r="G238" s="140">
        <f t="shared" si="14"/>
        <v>3.2114613558056906E-2</v>
      </c>
      <c r="H238" s="206" t="s">
        <v>874</v>
      </c>
      <c r="I238" s="218">
        <v>43030</v>
      </c>
      <c r="J238" s="140">
        <f t="shared" si="15"/>
        <v>9.713304860892712E-3</v>
      </c>
    </row>
    <row r="239" spans="1:10" ht="12.9" customHeight="1" x14ac:dyDescent="0.3">
      <c r="A239" s="139" t="s">
        <v>887</v>
      </c>
      <c r="B239" s="219" t="s">
        <v>603</v>
      </c>
      <c r="C239" s="204">
        <f t="shared" si="13"/>
        <v>-1.1623764100137713E-3</v>
      </c>
      <c r="D239" s="207">
        <f t="shared" si="12"/>
        <v>1.9391400807399106E-2</v>
      </c>
      <c r="E239" s="206" t="s">
        <v>875</v>
      </c>
      <c r="F239" s="12">
        <v>66.13</v>
      </c>
      <c r="G239" s="140">
        <f t="shared" si="14"/>
        <v>1.2920852833605218E-2</v>
      </c>
      <c r="H239" s="206" t="s">
        <v>875</v>
      </c>
      <c r="I239" s="218">
        <v>43450</v>
      </c>
      <c r="J239" s="140">
        <f t="shared" si="15"/>
        <v>4.8214994103966966E-3</v>
      </c>
    </row>
    <row r="240" spans="1:10" ht="12.9" customHeight="1" x14ac:dyDescent="0.3">
      <c r="A240" s="139" t="s">
        <v>888</v>
      </c>
      <c r="B240" s="219" t="s">
        <v>604</v>
      </c>
      <c r="C240" s="204">
        <f t="shared" si="13"/>
        <v>-6.7892082890719536E-3</v>
      </c>
      <c r="D240" s="207">
        <f t="shared" si="12"/>
        <v>3.3165356560819148E-2</v>
      </c>
      <c r="E240" s="206" t="s">
        <v>876</v>
      </c>
      <c r="F240" s="12">
        <v>66.989999999999995</v>
      </c>
      <c r="G240" s="140">
        <f t="shared" si="14"/>
        <v>7.5842433583081211E-3</v>
      </c>
      <c r="H240" s="206" t="s">
        <v>876</v>
      </c>
      <c r="I240" s="218">
        <v>43660</v>
      </c>
      <c r="J240" s="140">
        <f t="shared" si="15"/>
        <v>-3.2117485741106765E-3</v>
      </c>
    </row>
    <row r="241" spans="1:10" ht="12.9" customHeight="1" x14ac:dyDescent="0.3">
      <c r="A241" s="139" t="s">
        <v>889</v>
      </c>
      <c r="B241" s="219" t="s">
        <v>605</v>
      </c>
      <c r="C241" s="204">
        <f t="shared" si="13"/>
        <v>4.9006710520745084E-3</v>
      </c>
      <c r="D241" s="207">
        <f t="shared" si="12"/>
        <v>5.9350275607366297E-2</v>
      </c>
      <c r="E241" s="206" t="s">
        <v>877</v>
      </c>
      <c r="F241" s="12">
        <v>67.5</v>
      </c>
      <c r="G241" s="140">
        <f t="shared" si="14"/>
        <v>1.1196345600076886E-2</v>
      </c>
      <c r="H241" s="206" t="s">
        <v>877</v>
      </c>
      <c r="I241" s="218">
        <v>43520</v>
      </c>
      <c r="J241" s="140">
        <f t="shared" si="15"/>
        <v>1.2104749834501353E-2</v>
      </c>
    </row>
    <row r="242" spans="1:10" ht="12.9" customHeight="1" x14ac:dyDescent="0.3">
      <c r="A242" s="139" t="s">
        <v>890</v>
      </c>
      <c r="B242" s="219" t="s">
        <v>606</v>
      </c>
      <c r="C242" s="204">
        <f t="shared" si="13"/>
        <v>-5.1854257999304479E-4</v>
      </c>
      <c r="D242" s="207">
        <f t="shared" si="12"/>
        <v>6.3167648090735995E-2</v>
      </c>
      <c r="E242" s="206" t="s">
        <v>878</v>
      </c>
      <c r="F242" s="12">
        <v>68.260000000000005</v>
      </c>
      <c r="G242" s="140">
        <f t="shared" si="14"/>
        <v>9.7675534189995989E-3</v>
      </c>
      <c r="H242" s="206" t="s">
        <v>878</v>
      </c>
      <c r="I242" s="218">
        <v>44050</v>
      </c>
      <c r="J242" s="140">
        <f t="shared" si="15"/>
        <v>-6.3767011793845673E-3</v>
      </c>
    </row>
    <row r="243" spans="1:10" ht="12.9" customHeight="1" x14ac:dyDescent="0.3">
      <c r="A243" s="139" t="s">
        <v>891</v>
      </c>
      <c r="B243" s="219" t="s">
        <v>607</v>
      </c>
      <c r="C243" s="204">
        <f t="shared" si="13"/>
        <v>-2.4535032059512112E-4</v>
      </c>
      <c r="D243" s="207">
        <f t="shared" si="12"/>
        <v>6.5785467821088796E-3</v>
      </c>
      <c r="E243" s="206" t="s">
        <v>879</v>
      </c>
      <c r="F243" s="12">
        <v>68.930000000000007</v>
      </c>
      <c r="G243" s="140">
        <f t="shared" si="14"/>
        <v>5.7862160568385194E-3</v>
      </c>
      <c r="H243" s="206" t="s">
        <v>886</v>
      </c>
      <c r="I243" s="218">
        <v>43770</v>
      </c>
      <c r="J243" s="140">
        <f t="shared" si="15"/>
        <v>-2.0583197661543586E-3</v>
      </c>
    </row>
    <row r="244" spans="1:10" ht="12.9" customHeight="1" x14ac:dyDescent="0.3">
      <c r="A244" s="143" t="s">
        <v>899</v>
      </c>
      <c r="B244" s="220" t="s">
        <v>608</v>
      </c>
      <c r="C244" s="205" t="e">
        <f t="shared" si="13"/>
        <v>#NUM!</v>
      </c>
      <c r="D244" s="207" t="str">
        <f t="shared" si="12"/>
        <v xml:space="preserve"> </v>
      </c>
      <c r="E244" s="206" t="s">
        <v>880</v>
      </c>
      <c r="F244" s="12">
        <v>69.33</v>
      </c>
      <c r="G244" s="140">
        <f t="shared" si="14"/>
        <v>-2.0252750221961203E-2</v>
      </c>
      <c r="H244" s="206" t="s">
        <v>887</v>
      </c>
      <c r="I244" s="218">
        <v>43680</v>
      </c>
      <c r="J244" s="140">
        <f t="shared" si="15"/>
        <v>-2.0625651863483679E-3</v>
      </c>
    </row>
    <row r="245" spans="1:10" ht="12.9" customHeight="1" x14ac:dyDescent="0.3">
      <c r="D245" s="207" t="str">
        <f t="shared" si="12"/>
        <v xml:space="preserve"> </v>
      </c>
      <c r="E245" s="206" t="s">
        <v>881</v>
      </c>
      <c r="F245" s="12">
        <v>67.94</v>
      </c>
      <c r="G245" s="140">
        <f t="shared" si="14"/>
        <v>-2.0220730585559014E-2</v>
      </c>
      <c r="H245" s="206" t="s">
        <v>888</v>
      </c>
      <c r="I245" s="218">
        <v>43590</v>
      </c>
      <c r="J245" s="140">
        <f t="shared" si="15"/>
        <v>2.1110760157042847E-2</v>
      </c>
    </row>
    <row r="246" spans="1:10" ht="12.9" customHeight="1" x14ac:dyDescent="0.3">
      <c r="D246" s="207" t="str">
        <f t="shared" si="12"/>
        <v xml:space="preserve"> </v>
      </c>
      <c r="E246" s="206" t="s">
        <v>882</v>
      </c>
      <c r="F246" s="12">
        <v>66.58</v>
      </c>
      <c r="G246" s="140">
        <f t="shared" si="14"/>
        <v>8.9713520372678851E-3</v>
      </c>
      <c r="H246" s="206" t="s">
        <v>889</v>
      </c>
      <c r="I246" s="218">
        <v>44520</v>
      </c>
      <c r="J246" s="140">
        <f t="shared" si="15"/>
        <v>2.2459292626701553E-4</v>
      </c>
    </row>
    <row r="247" spans="1:10" ht="12.9" customHeight="1" x14ac:dyDescent="0.3">
      <c r="D247" s="207" t="str">
        <f t="shared" si="12"/>
        <v xml:space="preserve"> </v>
      </c>
      <c r="E247" s="206" t="s">
        <v>883</v>
      </c>
      <c r="F247" s="12">
        <v>67.180000000000007</v>
      </c>
      <c r="G247" s="140">
        <f t="shared" si="14"/>
        <v>-5.2235026611680618E-3</v>
      </c>
      <c r="H247" s="206" t="s">
        <v>890</v>
      </c>
      <c r="I247" s="218">
        <v>44530</v>
      </c>
      <c r="J247" s="140">
        <f t="shared" si="15"/>
        <v>-2.0231545621817921E-3</v>
      </c>
    </row>
    <row r="248" spans="1:10" ht="12.9" customHeight="1" x14ac:dyDescent="0.3">
      <c r="D248" s="207" t="str">
        <f t="shared" si="12"/>
        <v xml:space="preserve"> </v>
      </c>
      <c r="E248" s="206" t="s">
        <v>884</v>
      </c>
      <c r="F248" s="12">
        <v>66.83</v>
      </c>
      <c r="G248" s="140">
        <f t="shared" si="14"/>
        <v>-2.208864389834048E-2</v>
      </c>
      <c r="H248" s="206" t="s">
        <v>891</v>
      </c>
      <c r="I248" s="218">
        <v>44440</v>
      </c>
      <c r="J248" s="140">
        <f t="shared" si="15"/>
        <v>-2.2527605832638612E-3</v>
      </c>
    </row>
    <row r="249" spans="1:10" ht="12.9" customHeight="1" x14ac:dyDescent="0.3">
      <c r="D249" s="207" t="str">
        <f t="shared" si="12"/>
        <v xml:space="preserve"> </v>
      </c>
      <c r="E249" s="206" t="s">
        <v>885</v>
      </c>
      <c r="F249" s="12">
        <v>65.37</v>
      </c>
      <c r="G249" s="140">
        <f t="shared" si="14"/>
        <v>2.9096799026043858E-2</v>
      </c>
      <c r="H249" s="293" t="s">
        <v>892</v>
      </c>
      <c r="I249" s="294">
        <v>44340</v>
      </c>
      <c r="J249" s="295"/>
    </row>
    <row r="250" spans="1:10" ht="12.9" customHeight="1" x14ac:dyDescent="0.3">
      <c r="D250" s="207" t="str">
        <f t="shared" si="12"/>
        <v xml:space="preserve"> </v>
      </c>
      <c r="E250" s="206" t="s">
        <v>886</v>
      </c>
      <c r="F250" s="12">
        <v>67.3</v>
      </c>
      <c r="G250" s="140">
        <f t="shared" si="14"/>
        <v>-3.6929135771510191E-2</v>
      </c>
      <c r="I250" s="204"/>
      <c r="J250" s="204"/>
    </row>
    <row r="251" spans="1:10" ht="12.9" customHeight="1" x14ac:dyDescent="0.3">
      <c r="D251" s="207" t="str">
        <f t="shared" si="12"/>
        <v xml:space="preserve"> </v>
      </c>
      <c r="E251" s="206" t="s">
        <v>887</v>
      </c>
      <c r="F251" s="12">
        <v>64.86</v>
      </c>
      <c r="G251" s="140">
        <f t="shared" si="14"/>
        <v>1.9391400807399106E-2</v>
      </c>
      <c r="I251" s="204"/>
      <c r="J251" s="204"/>
    </row>
    <row r="252" spans="1:10" ht="12.9" customHeight="1" x14ac:dyDescent="0.3">
      <c r="D252" s="207" t="str">
        <f t="shared" si="12"/>
        <v xml:space="preserve"> </v>
      </c>
      <c r="E252" s="206" t="s">
        <v>888</v>
      </c>
      <c r="F252" s="12">
        <v>66.13</v>
      </c>
      <c r="G252" s="140">
        <f t="shared" si="14"/>
        <v>3.3165356560819148E-2</v>
      </c>
      <c r="I252" s="204"/>
      <c r="J252" s="204"/>
    </row>
    <row r="253" spans="1:10" ht="12.9" customHeight="1" x14ac:dyDescent="0.3">
      <c r="D253" s="207" t="str">
        <f t="shared" si="12"/>
        <v xml:space="preserve"> </v>
      </c>
      <c r="E253" s="206" t="s">
        <v>889</v>
      </c>
      <c r="F253" s="12">
        <v>68.36</v>
      </c>
      <c r="G253" s="140">
        <f t="shared" si="14"/>
        <v>5.9350275607366297E-2</v>
      </c>
      <c r="I253" s="204"/>
      <c r="J253" s="204"/>
    </row>
    <row r="254" spans="1:10" ht="12.9" customHeight="1" x14ac:dyDescent="0.3">
      <c r="D254" s="207" t="str">
        <f t="shared" si="12"/>
        <v xml:space="preserve"> </v>
      </c>
      <c r="E254" s="206" t="s">
        <v>890</v>
      </c>
      <c r="F254" s="12">
        <v>72.540000000000006</v>
      </c>
      <c r="G254" s="140">
        <f t="shared" si="14"/>
        <v>6.3167648090735995E-2</v>
      </c>
      <c r="I254" s="204"/>
      <c r="J254" s="204"/>
    </row>
    <row r="255" spans="1:10" ht="12.9" customHeight="1" x14ac:dyDescent="0.3">
      <c r="D255" s="207" t="str">
        <f t="shared" si="12"/>
        <v xml:space="preserve"> </v>
      </c>
      <c r="E255" s="206" t="s">
        <v>891</v>
      </c>
      <c r="F255" s="12">
        <v>77.27</v>
      </c>
      <c r="G255" s="140">
        <f t="shared" si="14"/>
        <v>6.5785467821088796E-3</v>
      </c>
      <c r="I255" s="204"/>
      <c r="J255" s="204"/>
    </row>
    <row r="256" spans="1:10" ht="12.9" customHeight="1" x14ac:dyDescent="0.3">
      <c r="D256" s="208" t="str">
        <f t="shared" si="12"/>
        <v xml:space="preserve"> </v>
      </c>
      <c r="E256" s="209" t="s">
        <v>892</v>
      </c>
      <c r="F256" s="144">
        <v>77.78</v>
      </c>
      <c r="G256" s="126"/>
    </row>
    <row r="257" ht="12.9" customHeight="1" x14ac:dyDescent="0.3"/>
    <row r="258" ht="12.9" customHeight="1" x14ac:dyDescent="0.3"/>
    <row r="259" ht="12.9" customHeight="1" x14ac:dyDescent="0.3"/>
    <row r="260" ht="12.9" customHeight="1" x14ac:dyDescent="0.3"/>
    <row r="261" ht="12.9" customHeight="1" x14ac:dyDescent="0.3"/>
  </sheetData>
  <mergeCells count="3">
    <mergeCell ref="A1:C1"/>
    <mergeCell ref="E1:G1"/>
    <mergeCell ref="H1:J1"/>
  </mergeCells>
  <hyperlinks>
    <hyperlink ref="N4" r:id="rId1" xr:uid="{188A75DD-D890-46DB-AA46-17571628C5B2}"/>
    <hyperlink ref="N3" r:id="rId2" xr:uid="{72C52342-72B0-4327-8D78-C9E9AF5CEC34}"/>
    <hyperlink ref="N5" r:id="rId3" xr:uid="{55036E0C-A871-48E5-890F-BF5EE98037CD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FBC4-38FC-4271-86EA-D305145420C2}">
  <sheetPr>
    <tabColor rgb="FF8E1C2F"/>
  </sheetPr>
  <dimension ref="B1:AI233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defaultColWidth="10.5546875" defaultRowHeight="13.8" x14ac:dyDescent="0.3"/>
  <cols>
    <col min="1" max="1" width="2.6640625" style="12" customWidth="1"/>
    <col min="2" max="2" width="55.6640625" style="12" customWidth="1"/>
    <col min="3" max="4" width="10.6640625" style="12" customWidth="1"/>
    <col min="5" max="5" width="25.109375" style="12" customWidth="1"/>
    <col min="6" max="10" width="10.6640625" style="12" customWidth="1"/>
    <col min="11" max="11" width="10.5546875" style="12"/>
    <col min="12" max="13" width="10.5546875" style="12" customWidth="1"/>
    <col min="14" max="14" width="10.5546875" style="12"/>
    <col min="15" max="16" width="10.5546875" style="12" customWidth="1"/>
    <col min="17" max="17" width="10.5546875" style="12"/>
    <col min="18" max="19" width="10.5546875" style="12" customWidth="1"/>
    <col min="20" max="20" width="10.5546875" style="12"/>
    <col min="21" max="22" width="10.5546875" style="12" customWidth="1"/>
    <col min="23" max="23" width="10.5546875" style="12"/>
    <col min="24" max="25" width="10.5546875" style="12" customWidth="1"/>
    <col min="26" max="26" width="10.5546875" style="12"/>
    <col min="27" max="28" width="10.5546875" style="12" customWidth="1"/>
    <col min="29" max="29" width="10.5546875" style="12"/>
    <col min="30" max="31" width="10.5546875" style="12" customWidth="1"/>
    <col min="32" max="32" width="10.5546875" style="12"/>
    <col min="33" max="34" width="10.5546875" style="12" customWidth="1"/>
    <col min="35" max="16384" width="10.5546875" style="12"/>
  </cols>
  <sheetData>
    <row r="1" spans="2:35" x14ac:dyDescent="0.3">
      <c r="B1" s="1" t="s">
        <v>83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2:35" x14ac:dyDescent="0.3">
      <c r="B2" s="12" t="s">
        <v>963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</row>
    <row r="3" spans="2:35" x14ac:dyDescent="0.3">
      <c r="B3" s="12" t="s">
        <v>114</v>
      </c>
      <c r="C3" s="52"/>
      <c r="D3" s="52"/>
      <c r="E3" s="52"/>
      <c r="F3" s="54"/>
      <c r="G3" s="54"/>
      <c r="H3" s="54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</row>
    <row r="4" spans="2:35" x14ac:dyDescent="0.3">
      <c r="B4" s="7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6"/>
    </row>
    <row r="5" spans="2:35" s="360" customFormat="1" x14ac:dyDescent="0.3">
      <c r="B5" s="376" t="s">
        <v>645</v>
      </c>
      <c r="C5" s="377" t="s">
        <v>168</v>
      </c>
      <c r="D5" s="377" t="s">
        <v>169</v>
      </c>
      <c r="E5" s="377" t="s">
        <v>170</v>
      </c>
      <c r="F5" s="363"/>
      <c r="G5" s="363"/>
      <c r="H5" s="363"/>
      <c r="I5" s="363"/>
      <c r="J5" s="363"/>
      <c r="K5" s="363"/>
      <c r="L5" s="363"/>
      <c r="M5" s="363"/>
      <c r="N5" s="363"/>
      <c r="O5" s="363"/>
      <c r="P5" s="363"/>
      <c r="Q5" s="363"/>
      <c r="R5" s="363"/>
      <c r="S5" s="354"/>
    </row>
    <row r="6" spans="2:35" ht="12.9" customHeight="1" x14ac:dyDescent="0.3">
      <c r="B6" s="59"/>
      <c r="C6" s="285"/>
      <c r="D6" s="285"/>
      <c r="E6" s="58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6"/>
    </row>
    <row r="7" spans="2:35" ht="12.9" customHeight="1" x14ac:dyDescent="0.3">
      <c r="B7" s="56" t="s">
        <v>175</v>
      </c>
      <c r="C7" s="286"/>
      <c r="D7" s="287" t="s">
        <v>174</v>
      </c>
      <c r="E7" s="291" t="s">
        <v>171</v>
      </c>
    </row>
    <row r="8" spans="2:35" ht="12.9" customHeight="1" x14ac:dyDescent="0.3">
      <c r="B8" s="56" t="s">
        <v>172</v>
      </c>
      <c r="C8" s="284">
        <v>12000</v>
      </c>
      <c r="D8" s="284">
        <v>20000</v>
      </c>
      <c r="E8" s="291" t="s">
        <v>173</v>
      </c>
    </row>
    <row r="9" spans="2:35" ht="12.9" customHeight="1" x14ac:dyDescent="0.3">
      <c r="B9" s="56" t="s">
        <v>176</v>
      </c>
      <c r="C9" s="286">
        <v>50</v>
      </c>
      <c r="D9" s="286">
        <v>35</v>
      </c>
      <c r="E9" s="291" t="s">
        <v>173</v>
      </c>
    </row>
    <row r="10" spans="2:35" ht="12.9" customHeight="1" x14ac:dyDescent="0.3">
      <c r="B10" s="56"/>
      <c r="C10" s="286"/>
      <c r="D10" s="286"/>
      <c r="E10" s="291"/>
    </row>
    <row r="11" spans="2:35" ht="12.9" customHeight="1" x14ac:dyDescent="0.3">
      <c r="B11" s="56" t="s">
        <v>177</v>
      </c>
      <c r="C11" s="286"/>
      <c r="D11" s="286"/>
      <c r="E11" s="291"/>
    </row>
    <row r="12" spans="2:35" ht="12.9" customHeight="1" x14ac:dyDescent="0.3">
      <c r="B12" s="56" t="s">
        <v>119</v>
      </c>
      <c r="C12" s="288">
        <v>0.6</v>
      </c>
      <c r="D12" s="288">
        <v>0.6</v>
      </c>
      <c r="E12" s="291" t="s">
        <v>171</v>
      </c>
    </row>
    <row r="13" spans="2:35" ht="12.9" customHeight="1" x14ac:dyDescent="0.3">
      <c r="B13" s="56" t="s">
        <v>120</v>
      </c>
      <c r="C13" s="288">
        <v>0.4</v>
      </c>
      <c r="D13" s="288">
        <v>0.4</v>
      </c>
      <c r="E13" s="291" t="s">
        <v>171</v>
      </c>
    </row>
    <row r="14" spans="2:35" ht="12.9" customHeight="1" x14ac:dyDescent="0.3">
      <c r="B14" s="56"/>
      <c r="C14" s="286"/>
      <c r="D14" s="286"/>
      <c r="E14" s="291"/>
      <c r="Q14" s="23"/>
    </row>
    <row r="15" spans="2:35" ht="12.9" customHeight="1" x14ac:dyDescent="0.3">
      <c r="B15" s="56" t="s">
        <v>178</v>
      </c>
      <c r="C15" s="286"/>
      <c r="D15" s="286" t="s">
        <v>179</v>
      </c>
      <c r="E15" s="291" t="s">
        <v>180</v>
      </c>
    </row>
    <row r="16" spans="2:35" ht="12.9" customHeight="1" x14ac:dyDescent="0.3">
      <c r="B16" s="56" t="s">
        <v>181</v>
      </c>
      <c r="C16" s="286" t="s">
        <v>182</v>
      </c>
      <c r="D16" s="286" t="s">
        <v>183</v>
      </c>
      <c r="E16" s="291" t="s">
        <v>184</v>
      </c>
    </row>
    <row r="17" spans="2:5" ht="12.9" customHeight="1" x14ac:dyDescent="0.3">
      <c r="B17" s="56" t="s">
        <v>185</v>
      </c>
      <c r="C17" s="302">
        <v>0.5</v>
      </c>
      <c r="D17" s="286" t="s">
        <v>1043</v>
      </c>
      <c r="E17" s="291" t="s">
        <v>1044</v>
      </c>
    </row>
    <row r="18" spans="2:5" ht="12.9" customHeight="1" x14ac:dyDescent="0.3">
      <c r="B18" s="56"/>
      <c r="C18" s="286"/>
      <c r="D18" s="286"/>
      <c r="E18" s="291"/>
    </row>
    <row r="19" spans="2:5" ht="12.9" customHeight="1" x14ac:dyDescent="0.3">
      <c r="B19" s="56" t="s">
        <v>190</v>
      </c>
      <c r="C19" s="289">
        <v>0.25168000000000001</v>
      </c>
      <c r="D19" s="289">
        <v>0.25168000000000001</v>
      </c>
      <c r="E19" s="291" t="s">
        <v>186</v>
      </c>
    </row>
    <row r="20" spans="2:5" ht="12.9" customHeight="1" x14ac:dyDescent="0.3">
      <c r="B20" s="56"/>
      <c r="C20" s="286"/>
      <c r="D20" s="286"/>
      <c r="E20" s="291"/>
    </row>
    <row r="21" spans="2:5" ht="12.9" customHeight="1" x14ac:dyDescent="0.3">
      <c r="B21" s="57" t="s">
        <v>187</v>
      </c>
      <c r="C21" s="290" t="s">
        <v>188</v>
      </c>
      <c r="D21" s="290"/>
      <c r="E21" s="292" t="s">
        <v>189</v>
      </c>
    </row>
    <row r="22" spans="2:5" ht="12.9" customHeight="1" x14ac:dyDescent="0.3"/>
    <row r="23" spans="2:5" ht="12.9" customHeight="1" x14ac:dyDescent="0.3"/>
    <row r="24" spans="2:5" ht="12.9" customHeight="1" x14ac:dyDescent="0.3"/>
    <row r="25" spans="2:5" ht="12.9" customHeight="1" x14ac:dyDescent="0.3"/>
    <row r="26" spans="2:5" ht="12.9" customHeight="1" x14ac:dyDescent="0.3"/>
    <row r="27" spans="2:5" ht="12.9" customHeight="1" x14ac:dyDescent="0.3"/>
    <row r="28" spans="2:5" ht="12.9" customHeight="1" x14ac:dyDescent="0.3"/>
    <row r="29" spans="2:5" ht="12.9" customHeight="1" x14ac:dyDescent="0.3"/>
    <row r="30" spans="2:5" ht="12.9" customHeight="1" x14ac:dyDescent="0.3"/>
    <row r="31" spans="2:5" ht="12.9" customHeight="1" x14ac:dyDescent="0.3"/>
    <row r="32" spans="2:5" ht="12.9" customHeight="1" x14ac:dyDescent="0.3"/>
    <row r="33" ht="12.9" customHeight="1" x14ac:dyDescent="0.3"/>
    <row r="34" ht="12.9" customHeight="1" x14ac:dyDescent="0.3"/>
    <row r="35" ht="12.9" customHeight="1" x14ac:dyDescent="0.3"/>
    <row r="36" ht="12.9" customHeight="1" x14ac:dyDescent="0.3"/>
    <row r="37" ht="12.9" customHeight="1" x14ac:dyDescent="0.3"/>
    <row r="38" ht="12.9" customHeight="1" x14ac:dyDescent="0.3"/>
    <row r="39" ht="12.9" customHeight="1" x14ac:dyDescent="0.3"/>
    <row r="40" ht="12.9" customHeight="1" x14ac:dyDescent="0.3"/>
    <row r="41" ht="12.9" customHeight="1" x14ac:dyDescent="0.3"/>
    <row r="42" ht="12.9" customHeight="1" x14ac:dyDescent="0.3"/>
    <row r="43" ht="12.9" customHeight="1" x14ac:dyDescent="0.3"/>
    <row r="44" ht="12.9" customHeight="1" x14ac:dyDescent="0.3"/>
    <row r="45" ht="12.9" customHeight="1" x14ac:dyDescent="0.3"/>
    <row r="46" ht="12.9" customHeight="1" x14ac:dyDescent="0.3"/>
    <row r="47" ht="12.9" customHeight="1" x14ac:dyDescent="0.3"/>
    <row r="48" ht="12.9" customHeight="1" x14ac:dyDescent="0.3"/>
    <row r="49" ht="12.9" customHeight="1" x14ac:dyDescent="0.3"/>
    <row r="50" ht="12.9" customHeight="1" x14ac:dyDescent="0.3"/>
    <row r="51" ht="12.9" customHeight="1" x14ac:dyDescent="0.3"/>
    <row r="52" ht="12.9" customHeight="1" x14ac:dyDescent="0.3"/>
    <row r="53" ht="12.9" customHeight="1" x14ac:dyDescent="0.3"/>
    <row r="54" ht="12.9" customHeight="1" x14ac:dyDescent="0.3"/>
    <row r="55" ht="12.9" customHeight="1" x14ac:dyDescent="0.3"/>
    <row r="56" ht="12.9" customHeight="1" x14ac:dyDescent="0.3"/>
    <row r="57" ht="12.9" customHeight="1" x14ac:dyDescent="0.3"/>
    <row r="58" ht="12.9" customHeight="1" x14ac:dyDescent="0.3"/>
    <row r="59" ht="12.9" customHeight="1" x14ac:dyDescent="0.3"/>
    <row r="60" ht="12.9" customHeight="1" x14ac:dyDescent="0.3"/>
    <row r="61" ht="12.9" customHeight="1" x14ac:dyDescent="0.3"/>
    <row r="62" ht="12.9" customHeight="1" x14ac:dyDescent="0.3"/>
    <row r="63" ht="12.9" customHeight="1" x14ac:dyDescent="0.3"/>
    <row r="64" ht="12.9" customHeight="1" x14ac:dyDescent="0.3"/>
    <row r="65" ht="12.9" customHeight="1" x14ac:dyDescent="0.3"/>
    <row r="66" ht="12.9" customHeight="1" x14ac:dyDescent="0.3"/>
    <row r="67" ht="12.9" customHeight="1" x14ac:dyDescent="0.3"/>
    <row r="68" ht="12.9" customHeight="1" x14ac:dyDescent="0.3"/>
    <row r="69" ht="12.9" customHeight="1" x14ac:dyDescent="0.3"/>
    <row r="70" ht="12.9" customHeight="1" x14ac:dyDescent="0.3"/>
    <row r="71" ht="12.9" customHeight="1" x14ac:dyDescent="0.3"/>
    <row r="72" ht="12.9" customHeight="1" x14ac:dyDescent="0.3"/>
    <row r="73" ht="12.9" customHeight="1" x14ac:dyDescent="0.3"/>
    <row r="74" ht="12.9" customHeight="1" x14ac:dyDescent="0.3"/>
    <row r="75" ht="12.9" customHeight="1" x14ac:dyDescent="0.3"/>
    <row r="76" ht="12.9" customHeight="1" x14ac:dyDescent="0.3"/>
    <row r="77" ht="12.9" customHeight="1" x14ac:dyDescent="0.3"/>
    <row r="78" ht="12.9" customHeight="1" x14ac:dyDescent="0.3"/>
    <row r="79" ht="12.9" customHeight="1" x14ac:dyDescent="0.3"/>
    <row r="80" ht="12.9" customHeight="1" x14ac:dyDescent="0.3"/>
    <row r="81" ht="12.9" customHeight="1" x14ac:dyDescent="0.3"/>
    <row r="82" ht="12.9" customHeight="1" x14ac:dyDescent="0.3"/>
    <row r="83" ht="12.9" customHeight="1" x14ac:dyDescent="0.3"/>
    <row r="84" ht="12.9" customHeight="1" x14ac:dyDescent="0.3"/>
    <row r="85" ht="12.9" customHeight="1" x14ac:dyDescent="0.3"/>
    <row r="86" ht="12.9" customHeight="1" x14ac:dyDescent="0.3"/>
    <row r="87" ht="12.9" customHeight="1" x14ac:dyDescent="0.3"/>
    <row r="88" ht="12.9" customHeight="1" x14ac:dyDescent="0.3"/>
    <row r="89" ht="12.9" customHeight="1" x14ac:dyDescent="0.3"/>
    <row r="90" ht="12.9" customHeight="1" x14ac:dyDescent="0.3"/>
    <row r="91" ht="12.9" customHeight="1" x14ac:dyDescent="0.3"/>
    <row r="92" ht="12.9" customHeight="1" x14ac:dyDescent="0.3"/>
    <row r="93" ht="12.9" customHeight="1" x14ac:dyDescent="0.3"/>
    <row r="94" ht="12.9" customHeight="1" x14ac:dyDescent="0.3"/>
    <row r="95" ht="12.9" customHeight="1" x14ac:dyDescent="0.3"/>
    <row r="96" ht="12.9" customHeight="1" x14ac:dyDescent="0.3"/>
    <row r="97" ht="12.9" customHeight="1" x14ac:dyDescent="0.3"/>
    <row r="98" ht="12.9" customHeight="1" x14ac:dyDescent="0.3"/>
    <row r="99" ht="12.9" customHeight="1" x14ac:dyDescent="0.3"/>
    <row r="100" ht="12.9" customHeight="1" x14ac:dyDescent="0.3"/>
    <row r="101" ht="12.9" customHeight="1" x14ac:dyDescent="0.3"/>
    <row r="102" ht="12.9" customHeight="1" x14ac:dyDescent="0.3"/>
    <row r="103" ht="12.9" customHeight="1" x14ac:dyDescent="0.3"/>
    <row r="104" ht="12.9" customHeight="1" x14ac:dyDescent="0.3"/>
    <row r="105" ht="12.9" customHeight="1" x14ac:dyDescent="0.3"/>
    <row r="106" ht="12.9" customHeight="1" x14ac:dyDescent="0.3"/>
    <row r="107" ht="12.9" customHeight="1" x14ac:dyDescent="0.3"/>
    <row r="108" ht="12.9" customHeight="1" x14ac:dyDescent="0.3"/>
    <row r="109" ht="12.9" customHeight="1" x14ac:dyDescent="0.3"/>
    <row r="110" ht="12.9" customHeight="1" x14ac:dyDescent="0.3"/>
    <row r="111" ht="12.9" customHeight="1" x14ac:dyDescent="0.3"/>
    <row r="112" ht="12.9" customHeight="1" x14ac:dyDescent="0.3"/>
    <row r="113" ht="12.9" customHeight="1" x14ac:dyDescent="0.3"/>
    <row r="114" ht="12.9" customHeight="1" x14ac:dyDescent="0.3"/>
    <row r="115" ht="12.9" customHeight="1" x14ac:dyDescent="0.3"/>
    <row r="116" ht="12.9" customHeight="1" x14ac:dyDescent="0.3"/>
    <row r="117" ht="12.9" customHeight="1" x14ac:dyDescent="0.3"/>
    <row r="118" ht="12.9" customHeight="1" x14ac:dyDescent="0.3"/>
    <row r="119" ht="12.9" customHeight="1" x14ac:dyDescent="0.3"/>
    <row r="120" ht="12.9" customHeight="1" x14ac:dyDescent="0.3"/>
    <row r="121" ht="12.9" customHeight="1" x14ac:dyDescent="0.3"/>
    <row r="122" ht="12.9" customHeight="1" x14ac:dyDescent="0.3"/>
    <row r="123" ht="12.9" customHeight="1" x14ac:dyDescent="0.3"/>
    <row r="124" ht="12.9" customHeight="1" x14ac:dyDescent="0.3"/>
    <row r="125" ht="12.9" customHeight="1" x14ac:dyDescent="0.3"/>
    <row r="126" ht="12.9" customHeight="1" x14ac:dyDescent="0.3"/>
    <row r="127" ht="12.9" customHeight="1" x14ac:dyDescent="0.3"/>
    <row r="128" ht="12.9" customHeight="1" x14ac:dyDescent="0.3"/>
    <row r="129" ht="12.9" customHeight="1" x14ac:dyDescent="0.3"/>
    <row r="130" ht="12.9" customHeight="1" x14ac:dyDescent="0.3"/>
    <row r="131" ht="12.9" customHeight="1" x14ac:dyDescent="0.3"/>
    <row r="132" ht="12.9" customHeight="1" x14ac:dyDescent="0.3"/>
    <row r="133" ht="12.9" customHeight="1" x14ac:dyDescent="0.3"/>
    <row r="134" ht="12.9" customHeight="1" x14ac:dyDescent="0.3"/>
    <row r="135" ht="12.9" customHeight="1" x14ac:dyDescent="0.3"/>
    <row r="136" ht="12.9" customHeight="1" x14ac:dyDescent="0.3"/>
    <row r="137" ht="12.9" customHeight="1" x14ac:dyDescent="0.3"/>
    <row r="138" ht="12.9" customHeight="1" x14ac:dyDescent="0.3"/>
    <row r="139" ht="12.9" customHeight="1" x14ac:dyDescent="0.3"/>
    <row r="140" ht="12.9" customHeight="1" x14ac:dyDescent="0.3"/>
    <row r="141" ht="12.9" customHeight="1" x14ac:dyDescent="0.3"/>
    <row r="142" ht="12.9" customHeight="1" x14ac:dyDescent="0.3"/>
    <row r="143" ht="12.9" customHeight="1" x14ac:dyDescent="0.3"/>
    <row r="144" ht="12.9" customHeight="1" x14ac:dyDescent="0.3"/>
    <row r="145" ht="12.9" customHeight="1" x14ac:dyDescent="0.3"/>
    <row r="146" ht="12.9" customHeight="1" x14ac:dyDescent="0.3"/>
    <row r="147" ht="12.9" customHeight="1" x14ac:dyDescent="0.3"/>
    <row r="148" ht="12.9" customHeight="1" x14ac:dyDescent="0.3"/>
    <row r="149" ht="12.9" customHeight="1" x14ac:dyDescent="0.3"/>
    <row r="150" ht="12.9" customHeight="1" x14ac:dyDescent="0.3"/>
    <row r="151" ht="12.9" customHeight="1" x14ac:dyDescent="0.3"/>
    <row r="152" ht="12.9" customHeight="1" x14ac:dyDescent="0.3"/>
    <row r="153" ht="12.9" customHeight="1" x14ac:dyDescent="0.3"/>
    <row r="154" ht="12.9" customHeight="1" x14ac:dyDescent="0.3"/>
    <row r="155" ht="12.9" customHeight="1" x14ac:dyDescent="0.3"/>
    <row r="156" ht="12.9" customHeight="1" x14ac:dyDescent="0.3"/>
    <row r="157" ht="12.9" customHeight="1" x14ac:dyDescent="0.3"/>
    <row r="158" ht="12.9" customHeight="1" x14ac:dyDescent="0.3"/>
    <row r="159" ht="12.9" customHeight="1" x14ac:dyDescent="0.3"/>
    <row r="160" ht="12.9" customHeight="1" x14ac:dyDescent="0.3"/>
    <row r="161" ht="12.9" customHeight="1" x14ac:dyDescent="0.3"/>
    <row r="162" ht="12.9" customHeight="1" x14ac:dyDescent="0.3"/>
    <row r="163" ht="12.9" customHeight="1" x14ac:dyDescent="0.3"/>
    <row r="164" ht="12.9" customHeight="1" x14ac:dyDescent="0.3"/>
    <row r="165" ht="12.9" customHeight="1" x14ac:dyDescent="0.3"/>
    <row r="166" ht="12.9" customHeight="1" x14ac:dyDescent="0.3"/>
    <row r="167" ht="12.9" customHeight="1" x14ac:dyDescent="0.3"/>
    <row r="168" ht="12.9" customHeight="1" x14ac:dyDescent="0.3"/>
    <row r="169" ht="12.9" customHeight="1" x14ac:dyDescent="0.3"/>
    <row r="170" ht="12.9" customHeight="1" x14ac:dyDescent="0.3"/>
    <row r="171" ht="12.9" customHeight="1" x14ac:dyDescent="0.3"/>
    <row r="172" ht="12.9" customHeight="1" x14ac:dyDescent="0.3"/>
    <row r="173" ht="12.9" customHeight="1" x14ac:dyDescent="0.3"/>
    <row r="174" ht="12.9" customHeight="1" x14ac:dyDescent="0.3"/>
    <row r="175" ht="12.9" customHeight="1" x14ac:dyDescent="0.3"/>
    <row r="176" ht="12.9" customHeight="1" x14ac:dyDescent="0.3"/>
    <row r="177" ht="12.9" customHeight="1" x14ac:dyDescent="0.3"/>
    <row r="178" ht="12.9" customHeight="1" x14ac:dyDescent="0.3"/>
    <row r="179" ht="12.9" customHeight="1" x14ac:dyDescent="0.3"/>
    <row r="180" ht="12.9" customHeight="1" x14ac:dyDescent="0.3"/>
    <row r="181" ht="12.9" customHeight="1" x14ac:dyDescent="0.3"/>
    <row r="182" ht="12.9" customHeight="1" x14ac:dyDescent="0.3"/>
    <row r="183" ht="12.9" customHeight="1" x14ac:dyDescent="0.3"/>
    <row r="184" ht="12.9" customHeight="1" x14ac:dyDescent="0.3"/>
    <row r="185" ht="12.9" customHeight="1" x14ac:dyDescent="0.3"/>
    <row r="186" ht="12.9" customHeight="1" x14ac:dyDescent="0.3"/>
    <row r="187" ht="12.9" customHeight="1" x14ac:dyDescent="0.3"/>
    <row r="188" ht="12.9" customHeight="1" x14ac:dyDescent="0.3"/>
    <row r="189" ht="12.9" customHeight="1" x14ac:dyDescent="0.3"/>
    <row r="190" ht="12.9" customHeight="1" x14ac:dyDescent="0.3"/>
    <row r="191" ht="12.9" customHeight="1" x14ac:dyDescent="0.3"/>
    <row r="192" ht="12.9" customHeight="1" x14ac:dyDescent="0.3"/>
    <row r="193" ht="12.9" customHeight="1" x14ac:dyDescent="0.3"/>
    <row r="194" ht="12.9" customHeight="1" x14ac:dyDescent="0.3"/>
    <row r="195" ht="12.9" customHeight="1" x14ac:dyDescent="0.3"/>
    <row r="196" ht="12.9" customHeight="1" x14ac:dyDescent="0.3"/>
    <row r="197" ht="12.9" customHeight="1" x14ac:dyDescent="0.3"/>
    <row r="198" ht="12.9" customHeight="1" x14ac:dyDescent="0.3"/>
    <row r="199" ht="12.9" customHeight="1" x14ac:dyDescent="0.3"/>
    <row r="200" ht="12.9" customHeight="1" x14ac:dyDescent="0.3"/>
    <row r="201" ht="12.9" customHeight="1" x14ac:dyDescent="0.3"/>
    <row r="202" ht="12.9" customHeight="1" x14ac:dyDescent="0.3"/>
    <row r="203" ht="12.9" customHeight="1" x14ac:dyDescent="0.3"/>
    <row r="204" ht="12.9" customHeight="1" x14ac:dyDescent="0.3"/>
    <row r="205" ht="12.9" customHeight="1" x14ac:dyDescent="0.3"/>
    <row r="206" ht="12.9" customHeight="1" x14ac:dyDescent="0.3"/>
    <row r="207" ht="12.9" customHeight="1" x14ac:dyDescent="0.3"/>
    <row r="208" ht="12.9" customHeight="1" x14ac:dyDescent="0.3"/>
    <row r="209" ht="12.9" customHeight="1" x14ac:dyDescent="0.3"/>
    <row r="210" ht="12.9" customHeight="1" x14ac:dyDescent="0.3"/>
    <row r="211" ht="12.9" customHeight="1" x14ac:dyDescent="0.3"/>
    <row r="212" ht="12.9" customHeight="1" x14ac:dyDescent="0.3"/>
    <row r="213" ht="12.9" customHeight="1" x14ac:dyDescent="0.3"/>
    <row r="214" ht="12.9" customHeight="1" x14ac:dyDescent="0.3"/>
    <row r="215" ht="12.9" customHeight="1" x14ac:dyDescent="0.3"/>
    <row r="216" ht="12.9" customHeight="1" x14ac:dyDescent="0.3"/>
    <row r="217" ht="12.9" customHeight="1" x14ac:dyDescent="0.3"/>
    <row r="218" ht="12.9" customHeight="1" x14ac:dyDescent="0.3"/>
    <row r="219" ht="12.9" customHeight="1" x14ac:dyDescent="0.3"/>
    <row r="220" ht="12.9" customHeight="1" x14ac:dyDescent="0.3"/>
    <row r="221" ht="12.9" customHeight="1" x14ac:dyDescent="0.3"/>
    <row r="222" ht="12.9" customHeight="1" x14ac:dyDescent="0.3"/>
    <row r="223" ht="12.9" customHeight="1" x14ac:dyDescent="0.3"/>
    <row r="224" ht="12.9" customHeight="1" x14ac:dyDescent="0.3"/>
    <row r="225" ht="12.9" customHeight="1" x14ac:dyDescent="0.3"/>
    <row r="226" ht="12.9" customHeight="1" x14ac:dyDescent="0.3"/>
    <row r="227" ht="12.9" customHeight="1" x14ac:dyDescent="0.3"/>
    <row r="228" ht="12.9" customHeight="1" x14ac:dyDescent="0.3"/>
    <row r="229" ht="12.9" customHeight="1" x14ac:dyDescent="0.3"/>
    <row r="230" ht="12.9" customHeight="1" x14ac:dyDescent="0.3"/>
    <row r="231" ht="12.9" customHeight="1" x14ac:dyDescent="0.3"/>
    <row r="232" ht="12.9" customHeight="1" x14ac:dyDescent="0.3"/>
    <row r="233" ht="12.9" customHeight="1" x14ac:dyDescent="0.3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B43C880-FB8B-43C4-A92D-1861CF06DEF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Cover Page</vt:lpstr>
      <vt:lpstr>Income Statement</vt:lpstr>
      <vt:lpstr>Balance Sheet</vt:lpstr>
      <vt:lpstr>Cash Flows</vt:lpstr>
      <vt:lpstr>Graphical Representation</vt:lpstr>
      <vt:lpstr>Revenue Segments</vt:lpstr>
      <vt:lpstr>DCF Model</vt:lpstr>
      <vt:lpstr>Monte-Carlo</vt:lpstr>
      <vt:lpstr>Estimate Sheet</vt:lpstr>
      <vt:lpstr>Peer Comps</vt:lpstr>
      <vt:lpstr>Peer Data</vt:lpstr>
      <vt:lpstr>Beta</vt:lpstr>
      <vt:lpstr>Risk Data</vt:lpstr>
      <vt:lpstr>Guidance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Niranjan Desai</dc:creator>
  <cp:lastModifiedBy>NIRANJAN DESAI - 80012500553</cp:lastModifiedBy>
  <dcterms:created xsi:type="dcterms:W3CDTF">2026-04-17T04:47:29Z</dcterms:created>
  <dcterms:modified xsi:type="dcterms:W3CDTF">2026-07-11T07:21:19Z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63c790-1b4f-473b-b88f-a693ca173b52_Enabled">
    <vt:lpwstr>true</vt:lpwstr>
  </property>
  <property fmtid="{D5CDD505-2E9C-101B-9397-08002B2CF9AE}" pid="3" name="MSIP_Label_8c63c790-1b4f-473b-b88f-a693ca173b52_SetDate">
    <vt:lpwstr>2026-04-17T06:51:36Z</vt:lpwstr>
  </property>
  <property fmtid="{D5CDD505-2E9C-101B-9397-08002B2CF9AE}" pid="4" name="MSIP_Label_8c63c790-1b4f-473b-b88f-a693ca173b52_Method">
    <vt:lpwstr>Privileged</vt:lpwstr>
  </property>
  <property fmtid="{D5CDD505-2E9C-101B-9397-08002B2CF9AE}" pid="5" name="MSIP_Label_8c63c790-1b4f-473b-b88f-a693ca173b52_Name">
    <vt:lpwstr>Internal</vt:lpwstr>
  </property>
  <property fmtid="{D5CDD505-2E9C-101B-9397-08002B2CF9AE}" pid="6" name="MSIP_Label_8c63c790-1b4f-473b-b88f-a693ca173b52_SiteId">
    <vt:lpwstr>4d8b04bf-7a7c-48a0-b6e3-38da5008297e</vt:lpwstr>
  </property>
  <property fmtid="{D5CDD505-2E9C-101B-9397-08002B2CF9AE}" pid="7" name="MSIP_Label_8c63c790-1b4f-473b-b88f-a693ca173b52_ActionId">
    <vt:lpwstr>5b3a812d-b892-4d35-a295-145ce1a3711c</vt:lpwstr>
  </property>
  <property fmtid="{D5CDD505-2E9C-101B-9397-08002B2CF9AE}" pid="8" name="MSIP_Label_8c63c790-1b4f-473b-b88f-a693ca173b52_ContentBits">
    <vt:lpwstr>0</vt:lpwstr>
  </property>
  <property fmtid="{D5CDD505-2E9C-101B-9397-08002B2CF9AE}" pid="9" name="MSIP_Label_8c63c790-1b4f-473b-b88f-a693ca173b52_Tag">
    <vt:lpwstr>10, 0, 1, 1</vt:lpwstr>
  </property>
</Properties>
</file>